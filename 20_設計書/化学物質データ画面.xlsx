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
    </mc:Choice>
  </mc:AlternateContent>
  <xr:revisionPtr revIDLastSave="0" documentId="8_{50059414-C334-4720-8344-ED29EFA5F913}" xr6:coauthVersionLast="47" xr6:coauthVersionMax="47" xr10:uidLastSave="{00000000-0000-0000-0000-000000000000}"/>
  <bookViews>
    <workbookView xWindow="32970" yWindow="1020" windowWidth="22305" windowHeight="13680" tabRatio="859"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'化学物質データ画面(日英併記)'!$A$1:$BC$54</definedName>
    <definedName name="_xlnm.Print_Area" localSheetId="3">画面項目!$A$1:$CU$30</definedName>
    <definedName name="_xlnm.Print_Area" localSheetId="4">処理詳細!$A$1:$CS$55</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V2" i="73"/>
  <c r="AV3" i="73"/>
  <c r="AN2"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2" authorId="0" shapeId="0" xr:uid="{4D4E5A56-CA89-4E28-A693-0993BF036338}">
      <text>
        <r>
          <rPr>
            <sz val="9"/>
            <color indexed="8"/>
            <rFont val="ＭＳ Ｐゴシック"/>
            <family val="3"/>
            <charset val="128"/>
          </rPr>
          <t>クライアントまたはサーバ処理の処理名を記入します。
サーバ処理の場合は処理ID同様、画面遷移図との整合性を確保する必要があります。</t>
        </r>
      </text>
    </comment>
    <comment ref="X2" authorId="0" shapeId="0" xr:uid="{E3DFFB57-D676-4C1E-A526-0E52DAE3C738}">
      <text>
        <r>
          <rPr>
            <sz val="9"/>
            <color indexed="81"/>
            <rFont val="ＭＳ Ｐゴシック"/>
            <family val="3"/>
            <charset val="128"/>
          </rPr>
          <t>Java Scriptの関数を記載する</t>
        </r>
      </text>
    </comment>
  </commentList>
</comments>
</file>

<file path=xl/sharedStrings.xml><?xml version="1.0" encoding="utf-8"?>
<sst xmlns="http://schemas.openxmlformats.org/spreadsheetml/2006/main" count="396" uniqueCount="310">
  <si>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</si>
  <si>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</si>
  <si>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</si>
  <si>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</si>
  <si>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</si>
  <si>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</si>
  <si>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</si>
  <si>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</si>
  <si>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</si>
  <si>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</si>
  <si>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</si>
  <si>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</si>
  <si>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</si>
  <si>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</si>
  <si>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</si>
  <si>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</si>
  <si>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</si>
  <si>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変更内容</t>
    <rPh sb="0" eb="2">
      <t>ヘンコウ</t>
    </rPh>
    <rPh sb="2" eb="4">
      <t>ナイヨウ</t>
    </rPh>
    <phoneticPr fontId="11"/>
  </si>
  <si>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</si>
  <si>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</si>
  <si>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</si>
  <si>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</si>
  <si>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</si>
  <si>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</si>
  <si>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</si>
  <si>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</si>
  <si>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</si>
  <si>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</si>
  <si>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</si>
  <si>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　</t>
    <phoneticPr fontId="49"/>
  </si>
  <si>
    <t>IMWF-53</t>
    <phoneticPr fontId="49"/>
  </si>
  <si>
    <t>ｒ1.0</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</si>
  <si>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</si>
  <si>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</si>
  <si>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</si>
  <si>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</si>
  <si>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</si>
  <si>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</si>
  <si>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</si>
  <si>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</si>
  <si>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r>
      <rPr>
        <sz val="10"/>
        <color rgb="FFFF9900"/>
        <rFont val="Meiryo UI"/>
        <family val="3"/>
        <charset val="128"/>
      </rPr>
      <t>ホーム</t>
    </r>
    <r>
      <rPr>
        <sz val="10"/>
        <rFont val="Meiryo UI"/>
        <family val="3"/>
        <charset val="128"/>
      </rPr>
      <t xml:space="preserve"> / 化学物質データ</t>
    </r>
    <rPh sb="5" eb="9">
      <t>カガクブッシツ</t>
    </rPh>
    <phoneticPr fontId="53"/>
  </si>
  <si>
    <t>YYYYMMDD</t>
  </si>
  <si>
    <t>YYYYMMDD</t>
    <phoneticPr fontId="53"/>
  </si>
  <si>
    <t>-</t>
    <phoneticPr fontId="53"/>
  </si>
  <si>
    <t>xx.xx(MB)</t>
    <phoneticPr fontId="53"/>
  </si>
  <si>
    <t>機能仕様</t>
    <rPh sb="0" eb="4">
      <t>キノウシヨウ</t>
    </rPh>
    <phoneticPr fontId="53"/>
  </si>
  <si>
    <t>1. パンくずリストエリア</t>
    <phoneticPr fontId="11"/>
  </si>
  <si>
    <t>1.1　パンくずリスト</t>
    <phoneticPr fontId="11"/>
  </si>
  <si>
    <t>以下のようにパンくずリストを表示する。</t>
    <rPh sb="0" eb="2">
      <t>イカ</t>
    </rPh>
    <rPh sb="14" eb="16">
      <t>ヒョウジ</t>
    </rPh>
    <phoneticPr fontId="11"/>
  </si>
  <si>
    <t>『製品トップ &gt; 化学物質データ』</t>
    <rPh sb="1" eb="3">
      <t>セイヒン</t>
    </rPh>
    <rPh sb="9" eb="11">
      <t>カガク</t>
    </rPh>
    <rPh sb="11" eb="13">
      <t>ブッシツ</t>
    </rPh>
    <phoneticPr fontId="11"/>
  </si>
  <si>
    <t>2. お知らせエリア</t>
    <rPh sb="4" eb="5">
      <t>シ</t>
    </rPh>
    <phoneticPr fontId="11"/>
  </si>
  <si>
    <t>2.1　新着情報</t>
    <rPh sb="4" eb="8">
      <t>シンチャクジョウホウ</t>
    </rPh>
    <phoneticPr fontId="11"/>
  </si>
  <si>
    <t xml:space="preserve">3. 検索結果表示エリア
</t>
    <rPh sb="3" eb="5">
      <t>ケンサク</t>
    </rPh>
    <rPh sb="5" eb="7">
      <t>ケッカ</t>
    </rPh>
    <rPh sb="7" eb="9">
      <t>ヒョウジ</t>
    </rPh>
    <phoneticPr fontId="6"/>
  </si>
  <si>
    <t>3.1 検索ヒット件数</t>
    <rPh sb="4" eb="6">
      <t>ケンサク</t>
    </rPh>
    <rPh sb="9" eb="11">
      <t>ケンスウ</t>
    </rPh>
    <phoneticPr fontId="5"/>
  </si>
  <si>
    <t>検索の結果ヒットしたデータ件数を表示する。</t>
    <rPh sb="0" eb="2">
      <t>ケンサク</t>
    </rPh>
    <rPh sb="3" eb="5">
      <t>ケッカ</t>
    </rPh>
    <rPh sb="13" eb="15">
      <t>ケンスウ</t>
    </rPh>
    <rPh sb="16" eb="18">
      <t>ヒョウジ</t>
    </rPh>
    <phoneticPr fontId="5"/>
  </si>
  <si>
    <t>3.2 ページング</t>
  </si>
  <si>
    <t>検索結果のページング。1ページあたり100件とする。</t>
    <rPh sb="0" eb="2">
      <t>ケンサク</t>
    </rPh>
    <rPh sb="2" eb="4">
      <t>ケッカ</t>
    </rPh>
    <rPh sb="21" eb="22">
      <t>ケン</t>
    </rPh>
    <phoneticPr fontId="5"/>
  </si>
  <si>
    <t>100件を超える場合、2ページ目(とそれ以降)へのナビゲー</t>
    <rPh sb="3" eb="4">
      <t>ケン</t>
    </rPh>
    <rPh sb="5" eb="6">
      <t>コ</t>
    </rPh>
    <rPh sb="8" eb="10">
      <t>バアイ</t>
    </rPh>
    <rPh sb="15" eb="16">
      <t>メ</t>
    </rPh>
    <rPh sb="20" eb="22">
      <t>イコウ</t>
    </rPh>
    <phoneticPr fontId="5"/>
  </si>
  <si>
    <t>ションが表示される</t>
  </si>
  <si>
    <t>3.3 申請履歴データ</t>
    <rPh sb="4" eb="6">
      <t>シンセイ</t>
    </rPh>
    <rPh sb="6" eb="8">
      <t>リレキ</t>
    </rPh>
    <phoneticPr fontId="5"/>
  </si>
  <si>
    <t>受付が最新のものが最上位（日付降順）</t>
  </si>
  <si>
    <t>暦年-シーケンス番号</t>
  </si>
  <si>
    <t>2019年以後は20xx-00000という形で採番される。</t>
  </si>
  <si>
    <t>3.4 受付番号</t>
    <rPh sb="4" eb="6">
      <t>ウケツケ</t>
    </rPh>
    <rPh sb="6" eb="8">
      <t>バンゴウ</t>
    </rPh>
    <phoneticPr fontId="5"/>
  </si>
  <si>
    <t>3.5 提出先企業名</t>
  </si>
  <si>
    <t>3.6 エンドユーザー</t>
  </si>
  <si>
    <t>3.7 申請日</t>
    <rPh sb="4" eb="6">
      <t>シンセイ</t>
    </rPh>
    <rPh sb="6" eb="7">
      <t>ビ</t>
    </rPh>
    <phoneticPr fontId="5"/>
  </si>
  <si>
    <t>3.8 有効期限日</t>
    <rPh sb="4" eb="6">
      <t>ユウコウ</t>
    </rPh>
    <rPh sb="6" eb="8">
      <t>キゲン</t>
    </rPh>
    <rPh sb="8" eb="9">
      <t>ビ</t>
    </rPh>
    <phoneticPr fontId="5"/>
  </si>
  <si>
    <t>ダウンロード有効期限日</t>
    <rPh sb="6" eb="8">
      <t>ユウコウ</t>
    </rPh>
    <rPh sb="8" eb="10">
      <t>キゲン</t>
    </rPh>
    <rPh sb="10" eb="11">
      <t>ビ</t>
    </rPh>
    <phoneticPr fontId="5"/>
  </si>
  <si>
    <t>3.9 ファイルサイズ</t>
  </si>
  <si>
    <t>3.10 ステータス</t>
  </si>
  <si>
    <t>3.11 ドキュメント</t>
  </si>
  <si>
    <t>3.12 新規申請</t>
    <rPh sb="5" eb="7">
      <t>シンキ</t>
    </rPh>
    <rPh sb="7" eb="9">
      <t>シンセイ</t>
    </rPh>
    <phoneticPr fontId="5"/>
  </si>
  <si>
    <t>4．申請ドキュメントCSV(イメージ)</t>
  </si>
  <si>
    <t>4.1 申請された製品名</t>
    <rPh sb="4" eb="6">
      <t>シンセイ</t>
    </rPh>
    <rPh sb="9" eb="11">
      <t>セイヒン</t>
    </rPh>
    <rPh sb="11" eb="12">
      <t>メイ</t>
    </rPh>
    <phoneticPr fontId="5"/>
  </si>
  <si>
    <t>4.2 申請に含まれたCL番号</t>
    <rPh sb="4" eb="6">
      <t>シンセイ</t>
    </rPh>
    <rPh sb="7" eb="8">
      <t>フク</t>
    </rPh>
    <rPh sb="13" eb="15">
      <t>バンゴウ</t>
    </rPh>
    <phoneticPr fontId="5"/>
  </si>
  <si>
    <t>4.3 申請された製品の新製品区分</t>
    <rPh sb="4" eb="6">
      <t>シンセイ</t>
    </rPh>
    <rPh sb="9" eb="11">
      <t>セイヒン</t>
    </rPh>
    <rPh sb="12" eb="15">
      <t>シンセイヒン</t>
    </rPh>
    <rPh sb="15" eb="17">
      <t>クブン</t>
    </rPh>
    <phoneticPr fontId="5"/>
  </si>
  <si>
    <t>4.4 申請された製品の製品販売状況</t>
    <rPh sb="4" eb="6">
      <t>シンセイ</t>
    </rPh>
    <rPh sb="9" eb="11">
      <t>セイヒン</t>
    </rPh>
    <rPh sb="12" eb="14">
      <t>セイヒン</t>
    </rPh>
    <rPh sb="14" eb="16">
      <t>ハンバイ</t>
    </rPh>
    <rPh sb="16" eb="18">
      <t>ジョウキョウ</t>
    </rPh>
    <phoneticPr fontId="5"/>
  </si>
  <si>
    <t>4.5 申請された製品のPCN番号</t>
    <rPh sb="4" eb="6">
      <t>シンセイ</t>
    </rPh>
    <rPh sb="9" eb="11">
      <t>セイヒン</t>
    </rPh>
    <rPh sb="15" eb="17">
      <t>バンゴウ</t>
    </rPh>
    <phoneticPr fontId="5"/>
  </si>
  <si>
    <t>4.6 申請された証明書</t>
    <rPh sb="4" eb="6">
      <t>シンセイ</t>
    </rPh>
    <rPh sb="9" eb="12">
      <t>ショウメイショ</t>
    </rPh>
    <phoneticPr fontId="5"/>
  </si>
  <si>
    <t>申請があったものはYESと表示される。</t>
    <rPh sb="0" eb="2">
      <t>シンセイ</t>
    </rPh>
    <rPh sb="13" eb="15">
      <t>ヒョウジ</t>
    </rPh>
    <phoneticPr fontId="5"/>
  </si>
  <si>
    <t>申請されたCL全てについて、証明書の種類ごとに</t>
    <rPh sb="0" eb="2">
      <t>シンセイ</t>
    </rPh>
    <rPh sb="7" eb="8">
      <t>スベ</t>
    </rPh>
    <rPh sb="14" eb="17">
      <t>ショウメイショ</t>
    </rPh>
    <rPh sb="18" eb="20">
      <t>シュルイ</t>
    </rPh>
    <phoneticPr fontId="5"/>
  </si>
  <si>
    <t>製品名</t>
    <rPh sb="0" eb="3">
      <t>セイヒンメイ</t>
    </rPh>
    <phoneticPr fontId="55"/>
  </si>
  <si>
    <t>CL Code</t>
    <phoneticPr fontId="55"/>
  </si>
  <si>
    <t>新製品区分</t>
    <rPh sb="0" eb="3">
      <t>シンセイヒン</t>
    </rPh>
    <rPh sb="3" eb="5">
      <t>クブン</t>
    </rPh>
    <phoneticPr fontId="55"/>
  </si>
  <si>
    <t>製品販売状況</t>
    <rPh sb="0" eb="2">
      <t>セイヒン</t>
    </rPh>
    <rPh sb="2" eb="4">
      <t>ハンバイ</t>
    </rPh>
    <rPh sb="4" eb="6">
      <t>ジョウキョウ</t>
    </rPh>
    <phoneticPr fontId="55"/>
  </si>
  <si>
    <t>PCN番号</t>
    <rPh sb="3" eb="5">
      <t>バンゴウ</t>
    </rPh>
    <phoneticPr fontId="55"/>
  </si>
  <si>
    <t>RoHS適合証明書</t>
    <rPh sb="4" eb="6">
      <t>テキゴウ</t>
    </rPh>
    <rPh sb="6" eb="9">
      <t>ショウメイショ</t>
    </rPh>
    <phoneticPr fontId="55"/>
  </si>
  <si>
    <t>ハロゲンフリー証明書</t>
    <phoneticPr fontId="55"/>
  </si>
  <si>
    <t>成分表</t>
    <phoneticPr fontId="55"/>
  </si>
  <si>
    <t>ICP</t>
    <phoneticPr fontId="55"/>
  </si>
  <si>
    <t>SDS</t>
    <phoneticPr fontId="55"/>
  </si>
  <si>
    <t>chemSHERPA</t>
    <phoneticPr fontId="55"/>
  </si>
  <si>
    <t>NameA</t>
    <phoneticPr fontId="55"/>
  </si>
  <si>
    <t>CL0123-4567-8-90</t>
    <phoneticPr fontId="55"/>
  </si>
  <si>
    <t>オリジナル</t>
    <phoneticPr fontId="55"/>
  </si>
  <si>
    <t>生産終了予定品</t>
    <rPh sb="0" eb="2">
      <t>セイサン</t>
    </rPh>
    <rPh sb="2" eb="4">
      <t>シュウリョウ</t>
    </rPh>
    <rPh sb="4" eb="6">
      <t>ヨテイ</t>
    </rPh>
    <rPh sb="6" eb="7">
      <t>ヒン</t>
    </rPh>
    <phoneticPr fontId="55"/>
  </si>
  <si>
    <t>2024-01</t>
    <phoneticPr fontId="55"/>
  </si>
  <si>
    <t>YES</t>
    <phoneticPr fontId="55"/>
  </si>
  <si>
    <t>-</t>
    <phoneticPr fontId="55"/>
  </si>
  <si>
    <t>NameB</t>
    <phoneticPr fontId="55"/>
  </si>
  <si>
    <t>CL0123-4567-8-91</t>
    <phoneticPr fontId="55"/>
  </si>
  <si>
    <t>オリジナル(特定社)</t>
    <phoneticPr fontId="55"/>
  </si>
  <si>
    <t>生産終了品</t>
    <rPh sb="0" eb="2">
      <t>セイサン</t>
    </rPh>
    <rPh sb="2" eb="4">
      <t>シュウリョウ</t>
    </rPh>
    <rPh sb="4" eb="5">
      <t>ヒン</t>
    </rPh>
    <phoneticPr fontId="55"/>
  </si>
  <si>
    <t>2023-12</t>
    <phoneticPr fontId="55"/>
  </si>
  <si>
    <t>NameC</t>
    <phoneticPr fontId="55"/>
  </si>
  <si>
    <t>CL0123-4567-8-92</t>
    <phoneticPr fontId="55"/>
  </si>
  <si>
    <t>カスタム(他社販売可)</t>
    <phoneticPr fontId="55"/>
  </si>
  <si>
    <t>新規設計非推奨</t>
    <rPh sb="0" eb="2">
      <t>シンキ</t>
    </rPh>
    <rPh sb="2" eb="4">
      <t>セッケイ</t>
    </rPh>
    <rPh sb="4" eb="5">
      <t>ヒ</t>
    </rPh>
    <rPh sb="5" eb="7">
      <t>スイショウ</t>
    </rPh>
    <phoneticPr fontId="55"/>
  </si>
  <si>
    <t>NameE</t>
    <phoneticPr fontId="55"/>
  </si>
  <si>
    <t>CL0123-4567-8-94</t>
    <phoneticPr fontId="55"/>
  </si>
  <si>
    <t>カスタム(他社販売不可)</t>
    <phoneticPr fontId="55"/>
  </si>
  <si>
    <t>販売品</t>
    <rPh sb="0" eb="2">
      <t>ハンバイ</t>
    </rPh>
    <rPh sb="2" eb="3">
      <t>ヒン</t>
    </rPh>
    <phoneticPr fontId="55"/>
  </si>
  <si>
    <t>※製品名、新製品区分、製品販売状況、PCN番号に関して、"-"は値なしを示す。</t>
    <rPh sb="1" eb="4">
      <t>セイヒンメイ</t>
    </rPh>
    <rPh sb="5" eb="8">
      <t>シンセイヒン</t>
    </rPh>
    <rPh sb="8" eb="10">
      <t>クブン</t>
    </rPh>
    <rPh sb="11" eb="13">
      <t>セイヒン</t>
    </rPh>
    <rPh sb="13" eb="15">
      <t>ハンバイ</t>
    </rPh>
    <rPh sb="15" eb="17">
      <t>ジョウキョウ</t>
    </rPh>
    <rPh sb="21" eb="23">
      <t>バンゴウ</t>
    </rPh>
    <rPh sb="24" eb="25">
      <t>カン</t>
    </rPh>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</si>
  <si>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</si>
  <si>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</si>
  <si>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</si>
  <si>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</si>
  <si>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</si>
  <si>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</si>
  <si>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</si>
  <si>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</si>
  <si>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</si>
  <si>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</si>
  <si>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</si>
  <si>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</si>
  <si>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</si>
  <si>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</si>
  <si>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t>
  </si>
  <si>
    <t>検索結果表示エリア</t>
    <phoneticPr fontId="55"/>
  </si>
  <si>
    <t>・ログインユーザの申請履歴を表示対象とする</t>
    <rPh sb="9" eb="11">
      <t>シンセイ</t>
    </rPh>
    <rPh sb="11" eb="13">
      <t>リレキ</t>
    </rPh>
    <rPh sb="14" eb="16">
      <t>ヒョウジ</t>
    </rPh>
    <rPh sb="16" eb="18">
      <t>タイショウ</t>
    </rPh>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</si>
  <si>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</si>
  <si>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</si>
  <si>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</si>
  <si>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</si>
  <si>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</si>
  <si>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</si>
  <si>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</si>
  <si>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</si>
  <si>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</si>
  <si>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</si>
  <si>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</si>
  <si>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</si>
  <si>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</si>
  <si>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</si>
  <si>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</si>
  <si>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</si>
  <si>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ステータスが「処理中」または「有効期限切れ」の場合は"-"を表示する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ショリチュウ</t>
    </rPh>
    <rPh sb="15" eb="19">
      <t>ユウコウキゲン</t>
    </rPh>
    <rPh sb="19" eb="20">
      <t>キ</t>
    </rPh>
    <rPh sb="23" eb="25">
      <t>バアイ</t>
    </rPh>
    <rPh sb="30" eb="32">
      <t>ヒョウジ</t>
    </rPh>
    <rPh sb="50" eb="52">
      <t>スウジ</t>
    </rPh>
    <rPh sb="52" eb="54">
      <t>ヒョウジ</t>
    </rPh>
    <rPh sb="54" eb="56">
      <t>ホウシキ</t>
    </rPh>
    <rPh sb="57" eb="59">
      <t>イカ</t>
    </rPh>
    <rPh sb="60" eb="61">
      <t>トオ</t>
    </rPh>
    <rPh sb="67" eb="69">
      <t>スウジ</t>
    </rPh>
    <rPh sb="70" eb="71">
      <t>アト</t>
    </rPh>
    <rPh sb="77" eb="79">
      <t>ツイカ</t>
    </rPh>
    <rPh sb="142" eb="143">
      <t>レイ</t>
    </rPh>
    <rPh sb="190" eb="192">
      <t>ヒョウジ</t>
    </rPh>
    <phoneticPr fontId="55"/>
  </si>
  <si>
    <t>3.10</t>
  </si>
  <si>
    <t>3.11</t>
  </si>
  <si>
    <t xml:space="preserve">                    をクリックすると、化学物質のリクエスト内容を記載したCSVをダウンロードする</t>
    <rPh sb="29" eb="31">
      <t>カガク</t>
    </rPh>
    <rPh sb="31" eb="33">
      <t>ブッシツ</t>
    </rPh>
    <rPh sb="39" eb="41">
      <t>ナイヨウ</t>
    </rPh>
    <rPh sb="42" eb="44">
      <t>キサイ</t>
    </rPh>
    <phoneticPr fontId="55"/>
  </si>
  <si>
    <t>3.12</t>
  </si>
  <si>
    <t>新規申請</t>
    <phoneticPr fontId="55"/>
  </si>
  <si>
    <t>申請ドキュメント詳細</t>
    <rPh sb="0" eb="2">
      <t>シンセイ</t>
    </rPh>
    <rPh sb="8" eb="10">
      <t>ショウサイ</t>
    </rPh>
    <phoneticPr fontId="55"/>
  </si>
  <si>
    <t>4.2</t>
    <phoneticPr fontId="55"/>
  </si>
  <si>
    <t>CL番号</t>
    <rPh sb="2" eb="4">
      <t>バンゴウ</t>
    </rPh>
    <phoneticPr fontId="55"/>
  </si>
  <si>
    <t>4.6</t>
    <phoneticPr fontId="55"/>
  </si>
  <si>
    <t>化学物質の申請履歴情報</t>
    <rPh sb="0" eb="2">
      <t>カガク</t>
    </rPh>
    <rPh sb="2" eb="4">
      <t>ブッシツ</t>
    </rPh>
    <rPh sb="5" eb="7">
      <t>シンセイ</t>
    </rPh>
    <rPh sb="7" eb="9">
      <t>リレキ</t>
    </rPh>
    <rPh sb="9" eb="11">
      <t>ジョウホウ</t>
    </rPh>
    <phoneticPr fontId="55"/>
  </si>
  <si>
    <t>処理項目(Process Items)</t>
    <rPh sb="0" eb="4">
      <t>ショリコウモク</t>
    </rPh>
    <phoneticPr fontId="11"/>
  </si>
  <si>
    <t>項番
(No)</t>
    <rPh sb="0" eb="2">
      <t>コウバン</t>
    </rPh>
    <phoneticPr fontId="11"/>
  </si>
  <si>
    <t>処理名
(Process Name)</t>
    <rPh sb="0" eb="3">
      <t>ショリメイ</t>
    </rPh>
    <phoneticPr fontId="11"/>
  </si>
  <si>
    <t>イベント発生元（論理項目名）
(Event Source(Logical Item Name))</t>
    <phoneticPr fontId="11"/>
  </si>
  <si>
    <t>イベント
(Event)</t>
    <phoneticPr fontId="11"/>
  </si>
  <si>
    <t>サーバ
／クライアント</t>
    <phoneticPr fontId="11"/>
  </si>
  <si>
    <t>遷移先画面ID
(Transition Destination Screen ID)</t>
    <rPh sb="0" eb="7">
      <t>センイサキガメン</t>
    </rPh>
    <phoneticPr fontId="11"/>
  </si>
  <si>
    <t>概要
(Comment)</t>
    <rPh sb="0" eb="2">
      <t>ガイヨウ</t>
    </rPh>
    <phoneticPr fontId="11"/>
  </si>
  <si>
    <t>初期画面表示</t>
    <rPh sb="0" eb="2">
      <t>ショキ</t>
    </rPh>
    <rPh sb="2" eb="4">
      <t>ガメン</t>
    </rPh>
    <rPh sb="4" eb="6">
      <t>ヒョウジ</t>
    </rPh>
    <phoneticPr fontId="11"/>
  </si>
  <si>
    <t>Onload</t>
    <phoneticPr fontId="55"/>
  </si>
  <si>
    <t>サーバ</t>
  </si>
  <si>
    <t>証明書ダウンロード</t>
    <rPh sb="0" eb="3">
      <t>ショウメイショ</t>
    </rPh>
    <phoneticPr fontId="55"/>
  </si>
  <si>
    <t>Click</t>
    <phoneticPr fontId="55"/>
  </si>
  <si>
    <t>サーバ</t>
    <phoneticPr fontId="55"/>
  </si>
  <si>
    <t>ドキュメントダウンロード</t>
    <phoneticPr fontId="55"/>
  </si>
  <si>
    <t>利用可能な論理項目種別</t>
    <rPh sb="0" eb="11">
      <t>リヨウカノウロンリコウモクシュベツ</t>
    </rPh>
    <phoneticPr fontId="11"/>
  </si>
  <si>
    <t>固定/可変</t>
    <rPh sb="0" eb="2">
      <t>コテイ</t>
    </rPh>
    <rPh sb="3" eb="5">
      <t>カヘン</t>
    </rPh>
    <phoneticPr fontId="11"/>
  </si>
  <si>
    <t>Label</t>
    <phoneticPr fontId="11"/>
  </si>
  <si>
    <t>Fixed</t>
    <phoneticPr fontId="11"/>
  </si>
  <si>
    <t>Manual Operation Button</t>
    <phoneticPr fontId="11"/>
  </si>
  <si>
    <t>Variable</t>
    <phoneticPr fontId="11"/>
  </si>
  <si>
    <t>Image Button</t>
    <phoneticPr fontId="11"/>
  </si>
  <si>
    <t>Anchor Text</t>
    <phoneticPr fontId="11"/>
  </si>
  <si>
    <t>Textbox</t>
    <phoneticPr fontId="11"/>
  </si>
  <si>
    <t>Text Box (with spin button)</t>
    <phoneticPr fontId="11"/>
  </si>
  <si>
    <t>Password</t>
    <phoneticPr fontId="11"/>
  </si>
  <si>
    <t>Text Area</t>
    <phoneticPr fontId="11"/>
  </si>
  <si>
    <t>File field</t>
    <phoneticPr fontId="11"/>
  </si>
  <si>
    <t>Radio Button</t>
    <phoneticPr fontId="11"/>
  </si>
  <si>
    <t>Dropdown List</t>
    <phoneticPr fontId="11"/>
  </si>
  <si>
    <t>Checkbox</t>
    <phoneticPr fontId="11"/>
  </si>
  <si>
    <t>Calendar</t>
    <phoneticPr fontId="11"/>
  </si>
  <si>
    <t>Time Input</t>
    <phoneticPr fontId="11"/>
  </si>
  <si>
    <t>Loop Table</t>
    <phoneticPr fontId="11"/>
  </si>
  <si>
    <t>Image</t>
    <phoneticPr fontId="11"/>
  </si>
  <si>
    <t>Hidden Field</t>
    <phoneticPr fontId="11"/>
  </si>
  <si>
    <t>Included Screen</t>
    <phoneticPr fontId="11"/>
  </si>
  <si>
    <t>Text Output</t>
    <phoneticPr fontId="11"/>
  </si>
  <si>
    <t>Other</t>
    <phoneticPr fontId="11"/>
  </si>
  <si>
    <t xml:space="preserve">
ダウンロードボタンを押下すると、対応する証明書ファイルをダウンロードする。</t>
    <rPh sb="11" eb="13">
      <t>オウカ</t>
    </rPh>
    <rPh sb="17" eb="19">
      <t>タイオウ</t>
    </rPh>
    <rPh sb="21" eb="24">
      <t>ショウメイショ</t>
    </rPh>
    <phoneticPr fontId="55"/>
  </si>
  <si>
    <t xml:space="preserve">                    をクリックすると、化学物質のリクエスト内容を記載したCSVをダウンロードする</t>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</si>
  <si>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</si>
  <si>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</si>
  <si>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</si>
  <si>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</si>
  <si>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</si>
  <si>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</si>
  <si>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</si>
  <si>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</si>
  <si>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</si>
  <si>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</si>
  <si>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</si>
  <si>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</si>
  <si>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</si>
  <si>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</si>
  <si>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</si>
  <si>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</si>
  <si>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</si>
  <si>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</si>
  <si>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</si>
  <si>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</si>
  <si>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</si>
  <si>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r1.1</t>
    <phoneticPr fontId="49"/>
  </si>
  <si>
    <t>「化学物質データ画面(日英併記)」、「化学物質データ画面(日英切替)」シートを追加、「化学物質データ画面(日本語)」シートを削除</t>
    <rPh sb="31" eb="33">
      <t>キリカエ</t>
    </rPh>
    <rPh sb="39" eb="41">
      <t>ツイカ</t>
    </rPh>
    <rPh sb="53" eb="56">
      <t>ニホンゴ</t>
    </rPh>
    <rPh sb="62" eb="64">
      <t>サクジョ</t>
    </rPh>
    <phoneticPr fontId="49"/>
  </si>
  <si>
    <t>データ画面を日英併記と日英切替の2種類を作成</t>
    <rPh sb="3" eb="5">
      <t>ガメン</t>
    </rPh>
    <rPh sb="6" eb="8">
      <t>ニチエイ</t>
    </rPh>
    <rPh sb="8" eb="10">
      <t>ヘイキ</t>
    </rPh>
    <rPh sb="11" eb="13">
      <t>ニチエイ</t>
    </rPh>
    <rPh sb="13" eb="15">
      <t>キリカエ</t>
    </rPh>
    <rPh sb="17" eb="19">
      <t>シュルイ</t>
    </rPh>
    <rPh sb="20" eb="22">
      <t>サクセイ</t>
    </rPh>
    <phoneticPr fontId="49"/>
  </si>
  <si>
    <t>r1.2</t>
    <phoneticPr fontId="49"/>
  </si>
  <si>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</si>
  <si>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</si>
  <si>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</si>
  <si>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</si>
  <si>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①切替ボタンを押下して、お知らせエリア内の言語を日本語か英語に切り替える</t>
    <rPh sb="1" eb="3">
      <t>キリカエ</t>
    </rPh>
    <rPh sb="7" eb="9">
      <t>オウカ</t>
    </rPh>
    <rPh sb="13" eb="14">
      <t>シ</t>
    </rPh>
    <rPh sb="19" eb="20">
      <t>ナイ</t>
    </rPh>
    <rPh sb="21" eb="23">
      <t>ゲンゴ</t>
    </rPh>
    <rPh sb="24" eb="27">
      <t>ニホンゴ</t>
    </rPh>
    <rPh sb="28" eb="30">
      <t>エイゴ</t>
    </rPh>
    <rPh sb="31" eb="32">
      <t>キ</t>
    </rPh>
    <rPh sb="33" eb="34">
      <t>カ</t>
    </rPh>
    <phoneticPr fontId="5"/>
  </si>
  <si>
    <t>※採番については、2018年だけ2018-50000から採番する。</t>
    <phoneticPr fontId="53"/>
  </si>
  <si>
    <t>（上記の採番については本改修による変更は行わない）</t>
    <rPh sb="1" eb="3">
      <t>ジョウキ</t>
    </rPh>
    <rPh sb="4" eb="6">
      <t>サイバン</t>
    </rPh>
    <rPh sb="11" eb="12">
      <t>ホン</t>
    </rPh>
    <rPh sb="12" eb="14">
      <t>カイシュウ</t>
    </rPh>
    <rPh sb="17" eb="19">
      <t>ヘンコウ</t>
    </rPh>
    <rPh sb="20" eb="21">
      <t>オコナ</t>
    </rPh>
    <phoneticPr fontId="53"/>
  </si>
  <si>
    <t>ログイン時のユーザ情報を条件として申請履歴の検索結果が一覧表示される。1ページの上限は100件。</t>
    <rPh sb="4" eb="5">
      <t>ジ</t>
    </rPh>
    <rPh sb="9" eb="11">
      <t>ジョウホウ</t>
    </rPh>
    <rPh sb="12" eb="14">
      <t>ジョウケン</t>
    </rPh>
    <rPh sb="17" eb="21">
      <t>シンセイリレキ</t>
    </rPh>
    <rPh sb="22" eb="24">
      <t>ケンサク</t>
    </rPh>
    <rPh sb="24" eb="26">
      <t>ケッカ</t>
    </rPh>
    <rPh sb="27" eb="29">
      <t>イチラン</t>
    </rPh>
    <rPh sb="29" eb="31">
      <t>ヒョウジ</t>
    </rPh>
    <rPh sb="40" eb="42">
      <t>ジョウゲン</t>
    </rPh>
    <rPh sb="46" eb="47">
      <t>ケン</t>
    </rPh>
    <phoneticPr fontId="5"/>
  </si>
  <si>
    <t>NULL</t>
    <phoneticPr fontId="53"/>
  </si>
  <si>
    <t>クリックすると、化学物質データ申請画面に遷移する。</t>
    <rPh sb="20" eb="22">
      <t>センイ</t>
    </rPh>
    <phoneticPr fontId="5"/>
  </si>
  <si>
    <t>HrsChemicalSubstanceEntry.requestedCertificatesから同じ値が出力される</t>
    <rPh sb="49" eb="50">
      <t>オナ</t>
    </rPh>
    <rPh sb="51" eb="52">
      <t>アタイ</t>
    </rPh>
    <rPh sb="53" eb="55">
      <t>シュツリョク</t>
    </rPh>
    <phoneticPr fontId="5"/>
  </si>
  <si>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</si>
  <si>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</si>
  <si>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</si>
  <si>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</si>
  <si>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</si>
  <si>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</si>
  <si>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4.1</t>
    <phoneticPr fontId="55"/>
  </si>
  <si>
    <t>4.3</t>
  </si>
  <si>
    <t>4.4</t>
  </si>
  <si>
    <t>4.5</t>
  </si>
  <si>
    <t>製品販売状況</t>
    <rPh sb="0" eb="2">
      <t>セイヒン</t>
    </rPh>
    <rPh sb="2" eb="6">
      <t>ハンバイジョウキョウ</t>
    </rPh>
    <phoneticPr fontId="55"/>
  </si>
  <si>
    <t>申請履歴データ
　受付番号</t>
    <rPh sb="9" eb="11">
      <t>ウケツケ</t>
    </rPh>
    <rPh sb="11" eb="13">
      <t>バンゴウ</t>
    </rPh>
    <phoneticPr fontId="55"/>
  </si>
  <si>
    <t>申請履歴データ
　提出先企業名</t>
    <phoneticPr fontId="55"/>
  </si>
  <si>
    <t>申請履歴データ
　エンドユーザー</t>
    <phoneticPr fontId="55"/>
  </si>
  <si>
    <t>申請履歴データ
　申請日</t>
    <rPh sb="9" eb="11">
      <t>シンセイ</t>
    </rPh>
    <rPh sb="11" eb="12">
      <t>ビ</t>
    </rPh>
    <phoneticPr fontId="55"/>
  </si>
  <si>
    <t>申請履歴データ
　有効期限日</t>
    <rPh sb="9" eb="11">
      <t>ユウコウ</t>
    </rPh>
    <rPh sb="11" eb="13">
      <t>キゲン</t>
    </rPh>
    <rPh sb="13" eb="14">
      <t>ビ</t>
    </rPh>
    <phoneticPr fontId="55"/>
  </si>
  <si>
    <t>申請履歴データ
　ファイルサイズ</t>
    <phoneticPr fontId="55"/>
  </si>
  <si>
    <t>申請履歴データ
　ステータス</t>
    <phoneticPr fontId="55"/>
  </si>
  <si>
    <t>申請履歴データ
　ドキュメント</t>
    <phoneticPr fontId="55"/>
  </si>
  <si>
    <t xml:space="preserve">化学物質データ申請画面に遷移する。         </t>
    <phoneticPr fontId="55"/>
  </si>
  <si>
    <t>導出元：HrsChemicalSubstanceEntry.partNo
※値がない場合、"-"（ハイフン）を出力</t>
    <rPh sb="0" eb="2">
      <t>ドウシュツ</t>
    </rPh>
    <rPh sb="2" eb="3">
      <t>モト</t>
    </rPh>
    <rPh sb="38" eb="39">
      <t>アタイ</t>
    </rPh>
    <rPh sb="42" eb="44">
      <t>バアイ</t>
    </rPh>
    <rPh sb="55" eb="57">
      <t>シュツリョク</t>
    </rPh>
    <phoneticPr fontId="55"/>
  </si>
  <si>
    <t>導出元：HrsChemicalSubstanceEntry.clCode</t>
    <rPh sb="0" eb="2">
      <t>ドウシュツ</t>
    </rPh>
    <rPh sb="2" eb="3">
      <t>モト</t>
    </rPh>
    <phoneticPr fontId="55"/>
  </si>
  <si>
    <t>導出元：HrsChemicalSubstanceEntry.newProductClass
※値がない場合、"-"（ハイフン）を出力</t>
    <rPh sb="0" eb="2">
      <t>ドウシュツ</t>
    </rPh>
    <rPh sb="2" eb="3">
      <t>モト</t>
    </rPh>
    <rPh sb="47" eb="48">
      <t>アタイ</t>
    </rPh>
    <rPh sb="51" eb="53">
      <t>バアイ</t>
    </rPh>
    <rPh sb="64" eb="66">
      <t>シュツリョク</t>
    </rPh>
    <phoneticPr fontId="55"/>
  </si>
  <si>
    <t>導出元：HrsChemicalSubstanceEntry.productSalesStatusClass
※値がない場合、"-"（ハイフン）を出力</t>
    <rPh sb="0" eb="2">
      <t>ドウシュツ</t>
    </rPh>
    <rPh sb="2" eb="3">
      <t>モト</t>
    </rPh>
    <rPh sb="55" eb="56">
      <t>アタイ</t>
    </rPh>
    <rPh sb="59" eb="61">
      <t>バアイ</t>
    </rPh>
    <rPh sb="72" eb="74">
      <t>シュツリョク</t>
    </rPh>
    <phoneticPr fontId="55"/>
  </si>
  <si>
    <t>導出元：HrsChemicalSubstanceEntry.pcnNo
※値がない場合、"-"（ハイフン）を出力</t>
    <rPh sb="0" eb="2">
      <t>ドウシュツ</t>
    </rPh>
    <rPh sb="2" eb="3">
      <t>モト</t>
    </rPh>
    <rPh sb="37" eb="38">
      <t>アタイ</t>
    </rPh>
    <rPh sb="41" eb="43">
      <t>バアイ</t>
    </rPh>
    <rPh sb="54" eb="56">
      <t>シュツリョク</t>
    </rPh>
    <phoneticPr fontId="55"/>
  </si>
  <si>
    <t>導出元：HrsChemicalSubstanceEntry.requestedCertificates
例：YES/空白（何も出力しない）
（HrsChemicalSubstanceEntry.requestedCertificatesの値をAppEnumGroup.ChemicalSubstanceDataと照合する。対応する証明書存在する場合、「YES」を出力、存在しない場合、何も出力しない。）</t>
    <phoneticPr fontId="55"/>
  </si>
  <si>
    <t>導出元：ChemicalSubstanceStatus(processing/processed/unprocessed)
[HrsChemicalSubstance.status == ChemicalSubstanceStatus.processed]
　[現在日時 &lt; HrsChemicalSubstance.expDate]
　　　　　　　　　　　が表示され、クリックすることでファイルをダウンロード可能。
　[現在日時 &gt;= HrsChemicalSubstance.expDate]
    「有効期限切れ」を表示する
[HrsChemicalSubstance.status == ChemicalSubstanceStatus.processing]
    「処理中」を表示する</t>
    <rPh sb="181" eb="183">
      <t>ヒョウジ</t>
    </rPh>
    <rPh sb="206" eb="208">
      <t>カノウ</t>
    </rPh>
    <rPh sb="256" eb="258">
      <t>ユウコウ</t>
    </rPh>
    <rPh sb="258" eb="260">
      <t>キゲン</t>
    </rPh>
    <rPh sb="260" eb="261">
      <t>ギ</t>
    </rPh>
    <rPh sb="264" eb="266">
      <t>ヒョウジ</t>
    </rPh>
    <rPh sb="342" eb="345">
      <t>ショリチュウ</t>
    </rPh>
    <phoneticPr fontId="55"/>
  </si>
  <si>
    <t>本画面に移動</t>
    <rPh sb="0" eb="3">
      <t>ホンガメン</t>
    </rPh>
    <rPh sb="4" eb="6">
      <t>イドウ</t>
    </rPh>
    <phoneticPr fontId="53"/>
  </si>
  <si>
    <t>処理詳細</t>
    <rPh sb="0" eb="2">
      <t>ショリ</t>
    </rPh>
    <rPh sb="2" eb="4">
      <t>ショウサイ</t>
    </rPh>
    <phoneticPr fontId="11"/>
  </si>
  <si>
    <t>１）　化学物質の申請履歴情報の取得</t>
    <rPh sb="15" eb="17">
      <t>シュトク</t>
    </rPh>
    <phoneticPr fontId="55"/>
  </si>
  <si>
    <t>HrsChemicalSubstance、HrsChemicalSubstanceEntry</t>
    <phoneticPr fontId="55"/>
  </si>
  <si>
    <t>抽出条件</t>
    <rPh sb="0" eb="2">
      <t>チュウシュツ</t>
    </rPh>
    <rPh sb="2" eb="4">
      <t>ジョウケン</t>
    </rPh>
    <phoneticPr fontId="55"/>
  </si>
  <si>
    <t>HrsChemicalSubstance.appNo=検索結果対象明細.申請番号</t>
    <rPh sb="27" eb="29">
      <t>ケンサク</t>
    </rPh>
    <rPh sb="29" eb="31">
      <t>ケッカ</t>
    </rPh>
    <rPh sb="31" eb="33">
      <t>タイショウ</t>
    </rPh>
    <rPh sb="33" eb="35">
      <t>メイサイ</t>
    </rPh>
    <rPh sb="36" eb="38">
      <t>シンセイ</t>
    </rPh>
    <rPh sb="38" eb="40">
      <t>バンゴウ</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</si>
  <si>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</si>
  <si>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１－１）CSVヘッダーのファイル出力例と導出元</t>
    <phoneticPr fontId="55"/>
  </si>
  <si>
    <t>項目</t>
    <rPh sb="0" eb="2">
      <t>コウモク</t>
    </rPh>
    <phoneticPr fontId="55"/>
  </si>
  <si>
    <t>導出元(Source)</t>
    <rPh sb="0" eb="2">
      <t>ドウシュツ</t>
    </rPh>
    <rPh sb="2" eb="3">
      <t>モト</t>
    </rPh>
    <phoneticPr fontId="55"/>
  </si>
  <si>
    <t>CLコード</t>
    <phoneticPr fontId="55"/>
  </si>
  <si>
    <t>CL Code（固定）</t>
    <rPh sb="8" eb="10">
      <t>コテイ</t>
    </rPh>
    <phoneticPr fontId="55"/>
  </si>
  <si>
    <t>証明書種類</t>
    <rPh sb="3" eb="5">
      <t>シュルイ</t>
    </rPh>
    <phoneticPr fontId="55"/>
  </si>
  <si>
    <t>証明書種類画面表示順序（AppEnumGroup.ChemicalSubstanceDataで定義されたもの）</t>
    <rPh sb="0" eb="5">
      <t>ショウメイショシュルイ</t>
    </rPh>
    <rPh sb="5" eb="7">
      <t>ガメン</t>
    </rPh>
    <rPh sb="7" eb="9">
      <t>ヒョウジ</t>
    </rPh>
    <rPh sb="9" eb="11">
      <t>ジュンジョ</t>
    </rPh>
    <phoneticPr fontId="55"/>
  </si>
  <si>
    <t>１－２）CSV本文のファイル出力例と導出元</t>
    <rPh sb="7" eb="9">
      <t>ホンブン</t>
    </rPh>
    <phoneticPr fontId="55"/>
  </si>
  <si>
    <t>導出元(Source)</t>
    <phoneticPr fontId="55"/>
  </si>
  <si>
    <t>環境証明書申請詳細.CLコード（※１）から取得したデータ）</t>
    <rPh sb="0" eb="2">
      <t>カンキョウ</t>
    </rPh>
    <rPh sb="2" eb="5">
      <t>ショウメイショ</t>
    </rPh>
    <rPh sb="5" eb="7">
      <t>シンセイ</t>
    </rPh>
    <rPh sb="7" eb="9">
      <t>ショウサイ</t>
    </rPh>
    <rPh sb="21" eb="23">
      <t>シュトク</t>
    </rPh>
    <phoneticPr fontId="55"/>
  </si>
  <si>
    <t>証明書種類結果</t>
    <rPh sb="3" eb="5">
      <t>シュルイ</t>
    </rPh>
    <phoneticPr fontId="55"/>
  </si>
  <si>
    <t>対応する証明書がHrsChemicalSubstanceEntry.requestedCertificatesに存在する場合、「YES」を出力する。
対応する証明書がHrsChemicalSubstanceEntry.requestedCertificatesに存在しない場合、「ー」（ハイフォン）を出力する。</t>
    <rPh sb="0" eb="2">
      <t>タイオウ</t>
    </rPh>
    <rPh sb="56" eb="58">
      <t>ソンザイ</t>
    </rPh>
    <rPh sb="69" eb="71">
      <t>シュツリョク</t>
    </rPh>
    <phoneticPr fontId="55"/>
  </si>
  <si>
    <t>２）　申請書ダウンロード</t>
    <rPh sb="3" eb="6">
      <t>シンセイショ</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</si>
  <si>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</si>
  <si>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</si>
  <si>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</si>
  <si>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</si>
  <si>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4"/>
  </si>
  <si>
    <t>取得キーは、以下の通り。</t>
    <rPh sb="0" eb="2">
      <t>シュトク</t>
    </rPh>
    <rPh sb="6" eb="8">
      <t>イカ</t>
    </rPh>
    <rPh sb="9" eb="10">
      <t>トオ</t>
    </rPh>
    <phoneticPr fontId="85"/>
  </si>
  <si>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</si>
  <si>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</si>
  <si>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</si>
  <si>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</si>
  <si>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</si>
  <si>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</si>
  <si>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</si>
  <si>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</si>
  <si>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</si>
  <si>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</si>
  <si>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3）　初期表示時の検索処理</t>
    <rPh sb="3" eb="5">
      <t>ショキ</t>
    </rPh>
    <rPh sb="5" eb="7">
      <t>ヒョウジ</t>
    </rPh>
    <rPh sb="7" eb="8">
      <t>ジ</t>
    </rPh>
    <rPh sb="9" eb="11">
      <t>ケンサク</t>
    </rPh>
    <rPh sb="11" eb="13">
      <t>ショリ</t>
    </rPh>
    <phoneticPr fontId="55"/>
  </si>
  <si>
    <t>ログインユーザに紐付く申請履歴データを取得する。</t>
    <rPh sb="8" eb="9">
      <t>ヒモ</t>
    </rPh>
    <rPh sb="9" eb="10">
      <t>ツ</t>
    </rPh>
    <rPh sb="11" eb="13">
      <t>シンセイ</t>
    </rPh>
    <rPh sb="13" eb="15">
      <t>リレキ</t>
    </rPh>
    <rPh sb="19" eb="21">
      <t>シュトク</t>
    </rPh>
    <phoneticPr fontId="55"/>
  </si>
  <si>
    <t>HrsChemicalSubstance</t>
    <phoneticPr fontId="55"/>
  </si>
  <si>
    <t>HrsChemicalSubstance.member = ログインユーザ</t>
    <phoneticPr fontId="55"/>
  </si>
  <si>
    <t xml:space="preserve">検索結果が一覧表示される。1ページの上限は100件。    
受付が最新のものが最上位（日付降順）   
暦年-シーケンス番号   
*採番については、2019年だけ2018-50000から採番する。   
2020年以後は20xx-00000という形で採番される。   </t>
    <phoneticPr fontId="55"/>
  </si>
  <si>
    <t>HrsChemicalSubstance2EntryRelationテーブル</t>
    <phoneticPr fontId="55"/>
  </si>
  <si>
    <t>HrsChemicalSubstanceテーブル</t>
    <phoneticPr fontId="55"/>
  </si>
  <si>
    <t>・化学物質申請履歴データ検索処理を実行し、結果セットを検索結果エリアに表示する。
※検索処理は「処理詳細」：3）初期表示時の検索処理 を参照する
※100件を超える場合はページングを行うので、初期表示時は1ページ目を表示する。</t>
    <rPh sb="69" eb="70">
      <t>ケン</t>
    </rPh>
    <rPh sb="71" eb="72">
      <t>コ</t>
    </rPh>
    <rPh sb="74" eb="76">
      <t>バアイ</t>
    </rPh>
    <rPh sb="83" eb="84">
      <t>オコナ</t>
    </rPh>
    <rPh sb="88" eb="90">
      <t>ショキ</t>
    </rPh>
    <rPh sb="90" eb="92">
      <t>ヒョウジ</t>
    </rPh>
    <rPh sb="92" eb="93">
      <t>ジ</t>
    </rPh>
    <rPh sb="98" eb="99">
      <t>メ</t>
    </rPh>
    <rPh sb="100" eb="102">
      <t>ヒョウジ</t>
    </rPh>
    <phoneticPr fontId="55"/>
  </si>
  <si>
    <t>SVHC調査報告書</t>
    <rPh sb="4" eb="9">
      <t>チョウサホウコクショ</t>
    </rPh>
    <phoneticPr fontId="55"/>
  </si>
  <si>
    <t>化学物質データ / Chemical substance data</t>
    <rPh sb="0" eb="2">
      <t>カガク</t>
    </rPh>
    <rPh sb="2" eb="4">
      <t>ブッシツ</t>
    </rPh>
    <phoneticPr fontId="53"/>
  </si>
  <si>
    <t>①お知らせ管理画面で登録した文言を表示</t>
    <rPh sb="2" eb="3">
      <t>シ</t>
    </rPh>
    <rPh sb="5" eb="9">
      <t>カンリガメン</t>
    </rPh>
    <rPh sb="10" eb="12">
      <t>トウロク</t>
    </rPh>
    <rPh sb="14" eb="16">
      <t>モンゴン</t>
    </rPh>
    <rPh sb="17" eb="19">
      <t>ヒョウジ</t>
    </rPh>
    <phoneticPr fontId="5"/>
  </si>
  <si>
    <t>「化学物質データ画面(日英併記)」、「画面項目」「処理詳細」</t>
    <rPh sb="19" eb="21">
      <t>ガメン</t>
    </rPh>
    <rPh sb="21" eb="23">
      <t>コウモク</t>
    </rPh>
    <rPh sb="25" eb="29">
      <t>ショリショウサイ</t>
    </rPh>
    <phoneticPr fontId="4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</si>
</sst>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6">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s>
  <fills count="28">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theme="0" tint="-0.34998626667073579"/>
        <bgColor indexed="64"/>
      </patternFill>
    </fill>
  </fills>
  <borders count="65">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indexed="64"/>
      </left>
      <right/>
      <top style="thin">
        <color indexed="0"/>
      </top>
      <bottom style="thin">
        <color indexed="64"/>
      </bottom>
      <diagonal/>
    </border>
    <border>
      <left style="thin">
        <color indexed="64"/>
      </left>
      <right/>
      <top style="thin">
        <color indexed="0"/>
      </top>
      <bottom style="thin">
        <color indexed="0"/>
      </bottom>
      <diagonal/>
    </border>
    <border>
      <left style="thin">
        <color indexed="64"/>
      </left>
      <right/>
      <top style="thin">
        <color indexed="64"/>
      </top>
      <bottom style="thin">
        <color indexed="0"/>
      </bottom>
      <diagonal/>
    </border>
    <border>
      <left style="thin">
        <color indexed="0"/>
      </left>
      <right/>
      <top style="thin">
        <color indexed="64"/>
      </top>
      <bottom/>
      <diagonal/>
    </border>
    <border>
      <left/>
      <right style="thin">
        <color indexed="0"/>
      </right>
      <top style="thin">
        <color indexed="64"/>
      </top>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74">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0" fillId="14" borderId="0" xfId="0" applyFill="1" applyAlignment="1">
      <alignment vertical="center" wrapText="1"/>
    </xf>
    <xf numFmtId="49" fontId="19" fillId="10" borderId="15"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20" xfId="46" applyFont="1" applyFill="1" applyBorder="1" applyAlignment="1">
      <alignment horizontal="centerContinuous"/>
    </xf>
    <xf numFmtId="0" fontId="19" fillId="10" borderId="19"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6" xfId="46" applyFont="1" applyFill="1" applyBorder="1" applyAlignment="1">
      <alignment horizontal="centerContinuous"/>
    </xf>
    <xf numFmtId="0" fontId="60" fillId="10" borderId="9"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1"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6" xfId="46" applyFont="1" applyFill="1" applyBorder="1" applyAlignment="1">
      <alignment horizontal="center"/>
    </xf>
    <xf numFmtId="0" fontId="60" fillId="10" borderId="9"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0" fillId="10" borderId="21" xfId="46" applyFont="1" applyFill="1" applyBorder="1" applyAlignment="1">
      <alignment horizontal="center"/>
    </xf>
    <xf numFmtId="0" fontId="62" fillId="14" borderId="0" xfId="0" applyFont="1" applyFill="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1"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4"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7" xfId="161" applyFont="1" applyFill="1" applyBorder="1">
      <alignment vertical="center"/>
    </xf>
    <xf numFmtId="0" fontId="69" fillId="22" borderId="28" xfId="161" applyFont="1" applyFill="1" applyBorder="1">
      <alignment vertical="center"/>
    </xf>
    <xf numFmtId="0" fontId="69" fillId="22" borderId="28" xfId="161" quotePrefix="1" applyFont="1" applyFill="1" applyBorder="1">
      <alignment vertical="center"/>
    </xf>
    <xf numFmtId="0" fontId="69" fillId="22" borderId="28" xfId="161" applyFont="1" applyFill="1" applyBorder="1" applyAlignment="1">
      <alignment horizontal="center" vertical="center"/>
    </xf>
    <xf numFmtId="0" fontId="69" fillId="22" borderId="28" xfId="0" applyFont="1" applyFill="1" applyBorder="1">
      <alignment vertical="center"/>
    </xf>
    <xf numFmtId="0" fontId="69" fillId="22" borderId="28"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9" xfId="0" applyFont="1" applyFill="1" applyBorder="1" applyAlignment="1">
      <alignment horizontal="centerContinuous" vertical="center"/>
    </xf>
    <xf numFmtId="0" fontId="72" fillId="14" borderId="30" xfId="0" applyFont="1" applyFill="1" applyBorder="1" applyAlignment="1">
      <alignment horizontal="centerContinuous" vertical="center"/>
    </xf>
    <xf numFmtId="0" fontId="72" fillId="14" borderId="31" xfId="0" applyFont="1" applyFill="1" applyBorder="1" applyAlignment="1">
      <alignment horizontal="centerContinuous" vertical="center"/>
    </xf>
    <xf numFmtId="0" fontId="72" fillId="0" borderId="29" xfId="0" applyFont="1" applyBorder="1" applyAlignment="1">
      <alignment horizontal="centerContinuous" vertical="center"/>
    </xf>
    <xf numFmtId="0" fontId="72" fillId="0" borderId="30" xfId="0" applyFont="1" applyBorder="1" applyAlignment="1">
      <alignment horizontal="centerContinuous" vertical="center"/>
    </xf>
    <xf numFmtId="0" fontId="72" fillId="0" borderId="30" xfId="161" applyFont="1" applyBorder="1" applyAlignment="1">
      <alignment horizontal="centerContinuous" vertical="center"/>
    </xf>
    <xf numFmtId="0" fontId="72" fillId="0" borderId="31" xfId="161" applyFont="1" applyBorder="1" applyAlignment="1">
      <alignment horizontal="centerContinuous" vertical="center"/>
    </xf>
    <xf numFmtId="0" fontId="72" fillId="0" borderId="29" xfId="161" applyFont="1" applyBorder="1" applyAlignment="1">
      <alignment horizontal="centerContinuous" vertical="center"/>
    </xf>
    <xf numFmtId="0" fontId="72" fillId="0" borderId="31" xfId="0" quotePrefix="1" applyFont="1" applyBorder="1" applyAlignment="1">
      <alignment horizontal="centerContinuous" vertical="center"/>
    </xf>
    <xf numFmtId="0" fontId="72" fillId="0" borderId="31" xfId="0" applyFont="1" applyBorder="1" applyAlignment="1">
      <alignment horizontal="centerContinuous" vertical="center"/>
    </xf>
    <xf numFmtId="180" fontId="72" fillId="0" borderId="29" xfId="161" applyNumberFormat="1" applyFont="1" applyBorder="1" applyAlignment="1">
      <alignment horizontal="centerContinuous" vertical="center"/>
    </xf>
    <xf numFmtId="0" fontId="72" fillId="0" borderId="29"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1" xfId="161" applyFont="1" applyFill="1" applyBorder="1">
      <alignment vertical="center"/>
    </xf>
    <xf numFmtId="0" fontId="60" fillId="18" borderId="0" xfId="161" quotePrefix="1" applyFont="1" applyFill="1">
      <alignment vertical="center"/>
    </xf>
    <xf numFmtId="180" fontId="72" fillId="0" borderId="29"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23" borderId="0" xfId="0" applyFont="1" applyFill="1">
      <alignmen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0" fillId="10" borderId="25" xfId="46" applyFont="1" applyFill="1" applyBorder="1" applyAlignment="1">
      <alignment horizontal="center"/>
    </xf>
    <xf numFmtId="0" fontId="60" fillId="10" borderId="18" xfId="46" applyFont="1" applyFill="1" applyBorder="1" applyAlignment="1">
      <alignment horizontal="center"/>
    </xf>
    <xf numFmtId="0" fontId="60" fillId="10" borderId="39"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50" xfId="184" applyFont="1" applyBorder="1" applyAlignment="1" applyProtection="1">
      <alignment vertical="center" wrapText="1"/>
      <protection locked="0"/>
    </xf>
    <xf numFmtId="0" fontId="66" fillId="0" borderId="0" xfId="45" applyFont="1">
      <alignment vertical="center"/>
    </xf>
    <xf numFmtId="0" fontId="68" fillId="0" borderId="47" xfId="184" applyFont="1" applyBorder="1" applyAlignment="1">
      <alignment horizontal="left" vertical="center"/>
    </xf>
    <xf numFmtId="0" fontId="68" fillId="0" borderId="48" xfId="184" applyFont="1" applyBorder="1" applyAlignment="1">
      <alignment horizontal="left" vertical="center"/>
    </xf>
    <xf numFmtId="0" fontId="60" fillId="0" borderId="48" xfId="184" applyFont="1" applyBorder="1" applyAlignment="1">
      <alignment horizontal="left" vertical="center"/>
    </xf>
    <xf numFmtId="0" fontId="66" fillId="0" borderId="48" xfId="184" applyFont="1" applyBorder="1">
      <alignment vertical="center"/>
    </xf>
    <xf numFmtId="0" fontId="66" fillId="0" borderId="49" xfId="184" applyFont="1" applyBorder="1">
      <alignment vertical="center"/>
    </xf>
    <xf numFmtId="0" fontId="77" fillId="0" borderId="10" xfId="184" applyFont="1" applyBorder="1" applyProtection="1">
      <alignment vertical="center"/>
      <protection locked="0"/>
    </xf>
    <xf numFmtId="0" fontId="60" fillId="0" borderId="47" xfId="184" applyFont="1" applyBorder="1" applyAlignment="1">
      <alignment horizontal="left" vertical="center"/>
    </xf>
    <xf numFmtId="0" fontId="66" fillId="0" borderId="10" xfId="184" applyFont="1" applyBorder="1" applyProtection="1">
      <alignment vertical="center"/>
      <protection locked="0"/>
    </xf>
    <xf numFmtId="0" fontId="68" fillId="14" borderId="0" xfId="184" applyFont="1" applyFill="1">
      <alignment vertical="center"/>
    </xf>
    <xf numFmtId="0" fontId="78" fillId="14" borderId="0" xfId="184" applyFont="1" applyFill="1">
      <alignment vertical="center"/>
    </xf>
    <xf numFmtId="0" fontId="66" fillId="14" borderId="0" xfId="184" applyFont="1" applyFill="1" applyAlignment="1">
      <alignment vertical="center" wrapText="1"/>
    </xf>
    <xf numFmtId="0" fontId="65" fillId="14" borderId="0" xfId="184" applyFont="1" applyFill="1" applyAlignment="1">
      <alignment vertical="center" wrapText="1"/>
    </xf>
    <xf numFmtId="0" fontId="60" fillId="14" borderId="0" xfId="184" applyFont="1" applyFill="1" applyAlignment="1">
      <alignment vertical="center" wrapText="1"/>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53" xfId="46" applyFont="1" applyFill="1" applyBorder="1" applyAlignment="1">
      <alignment horizontal="center"/>
    </xf>
    <xf numFmtId="0" fontId="72" fillId="14" borderId="29" xfId="0" applyFont="1" applyFill="1" applyBorder="1" applyAlignment="1">
      <alignment horizontal="centerContinuous" vertical="center" wrapText="1"/>
    </xf>
    <xf numFmtId="0" fontId="72" fillId="0" borderId="29" xfId="0" applyFont="1" applyBorder="1" applyAlignment="1">
      <alignment horizontal="centerContinuous" vertical="center" wrapText="1"/>
    </xf>
    <xf numFmtId="0" fontId="83" fillId="14" borderId="0" xfId="0" applyFont="1" applyFill="1">
      <alignment vertical="center"/>
    </xf>
    <xf numFmtId="0" fontId="83" fillId="0" borderId="0" xfId="0" applyFont="1">
      <alignment vertical="center"/>
    </xf>
    <xf numFmtId="0" fontId="77" fillId="0" borderId="0" xfId="186" applyFont="1">
      <alignment vertical="center"/>
    </xf>
    <xf numFmtId="0" fontId="66" fillId="0" borderId="0" xfId="186" applyFont="1">
      <alignment vertical="center"/>
    </xf>
    <xf numFmtId="0" fontId="66" fillId="0" borderId="15" xfId="186" applyFont="1" applyBorder="1">
      <alignment vertical="center"/>
    </xf>
    <xf numFmtId="0" fontId="66" fillId="0" borderId="12" xfId="186" applyFont="1" applyBorder="1">
      <alignment vertical="center"/>
    </xf>
    <xf numFmtId="0" fontId="66" fillId="0" borderId="13" xfId="186" applyFont="1" applyBorder="1">
      <alignment vertical="center"/>
    </xf>
    <xf numFmtId="0" fontId="66" fillId="0" borderId="6" xfId="186" applyFont="1" applyBorder="1">
      <alignment vertical="center"/>
    </xf>
    <xf numFmtId="0" fontId="66" fillId="0" borderId="11" xfId="186" applyFont="1" applyBorder="1">
      <alignment vertical="center"/>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4" xfId="186" applyFont="1" applyBorder="1">
      <alignment vertical="center"/>
    </xf>
    <xf numFmtId="0" fontId="66" fillId="27" borderId="3" xfId="186" applyFont="1" applyFill="1" applyBorder="1" applyAlignment="1">
      <alignment horizontal="center" vertical="center"/>
    </xf>
    <xf numFmtId="0" fontId="77" fillId="25" borderId="22" xfId="186" applyFont="1" applyFill="1" applyBorder="1" applyAlignment="1">
      <alignment horizontal="center" vertical="center"/>
    </xf>
    <xf numFmtId="0" fontId="66" fillId="0" borderId="10"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7" xfId="186" applyFont="1" applyBorder="1" applyAlignment="1">
      <alignment horizontal="left" vertical="center" wrapText="1"/>
    </xf>
    <xf numFmtId="0" fontId="66" fillId="0" borderId="3" xfId="186" applyFont="1" applyBorder="1" applyAlignment="1">
      <alignment horizontal="center" vertical="center"/>
    </xf>
    <xf numFmtId="0" fontId="66" fillId="0" borderId="3" xfId="186" applyFont="1" applyBorder="1" applyAlignment="1">
      <alignment horizontal="left" vertical="center"/>
    </xf>
    <xf numFmtId="0" fontId="66" fillId="0" borderId="3" xfId="186" applyFont="1" applyBorder="1" applyAlignment="1">
      <alignment horizontal="left" vertical="center" wrapText="1"/>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9" fillId="0" borderId="0" xfId="48" applyFont="1" applyAlignment="1">
      <alignment horizontal="center" vertical="center" wrapText="1"/>
    </xf>
    <xf numFmtId="0" fontId="15" fillId="0" borderId="3" xfId="48" applyFont="1" applyBorder="1" applyAlignment="1">
      <alignment horizontal="center"/>
    </xf>
    <xf numFmtId="0" fontId="15" fillId="14" borderId="0" xfId="48" applyFont="1" applyFill="1" applyAlignment="1">
      <alignment horizontal="center"/>
    </xf>
    <xf numFmtId="0" fontId="19" fillId="0" borderId="0" xfId="48" applyFont="1" applyAlignment="1">
      <alignment horizontal="center" vertical="center"/>
    </xf>
    <xf numFmtId="14" fontId="51" fillId="0" borderId="3" xfId="0" applyNumberFormat="1" applyFont="1" applyBorder="1" applyAlignment="1">
      <alignment horizontal="center" vertical="center"/>
    </xf>
    <xf numFmtId="0" fontId="51" fillId="0" borderId="3"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22" xfId="0" applyFont="1" applyBorder="1">
      <alignment vertical="center"/>
    </xf>
    <xf numFmtId="0" fontId="0" fillId="0" borderId="3" xfId="0" applyBorder="1">
      <alignment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1" fillId="0" borderId="22" xfId="0" applyNumberFormat="1" applyFont="1" applyBorder="1" applyAlignment="1">
      <alignment horizontal="center" vertical="center"/>
    </xf>
    <xf numFmtId="0" fontId="51" fillId="0" borderId="22" xfId="0" applyFont="1" applyBorder="1" applyAlignment="1">
      <alignment horizontal="center" vertical="center"/>
    </xf>
    <xf numFmtId="0" fontId="51" fillId="0" borderId="10" xfId="0" applyFont="1" applyBorder="1" applyAlignment="1">
      <alignment vertical="center" wrapText="1"/>
    </xf>
    <xf numFmtId="0" fontId="51" fillId="0" borderId="2" xfId="0" applyFont="1" applyBorder="1">
      <alignment vertical="center"/>
    </xf>
    <xf numFmtId="0" fontId="51" fillId="0" borderId="17" xfId="0" applyFont="1" applyBorder="1">
      <alignment vertical="center"/>
    </xf>
    <xf numFmtId="0" fontId="51" fillId="0" borderId="15" xfId="0" applyFont="1" applyBorder="1" applyAlignment="1">
      <alignment horizontal="center" vertical="center"/>
    </xf>
    <xf numFmtId="0" fontId="51" fillId="0" borderId="13" xfId="0" applyFont="1" applyBorder="1" applyAlignment="1">
      <alignment horizontal="center" vertical="center"/>
    </xf>
    <xf numFmtId="0" fontId="0" fillId="0" borderId="3" xfId="0" applyBorder="1" applyAlignment="1">
      <alignment horizontal="center"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3"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18" fillId="12" borderId="3" xfId="48" applyFont="1" applyFill="1" applyBorder="1" applyAlignment="1">
      <alignment horizontal="left" vertical="center"/>
    </xf>
    <xf numFmtId="0" fontId="19" fillId="0" borderId="3" xfId="48" applyFont="1" applyBorder="1" applyAlignment="1">
      <alignment horizontal="left" vertical="center"/>
    </xf>
    <xf numFmtId="0" fontId="13" fillId="16" borderId="3" xfId="50" applyFill="1" applyBorder="1" applyAlignment="1">
      <alignment horizontal="left" vertical="center"/>
    </xf>
    <xf numFmtId="14" fontId="19" fillId="0" borderId="3" xfId="48" applyNumberFormat="1" applyFont="1" applyBorder="1" applyAlignment="1">
      <alignment horizontal="center" vertical="center"/>
    </xf>
    <xf numFmtId="0" fontId="51" fillId="14" borderId="15" xfId="0" applyFont="1" applyFill="1" applyBorder="1" applyAlignment="1">
      <alignment vertical="center" wrapText="1"/>
    </xf>
    <xf numFmtId="0" fontId="51" fillId="14" borderId="12" xfId="0" applyFont="1" applyFill="1" applyBorder="1" applyAlignment="1">
      <alignment vertical="center" wrapText="1"/>
    </xf>
    <xf numFmtId="0" fontId="51" fillId="14" borderId="13"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4" xfId="0" applyFont="1" applyFill="1" applyBorder="1" applyAlignment="1">
      <alignment vertical="center" wrapText="1"/>
    </xf>
    <xf numFmtId="0" fontId="18" fillId="15" borderId="24"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22"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19" fillId="0" borderId="3" xfId="48"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60" fillId="0" borderId="32" xfId="0" applyFont="1" applyBorder="1" applyAlignment="1">
      <alignment horizontal="center" vertical="center" wrapText="1"/>
    </xf>
    <xf numFmtId="0" fontId="60" fillId="0" borderId="32" xfId="0" quotePrefix="1" applyFont="1" applyBorder="1" applyAlignment="1">
      <alignment horizontal="center" vertical="center" wrapText="1"/>
    </xf>
    <xf numFmtId="0" fontId="60" fillId="21" borderId="33" xfId="0" applyFont="1" applyFill="1" applyBorder="1" applyAlignment="1">
      <alignment horizontal="center" vertical="center" wrapText="1"/>
    </xf>
    <xf numFmtId="0" fontId="60" fillId="21" borderId="34" xfId="0" applyFont="1" applyFill="1" applyBorder="1" applyAlignment="1">
      <alignment horizontal="center" vertical="center" wrapText="1"/>
    </xf>
    <xf numFmtId="0" fontId="60" fillId="21" borderId="35" xfId="0" applyFont="1" applyFill="1" applyBorder="1" applyAlignment="1">
      <alignment horizontal="center" vertical="center" wrapText="1"/>
    </xf>
    <xf numFmtId="0" fontId="60" fillId="21" borderId="36" xfId="0" applyFont="1" applyFill="1" applyBorder="1" applyAlignment="1">
      <alignment horizontal="center" vertical="center" wrapText="1"/>
    </xf>
    <xf numFmtId="0" fontId="60" fillId="21" borderId="37" xfId="0" applyFont="1" applyFill="1" applyBorder="1" applyAlignment="1">
      <alignment horizontal="center" vertical="center" wrapText="1"/>
    </xf>
    <xf numFmtId="0" fontId="60" fillId="21" borderId="38" xfId="0" applyFont="1" applyFill="1" applyBorder="1" applyAlignment="1">
      <alignment horizontal="center" vertical="center" wrapText="1"/>
    </xf>
    <xf numFmtId="17" fontId="60" fillId="0" borderId="32" xfId="0" quotePrefix="1" applyNumberFormat="1" applyFont="1" applyBorder="1" applyAlignment="1">
      <alignment horizontal="center" vertical="center" wrapText="1"/>
    </xf>
    <xf numFmtId="0" fontId="60" fillId="21" borderId="32" xfId="0" applyFont="1" applyFill="1" applyBorder="1" applyAlignment="1">
      <alignment horizontal="center" vertical="center" wrapText="1"/>
    </xf>
    <xf numFmtId="0" fontId="20" fillId="0" borderId="3" xfId="48" applyFont="1" applyBorder="1" applyAlignment="1">
      <alignment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54" xfId="0" applyFont="1" applyFill="1" applyBorder="1" applyAlignment="1">
      <alignment horizontal="center" vertical="center" wrapText="1"/>
    </xf>
    <xf numFmtId="0" fontId="69" fillId="22" borderId="55" xfId="0" applyFont="1" applyFill="1" applyBorder="1" applyAlignment="1">
      <alignment horizontal="center" vertical="center"/>
    </xf>
    <xf numFmtId="0" fontId="69" fillId="22" borderId="56" xfId="0" applyFont="1" applyFill="1" applyBorder="1" applyAlignment="1">
      <alignment horizontal="center" vertical="center"/>
    </xf>
    <xf numFmtId="0" fontId="69" fillId="22" borderId="57" xfId="0" applyFont="1" applyFill="1" applyBorder="1" applyAlignment="1">
      <alignment horizontal="center" vertical="center"/>
    </xf>
    <xf numFmtId="0" fontId="69" fillId="22" borderId="58" xfId="0" applyFont="1" applyFill="1" applyBorder="1" applyAlignment="1">
      <alignment horizontal="center" vertical="center"/>
    </xf>
    <xf numFmtId="0" fontId="69" fillId="22" borderId="59" xfId="0" applyFont="1"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179" fontId="69" fillId="14" borderId="0" xfId="161" quotePrefix="1" applyNumberFormat="1" applyFont="1" applyFill="1" applyAlignment="1">
      <alignment horizontal="right" vertical="center"/>
    </xf>
    <xf numFmtId="179" fontId="69" fillId="22" borderId="54" xfId="161" quotePrefix="1" applyNumberFormat="1" applyFont="1" applyFill="1" applyBorder="1" applyAlignment="1">
      <alignment horizontal="center" vertical="center" wrapText="1"/>
    </xf>
    <xf numFmtId="179" fontId="69" fillId="22" borderId="55" xfId="161" quotePrefix="1" applyNumberFormat="1" applyFont="1" applyFill="1" applyBorder="1" applyAlignment="1">
      <alignment horizontal="center" vertical="center"/>
    </xf>
    <xf numFmtId="179" fontId="69" fillId="22" borderId="56" xfId="161" quotePrefix="1" applyNumberFormat="1" applyFont="1" applyFill="1" applyBorder="1" applyAlignment="1">
      <alignment horizontal="center" vertical="center"/>
    </xf>
    <xf numFmtId="179" fontId="69" fillId="22" borderId="57" xfId="161" quotePrefix="1" applyNumberFormat="1" applyFont="1" applyFill="1" applyBorder="1" applyAlignment="1">
      <alignment horizontal="center" vertical="center"/>
    </xf>
    <xf numFmtId="179" fontId="69" fillId="22" borderId="58" xfId="161" quotePrefix="1" applyNumberFormat="1" applyFont="1" applyFill="1" applyBorder="1" applyAlignment="1">
      <alignment horizontal="center" vertical="center"/>
    </xf>
    <xf numFmtId="179" fontId="69" fillId="22" borderId="59" xfId="161" quotePrefix="1" applyNumberFormat="1" applyFont="1" applyFill="1" applyBorder="1" applyAlignment="1">
      <alignment horizontal="center" vertical="center"/>
    </xf>
    <xf numFmtId="0" fontId="69" fillId="22" borderId="54" xfId="161" applyFont="1" applyFill="1" applyBorder="1" applyAlignment="1">
      <alignment horizontal="center" vertical="center" wrapText="1"/>
    </xf>
    <xf numFmtId="0" fontId="69" fillId="22" borderId="55" xfId="161" applyFont="1" applyFill="1" applyBorder="1" applyAlignment="1">
      <alignment horizontal="center" vertical="center"/>
    </xf>
    <xf numFmtId="0" fontId="69" fillId="22" borderId="56" xfId="161" applyFont="1" applyFill="1" applyBorder="1" applyAlignment="1">
      <alignment horizontal="center" vertical="center"/>
    </xf>
    <xf numFmtId="0" fontId="69" fillId="22" borderId="57" xfId="161" applyFont="1" applyFill="1" applyBorder="1" applyAlignment="1">
      <alignment horizontal="center" vertical="center"/>
    </xf>
    <xf numFmtId="0" fontId="69" fillId="22" borderId="58" xfId="161" applyFont="1" applyFill="1" applyBorder="1" applyAlignment="1">
      <alignment horizontal="center" vertical="center"/>
    </xf>
    <xf numFmtId="0" fontId="69" fillId="22" borderId="59" xfId="161" applyFont="1" applyFill="1" applyBorder="1" applyAlignment="1">
      <alignment horizontal="center" vertical="center"/>
    </xf>
    <xf numFmtId="0" fontId="60" fillId="0" borderId="2" xfId="184" applyFont="1" applyBorder="1" applyAlignment="1">
      <alignment horizontal="center" vertical="center" shrinkToFit="1"/>
    </xf>
    <xf numFmtId="0" fontId="60" fillId="0" borderId="17" xfId="184" applyFont="1" applyBorder="1" applyAlignment="1">
      <alignment horizontal="center" vertical="center" shrinkToFit="1"/>
    </xf>
    <xf numFmtId="0" fontId="60" fillId="0" borderId="10" xfId="45" applyFont="1" applyBorder="1" applyAlignment="1">
      <alignment horizontal="center" vertical="center" wrapText="1"/>
    </xf>
    <xf numFmtId="0" fontId="60" fillId="0" borderId="17" xfId="45" applyFont="1" applyBorder="1" applyAlignment="1">
      <alignment horizontal="center" vertical="center" wrapText="1"/>
    </xf>
    <xf numFmtId="0" fontId="60" fillId="0" borderId="44"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10"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40" xfId="184" applyFont="1" applyBorder="1" applyAlignment="1">
      <alignment horizontal="center" vertical="center" wrapText="1"/>
    </xf>
    <xf numFmtId="0" fontId="60" fillId="0" borderId="44" xfId="184" applyFont="1" applyBorder="1" applyAlignment="1">
      <alignment horizontal="center" vertical="center" wrapText="1"/>
    </xf>
    <xf numFmtId="0" fontId="60" fillId="0" borderId="17" xfId="184" applyFont="1" applyBorder="1" applyAlignment="1">
      <alignment horizontal="center" vertical="center" wrapText="1"/>
    </xf>
    <xf numFmtId="0" fontId="60" fillId="0" borderId="10" xfId="184" applyFont="1" applyBorder="1" applyAlignment="1">
      <alignment horizontal="center" vertical="center" shrinkToFit="1"/>
    </xf>
    <xf numFmtId="0" fontId="60" fillId="14" borderId="10" xfId="184" applyFont="1" applyFill="1" applyBorder="1" applyAlignment="1">
      <alignment horizontal="left" vertical="center" wrapText="1"/>
    </xf>
    <xf numFmtId="0" fontId="60" fillId="14" borderId="2" xfId="184" applyFont="1" applyFill="1" applyBorder="1" applyAlignment="1">
      <alignment horizontal="left" vertical="center" wrapText="1"/>
    </xf>
    <xf numFmtId="0" fontId="60" fillId="14" borderId="17" xfId="184" applyFont="1" applyFill="1" applyBorder="1" applyAlignment="1">
      <alignment horizontal="left" vertical="center" wrapText="1"/>
    </xf>
    <xf numFmtId="0" fontId="60" fillId="0" borderId="45" xfId="45" applyFont="1" applyBorder="1" applyAlignment="1" applyProtection="1">
      <alignment vertical="center" wrapText="1"/>
      <protection locked="0"/>
    </xf>
    <xf numFmtId="0" fontId="60" fillId="0" borderId="46" xfId="45" applyFont="1" applyBorder="1" applyAlignment="1" applyProtection="1">
      <alignment vertical="center" wrapText="1"/>
      <protection locked="0"/>
    </xf>
    <xf numFmtId="0" fontId="60" fillId="0" borderId="44" xfId="45" applyFont="1" applyBorder="1" applyAlignment="1" applyProtection="1">
      <alignment horizontal="left" vertical="center" shrinkToFit="1"/>
      <protection locked="0"/>
    </xf>
    <xf numFmtId="0" fontId="60" fillId="0" borderId="2" xfId="45" applyFont="1" applyBorder="1" applyAlignment="1" applyProtection="1">
      <alignment horizontal="left" vertical="center" shrinkToFit="1"/>
      <protection locked="0"/>
    </xf>
    <xf numFmtId="0" fontId="60" fillId="0" borderId="40" xfId="45" applyFont="1" applyBorder="1" applyAlignment="1" applyProtection="1">
      <alignment horizontal="left" vertical="center" shrinkToFit="1"/>
      <protection locked="0"/>
    </xf>
    <xf numFmtId="0" fontId="60" fillId="0" borderId="2" xfId="45" applyFont="1" applyBorder="1" applyAlignment="1">
      <alignment horizontal="center" vertical="center" shrinkToFit="1"/>
    </xf>
    <xf numFmtId="0" fontId="60" fillId="0" borderId="17" xfId="45" applyFont="1" applyBorder="1" applyAlignment="1">
      <alignment horizontal="center" vertical="center" shrinkToFit="1"/>
    </xf>
    <xf numFmtId="0" fontId="60" fillId="0" borderId="10" xfId="45" applyFont="1" applyBorder="1" applyAlignment="1">
      <alignment horizontal="left" vertical="center" wrapText="1"/>
    </xf>
    <xf numFmtId="0" fontId="60" fillId="0" borderId="2" xfId="45" applyFont="1" applyBorder="1" applyAlignment="1">
      <alignment horizontal="left" vertical="center" wrapText="1"/>
    </xf>
    <xf numFmtId="0" fontId="60" fillId="0" borderId="17" xfId="45" applyFont="1" applyBorder="1" applyAlignment="1">
      <alignment horizontal="left" vertical="center" wrapText="1"/>
    </xf>
    <xf numFmtId="0" fontId="68" fillId="25" borderId="3" xfId="184" applyFont="1" applyFill="1" applyBorder="1" applyAlignment="1">
      <alignment horizontal="center" vertical="center"/>
    </xf>
    <xf numFmtId="0" fontId="78" fillId="24" borderId="15" xfId="184" applyFont="1" applyFill="1" applyBorder="1" applyAlignment="1">
      <alignment horizontal="center" vertical="center" wrapText="1"/>
    </xf>
    <xf numFmtId="0" fontId="78" fillId="24" borderId="13" xfId="184" applyFont="1" applyFill="1" applyBorder="1" applyAlignment="1">
      <alignment horizontal="center" vertical="center" wrapText="1"/>
    </xf>
    <xf numFmtId="0" fontId="78" fillId="24" borderId="7" xfId="184" applyFont="1" applyFill="1" applyBorder="1" applyAlignment="1">
      <alignment horizontal="center" vertical="center" wrapText="1"/>
    </xf>
    <xf numFmtId="0" fontId="78" fillId="24" borderId="14" xfId="184" applyFont="1" applyFill="1" applyBorder="1" applyAlignment="1">
      <alignment horizontal="center" vertical="center" wrapText="1"/>
    </xf>
    <xf numFmtId="0" fontId="68" fillId="24" borderId="15" xfId="184" applyFont="1" applyFill="1" applyBorder="1" applyAlignment="1" applyProtection="1">
      <alignment horizontal="center" vertical="center" wrapText="1"/>
      <protection locked="0"/>
    </xf>
    <xf numFmtId="0" fontId="68" fillId="24" borderId="12" xfId="184" applyFont="1" applyFill="1" applyBorder="1" applyAlignment="1" applyProtection="1">
      <alignment horizontal="center" vertical="center" wrapText="1"/>
      <protection locked="0"/>
    </xf>
    <xf numFmtId="0" fontId="68" fillId="24" borderId="7" xfId="184" applyFont="1" applyFill="1" applyBorder="1" applyAlignment="1" applyProtection="1">
      <alignment horizontal="center" vertical="center" wrapText="1"/>
      <protection locked="0"/>
    </xf>
    <xf numFmtId="0" fontId="68" fillId="24" borderId="8" xfId="184" applyFont="1" applyFill="1" applyBorder="1" applyAlignment="1" applyProtection="1">
      <alignment horizontal="center" vertical="center" wrapText="1"/>
      <protection locked="0"/>
    </xf>
    <xf numFmtId="0" fontId="68" fillId="24" borderId="15"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4" xfId="184" applyFont="1" applyFill="1" applyBorder="1" applyAlignment="1">
      <alignment horizontal="center" vertical="center" wrapText="1"/>
    </xf>
    <xf numFmtId="0" fontId="60" fillId="0" borderId="2" xfId="45" applyFont="1" applyBorder="1" applyAlignment="1">
      <alignment horizontal="center" vertical="center" wrapText="1"/>
    </xf>
    <xf numFmtId="0" fontId="60" fillId="0" borderId="40" xfId="45" applyFont="1" applyBorder="1" applyAlignment="1">
      <alignment horizontal="center" vertical="center" wrapText="1"/>
    </xf>
    <xf numFmtId="0" fontId="60" fillId="0" borderId="44" xfId="45" applyFont="1" applyBorder="1" applyAlignment="1">
      <alignment horizontal="center" vertical="center" wrapText="1"/>
    </xf>
    <xf numFmtId="0" fontId="60" fillId="0" borderId="10" xfId="45" applyFont="1" applyBorder="1" applyAlignment="1">
      <alignment horizontal="center" vertical="center" shrinkToFit="1"/>
    </xf>
    <xf numFmtId="0" fontId="60" fillId="0" borderId="44"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10"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7" xfId="184" applyFont="1" applyBorder="1" applyAlignment="1">
      <alignment horizontal="left" vertical="center" wrapText="1"/>
    </xf>
    <xf numFmtId="49" fontId="60" fillId="0" borderId="10" xfId="45" applyNumberFormat="1" applyFont="1" applyBorder="1" applyAlignment="1">
      <alignment horizontal="left" vertical="center" wrapText="1"/>
    </xf>
    <xf numFmtId="49" fontId="60" fillId="0" borderId="40" xfId="45" applyNumberFormat="1" applyFont="1" applyBorder="1" applyAlignment="1">
      <alignment horizontal="left" vertical="center" wrapText="1"/>
    </xf>
    <xf numFmtId="0" fontId="60" fillId="0" borderId="47" xfId="184" applyFont="1" applyBorder="1" applyAlignment="1" applyProtection="1">
      <alignment vertical="center" wrapText="1"/>
      <protection locked="0"/>
    </xf>
    <xf numFmtId="0" fontId="60" fillId="0" borderId="48" xfId="184" applyFont="1" applyBorder="1" applyAlignment="1" applyProtection="1">
      <alignment vertical="center" wrapText="1"/>
      <protection locked="0"/>
    </xf>
    <xf numFmtId="0" fontId="60" fillId="0" borderId="49"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top" wrapText="1"/>
    </xf>
    <xf numFmtId="0" fontId="60" fillId="0" borderId="2" xfId="184" applyFont="1" applyBorder="1" applyAlignment="1">
      <alignment horizontal="left" vertical="top" wrapText="1"/>
    </xf>
    <xf numFmtId="0" fontId="60" fillId="0" borderId="17" xfId="184" applyFont="1" applyBorder="1" applyAlignment="1">
      <alignment horizontal="left" vertical="top" wrapText="1"/>
    </xf>
    <xf numFmtId="0" fontId="60" fillId="0" borderId="40" xfId="45" applyFont="1" applyBorder="1" applyAlignment="1">
      <alignment horizontal="left" vertical="center" wrapText="1"/>
    </xf>
    <xf numFmtId="0" fontId="60" fillId="0" borderId="51" xfId="184" applyFont="1" applyBorder="1" applyAlignment="1" applyProtection="1">
      <alignment horizontal="left" vertical="center" wrapText="1"/>
      <protection locked="0"/>
    </xf>
    <xf numFmtId="0" fontId="60" fillId="0" borderId="52" xfId="184" applyFont="1" applyBorder="1" applyAlignment="1" applyProtection="1">
      <alignment horizontal="left" vertical="center" wrapText="1"/>
      <protection locked="0"/>
    </xf>
    <xf numFmtId="0" fontId="68" fillId="24" borderId="3" xfId="184" applyFont="1" applyFill="1" applyBorder="1" applyAlignment="1">
      <alignment horizontal="center" vertical="center" wrapText="1"/>
    </xf>
    <xf numFmtId="0" fontId="68" fillId="25" borderId="22" xfId="184" applyFont="1" applyFill="1" applyBorder="1" applyAlignment="1">
      <alignment horizontal="center" vertical="center"/>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78" fillId="24" borderId="12" xfId="184" applyFont="1" applyFill="1" applyBorder="1" applyAlignment="1">
      <alignment horizontal="center" vertical="center" wrapText="1"/>
    </xf>
    <xf numFmtId="0" fontId="78" fillId="24" borderId="8" xfId="184" applyFont="1" applyFill="1" applyBorder="1" applyAlignment="1">
      <alignment horizontal="center" vertical="center" wrapText="1"/>
    </xf>
    <xf numFmtId="0" fontId="66" fillId="26" borderId="3" xfId="186" applyFont="1" applyFill="1" applyBorder="1" applyAlignment="1">
      <alignment horizontal="left" vertical="center"/>
    </xf>
    <xf numFmtId="0" fontId="60" fillId="14" borderId="10" xfId="184" quotePrefix="1" applyFont="1" applyFill="1" applyBorder="1" applyAlignment="1">
      <alignment horizontal="left" vertical="center" wrapText="1"/>
    </xf>
    <xf numFmtId="0" fontId="60" fillId="14" borderId="2" xfId="184" quotePrefix="1" applyFont="1" applyFill="1" applyBorder="1" applyAlignment="1">
      <alignment horizontal="left" vertical="center" wrapText="1"/>
    </xf>
    <xf numFmtId="0" fontId="60" fillId="14" borderId="17" xfId="184" quotePrefix="1" applyFont="1" applyFill="1" applyBorder="1" applyAlignment="1">
      <alignment horizontal="left" vertical="center" wrapText="1"/>
    </xf>
    <xf numFmtId="0" fontId="60" fillId="0" borderId="44" xfId="184" applyFont="1" applyBorder="1" applyAlignment="1">
      <alignment horizontal="center" vertical="center" shrinkToFit="1"/>
    </xf>
    <xf numFmtId="0" fontId="60" fillId="14" borderId="60" xfId="184" applyFont="1" applyFill="1" applyBorder="1" applyAlignment="1" applyProtection="1">
      <alignment horizontal="left" vertical="center" wrapText="1"/>
      <protection locked="0"/>
    </xf>
    <xf numFmtId="0" fontId="60" fillId="14" borderId="51" xfId="184" applyFont="1" applyFill="1" applyBorder="1" applyAlignment="1" applyProtection="1">
      <alignment horizontal="left" vertical="center" wrapText="1"/>
      <protection locked="0"/>
    </xf>
    <xf numFmtId="0" fontId="60" fillId="14" borderId="61" xfId="184" applyFont="1" applyFill="1" applyBorder="1" applyAlignment="1" applyProtection="1">
      <alignment horizontal="left" vertical="center" wrapText="1"/>
      <protection locked="0"/>
    </xf>
    <xf numFmtId="0" fontId="60" fillId="14" borderId="48" xfId="184" applyFont="1" applyFill="1" applyBorder="1" applyAlignment="1" applyProtection="1">
      <alignment horizontal="left" vertical="center" wrapText="1"/>
      <protection locked="0"/>
    </xf>
    <xf numFmtId="0" fontId="60" fillId="14" borderId="49" xfId="184" applyFont="1" applyFill="1" applyBorder="1" applyAlignment="1" applyProtection="1">
      <alignment horizontal="left" vertical="center" wrapText="1"/>
      <protection locked="0"/>
    </xf>
    <xf numFmtId="0" fontId="60" fillId="0" borderId="44" xfId="45" applyFont="1" applyBorder="1" applyAlignment="1">
      <alignment horizontal="center" vertical="center" shrinkToFit="1"/>
    </xf>
    <xf numFmtId="0" fontId="60" fillId="0" borderId="62" xfId="45" applyFont="1" applyBorder="1" applyAlignment="1" applyProtection="1">
      <alignment vertical="center" wrapText="1"/>
      <protection locked="0"/>
    </xf>
    <xf numFmtId="0" fontId="68" fillId="24" borderId="13" xfId="184" applyFont="1" applyFill="1" applyBorder="1" applyAlignment="1" applyProtection="1">
      <alignment horizontal="center" vertical="center" wrapText="1"/>
      <protection locked="0"/>
    </xf>
    <xf numFmtId="0" fontId="68" fillId="24" borderId="14" xfId="184" applyFont="1" applyFill="1" applyBorder="1" applyAlignment="1" applyProtection="1">
      <alignment horizontal="center" vertical="center" wrapText="1"/>
      <protection locked="0"/>
    </xf>
    <xf numFmtId="0" fontId="60" fillId="0" borderId="63" xfId="184" applyFont="1" applyBorder="1" applyAlignment="1" applyProtection="1">
      <alignment vertical="center" wrapText="1"/>
      <protection locked="0"/>
    </xf>
    <xf numFmtId="0" fontId="60" fillId="0" borderId="12" xfId="184" applyFont="1" applyBorder="1" applyAlignment="1" applyProtection="1">
      <alignment vertical="center" wrapText="1"/>
      <protection locked="0"/>
    </xf>
    <xf numFmtId="0" fontId="60" fillId="0" borderId="64" xfId="184" applyFont="1" applyBorder="1" applyAlignment="1" applyProtection="1">
      <alignment vertical="center" wrapText="1"/>
      <protection locked="0"/>
    </xf>
    <xf numFmtId="0" fontId="60" fillId="0" borderId="3" xfId="184" applyFont="1" applyBorder="1" applyAlignment="1" applyProtection="1">
      <alignment vertical="center" wrapText="1"/>
      <protection locked="0"/>
    </xf>
    <xf numFmtId="0" fontId="67" fillId="0" borderId="26" xfId="161" quotePrefix="1" applyFont="1" applyBorder="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3">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20</xdr:row>
      <xdr:rowOff>95251</xdr:rowOff>
    </xdr:from>
    <xdr:to>
      <xdr:col>32</xdr:col>
      <xdr:colOff>38100</xdr:colOff>
      <xdr:row>23</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53976</xdr:colOff>
      <xdr:row>30</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57151</xdr:colOff>
      <xdr:row>30</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31</xdr:row>
      <xdr:rowOff>28575</xdr:rowOff>
    </xdr:from>
    <xdr:to>
      <xdr:col>44</xdr:col>
      <xdr:colOff>53975</xdr:colOff>
      <xdr:row>31</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32</xdr:row>
      <xdr:rowOff>28575</xdr:rowOff>
    </xdr:from>
    <xdr:to>
      <xdr:col>44</xdr:col>
      <xdr:colOff>57150</xdr:colOff>
      <xdr:row>32</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31</xdr:row>
      <xdr:rowOff>44450</xdr:rowOff>
    </xdr:from>
    <xdr:to>
      <xdr:col>37</xdr:col>
      <xdr:colOff>177800</xdr:colOff>
      <xdr:row>31</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9</xdr:row>
      <xdr:rowOff>19050</xdr:rowOff>
    </xdr:from>
    <xdr:to>
      <xdr:col>12</xdr:col>
      <xdr:colOff>171451</xdr:colOff>
      <xdr:row>10</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23</xdr:row>
      <xdr:rowOff>38100</xdr:rowOff>
    </xdr:from>
    <xdr:to>
      <xdr:col>7</xdr:col>
      <xdr:colOff>76200</xdr:colOff>
      <xdr:row>24</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26</xdr:row>
      <xdr:rowOff>66675</xdr:rowOff>
    </xdr:from>
    <xdr:to>
      <xdr:col>33</xdr:col>
      <xdr:colOff>141817</xdr:colOff>
      <xdr:row>27</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4552950" y="4473575"/>
          <a:ext cx="1564217" cy="174625"/>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24</xdr:row>
      <xdr:rowOff>161925</xdr:rowOff>
    </xdr:from>
    <xdr:to>
      <xdr:col>29</xdr:col>
      <xdr:colOff>0</xdr:colOff>
      <xdr:row>26</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26</xdr:row>
      <xdr:rowOff>76200</xdr:rowOff>
    </xdr:from>
    <xdr:to>
      <xdr:col>10</xdr:col>
      <xdr:colOff>92075</xdr:colOff>
      <xdr:row>27</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27</xdr:row>
      <xdr:rowOff>85725</xdr:rowOff>
    </xdr:from>
    <xdr:to>
      <xdr:col>5</xdr:col>
      <xdr:colOff>177800</xdr:colOff>
      <xdr:row>28</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27</xdr:row>
      <xdr:rowOff>123825</xdr:rowOff>
    </xdr:from>
    <xdr:to>
      <xdr:col>28</xdr:col>
      <xdr:colOff>15875</xdr:colOff>
      <xdr:row>28</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26</xdr:row>
      <xdr:rowOff>104775</xdr:rowOff>
    </xdr:from>
    <xdr:to>
      <xdr:col>24</xdr:col>
      <xdr:colOff>63500</xdr:colOff>
      <xdr:row>28</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26</xdr:row>
      <xdr:rowOff>95250</xdr:rowOff>
    </xdr:from>
    <xdr:to>
      <xdr:col>15</xdr:col>
      <xdr:colOff>53975</xdr:colOff>
      <xdr:row>28</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26</xdr:row>
      <xdr:rowOff>130175</xdr:rowOff>
    </xdr:from>
    <xdr:to>
      <xdr:col>37</xdr:col>
      <xdr:colOff>120650</xdr:colOff>
      <xdr:row>28</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27</xdr:row>
      <xdr:rowOff>95250</xdr:rowOff>
    </xdr:from>
    <xdr:to>
      <xdr:col>33</xdr:col>
      <xdr:colOff>76200</xdr:colOff>
      <xdr:row>28</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26</xdr:row>
      <xdr:rowOff>123824</xdr:rowOff>
    </xdr:from>
    <xdr:to>
      <xdr:col>20</xdr:col>
      <xdr:colOff>66676</xdr:colOff>
      <xdr:row>28</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27</xdr:row>
      <xdr:rowOff>123824</xdr:rowOff>
    </xdr:from>
    <xdr:to>
      <xdr:col>45</xdr:col>
      <xdr:colOff>130176</xdr:colOff>
      <xdr:row>33</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26</xdr:row>
      <xdr:rowOff>104775</xdr:rowOff>
    </xdr:from>
    <xdr:to>
      <xdr:col>43</xdr:col>
      <xdr:colOff>9525</xdr:colOff>
      <xdr:row>28</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20</xdr:row>
      <xdr:rowOff>59266</xdr:rowOff>
    </xdr:from>
    <xdr:to>
      <xdr:col>19</xdr:col>
      <xdr:colOff>20108</xdr:colOff>
      <xdr:row>21</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6</xdr:row>
      <xdr:rowOff>45508</xdr:rowOff>
    </xdr:from>
    <xdr:to>
      <xdr:col>11</xdr:col>
      <xdr:colOff>146052</xdr:colOff>
      <xdr:row>7</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36</xdr:row>
      <xdr:rowOff>85725</xdr:rowOff>
    </xdr:from>
    <xdr:to>
      <xdr:col>10</xdr:col>
      <xdr:colOff>19050</xdr:colOff>
      <xdr:row>37</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38099</xdr:colOff>
      <xdr:row>38</xdr:row>
      <xdr:rowOff>76198</xdr:rowOff>
    </xdr:from>
    <xdr:to>
      <xdr:col>48</xdr:col>
      <xdr:colOff>161924</xdr:colOff>
      <xdr:row>38</xdr:row>
      <xdr:rowOff>152399</xdr:rowOff>
    </xdr:to>
    <xdr:sp macro="" textlink="">
      <xdr:nvSpPr>
        <xdr:cNvPr id="28" name="右大かっこ 27">
          <a:extLst>
            <a:ext uri="{FF2B5EF4-FFF2-40B4-BE49-F238E27FC236}">
              <a16:creationId xmlns:a16="http://schemas.microsoft.com/office/drawing/2014/main" id="{84FEB974-09D2-486D-BFC5-66CE6ADF4D51}"/>
            </a:ext>
          </a:extLst>
        </xdr:cNvPr>
        <xdr:cNvSpPr/>
      </xdr:nvSpPr>
      <xdr:spPr>
        <a:xfrm rot="5400000" flipH="1">
          <a:off x="6307136" y="4008436"/>
          <a:ext cx="76201" cy="5013325"/>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57150</xdr:colOff>
      <xdr:row>38</xdr:row>
      <xdr:rowOff>66675</xdr:rowOff>
    </xdr:from>
    <xdr:to>
      <xdr:col>4</xdr:col>
      <xdr:colOff>114300</xdr:colOff>
      <xdr:row>39</xdr:row>
      <xdr:rowOff>104775</xdr:rowOff>
    </xdr:to>
    <xdr:sp macro="" textlink="">
      <xdr:nvSpPr>
        <xdr:cNvPr id="29" name="正方形/長方形 28">
          <a:extLst>
            <a:ext uri="{FF2B5EF4-FFF2-40B4-BE49-F238E27FC236}">
              <a16:creationId xmlns:a16="http://schemas.microsoft.com/office/drawing/2014/main" id="{F7C9DFF6-A6AD-4038-914D-AC10282B7C13}"/>
            </a:ext>
          </a:extLst>
        </xdr:cNvPr>
        <xdr:cNvSpPr/>
      </xdr:nvSpPr>
      <xdr:spPr>
        <a:xfrm>
          <a:off x="419100" y="6464300"/>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37</xdr:row>
      <xdr:rowOff>6350</xdr:rowOff>
    </xdr:from>
    <xdr:to>
      <xdr:col>36</xdr:col>
      <xdr:colOff>57150</xdr:colOff>
      <xdr:row>38</xdr:row>
      <xdr:rowOff>44450</xdr:rowOff>
    </xdr:to>
    <xdr:sp macro="" textlink="">
      <xdr:nvSpPr>
        <xdr:cNvPr id="30" name="正方形/長方形 29">
          <a:extLst>
            <a:ext uri="{FF2B5EF4-FFF2-40B4-BE49-F238E27FC236}">
              <a16:creationId xmlns:a16="http://schemas.microsoft.com/office/drawing/2014/main" id="{DB642E6B-DB0E-42FB-A28F-71D531BDC048}"/>
            </a:ext>
          </a:extLst>
        </xdr:cNvPr>
        <xdr:cNvSpPr/>
      </xdr:nvSpPr>
      <xdr:spPr>
        <a:xfrm>
          <a:off x="6153150" y="6219825"/>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152400</xdr:colOff>
      <xdr:row>38</xdr:row>
      <xdr:rowOff>15875</xdr:rowOff>
    </xdr:from>
    <xdr:to>
      <xdr:col>20</xdr:col>
      <xdr:colOff>28575</xdr:colOff>
      <xdr:row>39</xdr:row>
      <xdr:rowOff>53975</xdr:rowOff>
    </xdr:to>
    <xdr:sp macro="" textlink="">
      <xdr:nvSpPr>
        <xdr:cNvPr id="31" name="正方形/長方形 30">
          <a:extLst>
            <a:ext uri="{FF2B5EF4-FFF2-40B4-BE49-F238E27FC236}">
              <a16:creationId xmlns:a16="http://schemas.microsoft.com/office/drawing/2014/main" id="{339ACD2A-832A-4E33-B713-6AFD6F8A06CA}"/>
            </a:ext>
          </a:extLst>
        </xdr:cNvPr>
        <xdr:cNvSpPr/>
      </xdr:nvSpPr>
      <xdr:spPr>
        <a:xfrm>
          <a:off x="3228975" y="64166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139700</xdr:colOff>
      <xdr:row>37</xdr:row>
      <xdr:rowOff>161925</xdr:rowOff>
    </xdr:from>
    <xdr:to>
      <xdr:col>16</xdr:col>
      <xdr:colOff>15875</xdr:colOff>
      <xdr:row>39</xdr:row>
      <xdr:rowOff>9525</xdr:rowOff>
    </xdr:to>
    <xdr:sp macro="" textlink="">
      <xdr:nvSpPr>
        <xdr:cNvPr id="32" name="正方形/長方形 31">
          <a:extLst>
            <a:ext uri="{FF2B5EF4-FFF2-40B4-BE49-F238E27FC236}">
              <a16:creationId xmlns:a16="http://schemas.microsoft.com/office/drawing/2014/main" id="{2196D2FE-31DF-4B02-812D-AC21C33E76BD}"/>
            </a:ext>
          </a:extLst>
        </xdr:cNvPr>
        <xdr:cNvSpPr/>
      </xdr:nvSpPr>
      <xdr:spPr>
        <a:xfrm>
          <a:off x="2495550" y="6369050"/>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161925</xdr:colOff>
      <xdr:row>38</xdr:row>
      <xdr:rowOff>34925</xdr:rowOff>
    </xdr:from>
    <xdr:to>
      <xdr:col>12</xdr:col>
      <xdr:colOff>38100</xdr:colOff>
      <xdr:row>39</xdr:row>
      <xdr:rowOff>73025</xdr:rowOff>
    </xdr:to>
    <xdr:sp macro="" textlink="">
      <xdr:nvSpPr>
        <xdr:cNvPr id="33" name="正方形/長方形 32">
          <a:extLst>
            <a:ext uri="{FF2B5EF4-FFF2-40B4-BE49-F238E27FC236}">
              <a16:creationId xmlns:a16="http://schemas.microsoft.com/office/drawing/2014/main" id="{711ECB34-D7D2-4627-B9BE-566A865F0BA5}"/>
            </a:ext>
          </a:extLst>
        </xdr:cNvPr>
        <xdr:cNvSpPr/>
      </xdr:nvSpPr>
      <xdr:spPr>
        <a:xfrm>
          <a:off x="1787525" y="6435725"/>
          <a:ext cx="42227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152400</xdr:colOff>
      <xdr:row>38</xdr:row>
      <xdr:rowOff>63500</xdr:rowOff>
    </xdr:from>
    <xdr:to>
      <xdr:col>8</xdr:col>
      <xdr:colOff>28575</xdr:colOff>
      <xdr:row>39</xdr:row>
      <xdr:rowOff>101600</xdr:rowOff>
    </xdr:to>
    <xdr:sp macro="" textlink="">
      <xdr:nvSpPr>
        <xdr:cNvPr id="34" name="正方形/長方形 33">
          <a:extLst>
            <a:ext uri="{FF2B5EF4-FFF2-40B4-BE49-F238E27FC236}">
              <a16:creationId xmlns:a16="http://schemas.microsoft.com/office/drawing/2014/main" id="{261251B0-0D73-498F-A419-7BCD29408ECB}"/>
            </a:ext>
          </a:extLst>
        </xdr:cNvPr>
        <xdr:cNvSpPr/>
      </xdr:nvSpPr>
      <xdr:spPr>
        <a:xfrm>
          <a:off x="1057275" y="64674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10</xdr:row>
      <xdr:rowOff>134407</xdr:rowOff>
    </xdr:from>
    <xdr:to>
      <xdr:col>44</xdr:col>
      <xdr:colOff>29634</xdr:colOff>
      <xdr:row>12</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7079192" y="1896532"/>
          <a:ext cx="910167" cy="281518"/>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9</xdr:row>
      <xdr:rowOff>21166</xdr:rowOff>
    </xdr:from>
    <xdr:to>
      <xdr:col>39</xdr:col>
      <xdr:colOff>8466</xdr:colOff>
      <xdr:row>10</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85</xdr:col>
      <xdr:colOff>77258</xdr:colOff>
      <xdr:row>30</xdr:row>
      <xdr:rowOff>202142</xdr:rowOff>
    </xdr:from>
    <xdr:to>
      <xdr:col>95</xdr:col>
      <xdr:colOff>164748</xdr:colOff>
      <xdr:row>38</xdr:row>
      <xdr:rowOff>152400</xdr:rowOff>
    </xdr:to>
    <xdr:sp macro="" textlink="">
      <xdr:nvSpPr>
        <xdr:cNvPr id="44" name="正方形/長方形 43">
          <a:extLst>
            <a:ext uri="{FF2B5EF4-FFF2-40B4-BE49-F238E27FC236}">
              <a16:creationId xmlns:a16="http://schemas.microsoft.com/office/drawing/2014/main" id="{9C2480E4-3F68-477C-A989-BB4D045B3D68}"/>
            </a:ext>
          </a:extLst>
        </xdr:cNvPr>
        <xdr:cNvSpPr/>
      </xdr:nvSpPr>
      <xdr:spPr>
        <a:xfrm>
          <a:off x="17079383" y="5202767"/>
          <a:ext cx="2087740" cy="1464733"/>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検索のトリガは？</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受付最新とはテーブルに受付日があると思うが</a:t>
          </a:r>
          <a:r>
            <a:rPr kumimoji="1" lang="en-US" altLang="ja-JP" sz="800">
              <a:solidFill>
                <a:sysClr val="windowText" lastClr="000000"/>
              </a:solidFill>
            </a:rPr>
            <a:t>ER</a:t>
          </a:r>
          <a:r>
            <a:rPr kumimoji="1" lang="ja-JP" altLang="en-US" sz="800">
              <a:solidFill>
                <a:sysClr val="windowText" lastClr="000000"/>
              </a:solidFill>
            </a:rPr>
            <a:t>図が無いと分からない。</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2018</a:t>
          </a:r>
          <a:r>
            <a:rPr kumimoji="1" lang="ja-JP" altLang="en-US" sz="800">
              <a:solidFill>
                <a:sysClr val="windowText" lastClr="000000"/>
              </a:solidFill>
            </a:rPr>
            <a:t>年の採番ルールについては今回のシステムとは関係ないと思うので、その旨を記載してください</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5/12</a:t>
          </a:r>
          <a:r>
            <a:rPr kumimoji="1" lang="en-US" altLang="ja-JP" sz="800" baseline="0">
              <a:solidFill>
                <a:sysClr val="windowText" lastClr="000000"/>
              </a:solidFill>
            </a:rPr>
            <a:t> </a:t>
          </a:r>
          <a:r>
            <a:rPr kumimoji="1" lang="ja-JP" altLang="en-US" sz="800" baseline="0">
              <a:solidFill>
                <a:sysClr val="windowText" lastClr="000000"/>
              </a:solidFill>
            </a:rPr>
            <a:t>古竹追記</a:t>
          </a:r>
          <a:endParaRPr kumimoji="1" lang="en-US" altLang="ja-JP" sz="800" baseline="0">
            <a:solidFill>
              <a:sysClr val="windowText" lastClr="000000"/>
            </a:solidFill>
          </a:endParaRPr>
        </a:p>
        <a:p>
          <a:pPr algn="l">
            <a:lnSpc>
              <a:spcPts val="900"/>
            </a:lnSpc>
          </a:pPr>
          <a:r>
            <a:rPr kumimoji="1" lang="ja-JP" altLang="en-US" sz="800" baseline="0">
              <a:solidFill>
                <a:sysClr val="windowText" lastClr="000000"/>
              </a:solidFill>
            </a:rPr>
            <a:t>検索トリガについての記載を追加</a:t>
          </a:r>
          <a:endParaRPr kumimoji="1" lang="en-US" altLang="ja-JP" sz="800" baseline="0">
            <a:solidFill>
              <a:sysClr val="windowText" lastClr="000000"/>
            </a:solidFill>
          </a:endParaRPr>
        </a:p>
        <a:p>
          <a:pPr algn="l">
            <a:lnSpc>
              <a:spcPts val="900"/>
            </a:lnSpc>
          </a:pPr>
          <a:r>
            <a:rPr kumimoji="1" lang="en-US" altLang="ja-JP" sz="800" baseline="0">
              <a:solidFill>
                <a:sysClr val="windowText" lastClr="000000"/>
              </a:solidFill>
            </a:rPr>
            <a:t>ER</a:t>
          </a:r>
          <a:r>
            <a:rPr kumimoji="1" lang="ja-JP" altLang="en-US" sz="800" baseline="0">
              <a:solidFill>
                <a:sysClr val="windowText" lastClr="000000"/>
              </a:solidFill>
            </a:rPr>
            <a:t>図は連携依頼中</a:t>
          </a:r>
          <a:endParaRPr kumimoji="1" lang="en-US" altLang="ja-JP" sz="800" baseline="0">
            <a:solidFill>
              <a:sysClr val="windowText" lastClr="000000"/>
            </a:solidFill>
          </a:endParaRPr>
        </a:p>
        <a:p>
          <a:pPr algn="l">
            <a:lnSpc>
              <a:spcPts val="900"/>
            </a:lnSpc>
          </a:pPr>
          <a:r>
            <a:rPr kumimoji="1" lang="ja-JP" altLang="en-US" sz="800" baseline="0">
              <a:solidFill>
                <a:sysClr val="windowText" lastClr="000000"/>
              </a:solidFill>
            </a:rPr>
            <a:t>採番について無関係の記載を追加</a:t>
          </a:r>
        </a:p>
      </xdr:txBody>
    </xdr:sp>
    <xdr:clientData/>
  </xdr:twoCellAnchor>
  <xdr:twoCellAnchor>
    <xdr:from>
      <xdr:col>73</xdr:col>
      <xdr:colOff>38099</xdr:colOff>
      <xdr:row>57</xdr:row>
      <xdr:rowOff>59266</xdr:rowOff>
    </xdr:from>
    <xdr:to>
      <xdr:col>85</xdr:col>
      <xdr:colOff>28574</xdr:colOff>
      <xdr:row>64</xdr:row>
      <xdr:rowOff>104775</xdr:rowOff>
    </xdr:to>
    <xdr:sp macro="" textlink="">
      <xdr:nvSpPr>
        <xdr:cNvPr id="46" name="正方形/長方形 45">
          <a:extLst>
            <a:ext uri="{FF2B5EF4-FFF2-40B4-BE49-F238E27FC236}">
              <a16:creationId xmlns:a16="http://schemas.microsoft.com/office/drawing/2014/main" id="{DE4520C7-28D8-460A-B5C0-A81DCB0725E8}"/>
            </a:ext>
          </a:extLst>
        </xdr:cNvPr>
        <xdr:cNvSpPr/>
      </xdr:nvSpPr>
      <xdr:spPr>
        <a:xfrm>
          <a:off x="14639924" y="10355791"/>
          <a:ext cx="2390775" cy="1417109"/>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申請ありなしはどう判定する？</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5/12 </a:t>
          </a:r>
          <a:r>
            <a:rPr kumimoji="1" lang="ja-JP" altLang="en-US" sz="800">
              <a:solidFill>
                <a:sysClr val="windowText" lastClr="000000"/>
              </a:solidFill>
            </a:rPr>
            <a:t>古竹追記</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導出元を追記しました。</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r>
            <a:rPr kumimoji="1" lang="en-US" altLang="ja-JP" sz="800">
              <a:solidFill>
                <a:srgbClr val="FF0000"/>
              </a:solidFill>
            </a:rPr>
            <a:t>5/13 </a:t>
          </a:r>
          <a:r>
            <a:rPr kumimoji="1" lang="ja-JP" altLang="en-US" sz="800">
              <a:solidFill>
                <a:srgbClr val="FF0000"/>
              </a:solidFill>
            </a:rPr>
            <a:t>榎本</a:t>
          </a:r>
          <a:endParaRPr kumimoji="1" lang="en-US" altLang="ja-JP" sz="800">
            <a:solidFill>
              <a:srgbClr val="FF0000"/>
            </a:solidFill>
          </a:endParaRPr>
        </a:p>
        <a:p>
          <a:pPr algn="l">
            <a:lnSpc>
              <a:spcPts val="900"/>
            </a:lnSpc>
          </a:pPr>
          <a:r>
            <a:rPr kumimoji="1" lang="ja-JP" altLang="en-US" sz="800">
              <a:solidFill>
                <a:srgbClr val="FF0000"/>
              </a:solidFill>
            </a:rPr>
            <a:t>この詳細は「</a:t>
          </a:r>
          <a:r>
            <a:rPr kumimoji="1" lang="en-US" altLang="ja-JP" sz="800">
              <a:solidFill>
                <a:srgbClr val="FF0000"/>
              </a:solidFill>
            </a:rPr>
            <a:t>SERP100_</a:t>
          </a:r>
          <a:r>
            <a:rPr kumimoji="1" lang="ja-JP" altLang="en-US" sz="800">
              <a:solidFill>
                <a:srgbClr val="FF0000"/>
              </a:solidFill>
            </a:rPr>
            <a:t>帳票定義書</a:t>
          </a:r>
          <a:r>
            <a:rPr kumimoji="1" lang="en-US" altLang="ja-JP" sz="800">
              <a:solidFill>
                <a:srgbClr val="FF0000"/>
              </a:solidFill>
            </a:rPr>
            <a:t>_</a:t>
          </a:r>
          <a:r>
            <a:rPr kumimoji="1" lang="ja-JP" altLang="en-US" sz="800">
              <a:solidFill>
                <a:srgbClr val="FF0000"/>
              </a:solidFill>
            </a:rPr>
            <a:t>環境証明書申請内容</a:t>
          </a:r>
          <a:r>
            <a:rPr kumimoji="1" lang="en-US" altLang="ja-JP" sz="800">
              <a:solidFill>
                <a:srgbClr val="FF0000"/>
              </a:solidFill>
            </a:rPr>
            <a:t>.xlsx</a:t>
          </a:r>
          <a:r>
            <a:rPr kumimoji="1" lang="ja-JP" altLang="en-US" sz="800">
              <a:solidFill>
                <a:srgbClr val="FF0000"/>
              </a:solidFill>
            </a:rPr>
            <a:t>」に記載されているので、該当ファイルを参照のこと、とだけ記載してください。</a:t>
          </a:r>
          <a:endParaRPr kumimoji="1" lang="en-US" altLang="ja-JP" sz="800">
            <a:solidFill>
              <a:srgbClr val="FF0000"/>
            </a:solidFill>
          </a:endParaRPr>
        </a:p>
        <a:p>
          <a:pPr algn="l">
            <a:lnSpc>
              <a:spcPts val="900"/>
            </a:lnSpc>
          </a:pPr>
          <a:endParaRPr kumimoji="1" lang="en-US" altLang="ja-JP" sz="800">
            <a:solidFill>
              <a:srgbClr val="FF0000"/>
            </a:solidFill>
          </a:endParaRPr>
        </a:p>
        <a:p>
          <a:pPr algn="l">
            <a:lnSpc>
              <a:spcPts val="900"/>
            </a:lnSpc>
          </a:pPr>
          <a:endParaRPr kumimoji="1" lang="ja-JP" altLang="en-US" sz="800">
            <a:solidFill>
              <a:sysClr val="windowText" lastClr="00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28918</xdr:colOff>
      <xdr:row>19</xdr:row>
      <xdr:rowOff>637836</xdr:rowOff>
    </xdr:from>
    <xdr:to>
      <xdr:col>41</xdr:col>
      <xdr:colOff>71440</xdr:colOff>
      <xdr:row>19</xdr:row>
      <xdr:rowOff>957150</xdr:rowOff>
    </xdr:to>
    <xdr:grpSp>
      <xdr:nvGrpSpPr>
        <xdr:cNvPr id="2" name="グループ化 1">
          <a:extLst>
            <a:ext uri="{FF2B5EF4-FFF2-40B4-BE49-F238E27FC236}">
              <a16:creationId xmlns:a16="http://schemas.microsoft.com/office/drawing/2014/main" id="{DECAFAD5-3809-48BF-8ECA-5544A1EE8B2E}"/>
            </a:ext>
          </a:extLst>
        </xdr:cNvPr>
        <xdr:cNvGrpSpPr/>
      </xdr:nvGrpSpPr>
      <xdr:grpSpPr>
        <a:xfrm>
          <a:off x="6841410" y="7668344"/>
          <a:ext cx="550522" cy="319314"/>
          <a:chOff x="8931542" y="11352484"/>
          <a:chExt cx="668543" cy="278702"/>
        </a:xfrm>
      </xdr:grpSpPr>
      <xdr:pic>
        <xdr:nvPicPr>
          <xdr:cNvPr id="3" name="図 2">
            <a:extLst>
              <a:ext uri="{FF2B5EF4-FFF2-40B4-BE49-F238E27FC236}">
                <a16:creationId xmlns:a16="http://schemas.microsoft.com/office/drawing/2014/main" id="{9956B9AA-3601-1CB9-811C-AFED339C69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4" name="正方形/長方形 3">
            <a:extLst>
              <a:ext uri="{FF2B5EF4-FFF2-40B4-BE49-F238E27FC236}">
                <a16:creationId xmlns:a16="http://schemas.microsoft.com/office/drawing/2014/main" id="{36B61F46-26C8-C7D2-FBE1-268CB82D152C}"/>
              </a:ext>
            </a:extLst>
          </xdr:cNvPr>
          <xdr:cNvSpPr/>
        </xdr:nvSpPr>
        <xdr:spPr>
          <a:xfrm>
            <a:off x="8931542" y="11371527"/>
            <a:ext cx="668543" cy="2596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37</xdr:col>
      <xdr:colOff>95250</xdr:colOff>
      <xdr:row>20</xdr:row>
      <xdr:rowOff>54429</xdr:rowOff>
    </xdr:from>
    <xdr:to>
      <xdr:col>41</xdr:col>
      <xdr:colOff>6550</xdr:colOff>
      <xdr:row>20</xdr:row>
      <xdr:rowOff>256731</xdr:rowOff>
    </xdr:to>
    <xdr:sp macro="" textlink="">
      <xdr:nvSpPr>
        <xdr:cNvPr id="9" name="正方形/長方形 8">
          <a:extLst>
            <a:ext uri="{FF2B5EF4-FFF2-40B4-BE49-F238E27FC236}">
              <a16:creationId xmlns:a16="http://schemas.microsoft.com/office/drawing/2014/main" id="{671980EF-E650-4FB4-A370-5226F4040192}"/>
            </a:ext>
          </a:extLst>
        </xdr:cNvPr>
        <xdr:cNvSpPr/>
      </xdr:nvSpPr>
      <xdr:spPr bwMode="auto">
        <a:xfrm>
          <a:off x="11423650" y="10074729"/>
          <a:ext cx="622500" cy="202302"/>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xdr:from>
      <xdr:col>66</xdr:col>
      <xdr:colOff>74083</xdr:colOff>
      <xdr:row>19</xdr:row>
      <xdr:rowOff>285750</xdr:rowOff>
    </xdr:from>
    <xdr:to>
      <xdr:col>84</xdr:col>
      <xdr:colOff>122313</xdr:colOff>
      <xdr:row>19</xdr:row>
      <xdr:rowOff>1386417</xdr:rowOff>
    </xdr:to>
    <xdr:sp macro="" textlink="">
      <xdr:nvSpPr>
        <xdr:cNvPr id="11" name="正方形/長方形 10">
          <a:extLst>
            <a:ext uri="{FF2B5EF4-FFF2-40B4-BE49-F238E27FC236}">
              <a16:creationId xmlns:a16="http://schemas.microsoft.com/office/drawing/2014/main" id="{5AD78E29-A606-4412-B17B-84A00240BE9A}"/>
            </a:ext>
          </a:extLst>
        </xdr:cNvPr>
        <xdr:cNvSpPr/>
      </xdr:nvSpPr>
      <xdr:spPr>
        <a:xfrm>
          <a:off x="11631083" y="7313083"/>
          <a:ext cx="3096230" cy="1100667"/>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HrsChemicalSubstance</a:t>
          </a:r>
          <a:r>
            <a:rPr kumimoji="1" lang="ja-JP" altLang="en-US" sz="800">
              <a:solidFill>
                <a:sysClr val="windowText" lastClr="000000"/>
              </a:solidFill>
            </a:rPr>
            <a:t>や</a:t>
          </a:r>
          <a:r>
            <a:rPr kumimoji="1" lang="en-US" altLang="ja-JP" sz="800">
              <a:solidFill>
                <a:sysClr val="windowText" lastClr="000000"/>
              </a:solidFill>
            </a:rPr>
            <a:t>ChemicalSubstanceStatus</a:t>
          </a:r>
          <a:r>
            <a:rPr kumimoji="1" lang="ja-JP" altLang="en-US" sz="800">
              <a:solidFill>
                <a:sysClr val="windowText" lastClr="000000"/>
              </a:solidFill>
            </a:rPr>
            <a:t>とは？テーブルだと思うが別途</a:t>
          </a:r>
          <a:r>
            <a:rPr kumimoji="1" lang="en-US" altLang="ja-JP" sz="800">
              <a:solidFill>
                <a:sysClr val="windowText" lastClr="000000"/>
              </a:solidFill>
            </a:rPr>
            <a:t>ER</a:t>
          </a:r>
          <a:r>
            <a:rPr kumimoji="1" lang="ja-JP" altLang="en-US" sz="800">
              <a:solidFill>
                <a:sysClr val="windowText" lastClr="000000"/>
              </a:solidFill>
            </a:rPr>
            <a:t>図を用意すること</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a:t>
          </a:r>
          <a:r>
            <a:rPr kumimoji="1" lang="en-US" altLang="ja-JP" sz="800">
              <a:solidFill>
                <a:sysClr val="windowText" lastClr="000000"/>
              </a:solidFill>
            </a:rPr>
            <a:t>Download</a:t>
          </a:r>
          <a:r>
            <a:rPr kumimoji="1" lang="ja-JP" altLang="en-US" sz="800">
              <a:solidFill>
                <a:sysClr val="windowText" lastClr="000000"/>
              </a:solidFill>
            </a:rPr>
            <a:t>」で何をどこから出力するのか記載すること</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0070C0"/>
              </a:solidFill>
            </a:rPr>
            <a:t>5/14 </a:t>
          </a:r>
          <a:r>
            <a:rPr kumimoji="1" lang="ja-JP" altLang="en-US" sz="800">
              <a:solidFill>
                <a:srgbClr val="0070C0"/>
              </a:solidFill>
            </a:rPr>
            <a:t>古竹追記</a:t>
          </a:r>
          <a:endParaRPr kumimoji="1" lang="en-US" altLang="ja-JP" sz="800">
            <a:solidFill>
              <a:srgbClr val="0070C0"/>
            </a:solidFill>
          </a:endParaRPr>
        </a:p>
        <a:p>
          <a:pPr algn="l">
            <a:lnSpc>
              <a:spcPts val="900"/>
            </a:lnSpc>
          </a:pPr>
          <a:r>
            <a:rPr kumimoji="1" lang="en-US" altLang="ja-JP" sz="800">
              <a:solidFill>
                <a:srgbClr val="0070C0"/>
              </a:solidFill>
            </a:rPr>
            <a:t>ER</a:t>
          </a:r>
          <a:r>
            <a:rPr kumimoji="1" lang="ja-JP" altLang="en-US" sz="800">
              <a:solidFill>
                <a:srgbClr val="0070C0"/>
              </a:solidFill>
            </a:rPr>
            <a:t>図を受領しましたが、具体的な記載方法について教えてください。</a:t>
          </a:r>
          <a:endParaRPr kumimoji="1" lang="en-US" altLang="ja-JP" sz="800">
            <a:solidFill>
              <a:srgbClr val="0070C0"/>
            </a:solidFill>
          </a:endParaRPr>
        </a:p>
        <a:p>
          <a:pPr algn="l">
            <a:lnSpc>
              <a:spcPts val="900"/>
            </a:lnSpc>
          </a:pPr>
          <a:r>
            <a:rPr kumimoji="1" lang="ja-JP" altLang="en-US" sz="800">
              <a:solidFill>
                <a:srgbClr val="0070C0"/>
              </a:solidFill>
            </a:rPr>
            <a:t>該当の</a:t>
          </a:r>
          <a:r>
            <a:rPr kumimoji="1" lang="en-US" altLang="ja-JP" sz="800">
              <a:solidFill>
                <a:srgbClr val="0070C0"/>
              </a:solidFill>
            </a:rPr>
            <a:t>ER</a:t>
          </a:r>
          <a:r>
            <a:rPr kumimoji="1" lang="ja-JP" altLang="en-US" sz="800">
              <a:solidFill>
                <a:srgbClr val="0070C0"/>
              </a:solidFill>
            </a:rPr>
            <a:t>図を切り抜いて備考欄を広げて記載する方法でよろしいでしょうか。</a:t>
          </a:r>
          <a:endParaRPr kumimoji="1" lang="en-US" altLang="ja-JP" sz="800">
            <a:solidFill>
              <a:srgbClr val="0070C0"/>
            </a:solidFill>
          </a:endParaRPr>
        </a:p>
        <a:p>
          <a:pPr algn="l">
            <a:lnSpc>
              <a:spcPts val="900"/>
            </a:lnSpc>
          </a:pPr>
          <a:endParaRPr kumimoji="1" lang="ja-JP" altLang="en-US" sz="800">
            <a:solidFill>
              <a:sysClr val="windowText" lastClr="00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142876</xdr:colOff>
      <xdr:row>17</xdr:row>
      <xdr:rowOff>83342</xdr:rowOff>
    </xdr:from>
    <xdr:to>
      <xdr:col>47</xdr:col>
      <xdr:colOff>142874</xdr:colOff>
      <xdr:row>21</xdr:row>
      <xdr:rowOff>95248</xdr:rowOff>
    </xdr:to>
    <xdr:sp macro="" textlink="">
      <xdr:nvSpPr>
        <xdr:cNvPr id="2" name="正方形/長方形 1">
          <a:extLst>
            <a:ext uri="{FF2B5EF4-FFF2-40B4-BE49-F238E27FC236}">
              <a16:creationId xmlns:a16="http://schemas.microsoft.com/office/drawing/2014/main" id="{A3736B77-90C7-4740-959C-D5508D9C56D4}"/>
            </a:ext>
          </a:extLst>
        </xdr:cNvPr>
        <xdr:cNvSpPr/>
      </xdr:nvSpPr>
      <xdr:spPr>
        <a:xfrm>
          <a:off x="904876" y="2966242"/>
          <a:ext cx="8191498" cy="773906"/>
        </a:xfrm>
        <a:prstGeom prst="rect">
          <a:avLst/>
        </a:prstGeom>
        <a:solidFill>
          <a:schemeClr val="bg1">
            <a:lumMod val="65000"/>
          </a:schemeClr>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別ブック「</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SERP100_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帳票定義書</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環境証明書申請内容</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.xlsx</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」を参照</a:t>
          </a:r>
        </a:p>
      </xdr:txBody>
    </xdr:sp>
    <xdr:clientData/>
  </xdr:twoCellAnchor>
  <xdr:twoCellAnchor>
    <xdr:from>
      <xdr:col>4</xdr:col>
      <xdr:colOff>142875</xdr:colOff>
      <xdr:row>23</xdr:row>
      <xdr:rowOff>83344</xdr:rowOff>
    </xdr:from>
    <xdr:to>
      <xdr:col>47</xdr:col>
      <xdr:colOff>142873</xdr:colOff>
      <xdr:row>27</xdr:row>
      <xdr:rowOff>35719</xdr:rowOff>
    </xdr:to>
    <xdr:sp macro="" textlink="">
      <xdr:nvSpPr>
        <xdr:cNvPr id="3" name="正方形/長方形 2">
          <a:extLst>
            <a:ext uri="{FF2B5EF4-FFF2-40B4-BE49-F238E27FC236}">
              <a16:creationId xmlns:a16="http://schemas.microsoft.com/office/drawing/2014/main" id="{13420FEE-85A5-4C69-8CDD-5643071420B4}"/>
            </a:ext>
          </a:extLst>
        </xdr:cNvPr>
        <xdr:cNvSpPr/>
      </xdr:nvSpPr>
      <xdr:spPr>
        <a:xfrm>
          <a:off x="904875" y="4109244"/>
          <a:ext cx="8191498" cy="1514475"/>
        </a:xfrm>
        <a:prstGeom prst="rect">
          <a:avLst/>
        </a:prstGeom>
        <a:solidFill>
          <a:schemeClr val="bg1">
            <a:lumMod val="65000"/>
          </a:schemeClr>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別ブック「</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SERP100_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帳票定義書</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環境証明書申請内容</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.xlsx</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」を参照</a:t>
          </a:r>
        </a:p>
      </xdr:txBody>
    </xdr:sp>
    <xdr:clientData/>
  </xdr:twoCellAnchor>
  <xdr:twoCellAnchor>
    <xdr:from>
      <xdr:col>43</xdr:col>
      <xdr:colOff>84931</xdr:colOff>
      <xdr:row>11</xdr:row>
      <xdr:rowOff>183356</xdr:rowOff>
    </xdr:from>
    <xdr:to>
      <xdr:col>59</xdr:col>
      <xdr:colOff>105569</xdr:colOff>
      <xdr:row>16</xdr:row>
      <xdr:rowOff>154781</xdr:rowOff>
    </xdr:to>
    <xdr:sp macro="" textlink="">
      <xdr:nvSpPr>
        <xdr:cNvPr id="4" name="正方形/長方形 3">
          <a:extLst>
            <a:ext uri="{FF2B5EF4-FFF2-40B4-BE49-F238E27FC236}">
              <a16:creationId xmlns:a16="http://schemas.microsoft.com/office/drawing/2014/main" id="{47CE3318-0C0D-4A7E-B482-4C27E8726EEB}"/>
            </a:ext>
          </a:extLst>
        </xdr:cNvPr>
        <xdr:cNvSpPr/>
      </xdr:nvSpPr>
      <xdr:spPr>
        <a:xfrm>
          <a:off x="8276431" y="3719512"/>
          <a:ext cx="3068638" cy="935832"/>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rgbClr val="FF0000"/>
              </a:solidFill>
            </a:rPr>
            <a:t>ここはドキュメントダウンロード処理のことであればタイトルを変更する。</a:t>
          </a:r>
          <a:endParaRPr kumimoji="1" lang="en-US" altLang="ja-JP" sz="800">
            <a:solidFill>
              <a:srgbClr val="FF0000"/>
            </a:solidFill>
          </a:endParaRPr>
        </a:p>
        <a:p>
          <a:pPr algn="l">
            <a:lnSpc>
              <a:spcPts val="900"/>
            </a:lnSpc>
          </a:pPr>
          <a:r>
            <a:rPr kumimoji="1" lang="ja-JP" altLang="en-US" sz="800">
              <a:solidFill>
                <a:srgbClr val="FF0000"/>
              </a:solidFill>
            </a:rPr>
            <a:t>主</a:t>
          </a:r>
          <a:r>
            <a:rPr kumimoji="1" lang="en-US" altLang="ja-JP" sz="800">
              <a:solidFill>
                <a:srgbClr val="FF0000"/>
              </a:solidFill>
            </a:rPr>
            <a:t>Type</a:t>
          </a:r>
          <a:r>
            <a:rPr kumimoji="1" lang="ja-JP" altLang="en-US" sz="800">
              <a:solidFill>
                <a:srgbClr val="FF0000"/>
              </a:solidFill>
            </a:rPr>
            <a:t>とは一般用語でないのでテーブル定義受領後にテーブル、と記載変更しましょう。</a:t>
          </a:r>
          <a:endParaRPr kumimoji="1" lang="en-US" altLang="ja-JP" sz="800">
            <a:solidFill>
              <a:srgbClr val="FF0000"/>
            </a:solidFill>
          </a:endParaRPr>
        </a:p>
        <a:p>
          <a:pPr algn="l">
            <a:lnSpc>
              <a:spcPts val="900"/>
            </a:lnSpc>
          </a:pPr>
          <a:r>
            <a:rPr kumimoji="1" lang="ja-JP" altLang="en-US" sz="800">
              <a:solidFill>
                <a:srgbClr val="FF0000"/>
              </a:solidFill>
            </a:rPr>
            <a:t>表示順は画面項目の指摘参照</a:t>
          </a:r>
          <a:endParaRPr kumimoji="1" lang="en-US" altLang="ja-JP" sz="800">
            <a:solidFill>
              <a:srgbClr val="FF0000"/>
            </a:solidFill>
          </a:endParaRPr>
        </a:p>
        <a:p>
          <a:pPr algn="l">
            <a:lnSpc>
              <a:spcPts val="900"/>
            </a:lnSpc>
          </a:pPr>
          <a:endParaRPr kumimoji="1" lang="en-US" altLang="ja-JP" sz="800">
            <a:solidFill>
              <a:srgbClr val="FF0000"/>
            </a:solidFill>
          </a:endParaRPr>
        </a:p>
        <a:p>
          <a:pPr algn="l">
            <a:lnSpc>
              <a:spcPts val="900"/>
            </a:lnSpc>
          </a:pPr>
          <a:r>
            <a:rPr kumimoji="1" lang="en-US" altLang="ja-JP" sz="800">
              <a:solidFill>
                <a:srgbClr val="0070C0"/>
              </a:solidFill>
            </a:rPr>
            <a:t>5/14 </a:t>
          </a:r>
          <a:r>
            <a:rPr kumimoji="1" lang="ja-JP" altLang="en-US" sz="800">
              <a:solidFill>
                <a:srgbClr val="0070C0"/>
              </a:solidFill>
            </a:rPr>
            <a:t>古竹追記</a:t>
          </a:r>
          <a:endParaRPr kumimoji="1" lang="en-US" altLang="ja-JP" sz="800">
            <a:solidFill>
              <a:srgbClr val="0070C0"/>
            </a:solidFill>
          </a:endParaRPr>
        </a:p>
        <a:p>
          <a:pPr algn="l">
            <a:lnSpc>
              <a:spcPts val="900"/>
            </a:lnSpc>
          </a:pPr>
          <a:r>
            <a:rPr kumimoji="1" lang="ja-JP" altLang="en-US" sz="800">
              <a:solidFill>
                <a:srgbClr val="0070C0"/>
              </a:solidFill>
            </a:rPr>
            <a:t>タイトルをテーブル名に変更しました。</a:t>
          </a:r>
          <a:endParaRPr kumimoji="1" lang="en-US" altLang="ja-JP" sz="800">
            <a:solidFill>
              <a:srgbClr val="0070C0"/>
            </a:solidFill>
          </a:endParaRPr>
        </a:p>
        <a:p>
          <a:pPr algn="l">
            <a:lnSpc>
              <a:spcPts val="900"/>
            </a:lnSpc>
          </a:pPr>
          <a:endParaRPr kumimoji="1" lang="en-US" altLang="ja-JP" sz="800" baseline="0">
            <a:solidFill>
              <a:sysClr val="windowText" lastClr="000000"/>
            </a:solidFill>
          </a:endParaRPr>
        </a:p>
        <a:p>
          <a:pPr algn="l">
            <a:lnSpc>
              <a:spcPts val="900"/>
            </a:lnSpc>
          </a:pPr>
          <a:endParaRPr kumimoji="1" lang="en-US" altLang="ja-JP" sz="800" baseline="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xdr:txBody>
    </xdr:sp>
    <xdr:clientData/>
  </xdr:twoCellAnchor>
  <xdr:twoCellAnchor>
    <xdr:from>
      <xdr:col>18</xdr:col>
      <xdr:colOff>46199</xdr:colOff>
      <xdr:row>5</xdr:row>
      <xdr:rowOff>2690</xdr:rowOff>
    </xdr:from>
    <xdr:to>
      <xdr:col>21</xdr:col>
      <xdr:colOff>113295</xdr:colOff>
      <xdr:row>5</xdr:row>
      <xdr:rowOff>2690</xdr:rowOff>
    </xdr:to>
    <xdr:grpSp>
      <xdr:nvGrpSpPr>
        <xdr:cNvPr id="6" name="グループ化 5">
          <a:extLst>
            <a:ext uri="{FF2B5EF4-FFF2-40B4-BE49-F238E27FC236}">
              <a16:creationId xmlns:a16="http://schemas.microsoft.com/office/drawing/2014/main" id="{108241D0-177D-456F-9D97-374768D08DEC}"/>
            </a:ext>
          </a:extLst>
        </xdr:cNvPr>
        <xdr:cNvGrpSpPr/>
      </xdr:nvGrpSpPr>
      <xdr:grpSpPr>
        <a:xfrm>
          <a:off x="3478374" y="2062471"/>
          <a:ext cx="635421" cy="0"/>
          <a:chOff x="8931547" y="11352484"/>
          <a:chExt cx="668543" cy="278708"/>
        </a:xfrm>
      </xdr:grpSpPr>
      <xdr:pic>
        <xdr:nvPicPr>
          <xdr:cNvPr id="7" name="図 6">
            <a:extLst>
              <a:ext uri="{FF2B5EF4-FFF2-40B4-BE49-F238E27FC236}">
                <a16:creationId xmlns:a16="http://schemas.microsoft.com/office/drawing/2014/main" id="{8C907AC8-470F-065F-1BF6-73C5E9D305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8" name="正方形/長方形 7">
            <a:extLst>
              <a:ext uri="{FF2B5EF4-FFF2-40B4-BE49-F238E27FC236}">
                <a16:creationId xmlns:a16="http://schemas.microsoft.com/office/drawing/2014/main" id="{C3D400C2-C3FA-C1DC-BD93-A46DF38D8B66}"/>
              </a:ext>
            </a:extLst>
          </xdr:cNvPr>
          <xdr:cNvSpPr/>
        </xdr:nvSpPr>
        <xdr:spPr>
          <a:xfrm>
            <a:off x="8931547" y="11371532"/>
            <a:ext cx="668543" cy="2596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48</xdr:col>
      <xdr:colOff>47624</xdr:colOff>
      <xdr:row>4</xdr:row>
      <xdr:rowOff>123825</xdr:rowOff>
    </xdr:from>
    <xdr:to>
      <xdr:col>51</xdr:col>
      <xdr:colOff>155574</xdr:colOff>
      <xdr:row>4</xdr:row>
      <xdr:rowOff>398456</xdr:rowOff>
    </xdr:to>
    <xdr:grpSp>
      <xdr:nvGrpSpPr>
        <xdr:cNvPr id="14" name="グループ化 13">
          <a:extLst>
            <a:ext uri="{FF2B5EF4-FFF2-40B4-BE49-F238E27FC236}">
              <a16:creationId xmlns:a16="http://schemas.microsoft.com/office/drawing/2014/main" id="{5C97A0AA-ADC2-4BEC-8B0F-7D9AE8932E50}"/>
            </a:ext>
          </a:extLst>
        </xdr:cNvPr>
        <xdr:cNvGrpSpPr/>
      </xdr:nvGrpSpPr>
      <xdr:grpSpPr>
        <a:xfrm>
          <a:off x="9194799" y="1406525"/>
          <a:ext cx="676275" cy="277806"/>
          <a:chOff x="8931547" y="11352484"/>
          <a:chExt cx="668543" cy="278708"/>
        </a:xfrm>
      </xdr:grpSpPr>
      <xdr:pic>
        <xdr:nvPicPr>
          <xdr:cNvPr id="15" name="図 14">
            <a:extLst>
              <a:ext uri="{FF2B5EF4-FFF2-40B4-BE49-F238E27FC236}">
                <a16:creationId xmlns:a16="http://schemas.microsoft.com/office/drawing/2014/main" id="{0F54E4AC-5CF2-AE85-2E27-A7106B020DA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16" name="正方形/長方形 15">
            <a:extLst>
              <a:ext uri="{FF2B5EF4-FFF2-40B4-BE49-F238E27FC236}">
                <a16:creationId xmlns:a16="http://schemas.microsoft.com/office/drawing/2014/main" id="{31C38CD0-88D2-B1EF-542C-CADAA8C9BA37}"/>
              </a:ext>
            </a:extLst>
          </xdr:cNvPr>
          <xdr:cNvSpPr/>
        </xdr:nvSpPr>
        <xdr:spPr>
          <a:xfrm>
            <a:off x="8931547" y="11371532"/>
            <a:ext cx="668543" cy="2596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48</xdr:col>
      <xdr:colOff>64959</xdr:colOff>
      <xdr:row>5</xdr:row>
      <xdr:rowOff>154737</xdr:rowOff>
    </xdr:from>
    <xdr:to>
      <xdr:col>51</xdr:col>
      <xdr:colOff>120750</xdr:colOff>
      <xdr:row>5</xdr:row>
      <xdr:rowOff>473604</xdr:rowOff>
    </xdr:to>
    <xdr:sp macro="" textlink="">
      <xdr:nvSpPr>
        <xdr:cNvPr id="17" name="正方形/長方形 16">
          <a:extLst>
            <a:ext uri="{FF2B5EF4-FFF2-40B4-BE49-F238E27FC236}">
              <a16:creationId xmlns:a16="http://schemas.microsoft.com/office/drawing/2014/main" id="{21950DEA-92EF-4BB1-AEB1-B7AFACDD25C0}"/>
            </a:ext>
          </a:extLst>
        </xdr:cNvPr>
        <xdr:cNvSpPr/>
      </xdr:nvSpPr>
      <xdr:spPr bwMode="auto">
        <a:xfrm>
          <a:off x="9208959" y="2212137"/>
          <a:ext cx="627291" cy="31886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xdr:from>
      <xdr:col>17</xdr:col>
      <xdr:colOff>133350</xdr:colOff>
      <xdr:row>4</xdr:row>
      <xdr:rowOff>339725</xdr:rowOff>
    </xdr:from>
    <xdr:to>
      <xdr:col>21</xdr:col>
      <xdr:colOff>47625</xdr:colOff>
      <xdr:row>4</xdr:row>
      <xdr:rowOff>617531</xdr:rowOff>
    </xdr:to>
    <xdr:grpSp>
      <xdr:nvGrpSpPr>
        <xdr:cNvPr id="18" name="グループ化 17">
          <a:extLst>
            <a:ext uri="{FF2B5EF4-FFF2-40B4-BE49-F238E27FC236}">
              <a16:creationId xmlns:a16="http://schemas.microsoft.com/office/drawing/2014/main" id="{AFF8D5FB-DE34-4D92-B7DD-83F73047C7DF}"/>
            </a:ext>
          </a:extLst>
        </xdr:cNvPr>
        <xdr:cNvGrpSpPr/>
      </xdr:nvGrpSpPr>
      <xdr:grpSpPr>
        <a:xfrm>
          <a:off x="3371850" y="1625600"/>
          <a:ext cx="673100" cy="280981"/>
          <a:chOff x="8931547" y="11352484"/>
          <a:chExt cx="668543" cy="278708"/>
        </a:xfrm>
      </xdr:grpSpPr>
      <xdr:pic>
        <xdr:nvPicPr>
          <xdr:cNvPr id="19" name="図 18">
            <a:extLst>
              <a:ext uri="{FF2B5EF4-FFF2-40B4-BE49-F238E27FC236}">
                <a16:creationId xmlns:a16="http://schemas.microsoft.com/office/drawing/2014/main" id="{F80A5DA8-142A-1589-EB19-C314534B6F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20" name="正方形/長方形 19">
            <a:extLst>
              <a:ext uri="{FF2B5EF4-FFF2-40B4-BE49-F238E27FC236}">
                <a16:creationId xmlns:a16="http://schemas.microsoft.com/office/drawing/2014/main" id="{B8236E45-621F-FDE6-1C8F-743586E5086D}"/>
              </a:ext>
            </a:extLst>
          </xdr:cNvPr>
          <xdr:cNvSpPr/>
        </xdr:nvSpPr>
        <xdr:spPr>
          <a:xfrm>
            <a:off x="8931547" y="11371532"/>
            <a:ext cx="668543" cy="2596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17</xdr:col>
      <xdr:colOff>150685</xdr:colOff>
      <xdr:row>5</xdr:row>
      <xdr:rowOff>116637</xdr:rowOff>
    </xdr:from>
    <xdr:to>
      <xdr:col>21</xdr:col>
      <xdr:colOff>15976</xdr:colOff>
      <xdr:row>5</xdr:row>
      <xdr:rowOff>435504</xdr:rowOff>
    </xdr:to>
    <xdr:sp macro="" textlink="">
      <xdr:nvSpPr>
        <xdr:cNvPr id="21" name="正方形/長方形 20">
          <a:extLst>
            <a:ext uri="{FF2B5EF4-FFF2-40B4-BE49-F238E27FC236}">
              <a16:creationId xmlns:a16="http://schemas.microsoft.com/office/drawing/2014/main" id="{8525FA9B-763F-4B55-8BF3-C10A26A951F6}"/>
            </a:ext>
          </a:extLst>
        </xdr:cNvPr>
        <xdr:cNvSpPr/>
      </xdr:nvSpPr>
      <xdr:spPr bwMode="auto">
        <a:xfrm>
          <a:off x="3389185" y="2174037"/>
          <a:ext cx="627291" cy="31886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xdr:from>
      <xdr:col>75</xdr:col>
      <xdr:colOff>95250</xdr:colOff>
      <xdr:row>2</xdr:row>
      <xdr:rowOff>190500</xdr:rowOff>
    </xdr:from>
    <xdr:to>
      <xdr:col>114</xdr:col>
      <xdr:colOff>11906</xdr:colOff>
      <xdr:row>15</xdr:row>
      <xdr:rowOff>154781</xdr:rowOff>
    </xdr:to>
    <xdr:sp macro="" textlink="">
      <xdr:nvSpPr>
        <xdr:cNvPr id="22" name="正方形/長方形 21">
          <a:extLst>
            <a:ext uri="{FF2B5EF4-FFF2-40B4-BE49-F238E27FC236}">
              <a16:creationId xmlns:a16="http://schemas.microsoft.com/office/drawing/2014/main" id="{35D22A18-E2E8-4035-B6AD-9A62A0AF2820}"/>
            </a:ext>
          </a:extLst>
        </xdr:cNvPr>
        <xdr:cNvSpPr/>
      </xdr:nvSpPr>
      <xdr:spPr>
        <a:xfrm>
          <a:off x="14382750" y="571500"/>
          <a:ext cx="6679406" cy="3893344"/>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処理項目を画面項目と分ける必要ないのでマージする。</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「処理詳細シート」が無い。初期化時に検索処理と記載されているが、画面シートはデータが無い状態と記載されており、整合性がない。</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設計書内で整合性を取ること</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0070C0"/>
              </a:solidFill>
            </a:rPr>
            <a:t>5/12 </a:t>
          </a:r>
          <a:r>
            <a:rPr kumimoji="1" lang="ja-JP" altLang="en-US" sz="800">
              <a:solidFill>
                <a:srgbClr val="0070C0"/>
              </a:solidFill>
            </a:rPr>
            <a:t>古竹追記</a:t>
          </a:r>
          <a:endParaRPr kumimoji="1" lang="en-US" altLang="ja-JP" sz="800">
            <a:solidFill>
              <a:srgbClr val="0070C0"/>
            </a:solidFill>
          </a:endParaRPr>
        </a:p>
        <a:p>
          <a:pPr algn="l">
            <a:lnSpc>
              <a:spcPts val="900"/>
            </a:lnSpc>
          </a:pPr>
          <a:r>
            <a:rPr kumimoji="1" lang="ja-JP" altLang="en-US" sz="800">
              <a:solidFill>
                <a:srgbClr val="0070C0"/>
              </a:solidFill>
            </a:rPr>
            <a:t>画面項目と処理項目で記載する項目が違うため分けられていると思いますが、</a:t>
          </a:r>
          <a:r>
            <a:rPr kumimoji="1" lang="en-US" altLang="ja-JP" sz="800">
              <a:solidFill>
                <a:srgbClr val="0070C0"/>
              </a:solidFill>
            </a:rPr>
            <a:t>32</a:t>
          </a:r>
          <a:r>
            <a:rPr kumimoji="1" lang="ja-JP" altLang="en-US" sz="800">
              <a:solidFill>
                <a:srgbClr val="0070C0"/>
              </a:solidFill>
            </a:rPr>
            <a:t>行目の項目を画面項目に追加して記載するという認識でよろしいでしょうか。</a:t>
          </a:r>
          <a:endParaRPr kumimoji="1" lang="en-US" altLang="ja-JP" sz="800">
            <a:solidFill>
              <a:srgbClr val="0070C0"/>
            </a:solidFill>
          </a:endParaRPr>
        </a:p>
        <a:p>
          <a:pPr algn="l">
            <a:lnSpc>
              <a:spcPts val="900"/>
            </a:lnSpc>
          </a:pPr>
          <a:r>
            <a:rPr kumimoji="1" lang="ja-JP" altLang="en-US" sz="800">
              <a:solidFill>
                <a:srgbClr val="0070C0"/>
              </a:solidFill>
            </a:rPr>
            <a:t>また、項番も分けられており、画面項目は画面レイアウトの項番どおえいになってますが、そこに処理項目を差し込むと項番が崩れるので見にくくなると思われますが意図をご教示ください。</a:t>
          </a:r>
          <a:br>
            <a:rPr kumimoji="1" lang="en-US" altLang="ja-JP" sz="800">
              <a:solidFill>
                <a:srgbClr val="0070C0"/>
              </a:solidFill>
            </a:rPr>
          </a:br>
          <a:r>
            <a:rPr kumimoji="1" lang="en-US" altLang="ja-JP" sz="800">
              <a:solidFill>
                <a:srgbClr val="0070C0"/>
              </a:solidFill>
            </a:rPr>
            <a:t>(</a:t>
          </a:r>
          <a:r>
            <a:rPr kumimoji="1" lang="ja-JP" altLang="en-US" sz="800">
              <a:solidFill>
                <a:srgbClr val="0070C0"/>
              </a:solidFill>
            </a:rPr>
            <a:t>基本設計書を作成したことがなく榎本さんの指摘による修正後のイメージが浮かばないです</a:t>
          </a:r>
          <a:r>
            <a:rPr kumimoji="1" lang="en-US" altLang="ja-JP" sz="800">
              <a:solidFill>
                <a:srgbClr val="0070C0"/>
              </a:solidFill>
            </a:rPr>
            <a:t>)</a:t>
          </a:r>
        </a:p>
        <a:p>
          <a:pPr algn="l">
            <a:lnSpc>
              <a:spcPts val="900"/>
            </a:lnSpc>
          </a:pPr>
          <a:endParaRPr kumimoji="1" lang="en-US" altLang="ja-JP" sz="800">
            <a:solidFill>
              <a:srgbClr val="0070C0"/>
            </a:solidFill>
          </a:endParaRPr>
        </a:p>
        <a:p>
          <a:pPr algn="l">
            <a:lnSpc>
              <a:spcPts val="900"/>
            </a:lnSpc>
          </a:pPr>
          <a:r>
            <a:rPr kumimoji="1" lang="ja-JP" altLang="en-US" sz="800">
              <a:solidFill>
                <a:srgbClr val="0070C0"/>
              </a:solidFill>
            </a:rPr>
            <a:t>整合性については画面レイアウト側の記載が不備のためそちらを修正。</a:t>
          </a:r>
          <a:endParaRPr kumimoji="1" lang="en-US" altLang="ja-JP" sz="800">
            <a:solidFill>
              <a:srgbClr val="0070C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FF0000"/>
              </a:solidFill>
            </a:rPr>
            <a:t>5/13</a:t>
          </a:r>
          <a:r>
            <a:rPr kumimoji="1" lang="en-US" altLang="ja-JP" sz="800" baseline="0">
              <a:solidFill>
                <a:srgbClr val="FF0000"/>
              </a:solidFill>
            </a:rPr>
            <a:t> </a:t>
          </a:r>
          <a:r>
            <a:rPr kumimoji="1" lang="ja-JP" altLang="en-US" sz="800" baseline="0">
              <a:solidFill>
                <a:srgbClr val="FF0000"/>
              </a:solidFill>
            </a:rPr>
            <a:t>榎本</a:t>
          </a:r>
          <a:endParaRPr kumimoji="1" lang="en-US" altLang="ja-JP" sz="800" baseline="0">
            <a:solidFill>
              <a:srgbClr val="FF0000"/>
            </a:solidFill>
          </a:endParaRPr>
        </a:p>
        <a:p>
          <a:pPr algn="l">
            <a:lnSpc>
              <a:spcPts val="900"/>
            </a:lnSpc>
          </a:pPr>
          <a:r>
            <a:rPr kumimoji="1" lang="en-US" altLang="ja-JP" sz="800" baseline="0">
              <a:solidFill>
                <a:srgbClr val="FF0000"/>
              </a:solidFill>
            </a:rPr>
            <a:t>34</a:t>
          </a:r>
          <a:r>
            <a:rPr kumimoji="1" lang="ja-JP" altLang="en-US" sz="800" baseline="0">
              <a:solidFill>
                <a:srgbClr val="FF0000"/>
              </a:solidFill>
            </a:rPr>
            <a:t>行目には検索処理を実行すると記載されているが、</a:t>
          </a:r>
          <a:r>
            <a:rPr kumimoji="1" lang="en-US" altLang="ja-JP" sz="800" baseline="0">
              <a:solidFill>
                <a:srgbClr val="FF0000"/>
              </a:solidFill>
            </a:rPr>
            <a:t>13</a:t>
          </a:r>
          <a:r>
            <a:rPr kumimoji="1" lang="ja-JP" altLang="en-US" sz="800" baseline="0">
              <a:solidFill>
                <a:srgbClr val="FF0000"/>
              </a:solidFill>
            </a:rPr>
            <a:t>行目</a:t>
          </a:r>
          <a:r>
            <a:rPr kumimoji="1" lang="en-US" altLang="ja-JP" sz="800" baseline="0">
              <a:solidFill>
                <a:srgbClr val="FF0000"/>
              </a:solidFill>
            </a:rPr>
            <a:t>(</a:t>
          </a:r>
          <a:r>
            <a:rPr kumimoji="1" lang="ja-JP" altLang="en-US" sz="800" baseline="0">
              <a:solidFill>
                <a:srgbClr val="FF0000"/>
              </a:solidFill>
            </a:rPr>
            <a:t>以下画像部分</a:t>
          </a:r>
          <a:r>
            <a:rPr kumimoji="1" lang="en-US" altLang="ja-JP" sz="800" baseline="0">
              <a:solidFill>
                <a:srgbClr val="FF0000"/>
              </a:solidFill>
            </a:rPr>
            <a:t>)</a:t>
          </a:r>
          <a:r>
            <a:rPr kumimoji="1" lang="ja-JP" altLang="en-US" sz="800" baseline="0">
              <a:solidFill>
                <a:srgbClr val="FF0000"/>
              </a:solidFill>
            </a:rPr>
            <a:t>はデータがないと記載されている。記載が不整合です。</a:t>
          </a:r>
          <a:endParaRPr kumimoji="1" lang="en-US" altLang="ja-JP" sz="800" baseline="0">
            <a:solidFill>
              <a:srgbClr val="FF0000"/>
            </a:solidFill>
          </a:endParaRPr>
        </a:p>
        <a:p>
          <a:pPr algn="l">
            <a:lnSpc>
              <a:spcPts val="900"/>
            </a:lnSpc>
          </a:pPr>
          <a:r>
            <a:rPr kumimoji="1" lang="ja-JP" altLang="en-US" sz="800" baseline="0">
              <a:solidFill>
                <a:srgbClr val="FF0000"/>
              </a:solidFill>
            </a:rPr>
            <a:t>また処理項目の内容は処理詳細に記載しましょう。</a:t>
          </a:r>
          <a:endParaRPr kumimoji="1" lang="en-US" altLang="ja-JP" sz="800" baseline="0">
            <a:solidFill>
              <a:srgbClr val="FF0000"/>
            </a:solidFill>
          </a:endParaRPr>
        </a:p>
        <a:p>
          <a:pPr algn="l">
            <a:lnSpc>
              <a:spcPts val="900"/>
            </a:lnSpc>
          </a:pPr>
          <a:r>
            <a:rPr kumimoji="1" lang="ja-JP" altLang="en-US" sz="800" baseline="0">
              <a:solidFill>
                <a:srgbClr val="FF0000"/>
              </a:solidFill>
            </a:rPr>
            <a:t>処理詳細の順番も以下順番としてください。</a:t>
          </a:r>
          <a:endParaRPr kumimoji="1" lang="en-US" altLang="ja-JP" sz="800" baseline="0">
            <a:solidFill>
              <a:srgbClr val="FF0000"/>
            </a:solidFill>
          </a:endParaRPr>
        </a:p>
        <a:p>
          <a:pPr algn="l">
            <a:lnSpc>
              <a:spcPts val="900"/>
            </a:lnSpc>
          </a:pPr>
          <a:r>
            <a:rPr kumimoji="1" lang="ja-JP" altLang="en-US" sz="800" baseline="0">
              <a:solidFill>
                <a:srgbClr val="FF0000"/>
              </a:solidFill>
            </a:rPr>
            <a:t>１．初期画面表示</a:t>
          </a:r>
          <a:endParaRPr kumimoji="1" lang="en-US" altLang="ja-JP" sz="800" baseline="0">
            <a:solidFill>
              <a:srgbClr val="FF0000"/>
            </a:solidFill>
          </a:endParaRPr>
        </a:p>
        <a:p>
          <a:pPr algn="l">
            <a:lnSpc>
              <a:spcPts val="900"/>
            </a:lnSpc>
          </a:pPr>
          <a:r>
            <a:rPr kumimoji="1" lang="ja-JP" altLang="en-US" sz="800" baseline="0">
              <a:solidFill>
                <a:srgbClr val="FF0000"/>
              </a:solidFill>
            </a:rPr>
            <a:t>２．証明書ダウンロード</a:t>
          </a:r>
          <a:endParaRPr kumimoji="1" lang="en-US" altLang="ja-JP" sz="800" baseline="0">
            <a:solidFill>
              <a:srgbClr val="FF0000"/>
            </a:solidFill>
          </a:endParaRPr>
        </a:p>
        <a:p>
          <a:pPr algn="l">
            <a:lnSpc>
              <a:spcPts val="900"/>
            </a:lnSpc>
          </a:pPr>
          <a:r>
            <a:rPr kumimoji="1" lang="ja-JP" altLang="en-US" sz="800" baseline="0">
              <a:solidFill>
                <a:srgbClr val="FF0000"/>
              </a:solidFill>
            </a:rPr>
            <a:t>３．ドキュメントダウンロード</a:t>
          </a:r>
          <a:endParaRPr kumimoji="1" lang="en-US" altLang="ja-JP" sz="800" baseline="0">
            <a:solidFill>
              <a:srgbClr val="FF0000"/>
            </a:solidFill>
          </a:endParaRPr>
        </a:p>
        <a:p>
          <a:pPr algn="l">
            <a:lnSpc>
              <a:spcPts val="900"/>
            </a:lnSpc>
          </a:pPr>
          <a:r>
            <a:rPr kumimoji="1" lang="ja-JP" altLang="en-US" sz="800" baseline="0">
              <a:solidFill>
                <a:srgbClr val="FF0000"/>
              </a:solidFill>
            </a:rPr>
            <a:t>４．新規申請。新規申請時に渡すパラメータなどあれば記載する。認証情報だけであれば不要</a:t>
          </a:r>
          <a:endParaRPr kumimoji="1" lang="en-US" altLang="ja-JP" sz="800" baseline="0">
            <a:solidFill>
              <a:srgbClr val="FF0000"/>
            </a:solidFill>
          </a:endParaRPr>
        </a:p>
        <a:p>
          <a:pPr algn="l">
            <a:lnSpc>
              <a:spcPts val="900"/>
            </a:lnSpc>
          </a:pPr>
          <a:endParaRPr kumimoji="1" lang="en-US" altLang="ja-JP" sz="800" baseline="0">
            <a:solidFill>
              <a:srgbClr val="FF0000"/>
            </a:solidFill>
          </a:endParaRPr>
        </a:p>
        <a:p>
          <a:pPr algn="l">
            <a:lnSpc>
              <a:spcPts val="900"/>
            </a:lnSpc>
          </a:pPr>
          <a:r>
            <a:rPr kumimoji="1" lang="en-US" altLang="ja-JP" sz="800" baseline="0">
              <a:solidFill>
                <a:srgbClr val="0070C0"/>
              </a:solidFill>
            </a:rPr>
            <a:t>5/14</a:t>
          </a:r>
          <a:r>
            <a:rPr kumimoji="1" lang="ja-JP" altLang="en-US" sz="800" baseline="0">
              <a:solidFill>
                <a:srgbClr val="0070C0"/>
              </a:solidFill>
            </a:rPr>
            <a:t>　古竹追記</a:t>
          </a:r>
          <a:endParaRPr kumimoji="1" lang="en-US" altLang="ja-JP" sz="800" baseline="0">
            <a:solidFill>
              <a:srgbClr val="0070C0"/>
            </a:solidFill>
          </a:endParaRPr>
        </a:p>
        <a:p>
          <a:pPr algn="l">
            <a:lnSpc>
              <a:spcPts val="900"/>
            </a:lnSpc>
          </a:pPr>
          <a:r>
            <a:rPr kumimoji="1" lang="ja-JP" altLang="en-US" sz="800" baseline="0">
              <a:solidFill>
                <a:srgbClr val="0070C0"/>
              </a:solidFill>
            </a:rPr>
            <a:t>申し訳ございません。イメージが分からないため処理項目表を仮としてそのまま持って来ました。</a:t>
          </a:r>
          <a:endParaRPr kumimoji="1" lang="en-US" altLang="ja-JP" sz="800" baseline="0">
            <a:solidFill>
              <a:srgbClr val="0070C0"/>
            </a:solidFill>
          </a:endParaRPr>
        </a:p>
        <a:p>
          <a:pPr algn="l">
            <a:lnSpc>
              <a:spcPts val="900"/>
            </a:lnSpc>
          </a:pPr>
          <a:endParaRPr kumimoji="1" lang="en-US" altLang="ja-JP" sz="800" baseline="0">
            <a:solidFill>
              <a:srgbClr val="0070C0"/>
            </a:solidFill>
          </a:endParaRPr>
        </a:p>
        <a:p>
          <a:pPr algn="l">
            <a:lnSpc>
              <a:spcPts val="900"/>
            </a:lnSpc>
          </a:pPr>
          <a:endParaRPr kumimoji="1" lang="en-US" altLang="ja-JP" sz="800" baseline="0">
            <a:solidFill>
              <a:srgbClr val="0070C0"/>
            </a:solidFill>
          </a:endParaRPr>
        </a:p>
        <a:p>
          <a:pPr algn="l">
            <a:lnSpc>
              <a:spcPts val="900"/>
            </a:lnSpc>
          </a:pPr>
          <a:endParaRPr kumimoji="1" lang="en-US" altLang="ja-JP" sz="800" baseline="0">
            <a:solidFill>
              <a:srgbClr val="0070C0"/>
            </a:solidFill>
          </a:endParaRPr>
        </a:p>
        <a:p>
          <a:pPr algn="l">
            <a:lnSpc>
              <a:spcPts val="900"/>
            </a:lnSpc>
          </a:pPr>
          <a:endParaRPr kumimoji="1" lang="en-US" altLang="ja-JP" sz="800" baseline="0">
            <a:solidFill>
              <a:srgbClr val="0070C0"/>
            </a:solidFill>
          </a:endParaRPr>
        </a:p>
        <a:p>
          <a:pPr algn="l">
            <a:lnSpc>
              <a:spcPts val="900"/>
            </a:lnSpc>
          </a:pPr>
          <a:endParaRPr kumimoji="1" lang="en-US" altLang="ja-JP" sz="800" baseline="0">
            <a:solidFill>
              <a:srgbClr val="0070C0"/>
            </a:solidFill>
          </a:endParaRPr>
        </a:p>
        <a:p>
          <a:pPr algn="l">
            <a:lnSpc>
              <a:spcPts val="900"/>
            </a:lnSpc>
          </a:pPr>
          <a:r>
            <a:rPr kumimoji="1" lang="ja-JP" altLang="en-US" sz="800" baseline="0">
              <a:solidFill>
                <a:srgbClr val="0070C0"/>
              </a:solidFill>
            </a:rPr>
            <a:t>上記のように概要に記載して、具体的にどのテーブルから取り出すのかを処理詳細を参照するようにしています。</a:t>
          </a:r>
          <a:endParaRPr kumimoji="1" lang="en-US" altLang="ja-JP" sz="800" baseline="0">
            <a:solidFill>
              <a:srgbClr val="0070C0"/>
            </a:solidFill>
          </a:endParaRPr>
        </a:p>
        <a:p>
          <a:pPr algn="l">
            <a:lnSpc>
              <a:spcPts val="900"/>
            </a:lnSpc>
          </a:pPr>
          <a:endParaRPr kumimoji="1" lang="en-US" altLang="ja-JP" sz="800" baseline="0">
            <a:solidFill>
              <a:srgbClr val="0070C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xdr:txBody>
    </xdr:sp>
    <xdr:clientData/>
  </xdr:twoCellAnchor>
  <xdr:twoCellAnchor editAs="oneCell">
    <xdr:from>
      <xdr:col>75</xdr:col>
      <xdr:colOff>130968</xdr:colOff>
      <xdr:row>10</xdr:row>
      <xdr:rowOff>59532</xdr:rowOff>
    </xdr:from>
    <xdr:to>
      <xdr:col>95</xdr:col>
      <xdr:colOff>155285</xdr:colOff>
      <xdr:row>12</xdr:row>
      <xdr:rowOff>84989</xdr:rowOff>
    </xdr:to>
    <xdr:pic>
      <xdr:nvPicPr>
        <xdr:cNvPr id="23" name="図 22">
          <a:extLst>
            <a:ext uri="{FF2B5EF4-FFF2-40B4-BE49-F238E27FC236}">
              <a16:creationId xmlns:a16="http://schemas.microsoft.com/office/drawing/2014/main" id="{2ACACFFC-B43A-DB84-F8D6-6FED78D763A9}"/>
            </a:ext>
          </a:extLst>
        </xdr:cNvPr>
        <xdr:cNvPicPr>
          <a:picLocks noChangeAspect="1"/>
        </xdr:cNvPicPr>
      </xdr:nvPicPr>
      <xdr:blipFill>
        <a:blip xmlns:r="http://schemas.openxmlformats.org/officeDocument/2006/relationships" r:embed="rId2"/>
        <a:stretch>
          <a:fillRect/>
        </a:stretch>
      </xdr:blipFill>
      <xdr:spPr>
        <a:xfrm>
          <a:off x="14418468" y="3405188"/>
          <a:ext cx="3620005" cy="40645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92" t="str">
        <f ca="1">TEXT(変更来歴!AT2,"yyyy年 mm月 dd日") &amp; " " &amp; 変更来歴!AT3</f>
        <v>2026年 04月 22日 r1.2</v>
      </c>
      <c r="C22" s="193"/>
      <c r="D22" s="193"/>
      <c r="E22" s="193"/>
      <c r="F22" s="193"/>
      <c r="G22" s="193"/>
      <c r="H22" s="193"/>
    </row>
    <row r="23" spans="2:8" ht="14.25" customHeight="1"/>
    <row r="24" spans="2:8" ht="14.25" customHeight="1"/>
    <row r="25" spans="2:8" ht="14.25" customHeight="1"/>
    <row r="26" spans="2:8" ht="14.25" customHeight="1"/>
    <row r="27" spans="2:8" ht="14.25" customHeight="1"/>
    <row r="28" spans="2:8" ht="14.25" customHeight="1">
      <c r="C28" s="195" t="s">
        <v>28</v>
      </c>
      <c r="D28" s="195"/>
      <c r="E28" s="195"/>
      <c r="F28" s="195" t="s">
        <v>0</v>
      </c>
      <c r="G28" s="195"/>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96"/>
      <c r="D33" s="196"/>
      <c r="E33" s="196"/>
      <c r="F33" s="196"/>
      <c r="G33" s="196"/>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94"/>
    </row>
    <row r="39" spans="3:20" ht="14.25" customHeight="1">
      <c r="K39" s="17"/>
      <c r="L39" s="12"/>
      <c r="M39" s="8"/>
      <c r="N39" s="12"/>
      <c r="O39" s="8"/>
      <c r="P39" s="8"/>
      <c r="Q39" s="8"/>
      <c r="R39" s="14"/>
      <c r="S39" s="19"/>
      <c r="T39" s="197"/>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94"/>
    </row>
    <row r="43" spans="3:20" s="8" customFormat="1" ht="14.25" customHeight="1">
      <c r="K43" s="17"/>
      <c r="L43" s="12"/>
      <c r="N43" s="12"/>
      <c r="R43" s="14"/>
      <c r="S43" s="19"/>
      <c r="T43" s="194"/>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94"/>
    </row>
    <row r="47" spans="3:20" ht="14.25" customHeight="1">
      <c r="K47" s="17"/>
      <c r="L47" s="12"/>
      <c r="M47" s="8"/>
      <c r="N47" s="12"/>
      <c r="O47" s="8"/>
      <c r="P47" s="8"/>
      <c r="Q47" s="8"/>
      <c r="R47" s="14"/>
      <c r="S47" s="19"/>
      <c r="T47" s="194"/>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94"/>
    </row>
    <row r="51" spans="11:20" ht="14.25" customHeight="1">
      <c r="K51" s="17"/>
      <c r="L51" s="12"/>
      <c r="M51" s="8"/>
      <c r="N51" s="12"/>
      <c r="O51" s="8"/>
      <c r="P51" s="8"/>
      <c r="Q51" s="8"/>
      <c r="R51" s="14"/>
      <c r="S51" s="19"/>
      <c r="T51" s="194"/>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94"/>
    </row>
    <row r="55" spans="11:20">
      <c r="K55" s="17"/>
      <c r="L55" s="12"/>
      <c r="M55" s="8"/>
      <c r="N55" s="12"/>
      <c r="O55" s="8"/>
      <c r="P55" s="8"/>
      <c r="Q55" s="8"/>
      <c r="R55" s="14"/>
      <c r="S55" s="19"/>
      <c r="T55" s="197"/>
    </row>
    <row r="57" spans="11:20">
      <c r="K57" s="11"/>
      <c r="L57" s="12"/>
      <c r="M57" s="8"/>
      <c r="N57" s="12"/>
      <c r="O57" s="13"/>
      <c r="P57" s="14"/>
      <c r="Q57" s="15"/>
      <c r="R57" s="14"/>
      <c r="S57" s="16"/>
      <c r="T57" s="14"/>
    </row>
    <row r="58" spans="11:20">
      <c r="K58" s="17"/>
      <c r="L58" s="12"/>
      <c r="M58" s="18"/>
      <c r="N58" s="12"/>
      <c r="O58" s="8"/>
      <c r="P58" s="14"/>
      <c r="Q58" s="15"/>
      <c r="R58" s="14"/>
      <c r="S58" s="16"/>
      <c r="T58" s="194"/>
    </row>
    <row r="59" spans="11:20">
      <c r="K59" s="17"/>
      <c r="L59" s="12"/>
      <c r="M59" s="8"/>
      <c r="N59" s="12"/>
      <c r="O59" s="8"/>
      <c r="P59" s="8"/>
      <c r="Q59" s="8"/>
      <c r="R59" s="14"/>
      <c r="S59" s="19"/>
      <c r="T59" s="197"/>
    </row>
    <row r="61" spans="11:20">
      <c r="K61" s="11"/>
      <c r="L61" s="12"/>
      <c r="M61" s="8"/>
      <c r="N61" s="12"/>
      <c r="O61" s="13"/>
      <c r="P61" s="14"/>
      <c r="Q61" s="15"/>
      <c r="R61" s="14"/>
      <c r="S61" s="16"/>
      <c r="T61" s="14"/>
    </row>
    <row r="62" spans="11:20">
      <c r="K62" s="17"/>
      <c r="L62" s="12"/>
      <c r="M62" s="18"/>
      <c r="N62" s="12"/>
      <c r="O62" s="8"/>
      <c r="P62" s="14"/>
      <c r="Q62" s="15"/>
      <c r="R62" s="14"/>
      <c r="S62" s="16"/>
      <c r="T62" s="194"/>
    </row>
    <row r="63" spans="11:20">
      <c r="K63" s="17"/>
      <c r="L63" s="12"/>
      <c r="M63" s="8"/>
      <c r="N63" s="12"/>
      <c r="O63" s="8"/>
      <c r="P63" s="8"/>
      <c r="Q63" s="8"/>
      <c r="R63" s="14"/>
      <c r="S63" s="19"/>
      <c r="T63" s="197"/>
    </row>
    <row r="65" spans="11:20">
      <c r="K65" s="11"/>
      <c r="L65" s="12"/>
      <c r="M65" s="8"/>
      <c r="N65" s="12"/>
      <c r="O65" s="13"/>
      <c r="P65" s="14"/>
      <c r="Q65" s="15"/>
      <c r="R65" s="14"/>
      <c r="S65" s="16"/>
      <c r="T65" s="14"/>
    </row>
    <row r="66" spans="11:20">
      <c r="K66" s="17"/>
      <c r="L66" s="12"/>
      <c r="M66" s="18"/>
      <c r="N66" s="12"/>
      <c r="O66" s="8"/>
      <c r="P66" s="14"/>
      <c r="Q66" s="15"/>
      <c r="R66" s="14"/>
      <c r="S66" s="16"/>
      <c r="T66" s="194"/>
    </row>
    <row r="67" spans="11:20">
      <c r="K67" s="17"/>
      <c r="L67" s="12"/>
      <c r="M67" s="8"/>
      <c r="N67" s="12"/>
      <c r="O67" s="8"/>
      <c r="P67" s="8"/>
      <c r="Q67" s="8"/>
      <c r="R67" s="14"/>
      <c r="S67" s="19"/>
      <c r="T67" s="197"/>
    </row>
    <row r="69" spans="11:20">
      <c r="K69" s="11"/>
      <c r="L69" s="12"/>
      <c r="M69" s="8"/>
      <c r="N69" s="12"/>
      <c r="O69" s="13"/>
      <c r="P69" s="14"/>
      <c r="Q69" s="15"/>
      <c r="R69" s="14"/>
      <c r="S69" s="16"/>
      <c r="T69" s="14"/>
    </row>
    <row r="70" spans="11:20">
      <c r="K70" s="17"/>
      <c r="L70" s="12"/>
      <c r="M70" s="18"/>
      <c r="N70" s="12"/>
      <c r="O70" s="8"/>
      <c r="P70" s="14"/>
      <c r="Q70" s="15"/>
      <c r="R70" s="14"/>
      <c r="S70" s="16"/>
      <c r="T70" s="194"/>
    </row>
    <row r="71" spans="11:20">
      <c r="K71" s="17"/>
      <c r="L71" s="12"/>
      <c r="M71" s="20"/>
      <c r="N71" s="12"/>
      <c r="O71" s="8"/>
      <c r="P71" s="8"/>
      <c r="Q71" s="8"/>
      <c r="R71" s="14"/>
      <c r="S71" s="19"/>
      <c r="T71" s="197"/>
    </row>
    <row r="73" spans="11:20">
      <c r="K73" s="11"/>
      <c r="L73" s="12"/>
      <c r="M73" s="8"/>
      <c r="N73" s="12"/>
      <c r="O73" s="13"/>
      <c r="P73" s="14"/>
      <c r="Q73" s="15"/>
      <c r="R73" s="14"/>
      <c r="S73" s="16"/>
      <c r="T73" s="14"/>
    </row>
    <row r="74" spans="11:20">
      <c r="K74" s="17"/>
      <c r="L74" s="12"/>
      <c r="M74" s="18"/>
      <c r="N74" s="12"/>
      <c r="O74" s="8"/>
      <c r="P74" s="14"/>
      <c r="Q74" s="15"/>
      <c r="R74" s="14"/>
      <c r="S74" s="16"/>
      <c r="T74" s="194"/>
    </row>
    <row r="75" spans="11:20">
      <c r="K75" s="17"/>
      <c r="L75" s="12"/>
      <c r="M75" s="8"/>
      <c r="N75" s="12"/>
      <c r="O75" s="8"/>
      <c r="P75" s="8"/>
      <c r="Q75" s="8"/>
      <c r="R75" s="14"/>
      <c r="S75" s="19"/>
      <c r="T75" s="197"/>
    </row>
    <row r="77" spans="11:20">
      <c r="K77" s="11"/>
      <c r="L77" s="12"/>
      <c r="M77" s="8"/>
      <c r="N77" s="12"/>
      <c r="O77" s="13"/>
      <c r="P77" s="14"/>
      <c r="Q77" s="15"/>
      <c r="R77" s="14"/>
      <c r="S77" s="16"/>
      <c r="T77" s="14"/>
    </row>
    <row r="78" spans="11:20">
      <c r="K78" s="17"/>
      <c r="L78" s="12"/>
      <c r="M78" s="18"/>
      <c r="N78" s="12"/>
      <c r="O78" s="8"/>
      <c r="P78" s="14"/>
      <c r="Q78" s="15"/>
      <c r="R78" s="14"/>
      <c r="S78" s="16"/>
      <c r="T78" s="194"/>
    </row>
    <row r="79" spans="11:20">
      <c r="K79" s="17"/>
      <c r="L79" s="12"/>
      <c r="M79" s="20"/>
      <c r="N79" s="12"/>
      <c r="O79" s="8"/>
      <c r="P79" s="8"/>
      <c r="Q79" s="8"/>
      <c r="R79" s="14"/>
      <c r="S79" s="19"/>
      <c r="T79" s="197"/>
    </row>
    <row r="81" spans="11:20">
      <c r="K81" s="11"/>
      <c r="L81" s="12"/>
      <c r="M81" s="8"/>
      <c r="N81" s="12"/>
      <c r="O81" s="13"/>
      <c r="P81" s="14"/>
      <c r="Q81" s="15"/>
      <c r="R81" s="14"/>
      <c r="S81" s="16"/>
      <c r="T81" s="14"/>
    </row>
    <row r="82" spans="11:20">
      <c r="K82" s="17"/>
      <c r="L82" s="12"/>
      <c r="M82" s="18"/>
      <c r="N82" s="12"/>
      <c r="O82" s="8"/>
      <c r="P82" s="14"/>
      <c r="Q82" s="15"/>
      <c r="R82" s="14"/>
      <c r="S82" s="16"/>
      <c r="T82" s="194"/>
    </row>
    <row r="83" spans="11:20">
      <c r="K83" s="17"/>
      <c r="L83" s="12"/>
      <c r="M83" s="8"/>
      <c r="N83" s="12"/>
      <c r="O83" s="8"/>
      <c r="P83" s="8"/>
      <c r="Q83" s="8"/>
      <c r="R83" s="14"/>
      <c r="S83" s="19"/>
      <c r="T83" s="197"/>
    </row>
    <row r="85" spans="11:20">
      <c r="K85" s="11"/>
      <c r="L85" s="12"/>
      <c r="M85" s="8"/>
      <c r="N85" s="12"/>
      <c r="O85" s="13"/>
      <c r="P85" s="14"/>
      <c r="Q85" s="15"/>
      <c r="R85" s="14"/>
      <c r="S85" s="16"/>
      <c r="T85" s="14"/>
    </row>
    <row r="86" spans="11:20">
      <c r="K86" s="17"/>
      <c r="L86" s="12"/>
      <c r="M86" s="18"/>
      <c r="N86" s="12"/>
      <c r="O86" s="8"/>
      <c r="P86" s="14"/>
      <c r="Q86" s="15"/>
      <c r="R86" s="14"/>
      <c r="S86" s="16"/>
      <c r="T86" s="194"/>
    </row>
    <row r="87" spans="11:20">
      <c r="K87" s="17"/>
      <c r="L87" s="12"/>
      <c r="M87" s="8"/>
      <c r="N87" s="12"/>
      <c r="O87" s="8"/>
      <c r="P87" s="8"/>
      <c r="Q87" s="8"/>
      <c r="R87" s="14"/>
      <c r="S87" s="19"/>
      <c r="T87" s="197"/>
    </row>
    <row r="89" spans="11:20">
      <c r="K89" s="11"/>
      <c r="L89" s="12"/>
      <c r="M89" s="8"/>
      <c r="N89" s="12"/>
      <c r="O89" s="13"/>
      <c r="P89" s="14"/>
      <c r="Q89" s="15"/>
      <c r="R89" s="14"/>
      <c r="S89" s="16"/>
      <c r="T89" s="14"/>
    </row>
    <row r="90" spans="11:20">
      <c r="K90" s="17"/>
      <c r="L90" s="12"/>
      <c r="M90" s="18"/>
      <c r="N90" s="12"/>
      <c r="O90" s="8"/>
      <c r="P90" s="14"/>
      <c r="Q90" s="15"/>
      <c r="R90" s="14"/>
      <c r="S90" s="16"/>
      <c r="T90" s="194"/>
    </row>
    <row r="91" spans="11:20">
      <c r="K91" s="17"/>
      <c r="L91" s="12"/>
      <c r="M91" s="18"/>
      <c r="N91" s="12"/>
      <c r="O91" s="8"/>
      <c r="P91" s="8"/>
      <c r="Q91" s="8"/>
      <c r="R91" s="14"/>
      <c r="S91" s="19"/>
      <c r="T91" s="197"/>
    </row>
    <row r="93" spans="11:20">
      <c r="K93" s="11"/>
      <c r="L93" s="12"/>
      <c r="M93" s="8"/>
      <c r="N93" s="12"/>
      <c r="O93" s="13"/>
      <c r="P93" s="14"/>
      <c r="Q93" s="15"/>
      <c r="R93" s="14"/>
      <c r="S93" s="16"/>
      <c r="T93" s="14"/>
    </row>
    <row r="94" spans="11:20">
      <c r="K94" s="17"/>
      <c r="L94" s="12"/>
      <c r="M94" s="18"/>
      <c r="N94" s="12"/>
      <c r="O94" s="8"/>
      <c r="P94" s="14"/>
      <c r="Q94" s="15"/>
      <c r="R94" s="14"/>
      <c r="S94" s="16"/>
      <c r="T94" s="194"/>
    </row>
    <row r="95" spans="11:20">
      <c r="K95" s="17"/>
      <c r="L95" s="12"/>
      <c r="M95" s="20"/>
      <c r="N95" s="12"/>
      <c r="O95" s="8"/>
      <c r="P95" s="8"/>
      <c r="Q95" s="8"/>
      <c r="R95" s="14"/>
      <c r="S95" s="19"/>
      <c r="T95" s="197"/>
    </row>
    <row r="97" spans="11:20">
      <c r="K97" s="11"/>
      <c r="L97" s="12"/>
      <c r="M97" s="8"/>
      <c r="N97" s="12"/>
      <c r="O97" s="13"/>
      <c r="P97" s="14"/>
      <c r="Q97" s="15"/>
      <c r="R97" s="14"/>
      <c r="S97" s="16"/>
      <c r="T97" s="14"/>
    </row>
    <row r="98" spans="11:20">
      <c r="K98" s="17"/>
      <c r="L98" s="12"/>
      <c r="M98" s="18"/>
      <c r="N98" s="12"/>
      <c r="O98" s="8"/>
      <c r="P98" s="14"/>
      <c r="Q98" s="15"/>
      <c r="R98" s="14"/>
      <c r="S98" s="16"/>
      <c r="T98" s="194"/>
    </row>
    <row r="99" spans="11:20">
      <c r="K99" s="17"/>
      <c r="L99" s="12"/>
      <c r="M99" s="20"/>
      <c r="N99" s="12"/>
      <c r="O99" s="8"/>
      <c r="P99" s="8"/>
      <c r="Q99" s="8"/>
      <c r="R99" s="14"/>
      <c r="S99" s="19"/>
      <c r="T99" s="197"/>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94"/>
    </row>
    <row r="103" spans="11:20">
      <c r="K103" s="17"/>
      <c r="L103" s="12"/>
      <c r="M103" s="8"/>
      <c r="N103" s="12"/>
      <c r="O103" s="8"/>
      <c r="P103" s="8"/>
      <c r="Q103" s="8"/>
      <c r="R103" s="14"/>
      <c r="S103" s="19"/>
      <c r="T103" s="197"/>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94"/>
    </row>
    <row r="107" spans="11:20">
      <c r="K107" s="17"/>
      <c r="L107" s="12"/>
      <c r="M107" s="8"/>
      <c r="N107" s="12"/>
      <c r="O107" s="8"/>
      <c r="P107" s="8"/>
      <c r="Q107" s="8"/>
      <c r="R107" s="14"/>
      <c r="S107" s="19"/>
      <c r="T107" s="197"/>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94"/>
    </row>
    <row r="111" spans="11:20">
      <c r="K111" s="17"/>
      <c r="L111" s="12"/>
      <c r="M111" s="8"/>
      <c r="N111" s="12"/>
      <c r="O111" s="8"/>
      <c r="P111" s="8"/>
      <c r="Q111" s="8"/>
      <c r="R111" s="14"/>
      <c r="S111" s="19"/>
      <c r="T111" s="197"/>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94"/>
    </row>
    <row r="115" spans="11:20">
      <c r="K115" s="17"/>
      <c r="L115" s="12"/>
      <c r="M115" s="8"/>
      <c r="N115" s="12"/>
      <c r="O115" s="8"/>
      <c r="P115" s="8"/>
      <c r="Q115" s="8"/>
      <c r="R115" s="14"/>
      <c r="S115" s="19"/>
      <c r="T115" s="197"/>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94"/>
    </row>
    <row r="119" spans="11:20">
      <c r="K119" s="17"/>
      <c r="L119" s="12"/>
      <c r="M119" s="8"/>
      <c r="N119" s="12"/>
      <c r="O119" s="8"/>
      <c r="P119" s="8"/>
      <c r="Q119" s="8"/>
      <c r="R119" s="14"/>
      <c r="S119" s="19"/>
      <c r="T119" s="197"/>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94"/>
    </row>
    <row r="123" spans="11:20">
      <c r="K123" s="17"/>
      <c r="L123" s="12"/>
      <c r="M123" s="8"/>
      <c r="N123" s="12"/>
      <c r="O123" s="8"/>
      <c r="P123" s="8"/>
      <c r="Q123" s="8"/>
      <c r="R123" s="14"/>
      <c r="S123" s="19"/>
      <c r="T123" s="197"/>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38" t="s">
        <v>4</v>
      </c>
      <c r="B1" s="238"/>
      <c r="C1" s="238"/>
      <c r="D1" s="238"/>
      <c r="E1" s="238"/>
      <c r="F1" s="238"/>
      <c r="G1" s="238"/>
      <c r="H1" s="238"/>
      <c r="I1" s="221" t="s">
        <v>5</v>
      </c>
      <c r="J1" s="221"/>
      <c r="K1" s="221"/>
      <c r="L1" s="221"/>
      <c r="M1" s="236" t="s">
        <v>6</v>
      </c>
      <c r="N1" s="236"/>
      <c r="O1" s="236"/>
      <c r="P1" s="236"/>
      <c r="Q1" s="236"/>
      <c r="R1" s="236"/>
      <c r="S1" s="236"/>
      <c r="T1" s="236"/>
      <c r="U1" s="236"/>
      <c r="V1" s="236"/>
      <c r="W1" s="236"/>
      <c r="X1" s="221" t="s">
        <v>7</v>
      </c>
      <c r="Y1" s="221"/>
      <c r="Z1" s="221"/>
      <c r="AA1" s="240" t="s">
        <v>225</v>
      </c>
      <c r="AB1" s="240"/>
      <c r="AC1" s="240"/>
      <c r="AD1" s="240"/>
      <c r="AE1" s="240"/>
      <c r="AF1" s="240"/>
      <c r="AG1" s="240"/>
      <c r="AH1" s="240"/>
      <c r="AI1" s="240"/>
      <c r="AJ1" s="240"/>
      <c r="AK1" s="225" t="s">
        <v>8</v>
      </c>
      <c r="AL1" s="225"/>
      <c r="AM1" s="225"/>
      <c r="AN1" s="226" t="s">
        <v>32</v>
      </c>
      <c r="AO1" s="226"/>
      <c r="AP1" s="226"/>
      <c r="AQ1" s="225" t="s">
        <v>9</v>
      </c>
      <c r="AR1" s="225"/>
      <c r="AS1" s="225"/>
      <c r="AT1" s="228">
        <f>AL7</f>
        <v>46125</v>
      </c>
      <c r="AU1" s="228"/>
      <c r="AV1" s="228"/>
      <c r="AW1" s="228"/>
      <c r="AX1" s="217" t="s">
        <v>10</v>
      </c>
      <c r="AY1" s="218"/>
      <c r="AZ1" s="218"/>
      <c r="BA1" s="219"/>
    </row>
    <row r="2" spans="1:53">
      <c r="A2" s="220" t="s">
        <v>16</v>
      </c>
      <c r="B2" s="220"/>
      <c r="C2" s="220"/>
      <c r="D2" s="220"/>
      <c r="E2" s="220"/>
      <c r="F2" s="220"/>
      <c r="G2" s="220"/>
      <c r="H2" s="220"/>
      <c r="I2" s="221" t="s">
        <v>11</v>
      </c>
      <c r="J2" s="221"/>
      <c r="K2" s="221"/>
      <c r="L2" s="221"/>
      <c r="M2" s="222" t="s">
        <v>29</v>
      </c>
      <c r="N2" s="223"/>
      <c r="O2" s="223"/>
      <c r="P2" s="223"/>
      <c r="Q2" s="223"/>
      <c r="R2" s="223"/>
      <c r="S2" s="223"/>
      <c r="T2" s="223"/>
      <c r="U2" s="223"/>
      <c r="V2" s="223"/>
      <c r="W2" s="224"/>
      <c r="X2" s="221"/>
      <c r="Y2" s="221"/>
      <c r="Z2" s="221"/>
      <c r="AA2" s="240"/>
      <c r="AB2" s="240"/>
      <c r="AC2" s="240"/>
      <c r="AD2" s="240"/>
      <c r="AE2" s="240"/>
      <c r="AF2" s="240"/>
      <c r="AG2" s="240"/>
      <c r="AH2" s="240"/>
      <c r="AI2" s="240"/>
      <c r="AJ2" s="240"/>
      <c r="AK2" s="225" t="s">
        <v>12</v>
      </c>
      <c r="AL2" s="225"/>
      <c r="AM2" s="225"/>
      <c r="AN2" s="226" t="s">
        <v>32</v>
      </c>
      <c r="AO2" s="226"/>
      <c r="AP2" s="226"/>
      <c r="AQ2" s="225" t="s">
        <v>13</v>
      </c>
      <c r="AR2" s="225"/>
      <c r="AS2" s="225"/>
      <c r="AT2" s="228">
        <v>46134</v>
      </c>
      <c r="AU2" s="228"/>
      <c r="AV2" s="228"/>
      <c r="AW2" s="228"/>
      <c r="AX2" s="229" t="s">
        <v>30</v>
      </c>
      <c r="AY2" s="230"/>
      <c r="AZ2" s="230"/>
      <c r="BA2" s="231"/>
    </row>
    <row r="3" spans="1:53" ht="12" customHeight="1">
      <c r="A3" s="235" t="s">
        <v>26</v>
      </c>
      <c r="B3" s="235"/>
      <c r="C3" s="235"/>
      <c r="D3" s="235"/>
      <c r="E3" s="235"/>
      <c r="F3" s="235"/>
      <c r="G3" s="235"/>
      <c r="H3" s="235"/>
      <c r="I3" s="221" t="s">
        <v>14</v>
      </c>
      <c r="J3" s="221"/>
      <c r="K3" s="221"/>
      <c r="L3" s="221"/>
      <c r="M3" s="236"/>
      <c r="N3" s="236"/>
      <c r="O3" s="236"/>
      <c r="P3" s="236"/>
      <c r="Q3" s="236"/>
      <c r="R3" s="236"/>
      <c r="S3" s="236"/>
      <c r="T3" s="236"/>
      <c r="U3" s="236"/>
      <c r="V3" s="236"/>
      <c r="W3" s="236"/>
      <c r="X3" s="221" t="s">
        <v>27</v>
      </c>
      <c r="Y3" s="221"/>
      <c r="Z3" s="221"/>
      <c r="AA3" s="237" t="s">
        <v>226</v>
      </c>
      <c r="AB3" s="237"/>
      <c r="AC3" s="237"/>
      <c r="AD3" s="237"/>
      <c r="AE3" s="237"/>
      <c r="AF3" s="237"/>
      <c r="AG3" s="237"/>
      <c r="AH3" s="237"/>
      <c r="AI3" s="237"/>
      <c r="AJ3" s="237"/>
      <c r="AK3" s="237"/>
      <c r="AL3" s="237"/>
      <c r="AM3" s="237"/>
      <c r="AN3" s="237"/>
      <c r="AO3" s="237"/>
      <c r="AP3" s="237"/>
      <c r="AQ3" s="225" t="s">
        <v>15</v>
      </c>
      <c r="AR3" s="225"/>
      <c r="AS3" s="225"/>
      <c r="AT3" s="241" t="str">
        <f ca="1">INDIRECT("A" &amp; COUNTA(A7:A39) + 6)</f>
        <v>r1.2</v>
      </c>
      <c r="AU3" s="241"/>
      <c r="AV3" s="241"/>
      <c r="AW3" s="241"/>
      <c r="AX3" s="232"/>
      <c r="AY3" s="233"/>
      <c r="AZ3" s="233"/>
      <c r="BA3" s="234"/>
    </row>
    <row r="4" spans="1:53" ht="5.9" customHeight="1"/>
    <row r="5" spans="1:53" ht="14">
      <c r="A5" s="239" t="s">
        <v>25</v>
      </c>
      <c r="B5" s="239"/>
      <c r="C5" s="239"/>
      <c r="D5" s="239"/>
      <c r="E5" s="239"/>
      <c r="F5" s="239"/>
      <c r="G5" s="239"/>
      <c r="H5" s="239"/>
      <c r="I5" s="239"/>
      <c r="J5" s="239"/>
      <c r="K5" s="239"/>
      <c r="L5" s="239"/>
      <c r="M5" s="239"/>
      <c r="N5" s="239"/>
      <c r="O5" s="239"/>
      <c r="P5" s="239"/>
      <c r="Q5" s="239"/>
      <c r="R5" s="239"/>
      <c r="S5" s="239"/>
      <c r="T5" s="239"/>
      <c r="U5" s="239"/>
      <c r="V5" s="239"/>
      <c r="W5" s="239"/>
      <c r="X5" s="239"/>
      <c r="Y5" s="239"/>
      <c r="Z5" s="239"/>
      <c r="AA5" s="239"/>
      <c r="AB5" s="239"/>
      <c r="AC5" s="239"/>
      <c r="AD5" s="239"/>
      <c r="AE5" s="239"/>
      <c r="AF5" s="239"/>
      <c r="AG5" s="239"/>
      <c r="AH5" s="239"/>
      <c r="AI5" s="239"/>
      <c r="AJ5" s="239"/>
      <c r="AK5" s="239"/>
      <c r="AL5" s="239"/>
      <c r="AM5" s="239"/>
      <c r="AN5" s="239"/>
      <c r="AO5" s="239"/>
      <c r="AP5" s="239"/>
      <c r="AQ5" s="239"/>
      <c r="AR5" s="239"/>
      <c r="AS5" s="239"/>
      <c r="AT5" s="239"/>
      <c r="AU5" s="239"/>
      <c r="AV5" s="239"/>
      <c r="AW5" s="239"/>
      <c r="AX5" s="239"/>
      <c r="AY5" s="239"/>
      <c r="AZ5" s="239"/>
      <c r="BA5" s="239"/>
    </row>
    <row r="6" spans="1:53">
      <c r="A6" s="242" t="s">
        <v>24</v>
      </c>
      <c r="B6" s="243"/>
      <c r="C6" s="227" t="s">
        <v>17</v>
      </c>
      <c r="D6" s="227"/>
      <c r="E6" s="227"/>
      <c r="F6" s="227"/>
      <c r="G6" s="227"/>
      <c r="H6" s="227"/>
      <c r="I6" s="227"/>
      <c r="J6" s="227"/>
      <c r="K6" s="227"/>
      <c r="L6" s="227"/>
      <c r="M6" s="227"/>
      <c r="N6" s="227"/>
      <c r="O6" s="227"/>
      <c r="P6" s="227"/>
      <c r="Q6" s="227" t="s">
        <v>18</v>
      </c>
      <c r="R6" s="227"/>
      <c r="S6" s="227"/>
      <c r="T6" s="227"/>
      <c r="U6" s="227"/>
      <c r="V6" s="227"/>
      <c r="W6" s="227"/>
      <c r="X6" s="227"/>
      <c r="Y6" s="227"/>
      <c r="Z6" s="227"/>
      <c r="AA6" s="227"/>
      <c r="AB6" s="227"/>
      <c r="AC6" s="227"/>
      <c r="AD6" s="227"/>
      <c r="AE6" s="227"/>
      <c r="AF6" s="227"/>
      <c r="AG6" s="227"/>
      <c r="AH6" s="227"/>
      <c r="AI6" s="227"/>
      <c r="AJ6" s="227"/>
      <c r="AK6" s="227"/>
      <c r="AL6" s="227" t="s">
        <v>19</v>
      </c>
      <c r="AM6" s="227"/>
      <c r="AN6" s="227"/>
      <c r="AO6" s="227"/>
      <c r="AP6" s="227" t="s">
        <v>20</v>
      </c>
      <c r="AQ6" s="227"/>
      <c r="AR6" s="227"/>
      <c r="AS6" s="227" t="s">
        <v>21</v>
      </c>
      <c r="AT6" s="227"/>
      <c r="AU6" s="227"/>
      <c r="AV6" s="227" t="s">
        <v>22</v>
      </c>
      <c r="AW6" s="227"/>
      <c r="AX6" s="227"/>
      <c r="AY6" s="227"/>
      <c r="AZ6" s="227"/>
      <c r="BA6" s="227"/>
    </row>
    <row r="7" spans="1:53">
      <c r="A7" s="199" t="s">
        <v>31</v>
      </c>
      <c r="B7" s="199"/>
      <c r="C7" s="200" t="s">
        <v>23</v>
      </c>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4">
        <v>46125</v>
      </c>
      <c r="AM7" s="205"/>
      <c r="AN7" s="205"/>
      <c r="AO7" s="205"/>
      <c r="AP7" s="200" t="s">
        <v>32</v>
      </c>
      <c r="AQ7" s="200"/>
      <c r="AR7" s="200"/>
      <c r="AS7" s="200"/>
      <c r="AT7" s="200"/>
      <c r="AU7" s="200"/>
      <c r="AV7" s="200"/>
      <c r="AW7" s="200"/>
      <c r="AX7" s="200"/>
      <c r="AY7" s="200"/>
      <c r="AZ7" s="200"/>
      <c r="BA7" s="200"/>
    </row>
    <row r="8" spans="1:53" ht="26.5" customHeight="1">
      <c r="A8" s="214" t="s">
        <v>220</v>
      </c>
      <c r="B8" s="215"/>
      <c r="C8" s="201" t="s">
        <v>222</v>
      </c>
      <c r="D8" s="201"/>
      <c r="E8" s="201"/>
      <c r="F8" s="201"/>
      <c r="G8" s="201"/>
      <c r="H8" s="201"/>
      <c r="I8" s="201"/>
      <c r="J8" s="201"/>
      <c r="K8" s="201"/>
      <c r="L8" s="201"/>
      <c r="M8" s="201"/>
      <c r="N8" s="201"/>
      <c r="O8" s="201"/>
      <c r="P8" s="201"/>
      <c r="Q8" s="211" t="s">
        <v>221</v>
      </c>
      <c r="R8" s="212"/>
      <c r="S8" s="212"/>
      <c r="T8" s="212"/>
      <c r="U8" s="212"/>
      <c r="V8" s="212"/>
      <c r="W8" s="212"/>
      <c r="X8" s="212"/>
      <c r="Y8" s="212"/>
      <c r="Z8" s="212"/>
      <c r="AA8" s="212"/>
      <c r="AB8" s="212"/>
      <c r="AC8" s="212"/>
      <c r="AD8" s="212"/>
      <c r="AE8" s="212"/>
      <c r="AF8" s="212"/>
      <c r="AG8" s="212"/>
      <c r="AH8" s="212"/>
      <c r="AI8" s="212"/>
      <c r="AJ8" s="212"/>
      <c r="AK8" s="213"/>
      <c r="AL8" s="206">
        <v>46134</v>
      </c>
      <c r="AM8" s="207"/>
      <c r="AN8" s="207"/>
      <c r="AO8" s="208"/>
      <c r="AP8" s="200" t="s">
        <v>32</v>
      </c>
      <c r="AQ8" s="200"/>
      <c r="AR8" s="200"/>
      <c r="AS8" s="200"/>
      <c r="AT8" s="200"/>
      <c r="AU8" s="200"/>
      <c r="AV8" s="200"/>
      <c r="AW8" s="200"/>
      <c r="AX8" s="200"/>
      <c r="AY8" s="200"/>
      <c r="AZ8" s="200"/>
      <c r="BA8" s="200"/>
    </row>
    <row r="9" spans="1:53">
      <c r="A9" s="214" t="s">
        <v>223</v>
      </c>
      <c r="B9" s="215"/>
      <c r="C9" s="200" t="s">
        <v>224</v>
      </c>
      <c r="D9" s="200"/>
      <c r="E9" s="200"/>
      <c r="F9" s="200"/>
      <c r="G9" s="200"/>
      <c r="H9" s="200"/>
      <c r="I9" s="200"/>
      <c r="J9" s="200"/>
      <c r="K9" s="200"/>
      <c r="L9" s="200"/>
      <c r="M9" s="200"/>
      <c r="N9" s="200"/>
      <c r="O9" s="200"/>
      <c r="P9" s="200"/>
      <c r="Q9" s="211" t="s">
        <v>309</v>
      </c>
      <c r="R9" s="212"/>
      <c r="S9" s="212"/>
      <c r="T9" s="212"/>
      <c r="U9" s="212"/>
      <c r="V9" s="212"/>
      <c r="W9" s="212"/>
      <c r="X9" s="212"/>
      <c r="Y9" s="212"/>
      <c r="Z9" s="212"/>
      <c r="AA9" s="212"/>
      <c r="AB9" s="212"/>
      <c r="AC9" s="212"/>
      <c r="AD9" s="212"/>
      <c r="AE9" s="212"/>
      <c r="AF9" s="212"/>
      <c r="AG9" s="212"/>
      <c r="AH9" s="212"/>
      <c r="AI9" s="212"/>
      <c r="AJ9" s="212"/>
      <c r="AK9" s="213"/>
      <c r="AL9" s="206">
        <v>46155</v>
      </c>
      <c r="AM9" s="207"/>
      <c r="AN9" s="207"/>
      <c r="AO9" s="208"/>
      <c r="AP9" s="200" t="s">
        <v>32</v>
      </c>
      <c r="AQ9" s="200"/>
      <c r="AR9" s="200"/>
      <c r="AS9" s="200"/>
      <c r="AT9" s="200"/>
      <c r="AU9" s="200"/>
      <c r="AV9" s="200"/>
      <c r="AW9" s="200"/>
      <c r="AX9" s="200"/>
      <c r="AY9" s="200"/>
      <c r="AZ9" s="200"/>
      <c r="BA9" s="200"/>
    </row>
    <row r="10" spans="1:53">
      <c r="A10" s="199"/>
      <c r="B10" s="199"/>
      <c r="C10" s="200"/>
      <c r="D10" s="200"/>
      <c r="E10" s="200"/>
      <c r="F10" s="200"/>
      <c r="G10" s="200"/>
      <c r="H10" s="200"/>
      <c r="I10" s="200"/>
      <c r="J10" s="200"/>
      <c r="K10" s="200"/>
      <c r="L10" s="200"/>
      <c r="M10" s="200"/>
      <c r="N10" s="200"/>
      <c r="O10" s="200"/>
      <c r="P10" s="200"/>
      <c r="Q10" s="201"/>
      <c r="R10" s="200"/>
      <c r="S10" s="200"/>
      <c r="T10" s="200"/>
      <c r="U10" s="200"/>
      <c r="V10" s="200"/>
      <c r="W10" s="200"/>
      <c r="X10" s="200"/>
      <c r="Y10" s="200"/>
      <c r="Z10" s="200"/>
      <c r="AA10" s="200"/>
      <c r="AB10" s="200"/>
      <c r="AC10" s="200"/>
      <c r="AD10" s="200"/>
      <c r="AE10" s="200"/>
      <c r="AF10" s="200"/>
      <c r="AG10" s="200"/>
      <c r="AH10" s="200"/>
      <c r="AI10" s="200"/>
      <c r="AJ10" s="200"/>
      <c r="AK10" s="200"/>
      <c r="AL10" s="198"/>
      <c r="AM10" s="199"/>
      <c r="AN10" s="199"/>
      <c r="AO10" s="199"/>
      <c r="AP10" s="200"/>
      <c r="AQ10" s="200"/>
      <c r="AR10" s="200"/>
      <c r="AS10" s="200"/>
      <c r="AT10" s="200"/>
      <c r="AU10" s="200"/>
      <c r="AV10" s="200"/>
      <c r="AW10" s="200"/>
      <c r="AX10" s="200"/>
      <c r="AY10" s="200"/>
      <c r="AZ10" s="200"/>
      <c r="BA10" s="200"/>
    </row>
    <row r="11" spans="1:53">
      <c r="A11" s="199"/>
      <c r="B11" s="199"/>
      <c r="C11" s="201"/>
      <c r="D11" s="200"/>
      <c r="E11" s="200"/>
      <c r="F11" s="200"/>
      <c r="G11" s="200"/>
      <c r="H11" s="200"/>
      <c r="I11" s="200"/>
      <c r="J11" s="200"/>
      <c r="K11" s="200"/>
      <c r="L11" s="200"/>
      <c r="M11" s="200"/>
      <c r="N11" s="200"/>
      <c r="O11" s="200"/>
      <c r="P11" s="200"/>
      <c r="Q11" s="201"/>
      <c r="R11" s="200"/>
      <c r="S11" s="200"/>
      <c r="T11" s="200"/>
      <c r="U11" s="200"/>
      <c r="V11" s="200"/>
      <c r="W11" s="200"/>
      <c r="X11" s="200"/>
      <c r="Y11" s="200"/>
      <c r="Z11" s="200"/>
      <c r="AA11" s="200"/>
      <c r="AB11" s="200"/>
      <c r="AC11" s="200"/>
      <c r="AD11" s="200"/>
      <c r="AE11" s="200"/>
      <c r="AF11" s="200"/>
      <c r="AG11" s="200"/>
      <c r="AH11" s="200"/>
      <c r="AI11" s="200"/>
      <c r="AJ11" s="200"/>
      <c r="AK11" s="200"/>
      <c r="AL11" s="198"/>
      <c r="AM11" s="199"/>
      <c r="AN11" s="199"/>
      <c r="AO11" s="199"/>
      <c r="AP11" s="200"/>
      <c r="AQ11" s="200"/>
      <c r="AR11" s="200"/>
      <c r="AS11" s="200"/>
      <c r="AT11" s="200"/>
      <c r="AU11" s="200"/>
      <c r="AV11" s="200"/>
      <c r="AW11" s="200"/>
      <c r="AX11" s="200"/>
      <c r="AY11" s="200"/>
      <c r="AZ11" s="200"/>
      <c r="BA11" s="200"/>
    </row>
    <row r="12" spans="1:53">
      <c r="A12" s="199"/>
      <c r="B12" s="199"/>
      <c r="C12" s="200"/>
      <c r="D12" s="200"/>
      <c r="E12" s="200"/>
      <c r="F12" s="200"/>
      <c r="G12" s="200"/>
      <c r="H12" s="200"/>
      <c r="I12" s="200"/>
      <c r="J12" s="200"/>
      <c r="K12" s="200"/>
      <c r="L12" s="200"/>
      <c r="M12" s="200"/>
      <c r="N12" s="200"/>
      <c r="O12" s="200"/>
      <c r="P12" s="200"/>
      <c r="Q12" s="200"/>
      <c r="R12" s="200"/>
      <c r="S12" s="200"/>
      <c r="T12" s="200"/>
      <c r="U12" s="200"/>
      <c r="V12" s="200"/>
      <c r="W12" s="200"/>
      <c r="X12" s="200"/>
      <c r="Y12" s="200"/>
      <c r="Z12" s="200"/>
      <c r="AA12" s="200"/>
      <c r="AB12" s="200"/>
      <c r="AC12" s="200"/>
      <c r="AD12" s="200"/>
      <c r="AE12" s="200"/>
      <c r="AF12" s="200"/>
      <c r="AG12" s="200"/>
      <c r="AH12" s="200"/>
      <c r="AI12" s="200"/>
      <c r="AJ12" s="200"/>
      <c r="AK12" s="200"/>
      <c r="AL12" s="198"/>
      <c r="AM12" s="199"/>
      <c r="AN12" s="199"/>
      <c r="AO12" s="199"/>
      <c r="AP12" s="200"/>
      <c r="AQ12" s="200"/>
      <c r="AR12" s="200"/>
      <c r="AS12" s="200"/>
      <c r="AT12" s="200"/>
      <c r="AU12" s="200"/>
      <c r="AV12" s="200"/>
      <c r="AW12" s="200"/>
      <c r="AX12" s="200"/>
      <c r="AY12" s="200"/>
      <c r="AZ12" s="200"/>
      <c r="BA12" s="200"/>
    </row>
    <row r="13" spans="1:53">
      <c r="A13" s="210"/>
      <c r="B13" s="210"/>
      <c r="C13" s="202"/>
      <c r="D13" s="202"/>
      <c r="E13" s="202"/>
      <c r="F13" s="202"/>
      <c r="G13" s="202"/>
      <c r="H13" s="202"/>
      <c r="I13" s="202"/>
      <c r="J13" s="202"/>
      <c r="K13" s="202"/>
      <c r="L13" s="202"/>
      <c r="M13" s="202"/>
      <c r="N13" s="202"/>
      <c r="O13" s="202"/>
      <c r="P13" s="202"/>
      <c r="Q13" s="201"/>
      <c r="R13" s="200"/>
      <c r="S13" s="200"/>
      <c r="T13" s="200"/>
      <c r="U13" s="200"/>
      <c r="V13" s="200"/>
      <c r="W13" s="200"/>
      <c r="X13" s="200"/>
      <c r="Y13" s="200"/>
      <c r="Z13" s="200"/>
      <c r="AA13" s="200"/>
      <c r="AB13" s="200"/>
      <c r="AC13" s="200"/>
      <c r="AD13" s="200"/>
      <c r="AE13" s="200"/>
      <c r="AF13" s="200"/>
      <c r="AG13" s="200"/>
      <c r="AH13" s="200"/>
      <c r="AI13" s="200"/>
      <c r="AJ13" s="200"/>
      <c r="AK13" s="200"/>
      <c r="AL13" s="209"/>
      <c r="AM13" s="210"/>
      <c r="AN13" s="210"/>
      <c r="AO13" s="210"/>
      <c r="AP13" s="200"/>
      <c r="AQ13" s="200"/>
      <c r="AR13" s="200"/>
      <c r="AS13" s="202"/>
      <c r="AT13" s="202"/>
      <c r="AU13" s="202"/>
      <c r="AV13" s="202"/>
      <c r="AW13" s="202"/>
      <c r="AX13" s="202"/>
      <c r="AY13" s="202"/>
      <c r="AZ13" s="202"/>
      <c r="BA13" s="202"/>
    </row>
    <row r="14" spans="1:53">
      <c r="A14" s="199"/>
      <c r="B14" s="199"/>
      <c r="C14" s="200"/>
      <c r="D14" s="200"/>
      <c r="E14" s="200"/>
      <c r="F14" s="200"/>
      <c r="G14" s="200"/>
      <c r="H14" s="200"/>
      <c r="I14" s="200"/>
      <c r="J14" s="200"/>
      <c r="K14" s="200"/>
      <c r="L14" s="200"/>
      <c r="M14" s="200"/>
      <c r="N14" s="200"/>
      <c r="O14" s="200"/>
      <c r="P14" s="200"/>
      <c r="Q14" s="201"/>
      <c r="R14" s="200"/>
      <c r="S14" s="200"/>
      <c r="T14" s="200"/>
      <c r="U14" s="200"/>
      <c r="V14" s="200"/>
      <c r="W14" s="200"/>
      <c r="X14" s="200"/>
      <c r="Y14" s="200"/>
      <c r="Z14" s="200"/>
      <c r="AA14" s="200"/>
      <c r="AB14" s="200"/>
      <c r="AC14" s="200"/>
      <c r="AD14" s="200"/>
      <c r="AE14" s="200"/>
      <c r="AF14" s="200"/>
      <c r="AG14" s="200"/>
      <c r="AH14" s="200"/>
      <c r="AI14" s="200"/>
      <c r="AJ14" s="200"/>
      <c r="AK14" s="200"/>
      <c r="AL14" s="198"/>
      <c r="AM14" s="199"/>
      <c r="AN14" s="199"/>
      <c r="AO14" s="199"/>
      <c r="AP14" s="200"/>
      <c r="AQ14" s="200"/>
      <c r="AR14" s="200"/>
      <c r="AS14" s="200"/>
      <c r="AT14" s="200"/>
      <c r="AU14" s="200"/>
      <c r="AV14" s="200"/>
      <c r="AW14" s="200"/>
      <c r="AX14" s="200"/>
      <c r="AY14" s="200"/>
      <c r="AZ14" s="200"/>
      <c r="BA14" s="200"/>
    </row>
    <row r="15" spans="1:53">
      <c r="A15" s="199"/>
      <c r="B15" s="199"/>
      <c r="C15" s="200"/>
      <c r="D15" s="200"/>
      <c r="E15" s="200"/>
      <c r="F15" s="200"/>
      <c r="G15" s="200"/>
      <c r="H15" s="200"/>
      <c r="I15" s="200"/>
      <c r="J15" s="200"/>
      <c r="K15" s="200"/>
      <c r="L15" s="200"/>
      <c r="M15" s="200"/>
      <c r="N15" s="200"/>
      <c r="O15" s="200"/>
      <c r="P15" s="200"/>
      <c r="Q15" s="201"/>
      <c r="R15" s="200"/>
      <c r="S15" s="200"/>
      <c r="T15" s="200"/>
      <c r="U15" s="200"/>
      <c r="V15" s="200"/>
      <c r="W15" s="200"/>
      <c r="X15" s="200"/>
      <c r="Y15" s="200"/>
      <c r="Z15" s="200"/>
      <c r="AA15" s="200"/>
      <c r="AB15" s="200"/>
      <c r="AC15" s="200"/>
      <c r="AD15" s="200"/>
      <c r="AE15" s="200"/>
      <c r="AF15" s="200"/>
      <c r="AG15" s="200"/>
      <c r="AH15" s="200"/>
      <c r="AI15" s="200"/>
      <c r="AJ15" s="200"/>
      <c r="AK15" s="200"/>
      <c r="AL15" s="198"/>
      <c r="AM15" s="199"/>
      <c r="AN15" s="199"/>
      <c r="AO15" s="199"/>
      <c r="AP15" s="200"/>
      <c r="AQ15" s="200"/>
      <c r="AR15" s="200"/>
      <c r="AS15" s="200"/>
      <c r="AT15" s="200"/>
      <c r="AU15" s="200"/>
      <c r="AV15" s="200"/>
      <c r="AW15" s="200"/>
      <c r="AX15" s="200"/>
      <c r="AY15" s="200"/>
      <c r="AZ15" s="200"/>
      <c r="BA15" s="200"/>
    </row>
    <row r="16" spans="1:53">
      <c r="A16" s="199"/>
      <c r="B16" s="199"/>
      <c r="C16" s="200"/>
      <c r="D16" s="200"/>
      <c r="E16" s="200"/>
      <c r="F16" s="200"/>
      <c r="G16" s="200"/>
      <c r="H16" s="200"/>
      <c r="I16" s="200"/>
      <c r="J16" s="200"/>
      <c r="K16" s="200"/>
      <c r="L16" s="200"/>
      <c r="M16" s="200"/>
      <c r="N16" s="200"/>
      <c r="O16" s="200"/>
      <c r="P16" s="200"/>
      <c r="Q16" s="201"/>
      <c r="R16" s="200"/>
      <c r="S16" s="200"/>
      <c r="T16" s="200"/>
      <c r="U16" s="200"/>
      <c r="V16" s="200"/>
      <c r="W16" s="200"/>
      <c r="X16" s="200"/>
      <c r="Y16" s="200"/>
      <c r="Z16" s="200"/>
      <c r="AA16" s="200"/>
      <c r="AB16" s="200"/>
      <c r="AC16" s="200"/>
      <c r="AD16" s="200"/>
      <c r="AE16" s="200"/>
      <c r="AF16" s="200"/>
      <c r="AG16" s="200"/>
      <c r="AH16" s="200"/>
      <c r="AI16" s="200"/>
      <c r="AJ16" s="200"/>
      <c r="AK16" s="200"/>
      <c r="AL16" s="198"/>
      <c r="AM16" s="199"/>
      <c r="AN16" s="199"/>
      <c r="AO16" s="199"/>
      <c r="AP16" s="200"/>
      <c r="AQ16" s="200"/>
      <c r="AR16" s="200"/>
      <c r="AS16" s="200"/>
      <c r="AT16" s="200"/>
      <c r="AU16" s="200"/>
      <c r="AV16" s="200"/>
      <c r="AW16" s="200"/>
      <c r="AX16" s="200"/>
      <c r="AY16" s="200"/>
      <c r="AZ16" s="200"/>
      <c r="BA16" s="200"/>
    </row>
    <row r="17" spans="1:53">
      <c r="A17" s="216"/>
      <c r="B17" s="216"/>
      <c r="C17" s="200"/>
      <c r="D17" s="200"/>
      <c r="E17" s="200"/>
      <c r="F17" s="200"/>
      <c r="G17" s="200"/>
      <c r="H17" s="200"/>
      <c r="I17" s="200"/>
      <c r="J17" s="200"/>
      <c r="K17" s="200"/>
      <c r="L17" s="200"/>
      <c r="M17" s="200"/>
      <c r="N17" s="200"/>
      <c r="O17" s="200"/>
      <c r="P17" s="200"/>
      <c r="Q17" s="200"/>
      <c r="R17" s="203"/>
      <c r="S17" s="203"/>
      <c r="T17" s="203"/>
      <c r="U17" s="203"/>
      <c r="V17" s="203"/>
      <c r="W17" s="203"/>
      <c r="X17" s="203"/>
      <c r="Y17" s="203"/>
      <c r="Z17" s="203"/>
      <c r="AA17" s="203"/>
      <c r="AB17" s="203"/>
      <c r="AC17" s="203"/>
      <c r="AD17" s="203"/>
      <c r="AE17" s="203"/>
      <c r="AF17" s="203"/>
      <c r="AG17" s="203"/>
      <c r="AH17" s="203"/>
      <c r="AI17" s="203"/>
      <c r="AJ17" s="203"/>
      <c r="AK17" s="203"/>
      <c r="AL17" s="198"/>
      <c r="AM17" s="199"/>
      <c r="AN17" s="199"/>
      <c r="AO17" s="199"/>
      <c r="AP17" s="200"/>
      <c r="AQ17" s="203"/>
      <c r="AR17" s="203"/>
      <c r="AS17" s="203"/>
      <c r="AT17" s="203"/>
      <c r="AU17" s="203"/>
      <c r="AV17" s="203"/>
      <c r="AW17" s="203"/>
      <c r="AX17" s="203"/>
      <c r="AY17" s="203"/>
      <c r="AZ17" s="203"/>
      <c r="BA17" s="203"/>
    </row>
    <row r="18" spans="1:53">
      <c r="A18" s="216"/>
      <c r="B18" s="216"/>
      <c r="C18" s="200"/>
      <c r="D18" s="200"/>
      <c r="E18" s="200"/>
      <c r="F18" s="200"/>
      <c r="G18" s="200"/>
      <c r="H18" s="200"/>
      <c r="I18" s="200"/>
      <c r="J18" s="200"/>
      <c r="K18" s="200"/>
      <c r="L18" s="200"/>
      <c r="M18" s="200"/>
      <c r="N18" s="200"/>
      <c r="O18" s="200"/>
      <c r="P18" s="200"/>
      <c r="Q18" s="200"/>
      <c r="R18" s="203"/>
      <c r="S18" s="203"/>
      <c r="T18" s="203"/>
      <c r="U18" s="203"/>
      <c r="V18" s="203"/>
      <c r="W18" s="203"/>
      <c r="X18" s="203"/>
      <c r="Y18" s="203"/>
      <c r="Z18" s="203"/>
      <c r="AA18" s="203"/>
      <c r="AB18" s="203"/>
      <c r="AC18" s="203"/>
      <c r="AD18" s="203"/>
      <c r="AE18" s="203"/>
      <c r="AF18" s="203"/>
      <c r="AG18" s="203"/>
      <c r="AH18" s="203"/>
      <c r="AI18" s="203"/>
      <c r="AJ18" s="203"/>
      <c r="AK18" s="203"/>
      <c r="AL18" s="198"/>
      <c r="AM18" s="199"/>
      <c r="AN18" s="199"/>
      <c r="AO18" s="199"/>
      <c r="AP18" s="200"/>
      <c r="AQ18" s="203"/>
      <c r="AR18" s="203"/>
      <c r="AS18" s="203"/>
      <c r="AT18" s="203"/>
      <c r="AU18" s="203"/>
      <c r="AV18" s="203"/>
      <c r="AW18" s="203"/>
      <c r="AX18" s="203"/>
      <c r="AY18" s="203"/>
      <c r="AZ18" s="203"/>
      <c r="BA18" s="203"/>
    </row>
    <row r="19" spans="1:53">
      <c r="A19" s="199"/>
      <c r="B19" s="199"/>
      <c r="C19" s="200"/>
      <c r="D19" s="200"/>
      <c r="E19" s="200"/>
      <c r="F19" s="200"/>
      <c r="G19" s="200"/>
      <c r="H19" s="200"/>
      <c r="I19" s="200"/>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198"/>
      <c r="AM19" s="198"/>
      <c r="AN19" s="198"/>
      <c r="AO19" s="198"/>
      <c r="AP19" s="200"/>
      <c r="AQ19" s="200"/>
      <c r="AR19" s="200"/>
      <c r="AS19" s="200"/>
      <c r="AT19" s="200"/>
      <c r="AU19" s="200"/>
      <c r="AV19" s="200"/>
      <c r="AW19" s="200"/>
      <c r="AX19" s="200"/>
      <c r="AY19" s="200"/>
      <c r="AZ19" s="200"/>
      <c r="BA19" s="200"/>
    </row>
    <row r="20" spans="1:53">
      <c r="A20" s="199"/>
      <c r="B20" s="199"/>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c r="AA20" s="200"/>
      <c r="AB20" s="200"/>
      <c r="AC20" s="200"/>
      <c r="AD20" s="200"/>
      <c r="AE20" s="200"/>
      <c r="AF20" s="200"/>
      <c r="AG20" s="200"/>
      <c r="AH20" s="200"/>
      <c r="AI20" s="200"/>
      <c r="AJ20" s="200"/>
      <c r="AK20" s="200"/>
      <c r="AL20" s="198"/>
      <c r="AM20" s="198"/>
      <c r="AN20" s="198"/>
      <c r="AO20" s="198"/>
      <c r="AP20" s="200"/>
      <c r="AQ20" s="200"/>
      <c r="AR20" s="200"/>
      <c r="AS20" s="200"/>
      <c r="AT20" s="200"/>
      <c r="AU20" s="200"/>
      <c r="AV20" s="200"/>
      <c r="AW20" s="200"/>
      <c r="AX20" s="200"/>
      <c r="AY20" s="200"/>
      <c r="AZ20" s="200"/>
      <c r="BA20" s="200"/>
    </row>
    <row r="21" spans="1:53" ht="13.5" customHeight="1">
      <c r="A21" s="199"/>
      <c r="B21" s="199"/>
      <c r="C21" s="200"/>
      <c r="D21" s="200"/>
      <c r="E21" s="200"/>
      <c r="F21" s="200"/>
      <c r="G21" s="200"/>
      <c r="H21" s="200"/>
      <c r="I21" s="200"/>
      <c r="J21" s="200"/>
      <c r="K21" s="200"/>
      <c r="L21" s="200"/>
      <c r="M21" s="200"/>
      <c r="N21" s="200"/>
      <c r="O21" s="200"/>
      <c r="P21" s="200"/>
      <c r="Q21" s="200"/>
      <c r="R21" s="203"/>
      <c r="S21" s="203"/>
      <c r="T21" s="203"/>
      <c r="U21" s="203"/>
      <c r="V21" s="203"/>
      <c r="W21" s="203"/>
      <c r="X21" s="203"/>
      <c r="Y21" s="203"/>
      <c r="Z21" s="203"/>
      <c r="AA21" s="203"/>
      <c r="AB21" s="203"/>
      <c r="AC21" s="203"/>
      <c r="AD21" s="203"/>
      <c r="AE21" s="203"/>
      <c r="AF21" s="203"/>
      <c r="AG21" s="203"/>
      <c r="AH21" s="203"/>
      <c r="AI21" s="203"/>
      <c r="AJ21" s="203"/>
      <c r="AK21" s="203"/>
      <c r="AL21" s="198"/>
      <c r="AM21" s="198"/>
      <c r="AN21" s="198"/>
      <c r="AO21" s="198"/>
      <c r="AP21" s="200"/>
      <c r="AQ21" s="200"/>
      <c r="AR21" s="200"/>
      <c r="AS21" s="200"/>
      <c r="AT21" s="200"/>
      <c r="AU21" s="200"/>
      <c r="AV21" s="200"/>
      <c r="AW21" s="200"/>
      <c r="AX21" s="200"/>
      <c r="AY21" s="200"/>
      <c r="AZ21" s="200"/>
      <c r="BA21" s="200"/>
    </row>
    <row r="22" spans="1:53">
      <c r="A22" s="199"/>
      <c r="B22" s="199"/>
      <c r="C22" s="200"/>
      <c r="D22" s="200"/>
      <c r="E22" s="200"/>
      <c r="F22" s="200"/>
      <c r="G22" s="200"/>
      <c r="H22" s="200"/>
      <c r="I22" s="200"/>
      <c r="J22" s="200"/>
      <c r="K22" s="200"/>
      <c r="L22" s="200"/>
      <c r="M22" s="200"/>
      <c r="N22" s="200"/>
      <c r="O22" s="200"/>
      <c r="P22" s="200"/>
      <c r="Q22" s="200"/>
      <c r="R22" s="200"/>
      <c r="S22" s="200"/>
      <c r="T22" s="200"/>
      <c r="U22" s="200"/>
      <c r="V22" s="200"/>
      <c r="W22" s="200"/>
      <c r="X22" s="200"/>
      <c r="Y22" s="200"/>
      <c r="Z22" s="200"/>
      <c r="AA22" s="200"/>
      <c r="AB22" s="200"/>
      <c r="AC22" s="200"/>
      <c r="AD22" s="200"/>
      <c r="AE22" s="200"/>
      <c r="AF22" s="200"/>
      <c r="AG22" s="200"/>
      <c r="AH22" s="200"/>
      <c r="AI22" s="200"/>
      <c r="AJ22" s="200"/>
      <c r="AK22" s="200"/>
      <c r="AL22" s="198"/>
      <c r="AM22" s="198"/>
      <c r="AN22" s="198"/>
      <c r="AO22" s="198"/>
      <c r="AP22" s="200"/>
      <c r="AQ22" s="200"/>
      <c r="AR22" s="200"/>
      <c r="AS22" s="200"/>
      <c r="AT22" s="200"/>
      <c r="AU22" s="200"/>
      <c r="AV22" s="200"/>
      <c r="AW22" s="200"/>
      <c r="AX22" s="200"/>
      <c r="AY22" s="200"/>
      <c r="AZ22" s="200"/>
      <c r="BA22" s="200"/>
    </row>
    <row r="23" spans="1:53">
      <c r="A23" s="199"/>
      <c r="B23" s="199"/>
      <c r="C23" s="200"/>
      <c r="D23" s="200"/>
      <c r="E23" s="200"/>
      <c r="F23" s="200"/>
      <c r="G23" s="200"/>
      <c r="H23" s="200"/>
      <c r="I23" s="200"/>
      <c r="J23" s="200"/>
      <c r="K23" s="200"/>
      <c r="L23" s="200"/>
      <c r="M23" s="200"/>
      <c r="N23" s="200"/>
      <c r="O23" s="200"/>
      <c r="P23" s="200"/>
      <c r="Q23" s="200"/>
      <c r="R23" s="203"/>
      <c r="S23" s="203"/>
      <c r="T23" s="203"/>
      <c r="U23" s="203"/>
      <c r="V23" s="203"/>
      <c r="W23" s="203"/>
      <c r="X23" s="203"/>
      <c r="Y23" s="203"/>
      <c r="Z23" s="203"/>
      <c r="AA23" s="203"/>
      <c r="AB23" s="203"/>
      <c r="AC23" s="203"/>
      <c r="AD23" s="203"/>
      <c r="AE23" s="203"/>
      <c r="AF23" s="203"/>
      <c r="AG23" s="203"/>
      <c r="AH23" s="203"/>
      <c r="AI23" s="203"/>
      <c r="AJ23" s="203"/>
      <c r="AK23" s="203"/>
      <c r="AL23" s="198"/>
      <c r="AM23" s="198"/>
      <c r="AN23" s="198"/>
      <c r="AO23" s="198"/>
      <c r="AP23" s="200"/>
      <c r="AQ23" s="200"/>
      <c r="AR23" s="200"/>
      <c r="AS23" s="200"/>
      <c r="AT23" s="200"/>
      <c r="AU23" s="200"/>
      <c r="AV23" s="200"/>
      <c r="AW23" s="200"/>
      <c r="AX23" s="200"/>
      <c r="AY23" s="200"/>
      <c r="AZ23" s="200"/>
      <c r="BA23" s="200"/>
    </row>
    <row r="24" spans="1:53">
      <c r="A24" s="199"/>
      <c r="B24" s="199"/>
      <c r="C24" s="200"/>
      <c r="D24" s="200"/>
      <c r="E24" s="200"/>
      <c r="F24" s="200"/>
      <c r="G24" s="200"/>
      <c r="H24" s="200"/>
      <c r="I24" s="200"/>
      <c r="J24" s="200"/>
      <c r="K24" s="200"/>
      <c r="L24" s="200"/>
      <c r="M24" s="200"/>
      <c r="N24" s="200"/>
      <c r="O24" s="200"/>
      <c r="P24" s="200"/>
      <c r="Q24" s="200"/>
      <c r="R24" s="200"/>
      <c r="S24" s="200"/>
      <c r="T24" s="200"/>
      <c r="U24" s="200"/>
      <c r="V24" s="200"/>
      <c r="W24" s="200"/>
      <c r="X24" s="200"/>
      <c r="Y24" s="200"/>
      <c r="Z24" s="200"/>
      <c r="AA24" s="200"/>
      <c r="AB24" s="200"/>
      <c r="AC24" s="200"/>
      <c r="AD24" s="200"/>
      <c r="AE24" s="200"/>
      <c r="AF24" s="200"/>
      <c r="AG24" s="200"/>
      <c r="AH24" s="200"/>
      <c r="AI24" s="200"/>
      <c r="AJ24" s="200"/>
      <c r="AK24" s="200"/>
      <c r="AL24" s="198"/>
      <c r="AM24" s="198"/>
      <c r="AN24" s="198"/>
      <c r="AO24" s="198"/>
      <c r="AP24" s="200"/>
      <c r="AQ24" s="200"/>
      <c r="AR24" s="200"/>
      <c r="AS24" s="200"/>
      <c r="AT24" s="200"/>
      <c r="AU24" s="200"/>
      <c r="AV24" s="200"/>
      <c r="AW24" s="200"/>
      <c r="AX24" s="200"/>
      <c r="AY24" s="200"/>
      <c r="AZ24" s="200"/>
      <c r="BA24" s="200"/>
    </row>
    <row r="25" spans="1:53">
      <c r="A25" s="199"/>
      <c r="B25" s="199"/>
      <c r="C25" s="200"/>
      <c r="D25" s="200"/>
      <c r="E25" s="200"/>
      <c r="F25" s="200"/>
      <c r="G25" s="200"/>
      <c r="H25" s="200"/>
      <c r="I25" s="200"/>
      <c r="J25" s="200"/>
      <c r="K25" s="200"/>
      <c r="L25" s="200"/>
      <c r="M25" s="200"/>
      <c r="N25" s="200"/>
      <c r="O25" s="200"/>
      <c r="P25" s="200"/>
      <c r="Q25" s="200"/>
      <c r="R25" s="200"/>
      <c r="S25" s="200"/>
      <c r="T25" s="200"/>
      <c r="U25" s="200"/>
      <c r="V25" s="200"/>
      <c r="W25" s="200"/>
      <c r="X25" s="200"/>
      <c r="Y25" s="200"/>
      <c r="Z25" s="200"/>
      <c r="AA25" s="200"/>
      <c r="AB25" s="200"/>
      <c r="AC25" s="200"/>
      <c r="AD25" s="200"/>
      <c r="AE25" s="200"/>
      <c r="AF25" s="200"/>
      <c r="AG25" s="200"/>
      <c r="AH25" s="200"/>
      <c r="AI25" s="200"/>
      <c r="AJ25" s="200"/>
      <c r="AK25" s="200"/>
      <c r="AL25" s="198"/>
      <c r="AM25" s="199"/>
      <c r="AN25" s="199"/>
      <c r="AO25" s="199"/>
      <c r="AP25" s="200"/>
      <c r="AQ25" s="200"/>
      <c r="AR25" s="200"/>
      <c r="AS25" s="200"/>
      <c r="AT25" s="200"/>
      <c r="AU25" s="200"/>
      <c r="AV25" s="200"/>
      <c r="AW25" s="200"/>
      <c r="AX25" s="200"/>
      <c r="AY25" s="200"/>
      <c r="AZ25" s="200"/>
      <c r="BA25" s="200"/>
    </row>
    <row r="26" spans="1:53">
      <c r="A26" s="199"/>
      <c r="B26" s="199"/>
      <c r="C26" s="200"/>
      <c r="D26" s="200"/>
      <c r="E26" s="200"/>
      <c r="F26" s="200"/>
      <c r="G26" s="200"/>
      <c r="H26" s="200"/>
      <c r="I26" s="200"/>
      <c r="J26" s="200"/>
      <c r="K26" s="200"/>
      <c r="L26" s="200"/>
      <c r="M26" s="200"/>
      <c r="N26" s="200"/>
      <c r="O26" s="200"/>
      <c r="P26" s="200"/>
      <c r="Q26" s="200"/>
      <c r="R26" s="200"/>
      <c r="S26" s="200"/>
      <c r="T26" s="200"/>
      <c r="U26" s="200"/>
      <c r="V26" s="200"/>
      <c r="W26" s="200"/>
      <c r="X26" s="200"/>
      <c r="Y26" s="200"/>
      <c r="Z26" s="200"/>
      <c r="AA26" s="200"/>
      <c r="AB26" s="200"/>
      <c r="AC26" s="200"/>
      <c r="AD26" s="200"/>
      <c r="AE26" s="200"/>
      <c r="AF26" s="200"/>
      <c r="AG26" s="200"/>
      <c r="AH26" s="200"/>
      <c r="AI26" s="200"/>
      <c r="AJ26" s="200"/>
      <c r="AK26" s="200"/>
      <c r="AL26" s="198"/>
      <c r="AM26" s="199"/>
      <c r="AN26" s="199"/>
      <c r="AO26" s="199"/>
      <c r="AP26" s="200"/>
      <c r="AQ26" s="200"/>
      <c r="AR26" s="200"/>
      <c r="AS26" s="200"/>
      <c r="AT26" s="200"/>
      <c r="AU26" s="200"/>
      <c r="AV26" s="200"/>
      <c r="AW26" s="200"/>
      <c r="AX26" s="200"/>
      <c r="AY26" s="200"/>
      <c r="AZ26" s="200"/>
      <c r="BA26" s="200"/>
    </row>
    <row r="27" spans="1:53">
      <c r="A27" s="199"/>
      <c r="B27" s="199"/>
      <c r="C27" s="200"/>
      <c r="D27" s="200"/>
      <c r="E27" s="200"/>
      <c r="F27" s="200"/>
      <c r="G27" s="200"/>
      <c r="H27" s="200"/>
      <c r="I27" s="200"/>
      <c r="J27" s="200"/>
      <c r="K27" s="200"/>
      <c r="L27" s="200"/>
      <c r="M27" s="200"/>
      <c r="N27" s="200"/>
      <c r="O27" s="200"/>
      <c r="P27" s="200"/>
      <c r="Q27" s="200"/>
      <c r="R27" s="200"/>
      <c r="S27" s="200"/>
      <c r="T27" s="200"/>
      <c r="U27" s="200"/>
      <c r="V27" s="200"/>
      <c r="W27" s="200"/>
      <c r="X27" s="200"/>
      <c r="Y27" s="200"/>
      <c r="Z27" s="200"/>
      <c r="AA27" s="200"/>
      <c r="AB27" s="200"/>
      <c r="AC27" s="200"/>
      <c r="AD27" s="200"/>
      <c r="AE27" s="200"/>
      <c r="AF27" s="200"/>
      <c r="AG27" s="200"/>
      <c r="AH27" s="200"/>
      <c r="AI27" s="200"/>
      <c r="AJ27" s="200"/>
      <c r="AK27" s="200"/>
      <c r="AL27" s="198"/>
      <c r="AM27" s="199"/>
      <c r="AN27" s="199"/>
      <c r="AO27" s="199"/>
      <c r="AP27" s="200"/>
      <c r="AQ27" s="200"/>
      <c r="AR27" s="200"/>
      <c r="AS27" s="200"/>
      <c r="AT27" s="200"/>
      <c r="AU27" s="200"/>
      <c r="AV27" s="200"/>
      <c r="AW27" s="200"/>
      <c r="AX27" s="200"/>
      <c r="AY27" s="200"/>
      <c r="AZ27" s="200"/>
      <c r="BA27" s="200"/>
    </row>
    <row r="28" spans="1:53">
      <c r="A28" s="199"/>
      <c r="B28" s="199"/>
      <c r="C28" s="200"/>
      <c r="D28" s="200"/>
      <c r="E28" s="200"/>
      <c r="F28" s="200"/>
      <c r="G28" s="200"/>
      <c r="H28" s="200"/>
      <c r="I28" s="200"/>
      <c r="J28" s="200"/>
      <c r="K28" s="200"/>
      <c r="L28" s="200"/>
      <c r="M28" s="200"/>
      <c r="N28" s="200"/>
      <c r="O28" s="200"/>
      <c r="P28" s="200"/>
      <c r="Q28" s="200"/>
      <c r="R28" s="200"/>
      <c r="S28" s="200"/>
      <c r="T28" s="200"/>
      <c r="U28" s="200"/>
      <c r="V28" s="200"/>
      <c r="W28" s="200"/>
      <c r="X28" s="200"/>
      <c r="Y28" s="200"/>
      <c r="Z28" s="200"/>
      <c r="AA28" s="200"/>
      <c r="AB28" s="200"/>
      <c r="AC28" s="200"/>
      <c r="AD28" s="200"/>
      <c r="AE28" s="200"/>
      <c r="AF28" s="200"/>
      <c r="AG28" s="200"/>
      <c r="AH28" s="200"/>
      <c r="AI28" s="200"/>
      <c r="AJ28" s="200"/>
      <c r="AK28" s="200"/>
      <c r="AL28" s="198"/>
      <c r="AM28" s="199"/>
      <c r="AN28" s="199"/>
      <c r="AO28" s="199"/>
      <c r="AP28" s="200"/>
      <c r="AQ28" s="200"/>
      <c r="AR28" s="200"/>
      <c r="AS28" s="200"/>
      <c r="AT28" s="200"/>
      <c r="AU28" s="200"/>
      <c r="AV28" s="200"/>
      <c r="AW28" s="200"/>
      <c r="AX28" s="200"/>
      <c r="AY28" s="200"/>
      <c r="AZ28" s="200"/>
      <c r="BA28" s="200"/>
    </row>
    <row r="29" spans="1:53">
      <c r="A29" s="199"/>
      <c r="B29" s="199"/>
      <c r="C29" s="200"/>
      <c r="D29" s="200"/>
      <c r="E29" s="200"/>
      <c r="F29" s="200"/>
      <c r="G29" s="200"/>
      <c r="H29" s="200"/>
      <c r="I29" s="200"/>
      <c r="J29" s="200"/>
      <c r="K29" s="200"/>
      <c r="L29" s="200"/>
      <c r="M29" s="200"/>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198"/>
      <c r="AM29" s="199"/>
      <c r="AN29" s="199"/>
      <c r="AO29" s="199"/>
      <c r="AP29" s="200"/>
      <c r="AQ29" s="200"/>
      <c r="AR29" s="200"/>
      <c r="AS29" s="200"/>
      <c r="AT29" s="200"/>
      <c r="AU29" s="200"/>
      <c r="AV29" s="200"/>
      <c r="AW29" s="200"/>
      <c r="AX29" s="200"/>
      <c r="AY29" s="200"/>
      <c r="AZ29" s="200"/>
      <c r="BA29" s="200"/>
    </row>
    <row r="30" spans="1:53">
      <c r="A30" s="199"/>
      <c r="B30" s="199"/>
      <c r="C30" s="200"/>
      <c r="D30" s="200"/>
      <c r="E30" s="200"/>
      <c r="F30" s="200"/>
      <c r="G30" s="200"/>
      <c r="H30" s="200"/>
      <c r="I30" s="200"/>
      <c r="J30" s="200"/>
      <c r="K30" s="200"/>
      <c r="L30" s="200"/>
      <c r="M30" s="200"/>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199"/>
      <c r="AM30" s="199"/>
      <c r="AN30" s="199"/>
      <c r="AO30" s="199"/>
      <c r="AP30" s="200"/>
      <c r="AQ30" s="200"/>
      <c r="AR30" s="200"/>
      <c r="AS30" s="200"/>
      <c r="AT30" s="200"/>
      <c r="AU30" s="200"/>
      <c r="AV30" s="200"/>
      <c r="AW30" s="200"/>
      <c r="AX30" s="200"/>
      <c r="AY30" s="200"/>
      <c r="AZ30" s="200"/>
      <c r="BA30" s="200"/>
    </row>
    <row r="31" spans="1:53">
      <c r="A31" s="199"/>
      <c r="B31" s="199"/>
      <c r="C31" s="200"/>
      <c r="D31" s="200"/>
      <c r="E31" s="200"/>
      <c r="F31" s="200"/>
      <c r="G31" s="200"/>
      <c r="H31" s="200"/>
      <c r="I31" s="200"/>
      <c r="J31" s="200"/>
      <c r="K31" s="200"/>
      <c r="L31" s="200"/>
      <c r="M31" s="200"/>
      <c r="N31" s="200"/>
      <c r="O31" s="200"/>
      <c r="P31" s="200"/>
      <c r="Q31" s="200"/>
      <c r="R31" s="200"/>
      <c r="S31" s="200"/>
      <c r="T31" s="200"/>
      <c r="U31" s="200"/>
      <c r="V31" s="200"/>
      <c r="W31" s="200"/>
      <c r="X31" s="200"/>
      <c r="Y31" s="200"/>
      <c r="Z31" s="200"/>
      <c r="AA31" s="200"/>
      <c r="AB31" s="200"/>
      <c r="AC31" s="200"/>
      <c r="AD31" s="200"/>
      <c r="AE31" s="200"/>
      <c r="AF31" s="200"/>
      <c r="AG31" s="200"/>
      <c r="AH31" s="200"/>
      <c r="AI31" s="200"/>
      <c r="AJ31" s="200"/>
      <c r="AK31" s="200"/>
      <c r="AL31" s="199"/>
      <c r="AM31" s="199"/>
      <c r="AN31" s="199"/>
      <c r="AO31" s="199"/>
      <c r="AP31" s="200"/>
      <c r="AQ31" s="200"/>
      <c r="AR31" s="200"/>
      <c r="AS31" s="200"/>
      <c r="AT31" s="200"/>
      <c r="AU31" s="200"/>
      <c r="AV31" s="200"/>
      <c r="AW31" s="200"/>
      <c r="AX31" s="200"/>
      <c r="AY31" s="200"/>
      <c r="AZ31" s="200"/>
      <c r="BA31" s="200"/>
    </row>
    <row r="32" spans="1:53">
      <c r="A32" s="199"/>
      <c r="B32" s="199"/>
      <c r="C32" s="200"/>
      <c r="D32" s="200"/>
      <c r="E32" s="200"/>
      <c r="F32" s="200"/>
      <c r="G32" s="200"/>
      <c r="H32" s="200"/>
      <c r="I32" s="200"/>
      <c r="J32" s="200"/>
      <c r="K32" s="200"/>
      <c r="L32" s="200"/>
      <c r="M32" s="200"/>
      <c r="N32" s="200"/>
      <c r="O32" s="200"/>
      <c r="P32" s="200"/>
      <c r="Q32" s="200"/>
      <c r="R32" s="200"/>
      <c r="S32" s="200"/>
      <c r="T32" s="200"/>
      <c r="U32" s="200"/>
      <c r="V32" s="200"/>
      <c r="W32" s="200"/>
      <c r="X32" s="200"/>
      <c r="Y32" s="200"/>
      <c r="Z32" s="200"/>
      <c r="AA32" s="200"/>
      <c r="AB32" s="200"/>
      <c r="AC32" s="200"/>
      <c r="AD32" s="200"/>
      <c r="AE32" s="200"/>
      <c r="AF32" s="200"/>
      <c r="AG32" s="200"/>
      <c r="AH32" s="200"/>
      <c r="AI32" s="200"/>
      <c r="AJ32" s="200"/>
      <c r="AK32" s="200"/>
      <c r="AL32" s="199"/>
      <c r="AM32" s="199"/>
      <c r="AN32" s="199"/>
      <c r="AO32" s="199"/>
      <c r="AP32" s="200"/>
      <c r="AQ32" s="200"/>
      <c r="AR32" s="200"/>
      <c r="AS32" s="200"/>
      <c r="AT32" s="200"/>
      <c r="AU32" s="200"/>
      <c r="AV32" s="200"/>
      <c r="AW32" s="200"/>
      <c r="AX32" s="200"/>
      <c r="AY32" s="200"/>
      <c r="AZ32" s="200"/>
      <c r="BA32" s="200"/>
    </row>
    <row r="33" spans="1:53">
      <c r="A33" s="199"/>
      <c r="B33" s="199"/>
      <c r="C33" s="200"/>
      <c r="D33" s="200"/>
      <c r="E33" s="200"/>
      <c r="F33" s="200"/>
      <c r="G33" s="200"/>
      <c r="H33" s="200"/>
      <c r="I33" s="200"/>
      <c r="J33" s="200"/>
      <c r="K33" s="200"/>
      <c r="L33" s="200"/>
      <c r="M33" s="200"/>
      <c r="N33" s="200"/>
      <c r="O33" s="200"/>
      <c r="P33" s="200"/>
      <c r="Q33" s="200"/>
      <c r="R33" s="200"/>
      <c r="S33" s="200"/>
      <c r="T33" s="200"/>
      <c r="U33" s="200"/>
      <c r="V33" s="200"/>
      <c r="W33" s="200"/>
      <c r="X33" s="200"/>
      <c r="Y33" s="200"/>
      <c r="Z33" s="200"/>
      <c r="AA33" s="200"/>
      <c r="AB33" s="200"/>
      <c r="AC33" s="200"/>
      <c r="AD33" s="200"/>
      <c r="AE33" s="200"/>
      <c r="AF33" s="200"/>
      <c r="AG33" s="200"/>
      <c r="AH33" s="200"/>
      <c r="AI33" s="200"/>
      <c r="AJ33" s="200"/>
      <c r="AK33" s="200"/>
      <c r="AL33" s="199"/>
      <c r="AM33" s="199"/>
      <c r="AN33" s="199"/>
      <c r="AO33" s="199"/>
      <c r="AP33" s="200"/>
      <c r="AQ33" s="200"/>
      <c r="AR33" s="200"/>
      <c r="AS33" s="200"/>
      <c r="AT33" s="200"/>
      <c r="AU33" s="200"/>
      <c r="AV33" s="200"/>
      <c r="AW33" s="200"/>
      <c r="AX33" s="200"/>
      <c r="AY33" s="200"/>
      <c r="AZ33" s="200"/>
      <c r="BA33" s="200"/>
    </row>
    <row r="34" spans="1:53">
      <c r="A34" s="199"/>
      <c r="B34" s="199"/>
      <c r="C34" s="200"/>
      <c r="D34" s="200"/>
      <c r="E34" s="200"/>
      <c r="F34" s="200"/>
      <c r="G34" s="200"/>
      <c r="H34" s="200"/>
      <c r="I34" s="200"/>
      <c r="J34" s="200"/>
      <c r="K34" s="200"/>
      <c r="L34" s="200"/>
      <c r="M34" s="200"/>
      <c r="N34" s="200"/>
      <c r="O34" s="200"/>
      <c r="P34" s="200"/>
      <c r="Q34" s="200"/>
      <c r="R34" s="200"/>
      <c r="S34" s="200"/>
      <c r="T34" s="200"/>
      <c r="U34" s="200"/>
      <c r="V34" s="200"/>
      <c r="W34" s="200"/>
      <c r="X34" s="200"/>
      <c r="Y34" s="200"/>
      <c r="Z34" s="200"/>
      <c r="AA34" s="200"/>
      <c r="AB34" s="200"/>
      <c r="AC34" s="200"/>
      <c r="AD34" s="200"/>
      <c r="AE34" s="200"/>
      <c r="AF34" s="200"/>
      <c r="AG34" s="200"/>
      <c r="AH34" s="200"/>
      <c r="AI34" s="200"/>
      <c r="AJ34" s="200"/>
      <c r="AK34" s="200"/>
      <c r="AL34" s="199"/>
      <c r="AM34" s="199"/>
      <c r="AN34" s="199"/>
      <c r="AO34" s="199"/>
      <c r="AP34" s="200"/>
      <c r="AQ34" s="200"/>
      <c r="AR34" s="200"/>
      <c r="AS34" s="200"/>
      <c r="AT34" s="200"/>
      <c r="AU34" s="200"/>
      <c r="AV34" s="200"/>
      <c r="AW34" s="200"/>
      <c r="AX34" s="200"/>
      <c r="AY34" s="200"/>
      <c r="AZ34" s="200"/>
      <c r="BA34" s="200"/>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215"/>
  <sheetViews>
    <sheetView showGridLines="0" topLeftCell="A5" zoomScaleNormal="100" zoomScaleSheetLayoutView="100" workbookViewId="0">
      <pane ySplit="2" topLeftCell="A7" activePane="bottomLeft" state="frozen"/>
      <selection sqref="A1:I1"/>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123" customWidth="1"/>
    <col min="129" max="16384" width="9" style="25"/>
  </cols>
  <sheetData>
    <row r="1" spans="1:72" ht="12" customHeight="1">
      <c r="A1" s="238" t="s">
        <v>4</v>
      </c>
      <c r="B1" s="238"/>
      <c r="C1" s="238"/>
      <c r="D1" s="238"/>
      <c r="E1" s="238"/>
      <c r="F1" s="238"/>
      <c r="G1" s="238"/>
      <c r="H1" s="238"/>
      <c r="I1" s="221" t="s">
        <v>5</v>
      </c>
      <c r="J1" s="221"/>
      <c r="K1" s="221"/>
      <c r="L1" s="221"/>
      <c r="M1" s="236" t="str">
        <f>変更来歴!M1</f>
        <v>ヒロセ電機株式会社</v>
      </c>
      <c r="N1" s="236"/>
      <c r="O1" s="236"/>
      <c r="P1" s="236"/>
      <c r="Q1" s="236"/>
      <c r="R1" s="236"/>
      <c r="S1" s="236"/>
      <c r="T1" s="236"/>
      <c r="U1" s="236"/>
      <c r="V1" s="236"/>
      <c r="W1" s="236"/>
      <c r="X1" s="221" t="s">
        <v>7</v>
      </c>
      <c r="Y1" s="221"/>
      <c r="Z1" s="221"/>
      <c r="AA1" s="240" t="str">
        <f>変更来歴!AA1</f>
        <v>化学物質データ申請</v>
      </c>
      <c r="AB1" s="240"/>
      <c r="AC1" s="240"/>
      <c r="AD1" s="240"/>
      <c r="AE1" s="240"/>
      <c r="AF1" s="240"/>
      <c r="AG1" s="240"/>
      <c r="AH1" s="240"/>
      <c r="AI1" s="240"/>
      <c r="AJ1" s="240"/>
      <c r="AK1" s="225" t="s">
        <v>8</v>
      </c>
      <c r="AL1" s="225"/>
      <c r="AM1" s="225"/>
      <c r="AN1" s="226" t="str">
        <f>変更来歴!AP7</f>
        <v>古竹</v>
      </c>
      <c r="AO1" s="226"/>
      <c r="AP1" s="226"/>
      <c r="AQ1" s="226"/>
      <c r="AR1" s="226"/>
      <c r="AS1" s="225" t="s">
        <v>9</v>
      </c>
      <c r="AT1" s="225"/>
      <c r="AU1" s="225"/>
      <c r="AV1" s="228">
        <f>変更来歴!AL7</f>
        <v>46125</v>
      </c>
      <c r="AW1" s="241"/>
      <c r="AX1" s="241"/>
      <c r="AY1" s="241"/>
      <c r="AZ1" s="217" t="s">
        <v>10</v>
      </c>
      <c r="BA1" s="218"/>
      <c r="BB1" s="218"/>
      <c r="BC1" s="219"/>
    </row>
    <row r="2" spans="1:72">
      <c r="A2" s="220" t="s">
        <v>16</v>
      </c>
      <c r="B2" s="220"/>
      <c r="C2" s="220"/>
      <c r="D2" s="220"/>
      <c r="E2" s="220"/>
      <c r="F2" s="220"/>
      <c r="G2" s="220"/>
      <c r="H2" s="220"/>
      <c r="I2" s="221" t="s">
        <v>11</v>
      </c>
      <c r="J2" s="221"/>
      <c r="K2" s="221"/>
      <c r="L2" s="221"/>
      <c r="M2" s="254" t="str">
        <f>変更来歴!M2</f>
        <v>　</v>
      </c>
      <c r="N2" s="254"/>
      <c r="O2" s="254"/>
      <c r="P2" s="254"/>
      <c r="Q2" s="254"/>
      <c r="R2" s="254"/>
      <c r="S2" s="254"/>
      <c r="T2" s="254"/>
      <c r="U2" s="254"/>
      <c r="V2" s="254"/>
      <c r="W2" s="254"/>
      <c r="X2" s="221"/>
      <c r="Y2" s="221"/>
      <c r="Z2" s="221"/>
      <c r="AA2" s="240"/>
      <c r="AB2" s="240"/>
      <c r="AC2" s="240"/>
      <c r="AD2" s="240"/>
      <c r="AE2" s="240"/>
      <c r="AF2" s="240"/>
      <c r="AG2" s="240"/>
      <c r="AH2" s="240"/>
      <c r="AI2" s="240"/>
      <c r="AJ2" s="240"/>
      <c r="AK2" s="225" t="s">
        <v>12</v>
      </c>
      <c r="AL2" s="225"/>
      <c r="AM2" s="225"/>
      <c r="AN2" s="226" t="str">
        <f ca="1">INDIRECT("変更来歴!AP" &amp; COUNTA(変更来歴!AP7:'変更来歴'!AP39) + 6)</f>
        <v>古竹</v>
      </c>
      <c r="AO2" s="226"/>
      <c r="AP2" s="226"/>
      <c r="AQ2" s="226"/>
      <c r="AR2" s="226"/>
      <c r="AS2" s="225" t="s">
        <v>13</v>
      </c>
      <c r="AT2" s="225"/>
      <c r="AU2" s="225"/>
      <c r="AV2" s="228">
        <f ca="1">INDIRECT("変更来歴!AL" &amp; COUNTA(変更来歴!AL7:'変更来歴'!AL39) + 6)</f>
        <v>46155</v>
      </c>
      <c r="AW2" s="241"/>
      <c r="AX2" s="241"/>
      <c r="AY2" s="241"/>
      <c r="AZ2" s="229" t="str">
        <f>変更来歴!AX2</f>
        <v>IMWF-53</v>
      </c>
      <c r="BA2" s="230"/>
      <c r="BB2" s="230"/>
      <c r="BC2" s="231"/>
    </row>
    <row r="3" spans="1:72" ht="12" customHeight="1">
      <c r="A3" s="235" t="str">
        <f>変更来歴!A3</f>
        <v>画面設計書</v>
      </c>
      <c r="B3" s="235"/>
      <c r="C3" s="235"/>
      <c r="D3" s="235"/>
      <c r="E3" s="235"/>
      <c r="F3" s="235"/>
      <c r="G3" s="235"/>
      <c r="H3" s="235"/>
      <c r="I3" s="221" t="s">
        <v>14</v>
      </c>
      <c r="J3" s="221"/>
      <c r="K3" s="221"/>
      <c r="L3" s="221"/>
      <c r="M3" s="236" t="str">
        <f ca="1">RIGHT(CELL("filename",A1),LEN(CELL("filename",A1))-FIND("]",CELL("filename",A1)))</f>
        <v>化学物質データ画面(日英併記)</v>
      </c>
      <c r="N3" s="236"/>
      <c r="O3" s="236"/>
      <c r="P3" s="236"/>
      <c r="Q3" s="236"/>
      <c r="R3" s="236"/>
      <c r="S3" s="236"/>
      <c r="T3" s="236"/>
      <c r="U3" s="236"/>
      <c r="V3" s="236"/>
      <c r="W3" s="236"/>
      <c r="X3" s="221" t="s">
        <v>27</v>
      </c>
      <c r="Y3" s="221"/>
      <c r="Z3" s="221"/>
      <c r="AA3" s="237" t="str">
        <f ca="1">MID(CELL("filename"),FIND("]",CELL("filename"))+1,LEN(CELL("filename"))) &amp; "画面"</f>
        <v>変更来歴画面</v>
      </c>
      <c r="AB3" s="237"/>
      <c r="AC3" s="237"/>
      <c r="AD3" s="237"/>
      <c r="AE3" s="237"/>
      <c r="AF3" s="237"/>
      <c r="AG3" s="237"/>
      <c r="AH3" s="237"/>
      <c r="AI3" s="237"/>
      <c r="AJ3" s="237"/>
      <c r="AK3" s="237"/>
      <c r="AL3" s="237"/>
      <c r="AM3" s="237"/>
      <c r="AN3" s="237"/>
      <c r="AO3" s="237"/>
      <c r="AP3" s="237"/>
      <c r="AQ3" s="237"/>
      <c r="AR3" s="237"/>
      <c r="AS3" s="225" t="s">
        <v>15</v>
      </c>
      <c r="AT3" s="225"/>
      <c r="AU3" s="225"/>
      <c r="AV3" s="241" t="str">
        <f ca="1">INDIRECT("変更来歴!A" &amp; COUNTA(変更来歴!A7:'変更来歴'!A39) + 6)</f>
        <v>r1.2</v>
      </c>
      <c r="AW3" s="241"/>
      <c r="AX3" s="241"/>
      <c r="AY3" s="241"/>
      <c r="AZ3" s="232"/>
      <c r="BA3" s="233"/>
      <c r="BB3" s="233"/>
      <c r="BC3" s="234"/>
    </row>
    <row r="4" spans="1:72" ht="5.9" customHeight="1"/>
    <row r="5" spans="1:72" ht="13.5" customHeight="1">
      <c r="A5" s="263" t="str">
        <f ca="1">"画面レイアウト"&amp;"("&amp;MID(CELL("filename"),FIND("]",CELL("filename"))+1,LEN(CELL("filename")))&amp;")"</f>
        <v>画面レイアウト(変更来歴)</v>
      </c>
      <c r="B5" s="264"/>
      <c r="C5" s="264"/>
      <c r="D5" s="264"/>
      <c r="E5" s="264"/>
      <c r="F5" s="264"/>
      <c r="G5" s="264"/>
      <c r="H5" s="264"/>
      <c r="I5" s="264"/>
      <c r="J5" s="264"/>
      <c r="K5" s="264"/>
      <c r="L5" s="264"/>
      <c r="M5" s="264"/>
      <c r="N5" s="264"/>
      <c r="O5" s="264"/>
      <c r="P5" s="264"/>
      <c r="Q5" s="264"/>
      <c r="R5" s="264"/>
      <c r="S5" s="264"/>
      <c r="T5" s="264"/>
      <c r="U5" s="264"/>
      <c r="V5" s="264"/>
      <c r="W5" s="264"/>
      <c r="X5" s="264"/>
      <c r="Y5" s="264"/>
      <c r="Z5" s="264"/>
      <c r="AA5" s="264"/>
      <c r="AB5" s="264"/>
      <c r="AC5" s="264"/>
      <c r="AD5" s="264"/>
      <c r="AE5" s="264"/>
      <c r="AF5" s="264"/>
      <c r="AG5" s="264"/>
      <c r="AH5" s="264"/>
      <c r="AI5" s="264"/>
      <c r="AJ5" s="264"/>
      <c r="AK5" s="264"/>
      <c r="AL5" s="264"/>
      <c r="AM5" s="264"/>
      <c r="AN5" s="264"/>
      <c r="AO5" s="264"/>
      <c r="AP5" s="264"/>
      <c r="AQ5" s="264"/>
      <c r="AR5" s="264"/>
      <c r="AS5" s="264"/>
      <c r="AT5" s="264"/>
      <c r="AU5" s="264"/>
      <c r="AV5" s="264"/>
      <c r="AW5" s="264"/>
      <c r="AX5" s="264"/>
      <c r="AY5" s="264"/>
      <c r="AZ5" s="264"/>
      <c r="BA5" s="265"/>
      <c r="BB5" s="266" t="s">
        <v>24</v>
      </c>
      <c r="BC5" s="267"/>
      <c r="BD5" s="24"/>
    </row>
    <row r="6" spans="1:72"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2" ht="21" customHeight="1">
      <c r="A7" s="36"/>
      <c r="B7" s="115"/>
      <c r="C7" s="120" t="s">
        <v>40</v>
      </c>
      <c r="D7" s="116"/>
      <c r="E7" s="117"/>
      <c r="F7" s="117"/>
      <c r="G7" s="117"/>
      <c r="H7" s="98"/>
      <c r="I7" s="98"/>
      <c r="J7" s="99"/>
      <c r="K7" s="99"/>
      <c r="L7" s="99"/>
      <c r="M7" s="99"/>
      <c r="N7" s="102"/>
      <c r="O7" s="101"/>
      <c r="P7" s="102"/>
      <c r="Q7" s="98"/>
      <c r="R7" s="98"/>
      <c r="S7" s="98"/>
      <c r="T7" s="100"/>
      <c r="U7" s="100"/>
      <c r="V7" s="100"/>
      <c r="W7" s="100"/>
      <c r="X7" s="100"/>
      <c r="Y7" s="101"/>
      <c r="Z7" s="100"/>
      <c r="AA7" s="98"/>
      <c r="AB7" s="101"/>
      <c r="AC7" s="100"/>
      <c r="AD7" s="98"/>
      <c r="AE7" s="101"/>
      <c r="AF7" s="98"/>
      <c r="AG7" s="98"/>
      <c r="AH7" s="101"/>
      <c r="AI7" s="98"/>
      <c r="AJ7" s="98"/>
      <c r="AK7" s="118"/>
      <c r="AL7" s="98"/>
      <c r="AM7" s="98"/>
      <c r="AN7" s="98"/>
      <c r="AO7" s="98"/>
      <c r="AP7" s="98"/>
      <c r="AQ7" s="98"/>
      <c r="AR7" s="98"/>
      <c r="AS7" s="98"/>
      <c r="AT7" s="117"/>
      <c r="AU7" s="117"/>
      <c r="AV7" s="117"/>
      <c r="AW7" s="117"/>
      <c r="AX7" s="117"/>
      <c r="AY7" s="117"/>
      <c r="AZ7" s="119"/>
      <c r="BA7" s="60"/>
      <c r="BB7" s="49"/>
      <c r="BC7" s="50"/>
      <c r="BD7" s="34"/>
      <c r="BE7" s="124" t="s">
        <v>45</v>
      </c>
      <c r="BF7" s="124"/>
      <c r="BG7" s="124"/>
      <c r="BH7" s="124"/>
      <c r="BI7" s="124"/>
      <c r="BJ7" s="124"/>
      <c r="BK7" s="124"/>
      <c r="BL7" s="124"/>
      <c r="BM7" s="124"/>
      <c r="BN7" s="124"/>
      <c r="BO7" s="124"/>
      <c r="BP7" s="124"/>
      <c r="BQ7" s="124"/>
      <c r="BR7" s="124"/>
      <c r="BS7" s="124"/>
      <c r="BT7" s="124"/>
    </row>
    <row r="8" spans="1:72" ht="12.65" customHeight="1">
      <c r="A8" s="36"/>
      <c r="B8" s="56"/>
      <c r="C8" s="67"/>
      <c r="D8" s="68"/>
      <c r="E8" s="59"/>
      <c r="F8" s="59"/>
      <c r="G8" s="59"/>
      <c r="H8" s="92"/>
      <c r="I8" s="92"/>
      <c r="J8" s="92"/>
      <c r="K8" s="92"/>
      <c r="L8" s="92"/>
      <c r="M8" s="92"/>
      <c r="N8" s="92"/>
      <c r="O8" s="92"/>
      <c r="P8" s="92"/>
      <c r="Q8" s="92"/>
      <c r="R8" s="92"/>
      <c r="S8" s="92"/>
      <c r="T8" s="92"/>
      <c r="U8" s="92"/>
      <c r="V8" s="92"/>
      <c r="W8" s="92"/>
      <c r="X8" s="92"/>
      <c r="Y8" s="92"/>
      <c r="Z8" s="92"/>
      <c r="AA8" s="92"/>
      <c r="AB8" s="92"/>
      <c r="AC8" s="92"/>
      <c r="AD8" s="92"/>
      <c r="AE8" s="92"/>
      <c r="AF8" s="92"/>
      <c r="AG8" s="92"/>
      <c r="AH8" s="92"/>
      <c r="AI8" s="92"/>
      <c r="AJ8" s="92"/>
      <c r="AK8" s="92"/>
      <c r="AL8" s="92"/>
      <c r="AM8" s="92"/>
      <c r="AN8" s="92"/>
      <c r="AO8" s="92"/>
      <c r="AP8" s="92"/>
      <c r="AQ8" s="92"/>
      <c r="AR8" s="92"/>
      <c r="AS8" s="94"/>
      <c r="AT8" s="69"/>
      <c r="AU8" s="69"/>
      <c r="AV8" s="69"/>
      <c r="AW8" s="69"/>
      <c r="AX8" s="69"/>
      <c r="AY8" s="69"/>
      <c r="AZ8" s="60"/>
      <c r="BA8" s="60"/>
      <c r="BB8" s="49"/>
      <c r="BC8" s="50"/>
      <c r="BD8" s="34"/>
      <c r="BE8" s="171" t="s">
        <v>227</v>
      </c>
      <c r="BN8" s="125"/>
      <c r="BO8" s="125"/>
      <c r="BP8" s="125"/>
      <c r="BQ8" s="125"/>
      <c r="BR8" s="125"/>
      <c r="BS8" s="124"/>
      <c r="BT8" s="124"/>
    </row>
    <row r="9" spans="1:72" ht="24" customHeight="1">
      <c r="A9" s="36"/>
      <c r="B9" s="37"/>
      <c r="C9" s="40"/>
      <c r="D9" s="40"/>
      <c r="E9" s="40"/>
      <c r="F9" s="38"/>
      <c r="G9" s="38"/>
      <c r="H9" s="373" t="s">
        <v>307</v>
      </c>
      <c r="I9" s="373"/>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43"/>
      <c r="AU9" s="41"/>
      <c r="AV9" s="44"/>
      <c r="AW9" s="44"/>
      <c r="AX9" s="44"/>
      <c r="AY9" s="38"/>
      <c r="AZ9" s="39"/>
      <c r="BA9" s="39"/>
      <c r="BB9" s="32"/>
      <c r="BC9" s="33"/>
      <c r="BD9" s="34"/>
      <c r="BN9" s="125"/>
      <c r="BO9" s="125"/>
      <c r="BP9" s="125"/>
      <c r="BQ9" s="125"/>
      <c r="BR9" s="125"/>
      <c r="BS9" s="124"/>
      <c r="BT9" s="124"/>
    </row>
    <row r="10" spans="1:72" ht="12" customHeight="1">
      <c r="A10" s="36"/>
      <c r="B10" s="45"/>
      <c r="C10" s="46"/>
      <c r="D10" s="34"/>
      <c r="E10" s="34"/>
      <c r="F10" s="34"/>
      <c r="G10" s="34"/>
      <c r="H10" s="47"/>
      <c r="I10" s="42"/>
      <c r="J10" s="41"/>
      <c r="K10" s="42"/>
      <c r="L10" s="41"/>
      <c r="M10" s="48"/>
      <c r="N10" s="48"/>
      <c r="O10" s="44"/>
      <c r="P10" s="48"/>
      <c r="Q10" s="44"/>
      <c r="R10" s="48"/>
      <c r="S10" s="35"/>
      <c r="T10" s="34"/>
      <c r="U10" s="34"/>
      <c r="V10" s="34"/>
      <c r="W10" s="34"/>
      <c r="X10" s="34"/>
      <c r="Y10" s="47"/>
      <c r="Z10" s="42"/>
      <c r="AA10" s="41"/>
      <c r="AB10" s="42"/>
      <c r="AC10" s="41"/>
      <c r="AD10" s="48"/>
      <c r="AE10" s="48"/>
      <c r="AF10" s="44"/>
      <c r="AG10" s="48"/>
      <c r="AH10" s="48"/>
      <c r="AI10" s="43"/>
      <c r="AJ10" s="48"/>
      <c r="AK10" s="44"/>
      <c r="AL10" s="34"/>
      <c r="AM10" s="34"/>
      <c r="AN10" s="34"/>
      <c r="AO10" s="34"/>
      <c r="AP10" s="34"/>
      <c r="AQ10" s="34"/>
      <c r="AR10" s="34"/>
      <c r="AS10" s="41"/>
      <c r="AT10" s="43"/>
      <c r="AU10" s="41"/>
      <c r="AV10" s="44"/>
      <c r="AW10" s="44"/>
      <c r="AX10" s="44"/>
      <c r="AY10" s="38"/>
      <c r="AZ10" s="39"/>
      <c r="BA10" s="39"/>
      <c r="BB10" s="32"/>
      <c r="BC10" s="33"/>
      <c r="BD10" s="34"/>
      <c r="BE10" s="68" t="s">
        <v>46</v>
      </c>
      <c r="BF10" s="68"/>
      <c r="BG10" s="125"/>
      <c r="BH10" s="125"/>
      <c r="BI10" s="125"/>
      <c r="BJ10" s="125"/>
      <c r="BK10" s="125"/>
      <c r="BL10" s="125"/>
      <c r="BM10" s="125"/>
      <c r="BN10" s="124"/>
      <c r="BO10" s="124"/>
      <c r="BP10" s="124"/>
      <c r="BQ10" s="124"/>
      <c r="BR10" s="124"/>
      <c r="BS10" s="124"/>
      <c r="BT10" s="124"/>
    </row>
    <row r="11" spans="1:72" ht="12.65" customHeight="1">
      <c r="A11" s="36"/>
      <c r="B11" s="37"/>
      <c r="C11" s="34"/>
      <c r="D11" s="34"/>
      <c r="E11" s="34"/>
      <c r="F11" s="35"/>
      <c r="G11" s="40"/>
      <c r="H11" s="71"/>
      <c r="I11" s="71"/>
      <c r="J11" s="71"/>
      <c r="K11" s="71"/>
      <c r="L11" s="71"/>
      <c r="M11" s="71"/>
      <c r="N11" s="71"/>
      <c r="O11" s="71"/>
      <c r="P11" s="71"/>
      <c r="Q11" s="71"/>
      <c r="R11" s="71"/>
      <c r="S11" s="71"/>
      <c r="T11" s="72"/>
      <c r="U11" s="72"/>
      <c r="V11" s="72"/>
      <c r="W11" s="72"/>
      <c r="X11" s="73"/>
      <c r="Y11" s="72"/>
      <c r="Z11" s="72"/>
      <c r="AA11" s="72"/>
      <c r="AB11" s="74"/>
      <c r="AC11" s="72"/>
      <c r="AD11" s="75"/>
      <c r="AE11" s="75"/>
      <c r="AF11" s="75"/>
      <c r="AG11" s="75"/>
      <c r="AH11" s="75"/>
      <c r="AI11" s="71"/>
      <c r="AJ11" s="72"/>
      <c r="AK11" s="72"/>
      <c r="AL11" s="72"/>
      <c r="AM11" s="72"/>
      <c r="AN11" s="76"/>
      <c r="AO11" s="73"/>
      <c r="AP11" s="73"/>
      <c r="AQ11" s="72"/>
      <c r="AR11" s="72"/>
      <c r="AS11" s="72"/>
      <c r="AT11" s="43"/>
      <c r="AU11" s="41"/>
      <c r="AV11" s="44"/>
      <c r="AW11" s="44"/>
      <c r="AX11" s="44"/>
      <c r="AY11" s="38"/>
      <c r="AZ11" s="39"/>
      <c r="BA11" s="39"/>
      <c r="BB11" s="32"/>
      <c r="BC11" s="33"/>
      <c r="BD11" s="34"/>
      <c r="BE11" s="125"/>
      <c r="BF11" s="68" t="s">
        <v>47</v>
      </c>
      <c r="BG11" s="68"/>
      <c r="BH11" s="68"/>
      <c r="BI11" s="125"/>
      <c r="BJ11" s="125"/>
      <c r="BK11" s="125"/>
      <c r="BL11" s="125"/>
      <c r="BM11" s="125"/>
      <c r="BN11" s="124"/>
      <c r="BO11" s="124"/>
      <c r="BP11" s="124"/>
      <c r="BQ11" s="124"/>
      <c r="BR11" s="124"/>
      <c r="BS11" s="124"/>
      <c r="BT11" s="124"/>
    </row>
    <row r="12" spans="1:72" ht="12.65" customHeight="1">
      <c r="A12" s="36"/>
      <c r="B12" s="56"/>
      <c r="C12" s="55"/>
      <c r="D12" s="57"/>
      <c r="E12" s="57"/>
      <c r="F12" s="57"/>
      <c r="G12" s="55"/>
      <c r="H12" s="71"/>
      <c r="I12" s="71" t="s">
        <v>219</v>
      </c>
      <c r="J12" s="71"/>
      <c r="K12" s="71"/>
      <c r="L12" s="71"/>
      <c r="M12" s="71"/>
      <c r="N12" s="71"/>
      <c r="O12" s="71"/>
      <c r="P12" s="71"/>
      <c r="Q12" s="71"/>
      <c r="R12" s="71"/>
      <c r="S12" s="71"/>
      <c r="T12" s="72"/>
      <c r="U12" s="72"/>
      <c r="V12" s="72"/>
      <c r="W12" s="72"/>
      <c r="X12" s="73"/>
      <c r="Y12" s="72"/>
      <c r="Z12" s="71"/>
      <c r="AA12" s="71"/>
      <c r="AB12" s="71"/>
      <c r="AC12" s="71"/>
      <c r="AD12" s="71"/>
      <c r="AE12" s="71"/>
      <c r="AF12" s="71"/>
      <c r="AG12" s="71"/>
      <c r="AH12" s="71"/>
      <c r="AI12" s="71"/>
      <c r="AJ12" s="71"/>
      <c r="AK12" s="71"/>
      <c r="AL12" s="71"/>
      <c r="AM12" s="71"/>
      <c r="AN12" s="71"/>
      <c r="AO12" s="71"/>
      <c r="AP12" s="71"/>
      <c r="AQ12" s="71"/>
      <c r="AR12" s="71"/>
      <c r="AS12" s="71"/>
      <c r="AT12" s="55"/>
      <c r="AU12" s="55"/>
      <c r="AV12" s="55"/>
      <c r="AW12" s="55"/>
      <c r="AX12" s="59"/>
      <c r="AY12" s="55"/>
      <c r="AZ12" s="60"/>
      <c r="BA12" s="60"/>
      <c r="BB12" s="32"/>
      <c r="BC12" s="33"/>
      <c r="BD12" s="34"/>
      <c r="BE12" s="68"/>
      <c r="BF12" s="68"/>
      <c r="BG12" s="68" t="s">
        <v>48</v>
      </c>
      <c r="BH12" s="126"/>
      <c r="BI12" s="125"/>
      <c r="BJ12" s="125"/>
      <c r="BK12" s="125"/>
      <c r="BL12" s="125"/>
      <c r="BM12" s="125"/>
      <c r="BN12" s="124"/>
      <c r="BO12" s="124"/>
      <c r="BP12" s="124"/>
      <c r="BQ12" s="124"/>
      <c r="BR12" s="124"/>
      <c r="BS12" s="124"/>
      <c r="BT12" s="124"/>
    </row>
    <row r="13" spans="1:72" ht="12.65" customHeight="1">
      <c r="A13" s="36"/>
      <c r="B13" s="56"/>
      <c r="C13" s="61"/>
      <c r="D13" s="57"/>
      <c r="E13" s="57"/>
      <c r="F13" s="57"/>
      <c r="G13" s="59"/>
      <c r="H13" s="71"/>
      <c r="I13" s="77" t="s">
        <v>203</v>
      </c>
      <c r="J13" s="78"/>
      <c r="K13" s="77"/>
      <c r="L13" s="77"/>
      <c r="M13" s="77"/>
      <c r="N13" s="77"/>
      <c r="O13" s="77"/>
      <c r="P13" s="77"/>
      <c r="Q13" s="77"/>
      <c r="R13" s="77"/>
      <c r="S13" s="77"/>
      <c r="T13" s="77"/>
      <c r="U13" s="77"/>
      <c r="V13" s="77"/>
      <c r="W13" s="77"/>
      <c r="X13" s="79"/>
      <c r="Y13" s="71"/>
      <c r="Z13" s="71"/>
      <c r="AA13" s="80"/>
      <c r="AB13" s="71"/>
      <c r="AC13" s="81"/>
      <c r="AD13" s="81"/>
      <c r="AE13" s="82"/>
      <c r="AF13" s="81"/>
      <c r="AG13" s="82"/>
      <c r="AH13" s="81"/>
      <c r="AI13" s="83"/>
      <c r="AJ13" s="81"/>
      <c r="AK13" s="82"/>
      <c r="AL13" s="82"/>
      <c r="AM13" s="82"/>
      <c r="AN13" s="82"/>
      <c r="AO13" s="82"/>
      <c r="AP13" s="82"/>
      <c r="AQ13" s="82"/>
      <c r="AR13" s="82"/>
      <c r="AS13" s="82"/>
      <c r="AT13" s="59"/>
      <c r="AU13" s="59"/>
      <c r="AV13" s="59"/>
      <c r="AW13" s="59"/>
      <c r="AX13" s="59"/>
      <c r="AY13" s="55"/>
      <c r="AZ13" s="60"/>
      <c r="BA13" s="60"/>
      <c r="BB13" s="32"/>
      <c r="BC13" s="33"/>
      <c r="BD13" s="34"/>
      <c r="BE13" s="68"/>
      <c r="BF13" s="68"/>
      <c r="BG13" s="68" t="s">
        <v>49</v>
      </c>
      <c r="BH13" s="126"/>
      <c r="BI13" s="68"/>
      <c r="BJ13" s="125"/>
      <c r="BK13" s="125"/>
      <c r="BL13" s="125"/>
      <c r="BM13" s="125"/>
      <c r="BN13" s="124"/>
      <c r="BO13" s="124"/>
      <c r="BP13" s="124"/>
      <c r="BQ13" s="124"/>
      <c r="BR13" s="124"/>
      <c r="BS13" s="124"/>
      <c r="BT13" s="124"/>
    </row>
    <row r="14" spans="1:72" ht="12.65" customHeight="1">
      <c r="A14" s="36"/>
      <c r="B14" s="56"/>
      <c r="C14" s="64"/>
      <c r="D14" s="59"/>
      <c r="E14" s="59"/>
      <c r="F14" s="59"/>
      <c r="G14" s="59"/>
      <c r="H14" s="84"/>
      <c r="I14" s="79"/>
      <c r="J14" s="77"/>
      <c r="K14" s="79"/>
      <c r="L14" s="77"/>
      <c r="M14" s="77"/>
      <c r="N14" s="77"/>
      <c r="O14" s="77"/>
      <c r="P14" s="77"/>
      <c r="Q14" s="77"/>
      <c r="R14" s="77"/>
      <c r="S14" s="77"/>
      <c r="T14" s="77"/>
      <c r="U14" s="77"/>
      <c r="V14" s="77"/>
      <c r="W14" s="77"/>
      <c r="X14" s="79"/>
      <c r="Y14" s="71"/>
      <c r="Z14" s="80"/>
      <c r="AA14" s="71"/>
      <c r="AB14" s="80"/>
      <c r="AC14" s="71"/>
      <c r="AD14" s="81"/>
      <c r="AE14" s="81"/>
      <c r="AF14" s="82"/>
      <c r="AG14" s="81"/>
      <c r="AH14" s="81"/>
      <c r="AI14" s="83"/>
      <c r="AJ14" s="81"/>
      <c r="AK14" s="82"/>
      <c r="AL14" s="82"/>
      <c r="AM14" s="82"/>
      <c r="AN14" s="82"/>
      <c r="AO14" s="82"/>
      <c r="AP14" s="82"/>
      <c r="AQ14" s="82"/>
      <c r="AR14" s="82"/>
      <c r="AS14" s="71"/>
      <c r="AT14" s="63"/>
      <c r="AU14" s="55"/>
      <c r="AV14" s="59"/>
      <c r="AW14" s="59"/>
      <c r="AX14" s="59"/>
      <c r="AY14" s="55"/>
      <c r="AZ14" s="60"/>
      <c r="BA14" s="60"/>
      <c r="BB14" s="32"/>
      <c r="BC14" s="33"/>
      <c r="BD14" s="34"/>
      <c r="BE14" s="124"/>
      <c r="BF14" s="124"/>
      <c r="BG14" s="127"/>
      <c r="BH14" s="124"/>
      <c r="BI14" s="124"/>
      <c r="BJ14" s="124"/>
      <c r="BK14" s="124"/>
      <c r="BL14" s="124"/>
      <c r="BM14" s="124"/>
      <c r="BN14" s="124"/>
      <c r="BO14" s="124"/>
      <c r="BP14" s="124"/>
      <c r="BQ14" s="124"/>
      <c r="BR14" s="124"/>
      <c r="BS14" s="124"/>
      <c r="BT14" s="124"/>
    </row>
    <row r="15" spans="1:72" ht="12.65" customHeight="1">
      <c r="A15" s="36"/>
      <c r="B15" s="56"/>
      <c r="C15" s="55"/>
      <c r="D15" s="59"/>
      <c r="E15" s="59"/>
      <c r="F15" s="59"/>
      <c r="G15" s="59"/>
      <c r="H15" s="84"/>
      <c r="I15" s="77" t="s">
        <v>33</v>
      </c>
      <c r="J15" s="78" t="s">
        <v>34</v>
      </c>
      <c r="K15" s="77"/>
      <c r="L15" s="77"/>
      <c r="M15" s="77"/>
      <c r="N15" s="77"/>
      <c r="O15" s="77" t="s">
        <v>200</v>
      </c>
      <c r="P15" s="77"/>
      <c r="Q15" s="77"/>
      <c r="R15" s="77"/>
      <c r="S15" s="77"/>
      <c r="T15" s="77"/>
      <c r="U15" s="77"/>
      <c r="V15" s="77"/>
      <c r="W15" s="77"/>
      <c r="X15" s="79"/>
      <c r="Y15" s="71"/>
      <c r="Z15" s="82"/>
      <c r="AA15" s="82"/>
      <c r="AB15" s="82"/>
      <c r="AC15" s="82"/>
      <c r="AD15" s="82"/>
      <c r="AE15" s="82"/>
      <c r="AF15" s="82"/>
      <c r="AG15" s="82"/>
      <c r="AH15" s="82"/>
      <c r="AI15" s="82"/>
      <c r="AJ15" s="82"/>
      <c r="AK15" s="82"/>
      <c r="AL15" s="82"/>
      <c r="AM15" s="71"/>
      <c r="AN15" s="71"/>
      <c r="AO15" s="71"/>
      <c r="AP15" s="71"/>
      <c r="AQ15" s="71"/>
      <c r="AR15" s="71"/>
      <c r="AS15" s="71"/>
      <c r="AT15" s="55"/>
      <c r="AU15" s="55"/>
      <c r="AV15" s="55"/>
      <c r="AW15" s="55"/>
      <c r="AX15" s="59"/>
      <c r="AY15" s="55"/>
      <c r="AZ15" s="60"/>
      <c r="BA15" s="60"/>
      <c r="BB15" s="32"/>
      <c r="BC15" s="33"/>
      <c r="BD15" s="34"/>
      <c r="BE15" s="68" t="s">
        <v>50</v>
      </c>
      <c r="BF15" s="124"/>
      <c r="BG15" s="124"/>
      <c r="BH15" s="124"/>
      <c r="BI15" s="124"/>
      <c r="BJ15" s="124"/>
      <c r="BK15" s="124"/>
      <c r="BL15" s="124"/>
      <c r="BM15" s="124"/>
    </row>
    <row r="16" spans="1:72" ht="12.65" customHeight="1">
      <c r="A16" s="36"/>
      <c r="B16" s="56"/>
      <c r="C16" s="55"/>
      <c r="D16" s="55"/>
      <c r="E16" s="55"/>
      <c r="F16" s="55"/>
      <c r="G16" s="55"/>
      <c r="H16" s="80"/>
      <c r="I16" s="79"/>
      <c r="J16" s="77"/>
      <c r="K16" s="79"/>
      <c r="L16" s="77"/>
      <c r="M16" s="77"/>
      <c r="N16" s="77"/>
      <c r="O16" s="77" t="s">
        <v>199</v>
      </c>
      <c r="P16" s="77"/>
      <c r="Q16" s="77"/>
      <c r="R16" s="77"/>
      <c r="S16" s="77"/>
      <c r="T16" s="77"/>
      <c r="U16" s="77"/>
      <c r="V16" s="77"/>
      <c r="W16" s="77"/>
      <c r="X16" s="79"/>
      <c r="Y16" s="71"/>
      <c r="Z16" s="71"/>
      <c r="AA16" s="71"/>
      <c r="AB16" s="83"/>
      <c r="AC16" s="71"/>
      <c r="AD16" s="82"/>
      <c r="AE16" s="82"/>
      <c r="AF16" s="82"/>
      <c r="AG16" s="82"/>
      <c r="AH16" s="82"/>
      <c r="AI16" s="71"/>
      <c r="AJ16" s="71"/>
      <c r="AK16" s="71"/>
      <c r="AL16" s="71"/>
      <c r="AM16" s="71"/>
      <c r="AN16" s="85"/>
      <c r="AO16" s="80"/>
      <c r="AP16" s="80"/>
      <c r="AQ16" s="86"/>
      <c r="AR16" s="71"/>
      <c r="AS16" s="71"/>
      <c r="AT16" s="63"/>
      <c r="AU16" s="55"/>
      <c r="AV16" s="59"/>
      <c r="AW16" s="59"/>
      <c r="AX16" s="59"/>
      <c r="AY16" s="55"/>
      <c r="AZ16" s="60"/>
      <c r="BA16" s="60"/>
      <c r="BB16" s="32"/>
      <c r="BC16" s="33"/>
      <c r="BD16" s="34"/>
      <c r="BE16" s="124"/>
      <c r="BF16" s="68" t="s">
        <v>51</v>
      </c>
      <c r="BG16" s="68"/>
      <c r="BH16" s="124"/>
      <c r="BI16" s="124"/>
      <c r="BJ16" s="124"/>
      <c r="BK16" s="124"/>
      <c r="BL16" s="124"/>
      <c r="BM16" s="124"/>
    </row>
    <row r="17" spans="1:72" ht="12.65" customHeight="1">
      <c r="A17" s="36"/>
      <c r="B17" s="56"/>
      <c r="C17" s="55"/>
      <c r="D17" s="55"/>
      <c r="E17" s="55"/>
      <c r="F17" s="55"/>
      <c r="G17" s="55"/>
      <c r="H17" s="80"/>
      <c r="I17" s="79"/>
      <c r="J17" s="77"/>
      <c r="K17" s="79"/>
      <c r="L17" s="77"/>
      <c r="M17" s="77"/>
      <c r="N17" s="77"/>
      <c r="O17" s="77"/>
      <c r="P17" s="77"/>
      <c r="Q17" s="77"/>
      <c r="R17" s="77"/>
      <c r="S17" s="77"/>
      <c r="T17" s="77"/>
      <c r="U17" s="77"/>
      <c r="V17" s="77"/>
      <c r="W17" s="77"/>
      <c r="X17" s="79"/>
      <c r="Y17" s="71"/>
      <c r="Z17" s="71"/>
      <c r="AA17" s="71"/>
      <c r="AB17" s="71"/>
      <c r="AC17" s="83"/>
      <c r="AD17" s="71"/>
      <c r="AE17" s="82"/>
      <c r="AF17" s="82"/>
      <c r="AG17" s="82"/>
      <c r="AH17" s="82"/>
      <c r="AI17" s="71"/>
      <c r="AJ17" s="71"/>
      <c r="AK17" s="71"/>
      <c r="AL17" s="71"/>
      <c r="AM17" s="71"/>
      <c r="AN17" s="71"/>
      <c r="AO17" s="71"/>
      <c r="AP17" s="80"/>
      <c r="AQ17" s="71"/>
      <c r="AR17" s="71"/>
      <c r="AS17" s="71"/>
      <c r="AT17" s="63"/>
      <c r="AU17" s="55"/>
      <c r="AV17" s="59"/>
      <c r="AW17" s="59"/>
      <c r="AX17" s="59"/>
      <c r="AY17" s="55"/>
      <c r="AZ17" s="60"/>
      <c r="BA17" s="60"/>
      <c r="BB17" s="32"/>
      <c r="BC17" s="33"/>
      <c r="BD17" s="34"/>
      <c r="BE17" s="124"/>
      <c r="BF17" s="68"/>
      <c r="BG17" s="68" t="s">
        <v>308</v>
      </c>
      <c r="BH17" s="124"/>
      <c r="BI17" s="124"/>
      <c r="BJ17" s="124"/>
      <c r="BK17" s="124"/>
      <c r="BL17" s="124"/>
      <c r="BM17" s="124"/>
    </row>
    <row r="18" spans="1:72" s="123" customFormat="1" ht="12.65" customHeight="1">
      <c r="A18" s="36"/>
      <c r="B18" s="56"/>
      <c r="C18" s="55"/>
      <c r="D18" s="55"/>
      <c r="E18" s="55"/>
      <c r="F18" s="55"/>
      <c r="G18" s="55"/>
      <c r="H18" s="80"/>
      <c r="I18" s="77" t="s">
        <v>33</v>
      </c>
      <c r="J18" s="78" t="s">
        <v>35</v>
      </c>
      <c r="K18" s="77"/>
      <c r="L18" s="77"/>
      <c r="M18" s="77"/>
      <c r="N18" s="77"/>
      <c r="O18" s="77" t="s">
        <v>201</v>
      </c>
      <c r="P18" s="77"/>
      <c r="Q18" s="77"/>
      <c r="R18" s="77"/>
      <c r="S18" s="77"/>
      <c r="T18" s="77"/>
      <c r="U18" s="77"/>
      <c r="V18" s="77"/>
      <c r="W18" s="77"/>
      <c r="X18" s="79"/>
      <c r="Y18" s="71"/>
      <c r="Z18" s="71"/>
      <c r="AA18" s="71"/>
      <c r="AB18" s="71"/>
      <c r="AC18" s="83"/>
      <c r="AD18" s="71"/>
      <c r="AE18" s="82"/>
      <c r="AF18" s="82"/>
      <c r="AG18" s="82"/>
      <c r="AH18" s="82"/>
      <c r="AI18" s="71"/>
      <c r="AJ18" s="71"/>
      <c r="AK18" s="71"/>
      <c r="AL18" s="71"/>
      <c r="AM18" s="71"/>
      <c r="AN18" s="85"/>
      <c r="AO18" s="80"/>
      <c r="AP18" s="80"/>
      <c r="AQ18" s="71"/>
      <c r="AR18" s="71"/>
      <c r="AS18" s="71"/>
      <c r="AT18" s="63"/>
      <c r="AU18" s="55"/>
      <c r="AV18" s="59"/>
      <c r="AW18" s="59"/>
      <c r="AX18" s="59"/>
      <c r="AY18" s="55"/>
      <c r="AZ18" s="60"/>
      <c r="BA18" s="60"/>
      <c r="BB18" s="32"/>
      <c r="BC18" s="33"/>
      <c r="BD18" s="34"/>
      <c r="BE18" s="127"/>
      <c r="BF18" s="68"/>
      <c r="BG18" s="172"/>
      <c r="BH18" s="124"/>
      <c r="BI18" s="124"/>
      <c r="BJ18" s="124"/>
      <c r="BK18" s="124"/>
      <c r="BL18" s="124"/>
      <c r="BM18" s="124"/>
      <c r="BN18" s="124"/>
      <c r="BO18" s="124"/>
      <c r="BP18" s="124"/>
      <c r="BQ18" s="124"/>
      <c r="BR18" s="124"/>
      <c r="BS18" s="124"/>
      <c r="BT18" s="124"/>
    </row>
    <row r="19" spans="1:72" s="123" customFormat="1" ht="12.65" customHeight="1">
      <c r="A19" s="36"/>
      <c r="B19" s="56"/>
      <c r="C19" s="61"/>
      <c r="D19" s="55"/>
      <c r="E19" s="55"/>
      <c r="F19" s="55"/>
      <c r="G19" s="55"/>
      <c r="H19" s="80"/>
      <c r="I19" s="79"/>
      <c r="J19" s="77"/>
      <c r="K19" s="77"/>
      <c r="L19" s="77"/>
      <c r="M19" s="77"/>
      <c r="N19" s="77"/>
      <c r="O19" s="77" t="s">
        <v>202</v>
      </c>
      <c r="P19" s="77"/>
      <c r="Q19" s="71"/>
      <c r="R19" s="71"/>
      <c r="S19" s="71"/>
      <c r="T19" s="71"/>
      <c r="U19" s="71"/>
      <c r="V19" s="71"/>
      <c r="W19" s="71"/>
      <c r="X19" s="80"/>
      <c r="Y19" s="71"/>
      <c r="Z19" s="71"/>
      <c r="AA19" s="71"/>
      <c r="AB19" s="71"/>
      <c r="AC19" s="83"/>
      <c r="AD19" s="71"/>
      <c r="AE19" s="82"/>
      <c r="AF19" s="82"/>
      <c r="AG19" s="82"/>
      <c r="AH19" s="82"/>
      <c r="AI19" s="71"/>
      <c r="AJ19" s="71"/>
      <c r="AK19" s="71"/>
      <c r="AL19" s="71"/>
      <c r="AM19" s="71"/>
      <c r="AN19" s="85"/>
      <c r="AO19" s="80"/>
      <c r="AP19" s="80"/>
      <c r="AQ19" s="71"/>
      <c r="AR19" s="71"/>
      <c r="AS19" s="71"/>
      <c r="AT19" s="63"/>
      <c r="AU19" s="55"/>
      <c r="AV19" s="59"/>
      <c r="AW19" s="59"/>
      <c r="AX19" s="59"/>
      <c r="AY19" s="55"/>
      <c r="AZ19" s="60"/>
      <c r="BA19" s="60"/>
      <c r="BB19" s="32"/>
      <c r="BC19" s="33"/>
      <c r="BD19" s="34"/>
      <c r="BE19" s="124"/>
      <c r="BF19" s="124"/>
      <c r="BG19" s="124"/>
      <c r="BH19" s="124"/>
      <c r="BI19" s="124"/>
      <c r="BJ19" s="124"/>
      <c r="BK19" s="124"/>
      <c r="BL19" s="124"/>
      <c r="BM19" s="124"/>
      <c r="BN19" s="124"/>
      <c r="BO19" s="124"/>
      <c r="BP19" s="124"/>
      <c r="BQ19" s="124"/>
      <c r="BR19" s="124"/>
      <c r="BS19" s="124"/>
      <c r="BT19" s="124"/>
    </row>
    <row r="20" spans="1:72" s="123" customFormat="1" ht="12.65" customHeight="1">
      <c r="A20" s="36"/>
      <c r="B20" s="56"/>
      <c r="C20" s="61"/>
      <c r="D20" s="55"/>
      <c r="E20" s="55"/>
      <c r="F20" s="55"/>
      <c r="G20" s="55"/>
      <c r="H20" s="80"/>
      <c r="I20" s="87"/>
      <c r="J20" s="87"/>
      <c r="K20" s="87"/>
      <c r="L20" s="87"/>
      <c r="M20" s="87"/>
      <c r="N20" s="87"/>
      <c r="O20" s="87"/>
      <c r="P20" s="87"/>
      <c r="Q20" s="87"/>
      <c r="R20" s="87"/>
      <c r="S20" s="87"/>
      <c r="T20" s="87"/>
      <c r="U20" s="87"/>
      <c r="V20" s="87"/>
      <c r="W20" s="87"/>
      <c r="X20" s="88"/>
      <c r="Y20" s="87"/>
      <c r="Z20" s="87"/>
      <c r="AA20" s="87"/>
      <c r="AB20" s="87"/>
      <c r="AC20" s="89"/>
      <c r="AD20" s="87"/>
      <c r="AE20" s="90"/>
      <c r="AF20" s="90"/>
      <c r="AG20" s="90"/>
      <c r="AH20" s="90"/>
      <c r="AI20" s="87"/>
      <c r="AJ20" s="87"/>
      <c r="AK20" s="87"/>
      <c r="AL20" s="87"/>
      <c r="AM20" s="87"/>
      <c r="AN20" s="91"/>
      <c r="AO20" s="88"/>
      <c r="AP20" s="88"/>
      <c r="AQ20" s="87"/>
      <c r="AR20" s="87"/>
      <c r="AS20" s="71"/>
      <c r="AT20" s="63"/>
      <c r="AU20" s="55"/>
      <c r="AV20" s="59"/>
      <c r="AW20" s="59"/>
      <c r="AX20" s="59"/>
      <c r="AY20" s="55"/>
      <c r="AZ20" s="60"/>
      <c r="BA20" s="60"/>
      <c r="BB20" s="32"/>
      <c r="BC20" s="33"/>
      <c r="BD20" s="34"/>
      <c r="BF20" s="68" t="s">
        <v>215</v>
      </c>
      <c r="BG20" s="124"/>
      <c r="BH20" s="124"/>
      <c r="BI20" s="124"/>
      <c r="BN20" s="124"/>
      <c r="BO20" s="124"/>
      <c r="BP20" s="124"/>
      <c r="BQ20" s="124"/>
      <c r="BR20" s="124"/>
      <c r="BS20" s="124"/>
      <c r="BT20" s="124"/>
    </row>
    <row r="21" spans="1:72" s="123" customFormat="1" ht="12.65" customHeight="1">
      <c r="A21" s="36"/>
      <c r="B21" s="56"/>
      <c r="C21" s="55"/>
      <c r="D21" s="55"/>
      <c r="E21" s="55"/>
      <c r="F21" s="55"/>
      <c r="G21" s="55"/>
      <c r="H21" s="92"/>
      <c r="I21" s="92"/>
      <c r="J21" s="92"/>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2"/>
      <c r="AR21" s="92"/>
      <c r="AS21" s="93"/>
      <c r="AT21" s="63"/>
      <c r="AU21" s="55"/>
      <c r="AV21" s="59"/>
      <c r="AW21" s="59"/>
      <c r="AX21" s="59"/>
      <c r="AY21" s="55"/>
      <c r="AZ21" s="60"/>
      <c r="BA21" s="60"/>
      <c r="BB21" s="32"/>
      <c r="BC21" s="33"/>
      <c r="BD21" s="35"/>
      <c r="BG21" s="68" t="s">
        <v>228</v>
      </c>
      <c r="BN21" s="124"/>
      <c r="BO21" s="124"/>
      <c r="BP21" s="124"/>
      <c r="BQ21" s="124"/>
      <c r="BR21" s="124"/>
      <c r="BS21" s="124"/>
      <c r="BT21" s="124"/>
    </row>
    <row r="22" spans="1:72" s="123" customFormat="1" ht="12.65" customHeight="1">
      <c r="A22" s="36"/>
      <c r="B22" s="56"/>
      <c r="C22" s="67"/>
      <c r="D22" s="68"/>
      <c r="E22" s="59"/>
      <c r="F22" s="59"/>
      <c r="G22" s="59"/>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65"/>
      <c r="AU22" s="59"/>
      <c r="AV22" s="59"/>
      <c r="AW22" s="59"/>
      <c r="AX22" s="59"/>
      <c r="AY22" s="59"/>
      <c r="AZ22" s="60"/>
      <c r="BA22" s="60"/>
      <c r="BB22" s="49"/>
      <c r="BC22" s="50"/>
      <c r="BD22" s="34"/>
      <c r="BN22" s="124"/>
      <c r="BO22" s="124"/>
      <c r="BP22" s="124"/>
      <c r="BQ22" s="124"/>
      <c r="BR22" s="124"/>
      <c r="BS22" s="124"/>
      <c r="BT22" s="124"/>
    </row>
    <row r="23" spans="1:72" s="123" customFormat="1" ht="12.65" customHeight="1">
      <c r="A23" s="36"/>
      <c r="B23" s="56"/>
      <c r="C23" s="67"/>
      <c r="D23" s="68"/>
      <c r="E23" s="59"/>
      <c r="F23" s="59"/>
      <c r="G23" s="59"/>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2"/>
      <c r="AR23" s="92"/>
      <c r="AS23" s="94"/>
      <c r="AT23" s="69"/>
      <c r="AU23" s="69"/>
      <c r="AV23" s="69"/>
      <c r="AW23" s="69"/>
      <c r="AX23" s="69"/>
      <c r="AY23" s="69"/>
      <c r="AZ23" s="60"/>
      <c r="BA23" s="60"/>
      <c r="BB23" s="49"/>
      <c r="BC23" s="50"/>
      <c r="BD23" s="34"/>
      <c r="BE23" s="124" t="s">
        <v>52</v>
      </c>
      <c r="BF23" s="124"/>
      <c r="BG23" s="124"/>
      <c r="BH23" s="124"/>
      <c r="BI23" s="124"/>
      <c r="BJ23" s="124"/>
      <c r="BK23" s="124"/>
      <c r="BL23" s="124"/>
      <c r="BM23" s="124"/>
      <c r="BN23" s="124"/>
      <c r="BO23" s="124"/>
      <c r="BP23" s="124"/>
      <c r="BQ23" s="124"/>
      <c r="BR23" s="124"/>
      <c r="BS23" s="124"/>
      <c r="BT23" s="124"/>
    </row>
    <row r="24" spans="1:72" s="123" customFormat="1" ht="12.65" customHeight="1">
      <c r="A24" s="36"/>
      <c r="B24" s="56"/>
      <c r="C24" s="67"/>
      <c r="D24" s="68"/>
      <c r="E24" s="59"/>
      <c r="F24" s="59"/>
      <c r="G24" s="59"/>
      <c r="H24" s="92"/>
      <c r="I24" s="92"/>
      <c r="J24" s="268"/>
      <c r="K24" s="268"/>
      <c r="L24" s="268"/>
      <c r="M24" s="268"/>
      <c r="N24" s="95"/>
      <c r="O24" s="96"/>
      <c r="P24" s="95"/>
      <c r="Q24" s="92"/>
      <c r="R24" s="92"/>
      <c r="S24" s="92"/>
      <c r="T24" s="93"/>
      <c r="U24" s="93"/>
      <c r="V24" s="93"/>
      <c r="W24" s="93"/>
      <c r="X24" s="93"/>
      <c r="Y24" s="96"/>
      <c r="Z24" s="93"/>
      <c r="AA24" s="92"/>
      <c r="AB24" s="96"/>
      <c r="AC24" s="93"/>
      <c r="AD24" s="92"/>
      <c r="AE24" s="96"/>
      <c r="AF24" s="92"/>
      <c r="AG24" s="92"/>
      <c r="AH24" s="96"/>
      <c r="AI24" s="92"/>
      <c r="AJ24" s="92"/>
      <c r="AK24" s="97"/>
      <c r="AL24" s="92"/>
      <c r="AM24" s="92"/>
      <c r="AN24" s="92"/>
      <c r="AO24" s="92"/>
      <c r="AP24" s="92"/>
      <c r="AQ24" s="92"/>
      <c r="AR24" s="92"/>
      <c r="AS24" s="92"/>
      <c r="AT24" s="59"/>
      <c r="AU24" s="59"/>
      <c r="AV24" s="59"/>
      <c r="AW24" s="59"/>
      <c r="AX24" s="59"/>
      <c r="AY24" s="59"/>
      <c r="AZ24" s="60"/>
      <c r="BA24" s="60"/>
      <c r="BB24" s="49"/>
      <c r="BC24" s="50"/>
      <c r="BD24" s="34"/>
      <c r="BE24" s="124"/>
      <c r="BF24" s="124" t="s">
        <v>53</v>
      </c>
      <c r="BG24" s="124"/>
      <c r="BH24" s="124"/>
      <c r="BI24" s="124"/>
      <c r="BJ24" s="124"/>
      <c r="BK24" s="124"/>
      <c r="BL24" s="124"/>
      <c r="BM24" s="124"/>
      <c r="BN24" s="124"/>
      <c r="BO24" s="124"/>
      <c r="BP24" s="124"/>
      <c r="BQ24" s="124"/>
      <c r="BR24" s="124"/>
      <c r="BS24" s="124"/>
      <c r="BT24" s="124"/>
    </row>
    <row r="25" spans="1:72" s="123" customFormat="1" ht="15" customHeight="1">
      <c r="A25" s="36"/>
      <c r="B25" s="66"/>
      <c r="C25" s="62"/>
      <c r="D25" s="62"/>
      <c r="E25" s="62"/>
      <c r="F25" s="62"/>
      <c r="G25" s="62"/>
      <c r="H25" s="98"/>
      <c r="I25" s="255" t="s">
        <v>216</v>
      </c>
      <c r="J25" s="256"/>
      <c r="K25" s="256"/>
      <c r="L25" s="256"/>
      <c r="M25" s="256"/>
      <c r="N25" s="256"/>
      <c r="O25" s="256"/>
      <c r="P25" s="256"/>
      <c r="Q25" s="256"/>
      <c r="R25" s="256"/>
      <c r="S25" s="256"/>
      <c r="T25" s="256"/>
      <c r="U25" s="256"/>
      <c r="V25" s="256"/>
      <c r="W25" s="256"/>
      <c r="X25" s="256"/>
      <c r="Y25" s="256"/>
      <c r="Z25" s="256"/>
      <c r="AA25" s="256"/>
      <c r="AB25" s="256"/>
      <c r="AC25" s="256"/>
      <c r="AD25" s="256"/>
      <c r="AE25" s="256"/>
      <c r="AF25" s="256"/>
      <c r="AG25" s="256"/>
      <c r="AH25" s="256"/>
      <c r="AI25" s="256"/>
      <c r="AJ25" s="256"/>
      <c r="AK25" s="256"/>
      <c r="AL25" s="256"/>
      <c r="AM25" s="256"/>
      <c r="AN25" s="256"/>
      <c r="AO25" s="256"/>
      <c r="AP25" s="256"/>
      <c r="AQ25" s="256"/>
      <c r="AR25" s="256"/>
      <c r="AS25" s="256"/>
      <c r="AT25" s="59"/>
      <c r="AU25" s="59"/>
      <c r="AV25" s="59"/>
      <c r="AW25" s="59"/>
      <c r="AX25" s="63"/>
      <c r="AY25" s="55"/>
      <c r="AZ25" s="60"/>
      <c r="BA25" s="60"/>
      <c r="BB25" s="32"/>
      <c r="BC25" s="33"/>
      <c r="BD25" s="34"/>
      <c r="BE25" s="124"/>
      <c r="BF25" s="124"/>
      <c r="BG25" s="124" t="s">
        <v>54</v>
      </c>
      <c r="BH25" s="124"/>
      <c r="BI25" s="124"/>
      <c r="BJ25" s="124"/>
      <c r="BK25" s="124"/>
      <c r="BL25" s="124"/>
      <c r="BM25" s="124"/>
      <c r="BN25" s="124"/>
      <c r="BO25" s="124"/>
      <c r="BP25" s="124"/>
      <c r="BQ25" s="124"/>
      <c r="BR25" s="124"/>
      <c r="BS25" s="124"/>
      <c r="BT25" s="124"/>
    </row>
    <row r="26" spans="1:72" s="123" customFormat="1" ht="15" customHeight="1">
      <c r="A26" s="36"/>
      <c r="B26" s="66"/>
      <c r="C26" s="62"/>
      <c r="D26" s="62"/>
      <c r="E26" s="62"/>
      <c r="F26" s="62"/>
      <c r="G26" s="62"/>
      <c r="H26" s="98"/>
      <c r="I26" s="256"/>
      <c r="J26" s="256"/>
      <c r="K26" s="256"/>
      <c r="L26" s="256"/>
      <c r="M26" s="256"/>
      <c r="N26" s="256"/>
      <c r="O26" s="256"/>
      <c r="P26" s="256"/>
      <c r="Q26" s="256"/>
      <c r="R26" s="256"/>
      <c r="S26" s="256"/>
      <c r="T26" s="256"/>
      <c r="U26" s="256"/>
      <c r="V26" s="256"/>
      <c r="W26" s="256"/>
      <c r="X26" s="256"/>
      <c r="Y26" s="256"/>
      <c r="Z26" s="256"/>
      <c r="AA26" s="256"/>
      <c r="AB26" s="256"/>
      <c r="AC26" s="256"/>
      <c r="AD26" s="256"/>
      <c r="AE26" s="256"/>
      <c r="AF26" s="256"/>
      <c r="AG26" s="256"/>
      <c r="AH26" s="256"/>
      <c r="AI26" s="256"/>
      <c r="AJ26" s="256"/>
      <c r="AK26" s="256"/>
      <c r="AL26" s="256"/>
      <c r="AM26" s="256"/>
      <c r="AN26" s="256"/>
      <c r="AO26" s="256"/>
      <c r="AP26" s="256"/>
      <c r="AQ26" s="256"/>
      <c r="AR26" s="256"/>
      <c r="AS26" s="256"/>
      <c r="AT26" s="59"/>
      <c r="AU26" s="59"/>
      <c r="AV26" s="59"/>
      <c r="AW26" s="59"/>
      <c r="AX26" s="63"/>
      <c r="AY26" s="55"/>
      <c r="AZ26" s="60"/>
      <c r="BA26" s="60"/>
      <c r="BB26" s="32"/>
      <c r="BC26" s="33"/>
      <c r="BD26" s="34"/>
      <c r="BE26" s="124"/>
      <c r="BF26" s="124"/>
      <c r="BG26" s="124"/>
      <c r="BH26" s="124"/>
      <c r="BI26" s="124"/>
      <c r="BJ26" s="124"/>
      <c r="BK26" s="124"/>
      <c r="BL26" s="124"/>
      <c r="BM26" s="124"/>
      <c r="BN26" s="124"/>
      <c r="BO26" s="124"/>
      <c r="BP26" s="124"/>
      <c r="BQ26" s="124"/>
      <c r="BR26" s="124"/>
      <c r="BS26" s="124"/>
      <c r="BT26" s="124"/>
    </row>
    <row r="27" spans="1:72" s="123" customFormat="1" ht="12.65" customHeight="1">
      <c r="A27" s="36"/>
      <c r="B27" s="56"/>
      <c r="C27" s="58"/>
      <c r="D27" s="58"/>
      <c r="E27" s="58"/>
      <c r="F27" s="58"/>
      <c r="G27" s="58"/>
      <c r="H27" s="58"/>
      <c r="I27" s="58"/>
      <c r="J27" s="58"/>
      <c r="K27" s="58"/>
      <c r="L27" s="58"/>
      <c r="M27" s="58"/>
      <c r="N27" s="58"/>
      <c r="O27" s="58"/>
      <c r="P27" s="58"/>
      <c r="Q27" s="58"/>
      <c r="R27" s="58"/>
      <c r="S27" s="58"/>
      <c r="T27" s="58"/>
      <c r="U27" s="58"/>
      <c r="V27" s="58"/>
      <c r="W27" s="58"/>
      <c r="X27" s="58"/>
      <c r="Y27" s="58"/>
      <c r="Z27" s="58"/>
      <c r="AA27" s="58"/>
      <c r="AB27" s="58"/>
      <c r="AC27" s="58"/>
      <c r="AD27" s="58"/>
      <c r="AE27" s="58"/>
      <c r="AF27" s="58"/>
      <c r="AG27" s="58"/>
      <c r="AH27" s="58"/>
      <c r="AI27" s="58"/>
      <c r="AJ27" s="58"/>
      <c r="AK27" s="58"/>
      <c r="AL27" s="58"/>
      <c r="AM27" s="58"/>
      <c r="AN27" s="58"/>
      <c r="AO27" s="58"/>
      <c r="AP27" s="58"/>
      <c r="AQ27" s="58"/>
      <c r="AR27" s="58"/>
      <c r="AS27" s="58"/>
      <c r="AT27" s="58"/>
      <c r="AU27" s="58"/>
      <c r="AV27" s="58"/>
      <c r="AW27" s="58"/>
      <c r="AX27" s="58"/>
      <c r="AY27" s="58"/>
      <c r="AZ27" s="60"/>
      <c r="BA27" s="60"/>
      <c r="BB27" s="49"/>
      <c r="BC27" s="50"/>
      <c r="BD27" s="34"/>
      <c r="BE27" s="124"/>
      <c r="BF27" s="124" t="s">
        <v>55</v>
      </c>
      <c r="BG27" s="124"/>
      <c r="BH27" s="124"/>
      <c r="BI27" s="124"/>
      <c r="BJ27" s="124"/>
      <c r="BK27" s="124"/>
      <c r="BL27" s="124"/>
      <c r="BM27" s="124"/>
      <c r="BN27" s="124"/>
      <c r="BO27" s="124"/>
      <c r="BP27" s="124"/>
      <c r="BQ27" s="124"/>
      <c r="BR27" s="124"/>
      <c r="BS27" s="124"/>
      <c r="BT27" s="124"/>
    </row>
    <row r="28" spans="1:72" s="123" customFormat="1" ht="12.65" customHeight="1">
      <c r="A28" s="36"/>
      <c r="B28" s="56"/>
      <c r="C28" s="58"/>
      <c r="D28" s="58"/>
      <c r="E28" s="58"/>
      <c r="F28" s="58"/>
      <c r="G28" s="58"/>
      <c r="H28" s="58"/>
      <c r="I28" s="58"/>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60"/>
      <c r="BA28" s="60"/>
      <c r="BB28" s="49"/>
      <c r="BC28" s="50"/>
      <c r="BD28" s="34"/>
      <c r="BE28" s="124"/>
      <c r="BF28" s="124"/>
      <c r="BG28" s="124" t="s">
        <v>56</v>
      </c>
      <c r="BH28" s="124"/>
      <c r="BI28" s="124"/>
      <c r="BJ28" s="124"/>
      <c r="BK28" s="124"/>
      <c r="BL28" s="124"/>
      <c r="BM28" s="124"/>
      <c r="BN28" s="124"/>
      <c r="BO28" s="124"/>
      <c r="BP28" s="124"/>
      <c r="BQ28" s="124"/>
      <c r="BR28" s="124"/>
      <c r="BS28" s="124"/>
      <c r="BT28" s="124"/>
    </row>
    <row r="29" spans="1:72" s="123" customFormat="1" ht="17.149999999999999" customHeight="1">
      <c r="A29" s="36"/>
      <c r="B29" s="56"/>
      <c r="C29" s="55"/>
      <c r="D29" s="55"/>
      <c r="E29" s="55"/>
      <c r="F29" s="55"/>
      <c r="G29" s="55"/>
      <c r="H29" s="257" t="s">
        <v>204</v>
      </c>
      <c r="I29" s="258"/>
      <c r="J29" s="258"/>
      <c r="K29" s="258"/>
      <c r="L29" s="259"/>
      <c r="M29" s="269" t="s">
        <v>211</v>
      </c>
      <c r="N29" s="270"/>
      <c r="O29" s="270"/>
      <c r="P29" s="270"/>
      <c r="Q29" s="271"/>
      <c r="R29" s="257" t="s">
        <v>205</v>
      </c>
      <c r="S29" s="258"/>
      <c r="T29" s="258"/>
      <c r="U29" s="258"/>
      <c r="V29" s="259"/>
      <c r="W29" s="275" t="s">
        <v>206</v>
      </c>
      <c r="X29" s="276"/>
      <c r="Y29" s="276"/>
      <c r="Z29" s="277"/>
      <c r="AA29" s="275" t="s">
        <v>207</v>
      </c>
      <c r="AB29" s="276"/>
      <c r="AC29" s="276"/>
      <c r="AD29" s="277"/>
      <c r="AE29" s="257" t="s">
        <v>208</v>
      </c>
      <c r="AF29" s="258"/>
      <c r="AG29" s="258"/>
      <c r="AH29" s="259"/>
      <c r="AI29" s="257" t="s">
        <v>209</v>
      </c>
      <c r="AJ29" s="258"/>
      <c r="AK29" s="258"/>
      <c r="AL29" s="258"/>
      <c r="AM29" s="259"/>
      <c r="AN29" s="257" t="s">
        <v>210</v>
      </c>
      <c r="AO29" s="258"/>
      <c r="AP29" s="258"/>
      <c r="AQ29" s="258"/>
      <c r="AR29" s="258"/>
      <c r="AS29" s="259"/>
      <c r="AT29" s="63"/>
      <c r="AU29" s="55"/>
      <c r="AV29" s="59"/>
      <c r="AW29" s="59"/>
      <c r="AX29" s="59"/>
      <c r="AY29" s="55"/>
      <c r="AZ29" s="60"/>
      <c r="BA29" s="60"/>
      <c r="BB29" s="32"/>
      <c r="BC29" s="33"/>
      <c r="BD29" s="35"/>
      <c r="BE29" s="124"/>
      <c r="BF29" s="124"/>
      <c r="BG29" s="124" t="s">
        <v>57</v>
      </c>
      <c r="BH29" s="124"/>
      <c r="BI29" s="124"/>
      <c r="BJ29" s="124"/>
      <c r="BK29" s="124"/>
      <c r="BL29" s="124"/>
      <c r="BM29" s="124"/>
      <c r="BN29" s="124"/>
      <c r="BO29" s="124"/>
      <c r="BP29" s="124"/>
      <c r="BQ29" s="124"/>
      <c r="BR29" s="124"/>
      <c r="BS29" s="124"/>
      <c r="BT29" s="124"/>
    </row>
    <row r="30" spans="1:72" s="123" customFormat="1" ht="17.149999999999999" customHeight="1">
      <c r="A30" s="36"/>
      <c r="B30" s="56"/>
      <c r="C30" s="55"/>
      <c r="D30" s="55"/>
      <c r="E30" s="55"/>
      <c r="F30" s="55"/>
      <c r="G30" s="55"/>
      <c r="H30" s="260"/>
      <c r="I30" s="261"/>
      <c r="J30" s="261"/>
      <c r="K30" s="261"/>
      <c r="L30" s="262"/>
      <c r="M30" s="272"/>
      <c r="N30" s="273"/>
      <c r="O30" s="273"/>
      <c r="P30" s="273"/>
      <c r="Q30" s="274"/>
      <c r="R30" s="260"/>
      <c r="S30" s="261"/>
      <c r="T30" s="261"/>
      <c r="U30" s="261"/>
      <c r="V30" s="262"/>
      <c r="W30" s="278"/>
      <c r="X30" s="279"/>
      <c r="Y30" s="279"/>
      <c r="Z30" s="280"/>
      <c r="AA30" s="278"/>
      <c r="AB30" s="279"/>
      <c r="AC30" s="279"/>
      <c r="AD30" s="280"/>
      <c r="AE30" s="260"/>
      <c r="AF30" s="261"/>
      <c r="AG30" s="261"/>
      <c r="AH30" s="262"/>
      <c r="AI30" s="260"/>
      <c r="AJ30" s="261"/>
      <c r="AK30" s="261"/>
      <c r="AL30" s="261"/>
      <c r="AM30" s="262"/>
      <c r="AN30" s="260"/>
      <c r="AO30" s="261"/>
      <c r="AP30" s="261"/>
      <c r="AQ30" s="261"/>
      <c r="AR30" s="261"/>
      <c r="AS30" s="262"/>
      <c r="AT30" s="63"/>
      <c r="AU30" s="55"/>
      <c r="AV30" s="59"/>
      <c r="AW30" s="59"/>
      <c r="AX30" s="59"/>
      <c r="AY30" s="55"/>
      <c r="AZ30" s="60"/>
      <c r="BA30" s="60"/>
      <c r="BB30" s="32"/>
      <c r="BC30" s="33"/>
      <c r="BD30" s="35"/>
      <c r="BE30" s="124"/>
      <c r="BF30" s="124"/>
      <c r="BG30" s="127" t="s">
        <v>58</v>
      </c>
      <c r="BH30" s="124"/>
      <c r="BI30" s="124"/>
      <c r="BJ30" s="124"/>
      <c r="BK30" s="124"/>
      <c r="BL30" s="124"/>
      <c r="BM30" s="124"/>
      <c r="BN30" s="124"/>
      <c r="BO30" s="124"/>
      <c r="BP30" s="124"/>
      <c r="BQ30" s="124"/>
      <c r="BR30" s="124"/>
      <c r="BS30" s="124"/>
      <c r="BT30" s="124"/>
    </row>
    <row r="31" spans="1:72" s="123" customFormat="1" ht="16.5" customHeight="1">
      <c r="A31" s="36"/>
      <c r="B31" s="56"/>
      <c r="C31" s="67"/>
      <c r="D31" s="68"/>
      <c r="E31" s="59"/>
      <c r="F31" s="59"/>
      <c r="G31" s="59"/>
      <c r="H31" s="103" t="s">
        <v>36</v>
      </c>
      <c r="I31" s="104"/>
      <c r="J31" s="104"/>
      <c r="K31" s="104"/>
      <c r="L31" s="105"/>
      <c r="M31" s="169" t="s">
        <v>212</v>
      </c>
      <c r="N31" s="104"/>
      <c r="O31" s="104"/>
      <c r="P31" s="104"/>
      <c r="Q31" s="105"/>
      <c r="R31" s="169" t="s">
        <v>212</v>
      </c>
      <c r="S31" s="107"/>
      <c r="T31" s="108"/>
      <c r="U31" s="108"/>
      <c r="V31" s="109"/>
      <c r="W31" s="121" t="s">
        <v>42</v>
      </c>
      <c r="X31" s="108"/>
      <c r="Y31" s="109"/>
      <c r="Z31" s="110"/>
      <c r="AA31" s="113" t="s">
        <v>41</v>
      </c>
      <c r="AB31" s="107"/>
      <c r="AC31" s="108"/>
      <c r="AD31" s="109"/>
      <c r="AE31" s="110" t="s">
        <v>43</v>
      </c>
      <c r="AF31" s="107"/>
      <c r="AG31" s="107"/>
      <c r="AH31" s="111"/>
      <c r="AI31" s="170" t="s">
        <v>218</v>
      </c>
      <c r="AJ31" s="107"/>
      <c r="AK31" s="107"/>
      <c r="AL31" s="107"/>
      <c r="AM31" s="111"/>
      <c r="AN31" s="114"/>
      <c r="AO31" s="107"/>
      <c r="AP31" s="107"/>
      <c r="AQ31" s="107"/>
      <c r="AR31" s="107"/>
      <c r="AS31" s="112"/>
      <c r="AT31" s="65"/>
      <c r="AU31" s="59"/>
      <c r="AV31" s="59"/>
      <c r="AW31" s="59"/>
      <c r="AX31" s="59"/>
      <c r="AY31" s="59"/>
      <c r="AZ31" s="60"/>
      <c r="BA31" s="60"/>
      <c r="BB31" s="49"/>
      <c r="BC31" s="50"/>
      <c r="BD31" s="34"/>
      <c r="BE31" s="124"/>
      <c r="BF31" s="124"/>
      <c r="BG31" s="127"/>
      <c r="BH31" s="124"/>
      <c r="BI31" s="124"/>
      <c r="BJ31" s="124"/>
      <c r="BK31" s="124"/>
      <c r="BL31" s="124"/>
      <c r="BM31" s="124"/>
      <c r="BN31" s="124"/>
      <c r="BO31" s="124"/>
      <c r="BP31" s="124"/>
      <c r="BQ31" s="124"/>
      <c r="BR31" s="124"/>
      <c r="BS31" s="124"/>
      <c r="BT31" s="124"/>
    </row>
    <row r="32" spans="1:72" s="123" customFormat="1" ht="16.5" customHeight="1">
      <c r="A32" s="36"/>
      <c r="B32" s="56"/>
      <c r="C32" s="67"/>
      <c r="D32" s="68"/>
      <c r="E32" s="59"/>
      <c r="F32" s="59"/>
      <c r="G32" s="59"/>
      <c r="H32" s="103" t="s">
        <v>37</v>
      </c>
      <c r="I32" s="104"/>
      <c r="J32" s="104"/>
      <c r="K32" s="104"/>
      <c r="L32" s="105"/>
      <c r="M32" s="169" t="s">
        <v>213</v>
      </c>
      <c r="N32" s="104"/>
      <c r="O32" s="104"/>
      <c r="P32" s="104"/>
      <c r="Q32" s="105"/>
      <c r="R32" s="169" t="s">
        <v>213</v>
      </c>
      <c r="S32" s="107"/>
      <c r="T32" s="108"/>
      <c r="U32" s="108"/>
      <c r="V32" s="109"/>
      <c r="W32" s="121" t="s">
        <v>42</v>
      </c>
      <c r="X32" s="108"/>
      <c r="Y32" s="109"/>
      <c r="Z32" s="110"/>
      <c r="AA32" s="113" t="s">
        <v>232</v>
      </c>
      <c r="AB32" s="107"/>
      <c r="AC32" s="108"/>
      <c r="AD32" s="109"/>
      <c r="AE32" s="110" t="s">
        <v>44</v>
      </c>
      <c r="AF32" s="107"/>
      <c r="AG32" s="107"/>
      <c r="AH32" s="111"/>
      <c r="AI32" s="106" t="s">
        <v>39</v>
      </c>
      <c r="AJ32" s="107"/>
      <c r="AK32" s="107"/>
      <c r="AL32" s="107"/>
      <c r="AM32" s="111"/>
      <c r="AN32" s="114"/>
      <c r="AO32" s="107"/>
      <c r="AP32" s="107"/>
      <c r="AQ32" s="107"/>
      <c r="AR32" s="107"/>
      <c r="AS32" s="112"/>
      <c r="AT32" s="69"/>
      <c r="AU32" s="69"/>
      <c r="AV32" s="69"/>
      <c r="AW32" s="69"/>
      <c r="AX32" s="69"/>
      <c r="AY32" s="69"/>
      <c r="AZ32" s="60"/>
      <c r="BA32" s="60"/>
      <c r="BB32" s="49"/>
      <c r="BC32" s="50"/>
      <c r="BD32" s="34"/>
      <c r="BE32" s="124"/>
      <c r="BF32" s="124" t="s">
        <v>59</v>
      </c>
      <c r="BG32" s="127"/>
      <c r="BH32" s="124"/>
      <c r="BI32" s="124"/>
      <c r="BJ32" s="124"/>
      <c r="BK32" s="124"/>
      <c r="BL32" s="124"/>
      <c r="BM32" s="124"/>
      <c r="BN32" s="124"/>
      <c r="BO32" s="124"/>
      <c r="BP32" s="124"/>
      <c r="BQ32" s="124"/>
      <c r="BR32" s="124"/>
      <c r="BS32" s="124"/>
      <c r="BT32" s="124"/>
    </row>
    <row r="33" spans="1:72" s="123" customFormat="1" ht="16.5" customHeight="1">
      <c r="A33" s="36"/>
      <c r="B33" s="56"/>
      <c r="C33" s="58"/>
      <c r="D33" s="58"/>
      <c r="E33" s="58"/>
      <c r="F33" s="58"/>
      <c r="G33" s="58"/>
      <c r="H33" s="103" t="s">
        <v>38</v>
      </c>
      <c r="I33" s="104"/>
      <c r="J33" s="104"/>
      <c r="K33" s="104"/>
      <c r="L33" s="105"/>
      <c r="M33" s="169" t="s">
        <v>214</v>
      </c>
      <c r="N33" s="104"/>
      <c r="O33" s="104"/>
      <c r="P33" s="104"/>
      <c r="Q33" s="105"/>
      <c r="R33" s="169" t="s">
        <v>214</v>
      </c>
      <c r="S33" s="107"/>
      <c r="T33" s="108"/>
      <c r="U33" s="108"/>
      <c r="V33" s="109"/>
      <c r="W33" s="121" t="s">
        <v>42</v>
      </c>
      <c r="X33" s="108"/>
      <c r="Y33" s="109"/>
      <c r="Z33" s="110"/>
      <c r="AA33" s="113" t="s">
        <v>41</v>
      </c>
      <c r="AB33" s="107"/>
      <c r="AC33" s="108"/>
      <c r="AD33" s="109"/>
      <c r="AE33" s="110" t="s">
        <v>43</v>
      </c>
      <c r="AF33" s="107"/>
      <c r="AG33" s="107"/>
      <c r="AH33" s="111"/>
      <c r="AI33" s="170" t="s">
        <v>217</v>
      </c>
      <c r="AJ33" s="107"/>
      <c r="AK33" s="107"/>
      <c r="AL33" s="107"/>
      <c r="AM33" s="111"/>
      <c r="AN33" s="114"/>
      <c r="AO33" s="107"/>
      <c r="AP33" s="107"/>
      <c r="AQ33" s="107"/>
      <c r="AR33" s="107"/>
      <c r="AS33" s="112"/>
      <c r="AT33" s="58"/>
      <c r="AU33" s="58"/>
      <c r="AV33" s="58"/>
      <c r="AW33" s="58"/>
      <c r="AX33" s="58"/>
      <c r="AY33" s="58"/>
      <c r="AZ33" s="60"/>
      <c r="BA33" s="60"/>
      <c r="BB33" s="49"/>
      <c r="BC33" s="50"/>
      <c r="BD33" s="34"/>
      <c r="BE33" s="124"/>
      <c r="BF33" s="124"/>
      <c r="BG33" s="124" t="s">
        <v>231</v>
      </c>
      <c r="BH33" s="124"/>
      <c r="BI33" s="124"/>
      <c r="BJ33" s="124"/>
      <c r="BK33" s="124"/>
      <c r="BL33" s="124"/>
      <c r="BM33" s="124"/>
      <c r="BN33" s="124"/>
      <c r="BO33" s="124"/>
      <c r="BP33" s="124"/>
      <c r="BQ33" s="124"/>
      <c r="BR33" s="124"/>
      <c r="BS33" s="124"/>
      <c r="BT33" s="124"/>
    </row>
    <row r="34" spans="1:72" s="123" customFormat="1" ht="12.65" customHeight="1">
      <c r="A34" s="36"/>
      <c r="B34" s="56"/>
      <c r="C34" s="58"/>
      <c r="D34" s="58"/>
      <c r="E34" s="58"/>
      <c r="F34" s="58"/>
      <c r="G34" s="58"/>
      <c r="H34" s="58"/>
      <c r="I34" s="58"/>
      <c r="J34" s="58"/>
      <c r="K34" s="58"/>
      <c r="L34" s="58"/>
      <c r="M34" s="58"/>
      <c r="N34" s="58"/>
      <c r="O34" s="58"/>
      <c r="P34" s="58"/>
      <c r="Q34" s="58"/>
      <c r="R34" s="58"/>
      <c r="S34" s="58"/>
      <c r="T34" s="58"/>
      <c r="U34" s="58"/>
      <c r="V34" s="58"/>
      <c r="W34" s="58"/>
      <c r="X34" s="58"/>
      <c r="Y34" s="58"/>
      <c r="Z34" s="58"/>
      <c r="AA34" s="58"/>
      <c r="AB34" s="58"/>
      <c r="AC34" s="58"/>
      <c r="AD34" s="58"/>
      <c r="AE34" s="58"/>
      <c r="AF34" s="58"/>
      <c r="AG34" s="58"/>
      <c r="AH34" s="58"/>
      <c r="AI34" s="58"/>
      <c r="AJ34" s="58"/>
      <c r="AK34" s="58"/>
      <c r="AL34" s="58"/>
      <c r="AM34" s="58"/>
      <c r="AN34" s="58"/>
      <c r="AO34" s="58"/>
      <c r="AP34" s="58"/>
      <c r="AQ34" s="58"/>
      <c r="AR34" s="58"/>
      <c r="AS34" s="58"/>
      <c r="AT34" s="58"/>
      <c r="AU34" s="58"/>
      <c r="AV34" s="58"/>
      <c r="AW34" s="58"/>
      <c r="AX34" s="58"/>
      <c r="AY34" s="58"/>
      <c r="AZ34" s="60"/>
      <c r="BA34" s="60"/>
      <c r="BB34" s="49"/>
      <c r="BC34" s="50"/>
      <c r="BD34" s="34"/>
      <c r="BE34" s="124"/>
      <c r="BF34" s="124"/>
      <c r="BG34" s="124" t="s">
        <v>60</v>
      </c>
      <c r="BH34" s="124"/>
      <c r="BI34" s="124"/>
      <c r="BJ34" s="124"/>
      <c r="BK34" s="124"/>
      <c r="BL34" s="124"/>
      <c r="BM34" s="124"/>
      <c r="BN34" s="124"/>
      <c r="BO34" s="124"/>
      <c r="BP34" s="124"/>
      <c r="BQ34" s="124"/>
      <c r="BR34" s="124"/>
      <c r="BS34" s="124"/>
      <c r="BT34" s="124"/>
    </row>
    <row r="35" spans="1:72" s="123" customFormat="1" ht="12.65" customHeight="1">
      <c r="A35" s="36"/>
      <c r="B35" s="56"/>
      <c r="C35" s="58"/>
      <c r="D35" s="58"/>
      <c r="E35" s="58"/>
      <c r="F35" s="58"/>
      <c r="G35" s="58"/>
      <c r="H35" s="58"/>
      <c r="I35" s="58"/>
      <c r="J35" s="58"/>
      <c r="K35" s="58"/>
      <c r="L35" s="58"/>
      <c r="M35" s="58"/>
      <c r="N35" s="58"/>
      <c r="O35" s="165"/>
      <c r="P35" s="165"/>
      <c r="Q35" s="165"/>
      <c r="R35" s="165"/>
      <c r="S35" s="165"/>
      <c r="T35" s="165"/>
      <c r="U35" s="165"/>
      <c r="V35" s="165"/>
      <c r="W35" s="165"/>
      <c r="X35" s="165"/>
      <c r="Y35" s="165"/>
      <c r="Z35" s="165"/>
      <c r="AA35" s="165"/>
      <c r="AB35" s="165"/>
      <c r="AC35" s="165"/>
      <c r="AD35" s="165"/>
      <c r="AE35" s="166"/>
      <c r="AF35" s="166"/>
      <c r="AG35" s="58"/>
      <c r="AH35" s="58"/>
      <c r="AI35" s="58"/>
      <c r="AJ35" s="58"/>
      <c r="AK35" s="58"/>
      <c r="AL35" s="58"/>
      <c r="AM35" s="58"/>
      <c r="AN35" s="58"/>
      <c r="AO35" s="58"/>
      <c r="AP35" s="58"/>
      <c r="AQ35" s="58"/>
      <c r="AR35" s="58"/>
      <c r="AS35" s="58"/>
      <c r="AT35" s="58"/>
      <c r="AU35" s="58"/>
      <c r="AV35" s="58"/>
      <c r="AW35" s="58"/>
      <c r="AX35" s="58"/>
      <c r="AY35" s="58"/>
      <c r="AZ35" s="60"/>
      <c r="BA35" s="60"/>
      <c r="BB35" s="32"/>
      <c r="BC35" s="33"/>
      <c r="BD35" s="35"/>
      <c r="BE35" s="124"/>
      <c r="BF35" s="124"/>
      <c r="BG35" s="127" t="s">
        <v>61</v>
      </c>
      <c r="BH35" s="124"/>
      <c r="BI35" s="124"/>
      <c r="BJ35" s="124"/>
      <c r="BK35" s="124"/>
      <c r="BL35" s="124"/>
      <c r="BM35" s="124"/>
      <c r="BN35" s="124"/>
      <c r="BO35" s="124"/>
      <c r="BP35" s="124"/>
      <c r="BQ35" s="124"/>
      <c r="BR35" s="124"/>
      <c r="BS35" s="124"/>
      <c r="BT35" s="124"/>
    </row>
    <row r="36" spans="1:72" s="123" customFormat="1" ht="13.5">
      <c r="A36" s="36"/>
      <c r="B36" s="66"/>
      <c r="C36" s="59"/>
      <c r="D36" s="59"/>
      <c r="E36" s="59"/>
      <c r="F36" s="59"/>
      <c r="G36" s="59"/>
      <c r="H36" s="59"/>
      <c r="I36" s="59"/>
      <c r="J36" s="59"/>
      <c r="K36" s="59"/>
      <c r="L36" s="59"/>
      <c r="M36" s="59"/>
      <c r="N36" s="59"/>
      <c r="O36" s="59"/>
      <c r="P36" s="59"/>
      <c r="Q36" s="59"/>
      <c r="R36" s="59"/>
      <c r="S36" s="65"/>
      <c r="T36" s="65"/>
      <c r="U36" s="65"/>
      <c r="V36" s="65"/>
      <c r="W36" s="59"/>
      <c r="X36" s="59"/>
      <c r="Y36" s="65"/>
      <c r="Z36" s="167"/>
      <c r="AA36" s="59"/>
      <c r="AB36" s="59"/>
      <c r="AC36" s="59"/>
      <c r="AD36" s="65"/>
      <c r="AE36" s="65"/>
      <c r="AF36" s="65"/>
      <c r="AG36" s="65"/>
      <c r="AH36" s="65"/>
      <c r="AI36" s="65"/>
      <c r="AJ36" s="65"/>
      <c r="AK36" s="65"/>
      <c r="AL36" s="65"/>
      <c r="AM36" s="65"/>
      <c r="AN36" s="65"/>
      <c r="AO36" s="65"/>
      <c r="AP36" s="65"/>
      <c r="AQ36" s="65"/>
      <c r="AR36" s="65"/>
      <c r="AS36" s="65"/>
      <c r="AT36" s="65"/>
      <c r="AU36" s="65"/>
      <c r="AV36" s="65"/>
      <c r="AW36" s="65"/>
      <c r="AX36" s="65"/>
      <c r="AY36" s="55"/>
      <c r="AZ36" s="60"/>
      <c r="BA36" s="60"/>
      <c r="BB36" s="49"/>
      <c r="BC36" s="50"/>
      <c r="BD36" s="51"/>
      <c r="BE36" s="124"/>
      <c r="BF36" s="124"/>
      <c r="BG36" s="127" t="s">
        <v>229</v>
      </c>
      <c r="BH36" s="124"/>
      <c r="BI36" s="124"/>
      <c r="BJ36" s="124"/>
      <c r="BK36" s="124"/>
      <c r="BL36" s="124"/>
      <c r="BM36" s="124"/>
      <c r="BN36" s="124"/>
      <c r="BO36" s="124"/>
      <c r="BP36" s="124"/>
      <c r="BQ36" s="124"/>
      <c r="BR36" s="124"/>
      <c r="BS36" s="124"/>
      <c r="BT36" s="124"/>
    </row>
    <row r="37" spans="1:72" ht="15">
      <c r="A37" s="36"/>
      <c r="B37" s="132"/>
      <c r="C37" s="133"/>
      <c r="D37" s="133"/>
      <c r="E37" s="133"/>
      <c r="F37" s="133"/>
      <c r="G37" s="133"/>
      <c r="H37" s="133"/>
      <c r="I37" s="133"/>
      <c r="J37" s="133"/>
      <c r="K37" s="133"/>
      <c r="L37" s="133"/>
      <c r="M37" s="133"/>
      <c r="N37" s="133"/>
      <c r="O37" s="133"/>
      <c r="P37" s="133"/>
      <c r="Q37" s="133"/>
      <c r="R37" s="133"/>
      <c r="S37" s="134"/>
      <c r="T37" s="134"/>
      <c r="U37" s="134"/>
      <c r="V37" s="134"/>
      <c r="W37" s="133"/>
      <c r="X37" s="133"/>
      <c r="Y37" s="134"/>
      <c r="Z37" s="134"/>
      <c r="AA37" s="133"/>
      <c r="AB37" s="133"/>
      <c r="AC37" s="133"/>
      <c r="AD37" s="134"/>
      <c r="AE37" s="134"/>
      <c r="AF37" s="134"/>
      <c r="AG37" s="134"/>
      <c r="AH37" s="134"/>
      <c r="AI37" s="134"/>
      <c r="AJ37" s="134"/>
      <c r="AK37" s="134"/>
      <c r="AL37" s="134"/>
      <c r="AM37" s="134"/>
      <c r="AN37" s="134"/>
      <c r="AO37" s="134"/>
      <c r="AP37" s="134"/>
      <c r="AQ37" s="134"/>
      <c r="AR37" s="134"/>
      <c r="AS37" s="134"/>
      <c r="AT37" s="134"/>
      <c r="AU37" s="134"/>
      <c r="AV37" s="134"/>
      <c r="AW37" s="134"/>
      <c r="AX37" s="134"/>
      <c r="AY37" s="132"/>
      <c r="AZ37" s="132"/>
      <c r="BA37" s="60"/>
      <c r="BB37" s="135"/>
      <c r="BC37" s="136"/>
      <c r="BD37" s="51"/>
      <c r="BE37" s="124"/>
      <c r="BF37" s="124"/>
      <c r="BG37" s="127" t="s">
        <v>62</v>
      </c>
      <c r="BH37" s="124"/>
      <c r="BI37" s="124"/>
      <c r="BJ37" s="124"/>
      <c r="BK37" s="124"/>
      <c r="BL37" s="124"/>
      <c r="BM37" s="124"/>
      <c r="BN37" s="124"/>
      <c r="BO37" s="124"/>
      <c r="BP37" s="124"/>
      <c r="BQ37" s="124"/>
      <c r="BR37" s="124"/>
      <c r="BS37" s="124"/>
      <c r="BT37" s="124"/>
    </row>
    <row r="38" spans="1:72" ht="15">
      <c r="A38" s="35"/>
      <c r="B38" s="35"/>
      <c r="C38" s="35"/>
      <c r="D38" s="35"/>
      <c r="E38" s="35"/>
      <c r="F38" s="35"/>
      <c r="G38" s="35"/>
      <c r="H38" s="35"/>
      <c r="I38" s="35"/>
      <c r="J38" s="35"/>
      <c r="K38" s="35"/>
      <c r="L38" s="35"/>
      <c r="M38" s="35"/>
      <c r="N38" s="35"/>
      <c r="O38" s="35"/>
      <c r="P38" s="35"/>
      <c r="Q38" s="35"/>
      <c r="R38" s="35"/>
      <c r="S38" s="54"/>
      <c r="T38" s="54"/>
      <c r="U38" s="54"/>
      <c r="V38" s="54"/>
      <c r="W38" s="35"/>
      <c r="X38" s="35"/>
      <c r="Y38" s="54"/>
      <c r="Z38" s="54"/>
      <c r="AA38" s="35"/>
      <c r="AB38" s="35"/>
      <c r="AC38" s="35"/>
      <c r="AD38" s="54"/>
      <c r="AE38" s="54"/>
      <c r="AF38" s="54"/>
      <c r="AG38" s="54"/>
      <c r="AH38" s="54"/>
      <c r="AI38" s="54"/>
      <c r="AJ38" s="54"/>
      <c r="AK38" s="54"/>
      <c r="AL38" s="54"/>
      <c r="AM38" s="54"/>
      <c r="AN38" s="54"/>
      <c r="AO38" s="54"/>
      <c r="AP38" s="54"/>
      <c r="AQ38" s="54"/>
      <c r="AR38" s="54"/>
      <c r="AS38" s="54"/>
      <c r="AT38" s="54"/>
      <c r="AU38" s="54"/>
      <c r="AV38" s="54"/>
      <c r="AW38" s="54"/>
      <c r="AX38" s="54"/>
      <c r="AY38" s="54"/>
      <c r="AZ38" s="54"/>
      <c r="BA38" s="60"/>
      <c r="BB38" s="137"/>
      <c r="BC38" s="50"/>
      <c r="BD38" s="51"/>
      <c r="BE38" s="124"/>
      <c r="BF38" s="124"/>
      <c r="BG38" s="127" t="s">
        <v>230</v>
      </c>
      <c r="BH38" s="124"/>
      <c r="BI38" s="124"/>
      <c r="BJ38" s="124"/>
      <c r="BK38" s="124"/>
      <c r="BL38" s="124"/>
      <c r="BM38" s="124"/>
      <c r="BN38" s="124"/>
      <c r="BO38" s="124"/>
      <c r="BP38" s="124"/>
      <c r="BQ38" s="124"/>
      <c r="BR38" s="124"/>
      <c r="BS38" s="124"/>
      <c r="BT38" s="124"/>
    </row>
    <row r="39" spans="1:72" ht="15">
      <c r="A39" s="35"/>
      <c r="B39" s="35"/>
      <c r="C39" s="35"/>
      <c r="D39" s="35"/>
      <c r="E39" s="35"/>
      <c r="F39" s="35"/>
      <c r="G39" s="35"/>
      <c r="H39" s="35"/>
      <c r="I39" s="35"/>
      <c r="J39" s="35"/>
      <c r="K39" s="35"/>
      <c r="L39" s="35"/>
      <c r="M39" s="35"/>
      <c r="N39" s="35"/>
      <c r="O39" s="35"/>
      <c r="P39" s="35"/>
      <c r="Q39" s="35"/>
      <c r="R39" s="35"/>
      <c r="S39" s="54"/>
      <c r="T39" s="54"/>
      <c r="U39" s="54"/>
      <c r="V39" s="54"/>
      <c r="W39" s="35"/>
      <c r="X39" s="35"/>
      <c r="Y39" s="54"/>
      <c r="Z39" s="54"/>
      <c r="AA39" s="35"/>
      <c r="AB39" s="35"/>
      <c r="AC39" s="35"/>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60"/>
      <c r="BB39" s="137"/>
      <c r="BC39" s="50"/>
      <c r="BD39" s="51"/>
      <c r="BE39" s="124"/>
    </row>
    <row r="40" spans="1:72" ht="15" customHeight="1">
      <c r="A40" s="35"/>
      <c r="B40" s="253" t="s">
        <v>82</v>
      </c>
      <c r="C40" s="253"/>
      <c r="D40" s="253"/>
      <c r="E40" s="253"/>
      <c r="F40" s="253" t="s">
        <v>83</v>
      </c>
      <c r="G40" s="253"/>
      <c r="H40" s="253"/>
      <c r="I40" s="253"/>
      <c r="J40" s="253" t="s">
        <v>84</v>
      </c>
      <c r="K40" s="253"/>
      <c r="L40" s="253"/>
      <c r="M40" s="253"/>
      <c r="N40" s="253" t="s">
        <v>85</v>
      </c>
      <c r="O40" s="253"/>
      <c r="P40" s="253"/>
      <c r="Q40" s="253"/>
      <c r="R40" s="253" t="s">
        <v>86</v>
      </c>
      <c r="S40" s="253"/>
      <c r="T40" s="253"/>
      <c r="U40" s="253"/>
      <c r="V40" s="253" t="s">
        <v>87</v>
      </c>
      <c r="W40" s="253"/>
      <c r="X40" s="253"/>
      <c r="Y40" s="253"/>
      <c r="Z40" s="253" t="s">
        <v>88</v>
      </c>
      <c r="AA40" s="253"/>
      <c r="AB40" s="253"/>
      <c r="AC40" s="253"/>
      <c r="AD40" s="253" t="s">
        <v>89</v>
      </c>
      <c r="AE40" s="253"/>
      <c r="AF40" s="253"/>
      <c r="AG40" s="253"/>
      <c r="AH40" s="246" t="s">
        <v>90</v>
      </c>
      <c r="AI40" s="247"/>
      <c r="AJ40" s="247"/>
      <c r="AK40" s="248"/>
      <c r="AL40" s="246" t="s">
        <v>91</v>
      </c>
      <c r="AM40" s="247"/>
      <c r="AN40" s="247"/>
      <c r="AO40" s="248"/>
      <c r="AP40" s="246" t="s">
        <v>92</v>
      </c>
      <c r="AQ40" s="247"/>
      <c r="AR40" s="247"/>
      <c r="AS40" s="248"/>
      <c r="AT40" s="246" t="s">
        <v>306</v>
      </c>
      <c r="AU40" s="247"/>
      <c r="AV40" s="247"/>
      <c r="AW40" s="248"/>
      <c r="AX40" s="54"/>
      <c r="AY40" s="54"/>
      <c r="AZ40" s="54"/>
      <c r="BA40" s="60"/>
      <c r="BB40" s="137"/>
      <c r="BC40" s="50"/>
      <c r="BD40" s="51"/>
      <c r="BE40" s="124"/>
      <c r="BF40" s="124" t="s">
        <v>63</v>
      </c>
      <c r="BG40" s="124"/>
      <c r="BH40" s="124"/>
      <c r="BI40" s="124"/>
      <c r="BJ40" s="124"/>
      <c r="BK40" s="124"/>
      <c r="BL40" s="124"/>
      <c r="BM40" s="124"/>
      <c r="BN40" s="124"/>
      <c r="BO40" s="124"/>
      <c r="BP40" s="124"/>
      <c r="BQ40" s="124"/>
      <c r="BR40" s="124"/>
      <c r="BS40" s="124"/>
      <c r="BT40" s="124"/>
    </row>
    <row r="41" spans="1:72" ht="15">
      <c r="A41" s="35"/>
      <c r="B41" s="253"/>
      <c r="C41" s="253"/>
      <c r="D41" s="253"/>
      <c r="E41" s="253"/>
      <c r="F41" s="253"/>
      <c r="G41" s="253"/>
      <c r="H41" s="253"/>
      <c r="I41" s="253"/>
      <c r="J41" s="253"/>
      <c r="K41" s="253"/>
      <c r="L41" s="253"/>
      <c r="M41" s="253"/>
      <c r="N41" s="253"/>
      <c r="O41" s="253"/>
      <c r="P41" s="253"/>
      <c r="Q41" s="253"/>
      <c r="R41" s="253"/>
      <c r="S41" s="253"/>
      <c r="T41" s="253"/>
      <c r="U41" s="253"/>
      <c r="V41" s="253"/>
      <c r="W41" s="253"/>
      <c r="X41" s="253"/>
      <c r="Y41" s="253"/>
      <c r="Z41" s="253"/>
      <c r="AA41" s="253"/>
      <c r="AB41" s="253"/>
      <c r="AC41" s="253"/>
      <c r="AD41" s="253"/>
      <c r="AE41" s="253"/>
      <c r="AF41" s="253"/>
      <c r="AG41" s="253"/>
      <c r="AH41" s="249"/>
      <c r="AI41" s="250"/>
      <c r="AJ41" s="250"/>
      <c r="AK41" s="251"/>
      <c r="AL41" s="249"/>
      <c r="AM41" s="250"/>
      <c r="AN41" s="250"/>
      <c r="AO41" s="251"/>
      <c r="AP41" s="249"/>
      <c r="AQ41" s="250"/>
      <c r="AR41" s="250"/>
      <c r="AS41" s="251"/>
      <c r="AT41" s="249"/>
      <c r="AU41" s="250"/>
      <c r="AV41" s="250"/>
      <c r="AW41" s="251"/>
      <c r="AX41" s="54"/>
      <c r="AY41" s="54"/>
      <c r="AZ41" s="54"/>
      <c r="BA41" s="60"/>
      <c r="BB41" s="137"/>
      <c r="BC41" s="50"/>
      <c r="BD41" s="51"/>
      <c r="BE41" s="124"/>
      <c r="BF41" s="124" t="s">
        <v>64</v>
      </c>
      <c r="BG41" s="124"/>
      <c r="BH41" s="124"/>
      <c r="BI41" s="124"/>
      <c r="BJ41" s="124"/>
      <c r="BK41" s="124"/>
      <c r="BL41" s="124"/>
      <c r="BM41" s="124"/>
      <c r="BN41" s="124"/>
      <c r="BO41" s="124"/>
      <c r="BP41" s="124"/>
      <c r="BQ41" s="124"/>
      <c r="BR41" s="124"/>
      <c r="BS41" s="124"/>
      <c r="BT41" s="124"/>
    </row>
    <row r="42" spans="1:72" ht="15">
      <c r="A42" s="35"/>
      <c r="B42" s="244" t="s">
        <v>93</v>
      </c>
      <c r="C42" s="244"/>
      <c r="D42" s="244"/>
      <c r="E42" s="244"/>
      <c r="F42" s="244" t="s">
        <v>94</v>
      </c>
      <c r="G42" s="244"/>
      <c r="H42" s="244"/>
      <c r="I42" s="244"/>
      <c r="J42" s="244" t="s">
        <v>95</v>
      </c>
      <c r="K42" s="244"/>
      <c r="L42" s="244"/>
      <c r="M42" s="244"/>
      <c r="N42" s="244" t="s">
        <v>96</v>
      </c>
      <c r="O42" s="244"/>
      <c r="P42" s="244"/>
      <c r="Q42" s="244"/>
      <c r="R42" s="252" t="s">
        <v>97</v>
      </c>
      <c r="S42" s="244"/>
      <c r="T42" s="244"/>
      <c r="U42" s="244"/>
      <c r="V42" s="244" t="s">
        <v>98</v>
      </c>
      <c r="W42" s="244"/>
      <c r="X42" s="244"/>
      <c r="Y42" s="244"/>
      <c r="Z42" s="244" t="s">
        <v>99</v>
      </c>
      <c r="AA42" s="244"/>
      <c r="AB42" s="244"/>
      <c r="AC42" s="244"/>
      <c r="AD42" s="244" t="s">
        <v>98</v>
      </c>
      <c r="AE42" s="244"/>
      <c r="AF42" s="244"/>
      <c r="AG42" s="244"/>
      <c r="AH42" s="244" t="s">
        <v>99</v>
      </c>
      <c r="AI42" s="244"/>
      <c r="AJ42" s="244"/>
      <c r="AK42" s="244"/>
      <c r="AL42" s="244" t="s">
        <v>99</v>
      </c>
      <c r="AM42" s="244"/>
      <c r="AN42" s="244"/>
      <c r="AO42" s="244"/>
      <c r="AP42" s="244" t="s">
        <v>98</v>
      </c>
      <c r="AQ42" s="244"/>
      <c r="AR42" s="244"/>
      <c r="AS42" s="244"/>
      <c r="AT42" s="244" t="s">
        <v>99</v>
      </c>
      <c r="AU42" s="244"/>
      <c r="AV42" s="244"/>
      <c r="AW42" s="244"/>
      <c r="AX42" s="54"/>
      <c r="AY42" s="54"/>
      <c r="AZ42" s="54"/>
      <c r="BA42" s="60"/>
      <c r="BB42" s="137"/>
      <c r="BC42" s="50"/>
      <c r="BD42" s="51"/>
      <c r="BE42" s="124"/>
      <c r="BF42" s="124" t="s">
        <v>65</v>
      </c>
      <c r="BG42" s="124"/>
      <c r="BH42" s="124"/>
      <c r="BI42" s="124"/>
      <c r="BJ42" s="124"/>
      <c r="BK42" s="124"/>
      <c r="BL42" s="124"/>
      <c r="BM42" s="124"/>
      <c r="BN42" s="124"/>
      <c r="BO42" s="124"/>
      <c r="BP42" s="124"/>
      <c r="BQ42" s="124"/>
      <c r="BR42" s="124"/>
      <c r="BS42" s="124"/>
      <c r="BT42" s="124"/>
    </row>
    <row r="43" spans="1:72" ht="15">
      <c r="A43" s="35"/>
      <c r="B43" s="244"/>
      <c r="C43" s="244"/>
      <c r="D43" s="244"/>
      <c r="E43" s="244"/>
      <c r="F43" s="244"/>
      <c r="G43" s="244"/>
      <c r="H43" s="244"/>
      <c r="I43" s="244"/>
      <c r="J43" s="244"/>
      <c r="K43" s="244"/>
      <c r="L43" s="244"/>
      <c r="M43" s="244"/>
      <c r="N43" s="244"/>
      <c r="O43" s="244"/>
      <c r="P43" s="244"/>
      <c r="Q43" s="244"/>
      <c r="R43" s="244"/>
      <c r="S43" s="244"/>
      <c r="T43" s="244"/>
      <c r="U43" s="244"/>
      <c r="V43" s="244"/>
      <c r="W43" s="244"/>
      <c r="X43" s="244"/>
      <c r="Y43" s="244"/>
      <c r="Z43" s="244"/>
      <c r="AA43" s="244"/>
      <c r="AB43" s="244"/>
      <c r="AC43" s="244"/>
      <c r="AD43" s="244"/>
      <c r="AE43" s="244"/>
      <c r="AF43" s="244"/>
      <c r="AG43" s="244"/>
      <c r="AH43" s="244"/>
      <c r="AI43" s="244"/>
      <c r="AJ43" s="244"/>
      <c r="AK43" s="244"/>
      <c r="AL43" s="244"/>
      <c r="AM43" s="244"/>
      <c r="AN43" s="244"/>
      <c r="AO43" s="244"/>
      <c r="AP43" s="244"/>
      <c r="AQ43" s="244"/>
      <c r="AR43" s="244"/>
      <c r="AS43" s="244"/>
      <c r="AT43" s="244"/>
      <c r="AU43" s="244"/>
      <c r="AV43" s="244"/>
      <c r="AW43" s="244"/>
      <c r="AX43" s="54"/>
      <c r="AY43" s="54"/>
      <c r="AZ43" s="54"/>
      <c r="BA43" s="60"/>
      <c r="BB43" s="137"/>
      <c r="BC43" s="50"/>
      <c r="BD43" s="51"/>
      <c r="BE43" s="124"/>
      <c r="BF43" s="124" t="s">
        <v>66</v>
      </c>
      <c r="BG43" s="127"/>
      <c r="BH43" s="124"/>
      <c r="BI43" s="124"/>
      <c r="BJ43" s="124"/>
      <c r="BK43" s="124"/>
      <c r="BL43" s="124"/>
      <c r="BM43" s="124"/>
      <c r="BN43" s="124"/>
      <c r="BO43" s="124"/>
      <c r="BP43" s="124"/>
      <c r="BQ43" s="124"/>
      <c r="BR43" s="124"/>
      <c r="BS43" s="124"/>
      <c r="BT43" s="124"/>
    </row>
    <row r="44" spans="1:72" ht="15">
      <c r="A44" s="35"/>
      <c r="B44" s="244" t="s">
        <v>100</v>
      </c>
      <c r="C44" s="244"/>
      <c r="D44" s="244"/>
      <c r="E44" s="244"/>
      <c r="F44" s="244" t="s">
        <v>101</v>
      </c>
      <c r="G44" s="244"/>
      <c r="H44" s="244"/>
      <c r="I44" s="244"/>
      <c r="J44" s="244" t="s">
        <v>102</v>
      </c>
      <c r="K44" s="244"/>
      <c r="L44" s="244"/>
      <c r="M44" s="244"/>
      <c r="N44" s="244" t="s">
        <v>103</v>
      </c>
      <c r="O44" s="244"/>
      <c r="P44" s="244"/>
      <c r="Q44" s="244"/>
      <c r="R44" s="245" t="s">
        <v>104</v>
      </c>
      <c r="S44" s="244"/>
      <c r="T44" s="244"/>
      <c r="U44" s="244"/>
      <c r="V44" s="244" t="s">
        <v>98</v>
      </c>
      <c r="W44" s="244"/>
      <c r="X44" s="244"/>
      <c r="Y44" s="244"/>
      <c r="Z44" s="244" t="s">
        <v>99</v>
      </c>
      <c r="AA44" s="244"/>
      <c r="AB44" s="244"/>
      <c r="AC44" s="244"/>
      <c r="AD44" s="244" t="s">
        <v>98</v>
      </c>
      <c r="AE44" s="244"/>
      <c r="AF44" s="244"/>
      <c r="AG44" s="244"/>
      <c r="AH44" s="244" t="s">
        <v>99</v>
      </c>
      <c r="AI44" s="244"/>
      <c r="AJ44" s="244"/>
      <c r="AK44" s="244"/>
      <c r="AL44" s="244" t="s">
        <v>99</v>
      </c>
      <c r="AM44" s="244"/>
      <c r="AN44" s="244"/>
      <c r="AO44" s="244"/>
      <c r="AP44" s="244" t="s">
        <v>98</v>
      </c>
      <c r="AQ44" s="244"/>
      <c r="AR44" s="244"/>
      <c r="AS44" s="244"/>
      <c r="AT44" s="244" t="s">
        <v>99</v>
      </c>
      <c r="AU44" s="244"/>
      <c r="AV44" s="244"/>
      <c r="AW44" s="244"/>
      <c r="AX44" s="54"/>
      <c r="AY44" s="54"/>
      <c r="AZ44" s="54"/>
      <c r="BA44" s="60"/>
      <c r="BB44" s="137"/>
      <c r="BC44" s="50"/>
      <c r="BD44" s="51"/>
      <c r="BE44" s="124"/>
      <c r="BF44" s="124" t="s">
        <v>67</v>
      </c>
      <c r="BG44" s="127"/>
      <c r="BH44" s="124"/>
      <c r="BI44" s="124"/>
      <c r="BJ44" s="124"/>
      <c r="BK44" s="124"/>
      <c r="BL44" s="124"/>
      <c r="BM44" s="124"/>
      <c r="BN44" s="124"/>
      <c r="BO44" s="124"/>
      <c r="BP44" s="124"/>
      <c r="BQ44" s="124"/>
      <c r="BR44" s="124"/>
      <c r="BS44" s="124"/>
      <c r="BT44" s="124"/>
    </row>
    <row r="45" spans="1:72" ht="15">
      <c r="A45" s="35"/>
      <c r="B45" s="244"/>
      <c r="C45" s="244"/>
      <c r="D45" s="244"/>
      <c r="E45" s="244"/>
      <c r="F45" s="244"/>
      <c r="G45" s="244"/>
      <c r="H45" s="244"/>
      <c r="I45" s="244"/>
      <c r="J45" s="244"/>
      <c r="K45" s="244"/>
      <c r="L45" s="244"/>
      <c r="M45" s="244"/>
      <c r="N45" s="244"/>
      <c r="O45" s="244"/>
      <c r="P45" s="244"/>
      <c r="Q45" s="244"/>
      <c r="R45" s="244"/>
      <c r="S45" s="244"/>
      <c r="T45" s="244"/>
      <c r="U45" s="244"/>
      <c r="V45" s="244"/>
      <c r="W45" s="244"/>
      <c r="X45" s="244"/>
      <c r="Y45" s="244"/>
      <c r="Z45" s="244"/>
      <c r="AA45" s="244"/>
      <c r="AB45" s="244"/>
      <c r="AC45" s="244"/>
      <c r="AD45" s="244"/>
      <c r="AE45" s="244"/>
      <c r="AF45" s="244"/>
      <c r="AG45" s="244"/>
      <c r="AH45" s="244"/>
      <c r="AI45" s="244"/>
      <c r="AJ45" s="244"/>
      <c r="AK45" s="244"/>
      <c r="AL45" s="244"/>
      <c r="AM45" s="244"/>
      <c r="AN45" s="244"/>
      <c r="AO45" s="244"/>
      <c r="AP45" s="244"/>
      <c r="AQ45" s="244"/>
      <c r="AR45" s="244"/>
      <c r="AS45" s="244"/>
      <c r="AT45" s="244"/>
      <c r="AU45" s="244"/>
      <c r="AV45" s="244"/>
      <c r="AW45" s="244"/>
      <c r="AX45" s="54"/>
      <c r="AY45" s="54"/>
      <c r="AZ45" s="54"/>
      <c r="BA45" s="60"/>
      <c r="BB45" s="137"/>
      <c r="BC45" s="50"/>
      <c r="BD45" s="51"/>
      <c r="BE45" s="124"/>
      <c r="BF45" s="124"/>
      <c r="BG45" s="127" t="s">
        <v>68</v>
      </c>
      <c r="BH45" s="124"/>
      <c r="BI45" s="124"/>
      <c r="BJ45" s="124"/>
      <c r="BK45" s="124"/>
      <c r="BL45" s="124"/>
      <c r="BM45" s="124"/>
      <c r="BN45" s="124"/>
      <c r="BO45" s="124"/>
      <c r="BP45" s="124"/>
      <c r="BQ45" s="124"/>
      <c r="BR45" s="124"/>
      <c r="BS45" s="124"/>
      <c r="BT45" s="124"/>
    </row>
    <row r="46" spans="1:72" ht="15">
      <c r="A46" s="35"/>
      <c r="B46" s="244" t="s">
        <v>105</v>
      </c>
      <c r="C46" s="244"/>
      <c r="D46" s="244"/>
      <c r="E46" s="244"/>
      <c r="F46" s="244" t="s">
        <v>106</v>
      </c>
      <c r="G46" s="244"/>
      <c r="H46" s="244"/>
      <c r="I46" s="244"/>
      <c r="J46" s="244" t="s">
        <v>107</v>
      </c>
      <c r="K46" s="244"/>
      <c r="L46" s="244"/>
      <c r="M46" s="244"/>
      <c r="N46" s="244" t="s">
        <v>108</v>
      </c>
      <c r="O46" s="244"/>
      <c r="P46" s="244"/>
      <c r="Q46" s="244"/>
      <c r="R46" s="245" t="s">
        <v>99</v>
      </c>
      <c r="S46" s="244"/>
      <c r="T46" s="244"/>
      <c r="U46" s="244"/>
      <c r="V46" s="244" t="s">
        <v>98</v>
      </c>
      <c r="W46" s="244"/>
      <c r="X46" s="244"/>
      <c r="Y46" s="244"/>
      <c r="Z46" s="244" t="s">
        <v>99</v>
      </c>
      <c r="AA46" s="244"/>
      <c r="AB46" s="244"/>
      <c r="AC46" s="244"/>
      <c r="AD46" s="244" t="s">
        <v>98</v>
      </c>
      <c r="AE46" s="244"/>
      <c r="AF46" s="244"/>
      <c r="AG46" s="244"/>
      <c r="AH46" s="244" t="s">
        <v>99</v>
      </c>
      <c r="AI46" s="244"/>
      <c r="AJ46" s="244"/>
      <c r="AK46" s="244"/>
      <c r="AL46" s="244" t="s">
        <v>99</v>
      </c>
      <c r="AM46" s="244"/>
      <c r="AN46" s="244"/>
      <c r="AO46" s="244"/>
      <c r="AP46" s="244" t="s">
        <v>98</v>
      </c>
      <c r="AQ46" s="244"/>
      <c r="AR46" s="244"/>
      <c r="AS46" s="244"/>
      <c r="AT46" s="244" t="s">
        <v>99</v>
      </c>
      <c r="AU46" s="244"/>
      <c r="AV46" s="244"/>
      <c r="AW46" s="244"/>
      <c r="AX46" s="54"/>
      <c r="AY46" s="54"/>
      <c r="AZ46" s="54"/>
      <c r="BA46" s="60"/>
      <c r="BB46" s="137"/>
      <c r="BC46" s="50"/>
      <c r="BD46" s="51"/>
      <c r="BE46" s="124"/>
      <c r="BH46" s="124"/>
      <c r="BI46" s="124"/>
      <c r="BJ46" s="124"/>
      <c r="BK46" s="124"/>
      <c r="BL46" s="124"/>
      <c r="BM46" s="124"/>
      <c r="BN46" s="124"/>
      <c r="BO46" s="124"/>
      <c r="BP46" s="124"/>
      <c r="BQ46" s="124"/>
      <c r="BR46" s="124"/>
      <c r="BS46" s="124"/>
      <c r="BT46" s="124"/>
    </row>
    <row r="47" spans="1:72" ht="15">
      <c r="A47" s="35"/>
      <c r="B47" s="244"/>
      <c r="C47" s="244"/>
      <c r="D47" s="244"/>
      <c r="E47" s="244"/>
      <c r="F47" s="244"/>
      <c r="G47" s="244"/>
      <c r="H47" s="244"/>
      <c r="I47" s="244"/>
      <c r="J47" s="244"/>
      <c r="K47" s="244"/>
      <c r="L47" s="244"/>
      <c r="M47" s="244"/>
      <c r="N47" s="244"/>
      <c r="O47" s="244"/>
      <c r="P47" s="244"/>
      <c r="Q47" s="244"/>
      <c r="R47" s="244"/>
      <c r="S47" s="244"/>
      <c r="T47" s="244"/>
      <c r="U47" s="244"/>
      <c r="V47" s="244"/>
      <c r="W47" s="244"/>
      <c r="X47" s="244"/>
      <c r="Y47" s="244"/>
      <c r="Z47" s="244"/>
      <c r="AA47" s="244"/>
      <c r="AB47" s="244"/>
      <c r="AC47" s="244"/>
      <c r="AD47" s="244"/>
      <c r="AE47" s="244"/>
      <c r="AF47" s="244"/>
      <c r="AG47" s="244"/>
      <c r="AH47" s="244"/>
      <c r="AI47" s="244"/>
      <c r="AJ47" s="244"/>
      <c r="AK47" s="244"/>
      <c r="AL47" s="244"/>
      <c r="AM47" s="244"/>
      <c r="AN47" s="244"/>
      <c r="AO47" s="244"/>
      <c r="AP47" s="244"/>
      <c r="AQ47" s="244"/>
      <c r="AR47" s="244"/>
      <c r="AS47" s="244"/>
      <c r="AT47" s="244"/>
      <c r="AU47" s="244"/>
      <c r="AV47" s="244"/>
      <c r="AW47" s="244"/>
      <c r="AX47" s="54"/>
      <c r="AY47" s="54"/>
      <c r="AZ47" s="54"/>
      <c r="BA47" s="60"/>
      <c r="BB47" s="137"/>
      <c r="BC47" s="50"/>
      <c r="BD47" s="51"/>
      <c r="BE47" s="124"/>
      <c r="BF47" s="124" t="s">
        <v>69</v>
      </c>
      <c r="BG47" s="124"/>
      <c r="BH47" s="124"/>
      <c r="BI47" s="124"/>
      <c r="BJ47" s="124"/>
      <c r="BK47" s="124"/>
      <c r="BL47" s="124"/>
      <c r="BM47" s="124"/>
      <c r="BN47" s="124"/>
      <c r="BO47" s="124"/>
      <c r="BP47" s="124"/>
      <c r="BQ47" s="124"/>
      <c r="BR47" s="124"/>
      <c r="BS47" s="124"/>
      <c r="BT47" s="124"/>
    </row>
    <row r="48" spans="1:72" ht="15">
      <c r="A48" s="35"/>
      <c r="B48" s="244" t="s">
        <v>109</v>
      </c>
      <c r="C48" s="244"/>
      <c r="D48" s="244"/>
      <c r="E48" s="244"/>
      <c r="F48" s="244" t="s">
        <v>110</v>
      </c>
      <c r="G48" s="244"/>
      <c r="H48" s="244"/>
      <c r="I48" s="244"/>
      <c r="J48" s="244" t="s">
        <v>111</v>
      </c>
      <c r="K48" s="244"/>
      <c r="L48" s="244"/>
      <c r="M48" s="244"/>
      <c r="N48" s="244" t="s">
        <v>112</v>
      </c>
      <c r="O48" s="244"/>
      <c r="P48" s="244"/>
      <c r="Q48" s="244"/>
      <c r="R48" s="245" t="s">
        <v>99</v>
      </c>
      <c r="S48" s="244"/>
      <c r="T48" s="244"/>
      <c r="U48" s="244"/>
      <c r="V48" s="244" t="s">
        <v>98</v>
      </c>
      <c r="W48" s="244"/>
      <c r="X48" s="244"/>
      <c r="Y48" s="244"/>
      <c r="Z48" s="244" t="s">
        <v>99</v>
      </c>
      <c r="AA48" s="244"/>
      <c r="AB48" s="244"/>
      <c r="AC48" s="244"/>
      <c r="AD48" s="244" t="s">
        <v>98</v>
      </c>
      <c r="AE48" s="244"/>
      <c r="AF48" s="244"/>
      <c r="AG48" s="244"/>
      <c r="AH48" s="244" t="s">
        <v>99</v>
      </c>
      <c r="AI48" s="244"/>
      <c r="AJ48" s="244"/>
      <c r="AK48" s="244"/>
      <c r="AL48" s="244" t="s">
        <v>99</v>
      </c>
      <c r="AM48" s="244"/>
      <c r="AN48" s="244"/>
      <c r="AO48" s="244"/>
      <c r="AP48" s="244" t="s">
        <v>98</v>
      </c>
      <c r="AQ48" s="244"/>
      <c r="AR48" s="244"/>
      <c r="AS48" s="244"/>
      <c r="AT48" s="244" t="s">
        <v>99</v>
      </c>
      <c r="AU48" s="244"/>
      <c r="AV48" s="244"/>
      <c r="AW48" s="244"/>
      <c r="AX48" s="54"/>
      <c r="AY48" s="54"/>
      <c r="AZ48" s="54"/>
      <c r="BA48" s="60"/>
      <c r="BB48" s="137"/>
      <c r="BC48" s="50"/>
      <c r="BD48" s="51"/>
      <c r="BE48" s="124"/>
      <c r="BF48" s="124" t="s">
        <v>70</v>
      </c>
      <c r="BG48" s="124"/>
      <c r="BH48" s="124"/>
      <c r="BI48" s="124"/>
      <c r="BJ48" s="124"/>
      <c r="BK48" s="124"/>
      <c r="BL48" s="124"/>
      <c r="BM48" s="124"/>
      <c r="BN48" s="124"/>
      <c r="BO48" s="124"/>
      <c r="BP48" s="124"/>
      <c r="BQ48" s="124"/>
      <c r="BR48" s="124"/>
      <c r="BS48" s="124"/>
      <c r="BT48" s="124"/>
    </row>
    <row r="49" spans="1:74" ht="15">
      <c r="A49" s="35"/>
      <c r="B49" s="244"/>
      <c r="C49" s="244"/>
      <c r="D49" s="244"/>
      <c r="E49" s="244"/>
      <c r="F49" s="244"/>
      <c r="G49" s="244"/>
      <c r="H49" s="244"/>
      <c r="I49" s="244"/>
      <c r="J49" s="244"/>
      <c r="K49" s="244"/>
      <c r="L49" s="244"/>
      <c r="M49" s="244"/>
      <c r="N49" s="244"/>
      <c r="O49" s="244"/>
      <c r="P49" s="244"/>
      <c r="Q49" s="244"/>
      <c r="R49" s="244"/>
      <c r="S49" s="244"/>
      <c r="T49" s="244"/>
      <c r="U49" s="244"/>
      <c r="V49" s="244"/>
      <c r="W49" s="244"/>
      <c r="X49" s="244"/>
      <c r="Y49" s="244"/>
      <c r="Z49" s="244"/>
      <c r="AA49" s="244"/>
      <c r="AB49" s="244"/>
      <c r="AC49" s="244"/>
      <c r="AD49" s="244"/>
      <c r="AE49" s="244"/>
      <c r="AF49" s="244"/>
      <c r="AG49" s="244"/>
      <c r="AH49" s="244"/>
      <c r="AI49" s="244"/>
      <c r="AJ49" s="244"/>
      <c r="AK49" s="244"/>
      <c r="AL49" s="244"/>
      <c r="AM49" s="244"/>
      <c r="AN49" s="244"/>
      <c r="AO49" s="244"/>
      <c r="AP49" s="244"/>
      <c r="AQ49" s="244"/>
      <c r="AR49" s="244"/>
      <c r="AS49" s="244"/>
      <c r="AT49" s="244"/>
      <c r="AU49" s="244"/>
      <c r="AV49" s="244"/>
      <c r="AW49" s="244"/>
      <c r="AX49" s="54"/>
      <c r="AY49" s="54"/>
      <c r="AZ49" s="54"/>
      <c r="BA49" s="60"/>
      <c r="BB49" s="137"/>
      <c r="BC49" s="50"/>
      <c r="BD49" s="51"/>
      <c r="BE49" s="124"/>
      <c r="BF49" s="124" t="s">
        <v>71</v>
      </c>
      <c r="BG49" s="124"/>
      <c r="BH49" s="124"/>
      <c r="BI49" s="124"/>
      <c r="BJ49" s="124"/>
      <c r="BK49" s="124"/>
      <c r="BL49" s="124"/>
      <c r="BM49" s="124"/>
      <c r="BN49" s="124"/>
      <c r="BO49" s="124"/>
      <c r="BP49" s="124"/>
      <c r="BQ49" s="124"/>
      <c r="BR49" s="124"/>
      <c r="BS49" s="124"/>
      <c r="BT49" s="124"/>
    </row>
    <row r="50" spans="1:74" ht="15">
      <c r="A50" s="35"/>
      <c r="B50" s="122"/>
      <c r="C50" s="122"/>
      <c r="D50" s="122"/>
      <c r="E50" s="122"/>
      <c r="F50" s="128"/>
      <c r="G50" s="128"/>
      <c r="H50" s="128"/>
      <c r="I50" s="128"/>
      <c r="J50" s="128"/>
      <c r="K50" s="128"/>
      <c r="L50" s="128"/>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54"/>
      <c r="AY50" s="54"/>
      <c r="AZ50" s="54"/>
      <c r="BA50" s="60"/>
      <c r="BB50" s="137"/>
      <c r="BC50" s="50"/>
      <c r="BD50" s="51"/>
      <c r="BE50" s="124"/>
      <c r="BF50" s="124" t="s">
        <v>72</v>
      </c>
      <c r="BG50" s="124"/>
      <c r="BH50" s="124"/>
      <c r="BI50" s="124"/>
      <c r="BJ50" s="124"/>
      <c r="BK50" s="124"/>
      <c r="BL50" s="124"/>
      <c r="BM50" s="124"/>
      <c r="BN50" s="124"/>
      <c r="BO50" s="124"/>
      <c r="BP50" s="124"/>
      <c r="BQ50" s="124"/>
      <c r="BR50" s="124"/>
      <c r="BS50" s="124"/>
      <c r="BT50" s="124"/>
    </row>
    <row r="51" spans="1:74" ht="15">
      <c r="A51" s="35"/>
      <c r="B51" s="122" t="s">
        <v>113</v>
      </c>
      <c r="C51" s="122"/>
      <c r="D51" s="122"/>
      <c r="E51" s="122"/>
      <c r="F51" s="128"/>
      <c r="G51" s="128"/>
      <c r="H51" s="128"/>
      <c r="I51" s="128"/>
      <c r="J51" s="128"/>
      <c r="K51" s="128"/>
      <c r="L51" s="128"/>
      <c r="M51" s="57"/>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54"/>
      <c r="AY51" s="54"/>
      <c r="AZ51" s="54"/>
      <c r="BA51" s="60"/>
      <c r="BB51" s="137"/>
      <c r="BC51" s="50"/>
      <c r="BD51" s="51"/>
      <c r="BF51" s="124"/>
      <c r="BG51" s="124" t="s">
        <v>233</v>
      </c>
      <c r="BH51" s="124"/>
      <c r="BI51" s="124"/>
      <c r="BJ51" s="124"/>
      <c r="BK51" s="124"/>
      <c r="BL51" s="124"/>
      <c r="BM51" s="124"/>
      <c r="BN51" s="124"/>
      <c r="BO51" s="124"/>
      <c r="BP51" s="124"/>
      <c r="BQ51" s="124"/>
      <c r="BR51" s="124"/>
      <c r="BS51" s="124"/>
      <c r="BT51" s="124"/>
    </row>
    <row r="52" spans="1:74" ht="15">
      <c r="A52" s="35"/>
      <c r="B52" s="122" t="s">
        <v>114</v>
      </c>
      <c r="C52" s="122"/>
      <c r="D52" s="122"/>
      <c r="E52" s="122"/>
      <c r="F52" s="128"/>
      <c r="G52" s="128"/>
      <c r="H52" s="128"/>
      <c r="I52" s="128"/>
      <c r="J52" s="128"/>
      <c r="K52" s="128"/>
      <c r="L52" s="128"/>
      <c r="M52" s="128"/>
      <c r="N52" s="128"/>
      <c r="O52" s="57"/>
      <c r="P52" s="57"/>
      <c r="Q52" s="57"/>
      <c r="R52" s="57"/>
      <c r="S52" s="57"/>
      <c r="T52" s="57"/>
      <c r="U52" s="57"/>
      <c r="V52" s="57"/>
      <c r="W52" s="57"/>
      <c r="X52" s="57"/>
      <c r="Y52" s="57"/>
      <c r="Z52" s="57"/>
      <c r="AA52" s="57"/>
      <c r="AB52" s="57"/>
      <c r="AC52" s="57"/>
      <c r="AD52" s="57"/>
      <c r="AE52" s="57"/>
      <c r="AF52" s="57"/>
      <c r="AG52" s="57"/>
      <c r="AH52" s="57"/>
      <c r="AI52" s="57"/>
      <c r="AJ52" s="57"/>
      <c r="AK52" s="57"/>
      <c r="AL52" s="57"/>
      <c r="AM52" s="57"/>
      <c r="AN52" s="57"/>
      <c r="AO52" s="57"/>
      <c r="AP52" s="57"/>
      <c r="AQ52" s="128"/>
      <c r="AR52" s="128"/>
      <c r="AS52" s="128"/>
      <c r="AT52" s="128"/>
      <c r="AU52" s="128"/>
      <c r="AV52" s="128"/>
      <c r="AW52" s="128"/>
      <c r="AX52" s="54"/>
      <c r="AY52" s="54"/>
      <c r="AZ52" s="54"/>
      <c r="BA52" s="60"/>
      <c r="BB52" s="137"/>
      <c r="BC52" s="50"/>
      <c r="BD52" s="51"/>
      <c r="BS52" s="124"/>
      <c r="BT52" s="124"/>
    </row>
    <row r="53" spans="1:74" ht="15">
      <c r="A53" s="35"/>
      <c r="B53" s="122" t="s">
        <v>115</v>
      </c>
      <c r="C53" s="122"/>
      <c r="D53" s="122"/>
      <c r="E53" s="122"/>
      <c r="F53" s="128"/>
      <c r="G53" s="128"/>
      <c r="H53" s="128"/>
      <c r="I53" s="128"/>
      <c r="J53" s="128"/>
      <c r="K53" s="128"/>
      <c r="L53" s="128"/>
      <c r="M53" s="128"/>
      <c r="N53" s="128"/>
      <c r="O53" s="57"/>
      <c r="P53" s="57"/>
      <c r="Q53" s="57"/>
      <c r="R53" s="57"/>
      <c r="S53" s="57"/>
      <c r="T53" s="57"/>
      <c r="U53" s="57"/>
      <c r="V53" s="57"/>
      <c r="W53" s="57"/>
      <c r="X53" s="57"/>
      <c r="Y53" s="57"/>
      <c r="Z53" s="57"/>
      <c r="AA53" s="57"/>
      <c r="AB53" s="57"/>
      <c r="AC53" s="57"/>
      <c r="AD53" s="57"/>
      <c r="AE53" s="57"/>
      <c r="AF53" s="57"/>
      <c r="AG53" s="57"/>
      <c r="AH53" s="57"/>
      <c r="AI53" s="57"/>
      <c r="AJ53" s="57"/>
      <c r="AK53" s="57"/>
      <c r="AL53" s="57"/>
      <c r="AM53" s="57"/>
      <c r="AN53" s="57"/>
      <c r="AO53" s="57"/>
      <c r="AP53" s="57"/>
      <c r="AQ53" s="128"/>
      <c r="AR53" s="128"/>
      <c r="AS53" s="128"/>
      <c r="AT53" s="128"/>
      <c r="AU53" s="128"/>
      <c r="AV53" s="128"/>
      <c r="AW53" s="128"/>
      <c r="AX53" s="54"/>
      <c r="AY53" s="54"/>
      <c r="AZ53" s="54"/>
      <c r="BA53" s="60"/>
      <c r="BB53" s="137"/>
      <c r="BC53" s="50"/>
      <c r="BD53" s="51"/>
      <c r="BE53" s="124" t="s">
        <v>73</v>
      </c>
      <c r="BF53" s="124"/>
      <c r="BH53" s="124"/>
      <c r="BI53" s="124"/>
      <c r="BJ53" s="124"/>
      <c r="BK53" s="124"/>
      <c r="BS53" s="124"/>
      <c r="BT53" s="124"/>
    </row>
    <row r="54" spans="1:74" s="123" customFormat="1" ht="15">
      <c r="A54" s="36"/>
      <c r="B54" s="132"/>
      <c r="C54" s="133"/>
      <c r="D54" s="133"/>
      <c r="E54" s="133"/>
      <c r="F54" s="133"/>
      <c r="G54" s="133"/>
      <c r="H54" s="133"/>
      <c r="I54" s="133"/>
      <c r="J54" s="133"/>
      <c r="K54" s="133"/>
      <c r="L54" s="133"/>
      <c r="M54" s="133"/>
      <c r="N54" s="133"/>
      <c r="O54" s="133"/>
      <c r="P54" s="133"/>
      <c r="Q54" s="133"/>
      <c r="R54" s="133"/>
      <c r="S54" s="134"/>
      <c r="T54" s="134"/>
      <c r="U54" s="134"/>
      <c r="V54" s="134"/>
      <c r="W54" s="133"/>
      <c r="X54" s="133"/>
      <c r="Y54" s="134"/>
      <c r="Z54" s="134"/>
      <c r="AA54" s="133"/>
      <c r="AB54" s="133"/>
      <c r="AC54" s="133"/>
      <c r="AD54" s="134"/>
      <c r="AE54" s="134"/>
      <c r="AF54" s="134"/>
      <c r="AG54" s="134"/>
      <c r="AH54" s="134"/>
      <c r="AI54" s="134"/>
      <c r="AJ54" s="134"/>
      <c r="AK54" s="134"/>
      <c r="AL54" s="134"/>
      <c r="AM54" s="134"/>
      <c r="AN54" s="134"/>
      <c r="AO54" s="134"/>
      <c r="AP54" s="134"/>
      <c r="AQ54" s="134"/>
      <c r="AR54" s="134"/>
      <c r="AS54" s="134"/>
      <c r="AT54" s="134"/>
      <c r="AU54" s="134"/>
      <c r="AV54" s="134"/>
      <c r="AW54" s="134"/>
      <c r="AX54" s="134"/>
      <c r="AY54" s="132"/>
      <c r="AZ54" s="132"/>
      <c r="BA54" s="60"/>
      <c r="BB54" s="135"/>
      <c r="BC54" s="136"/>
      <c r="BD54" s="51"/>
      <c r="BE54" s="124"/>
      <c r="BF54" s="124" t="s">
        <v>74</v>
      </c>
      <c r="BG54" s="124"/>
      <c r="BH54" s="124"/>
      <c r="BI54" s="124"/>
      <c r="BJ54" s="124"/>
      <c r="BK54" s="124"/>
      <c r="BS54" s="124"/>
      <c r="BT54" s="124"/>
    </row>
    <row r="55" spans="1:74" s="123" customFormat="1" ht="15" customHeight="1">
      <c r="A55" s="35"/>
      <c r="B55" s="55"/>
      <c r="C55" s="57"/>
      <c r="D55" s="57"/>
      <c r="E55" s="57"/>
      <c r="F55" s="57"/>
      <c r="G55" s="57"/>
      <c r="H55" s="57"/>
      <c r="I55" s="57"/>
      <c r="J55" s="57"/>
      <c r="K55" s="57"/>
      <c r="L55" s="57"/>
      <c r="M55" s="57"/>
      <c r="N55" s="57"/>
      <c r="O55" s="57"/>
      <c r="P55" s="57"/>
      <c r="Q55" s="57"/>
      <c r="R55" s="57"/>
      <c r="S55" s="138"/>
      <c r="T55" s="138"/>
      <c r="U55" s="138"/>
      <c r="V55" s="138"/>
      <c r="W55" s="57"/>
      <c r="X55" s="57"/>
      <c r="Y55" s="138"/>
      <c r="Z55" s="138"/>
      <c r="AA55" s="57"/>
      <c r="AB55" s="57"/>
      <c r="AC55" s="57"/>
      <c r="AD55" s="138"/>
      <c r="AE55" s="138"/>
      <c r="AF55" s="138"/>
      <c r="AG55" s="138"/>
      <c r="AH55" s="138"/>
      <c r="AI55" s="138"/>
      <c r="AJ55" s="138"/>
      <c r="AK55" s="138"/>
      <c r="AL55" s="138"/>
      <c r="AM55" s="138"/>
      <c r="AN55" s="138"/>
      <c r="AO55" s="138"/>
      <c r="AP55" s="138"/>
      <c r="AQ55" s="138"/>
      <c r="AR55" s="138"/>
      <c r="AS55" s="138"/>
      <c r="AT55" s="138"/>
      <c r="AU55" s="138"/>
      <c r="AV55" s="138"/>
      <c r="AW55" s="138"/>
      <c r="AX55" s="138"/>
      <c r="AY55" s="55"/>
      <c r="AZ55" s="54"/>
      <c r="BA55" s="60"/>
      <c r="BB55" s="137"/>
      <c r="BC55" s="50"/>
      <c r="BD55" s="51"/>
      <c r="BE55" s="124"/>
      <c r="BF55" s="124" t="s">
        <v>75</v>
      </c>
      <c r="BG55" s="124"/>
      <c r="BH55" s="124"/>
      <c r="BI55" s="124"/>
      <c r="BJ55" s="124"/>
      <c r="BS55" s="124"/>
      <c r="BT55" s="124"/>
      <c r="BV55" s="124"/>
    </row>
    <row r="56" spans="1:74" s="123" customFormat="1" ht="15">
      <c r="A56" s="35"/>
      <c r="B56" s="55"/>
      <c r="C56" s="57"/>
      <c r="D56" s="57"/>
      <c r="E56" s="57"/>
      <c r="F56" s="57"/>
      <c r="G56" s="57"/>
      <c r="H56" s="57"/>
      <c r="I56" s="57"/>
      <c r="J56" s="57"/>
      <c r="K56" s="57"/>
      <c r="L56" s="57"/>
      <c r="M56" s="57"/>
      <c r="N56" s="57"/>
      <c r="O56" s="57"/>
      <c r="P56" s="57"/>
      <c r="Q56" s="57"/>
      <c r="R56" s="57"/>
      <c r="S56" s="138"/>
      <c r="T56" s="138"/>
      <c r="U56" s="138"/>
      <c r="V56" s="138"/>
      <c r="W56" s="57"/>
      <c r="X56" s="57"/>
      <c r="Y56" s="138"/>
      <c r="Z56" s="138"/>
      <c r="AA56" s="57"/>
      <c r="AB56" s="57"/>
      <c r="AC56" s="57"/>
      <c r="AD56" s="138"/>
      <c r="AE56" s="138"/>
      <c r="AF56" s="138"/>
      <c r="AG56" s="138"/>
      <c r="AH56" s="138"/>
      <c r="AI56" s="138"/>
      <c r="AJ56" s="138"/>
      <c r="AK56" s="138"/>
      <c r="AL56" s="138"/>
      <c r="AM56" s="138"/>
      <c r="AN56" s="138"/>
      <c r="AO56" s="138"/>
      <c r="AP56" s="138"/>
      <c r="AQ56" s="138"/>
      <c r="AR56" s="138"/>
      <c r="AS56" s="138"/>
      <c r="AT56" s="138"/>
      <c r="AU56" s="138"/>
      <c r="AV56" s="138"/>
      <c r="AW56" s="138"/>
      <c r="AX56" s="138"/>
      <c r="AY56" s="55"/>
      <c r="AZ56" s="54"/>
      <c r="BA56" s="60"/>
      <c r="BB56" s="137"/>
      <c r="BC56" s="50"/>
      <c r="BD56" s="51"/>
      <c r="BE56" s="124"/>
      <c r="BF56" s="124" t="s">
        <v>76</v>
      </c>
      <c r="BG56" s="124"/>
      <c r="BH56" s="124"/>
      <c r="BI56" s="124"/>
      <c r="BJ56" s="124"/>
      <c r="BL56" s="124"/>
      <c r="BM56" s="124"/>
      <c r="BN56" s="124"/>
      <c r="BO56" s="124"/>
      <c r="BP56" s="124"/>
      <c r="BQ56" s="124"/>
      <c r="BR56" s="124"/>
      <c r="BS56" s="124"/>
      <c r="BT56" s="124"/>
    </row>
    <row r="57" spans="1:74" s="123" customFormat="1" ht="15" customHeight="1">
      <c r="A57" s="35"/>
      <c r="B57" s="55"/>
      <c r="C57" s="57"/>
      <c r="D57" s="57"/>
      <c r="E57" s="57"/>
      <c r="F57" s="57"/>
      <c r="G57" s="57"/>
      <c r="H57" s="57"/>
      <c r="I57" s="57"/>
      <c r="J57" s="57"/>
      <c r="K57" s="57"/>
      <c r="L57" s="57"/>
      <c r="M57" s="57"/>
      <c r="N57" s="57"/>
      <c r="O57" s="57"/>
      <c r="P57" s="57"/>
      <c r="Q57" s="57"/>
      <c r="R57" s="57"/>
      <c r="S57" s="138"/>
      <c r="T57" s="138"/>
      <c r="U57" s="138"/>
      <c r="V57" s="138"/>
      <c r="W57" s="57"/>
      <c r="X57" s="57"/>
      <c r="Y57" s="138"/>
      <c r="Z57" s="138"/>
      <c r="AA57" s="57"/>
      <c r="AB57" s="57"/>
      <c r="AC57" s="57"/>
      <c r="AD57" s="138"/>
      <c r="AE57" s="138"/>
      <c r="AF57" s="138"/>
      <c r="AG57" s="138"/>
      <c r="AH57" s="138"/>
      <c r="AI57" s="138"/>
      <c r="AJ57" s="138"/>
      <c r="AK57" s="138"/>
      <c r="AL57" s="138"/>
      <c r="AM57" s="138"/>
      <c r="AN57" s="138"/>
      <c r="AO57" s="138"/>
      <c r="AP57" s="138"/>
      <c r="AQ57" s="138"/>
      <c r="AR57" s="138"/>
      <c r="AS57" s="138"/>
      <c r="AT57" s="138"/>
      <c r="AU57" s="138"/>
      <c r="AV57" s="138"/>
      <c r="AW57" s="138"/>
      <c r="AX57" s="138"/>
      <c r="AY57" s="55"/>
      <c r="AZ57" s="54"/>
      <c r="BA57" s="60"/>
      <c r="BB57" s="137"/>
      <c r="BC57" s="50"/>
      <c r="BD57" s="51"/>
      <c r="BE57" s="124"/>
      <c r="BF57" s="124" t="s">
        <v>77</v>
      </c>
      <c r="BG57" s="124"/>
      <c r="BH57" s="124"/>
      <c r="BI57" s="124"/>
      <c r="BJ57" s="124"/>
      <c r="BK57" s="124"/>
      <c r="BL57" s="124"/>
      <c r="BM57" s="124"/>
      <c r="BN57" s="124"/>
      <c r="BO57" s="124"/>
      <c r="BP57" s="124"/>
      <c r="BQ57" s="124"/>
      <c r="BR57" s="124"/>
      <c r="BS57" s="124"/>
      <c r="BT57" s="124"/>
    </row>
    <row r="58" spans="1:74" s="123" customFormat="1" ht="15">
      <c r="A58" s="35"/>
      <c r="B58" s="55"/>
      <c r="C58" s="57"/>
      <c r="D58" s="57"/>
      <c r="E58" s="57"/>
      <c r="F58" s="57"/>
      <c r="G58" s="57"/>
      <c r="H58" s="57"/>
      <c r="I58" s="57"/>
      <c r="J58" s="57"/>
      <c r="K58" s="57"/>
      <c r="L58" s="57"/>
      <c r="M58" s="57"/>
      <c r="N58" s="57"/>
      <c r="O58" s="57"/>
      <c r="P58" s="57"/>
      <c r="Q58" s="57"/>
      <c r="R58" s="57"/>
      <c r="S58" s="138"/>
      <c r="T58" s="138"/>
      <c r="U58" s="138"/>
      <c r="V58" s="138"/>
      <c r="W58" s="57"/>
      <c r="X58" s="57"/>
      <c r="Y58" s="138"/>
      <c r="Z58" s="138"/>
      <c r="AA58" s="57"/>
      <c r="AB58" s="57"/>
      <c r="AC58" s="57"/>
      <c r="AD58" s="138"/>
      <c r="AE58" s="138"/>
      <c r="AF58" s="138"/>
      <c r="AG58" s="138"/>
      <c r="AH58" s="138"/>
      <c r="AI58" s="138"/>
      <c r="AJ58" s="138"/>
      <c r="AK58" s="138"/>
      <c r="AL58" s="138"/>
      <c r="AM58" s="138"/>
      <c r="AN58" s="138"/>
      <c r="AO58" s="138"/>
      <c r="AP58" s="138"/>
      <c r="AQ58" s="138"/>
      <c r="AR58" s="138"/>
      <c r="AS58" s="138"/>
      <c r="AT58" s="138"/>
      <c r="AU58" s="138"/>
      <c r="AV58" s="138"/>
      <c r="AW58" s="138"/>
      <c r="AX58" s="138"/>
      <c r="AY58" s="55"/>
      <c r="AZ58" s="54"/>
      <c r="BA58" s="60"/>
      <c r="BB58" s="137"/>
      <c r="BC58" s="50"/>
      <c r="BD58" s="51"/>
      <c r="BE58" s="124"/>
      <c r="BF58" s="124" t="s">
        <v>78</v>
      </c>
      <c r="BG58" s="124"/>
      <c r="BH58" s="124"/>
      <c r="BI58" s="124"/>
      <c r="BJ58" s="124"/>
      <c r="BK58" s="124"/>
    </row>
    <row r="59" spans="1:74" s="123" customFormat="1" ht="15" customHeight="1">
      <c r="A59" s="35"/>
      <c r="B59" s="55"/>
      <c r="C59" s="57"/>
      <c r="D59" s="57"/>
      <c r="E59" s="57"/>
      <c r="F59" s="57"/>
      <c r="G59" s="57"/>
      <c r="H59" s="57"/>
      <c r="I59" s="57"/>
      <c r="J59" s="57"/>
      <c r="K59" s="57"/>
      <c r="L59" s="57"/>
      <c r="M59" s="57"/>
      <c r="N59" s="57"/>
      <c r="O59" s="57"/>
      <c r="P59" s="57"/>
      <c r="Q59" s="57"/>
      <c r="R59" s="57"/>
      <c r="S59" s="138"/>
      <c r="T59" s="138"/>
      <c r="U59" s="138"/>
      <c r="V59" s="138"/>
      <c r="W59" s="57"/>
      <c r="X59" s="57"/>
      <c r="Y59" s="138"/>
      <c r="Z59" s="138"/>
      <c r="AA59" s="57"/>
      <c r="AB59" s="57"/>
      <c r="AC59" s="57"/>
      <c r="AD59" s="138"/>
      <c r="AE59" s="138"/>
      <c r="AF59" s="138"/>
      <c r="AG59" s="138"/>
      <c r="AH59" s="138"/>
      <c r="AI59" s="138"/>
      <c r="AJ59" s="138"/>
      <c r="AK59" s="138"/>
      <c r="AL59" s="138"/>
      <c r="AM59" s="138"/>
      <c r="AN59" s="138"/>
      <c r="AO59" s="138"/>
      <c r="AP59" s="138"/>
      <c r="AQ59" s="138"/>
      <c r="AR59" s="138"/>
      <c r="AS59" s="138"/>
      <c r="AT59" s="138"/>
      <c r="AU59" s="138"/>
      <c r="AV59" s="138"/>
      <c r="AW59" s="138"/>
      <c r="AX59" s="138"/>
      <c r="AY59" s="55"/>
      <c r="AZ59" s="54"/>
      <c r="BA59" s="60"/>
      <c r="BB59" s="137"/>
      <c r="BC59" s="50"/>
      <c r="BD59" s="51"/>
      <c r="BE59" s="124"/>
      <c r="BF59" s="124" t="s">
        <v>79</v>
      </c>
      <c r="BG59" s="124"/>
      <c r="BH59" s="124"/>
      <c r="BI59" s="124"/>
      <c r="BJ59" s="124"/>
      <c r="BK59" s="124"/>
    </row>
    <row r="60" spans="1:74" s="123" customFormat="1" ht="15">
      <c r="A60" s="35"/>
      <c r="B60" s="55"/>
      <c r="C60" s="57"/>
      <c r="D60" s="57"/>
      <c r="E60" s="57"/>
      <c r="F60" s="57"/>
      <c r="G60" s="57"/>
      <c r="H60" s="57"/>
      <c r="I60" s="57"/>
      <c r="J60" s="57"/>
      <c r="K60" s="57"/>
      <c r="L60" s="57"/>
      <c r="M60" s="57"/>
      <c r="N60" s="57"/>
      <c r="O60" s="57"/>
      <c r="P60" s="57"/>
      <c r="Q60" s="57"/>
      <c r="R60" s="57"/>
      <c r="S60" s="138"/>
      <c r="T60" s="138"/>
      <c r="U60" s="138"/>
      <c r="V60" s="138"/>
      <c r="W60" s="57"/>
      <c r="X60" s="57"/>
      <c r="Y60" s="138"/>
      <c r="Z60" s="138"/>
      <c r="AA60" s="57"/>
      <c r="AB60" s="57"/>
      <c r="AC60" s="57"/>
      <c r="AD60" s="138"/>
      <c r="AE60" s="138"/>
      <c r="AF60" s="138"/>
      <c r="AG60" s="138"/>
      <c r="AH60" s="138"/>
      <c r="AI60" s="138"/>
      <c r="AJ60" s="138"/>
      <c r="AK60" s="138"/>
      <c r="AL60" s="138"/>
      <c r="AM60" s="138"/>
      <c r="AN60" s="138"/>
      <c r="AO60" s="138"/>
      <c r="AP60" s="138"/>
      <c r="AQ60" s="138"/>
      <c r="AR60" s="138"/>
      <c r="AS60" s="138"/>
      <c r="AT60" s="138"/>
      <c r="AU60" s="138"/>
      <c r="AV60" s="138"/>
      <c r="AW60" s="138"/>
      <c r="AX60" s="138"/>
      <c r="AY60" s="55"/>
      <c r="AZ60" s="54"/>
      <c r="BA60" s="60"/>
      <c r="BB60" s="137"/>
      <c r="BC60" s="50"/>
      <c r="BD60" s="51"/>
      <c r="BE60" s="124"/>
      <c r="BF60" s="124"/>
      <c r="BG60" s="124" t="s">
        <v>80</v>
      </c>
      <c r="BH60" s="124"/>
      <c r="BI60" s="124"/>
      <c r="BJ60" s="124"/>
      <c r="BK60" s="124"/>
      <c r="BL60" s="124"/>
      <c r="BM60" s="124"/>
      <c r="BN60" s="124"/>
      <c r="BO60" s="124"/>
      <c r="BP60" s="124"/>
      <c r="BQ60" s="124"/>
      <c r="BR60" s="124"/>
      <c r="BS60" s="124"/>
      <c r="BT60" s="124"/>
    </row>
    <row r="61" spans="1:74" s="123" customFormat="1" ht="15" customHeight="1">
      <c r="A61" s="35"/>
      <c r="B61" s="55"/>
      <c r="C61" s="57"/>
      <c r="D61" s="57"/>
      <c r="E61" s="57"/>
      <c r="F61" s="57"/>
      <c r="G61" s="57"/>
      <c r="H61" s="57"/>
      <c r="I61" s="57"/>
      <c r="J61" s="57"/>
      <c r="K61" s="57"/>
      <c r="L61" s="57"/>
      <c r="M61" s="57"/>
      <c r="N61" s="57"/>
      <c r="O61" s="57"/>
      <c r="P61" s="57"/>
      <c r="Q61" s="57"/>
      <c r="R61" s="57"/>
      <c r="S61" s="138"/>
      <c r="T61" s="138"/>
      <c r="U61" s="138"/>
      <c r="V61" s="138"/>
      <c r="W61" s="57"/>
      <c r="X61" s="57"/>
      <c r="Y61" s="138"/>
      <c r="Z61" s="138"/>
      <c r="AA61" s="57"/>
      <c r="AB61" s="57"/>
      <c r="AC61" s="57"/>
      <c r="AD61" s="138"/>
      <c r="AE61" s="138"/>
      <c r="AF61" s="138"/>
      <c r="AG61" s="138"/>
      <c r="AH61" s="138"/>
      <c r="AI61" s="138"/>
      <c r="AJ61" s="138"/>
      <c r="AK61" s="138"/>
      <c r="AL61" s="138"/>
      <c r="AM61" s="138"/>
      <c r="AN61" s="138"/>
      <c r="AO61" s="138"/>
      <c r="AP61" s="138"/>
      <c r="AQ61" s="138"/>
      <c r="AR61" s="138"/>
      <c r="AS61" s="138"/>
      <c r="AT61" s="138"/>
      <c r="AU61" s="138"/>
      <c r="AV61" s="138"/>
      <c r="AW61" s="138"/>
      <c r="AX61" s="138"/>
      <c r="AY61" s="55"/>
      <c r="AZ61" s="54"/>
      <c r="BA61" s="60"/>
      <c r="BB61" s="137"/>
      <c r="BC61" s="50"/>
      <c r="BD61" s="51"/>
      <c r="BE61" s="124"/>
      <c r="BF61" s="124"/>
      <c r="BG61" s="124" t="s">
        <v>81</v>
      </c>
      <c r="BH61" s="124"/>
      <c r="BI61" s="124"/>
      <c r="BJ61" s="124"/>
      <c r="BK61" s="124"/>
      <c r="BL61" s="124"/>
      <c r="BM61" s="124"/>
      <c r="BN61" s="124"/>
      <c r="BO61" s="124"/>
      <c r="BP61" s="124"/>
      <c r="BQ61" s="124"/>
      <c r="BR61" s="124"/>
      <c r="BS61" s="124"/>
      <c r="BT61" s="124"/>
    </row>
    <row r="62" spans="1:74" s="123" customFormat="1" ht="15">
      <c r="A62" s="35"/>
      <c r="B62" s="55"/>
      <c r="C62" s="57"/>
      <c r="D62" s="57"/>
      <c r="E62" s="57"/>
      <c r="F62" s="57"/>
      <c r="G62" s="57"/>
      <c r="H62" s="57"/>
      <c r="I62" s="57"/>
      <c r="J62" s="57"/>
      <c r="K62" s="57"/>
      <c r="L62" s="57"/>
      <c r="M62" s="57"/>
      <c r="N62" s="57"/>
      <c r="O62" s="57"/>
      <c r="P62" s="57"/>
      <c r="Q62" s="57"/>
      <c r="R62" s="57"/>
      <c r="S62" s="138"/>
      <c r="T62" s="138"/>
      <c r="U62" s="138"/>
      <c r="V62" s="138"/>
      <c r="W62" s="57"/>
      <c r="X62" s="57"/>
      <c r="Y62" s="138"/>
      <c r="Z62" s="138"/>
      <c r="AA62" s="57"/>
      <c r="AB62" s="57"/>
      <c r="AC62" s="57"/>
      <c r="AD62" s="138"/>
      <c r="AE62" s="138"/>
      <c r="AF62" s="138"/>
      <c r="AG62" s="138"/>
      <c r="AH62" s="138"/>
      <c r="AI62" s="138"/>
      <c r="AJ62" s="138"/>
      <c r="AK62" s="138"/>
      <c r="AL62" s="138"/>
      <c r="AM62" s="138"/>
      <c r="AN62" s="138"/>
      <c r="AO62" s="138"/>
      <c r="AP62" s="138"/>
      <c r="AQ62" s="138"/>
      <c r="AR62" s="138"/>
      <c r="AS62" s="138"/>
      <c r="AT62" s="138"/>
      <c r="AU62" s="138"/>
      <c r="AV62" s="138"/>
      <c r="AW62" s="138"/>
      <c r="AX62" s="138"/>
      <c r="AY62" s="55"/>
      <c r="AZ62" s="54"/>
      <c r="BA62" s="60"/>
      <c r="BB62" s="137"/>
      <c r="BC62" s="50"/>
      <c r="BD62" s="51"/>
      <c r="BE62" s="124"/>
      <c r="BF62" s="124"/>
      <c r="BG62" s="124" t="s">
        <v>234</v>
      </c>
      <c r="BH62" s="124"/>
      <c r="BI62" s="124"/>
      <c r="BJ62" s="124"/>
      <c r="BK62" s="124"/>
      <c r="BL62" s="124"/>
      <c r="BM62" s="124"/>
      <c r="BN62" s="124"/>
      <c r="BO62" s="124"/>
      <c r="BP62" s="124"/>
      <c r="BQ62" s="124"/>
      <c r="BR62" s="124"/>
      <c r="BS62" s="124"/>
      <c r="BT62" s="124"/>
    </row>
    <row r="63" spans="1:74" s="123" customFormat="1" ht="15" customHeight="1">
      <c r="A63" s="35"/>
      <c r="B63" s="55"/>
      <c r="C63" s="57"/>
      <c r="D63" s="57"/>
      <c r="E63" s="57"/>
      <c r="F63" s="57"/>
      <c r="G63" s="57"/>
      <c r="H63" s="57"/>
      <c r="I63" s="57"/>
      <c r="J63" s="57"/>
      <c r="K63" s="57"/>
      <c r="L63" s="57"/>
      <c r="M63" s="57"/>
      <c r="N63" s="57"/>
      <c r="O63" s="57"/>
      <c r="P63" s="57"/>
      <c r="Q63" s="57"/>
      <c r="R63" s="57"/>
      <c r="S63" s="138"/>
      <c r="T63" s="138"/>
      <c r="U63" s="138"/>
      <c r="V63" s="138"/>
      <c r="W63" s="57"/>
      <c r="X63" s="57"/>
      <c r="Y63" s="138"/>
      <c r="Z63" s="138"/>
      <c r="AA63" s="57"/>
      <c r="AB63" s="57"/>
      <c r="AC63" s="57"/>
      <c r="AD63" s="138"/>
      <c r="AE63" s="138"/>
      <c r="AF63" s="138"/>
      <c r="AG63" s="138"/>
      <c r="AH63" s="138"/>
      <c r="AI63" s="138"/>
      <c r="AJ63" s="138"/>
      <c r="AK63" s="138"/>
      <c r="AL63" s="138"/>
      <c r="AM63" s="138"/>
      <c r="AN63" s="138"/>
      <c r="AO63" s="138"/>
      <c r="AP63" s="138"/>
      <c r="AQ63" s="138"/>
      <c r="AR63" s="138"/>
      <c r="AS63" s="138"/>
      <c r="AT63" s="138"/>
      <c r="AU63" s="138"/>
      <c r="AV63" s="138"/>
      <c r="AW63" s="138"/>
      <c r="AX63" s="138"/>
      <c r="AY63" s="55"/>
      <c r="AZ63" s="54"/>
      <c r="BA63" s="60"/>
      <c r="BB63" s="137"/>
      <c r="BC63" s="50"/>
      <c r="BD63" s="51"/>
      <c r="BE63" s="124"/>
      <c r="BF63" s="124"/>
      <c r="BG63" s="124"/>
      <c r="BH63" s="124"/>
      <c r="BI63" s="124"/>
      <c r="BJ63" s="124"/>
      <c r="BK63" s="124"/>
      <c r="BL63" s="124"/>
      <c r="BM63" s="124"/>
      <c r="BN63" s="124"/>
      <c r="BO63" s="124"/>
      <c r="BP63" s="124"/>
      <c r="BQ63" s="124"/>
      <c r="BR63" s="124"/>
      <c r="BS63" s="124"/>
      <c r="BT63" s="124"/>
    </row>
    <row r="64" spans="1:74" s="123" customFormat="1" ht="15">
      <c r="A64" s="35"/>
      <c r="B64" s="55"/>
      <c r="C64" s="57"/>
      <c r="D64" s="57"/>
      <c r="E64" s="57"/>
      <c r="F64" s="57"/>
      <c r="G64" s="57"/>
      <c r="H64" s="57"/>
      <c r="I64" s="57"/>
      <c r="J64" s="57"/>
      <c r="K64" s="57"/>
      <c r="L64" s="57"/>
      <c r="M64" s="57"/>
      <c r="N64" s="57"/>
      <c r="O64" s="57"/>
      <c r="P64" s="57"/>
      <c r="Q64" s="57"/>
      <c r="R64" s="57"/>
      <c r="S64" s="138"/>
      <c r="T64" s="138"/>
      <c r="U64" s="138"/>
      <c r="V64" s="138"/>
      <c r="W64" s="57"/>
      <c r="X64" s="57"/>
      <c r="Y64" s="138"/>
      <c r="Z64" s="138"/>
      <c r="AA64" s="57"/>
      <c r="AB64" s="57"/>
      <c r="AC64" s="57"/>
      <c r="AD64" s="138"/>
      <c r="AE64" s="138"/>
      <c r="AF64" s="138"/>
      <c r="AG64" s="138"/>
      <c r="AH64" s="138"/>
      <c r="AI64" s="138"/>
      <c r="AJ64" s="138"/>
      <c r="AK64" s="138"/>
      <c r="AL64" s="138"/>
      <c r="AM64" s="138"/>
      <c r="AN64" s="138"/>
      <c r="AO64" s="138"/>
      <c r="AP64" s="138"/>
      <c r="AQ64" s="138"/>
      <c r="AR64" s="138"/>
      <c r="AS64" s="138"/>
      <c r="AT64" s="138"/>
      <c r="AU64" s="138"/>
      <c r="AV64" s="138"/>
      <c r="AW64" s="138"/>
      <c r="AX64" s="138"/>
      <c r="AY64" s="55"/>
      <c r="AZ64" s="54"/>
      <c r="BA64" s="60"/>
      <c r="BB64" s="137"/>
      <c r="BC64" s="50"/>
      <c r="BD64" s="51"/>
      <c r="BE64" s="124"/>
      <c r="BF64" s="124"/>
      <c r="BG64" s="124"/>
      <c r="BH64" s="124"/>
      <c r="BI64" s="124"/>
      <c r="BJ64" s="124"/>
      <c r="BK64" s="124"/>
      <c r="BL64" s="124"/>
      <c r="BM64" s="124"/>
      <c r="BN64" s="124"/>
      <c r="BO64" s="124"/>
      <c r="BP64" s="124"/>
      <c r="BQ64" s="124"/>
      <c r="BR64" s="124"/>
      <c r="BS64" s="124"/>
      <c r="BT64" s="124"/>
    </row>
    <row r="65" spans="1:72" s="123" customFormat="1" ht="15" customHeight="1">
      <c r="A65" s="35"/>
      <c r="B65" s="55"/>
      <c r="C65" s="57"/>
      <c r="D65" s="57"/>
      <c r="E65" s="57"/>
      <c r="F65" s="57"/>
      <c r="G65" s="57"/>
      <c r="H65" s="57"/>
      <c r="I65" s="57"/>
      <c r="J65" s="57"/>
      <c r="K65" s="57"/>
      <c r="L65" s="57"/>
      <c r="M65" s="57"/>
      <c r="N65" s="57"/>
      <c r="O65" s="57"/>
      <c r="P65" s="57"/>
      <c r="Q65" s="57"/>
      <c r="R65" s="57"/>
      <c r="S65" s="138"/>
      <c r="T65" s="138"/>
      <c r="U65" s="138"/>
      <c r="V65" s="138"/>
      <c r="W65" s="57"/>
      <c r="X65" s="57"/>
      <c r="Y65" s="138"/>
      <c r="Z65" s="138"/>
      <c r="AA65" s="57"/>
      <c r="AB65" s="57"/>
      <c r="AC65" s="57"/>
      <c r="AD65" s="138"/>
      <c r="AE65" s="138"/>
      <c r="AF65" s="138"/>
      <c r="AG65" s="138"/>
      <c r="AH65" s="138"/>
      <c r="AI65" s="138"/>
      <c r="AJ65" s="138"/>
      <c r="AK65" s="138"/>
      <c r="AL65" s="138"/>
      <c r="AM65" s="138"/>
      <c r="AN65" s="138"/>
      <c r="AO65" s="138"/>
      <c r="AP65" s="138"/>
      <c r="AQ65" s="138"/>
      <c r="AR65" s="138"/>
      <c r="AS65" s="138"/>
      <c r="AT65" s="138"/>
      <c r="AU65" s="138"/>
      <c r="AV65" s="138"/>
      <c r="AW65" s="138"/>
      <c r="AX65" s="138"/>
      <c r="AY65" s="55"/>
      <c r="AZ65" s="54"/>
      <c r="BA65" s="60"/>
      <c r="BB65" s="137"/>
      <c r="BC65" s="50"/>
      <c r="BD65" s="51"/>
      <c r="BE65" s="124"/>
      <c r="BF65" s="124"/>
      <c r="BG65" s="124"/>
      <c r="BH65" s="124"/>
      <c r="BI65" s="124"/>
      <c r="BJ65" s="124"/>
      <c r="BK65" s="124"/>
      <c r="BL65" s="124"/>
      <c r="BM65" s="124"/>
      <c r="BN65" s="124"/>
      <c r="BO65" s="124"/>
      <c r="BP65" s="124"/>
      <c r="BQ65" s="124"/>
      <c r="BR65" s="124"/>
      <c r="BS65" s="124"/>
      <c r="BT65" s="124"/>
    </row>
    <row r="66" spans="1:72" s="123" customFormat="1" ht="15">
      <c r="A66" s="35"/>
      <c r="B66" s="55"/>
      <c r="C66" s="57"/>
      <c r="D66" s="57"/>
      <c r="E66" s="57"/>
      <c r="F66" s="57"/>
      <c r="G66" s="57"/>
      <c r="H66" s="57"/>
      <c r="I66" s="57"/>
      <c r="J66" s="57"/>
      <c r="K66" s="57"/>
      <c r="L66" s="57"/>
      <c r="M66" s="57"/>
      <c r="N66" s="57"/>
      <c r="O66" s="57"/>
      <c r="P66" s="57"/>
      <c r="Q66" s="57"/>
      <c r="R66" s="57"/>
      <c r="S66" s="138"/>
      <c r="T66" s="138"/>
      <c r="U66" s="138"/>
      <c r="V66" s="138"/>
      <c r="W66" s="57"/>
      <c r="X66" s="57"/>
      <c r="Y66" s="138"/>
      <c r="Z66" s="138"/>
      <c r="AA66" s="57"/>
      <c r="AB66" s="57"/>
      <c r="AC66" s="57"/>
      <c r="AD66" s="138"/>
      <c r="AE66" s="138"/>
      <c r="AF66" s="138"/>
      <c r="AG66" s="138"/>
      <c r="AH66" s="138"/>
      <c r="AI66" s="138"/>
      <c r="AJ66" s="138"/>
      <c r="AK66" s="138"/>
      <c r="AL66" s="138"/>
      <c r="AM66" s="138"/>
      <c r="AN66" s="138"/>
      <c r="AO66" s="138"/>
      <c r="AP66" s="138"/>
      <c r="AQ66" s="138"/>
      <c r="AR66" s="138"/>
      <c r="AS66" s="138"/>
      <c r="AT66" s="138"/>
      <c r="AU66" s="138"/>
      <c r="AV66" s="138"/>
      <c r="AW66" s="138"/>
      <c r="AX66" s="138"/>
      <c r="AY66" s="55"/>
      <c r="AZ66" s="54"/>
      <c r="BA66" s="60"/>
      <c r="BB66" s="137"/>
      <c r="BC66" s="50"/>
      <c r="BD66" s="51"/>
      <c r="BK66" s="124"/>
      <c r="BL66" s="124"/>
      <c r="BM66" s="124"/>
      <c r="BN66" s="124"/>
      <c r="BO66" s="124"/>
      <c r="BP66" s="124"/>
      <c r="BQ66" s="124"/>
      <c r="BR66" s="124"/>
      <c r="BS66" s="124"/>
      <c r="BT66" s="124"/>
    </row>
    <row r="67" spans="1:72" s="123" customFormat="1" ht="15">
      <c r="A67" s="35"/>
      <c r="B67" s="55"/>
      <c r="C67" s="57"/>
      <c r="D67" s="57"/>
      <c r="E67" s="57"/>
      <c r="F67" s="57"/>
      <c r="G67" s="57"/>
      <c r="H67" s="57"/>
      <c r="I67" s="57"/>
      <c r="J67" s="57"/>
      <c r="K67" s="57"/>
      <c r="L67" s="57"/>
      <c r="M67" s="57"/>
      <c r="N67" s="57"/>
      <c r="O67" s="57"/>
      <c r="P67" s="57"/>
      <c r="Q67" s="57"/>
      <c r="R67" s="57"/>
      <c r="S67" s="138"/>
      <c r="T67" s="138"/>
      <c r="U67" s="138"/>
      <c r="V67" s="138"/>
      <c r="W67" s="57"/>
      <c r="X67" s="57"/>
      <c r="Y67" s="138"/>
      <c r="Z67" s="138"/>
      <c r="AA67" s="57"/>
      <c r="AB67" s="57"/>
      <c r="AC67" s="57"/>
      <c r="AD67" s="138"/>
      <c r="AE67" s="138"/>
      <c r="AF67" s="138"/>
      <c r="AG67" s="138"/>
      <c r="AH67" s="138"/>
      <c r="AI67" s="138"/>
      <c r="AJ67" s="138"/>
      <c r="AK67" s="138"/>
      <c r="AL67" s="138"/>
      <c r="AM67" s="138"/>
      <c r="AN67" s="138"/>
      <c r="AO67" s="138"/>
      <c r="AP67" s="138"/>
      <c r="AQ67" s="138"/>
      <c r="AR67" s="138"/>
      <c r="AS67" s="138"/>
      <c r="AT67" s="138"/>
      <c r="AU67" s="138"/>
      <c r="AV67" s="138"/>
      <c r="AW67" s="138"/>
      <c r="AX67" s="138"/>
      <c r="AY67" s="55"/>
      <c r="AZ67" s="54"/>
      <c r="BA67" s="60"/>
      <c r="BB67" s="137"/>
      <c r="BC67" s="50"/>
      <c r="BD67" s="51"/>
      <c r="BE67" s="124"/>
      <c r="BK67" s="124"/>
      <c r="BL67" s="124"/>
      <c r="BM67" s="124"/>
      <c r="BN67" s="124"/>
      <c r="BO67" s="124"/>
      <c r="BP67" s="124"/>
      <c r="BQ67" s="124"/>
      <c r="BR67" s="124"/>
      <c r="BS67" s="124"/>
      <c r="BT67" s="124"/>
    </row>
    <row r="68" spans="1:72" s="123" customFormat="1" ht="15">
      <c r="A68" s="35"/>
      <c r="B68" s="55"/>
      <c r="C68" s="57"/>
      <c r="D68" s="57"/>
      <c r="E68" s="57"/>
      <c r="F68" s="57"/>
      <c r="G68" s="57"/>
      <c r="H68" s="57"/>
      <c r="I68" s="57"/>
      <c r="J68" s="57"/>
      <c r="K68" s="57"/>
      <c r="L68" s="57"/>
      <c r="M68" s="57"/>
      <c r="N68" s="57"/>
      <c r="O68" s="57"/>
      <c r="P68" s="57"/>
      <c r="Q68" s="57"/>
      <c r="R68" s="57"/>
      <c r="S68" s="138"/>
      <c r="T68" s="138"/>
      <c r="U68" s="138"/>
      <c r="V68" s="138"/>
      <c r="W68" s="57"/>
      <c r="X68" s="57"/>
      <c r="Y68" s="138"/>
      <c r="Z68" s="138"/>
      <c r="AA68" s="57"/>
      <c r="AB68" s="57"/>
      <c r="AC68" s="57"/>
      <c r="AD68" s="138"/>
      <c r="AE68" s="138"/>
      <c r="AF68" s="138"/>
      <c r="AG68" s="138"/>
      <c r="AH68" s="138"/>
      <c r="AI68" s="138"/>
      <c r="AJ68" s="138"/>
      <c r="AK68" s="138"/>
      <c r="AL68" s="138"/>
      <c r="AM68" s="138"/>
      <c r="AN68" s="138"/>
      <c r="AO68" s="138"/>
      <c r="AP68" s="138"/>
      <c r="AQ68" s="138"/>
      <c r="AR68" s="138"/>
      <c r="AS68" s="138"/>
      <c r="AT68" s="138"/>
      <c r="AU68" s="138"/>
      <c r="AV68" s="138"/>
      <c r="AW68" s="138"/>
      <c r="AX68" s="138"/>
      <c r="AY68" s="55"/>
      <c r="AZ68" s="54"/>
      <c r="BA68" s="60"/>
      <c r="BB68" s="137"/>
      <c r="BC68" s="50"/>
      <c r="BD68" s="51"/>
      <c r="BF68" s="124"/>
      <c r="BG68" s="124"/>
      <c r="BH68" s="124"/>
      <c r="BI68" s="124"/>
      <c r="BJ68" s="124"/>
      <c r="BK68" s="124"/>
      <c r="BL68" s="124"/>
      <c r="BM68" s="124"/>
      <c r="BN68" s="124"/>
      <c r="BO68" s="124"/>
      <c r="BP68" s="124"/>
      <c r="BQ68" s="124"/>
      <c r="BR68" s="124"/>
      <c r="BS68" s="124"/>
      <c r="BT68" s="124"/>
    </row>
    <row r="69" spans="1:72" s="123" customFormat="1" ht="15">
      <c r="A69" s="35"/>
      <c r="B69" s="55"/>
      <c r="C69" s="57"/>
      <c r="D69" s="57"/>
      <c r="E69" s="57"/>
      <c r="F69" s="57"/>
      <c r="G69" s="57"/>
      <c r="H69" s="57"/>
      <c r="I69" s="57"/>
      <c r="J69" s="57"/>
      <c r="K69" s="57"/>
      <c r="L69" s="57"/>
      <c r="M69" s="57"/>
      <c r="N69" s="57"/>
      <c r="O69" s="57"/>
      <c r="P69" s="57"/>
      <c r="Q69" s="57"/>
      <c r="R69" s="57"/>
      <c r="S69" s="138"/>
      <c r="T69" s="138"/>
      <c r="U69" s="138"/>
      <c r="V69" s="138"/>
      <c r="W69" s="57"/>
      <c r="X69" s="57"/>
      <c r="Y69" s="138"/>
      <c r="Z69" s="138"/>
      <c r="AA69" s="57"/>
      <c r="AB69" s="57"/>
      <c r="AC69" s="57"/>
      <c r="AD69" s="138"/>
      <c r="AE69" s="138"/>
      <c r="AF69" s="138"/>
      <c r="AG69" s="138"/>
      <c r="AH69" s="138"/>
      <c r="AI69" s="138"/>
      <c r="AJ69" s="138"/>
      <c r="AK69" s="138"/>
      <c r="AL69" s="138"/>
      <c r="AM69" s="138"/>
      <c r="AN69" s="138"/>
      <c r="AO69" s="138"/>
      <c r="AP69" s="138"/>
      <c r="AQ69" s="138"/>
      <c r="AR69" s="138"/>
      <c r="AS69" s="138"/>
      <c r="AT69" s="138"/>
      <c r="AU69" s="138"/>
      <c r="AV69" s="138"/>
      <c r="AW69" s="138"/>
      <c r="AX69" s="138"/>
      <c r="AY69" s="55"/>
      <c r="AZ69" s="54"/>
      <c r="BA69" s="60"/>
      <c r="BB69" s="137"/>
      <c r="BC69" s="50"/>
      <c r="BD69" s="51"/>
      <c r="BF69" s="124"/>
      <c r="BG69" s="124"/>
      <c r="BH69" s="124"/>
      <c r="BI69" s="124"/>
      <c r="BJ69" s="124"/>
      <c r="BK69" s="124"/>
      <c r="BL69" s="124"/>
      <c r="BM69" s="124"/>
      <c r="BN69" s="124"/>
      <c r="BO69" s="124"/>
      <c r="BP69" s="124"/>
      <c r="BQ69" s="124"/>
      <c r="BR69" s="124"/>
    </row>
    <row r="70" spans="1:72" s="123" customFormat="1" ht="15">
      <c r="A70" s="35"/>
      <c r="B70" s="55"/>
      <c r="C70" s="57"/>
      <c r="D70" s="57"/>
      <c r="E70" s="57"/>
      <c r="F70" s="57"/>
      <c r="G70" s="57"/>
      <c r="H70" s="57"/>
      <c r="I70" s="57"/>
      <c r="J70" s="57"/>
      <c r="K70" s="57"/>
      <c r="L70" s="57"/>
      <c r="M70" s="57"/>
      <c r="N70" s="57"/>
      <c r="O70" s="57"/>
      <c r="P70" s="57"/>
      <c r="Q70" s="57"/>
      <c r="R70" s="57"/>
      <c r="S70" s="138"/>
      <c r="T70" s="138"/>
      <c r="U70" s="138"/>
      <c r="V70" s="138"/>
      <c r="W70" s="57"/>
      <c r="X70" s="57"/>
      <c r="Y70" s="138"/>
      <c r="Z70" s="138"/>
      <c r="AA70" s="57"/>
      <c r="AB70" s="57"/>
      <c r="AC70" s="57"/>
      <c r="AD70" s="138"/>
      <c r="AE70" s="138"/>
      <c r="AF70" s="138"/>
      <c r="AG70" s="138"/>
      <c r="AH70" s="138"/>
      <c r="AI70" s="138"/>
      <c r="AJ70" s="138"/>
      <c r="AK70" s="138"/>
      <c r="AL70" s="138"/>
      <c r="AM70" s="138"/>
      <c r="AN70" s="138"/>
      <c r="AO70" s="138"/>
      <c r="AP70" s="138"/>
      <c r="AQ70" s="138"/>
      <c r="AR70" s="138"/>
      <c r="AS70" s="138"/>
      <c r="AT70" s="138"/>
      <c r="AU70" s="138"/>
      <c r="AV70" s="138"/>
      <c r="AW70" s="138"/>
      <c r="AX70" s="138"/>
      <c r="AY70" s="55"/>
      <c r="AZ70" s="54"/>
      <c r="BA70" s="60"/>
      <c r="BB70" s="137"/>
      <c r="BC70" s="50"/>
      <c r="BD70" s="51"/>
      <c r="BL70" s="124"/>
      <c r="BM70" s="124"/>
      <c r="BN70" s="124"/>
      <c r="BO70" s="124"/>
      <c r="BP70" s="124"/>
      <c r="BQ70" s="124"/>
      <c r="BR70" s="124"/>
    </row>
    <row r="71" spans="1:72" s="123" customFormat="1" ht="15" customHeight="1">
      <c r="A71" s="36"/>
      <c r="B71" s="55"/>
      <c r="C71" s="57"/>
      <c r="D71" s="57"/>
      <c r="E71" s="57"/>
      <c r="F71" s="57"/>
      <c r="G71" s="57"/>
      <c r="H71" s="57"/>
      <c r="I71" s="57"/>
      <c r="J71" s="57"/>
      <c r="K71" s="57"/>
      <c r="L71" s="57"/>
      <c r="M71" s="57"/>
      <c r="N71" s="57"/>
      <c r="O71" s="57"/>
      <c r="P71" s="57"/>
      <c r="Q71" s="57"/>
      <c r="R71" s="57"/>
      <c r="S71" s="138"/>
      <c r="T71" s="138"/>
      <c r="U71" s="138"/>
      <c r="V71" s="138"/>
      <c r="W71" s="57"/>
      <c r="X71" s="57"/>
      <c r="Y71" s="138"/>
      <c r="Z71" s="138"/>
      <c r="AA71" s="57"/>
      <c r="AB71" s="57"/>
      <c r="AC71" s="57"/>
      <c r="AD71" s="138"/>
      <c r="AE71" s="138"/>
      <c r="AF71" s="138"/>
      <c r="AG71" s="138"/>
      <c r="AH71" s="138"/>
      <c r="AI71" s="138"/>
      <c r="AJ71" s="138"/>
      <c r="AK71" s="138"/>
      <c r="AL71" s="138"/>
      <c r="AM71" s="138"/>
      <c r="AN71" s="138"/>
      <c r="AO71" s="138"/>
      <c r="AP71" s="138"/>
      <c r="AQ71" s="138"/>
      <c r="AR71" s="138"/>
      <c r="AS71" s="138"/>
      <c r="AT71" s="138"/>
      <c r="AU71" s="138"/>
      <c r="AV71" s="138"/>
      <c r="AW71" s="138"/>
      <c r="AX71" s="138"/>
      <c r="AY71" s="55"/>
      <c r="AZ71" s="55"/>
      <c r="BA71" s="60"/>
      <c r="BB71" s="137"/>
      <c r="BC71" s="50"/>
      <c r="BD71" s="51"/>
      <c r="BL71" s="124"/>
      <c r="BM71" s="124"/>
      <c r="BN71" s="124"/>
      <c r="BO71" s="124"/>
      <c r="BP71" s="124"/>
      <c r="BQ71" s="124"/>
      <c r="BR71" s="124"/>
      <c r="BS71" s="124"/>
      <c r="BT71" s="124"/>
    </row>
    <row r="72" spans="1:72" s="123" customFormat="1" ht="15" customHeight="1">
      <c r="A72" s="36"/>
      <c r="B72" s="55"/>
      <c r="C72" s="57"/>
      <c r="D72" s="57"/>
      <c r="E72" s="57"/>
      <c r="F72" s="57"/>
      <c r="G72" s="57"/>
      <c r="H72" s="57"/>
      <c r="I72" s="57"/>
      <c r="J72" s="57"/>
      <c r="K72" s="57"/>
      <c r="L72" s="57"/>
      <c r="M72" s="57"/>
      <c r="N72" s="57"/>
      <c r="O72" s="57"/>
      <c r="P72" s="57"/>
      <c r="Q72" s="57"/>
      <c r="R72" s="57"/>
      <c r="S72" s="138"/>
      <c r="T72" s="138"/>
      <c r="U72" s="138"/>
      <c r="V72" s="138"/>
      <c r="W72" s="57"/>
      <c r="X72" s="57"/>
      <c r="Y72" s="138"/>
      <c r="Z72" s="138"/>
      <c r="AA72" s="57"/>
      <c r="AB72" s="57"/>
      <c r="AC72" s="57"/>
      <c r="AD72" s="138"/>
      <c r="AE72" s="138"/>
      <c r="AF72" s="138"/>
      <c r="AG72" s="138"/>
      <c r="AH72" s="138"/>
      <c r="AI72" s="138"/>
      <c r="AJ72" s="138"/>
      <c r="AK72" s="138"/>
      <c r="AL72" s="138"/>
      <c r="AM72" s="138"/>
      <c r="AN72" s="138"/>
      <c r="AO72" s="138"/>
      <c r="AP72" s="138"/>
      <c r="AQ72" s="138"/>
      <c r="AR72" s="138"/>
      <c r="AS72" s="138"/>
      <c r="AT72" s="138"/>
      <c r="AU72" s="138"/>
      <c r="AV72" s="138"/>
      <c r="AW72" s="138"/>
      <c r="AX72" s="138"/>
      <c r="AY72" s="55"/>
      <c r="AZ72" s="55"/>
      <c r="BA72" s="60"/>
      <c r="BB72" s="137"/>
      <c r="BC72" s="50"/>
      <c r="BD72" s="51"/>
      <c r="BL72" s="124"/>
      <c r="BM72" s="124"/>
      <c r="BN72" s="124"/>
      <c r="BO72" s="124"/>
      <c r="BP72" s="124"/>
      <c r="BQ72" s="124"/>
      <c r="BR72" s="124"/>
    </row>
    <row r="73" spans="1:72" s="123" customFormat="1" ht="15" customHeight="1">
      <c r="A73" s="36"/>
      <c r="B73" s="55"/>
      <c r="C73" s="57"/>
      <c r="D73" s="57"/>
      <c r="E73" s="57"/>
      <c r="F73" s="57"/>
      <c r="G73" s="57"/>
      <c r="H73" s="57"/>
      <c r="I73" s="57"/>
      <c r="J73" s="57"/>
      <c r="K73" s="57"/>
      <c r="L73" s="57"/>
      <c r="M73" s="57"/>
      <c r="N73" s="57"/>
      <c r="O73" s="57"/>
      <c r="P73" s="57"/>
      <c r="Q73" s="57"/>
      <c r="R73" s="57"/>
      <c r="S73" s="138"/>
      <c r="T73" s="138"/>
      <c r="U73" s="138"/>
      <c r="V73" s="138"/>
      <c r="W73" s="57"/>
      <c r="X73" s="57"/>
      <c r="Y73" s="138"/>
      <c r="Z73" s="138"/>
      <c r="AA73" s="57"/>
      <c r="AB73" s="57"/>
      <c r="AC73" s="57"/>
      <c r="AD73" s="138"/>
      <c r="AE73" s="138"/>
      <c r="AF73" s="138"/>
      <c r="AG73" s="138"/>
      <c r="AH73" s="138"/>
      <c r="AI73" s="138"/>
      <c r="AJ73" s="138"/>
      <c r="AK73" s="138"/>
      <c r="AL73" s="138"/>
      <c r="AM73" s="138"/>
      <c r="AN73" s="138"/>
      <c r="AO73" s="138"/>
      <c r="AP73" s="138"/>
      <c r="AQ73" s="138"/>
      <c r="AR73" s="138"/>
      <c r="AS73" s="138"/>
      <c r="AT73" s="138"/>
      <c r="AU73" s="138"/>
      <c r="AV73" s="138"/>
      <c r="AW73" s="138"/>
      <c r="AX73" s="138"/>
      <c r="AY73" s="55"/>
      <c r="AZ73" s="55"/>
      <c r="BA73" s="60"/>
      <c r="BB73" s="137"/>
      <c r="BC73" s="50"/>
      <c r="BD73" s="51"/>
      <c r="BF73" s="124"/>
      <c r="BG73" s="124"/>
      <c r="BH73" s="124"/>
      <c r="BI73" s="124"/>
      <c r="BJ73" s="124"/>
      <c r="BK73" s="124"/>
      <c r="BL73" s="124"/>
      <c r="BM73" s="124"/>
      <c r="BN73" s="124"/>
      <c r="BO73" s="124"/>
      <c r="BP73" s="124"/>
      <c r="BQ73" s="124"/>
      <c r="BR73" s="124"/>
    </row>
    <row r="74" spans="1:72" s="123" customFormat="1" ht="19.5" customHeight="1">
      <c r="A74" s="36"/>
      <c r="B74" s="55"/>
      <c r="C74" s="57"/>
      <c r="D74" s="57"/>
      <c r="E74" s="57"/>
      <c r="F74" s="57"/>
      <c r="G74" s="57"/>
      <c r="H74" s="57"/>
      <c r="I74" s="57"/>
      <c r="J74" s="57"/>
      <c r="K74" s="57"/>
      <c r="L74" s="57"/>
      <c r="M74" s="57"/>
      <c r="N74" s="57"/>
      <c r="O74" s="57"/>
      <c r="P74" s="57"/>
      <c r="Q74" s="57"/>
      <c r="R74" s="57"/>
      <c r="S74" s="138"/>
      <c r="T74" s="138"/>
      <c r="U74" s="138"/>
      <c r="V74" s="138"/>
      <c r="W74" s="57"/>
      <c r="X74" s="57"/>
      <c r="Y74" s="138"/>
      <c r="Z74" s="138"/>
      <c r="AA74" s="57"/>
      <c r="AB74" s="57"/>
      <c r="AC74" s="57"/>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55"/>
      <c r="AZ74" s="55"/>
      <c r="BA74" s="60"/>
      <c r="BB74" s="137"/>
      <c r="BC74" s="50"/>
      <c r="BD74" s="51"/>
      <c r="BE74" s="124"/>
      <c r="BF74" s="124"/>
      <c r="BG74" s="124"/>
      <c r="BH74" s="124"/>
      <c r="BI74" s="124"/>
      <c r="BJ74" s="124"/>
    </row>
    <row r="75" spans="1:72" s="123" customFormat="1" ht="15" customHeight="1">
      <c r="A75" s="36"/>
      <c r="B75" s="55"/>
      <c r="C75" s="57"/>
      <c r="D75" s="57"/>
      <c r="E75" s="57"/>
      <c r="F75" s="57"/>
      <c r="G75" s="57"/>
      <c r="H75" s="57"/>
      <c r="I75" s="57"/>
      <c r="J75" s="57"/>
      <c r="K75" s="57"/>
      <c r="L75" s="57"/>
      <c r="M75" s="57"/>
      <c r="N75" s="57"/>
      <c r="O75" s="57"/>
      <c r="P75" s="57"/>
      <c r="Q75" s="57"/>
      <c r="R75" s="57"/>
      <c r="S75" s="138"/>
      <c r="T75" s="138"/>
      <c r="U75" s="138"/>
      <c r="V75" s="138"/>
      <c r="W75" s="57"/>
      <c r="X75" s="57"/>
      <c r="Y75" s="138"/>
      <c r="Z75" s="138"/>
      <c r="AA75" s="57"/>
      <c r="AB75" s="57"/>
      <c r="AC75" s="57"/>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55"/>
      <c r="AZ75" s="55"/>
      <c r="BA75" s="60"/>
      <c r="BB75" s="137"/>
      <c r="BC75" s="50"/>
      <c r="BD75" s="51"/>
      <c r="BF75" s="124"/>
      <c r="BG75" s="124"/>
      <c r="BH75" s="124"/>
      <c r="BI75" s="124"/>
      <c r="BJ75" s="124"/>
      <c r="BS75" s="124"/>
      <c r="BT75" s="124"/>
    </row>
    <row r="76" spans="1:72" s="123" customFormat="1" ht="25.5" customHeight="1">
      <c r="A76" s="36"/>
      <c r="B76" s="55"/>
      <c r="C76" s="57"/>
      <c r="D76" s="57"/>
      <c r="E76" s="57"/>
      <c r="F76" s="57"/>
      <c r="G76" s="57"/>
      <c r="H76" s="57"/>
      <c r="I76" s="57"/>
      <c r="J76" s="57"/>
      <c r="K76" s="57"/>
      <c r="L76" s="57"/>
      <c r="M76" s="57"/>
      <c r="N76" s="57"/>
      <c r="O76" s="57"/>
      <c r="P76" s="57"/>
      <c r="Q76" s="57"/>
      <c r="R76" s="57"/>
      <c r="S76" s="138"/>
      <c r="T76" s="138"/>
      <c r="U76" s="138"/>
      <c r="V76" s="138"/>
      <c r="W76" s="57"/>
      <c r="X76" s="57"/>
      <c r="Y76" s="138"/>
      <c r="Z76" s="138"/>
      <c r="AA76" s="57"/>
      <c r="AB76" s="57"/>
      <c r="AC76" s="57"/>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55"/>
      <c r="AZ76" s="55"/>
      <c r="BA76" s="60"/>
      <c r="BB76" s="137"/>
      <c r="BC76" s="50"/>
      <c r="BD76" s="51"/>
      <c r="BE76" s="124"/>
      <c r="BF76" s="124"/>
      <c r="BG76" s="124"/>
      <c r="BH76" s="124"/>
      <c r="BI76" s="124"/>
      <c r="BJ76" s="124"/>
      <c r="BK76" s="124"/>
      <c r="BL76" s="124"/>
      <c r="BM76" s="124"/>
      <c r="BN76" s="124"/>
      <c r="BO76" s="124"/>
      <c r="BP76" s="124"/>
      <c r="BQ76" s="124"/>
      <c r="BR76" s="124"/>
      <c r="BS76" s="124"/>
      <c r="BT76" s="124"/>
    </row>
    <row r="77" spans="1:72" s="123" customFormat="1" ht="27" customHeight="1">
      <c r="A77" s="36"/>
      <c r="B77" s="55"/>
      <c r="C77" s="57"/>
      <c r="D77" s="57"/>
      <c r="E77" s="57"/>
      <c r="F77" s="57"/>
      <c r="G77" s="57"/>
      <c r="H77" s="57"/>
      <c r="I77" s="57"/>
      <c r="J77" s="57"/>
      <c r="K77" s="57"/>
      <c r="L77" s="57"/>
      <c r="M77" s="57"/>
      <c r="N77" s="57"/>
      <c r="O77" s="57"/>
      <c r="P77" s="57"/>
      <c r="Q77" s="57"/>
      <c r="R77" s="57"/>
      <c r="S77" s="138"/>
      <c r="T77" s="138"/>
      <c r="U77" s="138"/>
      <c r="V77" s="138"/>
      <c r="W77" s="57"/>
      <c r="X77" s="57"/>
      <c r="Y77" s="138"/>
      <c r="Z77" s="138"/>
      <c r="AA77" s="57"/>
      <c r="AB77" s="57"/>
      <c r="AC77" s="57"/>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55"/>
      <c r="AZ77" s="55"/>
      <c r="BA77" s="60"/>
      <c r="BB77" s="137"/>
      <c r="BC77" s="50"/>
      <c r="BD77" s="51"/>
      <c r="BE77" s="124"/>
      <c r="BK77" s="124"/>
      <c r="BL77" s="124"/>
      <c r="BM77" s="124"/>
      <c r="BN77" s="124"/>
      <c r="BO77" s="124"/>
      <c r="BP77" s="124"/>
      <c r="BQ77" s="124"/>
      <c r="BR77" s="124"/>
      <c r="BS77" s="124"/>
      <c r="BT77" s="124"/>
    </row>
    <row r="78" spans="1:72" s="123" customFormat="1" ht="34.5" customHeight="1">
      <c r="A78" s="36"/>
      <c r="B78" s="55"/>
      <c r="C78" s="57"/>
      <c r="D78" s="57"/>
      <c r="E78" s="57"/>
      <c r="F78" s="57"/>
      <c r="G78" s="57"/>
      <c r="H78" s="57"/>
      <c r="I78" s="57"/>
      <c r="J78" s="57"/>
      <c r="K78" s="57"/>
      <c r="L78" s="57"/>
      <c r="M78" s="57"/>
      <c r="N78" s="57"/>
      <c r="O78" s="57"/>
      <c r="P78" s="57"/>
      <c r="Q78" s="57"/>
      <c r="R78" s="57"/>
      <c r="S78" s="138"/>
      <c r="T78" s="138"/>
      <c r="U78" s="138"/>
      <c r="V78" s="138"/>
      <c r="W78" s="57"/>
      <c r="X78" s="57"/>
      <c r="Y78" s="138"/>
      <c r="Z78" s="138"/>
      <c r="AA78" s="57"/>
      <c r="AB78" s="57"/>
      <c r="AC78" s="57"/>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55"/>
      <c r="AZ78" s="55"/>
      <c r="BA78" s="60"/>
      <c r="BB78" s="137"/>
      <c r="BC78" s="50"/>
      <c r="BD78" s="51"/>
      <c r="BE78" s="124"/>
      <c r="BK78" s="124"/>
      <c r="BL78" s="124"/>
      <c r="BM78" s="124"/>
      <c r="BN78" s="124"/>
      <c r="BO78" s="124"/>
      <c r="BP78" s="124"/>
      <c r="BQ78" s="124"/>
      <c r="BR78" s="124"/>
      <c r="BS78" s="124"/>
      <c r="BT78" s="124"/>
    </row>
    <row r="79" spans="1:72" s="123" customFormat="1" ht="34.5" customHeight="1">
      <c r="A79" s="36"/>
      <c r="B79" s="55"/>
      <c r="C79" s="57"/>
      <c r="D79" s="57"/>
      <c r="E79" s="57"/>
      <c r="F79" s="57"/>
      <c r="G79" s="57"/>
      <c r="H79" s="57"/>
      <c r="I79" s="57"/>
      <c r="J79" s="57"/>
      <c r="K79" s="57"/>
      <c r="L79" s="57"/>
      <c r="M79" s="57"/>
      <c r="N79" s="57"/>
      <c r="O79" s="57"/>
      <c r="P79" s="57"/>
      <c r="Q79" s="57"/>
      <c r="R79" s="57"/>
      <c r="S79" s="138"/>
      <c r="T79" s="138"/>
      <c r="U79" s="138"/>
      <c r="V79" s="138"/>
      <c r="W79" s="57"/>
      <c r="X79" s="57"/>
      <c r="Y79" s="138"/>
      <c r="Z79" s="138"/>
      <c r="AA79" s="57"/>
      <c r="AB79" s="57"/>
      <c r="AC79" s="57"/>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55"/>
      <c r="AZ79" s="55"/>
      <c r="BA79" s="60"/>
      <c r="BB79" s="137"/>
      <c r="BC79" s="50"/>
      <c r="BD79" s="51"/>
      <c r="BE79" s="124"/>
      <c r="BK79" s="124"/>
      <c r="BL79" s="124"/>
      <c r="BM79" s="124"/>
      <c r="BN79" s="124"/>
      <c r="BO79" s="124"/>
      <c r="BP79" s="124"/>
      <c r="BQ79" s="124"/>
      <c r="BR79" s="124"/>
      <c r="BS79" s="124"/>
      <c r="BT79" s="124"/>
    </row>
    <row r="80" spans="1:72" s="123" customFormat="1" ht="20.5" customHeight="1">
      <c r="A80" s="36"/>
      <c r="B80" s="55"/>
      <c r="C80" s="57"/>
      <c r="D80" s="57"/>
      <c r="E80" s="57"/>
      <c r="F80" s="57"/>
      <c r="G80" s="57"/>
      <c r="H80" s="57"/>
      <c r="I80" s="57"/>
      <c r="J80" s="57"/>
      <c r="K80" s="57"/>
      <c r="L80" s="57"/>
      <c r="M80" s="57"/>
      <c r="N80" s="57"/>
      <c r="O80" s="57"/>
      <c r="P80" s="57"/>
      <c r="Q80" s="57"/>
      <c r="R80" s="57"/>
      <c r="S80" s="138"/>
      <c r="T80" s="138"/>
      <c r="U80" s="138"/>
      <c r="V80" s="138"/>
      <c r="W80" s="57"/>
      <c r="X80" s="57"/>
      <c r="Y80" s="138"/>
      <c r="Z80" s="138"/>
      <c r="AA80" s="57"/>
      <c r="AB80" s="57"/>
      <c r="AC80" s="57"/>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55"/>
      <c r="AZ80" s="55"/>
      <c r="BA80" s="60"/>
      <c r="BB80" s="137"/>
      <c r="BC80" s="50"/>
      <c r="BD80" s="51"/>
      <c r="BE80" s="124"/>
      <c r="BK80" s="124"/>
      <c r="BL80" s="124"/>
      <c r="BM80" s="124"/>
      <c r="BN80" s="124"/>
      <c r="BO80" s="124"/>
      <c r="BP80" s="124"/>
      <c r="BQ80" s="124"/>
      <c r="BR80" s="124"/>
      <c r="BS80" s="124"/>
      <c r="BT80" s="124"/>
    </row>
    <row r="81" spans="1:72" s="123" customFormat="1" ht="19.5" customHeight="1">
      <c r="A81" s="36"/>
      <c r="B81" s="55"/>
      <c r="C81" s="57"/>
      <c r="D81" s="57"/>
      <c r="E81" s="57"/>
      <c r="F81" s="57"/>
      <c r="G81" s="57"/>
      <c r="H81" s="57"/>
      <c r="I81" s="57"/>
      <c r="J81" s="57"/>
      <c r="K81" s="57"/>
      <c r="L81" s="57"/>
      <c r="M81" s="57"/>
      <c r="N81" s="57"/>
      <c r="O81" s="57"/>
      <c r="P81" s="57"/>
      <c r="Q81" s="57"/>
      <c r="R81" s="57"/>
      <c r="S81" s="138"/>
      <c r="T81" s="138"/>
      <c r="U81" s="138"/>
      <c r="V81" s="138"/>
      <c r="W81" s="57"/>
      <c r="X81" s="57"/>
      <c r="Y81" s="138"/>
      <c r="Z81" s="138"/>
      <c r="AA81" s="57"/>
      <c r="AB81" s="57"/>
      <c r="AC81" s="57"/>
      <c r="AD81" s="138"/>
      <c r="AE81" s="138"/>
      <c r="AF81" s="138"/>
      <c r="AG81" s="138"/>
      <c r="AH81" s="138"/>
      <c r="AI81" s="138"/>
      <c r="AJ81" s="138"/>
      <c r="AK81" s="138"/>
      <c r="AL81" s="138"/>
      <c r="AM81" s="138"/>
      <c r="AN81" s="138"/>
      <c r="AO81" s="138"/>
      <c r="AP81" s="138"/>
      <c r="AQ81" s="138"/>
      <c r="AR81" s="138"/>
      <c r="AS81" s="138"/>
      <c r="AT81" s="138"/>
      <c r="AU81" s="138"/>
      <c r="AV81" s="138"/>
      <c r="AW81" s="138"/>
      <c r="AX81" s="138"/>
      <c r="AY81" s="55"/>
      <c r="AZ81" s="55"/>
      <c r="BA81" s="60"/>
      <c r="BB81" s="137"/>
      <c r="BC81" s="50"/>
      <c r="BD81" s="51"/>
      <c r="BE81" s="124"/>
      <c r="BK81" s="124"/>
      <c r="BL81" s="124"/>
      <c r="BM81" s="124"/>
      <c r="BN81" s="124"/>
      <c r="BO81" s="124"/>
      <c r="BP81" s="124"/>
      <c r="BQ81" s="124"/>
      <c r="BR81" s="124"/>
      <c r="BS81" s="124"/>
      <c r="BT81" s="124"/>
    </row>
    <row r="82" spans="1:72" s="123" customFormat="1" ht="16.5" customHeight="1">
      <c r="A82" s="36"/>
      <c r="B82" s="55"/>
      <c r="C82" s="57"/>
      <c r="D82" s="57"/>
      <c r="E82" s="57"/>
      <c r="F82" s="57"/>
      <c r="G82" s="57"/>
      <c r="H82" s="57"/>
      <c r="I82" s="57"/>
      <c r="J82" s="57"/>
      <c r="K82" s="57"/>
      <c r="L82" s="57"/>
      <c r="M82" s="57"/>
      <c r="N82" s="57"/>
      <c r="O82" s="57"/>
      <c r="P82" s="57"/>
      <c r="Q82" s="57"/>
      <c r="R82" s="57"/>
      <c r="S82" s="138"/>
      <c r="T82" s="138"/>
      <c r="U82" s="138"/>
      <c r="V82" s="138"/>
      <c r="W82" s="57"/>
      <c r="X82" s="57"/>
      <c r="Y82" s="138"/>
      <c r="Z82" s="138"/>
      <c r="AA82" s="57"/>
      <c r="AB82" s="57"/>
      <c r="AC82" s="57"/>
      <c r="AD82" s="138"/>
      <c r="AE82" s="138"/>
      <c r="AF82" s="138"/>
      <c r="AG82" s="138"/>
      <c r="AH82" s="138"/>
      <c r="AI82" s="138"/>
      <c r="AJ82" s="138"/>
      <c r="AK82" s="138"/>
      <c r="AL82" s="138"/>
      <c r="AM82" s="138"/>
      <c r="AN82" s="138"/>
      <c r="AO82" s="138"/>
      <c r="AP82" s="138"/>
      <c r="AQ82" s="138"/>
      <c r="AR82" s="138"/>
      <c r="AS82" s="138"/>
      <c r="AT82" s="138"/>
      <c r="AU82" s="138"/>
      <c r="AV82" s="138"/>
      <c r="AW82" s="138"/>
      <c r="AX82" s="138"/>
      <c r="AY82" s="55"/>
      <c r="AZ82" s="55"/>
      <c r="BA82" s="60"/>
      <c r="BB82" s="137"/>
      <c r="BC82" s="50"/>
      <c r="BD82" s="51"/>
    </row>
    <row r="83" spans="1:72" s="123" customFormat="1" ht="16.5" customHeight="1">
      <c r="A83" s="36"/>
      <c r="B83" s="55"/>
      <c r="C83" s="57"/>
      <c r="D83" s="57"/>
      <c r="E83" s="57"/>
      <c r="F83" s="57"/>
      <c r="G83" s="57"/>
      <c r="H83" s="57"/>
      <c r="I83" s="57"/>
      <c r="J83" s="57"/>
      <c r="K83" s="57"/>
      <c r="L83" s="57"/>
      <c r="M83" s="57"/>
      <c r="N83" s="57"/>
      <c r="O83" s="57"/>
      <c r="P83" s="57"/>
      <c r="Q83" s="57"/>
      <c r="R83" s="57"/>
      <c r="S83" s="138"/>
      <c r="T83" s="138"/>
      <c r="U83" s="138"/>
      <c r="V83" s="138"/>
      <c r="W83" s="57"/>
      <c r="X83" s="57"/>
      <c r="Y83" s="138"/>
      <c r="Z83" s="138"/>
      <c r="AA83" s="57"/>
      <c r="AB83" s="57"/>
      <c r="AC83" s="57"/>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55"/>
      <c r="AZ83" s="55"/>
      <c r="BA83" s="60"/>
      <c r="BB83" s="137"/>
      <c r="BC83" s="50"/>
      <c r="BD83" s="51"/>
    </row>
    <row r="84" spans="1:72" s="123" customFormat="1" ht="16.5" customHeight="1">
      <c r="A84" s="36"/>
      <c r="B84" s="55"/>
      <c r="C84" s="57"/>
      <c r="D84" s="57"/>
      <c r="E84" s="57"/>
      <c r="F84" s="57"/>
      <c r="G84" s="57"/>
      <c r="H84" s="57"/>
      <c r="I84" s="57"/>
      <c r="J84" s="57"/>
      <c r="K84" s="57"/>
      <c r="L84" s="57"/>
      <c r="M84" s="57"/>
      <c r="N84" s="57"/>
      <c r="O84" s="57"/>
      <c r="P84" s="57"/>
      <c r="Q84" s="57"/>
      <c r="R84" s="57"/>
      <c r="S84" s="138"/>
      <c r="T84" s="138"/>
      <c r="U84" s="138"/>
      <c r="V84" s="138"/>
      <c r="W84" s="57"/>
      <c r="X84" s="57"/>
      <c r="Y84" s="138"/>
      <c r="Z84" s="138"/>
      <c r="AA84" s="57"/>
      <c r="AB84" s="57"/>
      <c r="AC84" s="57"/>
      <c r="AD84" s="138"/>
      <c r="AE84" s="138"/>
      <c r="AF84" s="138"/>
      <c r="AG84" s="138"/>
      <c r="AH84" s="138"/>
      <c r="AI84" s="138"/>
      <c r="AJ84" s="138"/>
      <c r="AK84" s="138"/>
      <c r="AL84" s="138"/>
      <c r="AM84" s="138"/>
      <c r="AN84" s="138"/>
      <c r="AO84" s="138"/>
      <c r="AP84" s="138"/>
      <c r="AQ84" s="138"/>
      <c r="AR84" s="138"/>
      <c r="AS84" s="138"/>
      <c r="AT84" s="138"/>
      <c r="AU84" s="138"/>
      <c r="AV84" s="138"/>
      <c r="AW84" s="138"/>
      <c r="AX84" s="138"/>
      <c r="AY84" s="55"/>
      <c r="AZ84" s="55"/>
      <c r="BA84" s="60"/>
      <c r="BB84" s="137"/>
      <c r="BC84" s="50"/>
      <c r="BD84" s="51"/>
    </row>
    <row r="85" spans="1:72" s="123" customFormat="1" ht="15">
      <c r="A85" s="52"/>
      <c r="B85" s="129"/>
      <c r="C85" s="130"/>
      <c r="D85" s="130"/>
      <c r="E85" s="130"/>
      <c r="F85" s="130"/>
      <c r="G85" s="130"/>
      <c r="H85" s="130"/>
      <c r="I85" s="130"/>
      <c r="J85" s="130"/>
      <c r="K85" s="130"/>
      <c r="L85" s="130"/>
      <c r="M85" s="130"/>
      <c r="N85" s="130"/>
      <c r="O85" s="130"/>
      <c r="P85" s="130"/>
      <c r="Q85" s="130"/>
      <c r="R85" s="130"/>
      <c r="S85" s="131"/>
      <c r="T85" s="131"/>
      <c r="U85" s="131"/>
      <c r="V85" s="131"/>
      <c r="W85" s="130"/>
      <c r="X85" s="130"/>
      <c r="Y85" s="131"/>
      <c r="Z85" s="131"/>
      <c r="AA85" s="130"/>
      <c r="AB85" s="130"/>
      <c r="AC85" s="130"/>
      <c r="AD85" s="131"/>
      <c r="AE85" s="131"/>
      <c r="AF85" s="131"/>
      <c r="AG85" s="131"/>
      <c r="AH85" s="131"/>
      <c r="AI85" s="131"/>
      <c r="AJ85" s="131"/>
      <c r="AK85" s="131"/>
      <c r="AL85" s="131"/>
      <c r="AM85" s="131"/>
      <c r="AN85" s="131"/>
      <c r="AO85" s="131"/>
      <c r="AP85" s="131"/>
      <c r="AQ85" s="131"/>
      <c r="AR85" s="131"/>
      <c r="AS85" s="131"/>
      <c r="AT85" s="131"/>
      <c r="AU85" s="131"/>
      <c r="AV85" s="131"/>
      <c r="AW85" s="131"/>
      <c r="AX85" s="131"/>
      <c r="AY85" s="129"/>
      <c r="AZ85" s="129"/>
      <c r="BA85" s="70"/>
      <c r="BB85" s="168"/>
      <c r="BC85" s="53"/>
      <c r="BD85" s="51"/>
    </row>
    <row r="86" spans="1:72" s="123" customFormat="1" ht="15">
      <c r="A86" s="35"/>
      <c r="B86" s="35"/>
      <c r="C86" s="35"/>
      <c r="D86" s="35"/>
      <c r="E86" s="35"/>
      <c r="F86" s="35"/>
      <c r="G86" s="35"/>
      <c r="H86" s="35"/>
      <c r="I86" s="35"/>
      <c r="J86" s="35"/>
      <c r="K86" s="35"/>
      <c r="L86" s="35"/>
      <c r="M86" s="35"/>
      <c r="N86" s="35"/>
      <c r="O86" s="35"/>
      <c r="P86" s="35"/>
      <c r="Q86" s="35"/>
      <c r="R86" s="35"/>
      <c r="S86" s="54"/>
      <c r="T86" s="54"/>
      <c r="U86" s="54"/>
      <c r="V86" s="54"/>
      <c r="W86" s="35"/>
      <c r="X86" s="35"/>
      <c r="Y86" s="54"/>
      <c r="Z86" s="54"/>
      <c r="AA86" s="35"/>
      <c r="AB86" s="35"/>
      <c r="AC86" s="35"/>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1"/>
    </row>
    <row r="87" spans="1:72" s="123" customFormat="1" ht="15">
      <c r="A87" s="35"/>
      <c r="B87" s="35"/>
      <c r="C87" s="35"/>
      <c r="D87" s="35"/>
      <c r="E87" s="35"/>
      <c r="F87" s="35"/>
      <c r="G87" s="35"/>
      <c r="H87" s="35"/>
      <c r="I87" s="35"/>
      <c r="J87" s="35"/>
      <c r="K87" s="35"/>
      <c r="L87" s="35"/>
      <c r="M87" s="35"/>
      <c r="N87" s="35"/>
      <c r="O87" s="35"/>
      <c r="P87" s="35"/>
      <c r="Q87" s="35"/>
      <c r="R87" s="35"/>
      <c r="S87" s="54"/>
      <c r="T87" s="54"/>
      <c r="U87" s="54"/>
      <c r="V87" s="54"/>
      <c r="W87" s="35"/>
      <c r="X87" s="35"/>
      <c r="Y87" s="54"/>
      <c r="Z87" s="54"/>
      <c r="AA87" s="35"/>
      <c r="AB87" s="35"/>
      <c r="AC87" s="35"/>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1"/>
    </row>
    <row r="88" spans="1:72" s="123" customFormat="1" ht="15">
      <c r="A88" s="35"/>
      <c r="B88" s="35"/>
      <c r="C88" s="35"/>
      <c r="D88" s="35"/>
      <c r="E88" s="35"/>
      <c r="F88" s="35"/>
      <c r="G88" s="35"/>
      <c r="H88" s="35"/>
      <c r="I88" s="35"/>
      <c r="J88" s="35"/>
      <c r="K88" s="35"/>
      <c r="L88" s="35"/>
      <c r="M88" s="35"/>
      <c r="N88" s="35"/>
      <c r="O88" s="35"/>
      <c r="P88" s="35"/>
      <c r="Q88" s="35"/>
      <c r="R88" s="35"/>
      <c r="S88" s="54"/>
      <c r="T88" s="54"/>
      <c r="U88" s="54"/>
      <c r="V88" s="54"/>
      <c r="W88" s="35"/>
      <c r="X88" s="35"/>
      <c r="Y88" s="54"/>
      <c r="Z88" s="54"/>
      <c r="AA88" s="35"/>
      <c r="AB88" s="35"/>
      <c r="AC88" s="35"/>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1"/>
    </row>
    <row r="89" spans="1:72" s="123" customFormat="1" ht="15">
      <c r="A89" s="35"/>
      <c r="B89" s="35"/>
      <c r="C89" s="35"/>
      <c r="D89" s="35"/>
      <c r="E89" s="35"/>
      <c r="F89" s="35"/>
      <c r="G89" s="35"/>
      <c r="H89" s="35"/>
      <c r="I89" s="35"/>
      <c r="J89" s="35"/>
      <c r="K89" s="35"/>
      <c r="L89" s="35"/>
      <c r="M89" s="35"/>
      <c r="N89" s="35"/>
      <c r="O89" s="35"/>
      <c r="P89" s="35"/>
      <c r="Q89" s="35"/>
      <c r="R89" s="35"/>
      <c r="S89" s="54"/>
      <c r="T89" s="54"/>
      <c r="U89" s="54"/>
      <c r="V89" s="54"/>
      <c r="W89" s="35"/>
      <c r="X89" s="35"/>
      <c r="Y89" s="54"/>
      <c r="Z89" s="54"/>
      <c r="AA89" s="35"/>
      <c r="AB89" s="35"/>
      <c r="AC89" s="35"/>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1"/>
    </row>
    <row r="90" spans="1:72" s="123" customFormat="1" ht="15">
      <c r="A90" s="35"/>
      <c r="B90" s="35"/>
      <c r="C90" s="35"/>
      <c r="D90" s="35"/>
      <c r="E90" s="35"/>
      <c r="F90" s="35"/>
      <c r="G90" s="35"/>
      <c r="H90" s="35"/>
      <c r="I90" s="35"/>
      <c r="J90" s="35"/>
      <c r="K90" s="35"/>
      <c r="L90" s="35"/>
      <c r="M90" s="35"/>
      <c r="N90" s="35"/>
      <c r="O90" s="35"/>
      <c r="P90" s="35"/>
      <c r="Q90" s="35"/>
      <c r="R90" s="35"/>
      <c r="S90" s="54"/>
      <c r="T90" s="54"/>
      <c r="U90" s="54"/>
      <c r="V90" s="54"/>
      <c r="W90" s="35"/>
      <c r="X90" s="35"/>
      <c r="Y90" s="54"/>
      <c r="Z90" s="54"/>
      <c r="AA90" s="35"/>
      <c r="AB90" s="35"/>
      <c r="AC90" s="35"/>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1"/>
    </row>
    <row r="91" spans="1:72" s="123" customFormat="1" ht="15">
      <c r="A91" s="35"/>
      <c r="B91" s="35"/>
      <c r="C91" s="35"/>
      <c r="D91" s="35"/>
      <c r="E91" s="35"/>
      <c r="F91" s="35"/>
      <c r="G91" s="35"/>
      <c r="H91" s="35"/>
      <c r="I91" s="35"/>
      <c r="J91" s="35"/>
      <c r="K91" s="35"/>
      <c r="L91" s="35"/>
      <c r="M91" s="35"/>
      <c r="N91" s="35"/>
      <c r="O91" s="35"/>
      <c r="P91" s="35"/>
      <c r="Q91" s="35"/>
      <c r="R91" s="35"/>
      <c r="S91" s="54"/>
      <c r="T91" s="54"/>
      <c r="U91" s="54"/>
      <c r="V91" s="54"/>
      <c r="W91" s="35"/>
      <c r="X91" s="35"/>
      <c r="Y91" s="54"/>
      <c r="Z91" s="54"/>
      <c r="AA91" s="35"/>
      <c r="AB91" s="35"/>
      <c r="AC91" s="35"/>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1"/>
    </row>
    <row r="92" spans="1:72" s="123" customFormat="1" ht="15">
      <c r="A92" s="35"/>
      <c r="B92" s="35"/>
      <c r="C92" s="35"/>
      <c r="D92" s="35"/>
      <c r="E92" s="35"/>
      <c r="F92" s="35"/>
      <c r="G92" s="35"/>
      <c r="H92" s="35"/>
      <c r="I92" s="35"/>
      <c r="J92" s="35"/>
      <c r="K92" s="35"/>
      <c r="L92" s="35"/>
      <c r="M92" s="35"/>
      <c r="N92" s="35"/>
      <c r="O92" s="35"/>
      <c r="P92" s="35"/>
      <c r="Q92" s="35"/>
      <c r="R92" s="35"/>
      <c r="S92" s="54"/>
      <c r="T92" s="54"/>
      <c r="U92" s="54"/>
      <c r="V92" s="54"/>
      <c r="W92" s="35"/>
      <c r="X92" s="35"/>
      <c r="Y92" s="54"/>
      <c r="Z92" s="54"/>
      <c r="AA92" s="35"/>
      <c r="AB92" s="35"/>
      <c r="AC92" s="35"/>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1"/>
    </row>
    <row r="93" spans="1:72" s="123" customFormat="1" ht="15">
      <c r="A93" s="35"/>
      <c r="B93" s="35"/>
      <c r="C93" s="35"/>
      <c r="D93" s="35"/>
      <c r="E93" s="35"/>
      <c r="F93" s="35"/>
      <c r="G93" s="35"/>
      <c r="H93" s="35"/>
      <c r="I93" s="35"/>
      <c r="J93" s="35"/>
      <c r="K93" s="35"/>
      <c r="L93" s="35"/>
      <c r="M93" s="35"/>
      <c r="N93" s="35"/>
      <c r="O93" s="35"/>
      <c r="P93" s="35"/>
      <c r="Q93" s="35"/>
      <c r="R93" s="35"/>
      <c r="S93" s="54"/>
      <c r="T93" s="54"/>
      <c r="U93" s="54"/>
      <c r="V93" s="54"/>
      <c r="W93" s="35"/>
      <c r="X93" s="35"/>
      <c r="Y93" s="54"/>
      <c r="Z93" s="54"/>
      <c r="AA93" s="35"/>
      <c r="AB93" s="35"/>
      <c r="AC93" s="35"/>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1"/>
    </row>
    <row r="94" spans="1:72" s="123" customFormat="1" ht="15">
      <c r="A94" s="35"/>
      <c r="B94" s="35"/>
      <c r="C94" s="35"/>
      <c r="D94" s="35"/>
      <c r="E94" s="35"/>
      <c r="F94" s="35"/>
      <c r="G94" s="35"/>
      <c r="H94" s="35"/>
      <c r="I94" s="35"/>
      <c r="J94" s="35"/>
      <c r="K94" s="35"/>
      <c r="L94" s="35"/>
      <c r="M94" s="35"/>
      <c r="N94" s="35"/>
      <c r="O94" s="35"/>
      <c r="P94" s="35"/>
      <c r="Q94" s="35"/>
      <c r="R94" s="35"/>
      <c r="S94" s="54"/>
      <c r="T94" s="54"/>
      <c r="U94" s="54"/>
      <c r="V94" s="54"/>
      <c r="W94" s="35"/>
      <c r="X94" s="35"/>
      <c r="Y94" s="54"/>
      <c r="Z94" s="54"/>
      <c r="AA94" s="35"/>
      <c r="AB94" s="35"/>
      <c r="AC94" s="35"/>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1"/>
    </row>
    <row r="95" spans="1:72" s="123" customFormat="1" ht="15">
      <c r="A95" s="35"/>
      <c r="B95" s="35"/>
      <c r="C95" s="35"/>
      <c r="D95" s="35"/>
      <c r="E95" s="35"/>
      <c r="F95" s="35"/>
      <c r="G95" s="35"/>
      <c r="H95" s="35"/>
      <c r="I95" s="35"/>
      <c r="J95" s="35"/>
      <c r="K95" s="35"/>
      <c r="L95" s="35"/>
      <c r="M95" s="35"/>
      <c r="N95" s="35"/>
      <c r="O95" s="35"/>
      <c r="P95" s="35"/>
      <c r="Q95" s="35"/>
      <c r="R95" s="35"/>
      <c r="S95" s="54"/>
      <c r="T95" s="54"/>
      <c r="U95" s="54"/>
      <c r="V95" s="54"/>
      <c r="W95" s="35"/>
      <c r="X95" s="35"/>
      <c r="Y95" s="54"/>
      <c r="Z95" s="54"/>
      <c r="AA95" s="35"/>
      <c r="AB95" s="35"/>
      <c r="AC95" s="35"/>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1"/>
    </row>
    <row r="96" spans="1:72" s="123" customFormat="1" ht="15">
      <c r="A96" s="35"/>
      <c r="B96" s="35"/>
      <c r="C96" s="35"/>
      <c r="D96" s="35"/>
      <c r="E96" s="35"/>
      <c r="F96" s="35"/>
      <c r="G96" s="35"/>
      <c r="H96" s="35"/>
      <c r="I96" s="35"/>
      <c r="J96" s="35"/>
      <c r="K96" s="35"/>
      <c r="L96" s="35"/>
      <c r="M96" s="35"/>
      <c r="N96" s="35"/>
      <c r="O96" s="35"/>
      <c r="P96" s="35"/>
      <c r="Q96" s="35"/>
      <c r="R96" s="35"/>
      <c r="S96" s="54"/>
      <c r="T96" s="54"/>
      <c r="U96" s="54"/>
      <c r="V96" s="54"/>
      <c r="W96" s="35"/>
      <c r="X96" s="35"/>
      <c r="Y96" s="54"/>
      <c r="Z96" s="54"/>
      <c r="AA96" s="35"/>
      <c r="AB96" s="35"/>
      <c r="AC96" s="35"/>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1"/>
    </row>
    <row r="97" spans="1:72" s="123" customFormat="1" ht="15">
      <c r="A97" s="35"/>
      <c r="B97" s="35"/>
      <c r="C97" s="35"/>
      <c r="D97" s="35"/>
      <c r="E97" s="35"/>
      <c r="F97" s="35"/>
      <c r="G97" s="35"/>
      <c r="H97" s="35"/>
      <c r="I97" s="35"/>
      <c r="J97" s="35"/>
      <c r="K97" s="35"/>
      <c r="L97" s="35"/>
      <c r="M97" s="35"/>
      <c r="N97" s="35"/>
      <c r="O97" s="35"/>
      <c r="P97" s="35"/>
      <c r="Q97" s="35"/>
      <c r="R97" s="35"/>
      <c r="S97" s="54"/>
      <c r="T97" s="54"/>
      <c r="U97" s="54"/>
      <c r="V97" s="54"/>
      <c r="W97" s="35"/>
      <c r="X97" s="35"/>
      <c r="Y97" s="54"/>
      <c r="Z97" s="54"/>
      <c r="AA97" s="35"/>
      <c r="AB97" s="35"/>
      <c r="AC97" s="35"/>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1"/>
    </row>
    <row r="98" spans="1:72" s="123" customFormat="1" ht="15">
      <c r="A98" s="35"/>
      <c r="B98" s="35"/>
      <c r="C98" s="35"/>
      <c r="D98" s="35"/>
      <c r="E98" s="35"/>
      <c r="F98" s="35"/>
      <c r="G98" s="35"/>
      <c r="H98" s="35"/>
      <c r="I98" s="35"/>
      <c r="J98" s="35"/>
      <c r="K98" s="35"/>
      <c r="L98" s="35"/>
      <c r="M98" s="35"/>
      <c r="N98" s="35"/>
      <c r="O98" s="35"/>
      <c r="P98" s="35"/>
      <c r="Q98" s="35"/>
      <c r="R98" s="35"/>
      <c r="S98" s="54"/>
      <c r="T98" s="54"/>
      <c r="U98" s="54"/>
      <c r="V98" s="54"/>
      <c r="W98" s="35"/>
      <c r="X98" s="35"/>
      <c r="Y98" s="54"/>
      <c r="Z98" s="54"/>
      <c r="AA98" s="35"/>
      <c r="AB98" s="35"/>
      <c r="AC98" s="35"/>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1"/>
      <c r="BE98" s="124"/>
      <c r="BF98" s="124"/>
      <c r="BG98" s="124"/>
      <c r="BH98" s="124"/>
      <c r="BI98" s="124"/>
      <c r="BJ98" s="124"/>
      <c r="BK98" s="124"/>
      <c r="BL98" s="124"/>
      <c r="BM98" s="124"/>
      <c r="BN98" s="124"/>
      <c r="BO98" s="124"/>
      <c r="BP98" s="124"/>
      <c r="BQ98" s="124"/>
      <c r="BR98" s="124"/>
      <c r="BS98" s="124"/>
      <c r="BT98" s="124"/>
    </row>
    <row r="99" spans="1:72" s="123" customFormat="1" ht="15">
      <c r="A99" s="35"/>
      <c r="B99" s="35"/>
      <c r="C99" s="35"/>
      <c r="D99" s="35"/>
      <c r="E99" s="35"/>
      <c r="F99" s="35"/>
      <c r="G99" s="35"/>
      <c r="H99" s="35"/>
      <c r="I99" s="35"/>
      <c r="J99" s="35"/>
      <c r="K99" s="35"/>
      <c r="L99" s="35"/>
      <c r="M99" s="35"/>
      <c r="N99" s="35"/>
      <c r="O99" s="35"/>
      <c r="P99" s="35"/>
      <c r="Q99" s="35"/>
      <c r="R99" s="35"/>
      <c r="S99" s="54"/>
      <c r="T99" s="54"/>
      <c r="U99" s="54"/>
      <c r="V99" s="54"/>
      <c r="W99" s="35"/>
      <c r="X99" s="35"/>
      <c r="Y99" s="54"/>
      <c r="Z99" s="54"/>
      <c r="AA99" s="35"/>
      <c r="AB99" s="35"/>
      <c r="AC99" s="35"/>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1"/>
      <c r="BE99" s="124"/>
      <c r="BF99" s="124"/>
      <c r="BG99" s="124"/>
      <c r="BH99" s="124"/>
      <c r="BI99" s="124"/>
      <c r="BJ99" s="124"/>
      <c r="BK99" s="124"/>
      <c r="BL99" s="124"/>
      <c r="BM99" s="124"/>
      <c r="BN99" s="124"/>
      <c r="BO99" s="124"/>
      <c r="BP99" s="124"/>
      <c r="BQ99" s="124"/>
      <c r="BR99" s="124"/>
      <c r="BS99" s="124"/>
      <c r="BT99" s="124"/>
    </row>
    <row r="100" spans="1:72" s="123" customFormat="1" ht="15">
      <c r="A100" s="35"/>
      <c r="B100" s="35"/>
      <c r="C100" s="35"/>
      <c r="D100" s="35"/>
      <c r="E100" s="35"/>
      <c r="F100" s="35"/>
      <c r="G100" s="35"/>
      <c r="H100" s="35"/>
      <c r="I100" s="35"/>
      <c r="J100" s="35"/>
      <c r="K100" s="35"/>
      <c r="L100" s="35"/>
      <c r="M100" s="35"/>
      <c r="N100" s="35"/>
      <c r="O100" s="35"/>
      <c r="P100" s="35"/>
      <c r="Q100" s="35"/>
      <c r="R100" s="35"/>
      <c r="S100" s="54"/>
      <c r="T100" s="54"/>
      <c r="U100" s="54"/>
      <c r="V100" s="54"/>
      <c r="W100" s="35"/>
      <c r="X100" s="35"/>
      <c r="Y100" s="54"/>
      <c r="Z100" s="54"/>
      <c r="AA100" s="35"/>
      <c r="AB100" s="35"/>
      <c r="AC100" s="35"/>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1"/>
      <c r="BE100" s="124"/>
      <c r="BF100" s="124"/>
      <c r="BG100" s="124"/>
      <c r="BH100" s="124"/>
      <c r="BI100" s="124"/>
      <c r="BJ100" s="124"/>
      <c r="BK100" s="124"/>
      <c r="BL100" s="124"/>
      <c r="BM100" s="124"/>
      <c r="BN100" s="124"/>
      <c r="BO100" s="124"/>
      <c r="BP100" s="124"/>
      <c r="BQ100" s="124"/>
      <c r="BR100" s="124"/>
      <c r="BS100" s="124"/>
      <c r="BT100" s="124"/>
    </row>
    <row r="101" spans="1:72" s="123" customFormat="1" ht="15">
      <c r="A101" s="35"/>
      <c r="B101" s="35"/>
      <c r="C101" s="35"/>
      <c r="D101" s="35"/>
      <c r="E101" s="35"/>
      <c r="F101" s="35"/>
      <c r="G101" s="35"/>
      <c r="H101" s="35"/>
      <c r="I101" s="35"/>
      <c r="J101" s="35"/>
      <c r="K101" s="35"/>
      <c r="L101" s="35"/>
      <c r="M101" s="35"/>
      <c r="N101" s="35"/>
      <c r="O101" s="35"/>
      <c r="P101" s="35"/>
      <c r="Q101" s="35"/>
      <c r="R101" s="35"/>
      <c r="S101" s="54"/>
      <c r="T101" s="54"/>
      <c r="U101" s="54"/>
      <c r="V101" s="54"/>
      <c r="W101" s="35"/>
      <c r="X101" s="35"/>
      <c r="Y101" s="54"/>
      <c r="Z101" s="54"/>
      <c r="AA101" s="35"/>
      <c r="AB101" s="35"/>
      <c r="AC101" s="35"/>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1"/>
    </row>
    <row r="102" spans="1:72" s="123" customFormat="1" ht="15">
      <c r="A102" s="35"/>
      <c r="B102" s="35"/>
      <c r="C102" s="35"/>
      <c r="D102" s="35"/>
      <c r="E102" s="35"/>
      <c r="F102" s="35"/>
      <c r="G102" s="35"/>
      <c r="H102" s="35"/>
      <c r="I102" s="35"/>
      <c r="J102" s="35"/>
      <c r="K102" s="35"/>
      <c r="L102" s="35"/>
      <c r="M102" s="35"/>
      <c r="N102" s="35"/>
      <c r="O102" s="35"/>
      <c r="P102" s="35"/>
      <c r="Q102" s="35"/>
      <c r="R102" s="35"/>
      <c r="S102" s="54"/>
      <c r="T102" s="54"/>
      <c r="U102" s="54"/>
      <c r="V102" s="54"/>
      <c r="W102" s="35"/>
      <c r="X102" s="35"/>
      <c r="Y102" s="54"/>
      <c r="Z102" s="54"/>
      <c r="AA102" s="35"/>
      <c r="AB102" s="35"/>
      <c r="AC102" s="35"/>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1"/>
    </row>
    <row r="103" spans="1:72" s="123" customFormat="1" ht="15">
      <c r="A103" s="35"/>
      <c r="B103" s="35"/>
      <c r="C103" s="35"/>
      <c r="D103" s="35"/>
      <c r="E103" s="35"/>
      <c r="F103" s="35"/>
      <c r="G103" s="35"/>
      <c r="H103" s="35"/>
      <c r="I103" s="35"/>
      <c r="J103" s="35"/>
      <c r="K103" s="35"/>
      <c r="L103" s="35"/>
      <c r="M103" s="35"/>
      <c r="N103" s="35"/>
      <c r="O103" s="35"/>
      <c r="P103" s="35"/>
      <c r="Q103" s="35"/>
      <c r="R103" s="35"/>
      <c r="S103" s="54"/>
      <c r="T103" s="54"/>
      <c r="U103" s="54"/>
      <c r="V103" s="54"/>
      <c r="W103" s="35"/>
      <c r="X103" s="35"/>
      <c r="Y103" s="54"/>
      <c r="Z103" s="54"/>
      <c r="AA103" s="35"/>
      <c r="AB103" s="35"/>
      <c r="AC103" s="35"/>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1"/>
    </row>
    <row r="104" spans="1:72" s="123" customFormat="1" ht="15">
      <c r="A104" s="35"/>
      <c r="B104" s="35"/>
      <c r="C104" s="35"/>
      <c r="D104" s="35"/>
      <c r="E104" s="35"/>
      <c r="F104" s="35"/>
      <c r="G104" s="35"/>
      <c r="H104" s="35"/>
      <c r="I104" s="35"/>
      <c r="J104" s="35"/>
      <c r="K104" s="35"/>
      <c r="L104" s="35"/>
      <c r="M104" s="35"/>
      <c r="N104" s="35"/>
      <c r="O104" s="35"/>
      <c r="P104" s="35"/>
      <c r="Q104" s="35"/>
      <c r="R104" s="35"/>
      <c r="S104" s="54"/>
      <c r="T104" s="54"/>
      <c r="U104" s="54"/>
      <c r="V104" s="54"/>
      <c r="W104" s="35"/>
      <c r="X104" s="35"/>
      <c r="Y104" s="54"/>
      <c r="Z104" s="54"/>
      <c r="AA104" s="35"/>
      <c r="AB104" s="35"/>
      <c r="AC104" s="35"/>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1"/>
      <c r="BE104" s="124"/>
      <c r="BF104" s="124"/>
      <c r="BG104" s="124"/>
      <c r="BH104" s="124"/>
      <c r="BI104" s="124"/>
      <c r="BJ104" s="124"/>
      <c r="BK104" s="124"/>
      <c r="BL104" s="124"/>
      <c r="BM104" s="124"/>
      <c r="BN104" s="124"/>
      <c r="BO104" s="124"/>
      <c r="BP104" s="124"/>
      <c r="BQ104" s="124"/>
      <c r="BR104" s="124"/>
      <c r="BS104" s="124"/>
      <c r="BT104" s="124"/>
    </row>
    <row r="105" spans="1:72" s="123" customFormat="1" ht="15">
      <c r="A105" s="35"/>
      <c r="B105" s="35"/>
      <c r="C105" s="35"/>
      <c r="D105" s="35"/>
      <c r="E105" s="35"/>
      <c r="F105" s="35"/>
      <c r="G105" s="35"/>
      <c r="H105" s="35"/>
      <c r="I105" s="35"/>
      <c r="J105" s="35"/>
      <c r="K105" s="35"/>
      <c r="L105" s="35"/>
      <c r="M105" s="35"/>
      <c r="N105" s="35"/>
      <c r="O105" s="35"/>
      <c r="P105" s="35"/>
      <c r="Q105" s="35"/>
      <c r="R105" s="35"/>
      <c r="S105" s="54"/>
      <c r="T105" s="54"/>
      <c r="U105" s="54"/>
      <c r="V105" s="54"/>
      <c r="W105" s="35"/>
      <c r="X105" s="35"/>
      <c r="Y105" s="54"/>
      <c r="Z105" s="54"/>
      <c r="AA105" s="35"/>
      <c r="AB105" s="35"/>
      <c r="AC105" s="35"/>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1"/>
      <c r="BE105" s="124"/>
      <c r="BF105" s="124"/>
      <c r="BG105" s="124"/>
      <c r="BH105" s="124"/>
      <c r="BI105" s="124"/>
      <c r="BJ105" s="124"/>
      <c r="BK105" s="124"/>
      <c r="BL105" s="124"/>
      <c r="BM105" s="124"/>
      <c r="BN105" s="124"/>
      <c r="BO105" s="124"/>
      <c r="BP105" s="124"/>
      <c r="BQ105" s="124"/>
      <c r="BR105" s="124"/>
      <c r="BS105" s="124"/>
      <c r="BT105" s="124"/>
    </row>
    <row r="106" spans="1:72" s="123" customFormat="1" ht="15">
      <c r="A106" s="35"/>
      <c r="B106" s="35"/>
      <c r="C106" s="35"/>
      <c r="D106" s="35"/>
      <c r="E106" s="35"/>
      <c r="F106" s="35"/>
      <c r="G106" s="35"/>
      <c r="H106" s="35"/>
      <c r="I106" s="35"/>
      <c r="J106" s="35"/>
      <c r="K106" s="35"/>
      <c r="L106" s="35"/>
      <c r="M106" s="35"/>
      <c r="N106" s="35"/>
      <c r="O106" s="35"/>
      <c r="P106" s="35"/>
      <c r="Q106" s="35"/>
      <c r="R106" s="35"/>
      <c r="S106" s="54"/>
      <c r="T106" s="54"/>
      <c r="U106" s="54"/>
      <c r="V106" s="54"/>
      <c r="W106" s="35"/>
      <c r="X106" s="35"/>
      <c r="Y106" s="54"/>
      <c r="Z106" s="54"/>
      <c r="AA106" s="35"/>
      <c r="AB106" s="35"/>
      <c r="AC106" s="35"/>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1"/>
      <c r="BE106" s="124"/>
      <c r="BF106" s="124"/>
      <c r="BG106" s="124"/>
      <c r="BH106" s="124"/>
      <c r="BI106" s="124"/>
      <c r="BJ106" s="124"/>
      <c r="BK106" s="124"/>
      <c r="BL106" s="124"/>
      <c r="BM106" s="124"/>
      <c r="BN106" s="124"/>
      <c r="BO106" s="124"/>
      <c r="BP106" s="124"/>
      <c r="BQ106" s="124"/>
      <c r="BR106" s="124"/>
      <c r="BS106" s="124"/>
      <c r="BT106" s="124"/>
    </row>
    <row r="107" spans="1:72" s="123" customFormat="1" ht="15">
      <c r="A107" s="35"/>
      <c r="B107" s="35"/>
      <c r="C107" s="35"/>
      <c r="D107" s="35"/>
      <c r="E107" s="35"/>
      <c r="F107" s="35"/>
      <c r="G107" s="35"/>
      <c r="H107" s="35"/>
      <c r="I107" s="35"/>
      <c r="J107" s="35"/>
      <c r="K107" s="35"/>
      <c r="L107" s="35"/>
      <c r="M107" s="35"/>
      <c r="N107" s="35"/>
      <c r="O107" s="35"/>
      <c r="P107" s="35"/>
      <c r="Q107" s="35"/>
      <c r="R107" s="35"/>
      <c r="S107" s="54"/>
      <c r="T107" s="54"/>
      <c r="U107" s="54"/>
      <c r="V107" s="54"/>
      <c r="W107" s="35"/>
      <c r="X107" s="35"/>
      <c r="Y107" s="54"/>
      <c r="Z107" s="54"/>
      <c r="AA107" s="35"/>
      <c r="AB107" s="35"/>
      <c r="AC107" s="35"/>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1"/>
      <c r="BE107" s="124"/>
      <c r="BF107" s="124"/>
      <c r="BG107" s="124"/>
      <c r="BH107" s="124"/>
      <c r="BI107" s="124"/>
      <c r="BJ107" s="124"/>
      <c r="BK107" s="124"/>
      <c r="BL107" s="124"/>
      <c r="BM107" s="124"/>
      <c r="BN107" s="124"/>
      <c r="BO107" s="124"/>
      <c r="BP107" s="124"/>
      <c r="BQ107" s="124"/>
      <c r="BR107" s="124"/>
      <c r="BS107" s="124"/>
      <c r="BT107" s="124"/>
    </row>
    <row r="108" spans="1:72" s="123" customFormat="1" ht="15">
      <c r="A108" s="35"/>
      <c r="B108" s="35"/>
      <c r="C108" s="35"/>
      <c r="D108" s="35"/>
      <c r="E108" s="35"/>
      <c r="F108" s="35"/>
      <c r="G108" s="35"/>
      <c r="H108" s="35"/>
      <c r="I108" s="35"/>
      <c r="J108" s="35"/>
      <c r="K108" s="35"/>
      <c r="L108" s="35"/>
      <c r="M108" s="35"/>
      <c r="N108" s="35"/>
      <c r="O108" s="35"/>
      <c r="P108" s="35"/>
      <c r="Q108" s="35"/>
      <c r="R108" s="35"/>
      <c r="S108" s="54"/>
      <c r="T108" s="54"/>
      <c r="U108" s="54"/>
      <c r="V108" s="54"/>
      <c r="W108" s="35"/>
      <c r="X108" s="35"/>
      <c r="Y108" s="54"/>
      <c r="Z108" s="54"/>
      <c r="AA108" s="35"/>
      <c r="AB108" s="35"/>
      <c r="AC108" s="35"/>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1"/>
      <c r="BE108" s="124"/>
      <c r="BF108" s="124"/>
      <c r="BG108" s="124"/>
      <c r="BH108" s="124"/>
      <c r="BI108" s="124"/>
      <c r="BJ108" s="124"/>
      <c r="BK108" s="124"/>
      <c r="BL108" s="124"/>
      <c r="BM108" s="124"/>
      <c r="BN108" s="124"/>
      <c r="BO108" s="124"/>
      <c r="BP108" s="124"/>
      <c r="BQ108" s="124"/>
      <c r="BR108" s="124"/>
      <c r="BS108" s="124"/>
      <c r="BT108" s="124"/>
    </row>
    <row r="109" spans="1:72" s="123" customFormat="1" ht="15">
      <c r="A109" s="35"/>
      <c r="B109" s="35"/>
      <c r="C109" s="35"/>
      <c r="D109" s="35"/>
      <c r="E109" s="35"/>
      <c r="F109" s="35"/>
      <c r="G109" s="35"/>
      <c r="H109" s="35"/>
      <c r="I109" s="35"/>
      <c r="J109" s="35"/>
      <c r="K109" s="35"/>
      <c r="L109" s="35"/>
      <c r="M109" s="35"/>
      <c r="N109" s="35"/>
      <c r="O109" s="35"/>
      <c r="P109" s="35"/>
      <c r="Q109" s="35"/>
      <c r="R109" s="35"/>
      <c r="S109" s="54"/>
      <c r="T109" s="54"/>
      <c r="U109" s="54"/>
      <c r="V109" s="54"/>
      <c r="W109" s="35"/>
      <c r="X109" s="35"/>
      <c r="Y109" s="54"/>
      <c r="Z109" s="54"/>
      <c r="AA109" s="35"/>
      <c r="AB109" s="35"/>
      <c r="AC109" s="35"/>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1"/>
      <c r="BE109" s="124"/>
      <c r="BF109" s="124"/>
      <c r="BG109" s="124"/>
      <c r="BH109" s="124"/>
      <c r="BI109" s="124"/>
      <c r="BJ109" s="124"/>
      <c r="BK109" s="124"/>
      <c r="BL109" s="124"/>
      <c r="BM109" s="124"/>
      <c r="BN109" s="124"/>
      <c r="BO109" s="124"/>
      <c r="BP109" s="124"/>
      <c r="BQ109" s="124"/>
      <c r="BR109" s="124"/>
      <c r="BS109" s="124"/>
      <c r="BT109" s="124"/>
    </row>
    <row r="110" spans="1:72" s="123" customFormat="1" ht="15">
      <c r="A110" s="35"/>
      <c r="B110" s="35"/>
      <c r="C110" s="35"/>
      <c r="D110" s="35"/>
      <c r="E110" s="35"/>
      <c r="F110" s="35"/>
      <c r="G110" s="35"/>
      <c r="H110" s="35"/>
      <c r="I110" s="35"/>
      <c r="J110" s="35"/>
      <c r="K110" s="35"/>
      <c r="L110" s="35"/>
      <c r="M110" s="35"/>
      <c r="N110" s="35"/>
      <c r="O110" s="35"/>
      <c r="P110" s="35"/>
      <c r="Q110" s="35"/>
      <c r="R110" s="35"/>
      <c r="S110" s="54"/>
      <c r="T110" s="54"/>
      <c r="U110" s="54"/>
      <c r="V110" s="54"/>
      <c r="W110" s="35"/>
      <c r="X110" s="35"/>
      <c r="Y110" s="54"/>
      <c r="Z110" s="54"/>
      <c r="AA110" s="35"/>
      <c r="AB110" s="35"/>
      <c r="AC110" s="35"/>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1"/>
      <c r="BE110" s="124"/>
      <c r="BF110" s="124"/>
      <c r="BG110" s="124"/>
      <c r="BH110" s="124"/>
      <c r="BI110" s="124"/>
      <c r="BJ110" s="124"/>
      <c r="BK110" s="124"/>
      <c r="BL110" s="124"/>
      <c r="BM110" s="124"/>
      <c r="BN110" s="124"/>
      <c r="BO110" s="124"/>
      <c r="BP110" s="124"/>
      <c r="BQ110" s="124"/>
      <c r="BR110" s="124"/>
      <c r="BS110" s="124"/>
      <c r="BT110" s="124"/>
    </row>
    <row r="111" spans="1:72" s="123" customFormat="1" ht="15">
      <c r="A111" s="35"/>
      <c r="B111" s="35"/>
      <c r="C111" s="35"/>
      <c r="D111" s="35"/>
      <c r="E111" s="35"/>
      <c r="F111" s="35"/>
      <c r="G111" s="35"/>
      <c r="H111" s="35"/>
      <c r="I111" s="35"/>
      <c r="J111" s="35"/>
      <c r="K111" s="35"/>
      <c r="L111" s="35"/>
      <c r="M111" s="35"/>
      <c r="N111" s="35"/>
      <c r="O111" s="35"/>
      <c r="P111" s="35"/>
      <c r="Q111" s="35"/>
      <c r="R111" s="35"/>
      <c r="S111" s="54"/>
      <c r="T111" s="54"/>
      <c r="U111" s="54"/>
      <c r="V111" s="54"/>
      <c r="W111" s="35"/>
      <c r="X111" s="35"/>
      <c r="Y111" s="54"/>
      <c r="Z111" s="54"/>
      <c r="AA111" s="35"/>
      <c r="AB111" s="35"/>
      <c r="AC111" s="35"/>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1"/>
      <c r="BE111" s="124"/>
      <c r="BF111" s="124"/>
      <c r="BG111" s="124"/>
      <c r="BH111" s="124"/>
      <c r="BI111" s="124"/>
      <c r="BJ111" s="124"/>
      <c r="BK111" s="124"/>
      <c r="BL111" s="124"/>
      <c r="BM111" s="124"/>
      <c r="BN111" s="124"/>
      <c r="BO111" s="124"/>
      <c r="BP111" s="124"/>
      <c r="BQ111" s="124"/>
      <c r="BR111" s="124"/>
      <c r="BS111" s="124"/>
      <c r="BT111" s="124"/>
    </row>
    <row r="112" spans="1:72" s="123" customFormat="1" ht="15">
      <c r="A112" s="35"/>
      <c r="B112" s="35"/>
      <c r="C112" s="35"/>
      <c r="D112" s="35"/>
      <c r="E112" s="35"/>
      <c r="F112" s="35"/>
      <c r="G112" s="35"/>
      <c r="H112" s="35"/>
      <c r="I112" s="35"/>
      <c r="J112" s="35"/>
      <c r="K112" s="35"/>
      <c r="L112" s="35"/>
      <c r="M112" s="35"/>
      <c r="N112" s="35"/>
      <c r="O112" s="35"/>
      <c r="P112" s="35"/>
      <c r="Q112" s="35"/>
      <c r="R112" s="35"/>
      <c r="S112" s="54"/>
      <c r="T112" s="54"/>
      <c r="U112" s="54"/>
      <c r="V112" s="54"/>
      <c r="W112" s="35"/>
      <c r="X112" s="35"/>
      <c r="Y112" s="54"/>
      <c r="Z112" s="54"/>
      <c r="AA112" s="35"/>
      <c r="AB112" s="35"/>
      <c r="AC112" s="35"/>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1"/>
      <c r="BE112" s="124"/>
      <c r="BF112" s="124"/>
      <c r="BG112" s="124"/>
      <c r="BH112" s="124"/>
      <c r="BI112" s="124"/>
      <c r="BJ112" s="124"/>
      <c r="BK112" s="124"/>
      <c r="BL112" s="124"/>
      <c r="BM112" s="124"/>
      <c r="BN112" s="124"/>
      <c r="BO112" s="124"/>
      <c r="BP112" s="124"/>
      <c r="BQ112" s="124"/>
      <c r="BR112" s="124"/>
      <c r="BS112" s="124"/>
      <c r="BT112" s="124"/>
    </row>
    <row r="113" spans="1:72" s="123" customFormat="1" ht="15">
      <c r="A113" s="35"/>
      <c r="B113" s="35"/>
      <c r="C113" s="35"/>
      <c r="D113" s="35"/>
      <c r="E113" s="35"/>
      <c r="F113" s="35"/>
      <c r="G113" s="35"/>
      <c r="H113" s="35"/>
      <c r="I113" s="35"/>
      <c r="J113" s="35"/>
      <c r="K113" s="35"/>
      <c r="L113" s="35"/>
      <c r="M113" s="35"/>
      <c r="N113" s="35"/>
      <c r="O113" s="35"/>
      <c r="P113" s="35"/>
      <c r="Q113" s="35"/>
      <c r="R113" s="35"/>
      <c r="S113" s="54"/>
      <c r="T113" s="54"/>
      <c r="U113" s="54"/>
      <c r="V113" s="54"/>
      <c r="W113" s="35"/>
      <c r="X113" s="35"/>
      <c r="Y113" s="54"/>
      <c r="Z113" s="54"/>
      <c r="AA113" s="35"/>
      <c r="AB113" s="35"/>
      <c r="AC113" s="35"/>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1"/>
      <c r="BE113" s="124"/>
      <c r="BF113" s="124"/>
      <c r="BG113" s="124"/>
      <c r="BH113" s="124"/>
      <c r="BI113" s="124"/>
      <c r="BJ113" s="124"/>
      <c r="BK113" s="124"/>
      <c r="BL113" s="124"/>
      <c r="BM113" s="124"/>
      <c r="BN113" s="124"/>
      <c r="BO113" s="124"/>
      <c r="BP113" s="124"/>
      <c r="BQ113" s="124"/>
      <c r="BR113" s="124"/>
      <c r="BS113" s="124"/>
      <c r="BT113" s="124"/>
    </row>
    <row r="114" spans="1:72" s="123" customFormat="1" ht="15">
      <c r="A114" s="35"/>
      <c r="B114" s="35"/>
      <c r="C114" s="35"/>
      <c r="D114" s="35"/>
      <c r="E114" s="35"/>
      <c r="F114" s="35"/>
      <c r="G114" s="35"/>
      <c r="H114" s="35"/>
      <c r="I114" s="35"/>
      <c r="J114" s="35"/>
      <c r="K114" s="35"/>
      <c r="L114" s="35"/>
      <c r="M114" s="35"/>
      <c r="N114" s="35"/>
      <c r="O114" s="35"/>
      <c r="P114" s="35"/>
      <c r="Q114" s="35"/>
      <c r="R114" s="35"/>
      <c r="S114" s="54"/>
      <c r="T114" s="54"/>
      <c r="U114" s="54"/>
      <c r="V114" s="54"/>
      <c r="W114" s="35"/>
      <c r="X114" s="35"/>
      <c r="Y114" s="54"/>
      <c r="Z114" s="54"/>
      <c r="AA114" s="35"/>
      <c r="AB114" s="35"/>
      <c r="AC114" s="35"/>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1"/>
      <c r="BE114" s="124"/>
      <c r="BF114" s="124"/>
      <c r="BG114" s="124"/>
      <c r="BH114" s="124"/>
      <c r="BI114" s="124"/>
      <c r="BJ114" s="124"/>
      <c r="BK114" s="124"/>
      <c r="BL114" s="124"/>
      <c r="BM114" s="124"/>
      <c r="BN114" s="124"/>
      <c r="BO114" s="124"/>
      <c r="BP114" s="124"/>
      <c r="BQ114" s="124"/>
      <c r="BR114" s="124"/>
      <c r="BS114" s="124"/>
      <c r="BT114" s="124"/>
    </row>
    <row r="115" spans="1:72" s="123" customFormat="1" ht="15">
      <c r="A115" s="35"/>
      <c r="B115" s="35"/>
      <c r="C115" s="35"/>
      <c r="D115" s="35"/>
      <c r="E115" s="35"/>
      <c r="F115" s="35"/>
      <c r="G115" s="35"/>
      <c r="H115" s="35"/>
      <c r="I115" s="35"/>
      <c r="J115" s="35"/>
      <c r="K115" s="35"/>
      <c r="L115" s="35"/>
      <c r="M115" s="35"/>
      <c r="N115" s="35"/>
      <c r="O115" s="35"/>
      <c r="P115" s="35"/>
      <c r="Q115" s="35"/>
      <c r="R115" s="35"/>
      <c r="S115" s="54"/>
      <c r="T115" s="54"/>
      <c r="U115" s="54"/>
      <c r="V115" s="54"/>
      <c r="W115" s="35"/>
      <c r="X115" s="35"/>
      <c r="Y115" s="54"/>
      <c r="Z115" s="54"/>
      <c r="AA115" s="35"/>
      <c r="AB115" s="35"/>
      <c r="AC115" s="35"/>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1"/>
      <c r="BE115" s="124"/>
      <c r="BF115" s="124"/>
      <c r="BG115" s="124"/>
      <c r="BH115" s="124"/>
      <c r="BI115" s="124"/>
      <c r="BJ115" s="124"/>
      <c r="BK115" s="124"/>
      <c r="BL115" s="124"/>
      <c r="BM115" s="124"/>
      <c r="BN115" s="124"/>
      <c r="BO115" s="124"/>
      <c r="BP115" s="124"/>
      <c r="BQ115" s="124"/>
      <c r="BR115" s="124"/>
      <c r="BS115" s="124"/>
      <c r="BT115" s="124"/>
    </row>
    <row r="116" spans="1:72" s="123" customFormat="1" ht="15">
      <c r="A116" s="35"/>
      <c r="B116" s="35"/>
      <c r="C116" s="35"/>
      <c r="D116" s="35"/>
      <c r="E116" s="35"/>
      <c r="F116" s="35"/>
      <c r="G116" s="35"/>
      <c r="H116" s="35"/>
      <c r="I116" s="35"/>
      <c r="J116" s="35"/>
      <c r="K116" s="35"/>
      <c r="L116" s="35"/>
      <c r="M116" s="35"/>
      <c r="N116" s="35"/>
      <c r="O116" s="35"/>
      <c r="P116" s="35"/>
      <c r="Q116" s="35"/>
      <c r="R116" s="35"/>
      <c r="S116" s="54"/>
      <c r="T116" s="54"/>
      <c r="U116" s="54"/>
      <c r="V116" s="54"/>
      <c r="W116" s="35"/>
      <c r="X116" s="35"/>
      <c r="Y116" s="54"/>
      <c r="Z116" s="54"/>
      <c r="AA116" s="35"/>
      <c r="AB116" s="35"/>
      <c r="AC116" s="35"/>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1"/>
      <c r="BE116" s="124"/>
      <c r="BF116" s="124"/>
      <c r="BG116" s="124"/>
      <c r="BH116" s="124"/>
      <c r="BI116" s="124"/>
      <c r="BJ116" s="124"/>
      <c r="BK116" s="124"/>
      <c r="BL116" s="124"/>
      <c r="BM116" s="124"/>
      <c r="BN116" s="124"/>
      <c r="BO116" s="124"/>
      <c r="BP116" s="124"/>
      <c r="BQ116" s="124"/>
      <c r="BR116" s="124"/>
      <c r="BS116" s="124"/>
      <c r="BT116" s="124"/>
    </row>
    <row r="117" spans="1:72" s="123" customFormat="1" ht="15">
      <c r="A117" s="35"/>
      <c r="B117" s="35"/>
      <c r="C117" s="35"/>
      <c r="D117" s="35"/>
      <c r="E117" s="35"/>
      <c r="F117" s="35"/>
      <c r="G117" s="35"/>
      <c r="H117" s="35"/>
      <c r="I117" s="35"/>
      <c r="J117" s="35"/>
      <c r="K117" s="35"/>
      <c r="L117" s="35"/>
      <c r="M117" s="35"/>
      <c r="N117" s="35"/>
      <c r="O117" s="35"/>
      <c r="P117" s="35"/>
      <c r="Q117" s="35"/>
      <c r="R117" s="35"/>
      <c r="S117" s="54"/>
      <c r="T117" s="54"/>
      <c r="U117" s="54"/>
      <c r="V117" s="54"/>
      <c r="W117" s="35"/>
      <c r="X117" s="35"/>
      <c r="Y117" s="54"/>
      <c r="Z117" s="54"/>
      <c r="AA117" s="35"/>
      <c r="AB117" s="35"/>
      <c r="AC117" s="35"/>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1"/>
      <c r="BE117" s="124"/>
      <c r="BF117" s="124"/>
      <c r="BG117" s="124"/>
      <c r="BH117" s="124"/>
      <c r="BI117" s="124"/>
      <c r="BJ117" s="124"/>
      <c r="BK117" s="124"/>
      <c r="BL117" s="124"/>
      <c r="BM117" s="124"/>
      <c r="BN117" s="124"/>
      <c r="BO117" s="124"/>
      <c r="BP117" s="124"/>
      <c r="BQ117" s="124"/>
      <c r="BR117" s="124"/>
      <c r="BS117" s="124"/>
      <c r="BT117" s="124"/>
    </row>
    <row r="118" spans="1:72" s="123" customFormat="1" ht="15">
      <c r="A118" s="35"/>
      <c r="B118" s="35"/>
      <c r="C118" s="35"/>
      <c r="D118" s="35"/>
      <c r="E118" s="35"/>
      <c r="F118" s="35"/>
      <c r="G118" s="35"/>
      <c r="H118" s="35"/>
      <c r="I118" s="35"/>
      <c r="J118" s="35"/>
      <c r="K118" s="35"/>
      <c r="L118" s="35"/>
      <c r="M118" s="35"/>
      <c r="N118" s="35"/>
      <c r="O118" s="35"/>
      <c r="P118" s="35"/>
      <c r="Q118" s="35"/>
      <c r="R118" s="35"/>
      <c r="S118" s="54"/>
      <c r="T118" s="54"/>
      <c r="U118" s="54"/>
      <c r="V118" s="54"/>
      <c r="W118" s="35"/>
      <c r="X118" s="35"/>
      <c r="Y118" s="54"/>
      <c r="Z118" s="54"/>
      <c r="AA118" s="35"/>
      <c r="AB118" s="35"/>
      <c r="AC118" s="35"/>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1"/>
      <c r="BE118" s="124"/>
      <c r="BF118" s="124"/>
      <c r="BG118" s="124"/>
      <c r="BH118" s="124"/>
      <c r="BI118" s="124"/>
      <c r="BJ118" s="124"/>
      <c r="BK118" s="124"/>
      <c r="BL118" s="124"/>
      <c r="BM118" s="124"/>
      <c r="BN118" s="124"/>
      <c r="BO118" s="124"/>
      <c r="BP118" s="124"/>
      <c r="BQ118" s="124"/>
      <c r="BR118" s="124"/>
      <c r="BS118" s="124"/>
      <c r="BT118" s="124"/>
    </row>
    <row r="119" spans="1:72" s="123" customFormat="1" ht="15">
      <c r="A119" s="35"/>
      <c r="B119" s="35"/>
      <c r="C119" s="35"/>
      <c r="D119" s="35"/>
      <c r="E119" s="35"/>
      <c r="F119" s="35"/>
      <c r="G119" s="35"/>
      <c r="H119" s="35"/>
      <c r="I119" s="35"/>
      <c r="J119" s="35"/>
      <c r="K119" s="35"/>
      <c r="L119" s="35"/>
      <c r="M119" s="35"/>
      <c r="N119" s="35"/>
      <c r="O119" s="35"/>
      <c r="P119" s="35"/>
      <c r="Q119" s="35"/>
      <c r="R119" s="35"/>
      <c r="S119" s="54"/>
      <c r="T119" s="54"/>
      <c r="U119" s="54"/>
      <c r="V119" s="54"/>
      <c r="W119" s="35"/>
      <c r="X119" s="35"/>
      <c r="Y119" s="54"/>
      <c r="Z119" s="54"/>
      <c r="AA119" s="35"/>
      <c r="AB119" s="35"/>
      <c r="AC119" s="35"/>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1"/>
      <c r="BE119" s="124"/>
      <c r="BF119" s="124"/>
      <c r="BG119" s="124"/>
      <c r="BH119" s="124"/>
      <c r="BI119" s="124"/>
      <c r="BJ119" s="124"/>
      <c r="BK119" s="124"/>
      <c r="BL119" s="124"/>
      <c r="BM119" s="124"/>
      <c r="BN119" s="124"/>
      <c r="BO119" s="124"/>
      <c r="BP119" s="124"/>
      <c r="BQ119" s="124"/>
      <c r="BR119" s="124"/>
      <c r="BS119" s="124"/>
      <c r="BT119" s="124"/>
    </row>
    <row r="120" spans="1:72" s="123" customFormat="1" ht="15">
      <c r="A120" s="35"/>
      <c r="B120" s="35"/>
      <c r="C120" s="35"/>
      <c r="D120" s="35"/>
      <c r="E120" s="35"/>
      <c r="F120" s="35"/>
      <c r="G120" s="35"/>
      <c r="H120" s="35"/>
      <c r="I120" s="35"/>
      <c r="J120" s="35"/>
      <c r="K120" s="35"/>
      <c r="L120" s="35"/>
      <c r="M120" s="35"/>
      <c r="N120" s="35"/>
      <c r="O120" s="35"/>
      <c r="P120" s="35"/>
      <c r="Q120" s="35"/>
      <c r="R120" s="35"/>
      <c r="S120" s="54"/>
      <c r="T120" s="54"/>
      <c r="U120" s="54"/>
      <c r="V120" s="54"/>
      <c r="W120" s="35"/>
      <c r="X120" s="35"/>
      <c r="Y120" s="54"/>
      <c r="Z120" s="54"/>
      <c r="AA120" s="35"/>
      <c r="AB120" s="35"/>
      <c r="AC120" s="35"/>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1"/>
      <c r="BE120" s="124"/>
      <c r="BF120" s="124"/>
      <c r="BG120" s="124"/>
      <c r="BH120" s="124"/>
      <c r="BI120" s="124"/>
      <c r="BJ120" s="124"/>
      <c r="BK120" s="124"/>
      <c r="BL120" s="124"/>
      <c r="BM120" s="124"/>
      <c r="BN120" s="124"/>
      <c r="BO120" s="124"/>
      <c r="BP120" s="124"/>
      <c r="BQ120" s="124"/>
      <c r="BR120" s="124"/>
      <c r="BS120" s="124"/>
      <c r="BT120" s="124"/>
    </row>
    <row r="121" spans="1:72" s="123" customFormat="1" ht="15">
      <c r="A121" s="35"/>
      <c r="B121" s="35"/>
      <c r="C121" s="35"/>
      <c r="D121" s="35"/>
      <c r="E121" s="35"/>
      <c r="F121" s="35"/>
      <c r="G121" s="35"/>
      <c r="H121" s="35"/>
      <c r="I121" s="35"/>
      <c r="J121" s="35"/>
      <c r="K121" s="35"/>
      <c r="L121" s="35"/>
      <c r="M121" s="35"/>
      <c r="N121" s="35"/>
      <c r="O121" s="35"/>
      <c r="P121" s="35"/>
      <c r="Q121" s="35"/>
      <c r="R121" s="35"/>
      <c r="S121" s="54"/>
      <c r="T121" s="54"/>
      <c r="U121" s="54"/>
      <c r="V121" s="54"/>
      <c r="W121" s="35"/>
      <c r="X121" s="35"/>
      <c r="Y121" s="54"/>
      <c r="Z121" s="54"/>
      <c r="AA121" s="35"/>
      <c r="AB121" s="35"/>
      <c r="AC121" s="35"/>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1"/>
      <c r="BE121" s="124"/>
      <c r="BF121" s="124"/>
      <c r="BG121" s="124"/>
      <c r="BH121" s="124"/>
      <c r="BI121" s="124"/>
      <c r="BJ121" s="124"/>
      <c r="BK121" s="124"/>
      <c r="BL121" s="124"/>
      <c r="BM121" s="124"/>
      <c r="BN121" s="124"/>
      <c r="BO121" s="124"/>
      <c r="BP121" s="124"/>
      <c r="BQ121" s="124"/>
      <c r="BR121" s="124"/>
      <c r="BS121" s="124"/>
      <c r="BT121" s="124"/>
    </row>
    <row r="122" spans="1:72" s="123" customFormat="1" ht="15">
      <c r="A122" s="35"/>
      <c r="B122" s="35"/>
      <c r="C122" s="35"/>
      <c r="D122" s="35"/>
      <c r="E122" s="35"/>
      <c r="F122" s="35"/>
      <c r="G122" s="35"/>
      <c r="H122" s="35"/>
      <c r="I122" s="35"/>
      <c r="J122" s="35"/>
      <c r="K122" s="35"/>
      <c r="L122" s="35"/>
      <c r="M122" s="35"/>
      <c r="N122" s="35"/>
      <c r="O122" s="35"/>
      <c r="P122" s="35"/>
      <c r="Q122" s="35"/>
      <c r="R122" s="35"/>
      <c r="S122" s="54"/>
      <c r="T122" s="54"/>
      <c r="U122" s="54"/>
      <c r="V122" s="54"/>
      <c r="W122" s="35"/>
      <c r="X122" s="35"/>
      <c r="Y122" s="54"/>
      <c r="Z122" s="54"/>
      <c r="AA122" s="35"/>
      <c r="AB122" s="35"/>
      <c r="AC122" s="35"/>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1"/>
      <c r="BE122" s="124"/>
      <c r="BF122" s="124"/>
      <c r="BG122" s="124"/>
      <c r="BH122" s="124"/>
      <c r="BI122" s="124"/>
      <c r="BJ122" s="124"/>
      <c r="BK122" s="124"/>
      <c r="BL122" s="124"/>
      <c r="BM122" s="124"/>
      <c r="BN122" s="124"/>
      <c r="BO122" s="124"/>
      <c r="BP122" s="124"/>
      <c r="BQ122" s="124"/>
      <c r="BR122" s="124"/>
      <c r="BS122" s="124"/>
      <c r="BT122" s="124"/>
    </row>
    <row r="123" spans="1:72" s="123" customFormat="1" ht="15">
      <c r="A123" s="35"/>
      <c r="B123" s="35"/>
      <c r="C123" s="35"/>
      <c r="D123" s="35"/>
      <c r="E123" s="35"/>
      <c r="F123" s="35"/>
      <c r="G123" s="35"/>
      <c r="H123" s="35"/>
      <c r="I123" s="35"/>
      <c r="J123" s="35"/>
      <c r="K123" s="35"/>
      <c r="L123" s="35"/>
      <c r="M123" s="35"/>
      <c r="N123" s="35"/>
      <c r="O123" s="35"/>
      <c r="P123" s="35"/>
      <c r="Q123" s="35"/>
      <c r="R123" s="35"/>
      <c r="S123" s="54"/>
      <c r="T123" s="54"/>
      <c r="U123" s="54"/>
      <c r="V123" s="54"/>
      <c r="W123" s="35"/>
      <c r="X123" s="35"/>
      <c r="Y123" s="54"/>
      <c r="Z123" s="54"/>
      <c r="AA123" s="35"/>
      <c r="AB123" s="35"/>
      <c r="AC123" s="35"/>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1"/>
      <c r="BE123" s="124"/>
      <c r="BF123" s="124"/>
      <c r="BG123" s="124"/>
      <c r="BH123" s="124"/>
      <c r="BI123" s="124"/>
      <c r="BJ123" s="124"/>
      <c r="BK123" s="124"/>
      <c r="BL123" s="124"/>
      <c r="BM123" s="124"/>
      <c r="BN123" s="124"/>
      <c r="BO123" s="124"/>
      <c r="BP123" s="124"/>
      <c r="BQ123" s="124"/>
      <c r="BR123" s="124"/>
      <c r="BS123" s="124"/>
      <c r="BT123" s="124"/>
    </row>
    <row r="124" spans="1:72" s="123" customFormat="1" ht="15">
      <c r="A124" s="35"/>
      <c r="B124" s="35"/>
      <c r="C124" s="35"/>
      <c r="D124" s="35"/>
      <c r="E124" s="35"/>
      <c r="F124" s="35"/>
      <c r="G124" s="35"/>
      <c r="H124" s="35"/>
      <c r="I124" s="35"/>
      <c r="J124" s="35"/>
      <c r="K124" s="35"/>
      <c r="L124" s="35"/>
      <c r="M124" s="35"/>
      <c r="N124" s="35"/>
      <c r="O124" s="35"/>
      <c r="P124" s="35"/>
      <c r="Q124" s="35"/>
      <c r="R124" s="35"/>
      <c r="S124" s="54"/>
      <c r="T124" s="54"/>
      <c r="U124" s="54"/>
      <c r="V124" s="54"/>
      <c r="W124" s="35"/>
      <c r="X124" s="35"/>
      <c r="Y124" s="54"/>
      <c r="Z124" s="54"/>
      <c r="AA124" s="35"/>
      <c r="AB124" s="35"/>
      <c r="AC124" s="35"/>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1"/>
      <c r="BE124" s="124"/>
      <c r="BF124" s="124"/>
      <c r="BG124" s="124"/>
      <c r="BH124" s="124"/>
      <c r="BI124" s="124"/>
      <c r="BJ124" s="124"/>
      <c r="BK124" s="124"/>
      <c r="BL124" s="124"/>
      <c r="BM124" s="124"/>
      <c r="BN124" s="124"/>
      <c r="BO124" s="124"/>
      <c r="BP124" s="124"/>
      <c r="BQ124" s="124"/>
      <c r="BR124" s="124"/>
      <c r="BS124" s="124"/>
      <c r="BT124" s="124"/>
    </row>
    <row r="125" spans="1:72" s="123" customFormat="1" ht="15">
      <c r="A125" s="35"/>
      <c r="B125" s="35"/>
      <c r="C125" s="35"/>
      <c r="D125" s="35"/>
      <c r="E125" s="35"/>
      <c r="F125" s="35"/>
      <c r="G125" s="35"/>
      <c r="H125" s="35"/>
      <c r="I125" s="35"/>
      <c r="J125" s="35"/>
      <c r="K125" s="35"/>
      <c r="L125" s="35"/>
      <c r="M125" s="35"/>
      <c r="N125" s="35"/>
      <c r="O125" s="35"/>
      <c r="P125" s="35"/>
      <c r="Q125" s="35"/>
      <c r="R125" s="35"/>
      <c r="S125" s="54"/>
      <c r="T125" s="54"/>
      <c r="U125" s="54"/>
      <c r="V125" s="54"/>
      <c r="W125" s="35"/>
      <c r="X125" s="35"/>
      <c r="Y125" s="54"/>
      <c r="Z125" s="54"/>
      <c r="AA125" s="35"/>
      <c r="AB125" s="35"/>
      <c r="AC125" s="35"/>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1"/>
      <c r="BE125" s="124"/>
      <c r="BF125" s="124"/>
      <c r="BG125" s="124"/>
      <c r="BH125" s="124"/>
      <c r="BI125" s="124"/>
      <c r="BJ125" s="124"/>
      <c r="BK125" s="124"/>
      <c r="BL125" s="124"/>
      <c r="BM125" s="124"/>
      <c r="BN125" s="124"/>
      <c r="BO125" s="124"/>
      <c r="BP125" s="124"/>
      <c r="BQ125" s="124"/>
      <c r="BR125" s="124"/>
      <c r="BS125" s="124"/>
      <c r="BT125" s="124"/>
    </row>
    <row r="126" spans="1:72" s="123" customFormat="1" ht="15">
      <c r="A126" s="35"/>
      <c r="B126" s="35"/>
      <c r="C126" s="35"/>
      <c r="D126" s="35"/>
      <c r="E126" s="35"/>
      <c r="F126" s="35"/>
      <c r="G126" s="35"/>
      <c r="H126" s="35"/>
      <c r="I126" s="35"/>
      <c r="J126" s="35"/>
      <c r="K126" s="35"/>
      <c r="L126" s="35"/>
      <c r="M126" s="35"/>
      <c r="N126" s="35"/>
      <c r="O126" s="35"/>
      <c r="P126" s="35"/>
      <c r="Q126" s="35"/>
      <c r="R126" s="35"/>
      <c r="S126" s="54"/>
      <c r="T126" s="54"/>
      <c r="U126" s="54"/>
      <c r="V126" s="54"/>
      <c r="W126" s="35"/>
      <c r="X126" s="35"/>
      <c r="Y126" s="54"/>
      <c r="Z126" s="54"/>
      <c r="AA126" s="35"/>
      <c r="AB126" s="35"/>
      <c r="AC126" s="35"/>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1"/>
      <c r="BE126" s="124"/>
      <c r="BF126" s="124"/>
      <c r="BG126" s="124"/>
      <c r="BH126" s="124"/>
      <c r="BI126" s="124"/>
      <c r="BJ126" s="124"/>
      <c r="BK126" s="124"/>
      <c r="BL126" s="124"/>
      <c r="BM126" s="124"/>
      <c r="BN126" s="124"/>
      <c r="BO126" s="124"/>
      <c r="BP126" s="124"/>
      <c r="BQ126" s="124"/>
      <c r="BR126" s="124"/>
      <c r="BS126" s="124"/>
      <c r="BT126" s="124"/>
    </row>
    <row r="127" spans="1:72" s="123" customFormat="1" ht="15">
      <c r="A127" s="35"/>
      <c r="B127" s="35"/>
      <c r="C127" s="35"/>
      <c r="D127" s="35"/>
      <c r="E127" s="35"/>
      <c r="F127" s="35"/>
      <c r="G127" s="35"/>
      <c r="H127" s="35"/>
      <c r="I127" s="35"/>
      <c r="J127" s="35"/>
      <c r="K127" s="35"/>
      <c r="L127" s="35"/>
      <c r="M127" s="35"/>
      <c r="N127" s="35"/>
      <c r="O127" s="35"/>
      <c r="P127" s="35"/>
      <c r="Q127" s="35"/>
      <c r="R127" s="35"/>
      <c r="S127" s="54"/>
      <c r="T127" s="54"/>
      <c r="U127" s="54"/>
      <c r="V127" s="54"/>
      <c r="W127" s="35"/>
      <c r="X127" s="35"/>
      <c r="Y127" s="54"/>
      <c r="Z127" s="54"/>
      <c r="AA127" s="35"/>
      <c r="AB127" s="35"/>
      <c r="AC127" s="35"/>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1"/>
      <c r="BE127" s="124"/>
      <c r="BF127" s="124"/>
      <c r="BG127" s="124"/>
      <c r="BH127" s="124"/>
      <c r="BI127" s="124"/>
      <c r="BJ127" s="124"/>
      <c r="BK127" s="124"/>
      <c r="BL127" s="124"/>
      <c r="BM127" s="124"/>
      <c r="BN127" s="124"/>
      <c r="BO127" s="124"/>
      <c r="BP127" s="124"/>
      <c r="BQ127" s="124"/>
      <c r="BR127" s="124"/>
      <c r="BS127" s="124"/>
      <c r="BT127" s="124"/>
    </row>
    <row r="128" spans="1:72" s="123" customFormat="1" ht="15">
      <c r="A128" s="35"/>
      <c r="B128" s="35"/>
      <c r="C128" s="35"/>
      <c r="D128" s="35"/>
      <c r="E128" s="35"/>
      <c r="F128" s="35"/>
      <c r="G128" s="35"/>
      <c r="H128" s="35"/>
      <c r="I128" s="35"/>
      <c r="J128" s="35"/>
      <c r="K128" s="35"/>
      <c r="L128" s="35"/>
      <c r="M128" s="35"/>
      <c r="N128" s="35"/>
      <c r="O128" s="35"/>
      <c r="P128" s="35"/>
      <c r="Q128" s="35"/>
      <c r="R128" s="35"/>
      <c r="S128" s="54"/>
      <c r="T128" s="54"/>
      <c r="U128" s="54"/>
      <c r="V128" s="54"/>
      <c r="W128" s="35"/>
      <c r="X128" s="35"/>
      <c r="Y128" s="54"/>
      <c r="Z128" s="54"/>
      <c r="AA128" s="35"/>
      <c r="AB128" s="35"/>
      <c r="AC128" s="35"/>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1"/>
      <c r="BE128" s="124"/>
      <c r="BF128" s="124"/>
      <c r="BG128" s="124"/>
      <c r="BH128" s="124"/>
      <c r="BI128" s="124"/>
      <c r="BJ128" s="124"/>
      <c r="BK128" s="124"/>
      <c r="BL128" s="124"/>
      <c r="BM128" s="124"/>
      <c r="BN128" s="124"/>
      <c r="BO128" s="124"/>
      <c r="BP128" s="124"/>
      <c r="BQ128" s="124"/>
      <c r="BR128" s="124"/>
      <c r="BS128" s="124"/>
      <c r="BT128" s="124"/>
    </row>
    <row r="129" spans="1:72" s="123" customFormat="1" ht="15">
      <c r="A129" s="35"/>
      <c r="B129" s="35"/>
      <c r="C129" s="35"/>
      <c r="D129" s="35"/>
      <c r="E129" s="35"/>
      <c r="F129" s="35"/>
      <c r="G129" s="35"/>
      <c r="H129" s="35"/>
      <c r="I129" s="35"/>
      <c r="J129" s="35"/>
      <c r="K129" s="35"/>
      <c r="L129" s="35"/>
      <c r="M129" s="35"/>
      <c r="N129" s="35"/>
      <c r="O129" s="35"/>
      <c r="P129" s="35"/>
      <c r="Q129" s="35"/>
      <c r="R129" s="35"/>
      <c r="S129" s="54"/>
      <c r="T129" s="54"/>
      <c r="U129" s="54"/>
      <c r="V129" s="54"/>
      <c r="W129" s="35"/>
      <c r="X129" s="35"/>
      <c r="Y129" s="54"/>
      <c r="Z129" s="54"/>
      <c r="AA129" s="35"/>
      <c r="AB129" s="35"/>
      <c r="AC129" s="35"/>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1"/>
      <c r="BE129" s="124"/>
      <c r="BF129" s="124"/>
      <c r="BG129" s="124"/>
      <c r="BH129" s="124"/>
      <c r="BI129" s="124"/>
      <c r="BJ129" s="124"/>
      <c r="BK129" s="124"/>
      <c r="BL129" s="124"/>
      <c r="BM129" s="124"/>
      <c r="BN129" s="124"/>
      <c r="BO129" s="124"/>
      <c r="BP129" s="124"/>
      <c r="BQ129" s="124"/>
      <c r="BR129" s="124"/>
      <c r="BS129" s="124"/>
      <c r="BT129" s="124"/>
    </row>
    <row r="130" spans="1:72" s="123" customFormat="1" ht="15">
      <c r="A130" s="35"/>
      <c r="B130" s="35"/>
      <c r="C130" s="35"/>
      <c r="D130" s="35"/>
      <c r="E130" s="35"/>
      <c r="F130" s="35"/>
      <c r="G130" s="35"/>
      <c r="H130" s="35"/>
      <c r="I130" s="35"/>
      <c r="J130" s="35"/>
      <c r="K130" s="35"/>
      <c r="L130" s="35"/>
      <c r="M130" s="35"/>
      <c r="N130" s="35"/>
      <c r="O130" s="35"/>
      <c r="P130" s="35"/>
      <c r="Q130" s="35"/>
      <c r="R130" s="35"/>
      <c r="S130" s="54"/>
      <c r="T130" s="54"/>
      <c r="U130" s="54"/>
      <c r="V130" s="54"/>
      <c r="W130" s="35"/>
      <c r="X130" s="35"/>
      <c r="Y130" s="54"/>
      <c r="Z130" s="54"/>
      <c r="AA130" s="35"/>
      <c r="AB130" s="35"/>
      <c r="AC130" s="35"/>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1"/>
      <c r="BE130" s="124"/>
      <c r="BF130" s="124"/>
      <c r="BG130" s="124"/>
      <c r="BH130" s="124"/>
      <c r="BI130" s="124"/>
      <c r="BJ130" s="124"/>
      <c r="BK130" s="124"/>
      <c r="BL130" s="124"/>
      <c r="BM130" s="124"/>
      <c r="BN130" s="124"/>
      <c r="BO130" s="124"/>
      <c r="BP130" s="124"/>
      <c r="BQ130" s="124"/>
      <c r="BR130" s="124"/>
      <c r="BS130" s="124"/>
      <c r="BT130" s="124"/>
    </row>
    <row r="131" spans="1:72" s="123" customFormat="1" ht="15">
      <c r="A131" s="35"/>
      <c r="B131" s="35"/>
      <c r="C131" s="35"/>
      <c r="D131" s="35"/>
      <c r="E131" s="35"/>
      <c r="F131" s="35"/>
      <c r="G131" s="35"/>
      <c r="H131" s="35"/>
      <c r="I131" s="35"/>
      <c r="J131" s="35"/>
      <c r="K131" s="35"/>
      <c r="L131" s="35"/>
      <c r="M131" s="35"/>
      <c r="N131" s="35"/>
      <c r="O131" s="35"/>
      <c r="P131" s="35"/>
      <c r="Q131" s="35"/>
      <c r="R131" s="35"/>
      <c r="S131" s="54"/>
      <c r="T131" s="54"/>
      <c r="U131" s="54"/>
      <c r="V131" s="54"/>
      <c r="W131" s="35"/>
      <c r="X131" s="35"/>
      <c r="Y131" s="54"/>
      <c r="Z131" s="54"/>
      <c r="AA131" s="35"/>
      <c r="AB131" s="35"/>
      <c r="AC131" s="35"/>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1"/>
      <c r="BE131" s="124"/>
      <c r="BF131" s="124"/>
      <c r="BG131" s="124"/>
      <c r="BH131" s="124"/>
      <c r="BI131" s="124"/>
      <c r="BJ131" s="124"/>
      <c r="BK131" s="124"/>
      <c r="BL131" s="124"/>
      <c r="BM131" s="124"/>
      <c r="BN131" s="124"/>
      <c r="BO131" s="124"/>
      <c r="BP131" s="124"/>
      <c r="BQ131" s="124"/>
      <c r="BR131" s="124"/>
      <c r="BS131" s="124"/>
      <c r="BT131" s="124"/>
    </row>
    <row r="132" spans="1:72" s="123" customFormat="1" ht="15">
      <c r="A132" s="35"/>
      <c r="B132" s="35"/>
      <c r="C132" s="35"/>
      <c r="D132" s="35"/>
      <c r="E132" s="35"/>
      <c r="F132" s="35"/>
      <c r="G132" s="35"/>
      <c r="H132" s="35"/>
      <c r="I132" s="35"/>
      <c r="J132" s="35"/>
      <c r="K132" s="35"/>
      <c r="L132" s="35"/>
      <c r="M132" s="35"/>
      <c r="N132" s="35"/>
      <c r="O132" s="35"/>
      <c r="P132" s="35"/>
      <c r="Q132" s="35"/>
      <c r="R132" s="35"/>
      <c r="S132" s="54"/>
      <c r="T132" s="54"/>
      <c r="U132" s="54"/>
      <c r="V132" s="54"/>
      <c r="W132" s="35"/>
      <c r="X132" s="35"/>
      <c r="Y132" s="54"/>
      <c r="Z132" s="54"/>
      <c r="AA132" s="35"/>
      <c r="AB132" s="35"/>
      <c r="AC132" s="35"/>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1"/>
      <c r="BE132" s="124"/>
      <c r="BF132" s="124"/>
      <c r="BG132" s="124"/>
      <c r="BH132" s="124"/>
      <c r="BI132" s="124"/>
      <c r="BJ132" s="124"/>
      <c r="BK132" s="124"/>
      <c r="BL132" s="124"/>
      <c r="BM132" s="124"/>
      <c r="BN132" s="124"/>
      <c r="BO132" s="124"/>
      <c r="BP132" s="124"/>
      <c r="BQ132" s="124"/>
      <c r="BR132" s="124"/>
      <c r="BS132" s="124"/>
      <c r="BT132" s="124"/>
    </row>
    <row r="133" spans="1:72" s="123" customFormat="1" ht="15">
      <c r="A133" s="35"/>
      <c r="B133" s="35"/>
      <c r="C133" s="35"/>
      <c r="D133" s="35"/>
      <c r="E133" s="35"/>
      <c r="F133" s="35"/>
      <c r="G133" s="35"/>
      <c r="H133" s="35"/>
      <c r="I133" s="35"/>
      <c r="J133" s="35"/>
      <c r="K133" s="35"/>
      <c r="L133" s="35"/>
      <c r="M133" s="35"/>
      <c r="N133" s="35"/>
      <c r="O133" s="35"/>
      <c r="P133" s="35"/>
      <c r="Q133" s="35"/>
      <c r="R133" s="35"/>
      <c r="S133" s="54"/>
      <c r="T133" s="54"/>
      <c r="U133" s="54"/>
      <c r="V133" s="54"/>
      <c r="W133" s="35"/>
      <c r="X133" s="35"/>
      <c r="Y133" s="54"/>
      <c r="Z133" s="54"/>
      <c r="AA133" s="35"/>
      <c r="AB133" s="35"/>
      <c r="AC133" s="35"/>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1"/>
      <c r="BE133" s="124"/>
      <c r="BF133" s="124"/>
      <c r="BG133" s="124"/>
      <c r="BH133" s="124"/>
      <c r="BI133" s="124"/>
      <c r="BJ133" s="124"/>
      <c r="BK133" s="124"/>
      <c r="BL133" s="124"/>
      <c r="BM133" s="124"/>
      <c r="BN133" s="124"/>
      <c r="BO133" s="124"/>
      <c r="BP133" s="124"/>
      <c r="BQ133" s="124"/>
      <c r="BR133" s="124"/>
      <c r="BS133" s="124"/>
      <c r="BT133" s="124"/>
    </row>
    <row r="134" spans="1:72" s="123" customFormat="1" ht="15">
      <c r="A134" s="35"/>
      <c r="B134" s="35"/>
      <c r="C134" s="35"/>
      <c r="D134" s="35"/>
      <c r="E134" s="35"/>
      <c r="F134" s="35"/>
      <c r="G134" s="35"/>
      <c r="H134" s="35"/>
      <c r="I134" s="35"/>
      <c r="J134" s="35"/>
      <c r="K134" s="35"/>
      <c r="L134" s="35"/>
      <c r="M134" s="35"/>
      <c r="N134" s="35"/>
      <c r="O134" s="35"/>
      <c r="P134" s="35"/>
      <c r="Q134" s="35"/>
      <c r="R134" s="35"/>
      <c r="S134" s="54"/>
      <c r="T134" s="54"/>
      <c r="U134" s="54"/>
      <c r="V134" s="54"/>
      <c r="W134" s="35"/>
      <c r="X134" s="35"/>
      <c r="Y134" s="54"/>
      <c r="Z134" s="54"/>
      <c r="AA134" s="35"/>
      <c r="AB134" s="35"/>
      <c r="AC134" s="35"/>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1"/>
      <c r="BE134" s="124"/>
      <c r="BF134" s="124"/>
      <c r="BG134" s="124"/>
      <c r="BH134" s="124"/>
      <c r="BI134" s="124"/>
      <c r="BJ134" s="124"/>
      <c r="BK134" s="124"/>
      <c r="BL134" s="124"/>
      <c r="BM134" s="124"/>
      <c r="BN134" s="124"/>
      <c r="BO134" s="124"/>
      <c r="BP134" s="124"/>
      <c r="BQ134" s="124"/>
      <c r="BR134" s="124"/>
      <c r="BS134" s="124"/>
      <c r="BT134" s="124"/>
    </row>
    <row r="135" spans="1:72" s="123" customFormat="1" ht="15">
      <c r="A135" s="35"/>
      <c r="B135" s="35"/>
      <c r="C135" s="35"/>
      <c r="D135" s="35"/>
      <c r="E135" s="35"/>
      <c r="F135" s="35"/>
      <c r="G135" s="35"/>
      <c r="H135" s="35"/>
      <c r="I135" s="35"/>
      <c r="J135" s="35"/>
      <c r="K135" s="35"/>
      <c r="L135" s="35"/>
      <c r="M135" s="35"/>
      <c r="N135" s="35"/>
      <c r="O135" s="35"/>
      <c r="P135" s="35"/>
      <c r="Q135" s="35"/>
      <c r="R135" s="35"/>
      <c r="S135" s="54"/>
      <c r="T135" s="54"/>
      <c r="U135" s="54"/>
      <c r="V135" s="54"/>
      <c r="W135" s="35"/>
      <c r="X135" s="35"/>
      <c r="Y135" s="54"/>
      <c r="Z135" s="54"/>
      <c r="AA135" s="35"/>
      <c r="AB135" s="35"/>
      <c r="AC135" s="35"/>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1"/>
      <c r="BE135" s="124"/>
      <c r="BF135" s="124"/>
      <c r="BG135" s="124"/>
      <c r="BH135" s="124"/>
      <c r="BI135" s="124"/>
      <c r="BJ135" s="124"/>
      <c r="BK135" s="124"/>
      <c r="BL135" s="124"/>
      <c r="BM135" s="124"/>
      <c r="BN135" s="124"/>
      <c r="BO135" s="124"/>
      <c r="BP135" s="124"/>
      <c r="BQ135" s="124"/>
      <c r="BR135" s="124"/>
      <c r="BS135" s="124"/>
      <c r="BT135" s="124"/>
    </row>
    <row r="136" spans="1:72" s="123" customFormat="1" ht="15">
      <c r="A136" s="35"/>
      <c r="B136" s="35"/>
      <c r="C136" s="35"/>
      <c r="D136" s="35"/>
      <c r="E136" s="35"/>
      <c r="F136" s="35"/>
      <c r="G136" s="35"/>
      <c r="H136" s="35"/>
      <c r="I136" s="35"/>
      <c r="J136" s="35"/>
      <c r="K136" s="35"/>
      <c r="L136" s="35"/>
      <c r="M136" s="35"/>
      <c r="N136" s="35"/>
      <c r="O136" s="35"/>
      <c r="P136" s="35"/>
      <c r="Q136" s="35"/>
      <c r="R136" s="35"/>
      <c r="S136" s="54"/>
      <c r="T136" s="54"/>
      <c r="U136" s="54"/>
      <c r="V136" s="54"/>
      <c r="W136" s="35"/>
      <c r="X136" s="35"/>
      <c r="Y136" s="54"/>
      <c r="Z136" s="54"/>
      <c r="AA136" s="35"/>
      <c r="AB136" s="35"/>
      <c r="AC136" s="35"/>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1"/>
      <c r="BE136" s="124"/>
      <c r="BF136" s="124"/>
      <c r="BG136" s="124"/>
      <c r="BH136" s="124"/>
      <c r="BI136" s="124"/>
      <c r="BJ136" s="124"/>
      <c r="BK136" s="124"/>
      <c r="BL136" s="124"/>
      <c r="BM136" s="124"/>
      <c r="BN136" s="124"/>
      <c r="BO136" s="124"/>
      <c r="BP136" s="124"/>
      <c r="BQ136" s="124"/>
      <c r="BR136" s="124"/>
      <c r="BS136" s="124"/>
      <c r="BT136" s="124"/>
    </row>
    <row r="137" spans="1:72" s="123" customFormat="1" ht="15">
      <c r="A137" s="35"/>
      <c r="B137" s="35"/>
      <c r="C137" s="35"/>
      <c r="D137" s="35"/>
      <c r="E137" s="35"/>
      <c r="F137" s="35"/>
      <c r="G137" s="35"/>
      <c r="H137" s="35"/>
      <c r="I137" s="35"/>
      <c r="J137" s="35"/>
      <c r="K137" s="35"/>
      <c r="L137" s="35"/>
      <c r="M137" s="35"/>
      <c r="N137" s="35"/>
      <c r="O137" s="35"/>
      <c r="P137" s="35"/>
      <c r="Q137" s="35"/>
      <c r="R137" s="35"/>
      <c r="S137" s="54"/>
      <c r="T137" s="54"/>
      <c r="U137" s="54"/>
      <c r="V137" s="54"/>
      <c r="W137" s="35"/>
      <c r="X137" s="35"/>
      <c r="Y137" s="54"/>
      <c r="Z137" s="54"/>
      <c r="AA137" s="35"/>
      <c r="AB137" s="35"/>
      <c r="AC137" s="35"/>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1"/>
      <c r="BE137" s="124"/>
      <c r="BF137" s="124"/>
      <c r="BG137" s="124"/>
      <c r="BH137" s="124"/>
      <c r="BI137" s="124"/>
      <c r="BJ137" s="124"/>
      <c r="BK137" s="124"/>
      <c r="BL137" s="124"/>
      <c r="BM137" s="124"/>
      <c r="BN137" s="124"/>
      <c r="BO137" s="124"/>
      <c r="BP137" s="124"/>
      <c r="BQ137" s="124"/>
      <c r="BR137" s="124"/>
      <c r="BS137" s="124"/>
      <c r="BT137" s="124"/>
    </row>
    <row r="138" spans="1:72" s="123" customFormat="1" ht="15">
      <c r="A138" s="35"/>
      <c r="B138" s="35"/>
      <c r="C138" s="35"/>
      <c r="D138" s="35"/>
      <c r="E138" s="35"/>
      <c r="F138" s="35"/>
      <c r="G138" s="35"/>
      <c r="H138" s="35"/>
      <c r="I138" s="35"/>
      <c r="J138" s="35"/>
      <c r="K138" s="35"/>
      <c r="L138" s="35"/>
      <c r="M138" s="35"/>
      <c r="N138" s="35"/>
      <c r="O138" s="35"/>
      <c r="P138" s="35"/>
      <c r="Q138" s="35"/>
      <c r="R138" s="35"/>
      <c r="S138" s="54"/>
      <c r="T138" s="54"/>
      <c r="U138" s="54"/>
      <c r="V138" s="54"/>
      <c r="W138" s="35"/>
      <c r="X138" s="35"/>
      <c r="Y138" s="54"/>
      <c r="Z138" s="54"/>
      <c r="AA138" s="35"/>
      <c r="AB138" s="35"/>
      <c r="AC138" s="35"/>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1"/>
      <c r="BE138" s="124"/>
      <c r="BF138" s="124"/>
      <c r="BG138" s="124"/>
      <c r="BH138" s="124"/>
      <c r="BI138" s="124"/>
      <c r="BJ138" s="124"/>
      <c r="BK138" s="124"/>
      <c r="BL138" s="124"/>
      <c r="BM138" s="124"/>
      <c r="BN138" s="124"/>
      <c r="BO138" s="124"/>
      <c r="BP138" s="124"/>
      <c r="BQ138" s="124"/>
      <c r="BR138" s="124"/>
      <c r="BS138" s="124"/>
      <c r="BT138" s="124"/>
    </row>
    <row r="139" spans="1:72" s="123" customFormat="1" ht="15">
      <c r="A139" s="35"/>
      <c r="B139" s="35"/>
      <c r="C139" s="35"/>
      <c r="D139" s="35"/>
      <c r="E139" s="35"/>
      <c r="F139" s="35"/>
      <c r="G139" s="35"/>
      <c r="H139" s="35"/>
      <c r="I139" s="35"/>
      <c r="J139" s="35"/>
      <c r="K139" s="35"/>
      <c r="L139" s="35"/>
      <c r="M139" s="35"/>
      <c r="N139" s="35"/>
      <c r="O139" s="35"/>
      <c r="P139" s="35"/>
      <c r="Q139" s="35"/>
      <c r="R139" s="35"/>
      <c r="S139" s="54"/>
      <c r="T139" s="54"/>
      <c r="U139" s="54"/>
      <c r="V139" s="54"/>
      <c r="W139" s="35"/>
      <c r="X139" s="35"/>
      <c r="Y139" s="54"/>
      <c r="Z139" s="54"/>
      <c r="AA139" s="35"/>
      <c r="AB139" s="35"/>
      <c r="AC139" s="35"/>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1"/>
      <c r="BE139" s="124"/>
      <c r="BF139" s="124"/>
      <c r="BG139" s="124"/>
      <c r="BH139" s="124"/>
      <c r="BI139" s="124"/>
      <c r="BJ139" s="124"/>
      <c r="BK139" s="124"/>
      <c r="BL139" s="124"/>
      <c r="BM139" s="124"/>
      <c r="BN139" s="124"/>
      <c r="BO139" s="124"/>
      <c r="BP139" s="124"/>
      <c r="BQ139" s="124"/>
      <c r="BR139" s="124"/>
      <c r="BS139" s="124"/>
      <c r="BT139" s="124"/>
    </row>
    <row r="140" spans="1:72" s="123" customFormat="1" ht="15">
      <c r="A140" s="35"/>
      <c r="B140" s="35"/>
      <c r="C140" s="35"/>
      <c r="D140" s="35"/>
      <c r="E140" s="35"/>
      <c r="F140" s="35"/>
      <c r="G140" s="35"/>
      <c r="H140" s="35"/>
      <c r="I140" s="35"/>
      <c r="J140" s="35"/>
      <c r="K140" s="35"/>
      <c r="L140" s="35"/>
      <c r="M140" s="35"/>
      <c r="N140" s="35"/>
      <c r="O140" s="35"/>
      <c r="P140" s="35"/>
      <c r="Q140" s="35"/>
      <c r="R140" s="35"/>
      <c r="S140" s="54"/>
      <c r="T140" s="54"/>
      <c r="U140" s="54"/>
      <c r="V140" s="54"/>
      <c r="W140" s="35"/>
      <c r="X140" s="35"/>
      <c r="Y140" s="54"/>
      <c r="Z140" s="54"/>
      <c r="AA140" s="35"/>
      <c r="AB140" s="35"/>
      <c r="AC140" s="35"/>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1"/>
      <c r="BE140" s="124"/>
      <c r="BF140" s="124"/>
      <c r="BG140" s="124"/>
      <c r="BH140" s="124"/>
      <c r="BI140" s="124"/>
      <c r="BJ140" s="124"/>
      <c r="BK140" s="124"/>
      <c r="BL140" s="124"/>
      <c r="BM140" s="124"/>
      <c r="BN140" s="124"/>
      <c r="BO140" s="124"/>
      <c r="BP140" s="124"/>
      <c r="BQ140" s="124"/>
      <c r="BR140" s="124"/>
      <c r="BS140" s="124"/>
      <c r="BT140" s="124"/>
    </row>
    <row r="141" spans="1:72" s="123" customFormat="1" ht="15">
      <c r="A141" s="35"/>
      <c r="B141" s="35"/>
      <c r="C141" s="35"/>
      <c r="D141" s="35"/>
      <c r="E141" s="35"/>
      <c r="F141" s="35"/>
      <c r="G141" s="35"/>
      <c r="H141" s="35"/>
      <c r="I141" s="35"/>
      <c r="J141" s="35"/>
      <c r="K141" s="35"/>
      <c r="L141" s="35"/>
      <c r="M141" s="35"/>
      <c r="N141" s="35"/>
      <c r="O141" s="35"/>
      <c r="P141" s="35"/>
      <c r="Q141" s="35"/>
      <c r="R141" s="35"/>
      <c r="S141" s="54"/>
      <c r="T141" s="54"/>
      <c r="U141" s="54"/>
      <c r="V141" s="54"/>
      <c r="W141" s="35"/>
      <c r="X141" s="35"/>
      <c r="Y141" s="54"/>
      <c r="Z141" s="54"/>
      <c r="AA141" s="35"/>
      <c r="AB141" s="35"/>
      <c r="AC141" s="35"/>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1"/>
      <c r="BE141" s="124"/>
      <c r="BF141" s="124"/>
      <c r="BG141" s="124"/>
      <c r="BH141" s="124"/>
      <c r="BI141" s="124"/>
      <c r="BJ141" s="124"/>
      <c r="BK141" s="124"/>
      <c r="BL141" s="124"/>
      <c r="BM141" s="124"/>
      <c r="BN141" s="124"/>
      <c r="BO141" s="124"/>
      <c r="BP141" s="124"/>
      <c r="BQ141" s="124"/>
      <c r="BR141" s="124"/>
      <c r="BS141" s="124"/>
      <c r="BT141" s="124"/>
    </row>
    <row r="142" spans="1:72" s="123" customFormat="1" ht="15">
      <c r="A142" s="35"/>
      <c r="B142" s="35"/>
      <c r="C142" s="35"/>
      <c r="D142" s="35"/>
      <c r="E142" s="35"/>
      <c r="F142" s="35"/>
      <c r="G142" s="35"/>
      <c r="H142" s="35"/>
      <c r="I142" s="35"/>
      <c r="J142" s="35"/>
      <c r="K142" s="35"/>
      <c r="L142" s="35"/>
      <c r="M142" s="35"/>
      <c r="N142" s="35"/>
      <c r="O142" s="35"/>
      <c r="P142" s="35"/>
      <c r="Q142" s="35"/>
      <c r="R142" s="35"/>
      <c r="S142" s="54"/>
      <c r="T142" s="54"/>
      <c r="U142" s="54"/>
      <c r="V142" s="54"/>
      <c r="W142" s="35"/>
      <c r="X142" s="35"/>
      <c r="Y142" s="54"/>
      <c r="Z142" s="54"/>
      <c r="AA142" s="35"/>
      <c r="AB142" s="35"/>
      <c r="AC142" s="35"/>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1"/>
      <c r="BE142" s="124"/>
      <c r="BF142" s="124"/>
      <c r="BG142" s="124"/>
      <c r="BH142" s="124"/>
      <c r="BI142" s="124"/>
      <c r="BJ142" s="124"/>
      <c r="BK142" s="124"/>
      <c r="BL142" s="124"/>
      <c r="BM142" s="124"/>
      <c r="BN142" s="124"/>
      <c r="BO142" s="124"/>
      <c r="BP142" s="124"/>
      <c r="BQ142" s="124"/>
      <c r="BR142" s="124"/>
      <c r="BS142" s="124"/>
      <c r="BT142" s="124"/>
    </row>
    <row r="143" spans="1:72" s="123" customFormat="1" ht="15">
      <c r="A143" s="35"/>
      <c r="B143" s="35"/>
      <c r="C143" s="35"/>
      <c r="D143" s="35"/>
      <c r="E143" s="35"/>
      <c r="F143" s="35"/>
      <c r="G143" s="35"/>
      <c r="H143" s="35"/>
      <c r="I143" s="35"/>
      <c r="J143" s="35"/>
      <c r="K143" s="35"/>
      <c r="L143" s="35"/>
      <c r="M143" s="35"/>
      <c r="N143" s="35"/>
      <c r="O143" s="35"/>
      <c r="P143" s="35"/>
      <c r="Q143" s="35"/>
      <c r="R143" s="35"/>
      <c r="S143" s="54"/>
      <c r="T143" s="54"/>
      <c r="U143" s="54"/>
      <c r="V143" s="54"/>
      <c r="W143" s="35"/>
      <c r="X143" s="35"/>
      <c r="Y143" s="54"/>
      <c r="Z143" s="54"/>
      <c r="AA143" s="35"/>
      <c r="AB143" s="35"/>
      <c r="AC143" s="35"/>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1"/>
      <c r="BE143" s="124"/>
      <c r="BF143" s="124"/>
      <c r="BG143" s="124"/>
      <c r="BH143" s="124"/>
      <c r="BI143" s="124"/>
      <c r="BJ143" s="124"/>
      <c r="BK143" s="124"/>
      <c r="BL143" s="124"/>
      <c r="BM143" s="124"/>
      <c r="BN143" s="124"/>
      <c r="BO143" s="124"/>
      <c r="BP143" s="124"/>
      <c r="BQ143" s="124"/>
      <c r="BR143" s="124"/>
      <c r="BS143" s="124"/>
      <c r="BT143" s="124"/>
    </row>
    <row r="144" spans="1:72" s="123" customFormat="1" ht="15">
      <c r="A144" s="35"/>
      <c r="B144" s="35"/>
      <c r="C144" s="35"/>
      <c r="D144" s="35"/>
      <c r="E144" s="35"/>
      <c r="F144" s="35"/>
      <c r="G144" s="35"/>
      <c r="H144" s="35"/>
      <c r="I144" s="35"/>
      <c r="J144" s="35"/>
      <c r="K144" s="35"/>
      <c r="L144" s="35"/>
      <c r="M144" s="35"/>
      <c r="N144" s="35"/>
      <c r="O144" s="35"/>
      <c r="P144" s="35"/>
      <c r="Q144" s="35"/>
      <c r="R144" s="35"/>
      <c r="S144" s="54"/>
      <c r="T144" s="54"/>
      <c r="U144" s="54"/>
      <c r="V144" s="54"/>
      <c r="W144" s="35"/>
      <c r="X144" s="35"/>
      <c r="Y144" s="54"/>
      <c r="Z144" s="54"/>
      <c r="AA144" s="35"/>
      <c r="AB144" s="35"/>
      <c r="AC144" s="35"/>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1"/>
      <c r="BE144" s="124"/>
      <c r="BF144" s="124"/>
      <c r="BG144" s="124"/>
      <c r="BH144" s="124"/>
      <c r="BI144" s="124"/>
      <c r="BJ144" s="124"/>
      <c r="BK144" s="124"/>
      <c r="BL144" s="124"/>
      <c r="BM144" s="124"/>
      <c r="BN144" s="124"/>
      <c r="BO144" s="124"/>
      <c r="BP144" s="124"/>
      <c r="BQ144" s="124"/>
      <c r="BR144" s="124"/>
      <c r="BS144" s="124"/>
      <c r="BT144" s="124"/>
    </row>
    <row r="145" spans="1:72" s="123" customFormat="1" ht="15">
      <c r="A145" s="35"/>
      <c r="B145" s="35"/>
      <c r="C145" s="35"/>
      <c r="D145" s="35"/>
      <c r="E145" s="35"/>
      <c r="F145" s="35"/>
      <c r="G145" s="35"/>
      <c r="H145" s="35"/>
      <c r="I145" s="35"/>
      <c r="J145" s="35"/>
      <c r="K145" s="35"/>
      <c r="L145" s="35"/>
      <c r="M145" s="35"/>
      <c r="N145" s="35"/>
      <c r="O145" s="35"/>
      <c r="P145" s="35"/>
      <c r="Q145" s="35"/>
      <c r="R145" s="35"/>
      <c r="S145" s="54"/>
      <c r="T145" s="54"/>
      <c r="U145" s="54"/>
      <c r="V145" s="54"/>
      <c r="W145" s="35"/>
      <c r="X145" s="35"/>
      <c r="Y145" s="54"/>
      <c r="Z145" s="54"/>
      <c r="AA145" s="35"/>
      <c r="AB145" s="35"/>
      <c r="AC145" s="35"/>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1"/>
      <c r="BE145" s="124"/>
      <c r="BF145" s="124"/>
      <c r="BG145" s="124"/>
      <c r="BH145" s="124"/>
      <c r="BI145" s="124"/>
      <c r="BJ145" s="124"/>
      <c r="BK145" s="124"/>
      <c r="BL145" s="124"/>
      <c r="BM145" s="124"/>
      <c r="BN145" s="124"/>
      <c r="BO145" s="124"/>
      <c r="BP145" s="124"/>
      <c r="BQ145" s="124"/>
      <c r="BR145" s="124"/>
      <c r="BS145" s="124"/>
      <c r="BT145" s="124"/>
    </row>
    <row r="146" spans="1:72" s="123" customFormat="1" ht="15">
      <c r="A146" s="35"/>
      <c r="B146" s="35"/>
      <c r="C146" s="35"/>
      <c r="D146" s="35"/>
      <c r="E146" s="35"/>
      <c r="F146" s="35"/>
      <c r="G146" s="35"/>
      <c r="H146" s="35"/>
      <c r="I146" s="35"/>
      <c r="J146" s="35"/>
      <c r="K146" s="35"/>
      <c r="L146" s="35"/>
      <c r="M146" s="35"/>
      <c r="N146" s="35"/>
      <c r="O146" s="35"/>
      <c r="P146" s="35"/>
      <c r="Q146" s="35"/>
      <c r="R146" s="35"/>
      <c r="S146" s="54"/>
      <c r="T146" s="54"/>
      <c r="U146" s="54"/>
      <c r="V146" s="54"/>
      <c r="W146" s="35"/>
      <c r="X146" s="35"/>
      <c r="Y146" s="54"/>
      <c r="Z146" s="54"/>
      <c r="AA146" s="35"/>
      <c r="AB146" s="35"/>
      <c r="AC146" s="35"/>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1"/>
      <c r="BE146" s="124"/>
      <c r="BF146" s="124"/>
      <c r="BG146" s="124"/>
      <c r="BH146" s="124"/>
      <c r="BI146" s="124"/>
      <c r="BJ146" s="124"/>
      <c r="BK146" s="124"/>
      <c r="BL146" s="124"/>
      <c r="BM146" s="124"/>
      <c r="BN146" s="124"/>
      <c r="BO146" s="124"/>
      <c r="BP146" s="124"/>
      <c r="BQ146" s="124"/>
      <c r="BR146" s="124"/>
      <c r="BS146" s="124"/>
      <c r="BT146" s="124"/>
    </row>
    <row r="147" spans="1:72" s="123" customFormat="1" ht="15">
      <c r="A147" s="35"/>
      <c r="B147" s="35"/>
      <c r="C147" s="35"/>
      <c r="D147" s="35"/>
      <c r="E147" s="35"/>
      <c r="F147" s="35"/>
      <c r="G147" s="35"/>
      <c r="H147" s="35"/>
      <c r="I147" s="35"/>
      <c r="J147" s="35"/>
      <c r="K147" s="35"/>
      <c r="L147" s="35"/>
      <c r="M147" s="35"/>
      <c r="N147" s="35"/>
      <c r="O147" s="35"/>
      <c r="P147" s="35"/>
      <c r="Q147" s="35"/>
      <c r="R147" s="35"/>
      <c r="S147" s="54"/>
      <c r="T147" s="54"/>
      <c r="U147" s="54"/>
      <c r="V147" s="54"/>
      <c r="W147" s="35"/>
      <c r="X147" s="35"/>
      <c r="Y147" s="54"/>
      <c r="Z147" s="54"/>
      <c r="AA147" s="35"/>
      <c r="AB147" s="35"/>
      <c r="AC147" s="35"/>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1"/>
      <c r="BE147" s="124"/>
      <c r="BF147" s="124"/>
      <c r="BG147" s="124"/>
      <c r="BH147" s="124"/>
      <c r="BI147" s="124"/>
      <c r="BJ147" s="124"/>
      <c r="BK147" s="124"/>
      <c r="BL147" s="124"/>
      <c r="BM147" s="124"/>
      <c r="BN147" s="124"/>
      <c r="BO147" s="124"/>
      <c r="BP147" s="124"/>
      <c r="BQ147" s="124"/>
      <c r="BR147" s="124"/>
      <c r="BS147" s="124"/>
      <c r="BT147" s="124"/>
    </row>
    <row r="148" spans="1:72" s="123" customFormat="1" ht="15">
      <c r="A148" s="35"/>
      <c r="B148" s="35"/>
      <c r="C148" s="35"/>
      <c r="D148" s="35"/>
      <c r="E148" s="35"/>
      <c r="F148" s="35"/>
      <c r="G148" s="35"/>
      <c r="H148" s="35"/>
      <c r="I148" s="35"/>
      <c r="J148" s="35"/>
      <c r="K148" s="35"/>
      <c r="L148" s="35"/>
      <c r="M148" s="35"/>
      <c r="N148" s="35"/>
      <c r="O148" s="35"/>
      <c r="P148" s="35"/>
      <c r="Q148" s="35"/>
      <c r="R148" s="35"/>
      <c r="S148" s="54"/>
      <c r="T148" s="54"/>
      <c r="U148" s="54"/>
      <c r="V148" s="54"/>
      <c r="W148" s="35"/>
      <c r="X148" s="35"/>
      <c r="Y148" s="54"/>
      <c r="Z148" s="54"/>
      <c r="AA148" s="35"/>
      <c r="AB148" s="35"/>
      <c r="AC148" s="35"/>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1"/>
      <c r="BE148" s="124"/>
      <c r="BF148" s="124"/>
      <c r="BG148" s="124"/>
      <c r="BH148" s="124"/>
      <c r="BI148" s="124"/>
      <c r="BJ148" s="124"/>
      <c r="BK148" s="124"/>
      <c r="BL148" s="124"/>
      <c r="BM148" s="124"/>
      <c r="BN148" s="124"/>
      <c r="BO148" s="124"/>
      <c r="BP148" s="124"/>
      <c r="BQ148" s="124"/>
      <c r="BR148" s="124"/>
      <c r="BS148" s="124"/>
      <c r="BT148" s="124"/>
    </row>
    <row r="149" spans="1:72" s="123" customFormat="1" ht="15">
      <c r="A149" s="35"/>
      <c r="B149" s="35"/>
      <c r="C149" s="35"/>
      <c r="D149" s="35"/>
      <c r="E149" s="35"/>
      <c r="F149" s="35"/>
      <c r="G149" s="35"/>
      <c r="H149" s="35"/>
      <c r="I149" s="35"/>
      <c r="J149" s="35"/>
      <c r="K149" s="35"/>
      <c r="L149" s="35"/>
      <c r="M149" s="35"/>
      <c r="N149" s="35"/>
      <c r="O149" s="35"/>
      <c r="P149" s="35"/>
      <c r="Q149" s="35"/>
      <c r="R149" s="35"/>
      <c r="S149" s="54"/>
      <c r="T149" s="54"/>
      <c r="U149" s="54"/>
      <c r="V149" s="54"/>
      <c r="W149" s="35"/>
      <c r="X149" s="35"/>
      <c r="Y149" s="54"/>
      <c r="Z149" s="54"/>
      <c r="AA149" s="35"/>
      <c r="AB149" s="35"/>
      <c r="AC149" s="35"/>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1"/>
      <c r="BE149" s="124"/>
      <c r="BF149" s="124"/>
      <c r="BG149" s="124"/>
      <c r="BH149" s="124"/>
      <c r="BI149" s="124"/>
      <c r="BJ149" s="124"/>
      <c r="BK149" s="124"/>
      <c r="BL149" s="124"/>
      <c r="BM149" s="124"/>
      <c r="BN149" s="124"/>
      <c r="BO149" s="124"/>
      <c r="BP149" s="124"/>
      <c r="BQ149" s="124"/>
      <c r="BR149" s="124"/>
      <c r="BS149" s="124"/>
      <c r="BT149" s="124"/>
    </row>
    <row r="150" spans="1:72" s="123" customFormat="1" ht="15">
      <c r="A150" s="35"/>
      <c r="B150" s="35"/>
      <c r="C150" s="35"/>
      <c r="D150" s="35"/>
      <c r="E150" s="35"/>
      <c r="F150" s="35"/>
      <c r="G150" s="35"/>
      <c r="H150" s="35"/>
      <c r="I150" s="35"/>
      <c r="J150" s="35"/>
      <c r="K150" s="35"/>
      <c r="L150" s="35"/>
      <c r="M150" s="35"/>
      <c r="N150" s="35"/>
      <c r="O150" s="35"/>
      <c r="P150" s="35"/>
      <c r="Q150" s="35"/>
      <c r="R150" s="35"/>
      <c r="S150" s="54"/>
      <c r="T150" s="54"/>
      <c r="U150" s="54"/>
      <c r="V150" s="54"/>
      <c r="W150" s="35"/>
      <c r="X150" s="35"/>
      <c r="Y150" s="54"/>
      <c r="Z150" s="54"/>
      <c r="AA150" s="35"/>
      <c r="AB150" s="35"/>
      <c r="AC150" s="35"/>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1"/>
      <c r="BE150" s="124"/>
      <c r="BF150" s="124"/>
      <c r="BG150" s="124"/>
      <c r="BH150" s="124"/>
      <c r="BI150" s="124"/>
      <c r="BJ150" s="124"/>
      <c r="BK150" s="124"/>
      <c r="BL150" s="124"/>
      <c r="BM150" s="124"/>
      <c r="BN150" s="124"/>
      <c r="BO150" s="124"/>
      <c r="BP150" s="124"/>
      <c r="BQ150" s="124"/>
      <c r="BR150" s="124"/>
      <c r="BS150" s="124"/>
      <c r="BT150" s="124"/>
    </row>
    <row r="151" spans="1:72" s="123" customFormat="1" ht="15">
      <c r="A151" s="35"/>
      <c r="B151" s="35"/>
      <c r="C151" s="35"/>
      <c r="D151" s="35"/>
      <c r="E151" s="35"/>
      <c r="F151" s="35"/>
      <c r="G151" s="35"/>
      <c r="H151" s="35"/>
      <c r="I151" s="35"/>
      <c r="J151" s="35"/>
      <c r="K151" s="35"/>
      <c r="L151" s="35"/>
      <c r="M151" s="35"/>
      <c r="N151" s="35"/>
      <c r="O151" s="35"/>
      <c r="P151" s="35"/>
      <c r="Q151" s="35"/>
      <c r="R151" s="35"/>
      <c r="S151" s="54"/>
      <c r="T151" s="54"/>
      <c r="U151" s="54"/>
      <c r="V151" s="54"/>
      <c r="W151" s="35"/>
      <c r="X151" s="35"/>
      <c r="Y151" s="54"/>
      <c r="Z151" s="54"/>
      <c r="AA151" s="35"/>
      <c r="AB151" s="35"/>
      <c r="AC151" s="35"/>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1"/>
      <c r="BE151" s="124"/>
      <c r="BF151" s="124"/>
      <c r="BG151" s="124"/>
      <c r="BH151" s="124"/>
      <c r="BI151" s="124"/>
      <c r="BJ151" s="124"/>
      <c r="BK151" s="124"/>
      <c r="BL151" s="124"/>
      <c r="BM151" s="124"/>
      <c r="BN151" s="124"/>
      <c r="BO151" s="124"/>
      <c r="BP151" s="124"/>
      <c r="BQ151" s="124"/>
      <c r="BR151" s="124"/>
      <c r="BS151" s="124"/>
      <c r="BT151" s="124"/>
    </row>
    <row r="152" spans="1:72" s="123" customFormat="1" ht="15">
      <c r="A152" s="35"/>
      <c r="B152" s="35"/>
      <c r="C152" s="35"/>
      <c r="D152" s="35"/>
      <c r="E152" s="35"/>
      <c r="F152" s="35"/>
      <c r="G152" s="35"/>
      <c r="H152" s="35"/>
      <c r="I152" s="35"/>
      <c r="J152" s="35"/>
      <c r="K152" s="35"/>
      <c r="L152" s="35"/>
      <c r="M152" s="35"/>
      <c r="N152" s="35"/>
      <c r="O152" s="35"/>
      <c r="P152" s="35"/>
      <c r="Q152" s="35"/>
      <c r="R152" s="35"/>
      <c r="S152" s="54"/>
      <c r="T152" s="54"/>
      <c r="U152" s="54"/>
      <c r="V152" s="54"/>
      <c r="W152" s="35"/>
      <c r="X152" s="35"/>
      <c r="Y152" s="54"/>
      <c r="Z152" s="54"/>
      <c r="AA152" s="35"/>
      <c r="AB152" s="35"/>
      <c r="AC152" s="35"/>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1"/>
      <c r="BE152" s="124"/>
      <c r="BF152" s="124"/>
      <c r="BG152" s="124"/>
      <c r="BH152" s="124"/>
      <c r="BI152" s="124"/>
      <c r="BJ152" s="124"/>
      <c r="BK152" s="124"/>
      <c r="BL152" s="124"/>
      <c r="BM152" s="124"/>
      <c r="BN152" s="124"/>
      <c r="BO152" s="124"/>
      <c r="BP152" s="124"/>
      <c r="BQ152" s="124"/>
      <c r="BR152" s="124"/>
      <c r="BS152" s="124"/>
      <c r="BT152" s="124"/>
    </row>
    <row r="153" spans="1:72" s="123" customFormat="1" ht="15">
      <c r="A153" s="35"/>
      <c r="B153" s="35"/>
      <c r="C153" s="35"/>
      <c r="D153" s="35"/>
      <c r="E153" s="35"/>
      <c r="F153" s="35"/>
      <c r="G153" s="35"/>
      <c r="H153" s="35"/>
      <c r="I153" s="35"/>
      <c r="J153" s="35"/>
      <c r="K153" s="35"/>
      <c r="L153" s="35"/>
      <c r="M153" s="35"/>
      <c r="N153" s="35"/>
      <c r="O153" s="35"/>
      <c r="P153" s="35"/>
      <c r="Q153" s="35"/>
      <c r="R153" s="35"/>
      <c r="S153" s="54"/>
      <c r="T153" s="54"/>
      <c r="U153" s="54"/>
      <c r="V153" s="54"/>
      <c r="W153" s="35"/>
      <c r="X153" s="35"/>
      <c r="Y153" s="54"/>
      <c r="Z153" s="54"/>
      <c r="AA153" s="35"/>
      <c r="AB153" s="35"/>
      <c r="AC153" s="35"/>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1"/>
      <c r="BE153" s="124"/>
      <c r="BF153" s="124"/>
      <c r="BG153" s="124"/>
      <c r="BH153" s="124"/>
      <c r="BI153" s="124"/>
      <c r="BJ153" s="124"/>
      <c r="BK153" s="124"/>
      <c r="BL153" s="124"/>
      <c r="BM153" s="124"/>
      <c r="BN153" s="124"/>
      <c r="BO153" s="124"/>
      <c r="BP153" s="124"/>
      <c r="BQ153" s="124"/>
      <c r="BR153" s="124"/>
      <c r="BS153" s="124"/>
      <c r="BT153" s="124"/>
    </row>
    <row r="154" spans="1:72" s="123" customFormat="1" ht="15">
      <c r="A154" s="35"/>
      <c r="B154" s="35"/>
      <c r="C154" s="35"/>
      <c r="D154" s="35"/>
      <c r="E154" s="35"/>
      <c r="F154" s="35"/>
      <c r="G154" s="35"/>
      <c r="H154" s="35"/>
      <c r="I154" s="35"/>
      <c r="J154" s="35"/>
      <c r="K154" s="35"/>
      <c r="L154" s="35"/>
      <c r="M154" s="35"/>
      <c r="N154" s="35"/>
      <c r="O154" s="35"/>
      <c r="P154" s="35"/>
      <c r="Q154" s="35"/>
      <c r="R154" s="35"/>
      <c r="S154" s="54"/>
      <c r="T154" s="54"/>
      <c r="U154" s="54"/>
      <c r="V154" s="54"/>
      <c r="W154" s="35"/>
      <c r="X154" s="35"/>
      <c r="Y154" s="54"/>
      <c r="Z154" s="54"/>
      <c r="AA154" s="35"/>
      <c r="AB154" s="35"/>
      <c r="AC154" s="35"/>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1"/>
      <c r="BE154" s="124"/>
      <c r="BF154" s="124"/>
      <c r="BG154" s="124"/>
      <c r="BH154" s="124"/>
      <c r="BI154" s="124"/>
      <c r="BJ154" s="124"/>
      <c r="BK154" s="124"/>
      <c r="BL154" s="124"/>
      <c r="BM154" s="124"/>
      <c r="BN154" s="124"/>
      <c r="BO154" s="124"/>
      <c r="BP154" s="124"/>
      <c r="BQ154" s="124"/>
      <c r="BR154" s="124"/>
      <c r="BS154" s="124"/>
      <c r="BT154" s="124"/>
    </row>
    <row r="155" spans="1:72" s="123" customFormat="1" ht="15">
      <c r="A155" s="35"/>
      <c r="B155" s="35"/>
      <c r="C155" s="35"/>
      <c r="D155" s="35"/>
      <c r="E155" s="35"/>
      <c r="F155" s="35"/>
      <c r="G155" s="35"/>
      <c r="H155" s="35"/>
      <c r="I155" s="35"/>
      <c r="J155" s="35"/>
      <c r="K155" s="35"/>
      <c r="L155" s="35"/>
      <c r="M155" s="35"/>
      <c r="N155" s="35"/>
      <c r="O155" s="35"/>
      <c r="P155" s="35"/>
      <c r="Q155" s="35"/>
      <c r="R155" s="35"/>
      <c r="S155" s="54"/>
      <c r="T155" s="54"/>
      <c r="U155" s="54"/>
      <c r="V155" s="54"/>
      <c r="W155" s="35"/>
      <c r="X155" s="35"/>
      <c r="Y155" s="54"/>
      <c r="Z155" s="54"/>
      <c r="AA155" s="35"/>
      <c r="AB155" s="35"/>
      <c r="AC155" s="35"/>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1"/>
      <c r="BE155" s="124"/>
      <c r="BF155" s="124"/>
      <c r="BG155" s="124"/>
      <c r="BH155" s="124"/>
      <c r="BI155" s="124"/>
      <c r="BJ155" s="124"/>
      <c r="BK155" s="124"/>
      <c r="BL155" s="124"/>
      <c r="BM155" s="124"/>
      <c r="BN155" s="124"/>
      <c r="BO155" s="124"/>
      <c r="BP155" s="124"/>
      <c r="BQ155" s="124"/>
      <c r="BR155" s="124"/>
      <c r="BS155" s="124"/>
      <c r="BT155" s="124"/>
    </row>
    <row r="156" spans="1:72" s="123" customFormat="1" ht="15">
      <c r="A156" s="35"/>
      <c r="B156" s="35"/>
      <c r="C156" s="35"/>
      <c r="D156" s="35"/>
      <c r="E156" s="35"/>
      <c r="F156" s="35"/>
      <c r="G156" s="35"/>
      <c r="H156" s="35"/>
      <c r="I156" s="35"/>
      <c r="J156" s="35"/>
      <c r="K156" s="35"/>
      <c r="L156" s="35"/>
      <c r="M156" s="35"/>
      <c r="N156" s="35"/>
      <c r="O156" s="35"/>
      <c r="P156" s="35"/>
      <c r="Q156" s="35"/>
      <c r="R156" s="35"/>
      <c r="S156" s="54"/>
      <c r="T156" s="54"/>
      <c r="U156" s="54"/>
      <c r="V156" s="54"/>
      <c r="W156" s="35"/>
      <c r="X156" s="35"/>
      <c r="Y156" s="54"/>
      <c r="Z156" s="54"/>
      <c r="AA156" s="35"/>
      <c r="AB156" s="35"/>
      <c r="AC156" s="35"/>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1"/>
      <c r="BE156" s="124"/>
      <c r="BF156" s="124"/>
      <c r="BG156" s="124"/>
      <c r="BH156" s="124"/>
      <c r="BI156" s="124"/>
      <c r="BJ156" s="124"/>
      <c r="BK156" s="124"/>
      <c r="BL156" s="124"/>
      <c r="BM156" s="124"/>
      <c r="BN156" s="124"/>
      <c r="BO156" s="124"/>
      <c r="BP156" s="124"/>
      <c r="BQ156" s="124"/>
      <c r="BR156" s="124"/>
      <c r="BS156" s="124"/>
      <c r="BT156" s="124"/>
    </row>
    <row r="157" spans="1:72" s="123" customFormat="1" ht="15">
      <c r="A157" s="35"/>
      <c r="B157" s="35"/>
      <c r="C157" s="35"/>
      <c r="D157" s="35"/>
      <c r="E157" s="35"/>
      <c r="F157" s="35"/>
      <c r="G157" s="35"/>
      <c r="H157" s="35"/>
      <c r="I157" s="35"/>
      <c r="J157" s="35"/>
      <c r="K157" s="35"/>
      <c r="L157" s="35"/>
      <c r="M157" s="35"/>
      <c r="N157" s="35"/>
      <c r="O157" s="35"/>
      <c r="P157" s="35"/>
      <c r="Q157" s="35"/>
      <c r="R157" s="35"/>
      <c r="S157" s="54"/>
      <c r="T157" s="54"/>
      <c r="U157" s="54"/>
      <c r="V157" s="54"/>
      <c r="W157" s="35"/>
      <c r="X157" s="35"/>
      <c r="Y157" s="54"/>
      <c r="Z157" s="54"/>
      <c r="AA157" s="35"/>
      <c r="AB157" s="35"/>
      <c r="AC157" s="35"/>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1"/>
      <c r="BE157" s="124"/>
      <c r="BF157" s="124"/>
      <c r="BG157" s="124"/>
      <c r="BH157" s="124"/>
      <c r="BI157" s="124"/>
      <c r="BJ157" s="124"/>
      <c r="BK157" s="124"/>
      <c r="BL157" s="124"/>
      <c r="BM157" s="124"/>
      <c r="BN157" s="124"/>
      <c r="BO157" s="124"/>
      <c r="BP157" s="124"/>
      <c r="BQ157" s="124"/>
      <c r="BR157" s="124"/>
      <c r="BS157" s="124"/>
      <c r="BT157" s="124"/>
    </row>
    <row r="158" spans="1:72" s="123" customFormat="1" ht="15">
      <c r="A158" s="35"/>
      <c r="B158" s="35"/>
      <c r="C158" s="35"/>
      <c r="D158" s="35"/>
      <c r="E158" s="35"/>
      <c r="F158" s="35"/>
      <c r="G158" s="35"/>
      <c r="H158" s="35"/>
      <c r="I158" s="35"/>
      <c r="J158" s="35"/>
      <c r="K158" s="35"/>
      <c r="L158" s="35"/>
      <c r="M158" s="35"/>
      <c r="N158" s="35"/>
      <c r="O158" s="35"/>
      <c r="P158" s="35"/>
      <c r="Q158" s="35"/>
      <c r="R158" s="35"/>
      <c r="S158" s="54"/>
      <c r="T158" s="54"/>
      <c r="U158" s="54"/>
      <c r="V158" s="54"/>
      <c r="W158" s="35"/>
      <c r="X158" s="35"/>
      <c r="Y158" s="54"/>
      <c r="Z158" s="54"/>
      <c r="AA158" s="35"/>
      <c r="AB158" s="35"/>
      <c r="AC158" s="35"/>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1"/>
      <c r="BE158" s="124"/>
      <c r="BF158" s="124"/>
      <c r="BG158" s="124"/>
      <c r="BH158" s="124"/>
      <c r="BI158" s="124"/>
      <c r="BJ158" s="124"/>
      <c r="BK158" s="124"/>
      <c r="BL158" s="124"/>
      <c r="BM158" s="124"/>
      <c r="BN158" s="124"/>
      <c r="BO158" s="124"/>
      <c r="BP158" s="124"/>
      <c r="BQ158" s="124"/>
      <c r="BR158" s="124"/>
      <c r="BS158" s="124"/>
      <c r="BT158" s="124"/>
    </row>
    <row r="159" spans="1:72" s="123" customFormat="1" ht="15">
      <c r="A159" s="35"/>
      <c r="B159" s="35"/>
      <c r="C159" s="35"/>
      <c r="D159" s="35"/>
      <c r="E159" s="35"/>
      <c r="F159" s="35"/>
      <c r="G159" s="35"/>
      <c r="H159" s="35"/>
      <c r="I159" s="35"/>
      <c r="J159" s="35"/>
      <c r="K159" s="35"/>
      <c r="L159" s="35"/>
      <c r="M159" s="35"/>
      <c r="N159" s="35"/>
      <c r="O159" s="35"/>
      <c r="P159" s="35"/>
      <c r="Q159" s="35"/>
      <c r="R159" s="35"/>
      <c r="S159" s="54"/>
      <c r="T159" s="54"/>
      <c r="U159" s="54"/>
      <c r="V159" s="54"/>
      <c r="W159" s="35"/>
      <c r="X159" s="35"/>
      <c r="Y159" s="54"/>
      <c r="Z159" s="54"/>
      <c r="AA159" s="35"/>
      <c r="AB159" s="35"/>
      <c r="AC159" s="35"/>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1"/>
      <c r="BE159" s="124"/>
      <c r="BF159" s="124"/>
      <c r="BG159" s="124"/>
      <c r="BH159" s="124"/>
      <c r="BI159" s="124"/>
      <c r="BJ159" s="124"/>
      <c r="BK159" s="124"/>
      <c r="BL159" s="124"/>
      <c r="BM159" s="124"/>
      <c r="BN159" s="124"/>
      <c r="BO159" s="124"/>
      <c r="BP159" s="124"/>
      <c r="BQ159" s="124"/>
      <c r="BR159" s="124"/>
      <c r="BS159" s="124"/>
      <c r="BT159" s="124"/>
    </row>
    <row r="160" spans="1:72" s="123" customFormat="1" ht="15">
      <c r="A160" s="35"/>
      <c r="B160" s="35"/>
      <c r="C160" s="35"/>
      <c r="D160" s="35"/>
      <c r="E160" s="35"/>
      <c r="F160" s="35"/>
      <c r="G160" s="35"/>
      <c r="H160" s="35"/>
      <c r="I160" s="35"/>
      <c r="J160" s="35"/>
      <c r="K160" s="35"/>
      <c r="L160" s="35"/>
      <c r="M160" s="35"/>
      <c r="N160" s="35"/>
      <c r="O160" s="35"/>
      <c r="P160" s="35"/>
      <c r="Q160" s="35"/>
      <c r="R160" s="35"/>
      <c r="S160" s="54"/>
      <c r="T160" s="54"/>
      <c r="U160" s="54"/>
      <c r="V160" s="54"/>
      <c r="W160" s="35"/>
      <c r="X160" s="35"/>
      <c r="Y160" s="54"/>
      <c r="Z160" s="54"/>
      <c r="AA160" s="35"/>
      <c r="AB160" s="35"/>
      <c r="AC160" s="35"/>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1"/>
      <c r="BE160" s="124"/>
      <c r="BF160" s="124"/>
      <c r="BG160" s="124"/>
      <c r="BH160" s="124"/>
      <c r="BI160" s="124"/>
      <c r="BJ160" s="124"/>
      <c r="BK160" s="124"/>
      <c r="BL160" s="124"/>
      <c r="BM160" s="124"/>
      <c r="BN160" s="124"/>
      <c r="BO160" s="124"/>
      <c r="BP160" s="124"/>
      <c r="BQ160" s="124"/>
      <c r="BR160" s="124"/>
      <c r="BS160" s="124"/>
      <c r="BT160" s="124"/>
    </row>
    <row r="161" spans="1:72" s="123" customFormat="1" ht="15">
      <c r="A161" s="35"/>
      <c r="B161" s="35"/>
      <c r="C161" s="35"/>
      <c r="D161" s="35"/>
      <c r="E161" s="35"/>
      <c r="F161" s="35"/>
      <c r="G161" s="35"/>
      <c r="H161" s="35"/>
      <c r="I161" s="35"/>
      <c r="J161" s="35"/>
      <c r="K161" s="35"/>
      <c r="L161" s="35"/>
      <c r="M161" s="35"/>
      <c r="N161" s="35"/>
      <c r="O161" s="35"/>
      <c r="P161" s="35"/>
      <c r="Q161" s="35"/>
      <c r="R161" s="35"/>
      <c r="S161" s="54"/>
      <c r="T161" s="54"/>
      <c r="U161" s="54"/>
      <c r="V161" s="54"/>
      <c r="W161" s="35"/>
      <c r="X161" s="35"/>
      <c r="Y161" s="54"/>
      <c r="Z161" s="54"/>
      <c r="AA161" s="35"/>
      <c r="AB161" s="35"/>
      <c r="AC161" s="35"/>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1"/>
      <c r="BE161" s="124"/>
      <c r="BF161" s="124"/>
      <c r="BG161" s="124"/>
      <c r="BH161" s="124"/>
      <c r="BI161" s="124"/>
      <c r="BJ161" s="124"/>
      <c r="BK161" s="124"/>
      <c r="BL161" s="124"/>
      <c r="BM161" s="124"/>
      <c r="BN161" s="124"/>
      <c r="BO161" s="124"/>
      <c r="BP161" s="124"/>
      <c r="BQ161" s="124"/>
      <c r="BR161" s="124"/>
      <c r="BS161" s="124"/>
      <c r="BT161" s="124"/>
    </row>
    <row r="162" spans="1:72" s="123" customFormat="1" ht="15">
      <c r="A162" s="35"/>
      <c r="B162" s="35"/>
      <c r="C162" s="35"/>
      <c r="D162" s="35"/>
      <c r="E162" s="35"/>
      <c r="F162" s="35"/>
      <c r="G162" s="35"/>
      <c r="H162" s="35"/>
      <c r="I162" s="35"/>
      <c r="J162" s="35"/>
      <c r="K162" s="35"/>
      <c r="L162" s="35"/>
      <c r="M162" s="35"/>
      <c r="N162" s="35"/>
      <c r="O162" s="35"/>
      <c r="P162" s="35"/>
      <c r="Q162" s="35"/>
      <c r="R162" s="35"/>
      <c r="S162" s="54"/>
      <c r="T162" s="54"/>
      <c r="U162" s="54"/>
      <c r="V162" s="54"/>
      <c r="W162" s="35"/>
      <c r="X162" s="35"/>
      <c r="Y162" s="54"/>
      <c r="Z162" s="54"/>
      <c r="AA162" s="35"/>
      <c r="AB162" s="35"/>
      <c r="AC162" s="35"/>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1"/>
      <c r="BE162" s="124"/>
      <c r="BF162" s="124"/>
      <c r="BG162" s="124"/>
      <c r="BH162" s="124"/>
      <c r="BI162" s="124"/>
      <c r="BJ162" s="124"/>
      <c r="BK162" s="124"/>
      <c r="BL162" s="124"/>
      <c r="BM162" s="124"/>
      <c r="BN162" s="124"/>
      <c r="BO162" s="124"/>
      <c r="BP162" s="124"/>
      <c r="BQ162" s="124"/>
      <c r="BR162" s="124"/>
      <c r="BS162" s="124"/>
      <c r="BT162" s="124"/>
    </row>
    <row r="163" spans="1:72" s="123" customFormat="1" ht="15">
      <c r="A163" s="35"/>
      <c r="B163" s="35"/>
      <c r="C163" s="35"/>
      <c r="D163" s="35"/>
      <c r="E163" s="35"/>
      <c r="F163" s="35"/>
      <c r="G163" s="35"/>
      <c r="H163" s="35"/>
      <c r="I163" s="35"/>
      <c r="J163" s="35"/>
      <c r="K163" s="35"/>
      <c r="L163" s="35"/>
      <c r="M163" s="35"/>
      <c r="N163" s="35"/>
      <c r="O163" s="35"/>
      <c r="P163" s="35"/>
      <c r="Q163" s="35"/>
      <c r="R163" s="35"/>
      <c r="S163" s="54"/>
      <c r="T163" s="54"/>
      <c r="U163" s="54"/>
      <c r="V163" s="54"/>
      <c r="W163" s="35"/>
      <c r="X163" s="35"/>
      <c r="Y163" s="54"/>
      <c r="Z163" s="54"/>
      <c r="AA163" s="35"/>
      <c r="AB163" s="35"/>
      <c r="AC163" s="35"/>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1"/>
      <c r="BE163" s="124"/>
      <c r="BF163" s="124"/>
      <c r="BG163" s="124"/>
      <c r="BH163" s="124"/>
      <c r="BI163" s="124"/>
      <c r="BJ163" s="124"/>
      <c r="BK163" s="124"/>
      <c r="BL163" s="124"/>
      <c r="BM163" s="124"/>
      <c r="BN163" s="124"/>
      <c r="BO163" s="124"/>
      <c r="BP163" s="124"/>
      <c r="BQ163" s="124"/>
      <c r="BR163" s="124"/>
      <c r="BS163" s="124"/>
      <c r="BT163" s="124"/>
    </row>
    <row r="164" spans="1:72" s="123" customFormat="1" ht="15">
      <c r="A164" s="35"/>
      <c r="B164" s="35"/>
      <c r="C164" s="35"/>
      <c r="D164" s="35"/>
      <c r="E164" s="35"/>
      <c r="F164" s="35"/>
      <c r="G164" s="35"/>
      <c r="H164" s="35"/>
      <c r="I164" s="35"/>
      <c r="J164" s="35"/>
      <c r="K164" s="35"/>
      <c r="L164" s="35"/>
      <c r="M164" s="35"/>
      <c r="N164" s="35"/>
      <c r="O164" s="35"/>
      <c r="P164" s="35"/>
      <c r="Q164" s="35"/>
      <c r="R164" s="35"/>
      <c r="S164" s="54"/>
      <c r="T164" s="54"/>
      <c r="U164" s="54"/>
      <c r="V164" s="54"/>
      <c r="W164" s="35"/>
      <c r="X164" s="35"/>
      <c r="Y164" s="54"/>
      <c r="Z164" s="54"/>
      <c r="AA164" s="35"/>
      <c r="AB164" s="35"/>
      <c r="AC164" s="35"/>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1"/>
      <c r="BE164" s="124"/>
      <c r="BF164" s="124"/>
      <c r="BG164" s="124"/>
      <c r="BH164" s="124"/>
      <c r="BI164" s="124"/>
      <c r="BJ164" s="124"/>
      <c r="BK164" s="124"/>
      <c r="BL164" s="124"/>
      <c r="BM164" s="124"/>
      <c r="BN164" s="124"/>
      <c r="BO164" s="124"/>
      <c r="BP164" s="124"/>
      <c r="BQ164" s="124"/>
      <c r="BR164" s="124"/>
      <c r="BS164" s="124"/>
      <c r="BT164" s="124"/>
    </row>
    <row r="165" spans="1:72" s="123" customFormat="1" ht="15">
      <c r="A165" s="35"/>
      <c r="B165" s="35"/>
      <c r="C165" s="35"/>
      <c r="D165" s="35"/>
      <c r="E165" s="35"/>
      <c r="F165" s="35"/>
      <c r="G165" s="35"/>
      <c r="H165" s="35"/>
      <c r="I165" s="35"/>
      <c r="J165" s="35"/>
      <c r="K165" s="35"/>
      <c r="L165" s="35"/>
      <c r="M165" s="35"/>
      <c r="N165" s="35"/>
      <c r="O165" s="35"/>
      <c r="P165" s="35"/>
      <c r="Q165" s="35"/>
      <c r="R165" s="35"/>
      <c r="S165" s="54"/>
      <c r="T165" s="54"/>
      <c r="U165" s="54"/>
      <c r="V165" s="54"/>
      <c r="W165" s="35"/>
      <c r="X165" s="35"/>
      <c r="Y165" s="54"/>
      <c r="Z165" s="54"/>
      <c r="AA165" s="35"/>
      <c r="AB165" s="35"/>
      <c r="AC165" s="35"/>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1"/>
      <c r="BE165" s="124"/>
      <c r="BF165" s="124"/>
      <c r="BG165" s="124"/>
      <c r="BH165" s="124"/>
      <c r="BI165" s="124"/>
      <c r="BJ165" s="124"/>
      <c r="BK165" s="124"/>
      <c r="BL165" s="124"/>
      <c r="BM165" s="124"/>
      <c r="BN165" s="124"/>
      <c r="BO165" s="124"/>
      <c r="BP165" s="124"/>
      <c r="BQ165" s="124"/>
      <c r="BR165" s="124"/>
      <c r="BS165" s="124"/>
      <c r="BT165" s="124"/>
    </row>
    <row r="166" spans="1:72" s="123" customFormat="1" ht="15">
      <c r="A166" s="35"/>
      <c r="B166" s="35"/>
      <c r="C166" s="35"/>
      <c r="D166" s="35"/>
      <c r="E166" s="35"/>
      <c r="F166" s="35"/>
      <c r="G166" s="35"/>
      <c r="H166" s="35"/>
      <c r="I166" s="35"/>
      <c r="J166" s="35"/>
      <c r="K166" s="35"/>
      <c r="L166" s="35"/>
      <c r="M166" s="35"/>
      <c r="N166" s="35"/>
      <c r="O166" s="35"/>
      <c r="P166" s="35"/>
      <c r="Q166" s="35"/>
      <c r="R166" s="35"/>
      <c r="S166" s="54"/>
      <c r="T166" s="54"/>
      <c r="U166" s="54"/>
      <c r="V166" s="54"/>
      <c r="W166" s="35"/>
      <c r="X166" s="35"/>
      <c r="Y166" s="54"/>
      <c r="Z166" s="54"/>
      <c r="AA166" s="35"/>
      <c r="AB166" s="35"/>
      <c r="AC166" s="35"/>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1"/>
      <c r="BE166" s="124"/>
      <c r="BF166" s="124"/>
      <c r="BG166" s="124"/>
      <c r="BH166" s="124"/>
      <c r="BI166" s="124"/>
      <c r="BJ166" s="124"/>
      <c r="BK166" s="124"/>
      <c r="BL166" s="124"/>
      <c r="BM166" s="124"/>
      <c r="BN166" s="124"/>
      <c r="BO166" s="124"/>
      <c r="BP166" s="124"/>
      <c r="BQ166" s="124"/>
      <c r="BR166" s="124"/>
      <c r="BS166" s="124"/>
      <c r="BT166" s="124"/>
    </row>
    <row r="167" spans="1:72" s="123" customFormat="1" ht="15">
      <c r="A167" s="35"/>
      <c r="B167" s="35"/>
      <c r="C167" s="35"/>
      <c r="D167" s="35"/>
      <c r="E167" s="35"/>
      <c r="F167" s="35"/>
      <c r="G167" s="35"/>
      <c r="H167" s="35"/>
      <c r="I167" s="35"/>
      <c r="J167" s="35"/>
      <c r="K167" s="35"/>
      <c r="L167" s="35"/>
      <c r="M167" s="35"/>
      <c r="N167" s="35"/>
      <c r="O167" s="35"/>
      <c r="P167" s="35"/>
      <c r="Q167" s="35"/>
      <c r="R167" s="35"/>
      <c r="S167" s="54"/>
      <c r="T167" s="54"/>
      <c r="U167" s="54"/>
      <c r="V167" s="54"/>
      <c r="W167" s="35"/>
      <c r="X167" s="35"/>
      <c r="Y167" s="54"/>
      <c r="Z167" s="54"/>
      <c r="AA167" s="35"/>
      <c r="AB167" s="35"/>
      <c r="AC167" s="35"/>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1"/>
      <c r="BE167" s="124"/>
      <c r="BF167" s="124"/>
      <c r="BG167" s="124"/>
      <c r="BH167" s="124"/>
      <c r="BI167" s="124"/>
      <c r="BJ167" s="124"/>
      <c r="BK167" s="124"/>
      <c r="BL167" s="124"/>
      <c r="BM167" s="124"/>
      <c r="BN167" s="124"/>
      <c r="BO167" s="124"/>
      <c r="BP167" s="124"/>
      <c r="BQ167" s="124"/>
      <c r="BR167" s="124"/>
      <c r="BS167" s="124"/>
      <c r="BT167" s="124"/>
    </row>
    <row r="168" spans="1:72" s="123" customFormat="1" ht="15">
      <c r="A168" s="35"/>
      <c r="B168" s="35"/>
      <c r="C168" s="35"/>
      <c r="D168" s="35"/>
      <c r="E168" s="35"/>
      <c r="F168" s="35"/>
      <c r="G168" s="35"/>
      <c r="H168" s="35"/>
      <c r="I168" s="35"/>
      <c r="J168" s="35"/>
      <c r="K168" s="35"/>
      <c r="L168" s="35"/>
      <c r="M168" s="35"/>
      <c r="N168" s="35"/>
      <c r="O168" s="35"/>
      <c r="P168" s="35"/>
      <c r="Q168" s="35"/>
      <c r="R168" s="35"/>
      <c r="S168" s="54"/>
      <c r="T168" s="54"/>
      <c r="U168" s="54"/>
      <c r="V168" s="54"/>
      <c r="W168" s="35"/>
      <c r="X168" s="35"/>
      <c r="Y168" s="54"/>
      <c r="Z168" s="54"/>
      <c r="AA168" s="35"/>
      <c r="AB168" s="35"/>
      <c r="AC168" s="35"/>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1"/>
      <c r="BE168" s="124"/>
      <c r="BF168" s="124"/>
      <c r="BG168" s="124"/>
      <c r="BH168" s="124"/>
      <c r="BI168" s="124"/>
      <c r="BJ168" s="124"/>
      <c r="BK168" s="124"/>
      <c r="BL168" s="124"/>
      <c r="BM168" s="124"/>
      <c r="BN168" s="124"/>
      <c r="BO168" s="124"/>
      <c r="BP168" s="124"/>
      <c r="BQ168" s="124"/>
      <c r="BR168" s="124"/>
      <c r="BS168" s="124"/>
      <c r="BT168" s="124"/>
    </row>
    <row r="169" spans="1:72" s="123" customFormat="1" ht="15">
      <c r="A169" s="35"/>
      <c r="B169" s="35"/>
      <c r="C169" s="35"/>
      <c r="D169" s="35"/>
      <c r="E169" s="35"/>
      <c r="F169" s="35"/>
      <c r="G169" s="35"/>
      <c r="H169" s="35"/>
      <c r="I169" s="35"/>
      <c r="J169" s="35"/>
      <c r="K169" s="35"/>
      <c r="L169" s="35"/>
      <c r="M169" s="35"/>
      <c r="N169" s="35"/>
      <c r="O169" s="35"/>
      <c r="P169" s="35"/>
      <c r="Q169" s="35"/>
      <c r="R169" s="35"/>
      <c r="S169" s="54"/>
      <c r="T169" s="54"/>
      <c r="U169" s="54"/>
      <c r="V169" s="54"/>
      <c r="W169" s="35"/>
      <c r="X169" s="35"/>
      <c r="Y169" s="54"/>
      <c r="Z169" s="54"/>
      <c r="AA169" s="35"/>
      <c r="AB169" s="35"/>
      <c r="AC169" s="35"/>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1"/>
      <c r="BE169" s="124"/>
      <c r="BF169" s="124"/>
      <c r="BG169" s="124"/>
      <c r="BH169" s="124"/>
      <c r="BI169" s="124"/>
      <c r="BJ169" s="124"/>
      <c r="BK169" s="124"/>
      <c r="BL169" s="124"/>
      <c r="BM169" s="124"/>
      <c r="BN169" s="124"/>
      <c r="BO169" s="124"/>
      <c r="BP169" s="124"/>
      <c r="BQ169" s="124"/>
      <c r="BR169" s="124"/>
      <c r="BS169" s="124"/>
      <c r="BT169" s="124"/>
    </row>
    <row r="170" spans="1:72" s="123" customFormat="1" ht="15">
      <c r="A170" s="35"/>
      <c r="B170" s="35"/>
      <c r="C170" s="35"/>
      <c r="D170" s="35"/>
      <c r="E170" s="35"/>
      <c r="F170" s="35"/>
      <c r="G170" s="35"/>
      <c r="H170" s="35"/>
      <c r="I170" s="35"/>
      <c r="J170" s="35"/>
      <c r="K170" s="35"/>
      <c r="L170" s="35"/>
      <c r="M170" s="35"/>
      <c r="N170" s="35"/>
      <c r="O170" s="35"/>
      <c r="P170" s="35"/>
      <c r="Q170" s="35"/>
      <c r="R170" s="35"/>
      <c r="S170" s="54"/>
      <c r="T170" s="54"/>
      <c r="U170" s="54"/>
      <c r="V170" s="54"/>
      <c r="W170" s="35"/>
      <c r="X170" s="35"/>
      <c r="Y170" s="54"/>
      <c r="Z170" s="54"/>
      <c r="AA170" s="35"/>
      <c r="AB170" s="35"/>
      <c r="AC170" s="35"/>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1"/>
      <c r="BE170" s="124"/>
      <c r="BF170" s="124"/>
      <c r="BG170" s="124"/>
      <c r="BH170" s="124"/>
      <c r="BI170" s="124"/>
      <c r="BJ170" s="124"/>
      <c r="BK170" s="124"/>
      <c r="BL170" s="124"/>
      <c r="BM170" s="124"/>
      <c r="BN170" s="124"/>
      <c r="BO170" s="124"/>
      <c r="BP170" s="124"/>
      <c r="BQ170" s="124"/>
      <c r="BR170" s="124"/>
      <c r="BS170" s="124"/>
      <c r="BT170" s="124"/>
    </row>
    <row r="171" spans="1:72" s="123" customFormat="1" ht="15">
      <c r="A171" s="35"/>
      <c r="B171" s="35"/>
      <c r="C171" s="35"/>
      <c r="D171" s="35"/>
      <c r="E171" s="35"/>
      <c r="F171" s="35"/>
      <c r="G171" s="35"/>
      <c r="H171" s="35"/>
      <c r="I171" s="35"/>
      <c r="J171" s="35"/>
      <c r="K171" s="35"/>
      <c r="L171" s="35"/>
      <c r="M171" s="35"/>
      <c r="N171" s="35"/>
      <c r="O171" s="35"/>
      <c r="P171" s="35"/>
      <c r="Q171" s="35"/>
      <c r="R171" s="35"/>
      <c r="S171" s="54"/>
      <c r="T171" s="54"/>
      <c r="U171" s="54"/>
      <c r="V171" s="54"/>
      <c r="W171" s="35"/>
      <c r="X171" s="35"/>
      <c r="Y171" s="54"/>
      <c r="Z171" s="54"/>
      <c r="AA171" s="35"/>
      <c r="AB171" s="35"/>
      <c r="AC171" s="35"/>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1"/>
      <c r="BE171" s="124"/>
      <c r="BF171" s="124"/>
      <c r="BG171" s="124"/>
      <c r="BH171" s="124"/>
      <c r="BI171" s="124"/>
      <c r="BJ171" s="124"/>
      <c r="BK171" s="124"/>
      <c r="BL171" s="124"/>
      <c r="BM171" s="124"/>
      <c r="BN171" s="124"/>
      <c r="BO171" s="124"/>
      <c r="BP171" s="124"/>
      <c r="BQ171" s="124"/>
      <c r="BR171" s="124"/>
      <c r="BS171" s="124"/>
      <c r="BT171" s="124"/>
    </row>
    <row r="172" spans="1:72" s="123" customFormat="1" ht="15">
      <c r="A172" s="35"/>
      <c r="B172" s="35"/>
      <c r="C172" s="35"/>
      <c r="D172" s="35"/>
      <c r="E172" s="35"/>
      <c r="F172" s="35"/>
      <c r="G172" s="35"/>
      <c r="H172" s="35"/>
      <c r="I172" s="35"/>
      <c r="J172" s="35"/>
      <c r="K172" s="35"/>
      <c r="L172" s="35"/>
      <c r="M172" s="35"/>
      <c r="N172" s="35"/>
      <c r="O172" s="35"/>
      <c r="P172" s="35"/>
      <c r="Q172" s="35"/>
      <c r="R172" s="35"/>
      <c r="S172" s="54"/>
      <c r="T172" s="54"/>
      <c r="U172" s="54"/>
      <c r="V172" s="54"/>
      <c r="W172" s="35"/>
      <c r="X172" s="35"/>
      <c r="Y172" s="54"/>
      <c r="Z172" s="54"/>
      <c r="AA172" s="35"/>
      <c r="AB172" s="35"/>
      <c r="AC172" s="35"/>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1"/>
      <c r="BE172" s="124"/>
      <c r="BF172" s="124"/>
      <c r="BG172" s="124"/>
      <c r="BH172" s="124"/>
      <c r="BI172" s="124"/>
      <c r="BJ172" s="124"/>
      <c r="BK172" s="124"/>
      <c r="BL172" s="124"/>
      <c r="BM172" s="124"/>
      <c r="BN172" s="124"/>
      <c r="BO172" s="124"/>
      <c r="BP172" s="124"/>
      <c r="BQ172" s="124"/>
      <c r="BR172" s="124"/>
      <c r="BS172" s="124"/>
      <c r="BT172" s="124"/>
    </row>
    <row r="173" spans="1:72" s="123" customFormat="1" ht="15">
      <c r="A173" s="35"/>
      <c r="B173" s="35"/>
      <c r="C173" s="35"/>
      <c r="D173" s="35"/>
      <c r="E173" s="35"/>
      <c r="F173" s="35"/>
      <c r="G173" s="35"/>
      <c r="H173" s="35"/>
      <c r="I173" s="35"/>
      <c r="J173" s="35"/>
      <c r="K173" s="35"/>
      <c r="L173" s="35"/>
      <c r="M173" s="35"/>
      <c r="N173" s="35"/>
      <c r="O173" s="35"/>
      <c r="P173" s="35"/>
      <c r="Q173" s="35"/>
      <c r="R173" s="35"/>
      <c r="S173" s="54"/>
      <c r="T173" s="54"/>
      <c r="U173" s="54"/>
      <c r="V173" s="54"/>
      <c r="W173" s="35"/>
      <c r="X173" s="35"/>
      <c r="Y173" s="54"/>
      <c r="Z173" s="54"/>
      <c r="AA173" s="35"/>
      <c r="AB173" s="35"/>
      <c r="AC173" s="35"/>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1"/>
      <c r="BE173" s="124"/>
      <c r="BF173" s="124"/>
      <c r="BG173" s="124"/>
      <c r="BH173" s="124"/>
      <c r="BI173" s="124"/>
      <c r="BJ173" s="124"/>
      <c r="BK173" s="124"/>
      <c r="BL173" s="124"/>
      <c r="BM173" s="124"/>
      <c r="BN173" s="124"/>
      <c r="BO173" s="124"/>
      <c r="BP173" s="124"/>
      <c r="BQ173" s="124"/>
      <c r="BR173" s="124"/>
      <c r="BS173" s="124"/>
      <c r="BT173" s="124"/>
    </row>
    <row r="174" spans="1:72" s="123" customFormat="1" ht="15">
      <c r="A174" s="35"/>
      <c r="B174" s="35"/>
      <c r="C174" s="35"/>
      <c r="D174" s="35"/>
      <c r="E174" s="35"/>
      <c r="F174" s="35"/>
      <c r="G174" s="35"/>
      <c r="H174" s="35"/>
      <c r="I174" s="35"/>
      <c r="J174" s="35"/>
      <c r="K174" s="35"/>
      <c r="L174" s="35"/>
      <c r="M174" s="35"/>
      <c r="N174" s="35"/>
      <c r="O174" s="35"/>
      <c r="P174" s="35"/>
      <c r="Q174" s="35"/>
      <c r="R174" s="35"/>
      <c r="S174" s="54"/>
      <c r="T174" s="54"/>
      <c r="U174" s="54"/>
      <c r="V174" s="54"/>
      <c r="W174" s="35"/>
      <c r="X174" s="35"/>
      <c r="Y174" s="54"/>
      <c r="Z174" s="54"/>
      <c r="AA174" s="35"/>
      <c r="AB174" s="35"/>
      <c r="AC174" s="35"/>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1"/>
      <c r="BE174" s="124"/>
      <c r="BF174" s="124"/>
      <c r="BG174" s="124"/>
      <c r="BH174" s="124"/>
      <c r="BI174" s="124"/>
      <c r="BJ174" s="124"/>
      <c r="BK174" s="124"/>
      <c r="BL174" s="124"/>
      <c r="BM174" s="124"/>
      <c r="BN174" s="124"/>
      <c r="BO174" s="124"/>
      <c r="BP174" s="124"/>
      <c r="BQ174" s="124"/>
      <c r="BR174" s="124"/>
      <c r="BS174" s="124"/>
      <c r="BT174" s="124"/>
    </row>
    <row r="175" spans="1:72" s="123" customFormat="1" ht="15">
      <c r="A175" s="35"/>
      <c r="B175" s="35"/>
      <c r="C175" s="35"/>
      <c r="D175" s="35"/>
      <c r="E175" s="35"/>
      <c r="F175" s="35"/>
      <c r="G175" s="35"/>
      <c r="H175" s="35"/>
      <c r="I175" s="35"/>
      <c r="J175" s="35"/>
      <c r="K175" s="35"/>
      <c r="L175" s="35"/>
      <c r="M175" s="35"/>
      <c r="N175" s="35"/>
      <c r="O175" s="35"/>
      <c r="P175" s="35"/>
      <c r="Q175" s="35"/>
      <c r="R175" s="35"/>
      <c r="S175" s="54"/>
      <c r="T175" s="54"/>
      <c r="U175" s="54"/>
      <c r="V175" s="54"/>
      <c r="W175" s="35"/>
      <c r="X175" s="35"/>
      <c r="Y175" s="54"/>
      <c r="Z175" s="54"/>
      <c r="AA175" s="35"/>
      <c r="AB175" s="35"/>
      <c r="AC175" s="35"/>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1"/>
      <c r="BE175" s="124"/>
      <c r="BF175" s="124"/>
      <c r="BG175" s="124"/>
      <c r="BH175" s="124"/>
      <c r="BI175" s="124"/>
      <c r="BJ175" s="124"/>
      <c r="BK175" s="124"/>
      <c r="BL175" s="124"/>
      <c r="BM175" s="124"/>
      <c r="BN175" s="124"/>
      <c r="BO175" s="124"/>
      <c r="BP175" s="124"/>
      <c r="BQ175" s="124"/>
      <c r="BR175" s="124"/>
      <c r="BS175" s="124"/>
      <c r="BT175" s="124"/>
    </row>
    <row r="176" spans="1:72" s="123" customFormat="1" ht="15">
      <c r="A176" s="35"/>
      <c r="B176" s="35"/>
      <c r="C176" s="35"/>
      <c r="D176" s="35"/>
      <c r="E176" s="35"/>
      <c r="F176" s="35"/>
      <c r="G176" s="35"/>
      <c r="H176" s="35"/>
      <c r="I176" s="35"/>
      <c r="J176" s="35"/>
      <c r="K176" s="35"/>
      <c r="L176" s="35"/>
      <c r="M176" s="35"/>
      <c r="N176" s="35"/>
      <c r="O176" s="35"/>
      <c r="P176" s="35"/>
      <c r="Q176" s="35"/>
      <c r="R176" s="35"/>
      <c r="S176" s="54"/>
      <c r="T176" s="54"/>
      <c r="U176" s="54"/>
      <c r="V176" s="54"/>
      <c r="W176" s="35"/>
      <c r="X176" s="35"/>
      <c r="Y176" s="54"/>
      <c r="Z176" s="54"/>
      <c r="AA176" s="35"/>
      <c r="AB176" s="35"/>
      <c r="AC176" s="35"/>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1"/>
      <c r="BE176" s="124"/>
      <c r="BF176" s="124"/>
      <c r="BG176" s="124"/>
      <c r="BH176" s="124"/>
      <c r="BI176" s="124"/>
      <c r="BJ176" s="124"/>
      <c r="BK176" s="124"/>
      <c r="BL176" s="124"/>
      <c r="BM176" s="124"/>
      <c r="BN176" s="124"/>
      <c r="BO176" s="124"/>
      <c r="BP176" s="124"/>
      <c r="BQ176" s="124"/>
      <c r="BR176" s="124"/>
      <c r="BS176" s="124"/>
      <c r="BT176" s="124"/>
    </row>
    <row r="177" spans="1:72" s="123" customFormat="1" ht="15">
      <c r="A177" s="35"/>
      <c r="B177" s="35"/>
      <c r="C177" s="35"/>
      <c r="D177" s="35"/>
      <c r="E177" s="35"/>
      <c r="F177" s="35"/>
      <c r="G177" s="35"/>
      <c r="H177" s="35"/>
      <c r="I177" s="35"/>
      <c r="J177" s="35"/>
      <c r="K177" s="35"/>
      <c r="L177" s="35"/>
      <c r="M177" s="35"/>
      <c r="N177" s="35"/>
      <c r="O177" s="35"/>
      <c r="P177" s="35"/>
      <c r="Q177" s="35"/>
      <c r="R177" s="35"/>
      <c r="S177" s="54"/>
      <c r="T177" s="54"/>
      <c r="U177" s="54"/>
      <c r="V177" s="54"/>
      <c r="W177" s="35"/>
      <c r="X177" s="35"/>
      <c r="Y177" s="54"/>
      <c r="Z177" s="54"/>
      <c r="AA177" s="35"/>
      <c r="AB177" s="35"/>
      <c r="AC177" s="35"/>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1"/>
      <c r="BE177" s="124"/>
      <c r="BF177" s="124"/>
      <c r="BG177" s="124"/>
      <c r="BH177" s="124"/>
      <c r="BI177" s="124"/>
      <c r="BJ177" s="124"/>
      <c r="BK177" s="124"/>
      <c r="BL177" s="124"/>
      <c r="BM177" s="124"/>
      <c r="BN177" s="124"/>
      <c r="BO177" s="124"/>
      <c r="BP177" s="124"/>
      <c r="BQ177" s="124"/>
      <c r="BR177" s="124"/>
      <c r="BS177" s="124"/>
      <c r="BT177" s="124"/>
    </row>
    <row r="178" spans="1:72" s="123" customFormat="1" ht="15">
      <c r="A178" s="35"/>
      <c r="B178" s="35"/>
      <c r="C178" s="35"/>
      <c r="D178" s="35"/>
      <c r="E178" s="35"/>
      <c r="F178" s="35"/>
      <c r="G178" s="35"/>
      <c r="H178" s="35"/>
      <c r="I178" s="35"/>
      <c r="J178" s="35"/>
      <c r="K178" s="35"/>
      <c r="L178" s="35"/>
      <c r="M178" s="35"/>
      <c r="N178" s="35"/>
      <c r="O178" s="35"/>
      <c r="P178" s="35"/>
      <c r="Q178" s="35"/>
      <c r="R178" s="35"/>
      <c r="S178" s="54"/>
      <c r="T178" s="54"/>
      <c r="U178" s="54"/>
      <c r="V178" s="54"/>
      <c r="W178" s="35"/>
      <c r="X178" s="35"/>
      <c r="Y178" s="54"/>
      <c r="Z178" s="54"/>
      <c r="AA178" s="35"/>
      <c r="AB178" s="35"/>
      <c r="AC178" s="35"/>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1"/>
      <c r="BE178" s="124"/>
      <c r="BF178" s="124"/>
      <c r="BG178" s="124"/>
      <c r="BH178" s="124"/>
      <c r="BI178" s="124"/>
      <c r="BJ178" s="124"/>
      <c r="BK178" s="124"/>
      <c r="BL178" s="124"/>
      <c r="BM178" s="124"/>
      <c r="BN178" s="124"/>
      <c r="BO178" s="124"/>
      <c r="BP178" s="124"/>
      <c r="BQ178" s="124"/>
      <c r="BR178" s="124"/>
      <c r="BS178" s="124"/>
      <c r="BT178" s="124"/>
    </row>
    <row r="179" spans="1:72" s="123" customFormat="1" ht="15">
      <c r="A179" s="35"/>
      <c r="B179" s="35"/>
      <c r="C179" s="35"/>
      <c r="D179" s="35"/>
      <c r="E179" s="35"/>
      <c r="F179" s="35"/>
      <c r="G179" s="35"/>
      <c r="H179" s="35"/>
      <c r="I179" s="35"/>
      <c r="J179" s="35"/>
      <c r="K179" s="35"/>
      <c r="L179" s="35"/>
      <c r="M179" s="35"/>
      <c r="N179" s="35"/>
      <c r="O179" s="35"/>
      <c r="P179" s="35"/>
      <c r="Q179" s="35"/>
      <c r="R179" s="35"/>
      <c r="S179" s="54"/>
      <c r="T179" s="54"/>
      <c r="U179" s="54"/>
      <c r="V179" s="54"/>
      <c r="W179" s="35"/>
      <c r="X179" s="35"/>
      <c r="Y179" s="54"/>
      <c r="Z179" s="54"/>
      <c r="AA179" s="35"/>
      <c r="AB179" s="35"/>
      <c r="AC179" s="35"/>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1"/>
      <c r="BE179" s="124"/>
      <c r="BF179" s="124"/>
      <c r="BG179" s="124"/>
      <c r="BH179" s="124"/>
      <c r="BI179" s="124"/>
      <c r="BJ179" s="124"/>
      <c r="BK179" s="124"/>
      <c r="BL179" s="124"/>
      <c r="BM179" s="124"/>
      <c r="BN179" s="124"/>
      <c r="BO179" s="124"/>
      <c r="BP179" s="124"/>
      <c r="BQ179" s="124"/>
      <c r="BR179" s="124"/>
      <c r="BS179" s="124"/>
      <c r="BT179" s="124"/>
    </row>
    <row r="180" spans="1:72" s="123" customFormat="1" ht="15">
      <c r="A180" s="35"/>
      <c r="B180" s="35"/>
      <c r="C180" s="35"/>
      <c r="D180" s="35"/>
      <c r="E180" s="35"/>
      <c r="F180" s="35"/>
      <c r="G180" s="35"/>
      <c r="H180" s="35"/>
      <c r="I180" s="35"/>
      <c r="J180" s="35"/>
      <c r="K180" s="35"/>
      <c r="L180" s="35"/>
      <c r="M180" s="35"/>
      <c r="N180" s="35"/>
      <c r="O180" s="35"/>
      <c r="P180" s="35"/>
      <c r="Q180" s="35"/>
      <c r="R180" s="35"/>
      <c r="S180" s="54"/>
      <c r="T180" s="54"/>
      <c r="U180" s="54"/>
      <c r="V180" s="54"/>
      <c r="W180" s="35"/>
      <c r="X180" s="35"/>
      <c r="Y180" s="54"/>
      <c r="Z180" s="54"/>
      <c r="AA180" s="35"/>
      <c r="AB180" s="35"/>
      <c r="AC180" s="35"/>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1"/>
      <c r="BE180" s="124"/>
      <c r="BF180" s="124"/>
      <c r="BG180" s="124"/>
      <c r="BH180" s="124"/>
      <c r="BI180" s="124"/>
      <c r="BJ180" s="124"/>
      <c r="BK180" s="124"/>
      <c r="BL180" s="124"/>
      <c r="BM180" s="124"/>
      <c r="BN180" s="124"/>
      <c r="BO180" s="124"/>
      <c r="BP180" s="124"/>
      <c r="BQ180" s="124"/>
      <c r="BR180" s="124"/>
      <c r="BS180" s="124"/>
      <c r="BT180" s="124"/>
    </row>
    <row r="181" spans="1:72" s="123" customFormat="1" ht="15">
      <c r="A181" s="35"/>
      <c r="B181" s="35"/>
      <c r="C181" s="35"/>
      <c r="D181" s="35"/>
      <c r="E181" s="35"/>
      <c r="F181" s="35"/>
      <c r="G181" s="35"/>
      <c r="H181" s="35"/>
      <c r="I181" s="35"/>
      <c r="J181" s="35"/>
      <c r="K181" s="35"/>
      <c r="L181" s="35"/>
      <c r="M181" s="35"/>
      <c r="N181" s="35"/>
      <c r="O181" s="35"/>
      <c r="P181" s="35"/>
      <c r="Q181" s="35"/>
      <c r="R181" s="35"/>
      <c r="S181" s="54"/>
      <c r="T181" s="54"/>
      <c r="U181" s="54"/>
      <c r="V181" s="54"/>
      <c r="W181" s="35"/>
      <c r="X181" s="35"/>
      <c r="Y181" s="54"/>
      <c r="Z181" s="54"/>
      <c r="AA181" s="35"/>
      <c r="AB181" s="35"/>
      <c r="AC181" s="35"/>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1"/>
      <c r="BE181" s="124"/>
      <c r="BF181" s="124"/>
      <c r="BG181" s="124"/>
      <c r="BH181" s="124"/>
      <c r="BI181" s="124"/>
      <c r="BJ181" s="124"/>
      <c r="BK181" s="124"/>
      <c r="BL181" s="124"/>
      <c r="BM181" s="124"/>
      <c r="BN181" s="124"/>
      <c r="BO181" s="124"/>
      <c r="BP181" s="124"/>
      <c r="BQ181" s="124"/>
      <c r="BR181" s="124"/>
      <c r="BS181" s="124"/>
      <c r="BT181" s="124"/>
    </row>
    <row r="182" spans="1:72" s="123" customFormat="1" ht="15">
      <c r="A182" s="35"/>
      <c r="B182" s="35"/>
      <c r="C182" s="35"/>
      <c r="D182" s="35"/>
      <c r="E182" s="35"/>
      <c r="F182" s="35"/>
      <c r="G182" s="35"/>
      <c r="H182" s="35"/>
      <c r="I182" s="35"/>
      <c r="J182" s="35"/>
      <c r="K182" s="35"/>
      <c r="L182" s="35"/>
      <c r="M182" s="35"/>
      <c r="N182" s="35"/>
      <c r="O182" s="35"/>
      <c r="P182" s="35"/>
      <c r="Q182" s="35"/>
      <c r="R182" s="35"/>
      <c r="S182" s="54"/>
      <c r="T182" s="54"/>
      <c r="U182" s="54"/>
      <c r="V182" s="54"/>
      <c r="W182" s="35"/>
      <c r="X182" s="35"/>
      <c r="Y182" s="54"/>
      <c r="Z182" s="54"/>
      <c r="AA182" s="35"/>
      <c r="AB182" s="35"/>
      <c r="AC182" s="35"/>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1"/>
      <c r="BE182" s="124"/>
      <c r="BF182" s="124"/>
      <c r="BG182" s="124"/>
      <c r="BH182" s="124"/>
      <c r="BI182" s="124"/>
      <c r="BJ182" s="124"/>
      <c r="BK182" s="124"/>
      <c r="BL182" s="124"/>
      <c r="BM182" s="124"/>
      <c r="BN182" s="124"/>
      <c r="BO182" s="124"/>
      <c r="BP182" s="124"/>
      <c r="BQ182" s="124"/>
      <c r="BR182" s="124"/>
      <c r="BS182" s="124"/>
      <c r="BT182" s="124"/>
    </row>
    <row r="183" spans="1:72" s="123" customFormat="1" ht="15">
      <c r="A183" s="35"/>
      <c r="B183" s="35"/>
      <c r="C183" s="35"/>
      <c r="D183" s="35"/>
      <c r="E183" s="35"/>
      <c r="F183" s="35"/>
      <c r="G183" s="35"/>
      <c r="H183" s="35"/>
      <c r="I183" s="35"/>
      <c r="J183" s="35"/>
      <c r="K183" s="35"/>
      <c r="L183" s="35"/>
      <c r="M183" s="35"/>
      <c r="N183" s="35"/>
      <c r="O183" s="35"/>
      <c r="P183" s="35"/>
      <c r="Q183" s="35"/>
      <c r="R183" s="35"/>
      <c r="S183" s="54"/>
      <c r="T183" s="54"/>
      <c r="U183" s="54"/>
      <c r="V183" s="54"/>
      <c r="W183" s="35"/>
      <c r="X183" s="35"/>
      <c r="Y183" s="54"/>
      <c r="Z183" s="54"/>
      <c r="AA183" s="35"/>
      <c r="AB183" s="35"/>
      <c r="AC183" s="35"/>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1"/>
      <c r="BE183" s="124"/>
      <c r="BF183" s="124"/>
      <c r="BG183" s="124"/>
      <c r="BH183" s="124"/>
      <c r="BI183" s="124"/>
      <c r="BJ183" s="124"/>
      <c r="BK183" s="124"/>
      <c r="BL183" s="124"/>
      <c r="BM183" s="124"/>
      <c r="BN183" s="124"/>
      <c r="BO183" s="124"/>
      <c r="BP183" s="124"/>
      <c r="BQ183" s="124"/>
      <c r="BR183" s="124"/>
      <c r="BS183" s="124"/>
      <c r="BT183" s="124"/>
    </row>
    <row r="184" spans="1:72" s="123" customFormat="1" ht="15">
      <c r="A184" s="35"/>
      <c r="B184" s="35"/>
      <c r="C184" s="35"/>
      <c r="D184" s="35"/>
      <c r="E184" s="35"/>
      <c r="F184" s="35"/>
      <c r="G184" s="35"/>
      <c r="H184" s="35"/>
      <c r="I184" s="35"/>
      <c r="J184" s="35"/>
      <c r="K184" s="35"/>
      <c r="L184" s="35"/>
      <c r="M184" s="35"/>
      <c r="N184" s="35"/>
      <c r="O184" s="35"/>
      <c r="P184" s="35"/>
      <c r="Q184" s="35"/>
      <c r="R184" s="35"/>
      <c r="S184" s="54"/>
      <c r="T184" s="54"/>
      <c r="U184" s="54"/>
      <c r="V184" s="54"/>
      <c r="W184" s="35"/>
      <c r="X184" s="35"/>
      <c r="Y184" s="54"/>
      <c r="Z184" s="54"/>
      <c r="AA184" s="35"/>
      <c r="AB184" s="35"/>
      <c r="AC184" s="35"/>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1"/>
      <c r="BE184" s="124"/>
      <c r="BF184" s="124"/>
      <c r="BG184" s="124"/>
      <c r="BH184" s="124"/>
      <c r="BI184" s="124"/>
      <c r="BJ184" s="124"/>
      <c r="BK184" s="124"/>
      <c r="BL184" s="124"/>
      <c r="BM184" s="124"/>
      <c r="BN184" s="124"/>
      <c r="BO184" s="124"/>
      <c r="BP184" s="124"/>
      <c r="BQ184" s="124"/>
      <c r="BR184" s="124"/>
      <c r="BS184" s="124"/>
      <c r="BT184" s="124"/>
    </row>
    <row r="185" spans="1:72" s="123" customFormat="1" ht="15">
      <c r="A185" s="35"/>
      <c r="B185" s="35"/>
      <c r="C185" s="35"/>
      <c r="D185" s="35"/>
      <c r="E185" s="35"/>
      <c r="F185" s="35"/>
      <c r="G185" s="35"/>
      <c r="H185" s="35"/>
      <c r="I185" s="35"/>
      <c r="J185" s="35"/>
      <c r="K185" s="35"/>
      <c r="L185" s="35"/>
      <c r="M185" s="35"/>
      <c r="N185" s="35"/>
      <c r="O185" s="35"/>
      <c r="P185" s="35"/>
      <c r="Q185" s="35"/>
      <c r="R185" s="35"/>
      <c r="S185" s="54"/>
      <c r="T185" s="54"/>
      <c r="U185" s="54"/>
      <c r="V185" s="54"/>
      <c r="W185" s="35"/>
      <c r="X185" s="35"/>
      <c r="Y185" s="54"/>
      <c r="Z185" s="54"/>
      <c r="AA185" s="35"/>
      <c r="AB185" s="35"/>
      <c r="AC185" s="35"/>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1"/>
      <c r="BE185" s="124"/>
      <c r="BF185" s="124"/>
      <c r="BG185" s="124"/>
      <c r="BH185" s="124"/>
      <c r="BI185" s="124"/>
      <c r="BJ185" s="124"/>
      <c r="BK185" s="124"/>
      <c r="BL185" s="124"/>
      <c r="BM185" s="124"/>
      <c r="BN185" s="124"/>
      <c r="BO185" s="124"/>
      <c r="BP185" s="124"/>
      <c r="BQ185" s="124"/>
      <c r="BR185" s="124"/>
      <c r="BS185" s="124"/>
      <c r="BT185" s="124"/>
    </row>
    <row r="186" spans="1:72" s="123" customFormat="1" ht="15">
      <c r="A186" s="35"/>
      <c r="B186" s="35"/>
      <c r="C186" s="35"/>
      <c r="D186" s="35"/>
      <c r="E186" s="35"/>
      <c r="F186" s="35"/>
      <c r="G186" s="35"/>
      <c r="H186" s="35"/>
      <c r="I186" s="35"/>
      <c r="J186" s="35"/>
      <c r="K186" s="35"/>
      <c r="L186" s="35"/>
      <c r="M186" s="35"/>
      <c r="N186" s="35"/>
      <c r="O186" s="35"/>
      <c r="P186" s="35"/>
      <c r="Q186" s="35"/>
      <c r="R186" s="35"/>
      <c r="S186" s="54"/>
      <c r="T186" s="54"/>
      <c r="U186" s="54"/>
      <c r="V186" s="54"/>
      <c r="W186" s="35"/>
      <c r="X186" s="35"/>
      <c r="Y186" s="54"/>
      <c r="Z186" s="54"/>
      <c r="AA186" s="35"/>
      <c r="AB186" s="35"/>
      <c r="AC186" s="35"/>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1"/>
      <c r="BE186" s="124"/>
      <c r="BF186" s="124"/>
      <c r="BG186" s="124"/>
      <c r="BH186" s="124"/>
      <c r="BI186" s="124"/>
      <c r="BJ186" s="124"/>
      <c r="BK186" s="124"/>
      <c r="BL186" s="124"/>
      <c r="BM186" s="124"/>
      <c r="BN186" s="124"/>
      <c r="BO186" s="124"/>
      <c r="BP186" s="124"/>
      <c r="BQ186" s="124"/>
      <c r="BR186" s="124"/>
      <c r="BS186" s="124"/>
      <c r="BT186" s="124"/>
    </row>
    <row r="187" spans="1:72" s="123" customFormat="1" ht="15">
      <c r="A187" s="35"/>
      <c r="B187" s="35"/>
      <c r="C187" s="35"/>
      <c r="D187" s="35"/>
      <c r="E187" s="35"/>
      <c r="F187" s="35"/>
      <c r="G187" s="35"/>
      <c r="H187" s="35"/>
      <c r="I187" s="35"/>
      <c r="J187" s="35"/>
      <c r="K187" s="35"/>
      <c r="L187" s="35"/>
      <c r="M187" s="35"/>
      <c r="N187" s="35"/>
      <c r="O187" s="35"/>
      <c r="P187" s="35"/>
      <c r="Q187" s="35"/>
      <c r="R187" s="35"/>
      <c r="S187" s="54"/>
      <c r="T187" s="54"/>
      <c r="U187" s="54"/>
      <c r="V187" s="54"/>
      <c r="W187" s="35"/>
      <c r="X187" s="35"/>
      <c r="Y187" s="54"/>
      <c r="Z187" s="54"/>
      <c r="AA187" s="35"/>
      <c r="AB187" s="35"/>
      <c r="AC187" s="35"/>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1"/>
      <c r="BE187" s="124"/>
      <c r="BF187" s="124"/>
      <c r="BG187" s="124"/>
      <c r="BH187" s="124"/>
      <c r="BI187" s="124"/>
      <c r="BJ187" s="124"/>
      <c r="BK187" s="124"/>
      <c r="BL187" s="124"/>
      <c r="BM187" s="124"/>
      <c r="BN187" s="124"/>
      <c r="BO187" s="124"/>
      <c r="BP187" s="124"/>
      <c r="BQ187" s="124"/>
      <c r="BR187" s="124"/>
      <c r="BS187" s="124"/>
      <c r="BT187" s="124"/>
    </row>
    <row r="188" spans="1:72" s="123" customFormat="1" ht="15">
      <c r="A188" s="35"/>
      <c r="B188" s="35"/>
      <c r="C188" s="35"/>
      <c r="D188" s="35"/>
      <c r="E188" s="35"/>
      <c r="F188" s="35"/>
      <c r="G188" s="35"/>
      <c r="H188" s="35"/>
      <c r="I188" s="35"/>
      <c r="J188" s="35"/>
      <c r="K188" s="35"/>
      <c r="L188" s="35"/>
      <c r="M188" s="35"/>
      <c r="N188" s="35"/>
      <c r="O188" s="35"/>
      <c r="P188" s="35"/>
      <c r="Q188" s="35"/>
      <c r="R188" s="35"/>
      <c r="S188" s="54"/>
      <c r="T188" s="54"/>
      <c r="U188" s="54"/>
      <c r="V188" s="54"/>
      <c r="W188" s="35"/>
      <c r="X188" s="35"/>
      <c r="Y188" s="54"/>
      <c r="Z188" s="54"/>
      <c r="AA188" s="35"/>
      <c r="AB188" s="35"/>
      <c r="AC188" s="35"/>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1"/>
      <c r="BE188" s="124"/>
      <c r="BF188" s="124"/>
      <c r="BG188" s="124"/>
      <c r="BH188" s="124"/>
      <c r="BI188" s="124"/>
      <c r="BJ188" s="124"/>
      <c r="BK188" s="124"/>
      <c r="BL188" s="124"/>
      <c r="BM188" s="124"/>
      <c r="BN188" s="124"/>
      <c r="BO188" s="124"/>
      <c r="BP188" s="124"/>
      <c r="BQ188" s="124"/>
      <c r="BR188" s="124"/>
      <c r="BS188" s="124"/>
      <c r="BT188" s="124"/>
    </row>
    <row r="189" spans="1:72" s="123" customFormat="1" ht="15">
      <c r="A189" s="35"/>
      <c r="B189" s="35"/>
      <c r="C189" s="35"/>
      <c r="D189" s="35"/>
      <c r="E189" s="35"/>
      <c r="F189" s="35"/>
      <c r="G189" s="35"/>
      <c r="H189" s="35"/>
      <c r="I189" s="35"/>
      <c r="J189" s="35"/>
      <c r="K189" s="35"/>
      <c r="L189" s="35"/>
      <c r="M189" s="35"/>
      <c r="N189" s="35"/>
      <c r="O189" s="35"/>
      <c r="P189" s="35"/>
      <c r="Q189" s="35"/>
      <c r="R189" s="35"/>
      <c r="S189" s="54"/>
      <c r="T189" s="54"/>
      <c r="U189" s="54"/>
      <c r="V189" s="54"/>
      <c r="W189" s="35"/>
      <c r="X189" s="35"/>
      <c r="Y189" s="54"/>
      <c r="Z189" s="54"/>
      <c r="AA189" s="35"/>
      <c r="AB189" s="35"/>
      <c r="AC189" s="35"/>
      <c r="AD189" s="54"/>
      <c r="AE189" s="54"/>
      <c r="AF189" s="54"/>
      <c r="AG189" s="54"/>
      <c r="AH189" s="54"/>
      <c r="AI189" s="54"/>
      <c r="AJ189" s="54"/>
      <c r="AK189" s="54"/>
      <c r="AL189" s="54"/>
      <c r="AM189" s="54"/>
      <c r="AN189" s="54"/>
      <c r="AO189" s="54"/>
      <c r="AP189" s="54"/>
      <c r="AQ189" s="54"/>
      <c r="AR189" s="54"/>
      <c r="AS189" s="54"/>
      <c r="AT189" s="54"/>
      <c r="AU189" s="54"/>
      <c r="AV189" s="54"/>
      <c r="AW189" s="54"/>
      <c r="AX189" s="54"/>
      <c r="AY189" s="54"/>
      <c r="AZ189" s="54"/>
      <c r="BA189" s="54"/>
      <c r="BB189" s="54"/>
      <c r="BC189" s="54"/>
      <c r="BD189" s="51"/>
      <c r="BE189" s="124"/>
      <c r="BF189" s="124"/>
      <c r="BG189" s="124"/>
      <c r="BH189" s="124"/>
      <c r="BI189" s="124"/>
      <c r="BJ189" s="124"/>
      <c r="BK189" s="124"/>
      <c r="BL189" s="124"/>
      <c r="BM189" s="124"/>
      <c r="BN189" s="124"/>
      <c r="BO189" s="124"/>
      <c r="BP189" s="124"/>
      <c r="BQ189" s="124"/>
      <c r="BR189" s="124"/>
      <c r="BS189" s="124"/>
      <c r="BT189" s="124"/>
    </row>
    <row r="190" spans="1:72" s="123" customFormat="1" ht="15">
      <c r="A190" s="35"/>
      <c r="B190" s="35"/>
      <c r="C190" s="35"/>
      <c r="D190" s="35"/>
      <c r="E190" s="35"/>
      <c r="F190" s="35"/>
      <c r="G190" s="35"/>
      <c r="H190" s="35"/>
      <c r="I190" s="35"/>
      <c r="J190" s="35"/>
      <c r="K190" s="35"/>
      <c r="L190" s="35"/>
      <c r="M190" s="35"/>
      <c r="N190" s="35"/>
      <c r="O190" s="35"/>
      <c r="P190" s="35"/>
      <c r="Q190" s="35"/>
      <c r="R190" s="35"/>
      <c r="S190" s="54"/>
      <c r="T190" s="54"/>
      <c r="U190" s="54"/>
      <c r="V190" s="54"/>
      <c r="W190" s="35"/>
      <c r="X190" s="35"/>
      <c r="Y190" s="54"/>
      <c r="Z190" s="54"/>
      <c r="AA190" s="35"/>
      <c r="AB190" s="35"/>
      <c r="AC190" s="35"/>
      <c r="AD190" s="54"/>
      <c r="AE190" s="54"/>
      <c r="AF190" s="54"/>
      <c r="AG190" s="54"/>
      <c r="AH190" s="54"/>
      <c r="AI190" s="54"/>
      <c r="AJ190" s="54"/>
      <c r="AK190" s="54"/>
      <c r="AL190" s="54"/>
      <c r="AM190" s="54"/>
      <c r="AN190" s="54"/>
      <c r="AO190" s="54"/>
      <c r="AP190" s="54"/>
      <c r="AQ190" s="54"/>
      <c r="AR190" s="54"/>
      <c r="AS190" s="54"/>
      <c r="AT190" s="54"/>
      <c r="AU190" s="54"/>
      <c r="AV190" s="54"/>
      <c r="AW190" s="54"/>
      <c r="AX190" s="54"/>
      <c r="AY190" s="54"/>
      <c r="AZ190" s="54"/>
      <c r="BA190" s="54"/>
      <c r="BB190" s="54"/>
      <c r="BC190" s="54"/>
      <c r="BD190" s="51"/>
      <c r="BE190" s="124"/>
      <c r="BF190" s="124"/>
      <c r="BG190" s="124"/>
      <c r="BH190" s="124"/>
      <c r="BI190" s="124"/>
      <c r="BJ190" s="124"/>
      <c r="BK190" s="124"/>
      <c r="BL190" s="124"/>
      <c r="BM190" s="124"/>
      <c r="BN190" s="124"/>
      <c r="BO190" s="124"/>
      <c r="BP190" s="124"/>
      <c r="BQ190" s="124"/>
      <c r="BR190" s="124"/>
      <c r="BS190" s="124"/>
      <c r="BT190" s="124"/>
    </row>
    <row r="191" spans="1:72" s="123" customFormat="1" ht="15">
      <c r="A191" s="35"/>
      <c r="B191" s="35"/>
      <c r="C191" s="35"/>
      <c r="D191" s="35"/>
      <c r="E191" s="35"/>
      <c r="F191" s="35"/>
      <c r="G191" s="35"/>
      <c r="H191" s="35"/>
      <c r="I191" s="35"/>
      <c r="J191" s="35"/>
      <c r="K191" s="35"/>
      <c r="L191" s="35"/>
      <c r="M191" s="35"/>
      <c r="N191" s="35"/>
      <c r="O191" s="35"/>
      <c r="P191" s="35"/>
      <c r="Q191" s="35"/>
      <c r="R191" s="35"/>
      <c r="S191" s="54"/>
      <c r="T191" s="54"/>
      <c r="U191" s="54"/>
      <c r="V191" s="54"/>
      <c r="W191" s="35"/>
      <c r="X191" s="35"/>
      <c r="Y191" s="54"/>
      <c r="Z191" s="54"/>
      <c r="AA191" s="35"/>
      <c r="AB191" s="35"/>
      <c r="AC191" s="35"/>
      <c r="AD191" s="54"/>
      <c r="AE191" s="54"/>
      <c r="AF191" s="54"/>
      <c r="AG191" s="54"/>
      <c r="AH191" s="54"/>
      <c r="AI191" s="54"/>
      <c r="AJ191" s="54"/>
      <c r="AK191" s="54"/>
      <c r="AL191" s="54"/>
      <c r="AM191" s="54"/>
      <c r="AN191" s="54"/>
      <c r="AO191" s="54"/>
      <c r="AP191" s="54"/>
      <c r="AQ191" s="54"/>
      <c r="AR191" s="54"/>
      <c r="AS191" s="54"/>
      <c r="AT191" s="54"/>
      <c r="AU191" s="54"/>
      <c r="AV191" s="54"/>
      <c r="AW191" s="54"/>
      <c r="AX191" s="54"/>
      <c r="AY191" s="54"/>
      <c r="AZ191" s="54"/>
      <c r="BA191" s="54"/>
      <c r="BB191" s="54"/>
      <c r="BC191" s="54"/>
      <c r="BD191" s="51"/>
      <c r="BE191" s="124"/>
      <c r="BF191" s="124"/>
      <c r="BG191" s="124"/>
      <c r="BH191" s="124"/>
      <c r="BI191" s="124"/>
      <c r="BJ191" s="124"/>
      <c r="BK191" s="124"/>
      <c r="BL191" s="124"/>
      <c r="BM191" s="124"/>
      <c r="BN191" s="124"/>
      <c r="BO191" s="124"/>
      <c r="BP191" s="124"/>
      <c r="BQ191" s="124"/>
      <c r="BR191" s="124"/>
      <c r="BS191" s="124"/>
      <c r="BT191" s="124"/>
    </row>
    <row r="192" spans="1:72" s="123" customFormat="1" ht="15">
      <c r="A192" s="35"/>
      <c r="B192" s="35"/>
      <c r="C192" s="35"/>
      <c r="D192" s="35"/>
      <c r="E192" s="35"/>
      <c r="F192" s="35"/>
      <c r="G192" s="35"/>
      <c r="H192" s="35"/>
      <c r="I192" s="35"/>
      <c r="J192" s="35"/>
      <c r="K192" s="35"/>
      <c r="L192" s="35"/>
      <c r="M192" s="35"/>
      <c r="N192" s="35"/>
      <c r="O192" s="35"/>
      <c r="P192" s="35"/>
      <c r="Q192" s="35"/>
      <c r="R192" s="35"/>
      <c r="S192" s="54"/>
      <c r="T192" s="54"/>
      <c r="U192" s="54"/>
      <c r="V192" s="54"/>
      <c r="W192" s="35"/>
      <c r="X192" s="35"/>
      <c r="Y192" s="54"/>
      <c r="Z192" s="54"/>
      <c r="AA192" s="35"/>
      <c r="AB192" s="35"/>
      <c r="AC192" s="35"/>
      <c r="AD192" s="54"/>
      <c r="AE192" s="54"/>
      <c r="AF192" s="54"/>
      <c r="AG192" s="54"/>
      <c r="AH192" s="54"/>
      <c r="AI192" s="54"/>
      <c r="AJ192" s="54"/>
      <c r="AK192" s="54"/>
      <c r="AL192" s="54"/>
      <c r="AM192" s="54"/>
      <c r="AN192" s="54"/>
      <c r="AO192" s="54"/>
      <c r="AP192" s="54"/>
      <c r="AQ192" s="54"/>
      <c r="AR192" s="54"/>
      <c r="AS192" s="54"/>
      <c r="AT192" s="54"/>
      <c r="AU192" s="54"/>
      <c r="AV192" s="54"/>
      <c r="AW192" s="54"/>
      <c r="AX192" s="54"/>
      <c r="AY192" s="54"/>
      <c r="AZ192" s="54"/>
      <c r="BA192" s="54"/>
      <c r="BB192" s="54"/>
      <c r="BC192" s="54"/>
      <c r="BD192" s="51"/>
      <c r="BE192" s="124"/>
      <c r="BF192" s="124"/>
      <c r="BG192" s="124"/>
      <c r="BH192" s="124"/>
      <c r="BI192" s="124"/>
      <c r="BJ192" s="124"/>
      <c r="BK192" s="124"/>
      <c r="BL192" s="124"/>
      <c r="BM192" s="124"/>
      <c r="BN192" s="124"/>
      <c r="BO192" s="124"/>
      <c r="BP192" s="124"/>
      <c r="BQ192" s="124"/>
      <c r="BR192" s="124"/>
      <c r="BS192" s="124"/>
      <c r="BT192" s="124"/>
    </row>
    <row r="193" spans="1:72" s="123" customFormat="1" ht="15">
      <c r="A193" s="35"/>
      <c r="B193" s="35"/>
      <c r="C193" s="35"/>
      <c r="D193" s="35"/>
      <c r="E193" s="35"/>
      <c r="F193" s="35"/>
      <c r="G193" s="35"/>
      <c r="H193" s="35"/>
      <c r="I193" s="35"/>
      <c r="J193" s="35"/>
      <c r="K193" s="35"/>
      <c r="L193" s="35"/>
      <c r="M193" s="35"/>
      <c r="N193" s="35"/>
      <c r="O193" s="35"/>
      <c r="P193" s="35"/>
      <c r="Q193" s="35"/>
      <c r="R193" s="35"/>
      <c r="S193" s="54"/>
      <c r="T193" s="54"/>
      <c r="U193" s="54"/>
      <c r="V193" s="54"/>
      <c r="W193" s="35"/>
      <c r="X193" s="35"/>
      <c r="Y193" s="54"/>
      <c r="Z193" s="54"/>
      <c r="AA193" s="35"/>
      <c r="AB193" s="35"/>
      <c r="AC193" s="35"/>
      <c r="AD193" s="54"/>
      <c r="AE193" s="54"/>
      <c r="AF193" s="54"/>
      <c r="AG193" s="54"/>
      <c r="AH193" s="54"/>
      <c r="AI193" s="54"/>
      <c r="AJ193" s="54"/>
      <c r="AK193" s="54"/>
      <c r="AL193" s="54"/>
      <c r="AM193" s="54"/>
      <c r="AN193" s="54"/>
      <c r="AO193" s="54"/>
      <c r="AP193" s="54"/>
      <c r="AQ193" s="54"/>
      <c r="AR193" s="54"/>
      <c r="AS193" s="54"/>
      <c r="AT193" s="54"/>
      <c r="AU193" s="54"/>
      <c r="AV193" s="54"/>
      <c r="AW193" s="54"/>
      <c r="AX193" s="54"/>
      <c r="AY193" s="54"/>
      <c r="AZ193" s="54"/>
      <c r="BA193" s="54"/>
      <c r="BB193" s="54"/>
      <c r="BC193" s="54"/>
      <c r="BD193" s="51"/>
      <c r="BE193" s="124"/>
      <c r="BF193" s="124"/>
      <c r="BG193" s="124"/>
      <c r="BH193" s="124"/>
      <c r="BI193" s="124"/>
      <c r="BJ193" s="124"/>
      <c r="BK193" s="124"/>
      <c r="BL193" s="124"/>
      <c r="BM193" s="124"/>
      <c r="BN193" s="124"/>
      <c r="BO193" s="124"/>
      <c r="BP193" s="124"/>
      <c r="BQ193" s="124"/>
      <c r="BR193" s="124"/>
      <c r="BS193" s="124"/>
      <c r="BT193" s="124"/>
    </row>
    <row r="194" spans="1:72" s="123" customFormat="1" ht="15">
      <c r="A194" s="35"/>
      <c r="B194" s="35"/>
      <c r="C194" s="35"/>
      <c r="D194" s="35"/>
      <c r="E194" s="35"/>
      <c r="F194" s="35"/>
      <c r="G194" s="35"/>
      <c r="H194" s="35"/>
      <c r="I194" s="35"/>
      <c r="J194" s="35"/>
      <c r="K194" s="35"/>
      <c r="L194" s="35"/>
      <c r="M194" s="35"/>
      <c r="N194" s="35"/>
      <c r="O194" s="35"/>
      <c r="P194" s="35"/>
      <c r="Q194" s="35"/>
      <c r="R194" s="35"/>
      <c r="S194" s="54"/>
      <c r="T194" s="54"/>
      <c r="U194" s="54"/>
      <c r="V194" s="54"/>
      <c r="W194" s="35"/>
      <c r="X194" s="35"/>
      <c r="Y194" s="54"/>
      <c r="Z194" s="54"/>
      <c r="AA194" s="35"/>
      <c r="AB194" s="35"/>
      <c r="AC194" s="35"/>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c r="BB194" s="54"/>
      <c r="BC194" s="54"/>
      <c r="BD194" s="51"/>
      <c r="BE194" s="124"/>
      <c r="BF194" s="124"/>
      <c r="BG194" s="124"/>
      <c r="BH194" s="124"/>
      <c r="BI194" s="124"/>
      <c r="BJ194" s="124"/>
      <c r="BK194" s="124"/>
      <c r="BL194" s="124"/>
      <c r="BM194" s="124"/>
      <c r="BN194" s="124"/>
      <c r="BO194" s="124"/>
      <c r="BP194" s="124"/>
      <c r="BQ194" s="124"/>
      <c r="BR194" s="124"/>
      <c r="BS194" s="124"/>
      <c r="BT194" s="124"/>
    </row>
    <row r="195" spans="1:72" s="123" customFormat="1" ht="15">
      <c r="A195" s="35"/>
      <c r="B195" s="35"/>
      <c r="C195" s="35"/>
      <c r="D195" s="35"/>
      <c r="E195" s="35"/>
      <c r="F195" s="35"/>
      <c r="G195" s="35"/>
      <c r="H195" s="35"/>
      <c r="I195" s="35"/>
      <c r="J195" s="35"/>
      <c r="K195" s="35"/>
      <c r="L195" s="35"/>
      <c r="M195" s="35"/>
      <c r="N195" s="35"/>
      <c r="O195" s="35"/>
      <c r="P195" s="35"/>
      <c r="Q195" s="35"/>
      <c r="R195" s="35"/>
      <c r="S195" s="54"/>
      <c r="T195" s="54"/>
      <c r="U195" s="54"/>
      <c r="V195" s="54"/>
      <c r="W195" s="35"/>
      <c r="X195" s="35"/>
      <c r="Y195" s="54"/>
      <c r="Z195" s="54"/>
      <c r="AA195" s="35"/>
      <c r="AB195" s="35"/>
      <c r="AC195" s="35"/>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c r="BB195" s="54"/>
      <c r="BC195" s="54"/>
      <c r="BD195" s="51"/>
      <c r="BE195" s="124"/>
      <c r="BF195" s="124"/>
      <c r="BG195" s="124"/>
      <c r="BH195" s="124"/>
      <c r="BI195" s="124"/>
      <c r="BJ195" s="124"/>
      <c r="BK195" s="124"/>
      <c r="BL195" s="124"/>
      <c r="BM195" s="124"/>
      <c r="BN195" s="124"/>
      <c r="BO195" s="124"/>
      <c r="BP195" s="124"/>
      <c r="BQ195" s="124"/>
      <c r="BR195" s="124"/>
      <c r="BS195" s="124"/>
      <c r="BT195" s="124"/>
    </row>
    <row r="196" spans="1:72" s="123" customFormat="1" ht="15">
      <c r="A196" s="35"/>
      <c r="B196" s="35"/>
      <c r="C196" s="35"/>
      <c r="D196" s="35"/>
      <c r="E196" s="35"/>
      <c r="F196" s="35"/>
      <c r="G196" s="35"/>
      <c r="H196" s="35"/>
      <c r="I196" s="35"/>
      <c r="J196" s="35"/>
      <c r="K196" s="35"/>
      <c r="L196" s="35"/>
      <c r="M196" s="35"/>
      <c r="N196" s="35"/>
      <c r="O196" s="35"/>
      <c r="P196" s="35"/>
      <c r="Q196" s="35"/>
      <c r="R196" s="35"/>
      <c r="S196" s="54"/>
      <c r="T196" s="54"/>
      <c r="U196" s="54"/>
      <c r="V196" s="54"/>
      <c r="W196" s="35"/>
      <c r="X196" s="35"/>
      <c r="Y196" s="54"/>
      <c r="Z196" s="54"/>
      <c r="AA196" s="35"/>
      <c r="AB196" s="35"/>
      <c r="AC196" s="35"/>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4"/>
      <c r="BC196" s="54"/>
      <c r="BD196" s="51"/>
      <c r="BE196" s="124"/>
      <c r="BF196" s="124"/>
      <c r="BG196" s="124"/>
      <c r="BH196" s="124"/>
      <c r="BI196" s="124"/>
      <c r="BJ196" s="124"/>
      <c r="BK196" s="124"/>
      <c r="BL196" s="124"/>
      <c r="BM196" s="124"/>
      <c r="BN196" s="124"/>
      <c r="BO196" s="124"/>
      <c r="BP196" s="124"/>
      <c r="BQ196" s="124"/>
      <c r="BR196" s="124"/>
      <c r="BS196" s="124"/>
      <c r="BT196" s="124"/>
    </row>
    <row r="197" spans="1:72" s="123" customFormat="1" ht="15">
      <c r="A197" s="35"/>
      <c r="B197" s="35"/>
      <c r="C197" s="35"/>
      <c r="D197" s="35"/>
      <c r="E197" s="35"/>
      <c r="F197" s="35"/>
      <c r="G197" s="35"/>
      <c r="H197" s="35"/>
      <c r="I197" s="35"/>
      <c r="J197" s="35"/>
      <c r="K197" s="35"/>
      <c r="L197" s="35"/>
      <c r="M197" s="35"/>
      <c r="N197" s="35"/>
      <c r="O197" s="35"/>
      <c r="P197" s="35"/>
      <c r="Q197" s="35"/>
      <c r="R197" s="35"/>
      <c r="S197" s="54"/>
      <c r="T197" s="54"/>
      <c r="U197" s="54"/>
      <c r="V197" s="54"/>
      <c r="W197" s="35"/>
      <c r="X197" s="35"/>
      <c r="Y197" s="54"/>
      <c r="Z197" s="54"/>
      <c r="AA197" s="35"/>
      <c r="AB197" s="35"/>
      <c r="AC197" s="35"/>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c r="BB197" s="54"/>
      <c r="BC197" s="54"/>
      <c r="BD197" s="51"/>
      <c r="BE197" s="124"/>
      <c r="BF197" s="124"/>
      <c r="BG197" s="124"/>
      <c r="BH197" s="124"/>
      <c r="BI197" s="124"/>
      <c r="BJ197" s="124"/>
      <c r="BK197" s="124"/>
      <c r="BL197" s="124"/>
      <c r="BM197" s="124"/>
      <c r="BN197" s="124"/>
      <c r="BO197" s="124"/>
      <c r="BP197" s="124"/>
      <c r="BQ197" s="124"/>
      <c r="BR197" s="124"/>
      <c r="BS197" s="124"/>
      <c r="BT197" s="124"/>
    </row>
    <row r="198" spans="1:72" s="123" customFormat="1" ht="15">
      <c r="A198" s="35"/>
      <c r="B198" s="35"/>
      <c r="C198" s="35"/>
      <c r="D198" s="35"/>
      <c r="E198" s="35"/>
      <c r="F198" s="35"/>
      <c r="G198" s="35"/>
      <c r="H198" s="35"/>
      <c r="I198" s="35"/>
      <c r="J198" s="35"/>
      <c r="K198" s="35"/>
      <c r="L198" s="35"/>
      <c r="M198" s="35"/>
      <c r="N198" s="35"/>
      <c r="O198" s="35"/>
      <c r="P198" s="35"/>
      <c r="Q198" s="35"/>
      <c r="R198" s="35"/>
      <c r="S198" s="54"/>
      <c r="T198" s="54"/>
      <c r="U198" s="54"/>
      <c r="V198" s="54"/>
      <c r="W198" s="35"/>
      <c r="X198" s="35"/>
      <c r="Y198" s="54"/>
      <c r="Z198" s="54"/>
      <c r="AA198" s="35"/>
      <c r="AB198" s="35"/>
      <c r="AC198" s="35"/>
      <c r="AD198" s="54"/>
      <c r="AE198" s="54"/>
      <c r="AF198" s="54"/>
      <c r="AG198" s="54"/>
      <c r="AH198" s="54"/>
      <c r="AI198" s="54"/>
      <c r="AJ198" s="54"/>
      <c r="AK198" s="54"/>
      <c r="AL198" s="54"/>
      <c r="AM198" s="54"/>
      <c r="AN198" s="54"/>
      <c r="AO198" s="54"/>
      <c r="AP198" s="54"/>
      <c r="AQ198" s="54"/>
      <c r="AR198" s="54"/>
      <c r="AS198" s="54"/>
      <c r="AT198" s="54"/>
      <c r="AU198" s="54"/>
      <c r="AV198" s="54"/>
      <c r="AW198" s="54"/>
      <c r="AX198" s="54"/>
      <c r="AY198" s="54"/>
      <c r="AZ198" s="54"/>
      <c r="BA198" s="54"/>
      <c r="BB198" s="54"/>
      <c r="BC198" s="54"/>
      <c r="BD198" s="51"/>
      <c r="BE198" s="124"/>
      <c r="BF198" s="124"/>
      <c r="BG198" s="124"/>
      <c r="BH198" s="124"/>
      <c r="BI198" s="124"/>
      <c r="BJ198" s="124"/>
      <c r="BK198" s="124"/>
      <c r="BL198" s="124"/>
      <c r="BM198" s="124"/>
      <c r="BN198" s="124"/>
      <c r="BO198" s="124"/>
      <c r="BP198" s="124"/>
      <c r="BQ198" s="124"/>
      <c r="BR198" s="124"/>
      <c r="BS198" s="124"/>
      <c r="BT198" s="124"/>
    </row>
    <row r="199" spans="1:72" s="123" customFormat="1" ht="15">
      <c r="A199" s="35"/>
      <c r="B199" s="35"/>
      <c r="C199" s="35"/>
      <c r="D199" s="35"/>
      <c r="E199" s="35"/>
      <c r="F199" s="35"/>
      <c r="G199" s="35"/>
      <c r="H199" s="35"/>
      <c r="I199" s="35"/>
      <c r="J199" s="35"/>
      <c r="K199" s="35"/>
      <c r="L199" s="35"/>
      <c r="M199" s="35"/>
      <c r="N199" s="35"/>
      <c r="O199" s="35"/>
      <c r="P199" s="35"/>
      <c r="Q199" s="35"/>
      <c r="R199" s="35"/>
      <c r="S199" s="54"/>
      <c r="T199" s="54"/>
      <c r="U199" s="54"/>
      <c r="V199" s="54"/>
      <c r="W199" s="35"/>
      <c r="X199" s="35"/>
      <c r="Y199" s="54"/>
      <c r="Z199" s="54"/>
      <c r="AA199" s="35"/>
      <c r="AB199" s="35"/>
      <c r="AC199" s="35"/>
      <c r="AD199" s="54"/>
      <c r="AE199" s="54"/>
      <c r="AF199" s="54"/>
      <c r="AG199" s="54"/>
      <c r="AH199" s="54"/>
      <c r="AI199" s="54"/>
      <c r="AJ199" s="54"/>
      <c r="AK199" s="54"/>
      <c r="AL199" s="54"/>
      <c r="AM199" s="54"/>
      <c r="AN199" s="54"/>
      <c r="AO199" s="54"/>
      <c r="AP199" s="54"/>
      <c r="AQ199" s="54"/>
      <c r="AR199" s="54"/>
      <c r="AS199" s="54"/>
      <c r="AT199" s="54"/>
      <c r="AU199" s="54"/>
      <c r="AV199" s="54"/>
      <c r="AW199" s="54"/>
      <c r="AX199" s="54"/>
      <c r="AY199" s="54"/>
      <c r="AZ199" s="54"/>
      <c r="BA199" s="54"/>
      <c r="BB199" s="54"/>
      <c r="BC199" s="54"/>
      <c r="BD199" s="51"/>
      <c r="BE199" s="124"/>
      <c r="BF199" s="124"/>
      <c r="BG199" s="124"/>
      <c r="BH199" s="124"/>
      <c r="BI199" s="124"/>
      <c r="BJ199" s="124"/>
      <c r="BK199" s="124"/>
      <c r="BL199" s="124"/>
      <c r="BM199" s="124"/>
      <c r="BN199" s="124"/>
      <c r="BO199" s="124"/>
      <c r="BP199" s="124"/>
      <c r="BQ199" s="124"/>
      <c r="BR199" s="124"/>
      <c r="BS199" s="124"/>
      <c r="BT199" s="124"/>
    </row>
    <row r="200" spans="1:72" s="123" customFormat="1" ht="15">
      <c r="A200" s="35"/>
      <c r="B200" s="35"/>
      <c r="C200" s="35"/>
      <c r="D200" s="35"/>
      <c r="E200" s="35"/>
      <c r="F200" s="35"/>
      <c r="G200" s="35"/>
      <c r="H200" s="35"/>
      <c r="I200" s="35"/>
      <c r="J200" s="35"/>
      <c r="K200" s="35"/>
      <c r="L200" s="35"/>
      <c r="M200" s="35"/>
      <c r="N200" s="35"/>
      <c r="O200" s="35"/>
      <c r="P200" s="35"/>
      <c r="Q200" s="35"/>
      <c r="R200" s="35"/>
      <c r="S200" s="54"/>
      <c r="T200" s="54"/>
      <c r="U200" s="54"/>
      <c r="V200" s="54"/>
      <c r="W200" s="35"/>
      <c r="X200" s="35"/>
      <c r="Y200" s="54"/>
      <c r="Z200" s="54"/>
      <c r="AA200" s="35"/>
      <c r="AB200" s="35"/>
      <c r="AC200" s="35"/>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1"/>
      <c r="BE200" s="124"/>
      <c r="BF200" s="124"/>
      <c r="BG200" s="124"/>
      <c r="BH200" s="124"/>
      <c r="BI200" s="124"/>
      <c r="BJ200" s="124"/>
      <c r="BK200" s="124"/>
      <c r="BL200" s="124"/>
      <c r="BM200" s="124"/>
      <c r="BN200" s="124"/>
      <c r="BO200" s="124"/>
      <c r="BP200" s="124"/>
      <c r="BQ200" s="124"/>
      <c r="BR200" s="124"/>
      <c r="BS200" s="124"/>
      <c r="BT200" s="124"/>
    </row>
    <row r="201" spans="1:72" s="123" customFormat="1" ht="15">
      <c r="A201" s="35"/>
      <c r="B201" s="35"/>
      <c r="C201" s="35"/>
      <c r="D201" s="35"/>
      <c r="E201" s="35"/>
      <c r="F201" s="35"/>
      <c r="G201" s="35"/>
      <c r="H201" s="35"/>
      <c r="I201" s="35"/>
      <c r="J201" s="35"/>
      <c r="K201" s="35"/>
      <c r="L201" s="35"/>
      <c r="M201" s="35"/>
      <c r="N201" s="35"/>
      <c r="O201" s="35"/>
      <c r="P201" s="35"/>
      <c r="Q201" s="35"/>
      <c r="R201" s="35"/>
      <c r="S201" s="54"/>
      <c r="T201" s="54"/>
      <c r="U201" s="54"/>
      <c r="V201" s="54"/>
      <c r="W201" s="35"/>
      <c r="X201" s="35"/>
      <c r="Y201" s="54"/>
      <c r="Z201" s="54"/>
      <c r="AA201" s="35"/>
      <c r="AB201" s="35"/>
      <c r="AC201" s="35"/>
      <c r="AD201" s="54"/>
      <c r="AE201" s="54"/>
      <c r="AF201" s="54"/>
      <c r="AG201" s="54"/>
      <c r="AH201" s="54"/>
      <c r="AI201" s="54"/>
      <c r="AJ201" s="54"/>
      <c r="AK201" s="54"/>
      <c r="AL201" s="54"/>
      <c r="AM201" s="54"/>
      <c r="AN201" s="54"/>
      <c r="AO201" s="54"/>
      <c r="AP201" s="54"/>
      <c r="AQ201" s="54"/>
      <c r="AR201" s="54"/>
      <c r="AS201" s="54"/>
      <c r="AT201" s="54"/>
      <c r="AU201" s="54"/>
      <c r="AV201" s="54"/>
      <c r="AW201" s="54"/>
      <c r="AX201" s="54"/>
      <c r="AY201" s="54"/>
      <c r="AZ201" s="54"/>
      <c r="BA201" s="54"/>
      <c r="BB201" s="54"/>
      <c r="BC201" s="54"/>
      <c r="BD201" s="51"/>
      <c r="BE201" s="124"/>
      <c r="BF201" s="124"/>
      <c r="BG201" s="124"/>
      <c r="BH201" s="124"/>
      <c r="BI201" s="124"/>
      <c r="BJ201" s="124"/>
      <c r="BK201" s="124"/>
      <c r="BL201" s="124"/>
      <c r="BM201" s="124"/>
      <c r="BN201" s="124"/>
      <c r="BO201" s="124"/>
      <c r="BP201" s="124"/>
      <c r="BQ201" s="124"/>
      <c r="BR201" s="124"/>
      <c r="BS201" s="124"/>
      <c r="BT201" s="124"/>
    </row>
    <row r="202" spans="1:72" s="123" customFormat="1" ht="15">
      <c r="A202" s="35"/>
      <c r="B202" s="35"/>
      <c r="C202" s="35"/>
      <c r="D202" s="35"/>
      <c r="E202" s="35"/>
      <c r="F202" s="35"/>
      <c r="G202" s="35"/>
      <c r="H202" s="35"/>
      <c r="I202" s="35"/>
      <c r="J202" s="35"/>
      <c r="K202" s="35"/>
      <c r="L202" s="35"/>
      <c r="M202" s="35"/>
      <c r="N202" s="35"/>
      <c r="O202" s="35"/>
      <c r="P202" s="35"/>
      <c r="Q202" s="35"/>
      <c r="R202" s="35"/>
      <c r="S202" s="54"/>
      <c r="T202" s="54"/>
      <c r="U202" s="54"/>
      <c r="V202" s="54"/>
      <c r="W202" s="35"/>
      <c r="X202" s="35"/>
      <c r="Y202" s="54"/>
      <c r="Z202" s="54"/>
      <c r="AA202" s="35"/>
      <c r="AB202" s="35"/>
      <c r="AC202" s="35"/>
      <c r="AD202" s="54"/>
      <c r="AE202" s="54"/>
      <c r="AF202" s="54"/>
      <c r="AG202" s="54"/>
      <c r="AH202" s="54"/>
      <c r="AI202" s="54"/>
      <c r="AJ202" s="54"/>
      <c r="AK202" s="54"/>
      <c r="AL202" s="54"/>
      <c r="AM202" s="54"/>
      <c r="AN202" s="54"/>
      <c r="AO202" s="54"/>
      <c r="AP202" s="54"/>
      <c r="AQ202" s="54"/>
      <c r="AR202" s="54"/>
      <c r="AS202" s="54"/>
      <c r="AT202" s="54"/>
      <c r="AU202" s="54"/>
      <c r="AV202" s="54"/>
      <c r="AW202" s="54"/>
      <c r="AX202" s="54"/>
      <c r="AY202" s="54"/>
      <c r="AZ202" s="54"/>
      <c r="BA202" s="54"/>
      <c r="BB202" s="54"/>
      <c r="BC202" s="54"/>
      <c r="BD202" s="51"/>
      <c r="BE202" s="124"/>
      <c r="BF202" s="124"/>
      <c r="BG202" s="124"/>
      <c r="BH202" s="124"/>
      <c r="BI202" s="124"/>
      <c r="BJ202" s="124"/>
      <c r="BK202" s="124"/>
      <c r="BL202" s="124"/>
      <c r="BM202" s="124"/>
      <c r="BN202" s="124"/>
      <c r="BO202" s="124"/>
      <c r="BP202" s="124"/>
      <c r="BQ202" s="124"/>
      <c r="BR202" s="124"/>
      <c r="BS202" s="124"/>
      <c r="BT202" s="124"/>
    </row>
    <row r="203" spans="1:72" s="123" customFormat="1" ht="15">
      <c r="A203" s="35"/>
      <c r="B203" s="35"/>
      <c r="C203" s="35"/>
      <c r="D203" s="35"/>
      <c r="E203" s="35"/>
      <c r="F203" s="35"/>
      <c r="G203" s="35"/>
      <c r="H203" s="35"/>
      <c r="I203" s="35"/>
      <c r="J203" s="35"/>
      <c r="K203" s="35"/>
      <c r="L203" s="35"/>
      <c r="M203" s="35"/>
      <c r="N203" s="35"/>
      <c r="O203" s="35"/>
      <c r="P203" s="35"/>
      <c r="Q203" s="35"/>
      <c r="R203" s="35"/>
      <c r="S203" s="54"/>
      <c r="T203" s="54"/>
      <c r="U203" s="54"/>
      <c r="V203" s="54"/>
      <c r="W203" s="35"/>
      <c r="X203" s="35"/>
      <c r="Y203" s="54"/>
      <c r="Z203" s="54"/>
      <c r="AA203" s="35"/>
      <c r="AB203" s="35"/>
      <c r="AC203" s="35"/>
      <c r="AD203" s="54"/>
      <c r="AE203" s="54"/>
      <c r="AF203" s="54"/>
      <c r="AG203" s="54"/>
      <c r="AH203" s="54"/>
      <c r="AI203" s="54"/>
      <c r="AJ203" s="54"/>
      <c r="AK203" s="54"/>
      <c r="AL203" s="54"/>
      <c r="AM203" s="54"/>
      <c r="AN203" s="54"/>
      <c r="AO203" s="54"/>
      <c r="AP203" s="54"/>
      <c r="AQ203" s="54"/>
      <c r="AR203" s="54"/>
      <c r="AS203" s="54"/>
      <c r="AT203" s="54"/>
      <c r="AU203" s="54"/>
      <c r="AV203" s="54"/>
      <c r="AW203" s="54"/>
      <c r="AX203" s="54"/>
      <c r="AY203" s="54"/>
      <c r="AZ203" s="54"/>
      <c r="BA203" s="54"/>
      <c r="BB203" s="54"/>
      <c r="BC203" s="54"/>
      <c r="BD203" s="51"/>
    </row>
    <row r="204" spans="1:72" s="123" customFormat="1" ht="15">
      <c r="A204" s="35"/>
      <c r="B204" s="35"/>
      <c r="C204" s="35"/>
      <c r="D204" s="35"/>
      <c r="E204" s="35"/>
      <c r="F204" s="35"/>
      <c r="G204" s="35"/>
      <c r="H204" s="35"/>
      <c r="I204" s="35"/>
      <c r="J204" s="35"/>
      <c r="K204" s="35"/>
      <c r="L204" s="35"/>
      <c r="M204" s="35"/>
      <c r="N204" s="35"/>
      <c r="O204" s="35"/>
      <c r="P204" s="35"/>
      <c r="Q204" s="35"/>
      <c r="R204" s="35"/>
      <c r="S204" s="54"/>
      <c r="T204" s="54"/>
      <c r="U204" s="54"/>
      <c r="V204" s="54"/>
      <c r="W204" s="35"/>
      <c r="X204" s="35"/>
      <c r="Y204" s="54"/>
      <c r="Z204" s="54"/>
      <c r="AA204" s="35"/>
      <c r="AB204" s="35"/>
      <c r="AC204" s="35"/>
      <c r="AD204" s="54"/>
      <c r="AE204" s="54"/>
      <c r="AF204" s="54"/>
      <c r="AG204" s="54"/>
      <c r="AH204" s="54"/>
      <c r="AI204" s="54"/>
      <c r="AJ204" s="54"/>
      <c r="AK204" s="54"/>
      <c r="AL204" s="54"/>
      <c r="AM204" s="54"/>
      <c r="AN204" s="54"/>
      <c r="AO204" s="54"/>
      <c r="AP204" s="54"/>
      <c r="AQ204" s="54"/>
      <c r="AR204" s="54"/>
      <c r="AS204" s="54"/>
      <c r="AT204" s="54"/>
      <c r="AU204" s="54"/>
      <c r="AV204" s="54"/>
      <c r="AW204" s="54"/>
      <c r="AX204" s="54"/>
      <c r="AY204" s="54"/>
      <c r="AZ204" s="54"/>
      <c r="BA204" s="54"/>
      <c r="BB204" s="54"/>
      <c r="BC204" s="54"/>
      <c r="BD204" s="51"/>
    </row>
    <row r="205" spans="1:72" s="123" customFormat="1" ht="15">
      <c r="A205" s="35"/>
      <c r="B205" s="35"/>
      <c r="C205" s="35"/>
      <c r="D205" s="35"/>
      <c r="E205" s="35"/>
      <c r="F205" s="35"/>
      <c r="G205" s="35"/>
      <c r="H205" s="35"/>
      <c r="I205" s="35"/>
      <c r="J205" s="35"/>
      <c r="K205" s="35"/>
      <c r="L205" s="35"/>
      <c r="M205" s="35"/>
      <c r="N205" s="35"/>
      <c r="O205" s="35"/>
      <c r="P205" s="35"/>
      <c r="Q205" s="35"/>
      <c r="R205" s="35"/>
      <c r="S205" s="54"/>
      <c r="T205" s="54"/>
      <c r="U205" s="54"/>
      <c r="V205" s="54"/>
      <c r="W205" s="35"/>
      <c r="X205" s="35"/>
      <c r="Y205" s="54"/>
      <c r="Z205" s="54"/>
      <c r="AA205" s="35"/>
      <c r="AB205" s="35"/>
      <c r="AC205" s="35"/>
      <c r="AD205" s="54"/>
      <c r="AE205" s="54"/>
      <c r="AF205" s="54"/>
      <c r="AG205" s="54"/>
      <c r="AH205" s="54"/>
      <c r="AI205" s="54"/>
      <c r="AJ205" s="54"/>
      <c r="AK205" s="54"/>
      <c r="AL205" s="54"/>
      <c r="AM205" s="54"/>
      <c r="AN205" s="54"/>
      <c r="AO205" s="54"/>
      <c r="AP205" s="54"/>
      <c r="AQ205" s="54"/>
      <c r="AR205" s="54"/>
      <c r="AS205" s="54"/>
      <c r="AT205" s="54"/>
      <c r="AU205" s="54"/>
      <c r="AV205" s="54"/>
      <c r="AW205" s="54"/>
      <c r="AX205" s="54"/>
      <c r="AY205" s="54"/>
      <c r="AZ205" s="54"/>
      <c r="BA205" s="54"/>
      <c r="BB205" s="54"/>
      <c r="BC205" s="54"/>
      <c r="BD205" s="51"/>
    </row>
    <row r="206" spans="1:72" s="123" customFormat="1" ht="15">
      <c r="A206" s="35"/>
      <c r="B206" s="35"/>
      <c r="C206" s="35"/>
      <c r="D206" s="35"/>
      <c r="E206" s="35"/>
      <c r="F206" s="35"/>
      <c r="G206" s="35"/>
      <c r="H206" s="35"/>
      <c r="I206" s="35"/>
      <c r="J206" s="35"/>
      <c r="K206" s="35"/>
      <c r="L206" s="35"/>
      <c r="M206" s="35"/>
      <c r="N206" s="35"/>
      <c r="O206" s="35"/>
      <c r="P206" s="35"/>
      <c r="Q206" s="35"/>
      <c r="R206" s="35"/>
      <c r="S206" s="54"/>
      <c r="T206" s="54"/>
      <c r="U206" s="54"/>
      <c r="V206" s="54"/>
      <c r="W206" s="35"/>
      <c r="X206" s="35"/>
      <c r="Y206" s="54"/>
      <c r="Z206" s="54"/>
      <c r="AA206" s="35"/>
      <c r="AB206" s="35"/>
      <c r="AC206" s="35"/>
      <c r="AD206" s="54"/>
      <c r="AE206" s="54"/>
      <c r="AF206" s="54"/>
      <c r="AG206" s="54"/>
      <c r="AH206" s="54"/>
      <c r="AI206" s="54"/>
      <c r="AJ206" s="54"/>
      <c r="AK206" s="54"/>
      <c r="AL206" s="54"/>
      <c r="AM206" s="54"/>
      <c r="AN206" s="54"/>
      <c r="AO206" s="54"/>
      <c r="AP206" s="54"/>
      <c r="AQ206" s="54"/>
      <c r="AR206" s="54"/>
      <c r="AS206" s="54"/>
      <c r="AT206" s="54"/>
      <c r="AU206" s="54"/>
      <c r="AV206" s="54"/>
      <c r="AW206" s="54"/>
      <c r="AX206" s="54"/>
      <c r="AY206" s="54"/>
      <c r="AZ206" s="54"/>
      <c r="BA206" s="54"/>
      <c r="BB206" s="54"/>
      <c r="BC206" s="54"/>
      <c r="BD206" s="51"/>
    </row>
    <row r="207" spans="1:72" s="123" customFormat="1" ht="15">
      <c r="A207" s="35"/>
      <c r="B207" s="35"/>
      <c r="C207" s="35"/>
      <c r="D207" s="35"/>
      <c r="E207" s="35"/>
      <c r="F207" s="35"/>
      <c r="G207" s="35"/>
      <c r="H207" s="35"/>
      <c r="I207" s="35"/>
      <c r="J207" s="35"/>
      <c r="K207" s="35"/>
      <c r="L207" s="35"/>
      <c r="M207" s="35"/>
      <c r="N207" s="35"/>
      <c r="O207" s="35"/>
      <c r="P207" s="35"/>
      <c r="Q207" s="35"/>
      <c r="R207" s="35"/>
      <c r="S207" s="54"/>
      <c r="T207" s="54"/>
      <c r="U207" s="54"/>
      <c r="V207" s="54"/>
      <c r="W207" s="35"/>
      <c r="X207" s="35"/>
      <c r="Y207" s="54"/>
      <c r="Z207" s="54"/>
      <c r="AA207" s="35"/>
      <c r="AB207" s="35"/>
      <c r="AC207" s="35"/>
      <c r="AD207" s="54"/>
      <c r="AE207" s="54"/>
      <c r="AF207" s="54"/>
      <c r="AG207" s="54"/>
      <c r="AH207" s="54"/>
      <c r="AI207" s="54"/>
      <c r="AJ207" s="54"/>
      <c r="AK207" s="54"/>
      <c r="AL207" s="54"/>
      <c r="AM207" s="54"/>
      <c r="AN207" s="54"/>
      <c r="AO207" s="54"/>
      <c r="AP207" s="54"/>
      <c r="AQ207" s="54"/>
      <c r="AR207" s="54"/>
      <c r="AS207" s="54"/>
      <c r="AT207" s="54"/>
      <c r="AU207" s="54"/>
      <c r="AV207" s="54"/>
      <c r="AW207" s="54"/>
      <c r="AX207" s="54"/>
      <c r="AY207" s="54"/>
      <c r="AZ207" s="54"/>
      <c r="BA207" s="54"/>
      <c r="BB207" s="54"/>
      <c r="BC207" s="54"/>
      <c r="BD207" s="51"/>
      <c r="BE207" s="124"/>
      <c r="BF207" s="124"/>
      <c r="BG207" s="124"/>
      <c r="BH207" s="124"/>
      <c r="BI207" s="124"/>
      <c r="BJ207" s="124"/>
      <c r="BK207" s="124"/>
      <c r="BL207" s="124"/>
      <c r="BM207" s="124"/>
      <c r="BN207" s="124"/>
      <c r="BO207" s="124"/>
      <c r="BP207" s="124"/>
      <c r="BQ207" s="124"/>
      <c r="BR207" s="124"/>
      <c r="BS207" s="124"/>
      <c r="BT207" s="124"/>
    </row>
    <row r="208" spans="1:72" s="123" customFormat="1" ht="15">
      <c r="A208" s="35"/>
      <c r="B208" s="35"/>
      <c r="C208" s="35"/>
      <c r="D208" s="35"/>
      <c r="E208" s="35"/>
      <c r="F208" s="35"/>
      <c r="G208" s="35"/>
      <c r="H208" s="35"/>
      <c r="I208" s="35"/>
      <c r="J208" s="35"/>
      <c r="K208" s="35"/>
      <c r="L208" s="35"/>
      <c r="M208" s="35"/>
      <c r="N208" s="35"/>
      <c r="O208" s="35"/>
      <c r="P208" s="35"/>
      <c r="Q208" s="35"/>
      <c r="R208" s="35"/>
      <c r="S208" s="54"/>
      <c r="T208" s="54"/>
      <c r="U208" s="54"/>
      <c r="V208" s="54"/>
      <c r="W208" s="35"/>
      <c r="X208" s="35"/>
      <c r="Y208" s="54"/>
      <c r="Z208" s="54"/>
      <c r="AA208" s="35"/>
      <c r="AB208" s="35"/>
      <c r="AC208" s="35"/>
      <c r="AD208" s="54"/>
      <c r="AE208" s="54"/>
      <c r="AF208" s="54"/>
      <c r="AG208" s="54"/>
      <c r="AH208" s="54"/>
      <c r="AI208" s="54"/>
      <c r="AJ208" s="54"/>
      <c r="AK208" s="54"/>
      <c r="AL208" s="54"/>
      <c r="AM208" s="54"/>
      <c r="AN208" s="54"/>
      <c r="AO208" s="54"/>
      <c r="AP208" s="54"/>
      <c r="AQ208" s="54"/>
      <c r="AR208" s="54"/>
      <c r="AS208" s="54"/>
      <c r="AT208" s="54"/>
      <c r="AU208" s="54"/>
      <c r="AV208" s="54"/>
      <c r="AW208" s="54"/>
      <c r="AX208" s="54"/>
      <c r="AY208" s="54"/>
      <c r="AZ208" s="54"/>
      <c r="BA208" s="54"/>
      <c r="BB208" s="54"/>
      <c r="BC208" s="54"/>
      <c r="BD208" s="51"/>
      <c r="BE208" s="124"/>
      <c r="BF208" s="124"/>
      <c r="BG208" s="124"/>
      <c r="BH208" s="124"/>
      <c r="BI208" s="124"/>
      <c r="BJ208" s="124"/>
      <c r="BK208" s="124"/>
      <c r="BL208" s="124"/>
      <c r="BM208" s="124"/>
      <c r="BN208" s="124"/>
      <c r="BO208" s="124"/>
      <c r="BP208" s="124"/>
      <c r="BQ208" s="124"/>
      <c r="BR208" s="124"/>
      <c r="BS208" s="124"/>
      <c r="BT208" s="124"/>
    </row>
    <row r="209" spans="1:72" s="123" customFormat="1" ht="15">
      <c r="A209" s="35"/>
      <c r="B209" s="35"/>
      <c r="C209" s="35"/>
      <c r="D209" s="35"/>
      <c r="E209" s="35"/>
      <c r="F209" s="35"/>
      <c r="G209" s="35"/>
      <c r="H209" s="35"/>
      <c r="I209" s="35"/>
      <c r="J209" s="35"/>
      <c r="K209" s="35"/>
      <c r="L209" s="35"/>
      <c r="M209" s="35"/>
      <c r="N209" s="35"/>
      <c r="O209" s="35"/>
      <c r="P209" s="35"/>
      <c r="Q209" s="35"/>
      <c r="R209" s="35"/>
      <c r="S209" s="54"/>
      <c r="T209" s="54"/>
      <c r="U209" s="54"/>
      <c r="V209" s="54"/>
      <c r="W209" s="35"/>
      <c r="X209" s="35"/>
      <c r="Y209" s="54"/>
      <c r="Z209" s="54"/>
      <c r="AA209" s="35"/>
      <c r="AB209" s="35"/>
      <c r="AC209" s="35"/>
      <c r="AD209" s="54"/>
      <c r="AE209" s="54"/>
      <c r="AF209" s="54"/>
      <c r="AG209" s="54"/>
      <c r="AH209" s="54"/>
      <c r="AI209" s="54"/>
      <c r="AJ209" s="54"/>
      <c r="AK209" s="54"/>
      <c r="AL209" s="54"/>
      <c r="AM209" s="54"/>
      <c r="AN209" s="54"/>
      <c r="AO209" s="54"/>
      <c r="AP209" s="54"/>
      <c r="AQ209" s="54"/>
      <c r="AR209" s="54"/>
      <c r="AS209" s="54"/>
      <c r="AT209" s="54"/>
      <c r="AU209" s="54"/>
      <c r="AV209" s="54"/>
      <c r="AW209" s="54"/>
      <c r="AX209" s="54"/>
      <c r="AY209" s="54"/>
      <c r="AZ209" s="54"/>
      <c r="BA209" s="54"/>
      <c r="BB209" s="54"/>
      <c r="BC209" s="54"/>
      <c r="BD209" s="51"/>
      <c r="BE209" s="124"/>
      <c r="BF209" s="124"/>
      <c r="BG209" s="124"/>
      <c r="BH209" s="124"/>
      <c r="BI209" s="124"/>
      <c r="BJ209" s="124"/>
      <c r="BK209" s="124"/>
      <c r="BL209" s="124"/>
      <c r="BM209" s="124"/>
      <c r="BN209" s="124"/>
      <c r="BO209" s="124"/>
      <c r="BP209" s="124"/>
      <c r="BQ209" s="124"/>
      <c r="BR209" s="124"/>
      <c r="BS209" s="124"/>
      <c r="BT209" s="124"/>
    </row>
    <row r="210" spans="1:72" s="123" customFormat="1" ht="15">
      <c r="A210" s="35"/>
      <c r="B210" s="35"/>
      <c r="C210" s="35"/>
      <c r="D210" s="35"/>
      <c r="E210" s="35"/>
      <c r="F210" s="35"/>
      <c r="G210" s="35"/>
      <c r="H210" s="35"/>
      <c r="I210" s="35"/>
      <c r="J210" s="35"/>
      <c r="K210" s="35"/>
      <c r="L210" s="35"/>
      <c r="M210" s="35"/>
      <c r="N210" s="35"/>
      <c r="O210" s="35"/>
      <c r="P210" s="35"/>
      <c r="Q210" s="35"/>
      <c r="R210" s="35"/>
      <c r="S210" s="54"/>
      <c r="T210" s="54"/>
      <c r="U210" s="54"/>
      <c r="V210" s="54"/>
      <c r="W210" s="35"/>
      <c r="X210" s="35"/>
      <c r="Y210" s="54"/>
      <c r="Z210" s="54"/>
      <c r="AA210" s="35"/>
      <c r="AB210" s="35"/>
      <c r="AC210" s="35"/>
      <c r="AD210" s="54"/>
      <c r="AE210" s="54"/>
      <c r="AF210" s="54"/>
      <c r="AG210" s="54"/>
      <c r="AH210" s="54"/>
      <c r="AI210" s="54"/>
      <c r="AJ210" s="54"/>
      <c r="AK210" s="54"/>
      <c r="AL210" s="54"/>
      <c r="AM210" s="54"/>
      <c r="AN210" s="54"/>
      <c r="AO210" s="54"/>
      <c r="AP210" s="54"/>
      <c r="AQ210" s="54"/>
      <c r="AR210" s="54"/>
      <c r="AS210" s="54"/>
      <c r="AT210" s="54"/>
      <c r="AU210" s="54"/>
      <c r="AV210" s="54"/>
      <c r="AW210" s="54"/>
      <c r="AX210" s="54"/>
      <c r="AY210" s="54"/>
      <c r="AZ210" s="54"/>
      <c r="BA210" s="54"/>
      <c r="BB210" s="54"/>
      <c r="BC210" s="54"/>
      <c r="BD210" s="51"/>
      <c r="BE210" s="124"/>
      <c r="BF210" s="124"/>
      <c r="BG210" s="124"/>
      <c r="BH210" s="124"/>
      <c r="BI210" s="124"/>
      <c r="BJ210" s="124"/>
      <c r="BK210" s="124"/>
      <c r="BL210" s="124"/>
      <c r="BM210" s="124"/>
      <c r="BN210" s="124"/>
      <c r="BO210" s="124"/>
      <c r="BP210" s="124"/>
      <c r="BQ210" s="124"/>
      <c r="BR210" s="124"/>
      <c r="BS210" s="124"/>
      <c r="BT210" s="124"/>
    </row>
    <row r="211" spans="1:72" s="123" customFormat="1" ht="15">
      <c r="A211" s="35"/>
      <c r="B211" s="35"/>
      <c r="C211" s="35"/>
      <c r="D211" s="35"/>
      <c r="E211" s="35"/>
      <c r="F211" s="35"/>
      <c r="G211" s="35"/>
      <c r="H211" s="35"/>
      <c r="I211" s="35"/>
      <c r="J211" s="35"/>
      <c r="K211" s="35"/>
      <c r="L211" s="35"/>
      <c r="M211" s="35"/>
      <c r="N211" s="35"/>
      <c r="O211" s="35"/>
      <c r="P211" s="35"/>
      <c r="Q211" s="35"/>
      <c r="R211" s="35"/>
      <c r="S211" s="54"/>
      <c r="T211" s="54"/>
      <c r="U211" s="54"/>
      <c r="V211" s="54"/>
      <c r="W211" s="35"/>
      <c r="X211" s="35"/>
      <c r="Y211" s="54"/>
      <c r="Z211" s="54"/>
      <c r="AA211" s="35"/>
      <c r="AB211" s="35"/>
      <c r="AC211" s="35"/>
      <c r="AD211" s="54"/>
      <c r="AE211" s="54"/>
      <c r="AF211" s="54"/>
      <c r="AG211" s="54"/>
      <c r="AH211" s="54"/>
      <c r="AI211" s="54"/>
      <c r="AJ211" s="54"/>
      <c r="AK211" s="54"/>
      <c r="AL211" s="54"/>
      <c r="AM211" s="54"/>
      <c r="AN211" s="54"/>
      <c r="AO211" s="54"/>
      <c r="AP211" s="54"/>
      <c r="AQ211" s="54"/>
      <c r="AR211" s="54"/>
      <c r="AS211" s="54"/>
      <c r="AT211" s="54"/>
      <c r="AU211" s="54"/>
      <c r="AV211" s="54"/>
      <c r="AW211" s="54"/>
      <c r="AX211" s="54"/>
      <c r="AY211" s="54"/>
      <c r="AZ211" s="54"/>
      <c r="BA211" s="54"/>
      <c r="BB211" s="54"/>
      <c r="BC211" s="54"/>
      <c r="BD211" s="51"/>
      <c r="BE211" s="124"/>
      <c r="BF211" s="124"/>
      <c r="BG211" s="124"/>
      <c r="BH211" s="124"/>
      <c r="BI211" s="124"/>
      <c r="BJ211" s="124"/>
      <c r="BK211" s="124"/>
      <c r="BL211" s="124"/>
      <c r="BM211" s="124"/>
      <c r="BN211" s="124"/>
      <c r="BO211" s="124"/>
      <c r="BP211" s="124"/>
      <c r="BQ211" s="124"/>
      <c r="BR211" s="124"/>
      <c r="BS211" s="124"/>
      <c r="BT211" s="124"/>
    </row>
    <row r="212" spans="1:72" s="123" customFormat="1" ht="15">
      <c r="A212" s="35"/>
      <c r="B212" s="35"/>
      <c r="C212" s="35"/>
      <c r="D212" s="35"/>
      <c r="E212" s="35"/>
      <c r="F212" s="35"/>
      <c r="G212" s="35"/>
      <c r="H212" s="35"/>
      <c r="I212" s="35"/>
      <c r="J212" s="35"/>
      <c r="K212" s="35"/>
      <c r="L212" s="35"/>
      <c r="M212" s="35"/>
      <c r="N212" s="35"/>
      <c r="O212" s="35"/>
      <c r="P212" s="35"/>
      <c r="Q212" s="35"/>
      <c r="R212" s="35"/>
      <c r="S212" s="54"/>
      <c r="T212" s="54"/>
      <c r="U212" s="54"/>
      <c r="V212" s="54"/>
      <c r="W212" s="35"/>
      <c r="X212" s="35"/>
      <c r="Y212" s="54"/>
      <c r="Z212" s="54"/>
      <c r="AA212" s="35"/>
      <c r="AB212" s="35"/>
      <c r="AC212" s="35"/>
      <c r="AD212" s="54"/>
      <c r="AE212" s="54"/>
      <c r="AF212" s="54"/>
      <c r="AG212" s="54"/>
      <c r="AH212" s="54"/>
      <c r="AI212" s="54"/>
      <c r="AJ212" s="54"/>
      <c r="AK212" s="54"/>
      <c r="AL212" s="54"/>
      <c r="AM212" s="54"/>
      <c r="AN212" s="54"/>
      <c r="AO212" s="54"/>
      <c r="AP212" s="54"/>
      <c r="AQ212" s="54"/>
      <c r="AR212" s="54"/>
      <c r="AS212" s="54"/>
      <c r="AT212" s="54"/>
      <c r="AU212" s="54"/>
      <c r="AV212" s="54"/>
      <c r="AW212" s="54"/>
      <c r="AX212" s="54"/>
      <c r="AY212" s="54"/>
      <c r="AZ212" s="54"/>
      <c r="BA212" s="54"/>
      <c r="BB212" s="54"/>
      <c r="BC212" s="54"/>
      <c r="BD212" s="51"/>
      <c r="BE212" s="124"/>
      <c r="BF212" s="124"/>
      <c r="BG212" s="124"/>
      <c r="BH212" s="124"/>
      <c r="BI212" s="124"/>
      <c r="BJ212" s="124"/>
      <c r="BK212" s="124"/>
      <c r="BL212" s="124"/>
      <c r="BM212" s="124"/>
      <c r="BN212" s="124"/>
      <c r="BO212" s="124"/>
      <c r="BP212" s="124"/>
      <c r="BQ212" s="124"/>
      <c r="BR212" s="124"/>
      <c r="BS212" s="124"/>
      <c r="BT212" s="124"/>
    </row>
    <row r="213" spans="1:72" s="123" customFormat="1" ht="15">
      <c r="A213" s="35"/>
      <c r="B213" s="35"/>
      <c r="C213" s="35"/>
      <c r="D213" s="35"/>
      <c r="E213" s="35"/>
      <c r="F213" s="35"/>
      <c r="G213" s="35"/>
      <c r="H213" s="35"/>
      <c r="I213" s="35"/>
      <c r="J213" s="35"/>
      <c r="K213" s="35"/>
      <c r="L213" s="35"/>
      <c r="M213" s="35"/>
      <c r="N213" s="35"/>
      <c r="O213" s="35"/>
      <c r="P213" s="35"/>
      <c r="Q213" s="35"/>
      <c r="R213" s="35"/>
      <c r="S213" s="54"/>
      <c r="T213" s="54"/>
      <c r="U213" s="54"/>
      <c r="V213" s="54"/>
      <c r="W213" s="35"/>
      <c r="X213" s="35"/>
      <c r="Y213" s="54"/>
      <c r="Z213" s="54"/>
      <c r="AA213" s="35"/>
      <c r="AB213" s="35"/>
      <c r="AC213" s="35"/>
      <c r="AD213" s="54"/>
      <c r="AE213" s="54"/>
      <c r="AF213" s="54"/>
      <c r="AG213" s="54"/>
      <c r="AH213" s="54"/>
      <c r="AI213" s="54"/>
      <c r="AJ213" s="54"/>
      <c r="AK213" s="54"/>
      <c r="AL213" s="54"/>
      <c r="AM213" s="54"/>
      <c r="AN213" s="54"/>
      <c r="AO213" s="54"/>
      <c r="AP213" s="54"/>
      <c r="AQ213" s="54"/>
      <c r="AR213" s="54"/>
      <c r="AS213" s="54"/>
      <c r="AT213" s="54"/>
      <c r="AU213" s="54"/>
      <c r="AV213" s="54"/>
      <c r="AW213" s="54"/>
      <c r="AX213" s="54"/>
      <c r="AY213" s="54"/>
      <c r="AZ213" s="54"/>
      <c r="BA213" s="54"/>
      <c r="BB213" s="54"/>
      <c r="BC213" s="54"/>
      <c r="BD213" s="51"/>
      <c r="BE213" s="124"/>
      <c r="BF213" s="124"/>
      <c r="BG213" s="124"/>
      <c r="BH213" s="124"/>
      <c r="BI213" s="124"/>
      <c r="BJ213" s="124"/>
      <c r="BK213" s="124"/>
      <c r="BL213" s="124"/>
      <c r="BM213" s="124"/>
      <c r="BN213" s="124"/>
      <c r="BO213" s="124"/>
      <c r="BP213" s="124"/>
      <c r="BQ213" s="124"/>
      <c r="BR213" s="124"/>
      <c r="BS213" s="124"/>
      <c r="BT213" s="124"/>
    </row>
    <row r="214" spans="1:72" s="123" customFormat="1" ht="15">
      <c r="A214" s="35"/>
      <c r="B214" s="35"/>
      <c r="C214" s="35"/>
      <c r="D214" s="35"/>
      <c r="E214" s="35"/>
      <c r="F214" s="35"/>
      <c r="G214" s="35"/>
      <c r="H214" s="35"/>
      <c r="I214" s="35"/>
      <c r="J214" s="35"/>
      <c r="K214" s="35"/>
      <c r="L214" s="35"/>
      <c r="M214" s="35"/>
      <c r="N214" s="35"/>
      <c r="O214" s="35"/>
      <c r="P214" s="35"/>
      <c r="Q214" s="35"/>
      <c r="R214" s="35"/>
      <c r="S214" s="54"/>
      <c r="T214" s="54"/>
      <c r="U214" s="54"/>
      <c r="V214" s="54"/>
      <c r="W214" s="35"/>
      <c r="X214" s="35"/>
      <c r="Y214" s="54"/>
      <c r="Z214" s="54"/>
      <c r="AA214" s="35"/>
      <c r="AB214" s="35"/>
      <c r="AC214" s="35"/>
      <c r="AD214" s="54"/>
      <c r="AE214" s="54"/>
      <c r="AF214" s="54"/>
      <c r="AG214" s="54"/>
      <c r="AH214" s="54"/>
      <c r="AI214" s="54"/>
      <c r="AJ214" s="54"/>
      <c r="AK214" s="54"/>
      <c r="AL214" s="54"/>
      <c r="AM214" s="54"/>
      <c r="AN214" s="54"/>
      <c r="AO214" s="54"/>
      <c r="AP214" s="54"/>
      <c r="AQ214" s="54"/>
      <c r="AR214" s="54"/>
      <c r="AS214" s="54"/>
      <c r="AT214" s="54"/>
      <c r="AU214" s="54"/>
      <c r="AV214" s="54"/>
      <c r="AW214" s="54"/>
      <c r="AX214" s="54"/>
      <c r="AY214" s="54"/>
      <c r="AZ214" s="54"/>
      <c r="BA214" s="54"/>
      <c r="BB214" s="54"/>
      <c r="BC214" s="54"/>
      <c r="BD214" s="51"/>
      <c r="BE214" s="124"/>
      <c r="BF214" s="124"/>
      <c r="BG214" s="124"/>
      <c r="BH214" s="124"/>
      <c r="BI214" s="124"/>
      <c r="BJ214" s="124"/>
      <c r="BK214" s="124"/>
      <c r="BL214" s="124"/>
      <c r="BM214" s="124"/>
      <c r="BN214" s="124"/>
      <c r="BO214" s="124"/>
      <c r="BP214" s="124"/>
      <c r="BQ214" s="124"/>
      <c r="BR214" s="124"/>
      <c r="BS214" s="124"/>
      <c r="BT214" s="124"/>
    </row>
    <row r="215" spans="1:72" s="123" customFormat="1" ht="15">
      <c r="A215" s="35"/>
      <c r="B215" s="35"/>
      <c r="C215" s="35"/>
      <c r="D215" s="35"/>
      <c r="E215" s="35"/>
      <c r="F215" s="35"/>
      <c r="G215" s="35"/>
      <c r="H215" s="35"/>
      <c r="I215" s="35"/>
      <c r="J215" s="35"/>
      <c r="K215" s="35"/>
      <c r="L215" s="35"/>
      <c r="M215" s="35"/>
      <c r="N215" s="35"/>
      <c r="O215" s="35"/>
      <c r="P215" s="35"/>
      <c r="Q215" s="35"/>
      <c r="R215" s="35"/>
      <c r="S215" s="54"/>
      <c r="T215" s="54"/>
      <c r="U215" s="54"/>
      <c r="V215" s="54"/>
      <c r="W215" s="35"/>
      <c r="X215" s="35"/>
      <c r="Y215" s="54"/>
      <c r="Z215" s="54"/>
      <c r="AA215" s="35"/>
      <c r="AB215" s="35"/>
      <c r="AC215" s="35"/>
      <c r="AD215" s="54"/>
      <c r="AE215" s="54"/>
      <c r="AF215" s="54"/>
      <c r="AG215" s="54"/>
      <c r="AH215" s="54"/>
      <c r="AI215" s="54"/>
      <c r="AJ215" s="54"/>
      <c r="AK215" s="54"/>
      <c r="AL215" s="54"/>
      <c r="AM215" s="54"/>
      <c r="AN215" s="54"/>
      <c r="AO215" s="54"/>
      <c r="AP215" s="54"/>
      <c r="AQ215" s="54"/>
      <c r="AR215" s="54"/>
      <c r="AS215" s="54"/>
      <c r="AT215" s="54"/>
      <c r="AU215" s="54"/>
      <c r="AV215" s="54"/>
      <c r="AW215" s="54"/>
      <c r="AX215" s="54"/>
      <c r="AY215" s="54"/>
      <c r="AZ215" s="54"/>
      <c r="BA215" s="54"/>
      <c r="BB215" s="54"/>
      <c r="BC215" s="54"/>
      <c r="BD215" s="51"/>
      <c r="BE215" s="124"/>
      <c r="BF215" s="124"/>
      <c r="BG215" s="124"/>
      <c r="BH215" s="124"/>
      <c r="BI215" s="124"/>
      <c r="BJ215" s="124"/>
      <c r="BK215" s="124"/>
      <c r="BL215" s="124"/>
      <c r="BM215" s="124"/>
      <c r="BN215" s="124"/>
      <c r="BO215" s="124"/>
      <c r="BP215" s="124"/>
      <c r="BQ215" s="124"/>
      <c r="BR215" s="124"/>
      <c r="BS215" s="124"/>
      <c r="BT215" s="124"/>
    </row>
  </sheetData>
  <mergeCells count="98">
    <mergeCell ref="I25:AS26"/>
    <mergeCell ref="AN29:AS30"/>
    <mergeCell ref="A5:BA5"/>
    <mergeCell ref="BB5:BC5"/>
    <mergeCell ref="J24:M24"/>
    <mergeCell ref="H29:L30"/>
    <mergeCell ref="M29:Q30"/>
    <mergeCell ref="R29:V30"/>
    <mergeCell ref="W29:Z30"/>
    <mergeCell ref="AA29:AD30"/>
    <mergeCell ref="AE29:AH30"/>
    <mergeCell ref="AI29:AM30"/>
    <mergeCell ref="H9:AS9"/>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D40:AG41"/>
    <mergeCell ref="AH40:AK41"/>
    <mergeCell ref="AL40:AO41"/>
    <mergeCell ref="B40:E41"/>
    <mergeCell ref="F40:I41"/>
    <mergeCell ref="J40:M41"/>
    <mergeCell ref="N40:Q41"/>
    <mergeCell ref="R40:U41"/>
    <mergeCell ref="AP40:AS41"/>
    <mergeCell ref="AT40:AW41"/>
    <mergeCell ref="B42:E43"/>
    <mergeCell ref="F42:I43"/>
    <mergeCell ref="J42:M43"/>
    <mergeCell ref="N42:Q43"/>
    <mergeCell ref="R42:U43"/>
    <mergeCell ref="V42:Y43"/>
    <mergeCell ref="Z42:AC43"/>
    <mergeCell ref="AD42:AG43"/>
    <mergeCell ref="AH42:AK43"/>
    <mergeCell ref="AL42:AO43"/>
    <mergeCell ref="AP42:AS43"/>
    <mergeCell ref="AT42:AW43"/>
    <mergeCell ref="V40:Y41"/>
    <mergeCell ref="Z40:AC41"/>
    <mergeCell ref="AD44:AG45"/>
    <mergeCell ref="AH44:AK45"/>
    <mergeCell ref="AL44:AO45"/>
    <mergeCell ref="B44:E45"/>
    <mergeCell ref="F44:I45"/>
    <mergeCell ref="J44:M45"/>
    <mergeCell ref="N44:Q45"/>
    <mergeCell ref="R44:U45"/>
    <mergeCell ref="AP44:AS45"/>
    <mergeCell ref="AT44:AW45"/>
    <mergeCell ref="B46:E47"/>
    <mergeCell ref="F46:I47"/>
    <mergeCell ref="J46:M47"/>
    <mergeCell ref="N46:Q47"/>
    <mergeCell ref="R46:U47"/>
    <mergeCell ref="V46:Y47"/>
    <mergeCell ref="Z46:AC47"/>
    <mergeCell ref="AD46:AG47"/>
    <mergeCell ref="AH46:AK47"/>
    <mergeCell ref="AL46:AO47"/>
    <mergeCell ref="AP46:AS47"/>
    <mergeCell ref="AT46:AW47"/>
    <mergeCell ref="V44:Y45"/>
    <mergeCell ref="Z44:AC45"/>
    <mergeCell ref="B48:E49"/>
    <mergeCell ref="F48:I49"/>
    <mergeCell ref="J48:M49"/>
    <mergeCell ref="N48:Q49"/>
    <mergeCell ref="R48:U49"/>
    <mergeCell ref="AP48:AS49"/>
    <mergeCell ref="AT48:AW49"/>
    <mergeCell ref="V48:Y49"/>
    <mergeCell ref="Z48:AC49"/>
    <mergeCell ref="AD48:AG49"/>
    <mergeCell ref="AH48:AK49"/>
    <mergeCell ref="AL48:AO49"/>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BT53"/>
  <sheetViews>
    <sheetView showGridLines="0" view="pageBreakPreview" zoomScale="90" zoomScaleNormal="70" zoomScaleSheetLayoutView="90" workbookViewId="0">
      <selection sqref="A1:I1"/>
    </sheetView>
  </sheetViews>
  <sheetFormatPr defaultColWidth="2.453125" defaultRowHeight="15"/>
  <cols>
    <col min="1" max="10" width="2.453125" style="141" customWidth="1"/>
    <col min="11" max="16" width="3.26953125" style="141" customWidth="1"/>
    <col min="17" max="46" width="2.453125" style="141"/>
    <col min="47" max="47" width="2.453125" style="141" customWidth="1"/>
    <col min="48" max="233" width="2.453125" style="141"/>
    <col min="234" max="234" width="4" style="141" customWidth="1"/>
    <col min="235" max="266" width="2.453125" style="141"/>
    <col min="267" max="267" width="2.453125" style="141" customWidth="1"/>
    <col min="268" max="489" width="2.453125" style="141"/>
    <col min="490" max="490" width="4" style="141" customWidth="1"/>
    <col min="491" max="522" width="2.453125" style="141"/>
    <col min="523" max="523" width="2.453125" style="141" customWidth="1"/>
    <col min="524" max="745" width="2.453125" style="141"/>
    <col min="746" max="746" width="4" style="141" customWidth="1"/>
    <col min="747" max="778" width="2.453125" style="141"/>
    <col min="779" max="779" width="2.453125" style="141" customWidth="1"/>
    <col min="780" max="1001" width="2.453125" style="141"/>
    <col min="1002" max="1002" width="4" style="141" customWidth="1"/>
    <col min="1003" max="1034" width="2.453125" style="141"/>
    <col min="1035" max="1035" width="2.453125" style="141" customWidth="1"/>
    <col min="1036" max="1257" width="2.453125" style="141"/>
    <col min="1258" max="1258" width="4" style="141" customWidth="1"/>
    <col min="1259" max="1290" width="2.453125" style="141"/>
    <col min="1291" max="1291" width="2.453125" style="141" customWidth="1"/>
    <col min="1292" max="1513" width="2.453125" style="141"/>
    <col min="1514" max="1514" width="4" style="141" customWidth="1"/>
    <col min="1515" max="1546" width="2.453125" style="141"/>
    <col min="1547" max="1547" width="2.453125" style="141" customWidth="1"/>
    <col min="1548" max="1769" width="2.453125" style="141"/>
    <col min="1770" max="1770" width="4" style="141" customWidth="1"/>
    <col min="1771" max="1802" width="2.453125" style="141"/>
    <col min="1803" max="1803" width="2.453125" style="141" customWidth="1"/>
    <col min="1804" max="2025" width="2.453125" style="141"/>
    <col min="2026" max="2026" width="4" style="141" customWidth="1"/>
    <col min="2027" max="2058" width="2.453125" style="141"/>
    <col min="2059" max="2059" width="2.453125" style="141" customWidth="1"/>
    <col min="2060" max="2281" width="2.453125" style="141"/>
    <col min="2282" max="2282" width="4" style="141" customWidth="1"/>
    <col min="2283" max="2314" width="2.453125" style="141"/>
    <col min="2315" max="2315" width="2.453125" style="141" customWidth="1"/>
    <col min="2316" max="2537" width="2.453125" style="141"/>
    <col min="2538" max="2538" width="4" style="141" customWidth="1"/>
    <col min="2539" max="2570" width="2.453125" style="141"/>
    <col min="2571" max="2571" width="2.453125" style="141" customWidth="1"/>
    <col min="2572" max="2793" width="2.453125" style="141"/>
    <col min="2794" max="2794" width="4" style="141" customWidth="1"/>
    <col min="2795" max="2826" width="2.453125" style="141"/>
    <col min="2827" max="2827" width="2.453125" style="141" customWidth="1"/>
    <col min="2828" max="3049" width="2.453125" style="141"/>
    <col min="3050" max="3050" width="4" style="141" customWidth="1"/>
    <col min="3051" max="3082" width="2.453125" style="141"/>
    <col min="3083" max="3083" width="2.453125" style="141" customWidth="1"/>
    <col min="3084" max="3305" width="2.453125" style="141"/>
    <col min="3306" max="3306" width="4" style="141" customWidth="1"/>
    <col min="3307" max="3338" width="2.453125" style="141"/>
    <col min="3339" max="3339" width="2.453125" style="141" customWidth="1"/>
    <col min="3340" max="3561" width="2.453125" style="141"/>
    <col min="3562" max="3562" width="4" style="141" customWidth="1"/>
    <col min="3563" max="3594" width="2.453125" style="141"/>
    <col min="3595" max="3595" width="2.453125" style="141" customWidth="1"/>
    <col min="3596" max="3817" width="2.453125" style="141"/>
    <col min="3818" max="3818" width="4" style="141" customWidth="1"/>
    <col min="3819" max="3850" width="2.453125" style="141"/>
    <col min="3851" max="3851" width="2.453125" style="141" customWidth="1"/>
    <col min="3852" max="4073" width="2.453125" style="141"/>
    <col min="4074" max="4074" width="4" style="141" customWidth="1"/>
    <col min="4075" max="4106" width="2.453125" style="141"/>
    <col min="4107" max="4107" width="2.453125" style="141" customWidth="1"/>
    <col min="4108" max="4329" width="2.453125" style="141"/>
    <col min="4330" max="4330" width="4" style="141" customWidth="1"/>
    <col min="4331" max="4362" width="2.453125" style="141"/>
    <col min="4363" max="4363" width="2.453125" style="141" customWidth="1"/>
    <col min="4364" max="4585" width="2.453125" style="141"/>
    <col min="4586" max="4586" width="4" style="141" customWidth="1"/>
    <col min="4587" max="4618" width="2.453125" style="141"/>
    <col min="4619" max="4619" width="2.453125" style="141" customWidth="1"/>
    <col min="4620" max="4841" width="2.453125" style="141"/>
    <col min="4842" max="4842" width="4" style="141" customWidth="1"/>
    <col min="4843" max="4874" width="2.453125" style="141"/>
    <col min="4875" max="4875" width="2.453125" style="141" customWidth="1"/>
    <col min="4876" max="5097" width="2.453125" style="141"/>
    <col min="5098" max="5098" width="4" style="141" customWidth="1"/>
    <col min="5099" max="5130" width="2.453125" style="141"/>
    <col min="5131" max="5131" width="2.453125" style="141" customWidth="1"/>
    <col min="5132" max="5353" width="2.453125" style="141"/>
    <col min="5354" max="5354" width="4" style="141" customWidth="1"/>
    <col min="5355" max="5386" width="2.453125" style="141"/>
    <col min="5387" max="5387" width="2.453125" style="141" customWidth="1"/>
    <col min="5388" max="5609" width="2.453125" style="141"/>
    <col min="5610" max="5610" width="4" style="141" customWidth="1"/>
    <col min="5611" max="5642" width="2.453125" style="141"/>
    <col min="5643" max="5643" width="2.453125" style="141" customWidth="1"/>
    <col min="5644" max="5865" width="2.453125" style="141"/>
    <col min="5866" max="5866" width="4" style="141" customWidth="1"/>
    <col min="5867" max="5898" width="2.453125" style="141"/>
    <col min="5899" max="5899" width="2.453125" style="141" customWidth="1"/>
    <col min="5900" max="6121" width="2.453125" style="141"/>
    <col min="6122" max="6122" width="4" style="141" customWidth="1"/>
    <col min="6123" max="6154" width="2.453125" style="141"/>
    <col min="6155" max="6155" width="2.453125" style="141" customWidth="1"/>
    <col min="6156" max="6377" width="2.453125" style="141"/>
    <col min="6378" max="6378" width="4" style="141" customWidth="1"/>
    <col min="6379" max="6410" width="2.453125" style="141"/>
    <col min="6411" max="6411" width="2.453125" style="141" customWidth="1"/>
    <col min="6412" max="6633" width="2.453125" style="141"/>
    <col min="6634" max="6634" width="4" style="141" customWidth="1"/>
    <col min="6635" max="6666" width="2.453125" style="141"/>
    <col min="6667" max="6667" width="2.453125" style="141" customWidth="1"/>
    <col min="6668" max="6889" width="2.453125" style="141"/>
    <col min="6890" max="6890" width="4" style="141" customWidth="1"/>
    <col min="6891" max="6922" width="2.453125" style="141"/>
    <col min="6923" max="6923" width="2.453125" style="141" customWidth="1"/>
    <col min="6924" max="7145" width="2.453125" style="141"/>
    <col min="7146" max="7146" width="4" style="141" customWidth="1"/>
    <col min="7147" max="7178" width="2.453125" style="141"/>
    <col min="7179" max="7179" width="2.453125" style="141" customWidth="1"/>
    <col min="7180" max="7401" width="2.453125" style="141"/>
    <col min="7402" max="7402" width="4" style="141" customWidth="1"/>
    <col min="7403" max="7434" width="2.453125" style="141"/>
    <col min="7435" max="7435" width="2.453125" style="141" customWidth="1"/>
    <col min="7436" max="7657" width="2.453125" style="141"/>
    <col min="7658" max="7658" width="4" style="141" customWidth="1"/>
    <col min="7659" max="7690" width="2.453125" style="141"/>
    <col min="7691" max="7691" width="2.453125" style="141" customWidth="1"/>
    <col min="7692" max="7913" width="2.453125" style="141"/>
    <col min="7914" max="7914" width="4" style="141" customWidth="1"/>
    <col min="7915" max="7946" width="2.453125" style="141"/>
    <col min="7947" max="7947" width="2.453125" style="141" customWidth="1"/>
    <col min="7948" max="8169" width="2.453125" style="141"/>
    <col min="8170" max="8170" width="4" style="141" customWidth="1"/>
    <col min="8171" max="8202" width="2.453125" style="141"/>
    <col min="8203" max="8203" width="2.453125" style="141" customWidth="1"/>
    <col min="8204" max="8425" width="2.453125" style="141"/>
    <col min="8426" max="8426" width="4" style="141" customWidth="1"/>
    <col min="8427" max="8458" width="2.453125" style="141"/>
    <col min="8459" max="8459" width="2.453125" style="141" customWidth="1"/>
    <col min="8460" max="8681" width="2.453125" style="141"/>
    <col min="8682" max="8682" width="4" style="141" customWidth="1"/>
    <col min="8683" max="8714" width="2.453125" style="141"/>
    <col min="8715" max="8715" width="2.453125" style="141" customWidth="1"/>
    <col min="8716" max="8937" width="2.453125" style="141"/>
    <col min="8938" max="8938" width="4" style="141" customWidth="1"/>
    <col min="8939" max="8970" width="2.453125" style="141"/>
    <col min="8971" max="8971" width="2.453125" style="141" customWidth="1"/>
    <col min="8972" max="9193" width="2.453125" style="141"/>
    <col min="9194" max="9194" width="4" style="141" customWidth="1"/>
    <col min="9195" max="9226" width="2.453125" style="141"/>
    <col min="9227" max="9227" width="2.453125" style="141" customWidth="1"/>
    <col min="9228" max="9449" width="2.453125" style="141"/>
    <col min="9450" max="9450" width="4" style="141" customWidth="1"/>
    <col min="9451" max="9482" width="2.453125" style="141"/>
    <col min="9483" max="9483" width="2.453125" style="141" customWidth="1"/>
    <col min="9484" max="9705" width="2.453125" style="141"/>
    <col min="9706" max="9706" width="4" style="141" customWidth="1"/>
    <col min="9707" max="9738" width="2.453125" style="141"/>
    <col min="9739" max="9739" width="2.453125" style="141" customWidth="1"/>
    <col min="9740" max="9961" width="2.453125" style="141"/>
    <col min="9962" max="9962" width="4" style="141" customWidth="1"/>
    <col min="9963" max="9994" width="2.453125" style="141"/>
    <col min="9995" max="9995" width="2.453125" style="141" customWidth="1"/>
    <col min="9996" max="10217" width="2.453125" style="141"/>
    <col min="10218" max="10218" width="4" style="141" customWidth="1"/>
    <col min="10219" max="10250" width="2.453125" style="141"/>
    <col min="10251" max="10251" width="2.453125" style="141" customWidth="1"/>
    <col min="10252" max="10473" width="2.453125" style="141"/>
    <col min="10474" max="10474" width="4" style="141" customWidth="1"/>
    <col min="10475" max="10506" width="2.453125" style="141"/>
    <col min="10507" max="10507" width="2.453125" style="141" customWidth="1"/>
    <col min="10508" max="10729" width="2.453125" style="141"/>
    <col min="10730" max="10730" width="4" style="141" customWidth="1"/>
    <col min="10731" max="10762" width="2.453125" style="141"/>
    <col min="10763" max="10763" width="2.453125" style="141" customWidth="1"/>
    <col min="10764" max="10985" width="2.453125" style="141"/>
    <col min="10986" max="10986" width="4" style="141" customWidth="1"/>
    <col min="10987" max="11018" width="2.453125" style="141"/>
    <col min="11019" max="11019" width="2.453125" style="141" customWidth="1"/>
    <col min="11020" max="11241" width="2.453125" style="141"/>
    <col min="11242" max="11242" width="4" style="141" customWidth="1"/>
    <col min="11243" max="11274" width="2.453125" style="141"/>
    <col min="11275" max="11275" width="2.453125" style="141" customWidth="1"/>
    <col min="11276" max="11497" width="2.453125" style="141"/>
    <col min="11498" max="11498" width="4" style="141" customWidth="1"/>
    <col min="11499" max="11530" width="2.453125" style="141"/>
    <col min="11531" max="11531" width="2.453125" style="141" customWidth="1"/>
    <col min="11532" max="11753" width="2.453125" style="141"/>
    <col min="11754" max="11754" width="4" style="141" customWidth="1"/>
    <col min="11755" max="11786" width="2.453125" style="141"/>
    <col min="11787" max="11787" width="2.453125" style="141" customWidth="1"/>
    <col min="11788" max="12009" width="2.453125" style="141"/>
    <col min="12010" max="12010" width="4" style="141" customWidth="1"/>
    <col min="12011" max="12042" width="2.453125" style="141"/>
    <col min="12043" max="12043" width="2.453125" style="141" customWidth="1"/>
    <col min="12044" max="12265" width="2.453125" style="141"/>
    <col min="12266" max="12266" width="4" style="141" customWidth="1"/>
    <col min="12267" max="12298" width="2.453125" style="141"/>
    <col min="12299" max="12299" width="2.453125" style="141" customWidth="1"/>
    <col min="12300" max="12521" width="2.453125" style="141"/>
    <col min="12522" max="12522" width="4" style="141" customWidth="1"/>
    <col min="12523" max="12554" width="2.453125" style="141"/>
    <col min="12555" max="12555" width="2.453125" style="141" customWidth="1"/>
    <col min="12556" max="12777" width="2.453125" style="141"/>
    <col min="12778" max="12778" width="4" style="141" customWidth="1"/>
    <col min="12779" max="12810" width="2.453125" style="141"/>
    <col min="12811" max="12811" width="2.453125" style="141" customWidth="1"/>
    <col min="12812" max="13033" width="2.453125" style="141"/>
    <col min="13034" max="13034" width="4" style="141" customWidth="1"/>
    <col min="13035" max="13066" width="2.453125" style="141"/>
    <col min="13067" max="13067" width="2.453125" style="141" customWidth="1"/>
    <col min="13068" max="13289" width="2.453125" style="141"/>
    <col min="13290" max="13290" width="4" style="141" customWidth="1"/>
    <col min="13291" max="13322" width="2.453125" style="141"/>
    <col min="13323" max="13323" width="2.453125" style="141" customWidth="1"/>
    <col min="13324" max="13545" width="2.453125" style="141"/>
    <col min="13546" max="13546" width="4" style="141" customWidth="1"/>
    <col min="13547" max="13578" width="2.453125" style="141"/>
    <col min="13579" max="13579" width="2.453125" style="141" customWidth="1"/>
    <col min="13580" max="13801" width="2.453125" style="141"/>
    <col min="13802" max="13802" width="4" style="141" customWidth="1"/>
    <col min="13803" max="13834" width="2.453125" style="141"/>
    <col min="13835" max="13835" width="2.453125" style="141" customWidth="1"/>
    <col min="13836" max="14057" width="2.453125" style="141"/>
    <col min="14058" max="14058" width="4" style="141" customWidth="1"/>
    <col min="14059" max="14090" width="2.453125" style="141"/>
    <col min="14091" max="14091" width="2.453125" style="141" customWidth="1"/>
    <col min="14092" max="14313" width="2.453125" style="141"/>
    <col min="14314" max="14314" width="4" style="141" customWidth="1"/>
    <col min="14315" max="14346" width="2.453125" style="141"/>
    <col min="14347" max="14347" width="2.453125" style="141" customWidth="1"/>
    <col min="14348" max="14569" width="2.453125" style="141"/>
    <col min="14570" max="14570" width="4" style="141" customWidth="1"/>
    <col min="14571" max="14602" width="2.453125" style="141"/>
    <col min="14603" max="14603" width="2.453125" style="141" customWidth="1"/>
    <col min="14604" max="14825" width="2.453125" style="141"/>
    <col min="14826" max="14826" width="4" style="141" customWidth="1"/>
    <col min="14827" max="14858" width="2.453125" style="141"/>
    <col min="14859" max="14859" width="2.453125" style="141" customWidth="1"/>
    <col min="14860" max="15081" width="2.453125" style="141"/>
    <col min="15082" max="15082" width="4" style="141" customWidth="1"/>
    <col min="15083" max="15114" width="2.453125" style="141"/>
    <col min="15115" max="15115" width="2.453125" style="141" customWidth="1"/>
    <col min="15116" max="15337" width="2.453125" style="141"/>
    <col min="15338" max="15338" width="4" style="141" customWidth="1"/>
    <col min="15339" max="15370" width="2.453125" style="141"/>
    <col min="15371" max="15371" width="2.453125" style="141" customWidth="1"/>
    <col min="15372" max="15593" width="2.453125" style="141"/>
    <col min="15594" max="15594" width="4" style="141" customWidth="1"/>
    <col min="15595" max="15626" width="2.453125" style="141"/>
    <col min="15627" max="15627" width="2.453125" style="141" customWidth="1"/>
    <col min="15628" max="15849" width="2.453125" style="141"/>
    <col min="15850" max="15850" width="4" style="141" customWidth="1"/>
    <col min="15851" max="15882" width="2.453125" style="141"/>
    <col min="15883" max="15883" width="2.453125" style="141" customWidth="1"/>
    <col min="15884" max="16105" width="2.453125" style="141"/>
    <col min="16106" max="16106" width="4" style="141" customWidth="1"/>
    <col min="16107" max="16138" width="2.453125" style="141"/>
    <col min="16139" max="16139" width="2.453125" style="141" customWidth="1"/>
    <col min="16140" max="16384" width="2.453125" style="141"/>
  </cols>
  <sheetData>
    <row r="1" spans="1:72" ht="12.75" customHeight="1">
      <c r="A1" s="348" t="s">
        <v>116</v>
      </c>
      <c r="B1" s="348"/>
      <c r="C1" s="348"/>
      <c r="D1" s="348"/>
      <c r="E1" s="348"/>
      <c r="F1" s="348"/>
      <c r="G1" s="348"/>
      <c r="H1" s="348"/>
      <c r="I1" s="348"/>
      <c r="J1" s="139"/>
      <c r="K1" s="139"/>
      <c r="L1" s="139"/>
      <c r="M1" s="139"/>
      <c r="N1" s="139"/>
      <c r="O1" s="139"/>
      <c r="P1" s="139"/>
      <c r="Q1" s="139"/>
      <c r="R1" s="139"/>
      <c r="S1" s="139"/>
      <c r="T1" s="139"/>
      <c r="U1" s="139"/>
      <c r="V1" s="139"/>
      <c r="W1" s="139"/>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40"/>
      <c r="BT1" s="140"/>
    </row>
    <row r="2" spans="1:72" ht="12.75" customHeight="1">
      <c r="A2" s="349" t="s">
        <v>117</v>
      </c>
      <c r="B2" s="349"/>
      <c r="C2" s="349"/>
      <c r="D2" s="349"/>
      <c r="E2" s="349"/>
      <c r="F2" s="349"/>
      <c r="G2" s="349"/>
      <c r="H2" s="349"/>
      <c r="I2" s="349"/>
      <c r="J2" s="349"/>
      <c r="K2" s="349"/>
      <c r="L2" s="349"/>
      <c r="M2" s="349"/>
      <c r="N2" s="349"/>
      <c r="O2" s="349"/>
      <c r="P2" s="349"/>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row>
    <row r="3" spans="1:72" ht="27.75" customHeight="1">
      <c r="A3" s="347" t="s">
        <v>118</v>
      </c>
      <c r="B3" s="351"/>
      <c r="C3" s="351" t="s">
        <v>119</v>
      </c>
      <c r="D3" s="351"/>
      <c r="E3" s="351"/>
      <c r="F3" s="351"/>
      <c r="G3" s="351"/>
      <c r="H3" s="351"/>
      <c r="I3" s="351"/>
      <c r="J3" s="351"/>
      <c r="K3" s="351"/>
      <c r="L3" s="351"/>
      <c r="M3" s="351"/>
      <c r="N3" s="351"/>
      <c r="O3" s="351"/>
      <c r="P3" s="351"/>
      <c r="Q3" s="319" t="s">
        <v>120</v>
      </c>
      <c r="R3" s="320"/>
      <c r="S3" s="320"/>
      <c r="T3" s="320"/>
      <c r="U3" s="320"/>
      <c r="V3" s="320"/>
      <c r="W3" s="320"/>
      <c r="X3" s="320"/>
      <c r="Y3" s="320"/>
      <c r="Z3" s="320"/>
      <c r="AA3" s="321"/>
      <c r="AB3" s="319" t="s">
        <v>240</v>
      </c>
      <c r="AC3" s="320"/>
      <c r="AD3" s="320"/>
      <c r="AE3" s="320"/>
      <c r="AF3" s="320"/>
      <c r="AG3" s="320"/>
      <c r="AH3" s="320"/>
      <c r="AI3" s="320"/>
      <c r="AJ3" s="320"/>
      <c r="AK3" s="320"/>
      <c r="AL3" s="347" t="s">
        <v>121</v>
      </c>
      <c r="AM3" s="347"/>
      <c r="AN3" s="347"/>
      <c r="AO3" s="347"/>
      <c r="AP3" s="347"/>
      <c r="AQ3" s="347"/>
      <c r="AR3" s="347"/>
      <c r="AS3" s="347"/>
      <c r="AT3" s="347"/>
      <c r="AU3" s="347"/>
      <c r="AV3" s="347"/>
      <c r="AW3" s="347"/>
      <c r="AX3" s="347"/>
      <c r="AY3" s="347"/>
      <c r="AZ3" s="347"/>
      <c r="BA3" s="347"/>
      <c r="BB3" s="347"/>
      <c r="BC3" s="347"/>
      <c r="BD3" s="347"/>
      <c r="BE3" s="347"/>
      <c r="BF3" s="347"/>
      <c r="BG3" s="347"/>
      <c r="BH3" s="347"/>
      <c r="BI3" s="347"/>
      <c r="BJ3" s="347"/>
      <c r="BK3" s="347"/>
      <c r="BL3" s="347"/>
      <c r="BM3" s="347"/>
      <c r="BN3" s="347"/>
      <c r="BO3" s="347"/>
      <c r="BP3" s="347"/>
      <c r="BQ3" s="347"/>
      <c r="BR3" s="347"/>
      <c r="BS3" s="347"/>
      <c r="BT3" s="347"/>
    </row>
    <row r="4" spans="1:72" ht="27.75" customHeight="1">
      <c r="A4" s="351"/>
      <c r="B4" s="351"/>
      <c r="C4" s="352" t="s">
        <v>122</v>
      </c>
      <c r="D4" s="352"/>
      <c r="E4" s="352"/>
      <c r="F4" s="352"/>
      <c r="G4" s="352"/>
      <c r="H4" s="352"/>
      <c r="I4" s="352"/>
      <c r="J4" s="352" t="s">
        <v>123</v>
      </c>
      <c r="K4" s="352"/>
      <c r="L4" s="352"/>
      <c r="M4" s="352"/>
      <c r="N4" s="352"/>
      <c r="O4" s="352"/>
      <c r="P4" s="352"/>
      <c r="Q4" s="322"/>
      <c r="R4" s="323"/>
      <c r="S4" s="323"/>
      <c r="T4" s="323"/>
      <c r="U4" s="323"/>
      <c r="V4" s="323"/>
      <c r="W4" s="323"/>
      <c r="X4" s="323"/>
      <c r="Y4" s="323"/>
      <c r="Z4" s="323"/>
      <c r="AA4" s="324"/>
      <c r="AB4" s="322"/>
      <c r="AC4" s="323"/>
      <c r="AD4" s="323"/>
      <c r="AE4" s="323"/>
      <c r="AF4" s="323"/>
      <c r="AG4" s="323"/>
      <c r="AH4" s="323"/>
      <c r="AI4" s="323"/>
      <c r="AJ4" s="323"/>
      <c r="AK4" s="323"/>
      <c r="AL4" s="347"/>
      <c r="AM4" s="347"/>
      <c r="AN4" s="347"/>
      <c r="AO4" s="347"/>
      <c r="AP4" s="347"/>
      <c r="AQ4" s="347"/>
      <c r="AR4" s="347"/>
      <c r="AS4" s="347"/>
      <c r="AT4" s="347"/>
      <c r="AU4" s="347"/>
      <c r="AV4" s="347"/>
      <c r="AW4" s="347"/>
      <c r="AX4" s="347"/>
      <c r="AY4" s="347"/>
      <c r="AZ4" s="347"/>
      <c r="BA4" s="347"/>
      <c r="BB4" s="347"/>
      <c r="BC4" s="347"/>
      <c r="BD4" s="347"/>
      <c r="BE4" s="347"/>
      <c r="BF4" s="347"/>
      <c r="BG4" s="347"/>
      <c r="BH4" s="347"/>
      <c r="BI4" s="347"/>
      <c r="BJ4" s="347"/>
      <c r="BK4" s="347"/>
      <c r="BL4" s="347"/>
      <c r="BM4" s="347"/>
      <c r="BN4" s="347"/>
      <c r="BO4" s="347"/>
      <c r="BP4" s="347"/>
      <c r="BQ4" s="347"/>
      <c r="BR4" s="347"/>
      <c r="BS4" s="347"/>
      <c r="BT4" s="347"/>
    </row>
    <row r="5" spans="1:72">
      <c r="A5" s="334" t="s">
        <v>124</v>
      </c>
      <c r="B5" s="335"/>
      <c r="C5" s="288" t="s">
        <v>125</v>
      </c>
      <c r="D5" s="289"/>
      <c r="E5" s="289"/>
      <c r="F5" s="289"/>
      <c r="G5" s="289"/>
      <c r="H5" s="289"/>
      <c r="I5" s="290"/>
      <c r="J5" s="285"/>
      <c r="K5" s="286"/>
      <c r="L5" s="286"/>
      <c r="M5" s="286"/>
      <c r="N5" s="286"/>
      <c r="O5" s="286"/>
      <c r="P5" s="287"/>
      <c r="Q5" s="339"/>
      <c r="R5" s="332"/>
      <c r="S5" s="332"/>
      <c r="T5" s="332"/>
      <c r="U5" s="332"/>
      <c r="V5" s="332"/>
      <c r="W5" s="332"/>
      <c r="X5" s="332"/>
      <c r="Y5" s="332"/>
      <c r="Z5" s="332"/>
      <c r="AA5" s="340"/>
      <c r="AB5" s="339"/>
      <c r="AC5" s="332"/>
      <c r="AD5" s="332"/>
      <c r="AE5" s="332"/>
      <c r="AF5" s="332"/>
      <c r="AG5" s="332"/>
      <c r="AH5" s="332"/>
      <c r="AI5" s="332"/>
      <c r="AJ5" s="332"/>
      <c r="AK5" s="332"/>
      <c r="AL5" s="331"/>
      <c r="AM5" s="332"/>
      <c r="AN5" s="332"/>
      <c r="AO5" s="332"/>
      <c r="AP5" s="332"/>
      <c r="AQ5" s="332"/>
      <c r="AR5" s="332"/>
      <c r="AS5" s="332"/>
      <c r="AT5" s="332"/>
      <c r="AU5" s="332"/>
      <c r="AV5" s="332"/>
      <c r="AW5" s="332"/>
      <c r="AX5" s="332"/>
      <c r="AY5" s="332"/>
      <c r="AZ5" s="332"/>
      <c r="BA5" s="332"/>
      <c r="BB5" s="332"/>
      <c r="BC5" s="332"/>
      <c r="BD5" s="332"/>
      <c r="BE5" s="332"/>
      <c r="BF5" s="332"/>
      <c r="BG5" s="332"/>
      <c r="BH5" s="332"/>
      <c r="BI5" s="332"/>
      <c r="BJ5" s="332"/>
      <c r="BK5" s="332"/>
      <c r="BL5" s="332"/>
      <c r="BM5" s="332"/>
      <c r="BN5" s="332"/>
      <c r="BO5" s="332"/>
      <c r="BP5" s="332"/>
      <c r="BQ5" s="332"/>
      <c r="BR5" s="332"/>
      <c r="BS5" s="332"/>
      <c r="BT5" s="333"/>
    </row>
    <row r="6" spans="1:72">
      <c r="A6" s="334" t="s">
        <v>126</v>
      </c>
      <c r="B6" s="335"/>
      <c r="C6" s="288"/>
      <c r="D6" s="289"/>
      <c r="E6" s="289"/>
      <c r="F6" s="289"/>
      <c r="G6" s="289"/>
      <c r="H6" s="289"/>
      <c r="I6" s="290"/>
      <c r="J6" s="285" t="s">
        <v>127</v>
      </c>
      <c r="K6" s="286"/>
      <c r="L6" s="286"/>
      <c r="M6" s="286"/>
      <c r="N6" s="286"/>
      <c r="O6" s="286"/>
      <c r="P6" s="287"/>
      <c r="Q6" s="339" t="s">
        <v>99</v>
      </c>
      <c r="R6" s="332"/>
      <c r="S6" s="332"/>
      <c r="T6" s="332"/>
      <c r="U6" s="332"/>
      <c r="V6" s="332"/>
      <c r="W6" s="332"/>
      <c r="X6" s="332"/>
      <c r="Y6" s="332"/>
      <c r="Z6" s="332"/>
      <c r="AA6" s="340"/>
      <c r="AB6" s="339"/>
      <c r="AC6" s="332"/>
      <c r="AD6" s="332"/>
      <c r="AE6" s="332"/>
      <c r="AF6" s="332"/>
      <c r="AG6" s="332"/>
      <c r="AH6" s="332"/>
      <c r="AI6" s="332"/>
      <c r="AJ6" s="332"/>
      <c r="AK6" s="332"/>
      <c r="AL6" s="331"/>
      <c r="AM6" s="332"/>
      <c r="AN6" s="332"/>
      <c r="AO6" s="332"/>
      <c r="AP6" s="332"/>
      <c r="AQ6" s="332"/>
      <c r="AR6" s="332"/>
      <c r="AS6" s="332"/>
      <c r="AT6" s="332"/>
      <c r="AU6" s="332"/>
      <c r="AV6" s="332"/>
      <c r="AW6" s="332"/>
      <c r="AX6" s="332"/>
      <c r="AY6" s="332"/>
      <c r="AZ6" s="332"/>
      <c r="BA6" s="332"/>
      <c r="BB6" s="332"/>
      <c r="BC6" s="332"/>
      <c r="BD6" s="332"/>
      <c r="BE6" s="332"/>
      <c r="BF6" s="332"/>
      <c r="BG6" s="332"/>
      <c r="BH6" s="332"/>
      <c r="BI6" s="332"/>
      <c r="BJ6" s="332"/>
      <c r="BK6" s="332"/>
      <c r="BL6" s="332"/>
      <c r="BM6" s="332"/>
      <c r="BN6" s="332"/>
      <c r="BO6" s="332"/>
      <c r="BP6" s="332"/>
      <c r="BQ6" s="332"/>
      <c r="BR6" s="332"/>
      <c r="BS6" s="332"/>
      <c r="BT6" s="333"/>
    </row>
    <row r="7" spans="1:72" ht="15.75" customHeight="1">
      <c r="A7" s="307">
        <v>2</v>
      </c>
      <c r="B7" s="344"/>
      <c r="C7" s="336" t="s">
        <v>235</v>
      </c>
      <c r="D7" s="337"/>
      <c r="E7" s="337"/>
      <c r="F7" s="337"/>
      <c r="G7" s="337"/>
      <c r="H7" s="337"/>
      <c r="I7" s="338"/>
      <c r="J7" s="150"/>
      <c r="K7" s="345"/>
      <c r="L7" s="345"/>
      <c r="M7" s="345"/>
      <c r="N7" s="345"/>
      <c r="O7" s="345"/>
      <c r="P7" s="346"/>
      <c r="Q7" s="339"/>
      <c r="R7" s="332"/>
      <c r="S7" s="332"/>
      <c r="T7" s="332"/>
      <c r="U7" s="332"/>
      <c r="V7" s="332"/>
      <c r="W7" s="332"/>
      <c r="X7" s="332"/>
      <c r="Y7" s="332"/>
      <c r="Z7" s="332"/>
      <c r="AA7" s="340"/>
      <c r="AB7" s="339"/>
      <c r="AC7" s="332"/>
      <c r="AD7" s="332"/>
      <c r="AE7" s="332"/>
      <c r="AF7" s="332"/>
      <c r="AG7" s="332"/>
      <c r="AH7" s="332"/>
      <c r="AI7" s="332"/>
      <c r="AJ7" s="332"/>
      <c r="AK7" s="332"/>
      <c r="AL7" s="331"/>
      <c r="AM7" s="332"/>
      <c r="AN7" s="332"/>
      <c r="AO7" s="332"/>
      <c r="AP7" s="332"/>
      <c r="AQ7" s="332"/>
      <c r="AR7" s="332"/>
      <c r="AS7" s="332"/>
      <c r="AT7" s="332"/>
      <c r="AU7" s="332"/>
      <c r="AV7" s="332"/>
      <c r="AW7" s="332"/>
      <c r="AX7" s="332"/>
      <c r="AY7" s="332"/>
      <c r="AZ7" s="332"/>
      <c r="BA7" s="332"/>
      <c r="BB7" s="332"/>
      <c r="BC7" s="332"/>
      <c r="BD7" s="332"/>
      <c r="BE7" s="332"/>
      <c r="BF7" s="332"/>
      <c r="BG7" s="332"/>
      <c r="BH7" s="332"/>
      <c r="BI7" s="332"/>
      <c r="BJ7" s="332"/>
      <c r="BK7" s="332"/>
      <c r="BL7" s="332"/>
      <c r="BM7" s="332"/>
      <c r="BN7" s="332"/>
      <c r="BO7" s="332"/>
      <c r="BP7" s="332"/>
      <c r="BQ7" s="332"/>
      <c r="BR7" s="332"/>
      <c r="BS7" s="332"/>
      <c r="BT7" s="333"/>
    </row>
    <row r="8" spans="1:72" ht="15.75" customHeight="1">
      <c r="A8" s="334" t="s">
        <v>236</v>
      </c>
      <c r="B8" s="335"/>
      <c r="C8" s="142"/>
      <c r="D8" s="143"/>
      <c r="E8" s="143"/>
      <c r="F8" s="143"/>
      <c r="G8" s="143"/>
      <c r="H8" s="143"/>
      <c r="I8" s="144"/>
      <c r="J8" s="336" t="s">
        <v>238</v>
      </c>
      <c r="K8" s="337"/>
      <c r="L8" s="337"/>
      <c r="M8" s="337"/>
      <c r="N8" s="337"/>
      <c r="O8" s="337"/>
      <c r="P8" s="338"/>
      <c r="Q8" s="329" t="s">
        <v>43</v>
      </c>
      <c r="R8" s="330"/>
      <c r="S8" s="330"/>
      <c r="T8" s="330"/>
      <c r="U8" s="330"/>
      <c r="V8" s="330"/>
      <c r="W8" s="330"/>
      <c r="X8" s="330"/>
      <c r="Y8" s="330"/>
      <c r="Z8" s="330"/>
      <c r="AA8" s="147"/>
      <c r="AB8" s="329"/>
      <c r="AC8" s="330"/>
      <c r="AD8" s="330"/>
      <c r="AE8" s="330"/>
      <c r="AF8" s="330"/>
      <c r="AG8" s="330"/>
      <c r="AH8" s="330"/>
      <c r="AI8" s="330"/>
      <c r="AJ8" s="330"/>
      <c r="AK8" s="330"/>
      <c r="AL8" s="331"/>
      <c r="AM8" s="332"/>
      <c r="AN8" s="332"/>
      <c r="AO8" s="332"/>
      <c r="AP8" s="332"/>
      <c r="AQ8" s="332"/>
      <c r="AR8" s="332"/>
      <c r="AS8" s="332"/>
      <c r="AT8" s="332"/>
      <c r="AU8" s="332"/>
      <c r="AV8" s="332"/>
      <c r="AW8" s="332"/>
      <c r="AX8" s="332"/>
      <c r="AY8" s="332"/>
      <c r="AZ8" s="332"/>
      <c r="BA8" s="332"/>
      <c r="BB8" s="332"/>
      <c r="BC8" s="332"/>
      <c r="BD8" s="332"/>
      <c r="BE8" s="332"/>
      <c r="BF8" s="332"/>
      <c r="BG8" s="332"/>
      <c r="BH8" s="332"/>
      <c r="BI8" s="332"/>
      <c r="BJ8" s="332"/>
      <c r="BK8" s="332"/>
      <c r="BL8" s="332"/>
      <c r="BM8" s="332"/>
      <c r="BN8" s="332"/>
      <c r="BO8" s="332"/>
      <c r="BP8" s="332"/>
      <c r="BQ8" s="332"/>
      <c r="BR8" s="332"/>
      <c r="BS8" s="332"/>
      <c r="BT8" s="333"/>
    </row>
    <row r="9" spans="1:72" ht="15.75" customHeight="1">
      <c r="A9" s="334" t="s">
        <v>237</v>
      </c>
      <c r="B9" s="335"/>
      <c r="C9" s="142"/>
      <c r="D9" s="143"/>
      <c r="E9" s="143"/>
      <c r="F9" s="143"/>
      <c r="G9" s="143"/>
      <c r="H9" s="143"/>
      <c r="I9" s="144"/>
      <c r="J9" s="336" t="s">
        <v>239</v>
      </c>
      <c r="K9" s="337"/>
      <c r="L9" s="337"/>
      <c r="M9" s="337"/>
      <c r="N9" s="337"/>
      <c r="O9" s="337"/>
      <c r="P9" s="338"/>
      <c r="Q9" s="329" t="s">
        <v>43</v>
      </c>
      <c r="R9" s="330"/>
      <c r="S9" s="330"/>
      <c r="T9" s="330"/>
      <c r="U9" s="330"/>
      <c r="V9" s="330"/>
      <c r="W9" s="330"/>
      <c r="X9" s="330"/>
      <c r="Y9" s="330"/>
      <c r="Z9" s="330"/>
      <c r="AA9" s="147"/>
      <c r="AB9" s="329"/>
      <c r="AC9" s="330"/>
      <c r="AD9" s="330"/>
      <c r="AE9" s="330"/>
      <c r="AF9" s="330"/>
      <c r="AG9" s="330"/>
      <c r="AH9" s="330"/>
      <c r="AI9" s="330"/>
      <c r="AJ9" s="330"/>
      <c r="AK9" s="330"/>
      <c r="AL9" s="331"/>
      <c r="AM9" s="332"/>
      <c r="AN9" s="332"/>
      <c r="AO9" s="332"/>
      <c r="AP9" s="332"/>
      <c r="AQ9" s="332"/>
      <c r="AR9" s="332"/>
      <c r="AS9" s="332"/>
      <c r="AT9" s="332"/>
      <c r="AU9" s="332"/>
      <c r="AV9" s="332"/>
      <c r="AW9" s="332"/>
      <c r="AX9" s="332"/>
      <c r="AY9" s="332"/>
      <c r="AZ9" s="332"/>
      <c r="BA9" s="332"/>
      <c r="BB9" s="332"/>
      <c r="BC9" s="332"/>
      <c r="BD9" s="332"/>
      <c r="BE9" s="332"/>
      <c r="BF9" s="332"/>
      <c r="BG9" s="332"/>
      <c r="BH9" s="332"/>
      <c r="BI9" s="332"/>
      <c r="BJ9" s="332"/>
      <c r="BK9" s="332"/>
      <c r="BL9" s="332"/>
      <c r="BM9" s="332"/>
      <c r="BN9" s="332"/>
      <c r="BO9" s="332"/>
      <c r="BP9" s="332"/>
      <c r="BQ9" s="332"/>
      <c r="BR9" s="332"/>
      <c r="BS9" s="332"/>
      <c r="BT9" s="333"/>
    </row>
    <row r="10" spans="1:72" ht="15.75" customHeight="1">
      <c r="A10" s="307">
        <v>3</v>
      </c>
      <c r="B10" s="344"/>
      <c r="C10" s="336" t="s">
        <v>129</v>
      </c>
      <c r="D10" s="337"/>
      <c r="E10" s="337"/>
      <c r="F10" s="337"/>
      <c r="G10" s="337"/>
      <c r="H10" s="337"/>
      <c r="I10" s="338"/>
      <c r="J10" s="150"/>
      <c r="K10" s="345"/>
      <c r="L10" s="345"/>
      <c r="M10" s="345"/>
      <c r="N10" s="345"/>
      <c r="O10" s="345"/>
      <c r="P10" s="346"/>
      <c r="Q10" s="339"/>
      <c r="R10" s="332"/>
      <c r="S10" s="332"/>
      <c r="T10" s="332"/>
      <c r="U10" s="332"/>
      <c r="V10" s="332"/>
      <c r="W10" s="332"/>
      <c r="X10" s="332"/>
      <c r="Y10" s="332"/>
      <c r="Z10" s="332"/>
      <c r="AA10" s="340"/>
      <c r="AB10" s="339"/>
      <c r="AC10" s="332"/>
      <c r="AD10" s="332"/>
      <c r="AE10" s="332"/>
      <c r="AF10" s="332"/>
      <c r="AG10" s="332"/>
      <c r="AH10" s="332"/>
      <c r="AI10" s="332"/>
      <c r="AJ10" s="332"/>
      <c r="AK10" s="332"/>
      <c r="AL10" s="331" t="s">
        <v>130</v>
      </c>
      <c r="AM10" s="332"/>
      <c r="AN10" s="332"/>
      <c r="AO10" s="332"/>
      <c r="AP10" s="332"/>
      <c r="AQ10" s="332"/>
      <c r="AR10" s="332"/>
      <c r="AS10" s="332"/>
      <c r="AT10" s="332"/>
      <c r="AU10" s="332"/>
      <c r="AV10" s="332"/>
      <c r="AW10" s="332"/>
      <c r="AX10" s="332"/>
      <c r="AY10" s="332"/>
      <c r="AZ10" s="332"/>
      <c r="BA10" s="332"/>
      <c r="BB10" s="332"/>
      <c r="BC10" s="332"/>
      <c r="BD10" s="332"/>
      <c r="BE10" s="332"/>
      <c r="BF10" s="332"/>
      <c r="BG10" s="332"/>
      <c r="BH10" s="332"/>
      <c r="BI10" s="332"/>
      <c r="BJ10" s="332"/>
      <c r="BK10" s="332"/>
      <c r="BL10" s="332"/>
      <c r="BM10" s="332"/>
      <c r="BN10" s="332"/>
      <c r="BO10" s="332"/>
      <c r="BP10" s="332"/>
      <c r="BQ10" s="332"/>
      <c r="BR10" s="332"/>
      <c r="BS10" s="332"/>
      <c r="BT10" s="333"/>
    </row>
    <row r="11" spans="1:72" ht="15.75" customHeight="1">
      <c r="A11" s="334" t="s">
        <v>131</v>
      </c>
      <c r="B11" s="335"/>
      <c r="C11" s="142"/>
      <c r="D11" s="143"/>
      <c r="E11" s="143"/>
      <c r="F11" s="143"/>
      <c r="G11" s="143"/>
      <c r="H11" s="143"/>
      <c r="I11" s="144"/>
      <c r="J11" s="336" t="s">
        <v>132</v>
      </c>
      <c r="K11" s="337"/>
      <c r="L11" s="337"/>
      <c r="M11" s="337"/>
      <c r="N11" s="337"/>
      <c r="O11" s="337"/>
      <c r="P11" s="338"/>
      <c r="Q11" s="329" t="s">
        <v>99</v>
      </c>
      <c r="R11" s="330"/>
      <c r="S11" s="330"/>
      <c r="T11" s="330"/>
      <c r="U11" s="330"/>
      <c r="V11" s="330"/>
      <c r="W11" s="330"/>
      <c r="X11" s="330"/>
      <c r="Y11" s="330"/>
      <c r="Z11" s="330"/>
      <c r="AA11" s="147"/>
      <c r="AB11" s="329"/>
      <c r="AC11" s="330"/>
      <c r="AD11" s="330"/>
      <c r="AE11" s="330"/>
      <c r="AF11" s="330"/>
      <c r="AG11" s="330"/>
      <c r="AH11" s="330"/>
      <c r="AI11" s="330"/>
      <c r="AJ11" s="330"/>
      <c r="AK11" s="330"/>
      <c r="AL11" s="331" t="s">
        <v>133</v>
      </c>
      <c r="AM11" s="332"/>
      <c r="AN11" s="332"/>
      <c r="AO11" s="332"/>
      <c r="AP11" s="332"/>
      <c r="AQ11" s="332"/>
      <c r="AR11" s="332"/>
      <c r="AS11" s="332"/>
      <c r="AT11" s="332"/>
      <c r="AU11" s="332"/>
      <c r="AV11" s="332"/>
      <c r="AW11" s="332"/>
      <c r="AX11" s="332"/>
      <c r="AY11" s="332"/>
      <c r="AZ11" s="332"/>
      <c r="BA11" s="332"/>
      <c r="BB11" s="332"/>
      <c r="BC11" s="332"/>
      <c r="BD11" s="332"/>
      <c r="BE11" s="332"/>
      <c r="BF11" s="332"/>
      <c r="BG11" s="332"/>
      <c r="BH11" s="332"/>
      <c r="BI11" s="332"/>
      <c r="BJ11" s="332"/>
      <c r="BK11" s="332"/>
      <c r="BL11" s="332"/>
      <c r="BM11" s="332"/>
      <c r="BN11" s="332"/>
      <c r="BO11" s="332"/>
      <c r="BP11" s="332"/>
      <c r="BQ11" s="332"/>
      <c r="BR11" s="332"/>
      <c r="BS11" s="332"/>
      <c r="BT11" s="333"/>
    </row>
    <row r="12" spans="1:72" ht="15.75" customHeight="1">
      <c r="A12" s="334" t="s">
        <v>134</v>
      </c>
      <c r="B12" s="335"/>
      <c r="C12" s="142"/>
      <c r="D12" s="143"/>
      <c r="E12" s="143"/>
      <c r="F12" s="143"/>
      <c r="G12" s="143"/>
      <c r="H12" s="143"/>
      <c r="I12" s="144"/>
      <c r="J12" s="336" t="s">
        <v>135</v>
      </c>
      <c r="K12" s="337"/>
      <c r="L12" s="337"/>
      <c r="M12" s="337"/>
      <c r="N12" s="337"/>
      <c r="O12" s="337"/>
      <c r="P12" s="338"/>
      <c r="Q12" s="329" t="s">
        <v>99</v>
      </c>
      <c r="R12" s="330"/>
      <c r="S12" s="330"/>
      <c r="T12" s="330"/>
      <c r="U12" s="330"/>
      <c r="V12" s="330"/>
      <c r="W12" s="330"/>
      <c r="X12" s="330"/>
      <c r="Y12" s="330"/>
      <c r="Z12" s="330"/>
      <c r="AA12" s="147"/>
      <c r="AB12" s="329"/>
      <c r="AC12" s="330"/>
      <c r="AD12" s="330"/>
      <c r="AE12" s="330"/>
      <c r="AF12" s="330"/>
      <c r="AG12" s="330"/>
      <c r="AH12" s="330"/>
      <c r="AI12" s="330"/>
      <c r="AJ12" s="330"/>
      <c r="AK12" s="330"/>
      <c r="AL12" s="331" t="s">
        <v>136</v>
      </c>
      <c r="AM12" s="332"/>
      <c r="AN12" s="332"/>
      <c r="AO12" s="332"/>
      <c r="AP12" s="332"/>
      <c r="AQ12" s="332"/>
      <c r="AR12" s="332"/>
      <c r="AS12" s="332"/>
      <c r="AT12" s="332"/>
      <c r="AU12" s="332"/>
      <c r="AV12" s="332"/>
      <c r="AW12" s="332"/>
      <c r="AX12" s="332"/>
      <c r="AY12" s="332"/>
      <c r="AZ12" s="332"/>
      <c r="BA12" s="332"/>
      <c r="BB12" s="332"/>
      <c r="BC12" s="332"/>
      <c r="BD12" s="332"/>
      <c r="BE12" s="332"/>
      <c r="BF12" s="332"/>
      <c r="BG12" s="332"/>
      <c r="BH12" s="332"/>
      <c r="BI12" s="332"/>
      <c r="BJ12" s="332"/>
      <c r="BK12" s="332"/>
      <c r="BL12" s="332"/>
      <c r="BM12" s="332"/>
      <c r="BN12" s="332"/>
      <c r="BO12" s="332"/>
      <c r="BP12" s="332"/>
      <c r="BQ12" s="332"/>
      <c r="BR12" s="332"/>
      <c r="BS12" s="332"/>
      <c r="BT12" s="333"/>
    </row>
    <row r="13" spans="1:72" ht="96" customHeight="1">
      <c r="A13" s="334" t="s">
        <v>137</v>
      </c>
      <c r="B13" s="335"/>
      <c r="C13" s="142"/>
      <c r="D13" s="143"/>
      <c r="E13" s="143"/>
      <c r="F13" s="143"/>
      <c r="G13" s="143"/>
      <c r="H13" s="143"/>
      <c r="I13" s="144"/>
      <c r="J13" s="336" t="s">
        <v>138</v>
      </c>
      <c r="K13" s="337"/>
      <c r="L13" s="337"/>
      <c r="M13" s="337"/>
      <c r="N13" s="337"/>
      <c r="O13" s="337"/>
      <c r="P13" s="338"/>
      <c r="Q13" s="145"/>
      <c r="R13" s="146"/>
      <c r="S13" s="146"/>
      <c r="T13" s="146"/>
      <c r="U13" s="146"/>
      <c r="V13" s="146"/>
      <c r="W13" s="146"/>
      <c r="X13" s="146"/>
      <c r="Y13" s="146"/>
      <c r="Z13" s="146"/>
      <c r="AA13" s="147"/>
      <c r="AB13" s="339"/>
      <c r="AC13" s="332"/>
      <c r="AD13" s="332"/>
      <c r="AE13" s="332"/>
      <c r="AF13" s="332"/>
      <c r="AG13" s="332"/>
      <c r="AH13" s="332"/>
      <c r="AI13" s="332"/>
      <c r="AJ13" s="332"/>
      <c r="AK13" s="332"/>
      <c r="AL13" s="331" t="s">
        <v>302</v>
      </c>
      <c r="AM13" s="332"/>
      <c r="AN13" s="332"/>
      <c r="AO13" s="332"/>
      <c r="AP13" s="332"/>
      <c r="AQ13" s="332"/>
      <c r="AR13" s="332"/>
      <c r="AS13" s="332"/>
      <c r="AT13" s="332"/>
      <c r="AU13" s="332"/>
      <c r="AV13" s="332"/>
      <c r="AW13" s="332"/>
      <c r="AX13" s="332"/>
      <c r="AY13" s="332"/>
      <c r="AZ13" s="332"/>
      <c r="BA13" s="332"/>
      <c r="BB13" s="332"/>
      <c r="BC13" s="332"/>
      <c r="BD13" s="332"/>
      <c r="BE13" s="332"/>
      <c r="BF13" s="332"/>
      <c r="BG13" s="332"/>
      <c r="BH13" s="332"/>
      <c r="BI13" s="332"/>
      <c r="BJ13" s="332"/>
      <c r="BK13" s="332"/>
      <c r="BL13" s="332"/>
      <c r="BM13" s="332"/>
      <c r="BN13" s="332"/>
      <c r="BO13" s="332"/>
      <c r="BP13" s="332"/>
      <c r="BQ13" s="332"/>
      <c r="BR13" s="332"/>
      <c r="BS13" s="332"/>
      <c r="BT13" s="333"/>
    </row>
    <row r="14" spans="1:72" ht="25" customHeight="1">
      <c r="A14" s="334" t="s">
        <v>139</v>
      </c>
      <c r="B14" s="335"/>
      <c r="C14" s="142"/>
      <c r="D14" s="143"/>
      <c r="E14" s="143"/>
      <c r="F14" s="143"/>
      <c r="G14" s="143"/>
      <c r="H14" s="143"/>
      <c r="I14" s="144"/>
      <c r="J14" s="336" t="s">
        <v>246</v>
      </c>
      <c r="K14" s="337"/>
      <c r="L14" s="337"/>
      <c r="M14" s="337"/>
      <c r="N14" s="337"/>
      <c r="O14" s="337"/>
      <c r="P14" s="338"/>
      <c r="Q14" s="145"/>
      <c r="R14" s="146"/>
      <c r="S14" s="146"/>
      <c r="T14" s="146"/>
      <c r="U14" s="146"/>
      <c r="V14" s="146"/>
      <c r="W14" s="146"/>
      <c r="X14" s="146"/>
      <c r="Y14" s="146"/>
      <c r="Z14" s="146"/>
      <c r="AA14" s="147"/>
      <c r="AB14" s="339"/>
      <c r="AC14" s="332"/>
      <c r="AD14" s="332"/>
      <c r="AE14" s="332"/>
      <c r="AF14" s="332"/>
      <c r="AG14" s="332"/>
      <c r="AH14" s="332"/>
      <c r="AI14" s="332"/>
      <c r="AJ14" s="332"/>
      <c r="AK14" s="332"/>
      <c r="AL14" s="148"/>
      <c r="AM14" s="146"/>
      <c r="AN14" s="146"/>
      <c r="AO14" s="146"/>
      <c r="AP14" s="146"/>
      <c r="AQ14" s="146"/>
      <c r="AR14" s="146"/>
      <c r="AS14" s="146"/>
      <c r="AT14" s="146"/>
      <c r="AU14" s="146"/>
      <c r="AV14" s="146"/>
      <c r="AW14" s="146"/>
      <c r="AX14" s="146"/>
      <c r="AY14" s="146"/>
      <c r="AZ14" s="146"/>
      <c r="BA14" s="146"/>
      <c r="BB14" s="146"/>
      <c r="BC14" s="146"/>
      <c r="BD14" s="146"/>
      <c r="BE14" s="146"/>
      <c r="BF14" s="146"/>
      <c r="BG14" s="146"/>
      <c r="BH14" s="146"/>
      <c r="BI14" s="146"/>
      <c r="BJ14" s="146"/>
      <c r="BK14" s="146"/>
      <c r="BL14" s="146"/>
      <c r="BM14" s="146"/>
      <c r="BN14" s="146"/>
      <c r="BO14" s="146"/>
      <c r="BP14" s="146"/>
      <c r="BQ14" s="146"/>
      <c r="BR14" s="146"/>
      <c r="BS14" s="146"/>
      <c r="BT14" s="149"/>
    </row>
    <row r="15" spans="1:72" ht="26.5" customHeight="1">
      <c r="A15" s="334" t="s">
        <v>141</v>
      </c>
      <c r="B15" s="335"/>
      <c r="C15" s="142"/>
      <c r="D15" s="143"/>
      <c r="E15" s="143"/>
      <c r="F15" s="143"/>
      <c r="G15" s="143"/>
      <c r="H15" s="143"/>
      <c r="I15" s="144"/>
      <c r="J15" s="336" t="s">
        <v>247</v>
      </c>
      <c r="K15" s="337"/>
      <c r="L15" s="337"/>
      <c r="M15" s="337"/>
      <c r="N15" s="337"/>
      <c r="O15" s="337"/>
      <c r="P15" s="338"/>
      <c r="Q15" s="145"/>
      <c r="R15" s="146"/>
      <c r="S15" s="146"/>
      <c r="T15" s="146"/>
      <c r="U15" s="146"/>
      <c r="V15" s="146"/>
      <c r="W15" s="146"/>
      <c r="X15" s="146"/>
      <c r="Y15" s="146"/>
      <c r="Z15" s="146"/>
      <c r="AA15" s="147"/>
      <c r="AB15" s="145"/>
      <c r="AC15" s="146"/>
      <c r="AD15" s="146"/>
      <c r="AE15" s="146"/>
      <c r="AF15" s="146"/>
      <c r="AG15" s="146"/>
      <c r="AH15" s="146"/>
      <c r="AI15" s="146"/>
      <c r="AJ15" s="146"/>
      <c r="AK15" s="146"/>
      <c r="AL15" s="148"/>
      <c r="AM15" s="146"/>
      <c r="AN15" s="146"/>
      <c r="AO15" s="146"/>
      <c r="AP15" s="146"/>
      <c r="AQ15" s="146"/>
      <c r="AR15" s="146"/>
      <c r="AS15" s="146"/>
      <c r="AT15" s="146"/>
      <c r="AU15" s="146"/>
      <c r="AV15" s="146"/>
      <c r="AW15" s="146"/>
      <c r="AX15" s="146"/>
      <c r="AY15" s="146"/>
      <c r="AZ15" s="146"/>
      <c r="BA15" s="146"/>
      <c r="BB15" s="146"/>
      <c r="BC15" s="146"/>
      <c r="BD15" s="146"/>
      <c r="BE15" s="146"/>
      <c r="BF15" s="146"/>
      <c r="BG15" s="146"/>
      <c r="BH15" s="146"/>
      <c r="BI15" s="146"/>
      <c r="BJ15" s="146"/>
      <c r="BK15" s="146"/>
      <c r="BL15" s="146"/>
      <c r="BM15" s="146"/>
      <c r="BN15" s="146"/>
      <c r="BO15" s="146"/>
      <c r="BP15" s="146"/>
      <c r="BQ15" s="146"/>
      <c r="BR15" s="146"/>
      <c r="BS15" s="146"/>
      <c r="BT15" s="149"/>
    </row>
    <row r="16" spans="1:72" ht="27" customHeight="1">
      <c r="A16" s="334" t="s">
        <v>142</v>
      </c>
      <c r="B16" s="335"/>
      <c r="C16" s="142"/>
      <c r="D16" s="143"/>
      <c r="E16" s="143"/>
      <c r="F16" s="143"/>
      <c r="G16" s="143"/>
      <c r="H16" s="143"/>
      <c r="I16" s="144"/>
      <c r="J16" s="336" t="s">
        <v>248</v>
      </c>
      <c r="K16" s="337"/>
      <c r="L16" s="337"/>
      <c r="M16" s="337"/>
      <c r="N16" s="337"/>
      <c r="O16" s="337"/>
      <c r="P16" s="338"/>
      <c r="Q16" s="145"/>
      <c r="R16" s="146"/>
      <c r="S16" s="146"/>
      <c r="T16" s="146"/>
      <c r="U16" s="146"/>
      <c r="V16" s="146"/>
      <c r="W16" s="146"/>
      <c r="X16" s="146"/>
      <c r="Y16" s="146"/>
      <c r="Z16" s="146"/>
      <c r="AA16" s="147"/>
      <c r="AB16" s="145"/>
      <c r="AC16" s="146"/>
      <c r="AD16" s="146"/>
      <c r="AE16" s="146"/>
      <c r="AF16" s="146"/>
      <c r="AG16" s="146"/>
      <c r="AH16" s="146"/>
      <c r="AI16" s="146"/>
      <c r="AJ16" s="146"/>
      <c r="AK16" s="146"/>
      <c r="AL16" s="148"/>
      <c r="AM16" s="146"/>
      <c r="AN16" s="146"/>
      <c r="AO16" s="146"/>
      <c r="AP16" s="146"/>
      <c r="AQ16" s="146"/>
      <c r="AR16" s="146"/>
      <c r="AS16" s="146"/>
      <c r="AT16" s="146"/>
      <c r="AU16" s="146"/>
      <c r="AV16" s="146"/>
      <c r="AW16" s="146"/>
      <c r="AX16" s="146"/>
      <c r="AY16" s="146"/>
      <c r="AZ16" s="146"/>
      <c r="BA16" s="146"/>
      <c r="BB16" s="146"/>
      <c r="BC16" s="146"/>
      <c r="BD16" s="146"/>
      <c r="BE16" s="146"/>
      <c r="BF16" s="146"/>
      <c r="BG16" s="146"/>
      <c r="BH16" s="146"/>
      <c r="BI16" s="146"/>
      <c r="BJ16" s="146"/>
      <c r="BK16" s="146"/>
      <c r="BL16" s="146"/>
      <c r="BM16" s="146"/>
      <c r="BN16" s="146"/>
      <c r="BO16" s="146"/>
      <c r="BP16" s="146"/>
      <c r="BQ16" s="146"/>
      <c r="BR16" s="146"/>
      <c r="BS16" s="146"/>
      <c r="BT16" s="149"/>
    </row>
    <row r="17" spans="1:72" ht="26.5" customHeight="1">
      <c r="A17" s="334" t="s">
        <v>143</v>
      </c>
      <c r="B17" s="335"/>
      <c r="C17" s="142"/>
      <c r="D17" s="143"/>
      <c r="E17" s="143"/>
      <c r="F17" s="143"/>
      <c r="G17" s="143"/>
      <c r="H17" s="143"/>
      <c r="I17" s="144"/>
      <c r="J17" s="336" t="s">
        <v>249</v>
      </c>
      <c r="K17" s="337"/>
      <c r="L17" s="337"/>
      <c r="M17" s="337"/>
      <c r="N17" s="337"/>
      <c r="O17" s="337"/>
      <c r="P17" s="338"/>
      <c r="Q17" s="145"/>
      <c r="R17" s="146"/>
      <c r="S17" s="146"/>
      <c r="T17" s="146"/>
      <c r="U17" s="146"/>
      <c r="V17" s="146"/>
      <c r="W17" s="146"/>
      <c r="X17" s="146"/>
      <c r="Y17" s="146"/>
      <c r="Z17" s="146"/>
      <c r="AA17" s="147"/>
      <c r="AB17" s="145"/>
      <c r="AC17" s="146"/>
      <c r="AD17" s="146"/>
      <c r="AE17" s="146"/>
      <c r="AF17" s="146"/>
      <c r="AG17" s="146"/>
      <c r="AH17" s="146"/>
      <c r="AI17" s="146"/>
      <c r="AJ17" s="146"/>
      <c r="AK17" s="146"/>
      <c r="AL17" s="148"/>
      <c r="AM17" s="146"/>
      <c r="AN17" s="146"/>
      <c r="AO17" s="146"/>
      <c r="AP17" s="146"/>
      <c r="AQ17" s="146"/>
      <c r="AR17" s="146"/>
      <c r="AS17" s="146"/>
      <c r="AT17" s="146"/>
      <c r="AU17" s="146"/>
      <c r="AV17" s="146"/>
      <c r="AW17" s="146"/>
      <c r="AX17" s="146"/>
      <c r="AY17" s="146"/>
      <c r="AZ17" s="146"/>
      <c r="BA17" s="146"/>
      <c r="BB17" s="146"/>
      <c r="BC17" s="146"/>
      <c r="BD17" s="146"/>
      <c r="BE17" s="146"/>
      <c r="BF17" s="146"/>
      <c r="BG17" s="146"/>
      <c r="BH17" s="146"/>
      <c r="BI17" s="146"/>
      <c r="BJ17" s="146"/>
      <c r="BK17" s="146"/>
      <c r="BL17" s="146"/>
      <c r="BM17" s="146"/>
      <c r="BN17" s="146"/>
      <c r="BO17" s="146"/>
      <c r="BP17" s="146"/>
      <c r="BQ17" s="146"/>
      <c r="BR17" s="146"/>
      <c r="BS17" s="146"/>
      <c r="BT17" s="149"/>
    </row>
    <row r="18" spans="1:72" ht="30.65" customHeight="1">
      <c r="A18" s="334" t="s">
        <v>144</v>
      </c>
      <c r="B18" s="335"/>
      <c r="C18" s="142"/>
      <c r="D18" s="143"/>
      <c r="E18" s="143"/>
      <c r="F18" s="143"/>
      <c r="G18" s="143"/>
      <c r="H18" s="143"/>
      <c r="I18" s="144"/>
      <c r="J18" s="336" t="s">
        <v>250</v>
      </c>
      <c r="K18" s="337"/>
      <c r="L18" s="337"/>
      <c r="M18" s="337"/>
      <c r="N18" s="337"/>
      <c r="O18" s="337"/>
      <c r="P18" s="338"/>
      <c r="Q18" s="145"/>
      <c r="R18" s="146"/>
      <c r="S18" s="146"/>
      <c r="T18" s="146"/>
      <c r="U18" s="146"/>
      <c r="V18" s="146"/>
      <c r="W18" s="146"/>
      <c r="X18" s="146"/>
      <c r="Y18" s="146"/>
      <c r="Z18" s="146"/>
      <c r="AA18" s="147"/>
      <c r="AB18" s="145"/>
      <c r="AC18" s="146"/>
      <c r="AD18" s="146"/>
      <c r="AE18" s="146"/>
      <c r="AF18" s="146"/>
      <c r="AG18" s="146"/>
      <c r="AH18" s="146"/>
      <c r="AI18" s="146"/>
      <c r="AJ18" s="146"/>
      <c r="AK18" s="146"/>
      <c r="AL18" s="331" t="s">
        <v>145</v>
      </c>
      <c r="AM18" s="332"/>
      <c r="AN18" s="332"/>
      <c r="AO18" s="332"/>
      <c r="AP18" s="332"/>
      <c r="AQ18" s="332"/>
      <c r="AR18" s="332"/>
      <c r="AS18" s="332"/>
      <c r="AT18" s="332"/>
      <c r="AU18" s="332"/>
      <c r="AV18" s="332"/>
      <c r="AW18" s="332"/>
      <c r="AX18" s="332"/>
      <c r="AY18" s="332"/>
      <c r="AZ18" s="332"/>
      <c r="BA18" s="332"/>
      <c r="BB18" s="332"/>
      <c r="BC18" s="332"/>
      <c r="BD18" s="332"/>
      <c r="BE18" s="332"/>
      <c r="BF18" s="332"/>
      <c r="BG18" s="332"/>
      <c r="BH18" s="332"/>
      <c r="BI18" s="332"/>
      <c r="BJ18" s="332"/>
      <c r="BK18" s="332"/>
      <c r="BL18" s="332"/>
      <c r="BM18" s="332"/>
      <c r="BN18" s="332"/>
      <c r="BO18" s="332"/>
      <c r="BP18" s="332"/>
      <c r="BQ18" s="332"/>
      <c r="BR18" s="332"/>
      <c r="BS18" s="332"/>
      <c r="BT18" s="333"/>
    </row>
    <row r="19" spans="1:72" ht="117" customHeight="1">
      <c r="A19" s="334" t="s">
        <v>146</v>
      </c>
      <c r="B19" s="335"/>
      <c r="C19" s="142"/>
      <c r="D19" s="143"/>
      <c r="E19" s="143"/>
      <c r="F19" s="143"/>
      <c r="G19" s="143"/>
      <c r="H19" s="143"/>
      <c r="I19" s="144"/>
      <c r="J19" s="336" t="s">
        <v>251</v>
      </c>
      <c r="K19" s="337"/>
      <c r="L19" s="337"/>
      <c r="M19" s="337"/>
      <c r="N19" s="337"/>
      <c r="O19" s="337"/>
      <c r="P19" s="338"/>
      <c r="Q19" s="145"/>
      <c r="R19" s="146"/>
      <c r="S19" s="146"/>
      <c r="T19" s="146"/>
      <c r="U19" s="146"/>
      <c r="V19" s="146"/>
      <c r="W19" s="146"/>
      <c r="X19" s="146"/>
      <c r="Y19" s="146"/>
      <c r="Z19" s="146"/>
      <c r="AA19" s="147"/>
      <c r="AB19" s="145"/>
      <c r="AC19" s="146"/>
      <c r="AD19" s="146"/>
      <c r="AE19" s="146"/>
      <c r="AF19" s="146"/>
      <c r="AG19" s="146"/>
      <c r="AH19" s="146"/>
      <c r="AI19" s="146"/>
      <c r="AJ19" s="146"/>
      <c r="AK19" s="146"/>
      <c r="AL19" s="331" t="s">
        <v>147</v>
      </c>
      <c r="AM19" s="332"/>
      <c r="AN19" s="332"/>
      <c r="AO19" s="332"/>
      <c r="AP19" s="332"/>
      <c r="AQ19" s="332"/>
      <c r="AR19" s="332"/>
      <c r="AS19" s="332"/>
      <c r="AT19" s="332"/>
      <c r="AU19" s="332"/>
      <c r="AV19" s="332"/>
      <c r="AW19" s="332"/>
      <c r="AX19" s="332"/>
      <c r="AY19" s="332"/>
      <c r="AZ19" s="332"/>
      <c r="BA19" s="332"/>
      <c r="BB19" s="332"/>
      <c r="BC19" s="332"/>
      <c r="BD19" s="332"/>
      <c r="BE19" s="332"/>
      <c r="BF19" s="332"/>
      <c r="BG19" s="332"/>
      <c r="BH19" s="332"/>
      <c r="BI19" s="332"/>
      <c r="BJ19" s="332"/>
      <c r="BK19" s="332"/>
      <c r="BL19" s="332"/>
      <c r="BM19" s="332"/>
      <c r="BN19" s="332"/>
      <c r="BO19" s="332"/>
      <c r="BP19" s="332"/>
      <c r="BQ19" s="332"/>
      <c r="BR19" s="332"/>
      <c r="BS19" s="332"/>
      <c r="BT19" s="333"/>
    </row>
    <row r="20" spans="1:72" ht="130.5" customHeight="1">
      <c r="A20" s="334" t="s">
        <v>148</v>
      </c>
      <c r="B20" s="335"/>
      <c r="C20" s="288"/>
      <c r="D20" s="289"/>
      <c r="E20" s="289"/>
      <c r="F20" s="289"/>
      <c r="G20" s="289"/>
      <c r="H20" s="289"/>
      <c r="I20" s="290"/>
      <c r="J20" s="336" t="s">
        <v>252</v>
      </c>
      <c r="K20" s="337"/>
      <c r="L20" s="337"/>
      <c r="M20" s="337"/>
      <c r="N20" s="337"/>
      <c r="O20" s="337"/>
      <c r="P20" s="338"/>
      <c r="Q20" s="339"/>
      <c r="R20" s="332"/>
      <c r="S20" s="332"/>
      <c r="T20" s="332"/>
      <c r="U20" s="332"/>
      <c r="V20" s="332"/>
      <c r="W20" s="332"/>
      <c r="X20" s="332"/>
      <c r="Y20" s="332"/>
      <c r="Z20" s="332"/>
      <c r="AA20" s="340"/>
      <c r="AB20" s="339"/>
      <c r="AC20" s="332"/>
      <c r="AD20" s="332"/>
      <c r="AE20" s="332"/>
      <c r="AF20" s="332"/>
      <c r="AG20" s="332"/>
      <c r="AH20" s="332"/>
      <c r="AI20" s="332"/>
      <c r="AJ20" s="332"/>
      <c r="AK20" s="332"/>
      <c r="AL20" s="331" t="s">
        <v>261</v>
      </c>
      <c r="AM20" s="332"/>
      <c r="AN20" s="332"/>
      <c r="AO20" s="332"/>
      <c r="AP20" s="332"/>
      <c r="AQ20" s="332"/>
      <c r="AR20" s="332"/>
      <c r="AS20" s="332"/>
      <c r="AT20" s="332"/>
      <c r="AU20" s="332"/>
      <c r="AV20" s="332"/>
      <c r="AW20" s="332"/>
      <c r="AX20" s="332"/>
      <c r="AY20" s="332"/>
      <c r="AZ20" s="332"/>
      <c r="BA20" s="332"/>
      <c r="BB20" s="332"/>
      <c r="BC20" s="332"/>
      <c r="BD20" s="332"/>
      <c r="BE20" s="332"/>
      <c r="BF20" s="332"/>
      <c r="BG20" s="332"/>
      <c r="BH20" s="332"/>
      <c r="BI20" s="332"/>
      <c r="BJ20" s="332"/>
      <c r="BK20" s="332"/>
      <c r="BL20" s="332"/>
      <c r="BM20" s="332"/>
      <c r="BN20" s="332"/>
      <c r="BO20" s="332"/>
      <c r="BP20" s="332"/>
      <c r="BQ20" s="332"/>
      <c r="BR20" s="332"/>
      <c r="BS20" s="332"/>
      <c r="BT20" s="333"/>
    </row>
    <row r="21" spans="1:72" ht="40.75" customHeight="1">
      <c r="A21" s="334" t="s">
        <v>149</v>
      </c>
      <c r="B21" s="335"/>
      <c r="C21" s="285"/>
      <c r="D21" s="286"/>
      <c r="E21" s="286"/>
      <c r="F21" s="286"/>
      <c r="G21" s="286"/>
      <c r="H21" s="286"/>
      <c r="I21" s="287"/>
      <c r="J21" s="336" t="s">
        <v>253</v>
      </c>
      <c r="K21" s="337"/>
      <c r="L21" s="337"/>
      <c r="M21" s="337"/>
      <c r="N21" s="337"/>
      <c r="O21" s="337"/>
      <c r="P21" s="338"/>
      <c r="Q21" s="339"/>
      <c r="R21" s="332"/>
      <c r="S21" s="332"/>
      <c r="T21" s="332"/>
      <c r="U21" s="332"/>
      <c r="V21" s="332"/>
      <c r="W21" s="332"/>
      <c r="X21" s="332"/>
      <c r="Y21" s="332"/>
      <c r="Z21" s="332"/>
      <c r="AA21" s="340"/>
      <c r="AB21" s="339"/>
      <c r="AC21" s="332"/>
      <c r="AD21" s="332"/>
      <c r="AE21" s="332"/>
      <c r="AF21" s="332"/>
      <c r="AG21" s="332"/>
      <c r="AH21" s="332"/>
      <c r="AI21" s="332"/>
      <c r="AJ21" s="332"/>
      <c r="AK21" s="332"/>
      <c r="AL21" s="341" t="s">
        <v>150</v>
      </c>
      <c r="AM21" s="342"/>
      <c r="AN21" s="342"/>
      <c r="AO21" s="342"/>
      <c r="AP21" s="342"/>
      <c r="AQ21" s="342"/>
      <c r="AR21" s="342"/>
      <c r="AS21" s="342"/>
      <c r="AT21" s="342"/>
      <c r="AU21" s="342"/>
      <c r="AV21" s="342"/>
      <c r="AW21" s="342"/>
      <c r="AX21" s="342"/>
      <c r="AY21" s="342"/>
      <c r="AZ21" s="342"/>
      <c r="BA21" s="342"/>
      <c r="BB21" s="342"/>
      <c r="BC21" s="342"/>
      <c r="BD21" s="342"/>
      <c r="BE21" s="342"/>
      <c r="BF21" s="342"/>
      <c r="BG21" s="342"/>
      <c r="BH21" s="342"/>
      <c r="BI21" s="342"/>
      <c r="BJ21" s="342"/>
      <c r="BK21" s="342"/>
      <c r="BL21" s="342"/>
      <c r="BM21" s="342"/>
      <c r="BN21" s="342"/>
      <c r="BO21" s="342"/>
      <c r="BP21" s="342"/>
      <c r="BQ21" s="342"/>
      <c r="BR21" s="342"/>
      <c r="BS21" s="342"/>
      <c r="BT21" s="343"/>
    </row>
    <row r="22" spans="1:72">
      <c r="A22" s="334" t="s">
        <v>151</v>
      </c>
      <c r="B22" s="335"/>
      <c r="C22" s="336"/>
      <c r="D22" s="337"/>
      <c r="E22" s="337"/>
      <c r="F22" s="337"/>
      <c r="G22" s="337"/>
      <c r="H22" s="337"/>
      <c r="I22" s="338"/>
      <c r="J22" s="336" t="s">
        <v>152</v>
      </c>
      <c r="K22" s="337"/>
      <c r="L22" s="337"/>
      <c r="M22" s="337"/>
      <c r="N22" s="337"/>
      <c r="O22" s="337"/>
      <c r="P22" s="338"/>
      <c r="Q22" s="339"/>
      <c r="R22" s="332"/>
      <c r="S22" s="332"/>
      <c r="T22" s="332"/>
      <c r="U22" s="332"/>
      <c r="V22" s="332"/>
      <c r="W22" s="332"/>
      <c r="X22" s="332"/>
      <c r="Y22" s="332"/>
      <c r="Z22" s="332"/>
      <c r="AA22" s="340"/>
      <c r="AB22" s="339"/>
      <c r="AC22" s="332"/>
      <c r="AD22" s="332"/>
      <c r="AE22" s="332"/>
      <c r="AF22" s="332"/>
      <c r="AG22" s="332"/>
      <c r="AH22" s="332"/>
      <c r="AI22" s="332"/>
      <c r="AJ22" s="332"/>
      <c r="AK22" s="332"/>
      <c r="AL22" s="331" t="s">
        <v>254</v>
      </c>
      <c r="AM22" s="332"/>
      <c r="AN22" s="332"/>
      <c r="AO22" s="332"/>
      <c r="AP22" s="332"/>
      <c r="AQ22" s="332"/>
      <c r="AR22" s="332"/>
      <c r="AS22" s="332"/>
      <c r="AT22" s="332"/>
      <c r="AU22" s="332"/>
      <c r="AV22" s="332"/>
      <c r="AW22" s="332"/>
      <c r="AX22" s="332"/>
      <c r="AY22" s="332"/>
      <c r="AZ22" s="332"/>
      <c r="BA22" s="332"/>
      <c r="BB22" s="332"/>
      <c r="BC22" s="332"/>
      <c r="BD22" s="332"/>
      <c r="BE22" s="332"/>
      <c r="BF22" s="332"/>
      <c r="BG22" s="332"/>
      <c r="BH22" s="332"/>
      <c r="BI22" s="332"/>
      <c r="BJ22" s="332"/>
      <c r="BK22" s="332"/>
      <c r="BL22" s="332"/>
      <c r="BM22" s="332"/>
      <c r="BN22" s="332"/>
      <c r="BO22" s="332"/>
      <c r="BP22" s="332"/>
      <c r="BQ22" s="332"/>
      <c r="BR22" s="332"/>
      <c r="BS22" s="332"/>
      <c r="BT22" s="333"/>
    </row>
    <row r="23" spans="1:72" ht="15.75" customHeight="1">
      <c r="A23" s="307">
        <v>4</v>
      </c>
      <c r="B23" s="344"/>
      <c r="C23" s="336" t="s">
        <v>153</v>
      </c>
      <c r="D23" s="337"/>
      <c r="E23" s="337"/>
      <c r="F23" s="337"/>
      <c r="G23" s="337"/>
      <c r="H23" s="337"/>
      <c r="I23" s="338"/>
      <c r="J23" s="150"/>
      <c r="K23" s="345"/>
      <c r="L23" s="345"/>
      <c r="M23" s="345"/>
      <c r="N23" s="345"/>
      <c r="O23" s="345"/>
      <c r="P23" s="346"/>
      <c r="Q23" s="339"/>
      <c r="R23" s="332"/>
      <c r="S23" s="332"/>
      <c r="T23" s="332"/>
      <c r="U23" s="332"/>
      <c r="V23" s="332"/>
      <c r="W23" s="332"/>
      <c r="X23" s="332"/>
      <c r="Y23" s="332"/>
      <c r="Z23" s="332"/>
      <c r="AA23" s="340"/>
      <c r="AB23" s="339"/>
      <c r="AC23" s="332"/>
      <c r="AD23" s="332"/>
      <c r="AE23" s="332"/>
      <c r="AF23" s="332"/>
      <c r="AG23" s="332"/>
      <c r="AH23" s="332"/>
      <c r="AI23" s="332"/>
      <c r="AJ23" s="332"/>
      <c r="AK23" s="332"/>
      <c r="AL23" s="331"/>
      <c r="AM23" s="332"/>
      <c r="AN23" s="332"/>
      <c r="AO23" s="332"/>
      <c r="AP23" s="332"/>
      <c r="AQ23" s="332"/>
      <c r="AR23" s="332"/>
      <c r="AS23" s="332"/>
      <c r="AT23" s="332"/>
      <c r="AU23" s="332"/>
      <c r="AV23" s="332"/>
      <c r="AW23" s="332"/>
      <c r="AX23" s="332"/>
      <c r="AY23" s="332"/>
      <c r="AZ23" s="332"/>
      <c r="BA23" s="332"/>
      <c r="BB23" s="332"/>
      <c r="BC23" s="332"/>
      <c r="BD23" s="332"/>
      <c r="BE23" s="332"/>
      <c r="BF23" s="332"/>
      <c r="BG23" s="332"/>
      <c r="BH23" s="332"/>
      <c r="BI23" s="332"/>
      <c r="BJ23" s="332"/>
      <c r="BK23" s="332"/>
      <c r="BL23" s="332"/>
      <c r="BM23" s="332"/>
      <c r="BN23" s="332"/>
      <c r="BO23" s="332"/>
      <c r="BP23" s="332"/>
      <c r="BQ23" s="332"/>
      <c r="BR23" s="332"/>
      <c r="BS23" s="332"/>
      <c r="BT23" s="333"/>
    </row>
    <row r="24" spans="1:72" ht="36" customHeight="1">
      <c r="A24" s="334" t="s">
        <v>241</v>
      </c>
      <c r="B24" s="335"/>
      <c r="C24" s="142"/>
      <c r="D24" s="143"/>
      <c r="E24" s="143"/>
      <c r="F24" s="143"/>
      <c r="G24" s="143"/>
      <c r="H24" s="143"/>
      <c r="I24" s="144"/>
      <c r="J24" s="336" t="s">
        <v>82</v>
      </c>
      <c r="K24" s="337"/>
      <c r="L24" s="337"/>
      <c r="M24" s="337"/>
      <c r="N24" s="337"/>
      <c r="O24" s="337"/>
      <c r="P24" s="338"/>
      <c r="Q24" s="329" t="s">
        <v>99</v>
      </c>
      <c r="R24" s="330"/>
      <c r="S24" s="330"/>
      <c r="T24" s="330"/>
      <c r="U24" s="330"/>
      <c r="V24" s="330"/>
      <c r="W24" s="330"/>
      <c r="X24" s="330"/>
      <c r="Y24" s="330"/>
      <c r="Z24" s="330"/>
      <c r="AA24" s="147"/>
      <c r="AB24" s="329" t="s">
        <v>99</v>
      </c>
      <c r="AC24" s="330"/>
      <c r="AD24" s="330"/>
      <c r="AE24" s="330"/>
      <c r="AF24" s="330"/>
      <c r="AG24" s="330"/>
      <c r="AH24" s="330"/>
      <c r="AI24" s="330"/>
      <c r="AJ24" s="330"/>
      <c r="AK24" s="330"/>
      <c r="AL24" s="331" t="s">
        <v>255</v>
      </c>
      <c r="AM24" s="332"/>
      <c r="AN24" s="332"/>
      <c r="AO24" s="332"/>
      <c r="AP24" s="332"/>
      <c r="AQ24" s="332"/>
      <c r="AR24" s="332"/>
      <c r="AS24" s="332"/>
      <c r="AT24" s="332"/>
      <c r="AU24" s="332"/>
      <c r="AV24" s="332"/>
      <c r="AW24" s="332"/>
      <c r="AX24" s="332"/>
      <c r="AY24" s="332"/>
      <c r="AZ24" s="332"/>
      <c r="BA24" s="332"/>
      <c r="BB24" s="332"/>
      <c r="BC24" s="332"/>
      <c r="BD24" s="332"/>
      <c r="BE24" s="332"/>
      <c r="BF24" s="332"/>
      <c r="BG24" s="332"/>
      <c r="BH24" s="332"/>
      <c r="BI24" s="332"/>
      <c r="BJ24" s="332"/>
      <c r="BK24" s="332"/>
      <c r="BL24" s="332"/>
      <c r="BM24" s="332"/>
      <c r="BN24" s="332"/>
      <c r="BO24" s="332"/>
      <c r="BP24" s="332"/>
      <c r="BQ24" s="332"/>
      <c r="BR24" s="332"/>
      <c r="BS24" s="332"/>
      <c r="BT24" s="333"/>
    </row>
    <row r="25" spans="1:72" ht="36" customHeight="1">
      <c r="A25" s="334" t="s">
        <v>154</v>
      </c>
      <c r="B25" s="335"/>
      <c r="C25" s="142"/>
      <c r="D25" s="143"/>
      <c r="E25" s="143"/>
      <c r="F25" s="143"/>
      <c r="G25" s="143"/>
      <c r="H25" s="143"/>
      <c r="I25" s="144"/>
      <c r="J25" s="336" t="s">
        <v>155</v>
      </c>
      <c r="K25" s="337"/>
      <c r="L25" s="337"/>
      <c r="M25" s="337"/>
      <c r="N25" s="337"/>
      <c r="O25" s="337"/>
      <c r="P25" s="338"/>
      <c r="Q25" s="329" t="s">
        <v>99</v>
      </c>
      <c r="R25" s="330"/>
      <c r="S25" s="330"/>
      <c r="T25" s="330"/>
      <c r="U25" s="330"/>
      <c r="V25" s="330"/>
      <c r="W25" s="330"/>
      <c r="X25" s="330"/>
      <c r="Y25" s="330"/>
      <c r="Z25" s="330"/>
      <c r="AA25" s="147"/>
      <c r="AB25" s="329" t="s">
        <v>99</v>
      </c>
      <c r="AC25" s="330"/>
      <c r="AD25" s="330"/>
      <c r="AE25" s="330"/>
      <c r="AF25" s="330"/>
      <c r="AG25" s="330"/>
      <c r="AH25" s="330"/>
      <c r="AI25" s="330"/>
      <c r="AJ25" s="330"/>
      <c r="AK25" s="330"/>
      <c r="AL25" s="331" t="s">
        <v>256</v>
      </c>
      <c r="AM25" s="332"/>
      <c r="AN25" s="332"/>
      <c r="AO25" s="332"/>
      <c r="AP25" s="332"/>
      <c r="AQ25" s="332"/>
      <c r="AR25" s="332"/>
      <c r="AS25" s="332"/>
      <c r="AT25" s="332"/>
      <c r="AU25" s="332"/>
      <c r="AV25" s="332"/>
      <c r="AW25" s="332"/>
      <c r="AX25" s="332"/>
      <c r="AY25" s="332"/>
      <c r="AZ25" s="332"/>
      <c r="BA25" s="332"/>
      <c r="BB25" s="332"/>
      <c r="BC25" s="332"/>
      <c r="BD25" s="332"/>
      <c r="BE25" s="332"/>
      <c r="BF25" s="332"/>
      <c r="BG25" s="332"/>
      <c r="BH25" s="332"/>
      <c r="BI25" s="332"/>
      <c r="BJ25" s="332"/>
      <c r="BK25" s="332"/>
      <c r="BL25" s="332"/>
      <c r="BM25" s="332"/>
      <c r="BN25" s="332"/>
      <c r="BO25" s="332"/>
      <c r="BP25" s="332"/>
      <c r="BQ25" s="332"/>
      <c r="BR25" s="332"/>
      <c r="BS25" s="332"/>
      <c r="BT25" s="333"/>
    </row>
    <row r="26" spans="1:72" ht="36" customHeight="1">
      <c r="A26" s="334" t="s">
        <v>242</v>
      </c>
      <c r="B26" s="335"/>
      <c r="C26" s="142"/>
      <c r="D26" s="143"/>
      <c r="E26" s="143"/>
      <c r="F26" s="143"/>
      <c r="G26" s="143"/>
      <c r="H26" s="143"/>
      <c r="I26" s="144"/>
      <c r="J26" s="336" t="s">
        <v>84</v>
      </c>
      <c r="K26" s="337"/>
      <c r="L26" s="337"/>
      <c r="M26" s="337"/>
      <c r="N26" s="337"/>
      <c r="O26" s="337"/>
      <c r="P26" s="338"/>
      <c r="Q26" s="329" t="s">
        <v>99</v>
      </c>
      <c r="R26" s="330"/>
      <c r="S26" s="330"/>
      <c r="T26" s="330"/>
      <c r="U26" s="330"/>
      <c r="V26" s="330"/>
      <c r="W26" s="330"/>
      <c r="X26" s="330"/>
      <c r="Y26" s="330"/>
      <c r="Z26" s="330"/>
      <c r="AA26" s="147"/>
      <c r="AB26" s="329" t="s">
        <v>99</v>
      </c>
      <c r="AC26" s="330"/>
      <c r="AD26" s="330"/>
      <c r="AE26" s="330"/>
      <c r="AF26" s="330"/>
      <c r="AG26" s="330"/>
      <c r="AH26" s="330"/>
      <c r="AI26" s="330"/>
      <c r="AJ26" s="330"/>
      <c r="AK26" s="330"/>
      <c r="AL26" s="331" t="s">
        <v>257</v>
      </c>
      <c r="AM26" s="332"/>
      <c r="AN26" s="332"/>
      <c r="AO26" s="332"/>
      <c r="AP26" s="332"/>
      <c r="AQ26" s="332"/>
      <c r="AR26" s="332"/>
      <c r="AS26" s="332"/>
      <c r="AT26" s="332"/>
      <c r="AU26" s="332"/>
      <c r="AV26" s="332"/>
      <c r="AW26" s="332"/>
      <c r="AX26" s="332"/>
      <c r="AY26" s="332"/>
      <c r="AZ26" s="332"/>
      <c r="BA26" s="332"/>
      <c r="BB26" s="332"/>
      <c r="BC26" s="332"/>
      <c r="BD26" s="332"/>
      <c r="BE26" s="332"/>
      <c r="BF26" s="332"/>
      <c r="BG26" s="332"/>
      <c r="BH26" s="332"/>
      <c r="BI26" s="332"/>
      <c r="BJ26" s="332"/>
      <c r="BK26" s="332"/>
      <c r="BL26" s="332"/>
      <c r="BM26" s="332"/>
      <c r="BN26" s="332"/>
      <c r="BO26" s="332"/>
      <c r="BP26" s="332"/>
      <c r="BQ26" s="332"/>
      <c r="BR26" s="332"/>
      <c r="BS26" s="332"/>
      <c r="BT26" s="333"/>
    </row>
    <row r="27" spans="1:72" ht="36" customHeight="1">
      <c r="A27" s="334" t="s">
        <v>243</v>
      </c>
      <c r="B27" s="335"/>
      <c r="C27" s="142"/>
      <c r="D27" s="143"/>
      <c r="E27" s="143"/>
      <c r="F27" s="143"/>
      <c r="G27" s="143"/>
      <c r="H27" s="143"/>
      <c r="I27" s="144"/>
      <c r="J27" s="336" t="s">
        <v>245</v>
      </c>
      <c r="K27" s="337"/>
      <c r="L27" s="337"/>
      <c r="M27" s="337"/>
      <c r="N27" s="337"/>
      <c r="O27" s="337"/>
      <c r="P27" s="338"/>
      <c r="Q27" s="329" t="s">
        <v>99</v>
      </c>
      <c r="R27" s="330"/>
      <c r="S27" s="330"/>
      <c r="T27" s="330"/>
      <c r="U27" s="330"/>
      <c r="V27" s="330"/>
      <c r="W27" s="330"/>
      <c r="X27" s="330"/>
      <c r="Y27" s="330"/>
      <c r="Z27" s="330"/>
      <c r="AA27" s="147"/>
      <c r="AB27" s="329" t="s">
        <v>99</v>
      </c>
      <c r="AC27" s="330"/>
      <c r="AD27" s="330"/>
      <c r="AE27" s="330"/>
      <c r="AF27" s="330"/>
      <c r="AG27" s="330"/>
      <c r="AH27" s="330"/>
      <c r="AI27" s="330"/>
      <c r="AJ27" s="330"/>
      <c r="AK27" s="330"/>
      <c r="AL27" s="331" t="s">
        <v>258</v>
      </c>
      <c r="AM27" s="332"/>
      <c r="AN27" s="332"/>
      <c r="AO27" s="332"/>
      <c r="AP27" s="332"/>
      <c r="AQ27" s="332"/>
      <c r="AR27" s="332"/>
      <c r="AS27" s="332"/>
      <c r="AT27" s="332"/>
      <c r="AU27" s="332"/>
      <c r="AV27" s="332"/>
      <c r="AW27" s="332"/>
      <c r="AX27" s="332"/>
      <c r="AY27" s="332"/>
      <c r="AZ27" s="332"/>
      <c r="BA27" s="332"/>
      <c r="BB27" s="332"/>
      <c r="BC27" s="332"/>
      <c r="BD27" s="332"/>
      <c r="BE27" s="332"/>
      <c r="BF27" s="332"/>
      <c r="BG27" s="332"/>
      <c r="BH27" s="332"/>
      <c r="BI27" s="332"/>
      <c r="BJ27" s="332"/>
      <c r="BK27" s="332"/>
      <c r="BL27" s="332"/>
      <c r="BM27" s="332"/>
      <c r="BN27" s="332"/>
      <c r="BO27" s="332"/>
      <c r="BP27" s="332"/>
      <c r="BQ27" s="332"/>
      <c r="BR27" s="332"/>
      <c r="BS27" s="332"/>
      <c r="BT27" s="333"/>
    </row>
    <row r="28" spans="1:72" ht="36" customHeight="1">
      <c r="A28" s="334" t="s">
        <v>244</v>
      </c>
      <c r="B28" s="335"/>
      <c r="C28" s="142"/>
      <c r="D28" s="143"/>
      <c r="E28" s="143"/>
      <c r="F28" s="143"/>
      <c r="G28" s="143"/>
      <c r="H28" s="143"/>
      <c r="I28" s="144"/>
      <c r="J28" s="336" t="s">
        <v>86</v>
      </c>
      <c r="K28" s="337"/>
      <c r="L28" s="337"/>
      <c r="M28" s="337"/>
      <c r="N28" s="337"/>
      <c r="O28" s="337"/>
      <c r="P28" s="338"/>
      <c r="Q28" s="329" t="s">
        <v>99</v>
      </c>
      <c r="R28" s="330"/>
      <c r="S28" s="330"/>
      <c r="T28" s="330"/>
      <c r="U28" s="330"/>
      <c r="V28" s="330"/>
      <c r="W28" s="330"/>
      <c r="X28" s="330"/>
      <c r="Y28" s="330"/>
      <c r="Z28" s="330"/>
      <c r="AA28" s="147"/>
      <c r="AB28" s="329" t="s">
        <v>99</v>
      </c>
      <c r="AC28" s="330"/>
      <c r="AD28" s="330"/>
      <c r="AE28" s="330"/>
      <c r="AF28" s="330"/>
      <c r="AG28" s="330"/>
      <c r="AH28" s="330"/>
      <c r="AI28" s="330"/>
      <c r="AJ28" s="330"/>
      <c r="AK28" s="330"/>
      <c r="AL28" s="331" t="s">
        <v>259</v>
      </c>
      <c r="AM28" s="332"/>
      <c r="AN28" s="332"/>
      <c r="AO28" s="332"/>
      <c r="AP28" s="332"/>
      <c r="AQ28" s="332"/>
      <c r="AR28" s="332"/>
      <c r="AS28" s="332"/>
      <c r="AT28" s="332"/>
      <c r="AU28" s="332"/>
      <c r="AV28" s="332"/>
      <c r="AW28" s="332"/>
      <c r="AX28" s="332"/>
      <c r="AY28" s="332"/>
      <c r="AZ28" s="332"/>
      <c r="BA28" s="332"/>
      <c r="BB28" s="332"/>
      <c r="BC28" s="332"/>
      <c r="BD28" s="332"/>
      <c r="BE28" s="332"/>
      <c r="BF28" s="332"/>
      <c r="BG28" s="332"/>
      <c r="BH28" s="332"/>
      <c r="BI28" s="332"/>
      <c r="BJ28" s="332"/>
      <c r="BK28" s="332"/>
      <c r="BL28" s="332"/>
      <c r="BM28" s="332"/>
      <c r="BN28" s="332"/>
      <c r="BO28" s="332"/>
      <c r="BP28" s="332"/>
      <c r="BQ28" s="332"/>
      <c r="BR28" s="332"/>
      <c r="BS28" s="332"/>
      <c r="BT28" s="333"/>
    </row>
    <row r="29" spans="1:72" ht="74.5" customHeight="1">
      <c r="A29" s="334" t="s">
        <v>156</v>
      </c>
      <c r="B29" s="335"/>
      <c r="C29" s="142"/>
      <c r="D29" s="143"/>
      <c r="E29" s="143"/>
      <c r="F29" s="143"/>
      <c r="G29" s="143"/>
      <c r="H29" s="143"/>
      <c r="I29" s="144"/>
      <c r="J29" s="336" t="s">
        <v>157</v>
      </c>
      <c r="K29" s="337"/>
      <c r="L29" s="337"/>
      <c r="M29" s="337"/>
      <c r="N29" s="337"/>
      <c r="O29" s="337"/>
      <c r="P29" s="338"/>
      <c r="Q29" s="329" t="s">
        <v>99</v>
      </c>
      <c r="R29" s="330"/>
      <c r="S29" s="330"/>
      <c r="T29" s="330"/>
      <c r="U29" s="330"/>
      <c r="V29" s="330"/>
      <c r="W29" s="330"/>
      <c r="X29" s="330"/>
      <c r="Y29" s="330"/>
      <c r="Z29" s="330"/>
      <c r="AA29" s="147"/>
      <c r="AB29" s="329" t="s">
        <v>99</v>
      </c>
      <c r="AC29" s="330"/>
      <c r="AD29" s="330"/>
      <c r="AE29" s="330"/>
      <c r="AF29" s="330"/>
      <c r="AG29" s="330"/>
      <c r="AH29" s="330"/>
      <c r="AI29" s="330"/>
      <c r="AJ29" s="330"/>
      <c r="AK29" s="330"/>
      <c r="AL29" s="331" t="s">
        <v>260</v>
      </c>
      <c r="AM29" s="332"/>
      <c r="AN29" s="332"/>
      <c r="AO29" s="332"/>
      <c r="AP29" s="332"/>
      <c r="AQ29" s="332"/>
      <c r="AR29" s="332"/>
      <c r="AS29" s="332"/>
      <c r="AT29" s="332"/>
      <c r="AU29" s="332"/>
      <c r="AV29" s="332"/>
      <c r="AW29" s="332"/>
      <c r="AX29" s="332"/>
      <c r="AY29" s="332"/>
      <c r="AZ29" s="332"/>
      <c r="BA29" s="332"/>
      <c r="BB29" s="332"/>
      <c r="BC29" s="332"/>
      <c r="BD29" s="332"/>
      <c r="BE29" s="332"/>
      <c r="BF29" s="332"/>
      <c r="BG29" s="332"/>
      <c r="BH29" s="332"/>
      <c r="BI29" s="332"/>
      <c r="BJ29" s="332"/>
      <c r="BK29" s="332"/>
      <c r="BL29" s="332"/>
      <c r="BM29" s="332"/>
      <c r="BN29" s="332"/>
      <c r="BO29" s="332"/>
      <c r="BP29" s="332"/>
      <c r="BQ29" s="332"/>
      <c r="BR29" s="332"/>
      <c r="BS29" s="332"/>
      <c r="BT29" s="333"/>
    </row>
    <row r="30" spans="1:72">
      <c r="A30" s="139"/>
      <c r="B30" s="139"/>
      <c r="C30" s="139"/>
      <c r="D30" s="139"/>
      <c r="E30" s="139"/>
      <c r="F30" s="139"/>
      <c r="G30" s="139"/>
      <c r="H30" s="139"/>
      <c r="I30" s="139"/>
      <c r="J30" s="139"/>
      <c r="K30" s="139"/>
      <c r="L30" s="139"/>
      <c r="M30" s="139"/>
      <c r="N30" s="139"/>
      <c r="O30" s="139"/>
      <c r="P30" s="139"/>
      <c r="Q30" s="139"/>
      <c r="R30" s="139"/>
      <c r="S30" s="139"/>
      <c r="T30" s="139"/>
      <c r="U30" s="139"/>
      <c r="V30" s="139"/>
      <c r="W30" s="139"/>
      <c r="X30" s="139"/>
      <c r="Y30" s="139"/>
      <c r="Z30" s="139"/>
      <c r="AA30" s="139"/>
      <c r="AB30" s="139"/>
      <c r="AC30" s="139"/>
      <c r="AD30" s="139"/>
      <c r="AE30" s="139"/>
      <c r="AF30" s="139"/>
      <c r="AG30" s="139"/>
      <c r="AH30" s="139"/>
      <c r="AI30" s="139"/>
      <c r="AJ30" s="139"/>
      <c r="AK30" s="139"/>
      <c r="AL30" s="139"/>
      <c r="AM30" s="139"/>
      <c r="AN30" s="139"/>
      <c r="AO30" s="139"/>
      <c r="AP30" s="139"/>
      <c r="AQ30" s="139"/>
      <c r="AR30" s="139"/>
      <c r="AS30" s="139"/>
      <c r="AT30" s="139"/>
      <c r="AU30" s="139"/>
      <c r="AV30" s="139"/>
      <c r="AW30" s="139"/>
      <c r="AX30" s="139"/>
      <c r="AY30" s="139"/>
      <c r="AZ30" s="139"/>
      <c r="BA30" s="139"/>
      <c r="BB30" s="139"/>
      <c r="BC30" s="139"/>
      <c r="BD30" s="139"/>
      <c r="BE30" s="139"/>
      <c r="BF30" s="139"/>
      <c r="BG30" s="139"/>
      <c r="BH30" s="139"/>
      <c r="BI30" s="139"/>
      <c r="BJ30" s="139"/>
      <c r="BK30" s="139"/>
      <c r="BL30" s="139"/>
      <c r="BM30" s="139"/>
      <c r="BN30" s="139"/>
      <c r="BO30" s="139"/>
      <c r="BP30" s="139"/>
      <c r="BQ30" s="139"/>
      <c r="BR30" s="139"/>
      <c r="BS30" s="139"/>
      <c r="BT30" s="139"/>
    </row>
    <row r="32" spans="1:72">
      <c r="C32" s="152" t="s">
        <v>173</v>
      </c>
      <c r="D32" s="153"/>
      <c r="E32" s="154"/>
      <c r="F32" s="155"/>
      <c r="G32" s="155"/>
      <c r="H32" s="155"/>
      <c r="I32" s="155"/>
      <c r="J32" s="155"/>
      <c r="K32" s="155"/>
      <c r="L32" s="156"/>
      <c r="P32" s="157" t="s">
        <v>174</v>
      </c>
    </row>
    <row r="33" spans="3:44">
      <c r="C33" s="158" t="s">
        <v>175</v>
      </c>
      <c r="D33" s="154"/>
      <c r="E33" s="154"/>
      <c r="F33" s="155"/>
      <c r="G33" s="155"/>
      <c r="H33" s="155"/>
      <c r="I33" s="154"/>
      <c r="J33" s="155"/>
      <c r="K33" s="155"/>
      <c r="L33" s="156"/>
      <c r="P33" s="159" t="s">
        <v>176</v>
      </c>
    </row>
    <row r="34" spans="3:44">
      <c r="C34" s="158" t="s">
        <v>177</v>
      </c>
      <c r="D34" s="154"/>
      <c r="E34" s="154"/>
      <c r="F34" s="155"/>
      <c r="G34" s="155"/>
      <c r="H34" s="155"/>
      <c r="I34" s="154"/>
      <c r="J34" s="155"/>
      <c r="K34" s="155"/>
      <c r="L34" s="156"/>
      <c r="P34" s="159" t="s">
        <v>178</v>
      </c>
    </row>
    <row r="35" spans="3:44">
      <c r="C35" s="158" t="s">
        <v>179</v>
      </c>
      <c r="D35" s="154"/>
      <c r="E35" s="154"/>
      <c r="F35" s="155"/>
      <c r="G35" s="155"/>
      <c r="H35" s="155"/>
      <c r="I35" s="154"/>
      <c r="J35" s="155"/>
      <c r="K35" s="155"/>
      <c r="L35" s="156"/>
    </row>
    <row r="36" spans="3:44">
      <c r="C36" s="158" t="s">
        <v>180</v>
      </c>
      <c r="D36" s="154"/>
      <c r="E36" s="154"/>
      <c r="F36" s="155"/>
      <c r="G36" s="155"/>
      <c r="H36" s="155"/>
      <c r="I36" s="154"/>
      <c r="J36" s="155"/>
      <c r="K36" s="155"/>
      <c r="L36" s="156"/>
      <c r="Q36" s="160"/>
      <c r="R36" s="160"/>
      <c r="S36" s="160"/>
      <c r="T36" s="160"/>
      <c r="U36" s="160"/>
      <c r="V36" s="161"/>
      <c r="W36" s="161"/>
      <c r="X36" s="161"/>
      <c r="Y36" s="161"/>
      <c r="Z36" s="160"/>
      <c r="AA36" s="160"/>
      <c r="AB36" s="160"/>
      <c r="AC36" s="160"/>
      <c r="AD36" s="160"/>
      <c r="AE36" s="160"/>
      <c r="AF36" s="160"/>
      <c r="AG36" s="161"/>
      <c r="AH36" s="161"/>
      <c r="AI36" s="161"/>
      <c r="AJ36" s="161"/>
      <c r="AK36" s="160"/>
      <c r="AL36" s="160"/>
      <c r="AM36" s="160"/>
      <c r="AN36" s="160"/>
      <c r="AO36" s="160"/>
      <c r="AP36" s="160"/>
      <c r="AQ36" s="160"/>
      <c r="AR36" s="160"/>
    </row>
    <row r="37" spans="3:44">
      <c r="C37" s="158" t="s">
        <v>181</v>
      </c>
      <c r="D37" s="154"/>
      <c r="E37" s="154"/>
      <c r="F37" s="155"/>
      <c r="G37" s="155"/>
      <c r="H37" s="155"/>
      <c r="I37" s="154"/>
      <c r="J37" s="155"/>
      <c r="K37" s="155"/>
      <c r="L37" s="156"/>
      <c r="Q37" s="162"/>
      <c r="R37" s="162"/>
      <c r="S37" s="162"/>
      <c r="T37" s="162"/>
      <c r="U37" s="162"/>
      <c r="V37" s="163"/>
      <c r="W37" s="163"/>
      <c r="X37" s="163"/>
      <c r="Y37" s="163"/>
      <c r="Z37" s="164"/>
      <c r="AA37" s="164"/>
      <c r="AB37" s="162"/>
      <c r="AC37" s="162"/>
      <c r="AD37" s="162"/>
      <c r="AE37" s="162"/>
      <c r="AF37" s="162"/>
      <c r="AG37" s="163"/>
      <c r="AH37" s="163"/>
      <c r="AI37" s="163"/>
      <c r="AJ37" s="163"/>
      <c r="AK37" s="164"/>
      <c r="AL37" s="164"/>
      <c r="AM37" s="164"/>
      <c r="AN37" s="164"/>
      <c r="AO37" s="164"/>
      <c r="AP37" s="164"/>
      <c r="AQ37" s="164"/>
      <c r="AR37" s="164"/>
    </row>
    <row r="38" spans="3:44">
      <c r="C38" s="158" t="s">
        <v>182</v>
      </c>
      <c r="D38" s="154"/>
      <c r="E38" s="154"/>
      <c r="F38" s="155"/>
      <c r="G38" s="155"/>
      <c r="H38" s="155"/>
      <c r="I38" s="154"/>
      <c r="J38" s="155"/>
      <c r="K38" s="155"/>
      <c r="L38" s="156"/>
      <c r="Q38" s="162"/>
      <c r="R38" s="162"/>
      <c r="S38" s="162"/>
      <c r="T38" s="162"/>
      <c r="U38" s="162"/>
      <c r="V38" s="163"/>
      <c r="W38" s="163"/>
      <c r="X38" s="163"/>
      <c r="Y38" s="163"/>
      <c r="Z38" s="164"/>
      <c r="AA38" s="164"/>
      <c r="AB38" s="162"/>
      <c r="AC38" s="162"/>
      <c r="AD38" s="162"/>
      <c r="AE38" s="162"/>
      <c r="AF38" s="162"/>
      <c r="AG38" s="163"/>
      <c r="AH38" s="163"/>
      <c r="AI38" s="163"/>
      <c r="AJ38" s="163"/>
      <c r="AK38" s="164"/>
      <c r="AL38" s="164"/>
      <c r="AM38" s="164"/>
      <c r="AN38" s="164"/>
      <c r="AO38" s="164"/>
      <c r="AP38" s="164"/>
      <c r="AQ38" s="164"/>
      <c r="AR38" s="164"/>
    </row>
    <row r="39" spans="3:44">
      <c r="C39" s="158" t="s">
        <v>183</v>
      </c>
      <c r="D39" s="154"/>
      <c r="E39" s="154"/>
      <c r="F39" s="155"/>
      <c r="G39" s="155"/>
      <c r="H39" s="155"/>
      <c r="I39" s="154"/>
      <c r="J39" s="155"/>
      <c r="K39" s="155"/>
      <c r="L39" s="156"/>
      <c r="Q39" s="162"/>
      <c r="R39" s="162"/>
      <c r="S39" s="162"/>
      <c r="T39" s="162"/>
      <c r="U39" s="162"/>
      <c r="V39" s="163"/>
      <c r="W39" s="163"/>
      <c r="X39" s="163"/>
      <c r="Y39" s="163"/>
      <c r="Z39" s="164"/>
      <c r="AA39" s="164"/>
      <c r="AB39" s="162"/>
      <c r="AC39" s="162"/>
      <c r="AD39" s="162"/>
      <c r="AE39" s="162"/>
      <c r="AF39" s="162"/>
      <c r="AG39" s="163"/>
      <c r="AH39" s="163"/>
      <c r="AI39" s="163"/>
      <c r="AJ39" s="163"/>
      <c r="AK39" s="164"/>
      <c r="AL39" s="164"/>
      <c r="AM39" s="164"/>
      <c r="AN39" s="164"/>
      <c r="AO39" s="164"/>
      <c r="AP39" s="164"/>
      <c r="AQ39" s="164"/>
      <c r="AR39" s="164"/>
    </row>
    <row r="40" spans="3:44">
      <c r="C40" s="158" t="s">
        <v>184</v>
      </c>
      <c r="D40" s="154"/>
      <c r="E40" s="154"/>
      <c r="F40" s="155"/>
      <c r="G40" s="155"/>
      <c r="H40" s="155"/>
      <c r="I40" s="154"/>
      <c r="J40" s="155"/>
      <c r="K40" s="155"/>
      <c r="L40" s="156"/>
      <c r="Q40" s="162"/>
      <c r="R40" s="162"/>
      <c r="S40" s="162"/>
      <c r="T40" s="162"/>
      <c r="U40" s="162"/>
      <c r="V40" s="163"/>
      <c r="W40" s="163"/>
      <c r="X40" s="163"/>
      <c r="Y40" s="163"/>
      <c r="Z40" s="164"/>
      <c r="AA40" s="164"/>
      <c r="AB40" s="162"/>
      <c r="AC40" s="162"/>
      <c r="AD40" s="162"/>
      <c r="AE40" s="162"/>
      <c r="AF40" s="162"/>
      <c r="AG40" s="163"/>
      <c r="AH40" s="163"/>
      <c r="AI40" s="163"/>
      <c r="AJ40" s="163"/>
      <c r="AK40" s="164"/>
      <c r="AL40" s="164"/>
      <c r="AM40" s="164"/>
      <c r="AN40" s="164"/>
      <c r="AO40" s="164"/>
      <c r="AP40" s="164"/>
      <c r="AQ40" s="164"/>
      <c r="AR40" s="164"/>
    </row>
    <row r="41" spans="3:44">
      <c r="C41" s="158" t="s">
        <v>185</v>
      </c>
      <c r="D41" s="154"/>
      <c r="E41" s="154"/>
      <c r="F41" s="155"/>
      <c r="G41" s="155"/>
      <c r="H41" s="155"/>
      <c r="I41" s="154"/>
      <c r="J41" s="155"/>
      <c r="K41" s="155"/>
      <c r="L41" s="156"/>
    </row>
    <row r="42" spans="3:44">
      <c r="C42" s="158" t="s">
        <v>186</v>
      </c>
      <c r="D42" s="154"/>
      <c r="E42" s="154"/>
      <c r="F42" s="155"/>
      <c r="G42" s="155"/>
      <c r="H42" s="155"/>
      <c r="I42" s="154"/>
      <c r="J42" s="155"/>
      <c r="K42" s="155"/>
      <c r="L42" s="156"/>
    </row>
    <row r="43" spans="3:44">
      <c r="C43" s="158" t="s">
        <v>187</v>
      </c>
      <c r="D43" s="154"/>
      <c r="E43" s="154"/>
      <c r="F43" s="155"/>
      <c r="G43" s="155"/>
      <c r="H43" s="155"/>
      <c r="I43" s="154"/>
      <c r="J43" s="155"/>
      <c r="K43" s="155"/>
      <c r="L43" s="156"/>
    </row>
    <row r="44" spans="3:44">
      <c r="C44" s="158" t="s">
        <v>188</v>
      </c>
      <c r="D44" s="154"/>
      <c r="E44" s="154"/>
      <c r="F44" s="155"/>
      <c r="G44" s="155"/>
      <c r="H44" s="155"/>
      <c r="I44" s="154"/>
      <c r="J44" s="155"/>
      <c r="K44" s="155"/>
      <c r="L44" s="156"/>
    </row>
    <row r="45" spans="3:44">
      <c r="C45" s="158" t="s">
        <v>189</v>
      </c>
      <c r="D45" s="154"/>
      <c r="E45" s="154"/>
      <c r="F45" s="155"/>
      <c r="G45" s="155"/>
      <c r="H45" s="155"/>
      <c r="I45" s="154"/>
      <c r="J45" s="155"/>
      <c r="K45" s="155"/>
      <c r="L45" s="156"/>
    </row>
    <row r="46" spans="3:44">
      <c r="C46" s="158" t="s">
        <v>190</v>
      </c>
      <c r="D46" s="154"/>
      <c r="E46" s="154"/>
      <c r="F46" s="155"/>
      <c r="G46" s="155"/>
      <c r="H46" s="155"/>
      <c r="I46" s="154"/>
      <c r="J46" s="155"/>
      <c r="K46" s="155"/>
      <c r="L46" s="156"/>
    </row>
    <row r="47" spans="3:44">
      <c r="C47" s="158" t="s">
        <v>191</v>
      </c>
      <c r="D47" s="154"/>
      <c r="E47" s="154"/>
      <c r="F47" s="155"/>
      <c r="G47" s="155"/>
      <c r="H47" s="155"/>
      <c r="I47" s="154"/>
      <c r="J47" s="155"/>
      <c r="K47" s="155"/>
      <c r="L47" s="156"/>
    </row>
    <row r="48" spans="3:44">
      <c r="C48" s="158" t="s">
        <v>192</v>
      </c>
      <c r="D48" s="154"/>
      <c r="E48" s="154"/>
      <c r="F48" s="155"/>
      <c r="G48" s="155"/>
      <c r="H48" s="155"/>
      <c r="I48" s="154"/>
      <c r="J48" s="155"/>
      <c r="K48" s="155"/>
      <c r="L48" s="156"/>
    </row>
    <row r="49" spans="3:12">
      <c r="C49" s="158" t="s">
        <v>193</v>
      </c>
      <c r="D49" s="154"/>
      <c r="E49" s="154"/>
      <c r="F49" s="155"/>
      <c r="G49" s="155"/>
      <c r="H49" s="155"/>
      <c r="I49" s="154"/>
      <c r="J49" s="155"/>
      <c r="K49" s="155"/>
      <c r="L49" s="156"/>
    </row>
    <row r="50" spans="3:12">
      <c r="C50" s="158" t="s">
        <v>194</v>
      </c>
      <c r="D50" s="154"/>
      <c r="E50" s="154"/>
      <c r="F50" s="155"/>
      <c r="G50" s="155"/>
      <c r="H50" s="155"/>
      <c r="I50" s="154"/>
      <c r="J50" s="155"/>
      <c r="K50" s="155"/>
      <c r="L50" s="156"/>
    </row>
    <row r="51" spans="3:12">
      <c r="C51" s="158" t="s">
        <v>195</v>
      </c>
      <c r="D51" s="154"/>
      <c r="E51" s="154"/>
      <c r="F51" s="155"/>
      <c r="G51" s="155"/>
      <c r="H51" s="155"/>
      <c r="I51" s="154"/>
      <c r="J51" s="155"/>
      <c r="K51" s="155"/>
      <c r="L51" s="156"/>
    </row>
    <row r="52" spans="3:12">
      <c r="C52" s="158" t="s">
        <v>196</v>
      </c>
      <c r="D52" s="154"/>
      <c r="E52" s="154"/>
      <c r="F52" s="155"/>
      <c r="G52" s="155"/>
      <c r="H52" s="155"/>
      <c r="I52" s="154"/>
      <c r="J52" s="155"/>
      <c r="K52" s="155"/>
      <c r="L52" s="156"/>
    </row>
    <row r="53" spans="3:12">
      <c r="C53" s="158" t="s">
        <v>128</v>
      </c>
      <c r="D53" s="154"/>
      <c r="E53" s="154"/>
      <c r="F53" s="155"/>
      <c r="G53" s="155"/>
      <c r="H53" s="155"/>
      <c r="I53" s="154"/>
      <c r="J53" s="155"/>
      <c r="K53" s="155"/>
      <c r="L53" s="156"/>
    </row>
  </sheetData>
  <mergeCells count="127">
    <mergeCell ref="AL28:BT28"/>
    <mergeCell ref="Q29:Z29"/>
    <mergeCell ref="AL29:BT29"/>
    <mergeCell ref="AB10:AK10"/>
    <mergeCell ref="AB11:AK11"/>
    <mergeCell ref="AB12:AK12"/>
    <mergeCell ref="AB20:AK20"/>
    <mergeCell ref="AB21:AK21"/>
    <mergeCell ref="AB13:AK13"/>
    <mergeCell ref="AB14:AK14"/>
    <mergeCell ref="J26:P26"/>
    <mergeCell ref="Q26:Z26"/>
    <mergeCell ref="AB26:AK26"/>
    <mergeCell ref="A1:I1"/>
    <mergeCell ref="A2:P2"/>
    <mergeCell ref="Q2:BT2"/>
    <mergeCell ref="A3:B4"/>
    <mergeCell ref="C3:P3"/>
    <mergeCell ref="C4:I4"/>
    <mergeCell ref="J4:P4"/>
    <mergeCell ref="Q3:AA4"/>
    <mergeCell ref="AB3:AK4"/>
    <mergeCell ref="Q5:AA5"/>
    <mergeCell ref="AL5:BT5"/>
    <mergeCell ref="AL3:BT4"/>
    <mergeCell ref="A5:B5"/>
    <mergeCell ref="C5:I5"/>
    <mergeCell ref="J5:P5"/>
    <mergeCell ref="AB5:AK5"/>
    <mergeCell ref="Q6:AA6"/>
    <mergeCell ref="AL6:BT6"/>
    <mergeCell ref="AB6:AK6"/>
    <mergeCell ref="AL10:BT10"/>
    <mergeCell ref="A6:B6"/>
    <mergeCell ref="C6:I6"/>
    <mergeCell ref="J6:P6"/>
    <mergeCell ref="Q10:AA10"/>
    <mergeCell ref="A10:B10"/>
    <mergeCell ref="C10:I10"/>
    <mergeCell ref="K10:P10"/>
    <mergeCell ref="A7:B7"/>
    <mergeCell ref="C7:I7"/>
    <mergeCell ref="K7:P7"/>
    <mergeCell ref="Q7:AA7"/>
    <mergeCell ref="AL7:BT7"/>
    <mergeCell ref="A8:B8"/>
    <mergeCell ref="J8:P8"/>
    <mergeCell ref="Q8:Z8"/>
    <mergeCell ref="AL8:BT8"/>
    <mergeCell ref="A9:B9"/>
    <mergeCell ref="J9:P9"/>
    <mergeCell ref="Q9:Z9"/>
    <mergeCell ref="AL9:BT9"/>
    <mergeCell ref="AB7:AK7"/>
    <mergeCell ref="AB8:AK8"/>
    <mergeCell ref="AB9:AK9"/>
    <mergeCell ref="AL11:BT11"/>
    <mergeCell ref="A12:B12"/>
    <mergeCell ref="J12:P12"/>
    <mergeCell ref="Q12:Z12"/>
    <mergeCell ref="AL12:BT12"/>
    <mergeCell ref="A11:B11"/>
    <mergeCell ref="J11:P11"/>
    <mergeCell ref="Q11:Z11"/>
    <mergeCell ref="A14:B14"/>
    <mergeCell ref="J14:P14"/>
    <mergeCell ref="A13:B13"/>
    <mergeCell ref="J13:P13"/>
    <mergeCell ref="AL13:BT13"/>
    <mergeCell ref="A17:B17"/>
    <mergeCell ref="J17:P17"/>
    <mergeCell ref="A16:B16"/>
    <mergeCell ref="J16:P16"/>
    <mergeCell ref="A15:B15"/>
    <mergeCell ref="J15:P15"/>
    <mergeCell ref="A19:B19"/>
    <mergeCell ref="J19:P19"/>
    <mergeCell ref="AL19:BT19"/>
    <mergeCell ref="A18:B18"/>
    <mergeCell ref="J18:P18"/>
    <mergeCell ref="AL18:BT18"/>
    <mergeCell ref="Q20:AA20"/>
    <mergeCell ref="AL20:BT20"/>
    <mergeCell ref="A20:B20"/>
    <mergeCell ref="C20:I20"/>
    <mergeCell ref="J20:P20"/>
    <mergeCell ref="AL23:BT23"/>
    <mergeCell ref="Q21:AA21"/>
    <mergeCell ref="A21:B21"/>
    <mergeCell ref="C21:I21"/>
    <mergeCell ref="J21:P21"/>
    <mergeCell ref="AL21:BT21"/>
    <mergeCell ref="Q22:AA22"/>
    <mergeCell ref="AL22:BT22"/>
    <mergeCell ref="A22:B22"/>
    <mergeCell ref="C22:I22"/>
    <mergeCell ref="J22:P22"/>
    <mergeCell ref="Q23:AA23"/>
    <mergeCell ref="A23:B23"/>
    <mergeCell ref="C23:I23"/>
    <mergeCell ref="K23:P23"/>
    <mergeCell ref="AB22:AK22"/>
    <mergeCell ref="AB23:AK23"/>
    <mergeCell ref="Q25:Z25"/>
    <mergeCell ref="AL25:BT25"/>
    <mergeCell ref="A29:B29"/>
    <mergeCell ref="J29:P29"/>
    <mergeCell ref="A25:B25"/>
    <mergeCell ref="J25:P25"/>
    <mergeCell ref="AB25:AK25"/>
    <mergeCell ref="AB29:AK29"/>
    <mergeCell ref="A24:B24"/>
    <mergeCell ref="J24:P24"/>
    <mergeCell ref="Q24:Z24"/>
    <mergeCell ref="AB24:AK24"/>
    <mergeCell ref="AL24:BT24"/>
    <mergeCell ref="A26:B26"/>
    <mergeCell ref="AL26:BT26"/>
    <mergeCell ref="A27:B27"/>
    <mergeCell ref="J27:P27"/>
    <mergeCell ref="Q27:Z27"/>
    <mergeCell ref="AB27:AK27"/>
    <mergeCell ref="AL27:BT27"/>
    <mergeCell ref="A28:B28"/>
    <mergeCell ref="J28:P28"/>
    <mergeCell ref="Q28:Z28"/>
    <mergeCell ref="AB28:AK28"/>
  </mergeCells>
  <phoneticPr fontId="53"/>
  <conditionalFormatting sqref="Q5:Q29">
    <cfRule type="expression" dxfId="2" priority="17" stopIfTrue="1">
      <formula>FIND("○",#REF!)</formula>
    </cfRule>
  </conditionalFormatting>
  <conditionalFormatting sqref="AB5:AB29">
    <cfRule type="expression" dxfId="1" priority="1" stopIfTrue="1">
      <formula>FIND("○",#REF!)</formula>
    </cfRule>
  </conditionalFormatting>
  <conditionalFormatting sqref="AL5:AL29">
    <cfRule type="expression" dxfId="0" priority="2" stopIfTrue="1">
      <formula>FIND("○",#REF!)</formula>
    </cfRule>
  </conditionalFormatting>
  <dataValidations count="5">
    <dataValidation type="list" allowBlank="1" showInputMessage="1" showErrorMessage="1" sqref="U65567:X65567 IG65567:IJ65567 SC65567:SF65567 ABY65567:ACB65567 ALU65567:ALX65567 AVQ65567:AVT65567 BFM65567:BFP65567 BPI65567:BPL65567 BZE65567:BZH65567 CJA65567:CJD65567 CSW65567:CSZ65567 DCS65567:DCV65567 DMO65567:DMR65567 DWK65567:DWN65567 EGG65567:EGJ65567 EQC65567:EQF65567 EZY65567:FAB65567 FJU65567:FJX65567 FTQ65567:FTT65567 GDM65567:GDP65567 GNI65567:GNL65567 GXE65567:GXH65567 HHA65567:HHD65567 HQW65567:HQZ65567 IAS65567:IAV65567 IKO65567:IKR65567 IUK65567:IUN65567 JEG65567:JEJ65567 JOC65567:JOF65567 JXY65567:JYB65567 KHU65567:KHX65567 KRQ65567:KRT65567 LBM65567:LBP65567 LLI65567:LLL65567 LVE65567:LVH65567 MFA65567:MFD65567 MOW65567:MOZ65567 MYS65567:MYV65567 NIO65567:NIR65567 NSK65567:NSN65567 OCG65567:OCJ65567 OMC65567:OMF65567 OVY65567:OWB65567 PFU65567:PFX65567 PPQ65567:PPT65567 PZM65567:PZP65567 QJI65567:QJL65567 QTE65567:QTH65567 RDA65567:RDD65567 RMW65567:RMZ65567 RWS65567:RWV65567 SGO65567:SGR65567 SQK65567:SQN65567 TAG65567:TAJ65567 TKC65567:TKF65567 TTY65567:TUB65567 UDU65567:UDX65567 UNQ65567:UNT65567 UXM65567:UXP65567 VHI65567:VHL65567 VRE65567:VRH65567 WBA65567:WBD65567 WKW65567:WKZ65567 WUS65567:WUV65567 U131103:X131103 IG131103:IJ131103 SC131103:SF131103 ABY131103:ACB131103 ALU131103:ALX131103 AVQ131103:AVT131103 BFM131103:BFP131103 BPI131103:BPL131103 BZE131103:BZH131103 CJA131103:CJD131103 CSW131103:CSZ131103 DCS131103:DCV131103 DMO131103:DMR131103 DWK131103:DWN131103 EGG131103:EGJ131103 EQC131103:EQF131103 EZY131103:FAB131103 FJU131103:FJX131103 FTQ131103:FTT131103 GDM131103:GDP131103 GNI131103:GNL131103 GXE131103:GXH131103 HHA131103:HHD131103 HQW131103:HQZ131103 IAS131103:IAV131103 IKO131103:IKR131103 IUK131103:IUN131103 JEG131103:JEJ131103 JOC131103:JOF131103 JXY131103:JYB131103 KHU131103:KHX131103 KRQ131103:KRT131103 LBM131103:LBP131103 LLI131103:LLL131103 LVE131103:LVH131103 MFA131103:MFD131103 MOW131103:MOZ131103 MYS131103:MYV131103 NIO131103:NIR131103 NSK131103:NSN131103 OCG131103:OCJ131103 OMC131103:OMF131103 OVY131103:OWB131103 PFU131103:PFX131103 PPQ131103:PPT131103 PZM131103:PZP131103 QJI131103:QJL131103 QTE131103:QTH131103 RDA131103:RDD131103 RMW131103:RMZ131103 RWS131103:RWV131103 SGO131103:SGR131103 SQK131103:SQN131103 TAG131103:TAJ131103 TKC131103:TKF131103 TTY131103:TUB131103 UDU131103:UDX131103 UNQ131103:UNT131103 UXM131103:UXP131103 VHI131103:VHL131103 VRE131103:VRH131103 WBA131103:WBD131103 WKW131103:WKZ131103 WUS131103:WUV131103 U196639:X196639 IG196639:IJ196639 SC196639:SF196639 ABY196639:ACB196639 ALU196639:ALX196639 AVQ196639:AVT196639 BFM196639:BFP196639 BPI196639:BPL196639 BZE196639:BZH196639 CJA196639:CJD196639 CSW196639:CSZ196639 DCS196639:DCV196639 DMO196639:DMR196639 DWK196639:DWN196639 EGG196639:EGJ196639 EQC196639:EQF196639 EZY196639:FAB196639 FJU196639:FJX196639 FTQ196639:FTT196639 GDM196639:GDP196639 GNI196639:GNL196639 GXE196639:GXH196639 HHA196639:HHD196639 HQW196639:HQZ196639 IAS196639:IAV196639 IKO196639:IKR196639 IUK196639:IUN196639 JEG196639:JEJ196639 JOC196639:JOF196639 JXY196639:JYB196639 KHU196639:KHX196639 KRQ196639:KRT196639 LBM196639:LBP196639 LLI196639:LLL196639 LVE196639:LVH196639 MFA196639:MFD196639 MOW196639:MOZ196639 MYS196639:MYV196639 NIO196639:NIR196639 NSK196639:NSN196639 OCG196639:OCJ196639 OMC196639:OMF196639 OVY196639:OWB196639 PFU196639:PFX196639 PPQ196639:PPT196639 PZM196639:PZP196639 QJI196639:QJL196639 QTE196639:QTH196639 RDA196639:RDD196639 RMW196639:RMZ196639 RWS196639:RWV196639 SGO196639:SGR196639 SQK196639:SQN196639 TAG196639:TAJ196639 TKC196639:TKF196639 TTY196639:TUB196639 UDU196639:UDX196639 UNQ196639:UNT196639 UXM196639:UXP196639 VHI196639:VHL196639 VRE196639:VRH196639 WBA196639:WBD196639 WKW196639:WKZ196639 WUS196639:WUV196639 U262175:X262175 IG262175:IJ262175 SC262175:SF262175 ABY262175:ACB262175 ALU262175:ALX262175 AVQ262175:AVT262175 BFM262175:BFP262175 BPI262175:BPL262175 BZE262175:BZH262175 CJA262175:CJD262175 CSW262175:CSZ262175 DCS262175:DCV262175 DMO262175:DMR262175 DWK262175:DWN262175 EGG262175:EGJ262175 EQC262175:EQF262175 EZY262175:FAB262175 FJU262175:FJX262175 FTQ262175:FTT262175 GDM262175:GDP262175 GNI262175:GNL262175 GXE262175:GXH262175 HHA262175:HHD262175 HQW262175:HQZ262175 IAS262175:IAV262175 IKO262175:IKR262175 IUK262175:IUN262175 JEG262175:JEJ262175 JOC262175:JOF262175 JXY262175:JYB262175 KHU262175:KHX262175 KRQ262175:KRT262175 LBM262175:LBP262175 LLI262175:LLL262175 LVE262175:LVH262175 MFA262175:MFD262175 MOW262175:MOZ262175 MYS262175:MYV262175 NIO262175:NIR262175 NSK262175:NSN262175 OCG262175:OCJ262175 OMC262175:OMF262175 OVY262175:OWB262175 PFU262175:PFX262175 PPQ262175:PPT262175 PZM262175:PZP262175 QJI262175:QJL262175 QTE262175:QTH262175 RDA262175:RDD262175 RMW262175:RMZ262175 RWS262175:RWV262175 SGO262175:SGR262175 SQK262175:SQN262175 TAG262175:TAJ262175 TKC262175:TKF262175 TTY262175:TUB262175 UDU262175:UDX262175 UNQ262175:UNT262175 UXM262175:UXP262175 VHI262175:VHL262175 VRE262175:VRH262175 WBA262175:WBD262175 WKW262175:WKZ262175 WUS262175:WUV262175 U327711:X327711 IG327711:IJ327711 SC327711:SF327711 ABY327711:ACB327711 ALU327711:ALX327711 AVQ327711:AVT327711 BFM327711:BFP327711 BPI327711:BPL327711 BZE327711:BZH327711 CJA327711:CJD327711 CSW327711:CSZ327711 DCS327711:DCV327711 DMO327711:DMR327711 DWK327711:DWN327711 EGG327711:EGJ327711 EQC327711:EQF327711 EZY327711:FAB327711 FJU327711:FJX327711 FTQ327711:FTT327711 GDM327711:GDP327711 GNI327711:GNL327711 GXE327711:GXH327711 HHA327711:HHD327711 HQW327711:HQZ327711 IAS327711:IAV327711 IKO327711:IKR327711 IUK327711:IUN327711 JEG327711:JEJ327711 JOC327711:JOF327711 JXY327711:JYB327711 KHU327711:KHX327711 KRQ327711:KRT327711 LBM327711:LBP327711 LLI327711:LLL327711 LVE327711:LVH327711 MFA327711:MFD327711 MOW327711:MOZ327711 MYS327711:MYV327711 NIO327711:NIR327711 NSK327711:NSN327711 OCG327711:OCJ327711 OMC327711:OMF327711 OVY327711:OWB327711 PFU327711:PFX327711 PPQ327711:PPT327711 PZM327711:PZP327711 QJI327711:QJL327711 QTE327711:QTH327711 RDA327711:RDD327711 RMW327711:RMZ327711 RWS327711:RWV327711 SGO327711:SGR327711 SQK327711:SQN327711 TAG327711:TAJ327711 TKC327711:TKF327711 TTY327711:TUB327711 UDU327711:UDX327711 UNQ327711:UNT327711 UXM327711:UXP327711 VHI327711:VHL327711 VRE327711:VRH327711 WBA327711:WBD327711 WKW327711:WKZ327711 WUS327711:WUV327711 U393247:X393247 IG393247:IJ393247 SC393247:SF393247 ABY393247:ACB393247 ALU393247:ALX393247 AVQ393247:AVT393247 BFM393247:BFP393247 BPI393247:BPL393247 BZE393247:BZH393247 CJA393247:CJD393247 CSW393247:CSZ393247 DCS393247:DCV393247 DMO393247:DMR393247 DWK393247:DWN393247 EGG393247:EGJ393247 EQC393247:EQF393247 EZY393247:FAB393247 FJU393247:FJX393247 FTQ393247:FTT393247 GDM393247:GDP393247 GNI393247:GNL393247 GXE393247:GXH393247 HHA393247:HHD393247 HQW393247:HQZ393247 IAS393247:IAV393247 IKO393247:IKR393247 IUK393247:IUN393247 JEG393247:JEJ393247 JOC393247:JOF393247 JXY393247:JYB393247 KHU393247:KHX393247 KRQ393247:KRT393247 LBM393247:LBP393247 LLI393247:LLL393247 LVE393247:LVH393247 MFA393247:MFD393247 MOW393247:MOZ393247 MYS393247:MYV393247 NIO393247:NIR393247 NSK393247:NSN393247 OCG393247:OCJ393247 OMC393247:OMF393247 OVY393247:OWB393247 PFU393247:PFX393247 PPQ393247:PPT393247 PZM393247:PZP393247 QJI393247:QJL393247 QTE393247:QTH393247 RDA393247:RDD393247 RMW393247:RMZ393247 RWS393247:RWV393247 SGO393247:SGR393247 SQK393247:SQN393247 TAG393247:TAJ393247 TKC393247:TKF393247 TTY393247:TUB393247 UDU393247:UDX393247 UNQ393247:UNT393247 UXM393247:UXP393247 VHI393247:VHL393247 VRE393247:VRH393247 WBA393247:WBD393247 WKW393247:WKZ393247 WUS393247:WUV393247 U458783:X458783 IG458783:IJ458783 SC458783:SF458783 ABY458783:ACB458783 ALU458783:ALX458783 AVQ458783:AVT458783 BFM458783:BFP458783 BPI458783:BPL458783 BZE458783:BZH458783 CJA458783:CJD458783 CSW458783:CSZ458783 DCS458783:DCV458783 DMO458783:DMR458783 DWK458783:DWN458783 EGG458783:EGJ458783 EQC458783:EQF458783 EZY458783:FAB458783 FJU458783:FJX458783 FTQ458783:FTT458783 GDM458783:GDP458783 GNI458783:GNL458783 GXE458783:GXH458783 HHA458783:HHD458783 HQW458783:HQZ458783 IAS458783:IAV458783 IKO458783:IKR458783 IUK458783:IUN458783 JEG458783:JEJ458783 JOC458783:JOF458783 JXY458783:JYB458783 KHU458783:KHX458783 KRQ458783:KRT458783 LBM458783:LBP458783 LLI458783:LLL458783 LVE458783:LVH458783 MFA458783:MFD458783 MOW458783:MOZ458783 MYS458783:MYV458783 NIO458783:NIR458783 NSK458783:NSN458783 OCG458783:OCJ458783 OMC458783:OMF458783 OVY458783:OWB458783 PFU458783:PFX458783 PPQ458783:PPT458783 PZM458783:PZP458783 QJI458783:QJL458783 QTE458783:QTH458783 RDA458783:RDD458783 RMW458783:RMZ458783 RWS458783:RWV458783 SGO458783:SGR458783 SQK458783:SQN458783 TAG458783:TAJ458783 TKC458783:TKF458783 TTY458783:TUB458783 UDU458783:UDX458783 UNQ458783:UNT458783 UXM458783:UXP458783 VHI458783:VHL458783 VRE458783:VRH458783 WBA458783:WBD458783 WKW458783:WKZ458783 WUS458783:WUV458783 U524319:X524319 IG524319:IJ524319 SC524319:SF524319 ABY524319:ACB524319 ALU524319:ALX524319 AVQ524319:AVT524319 BFM524319:BFP524319 BPI524319:BPL524319 BZE524319:BZH524319 CJA524319:CJD524319 CSW524319:CSZ524319 DCS524319:DCV524319 DMO524319:DMR524319 DWK524319:DWN524319 EGG524319:EGJ524319 EQC524319:EQF524319 EZY524319:FAB524319 FJU524319:FJX524319 FTQ524319:FTT524319 GDM524319:GDP524319 GNI524319:GNL524319 GXE524319:GXH524319 HHA524319:HHD524319 HQW524319:HQZ524319 IAS524319:IAV524319 IKO524319:IKR524319 IUK524319:IUN524319 JEG524319:JEJ524319 JOC524319:JOF524319 JXY524319:JYB524319 KHU524319:KHX524319 KRQ524319:KRT524319 LBM524319:LBP524319 LLI524319:LLL524319 LVE524319:LVH524319 MFA524319:MFD524319 MOW524319:MOZ524319 MYS524319:MYV524319 NIO524319:NIR524319 NSK524319:NSN524319 OCG524319:OCJ524319 OMC524319:OMF524319 OVY524319:OWB524319 PFU524319:PFX524319 PPQ524319:PPT524319 PZM524319:PZP524319 QJI524319:QJL524319 QTE524319:QTH524319 RDA524319:RDD524319 RMW524319:RMZ524319 RWS524319:RWV524319 SGO524319:SGR524319 SQK524319:SQN524319 TAG524319:TAJ524319 TKC524319:TKF524319 TTY524319:TUB524319 UDU524319:UDX524319 UNQ524319:UNT524319 UXM524319:UXP524319 VHI524319:VHL524319 VRE524319:VRH524319 WBA524319:WBD524319 WKW524319:WKZ524319 WUS524319:WUV524319 U589855:X589855 IG589855:IJ589855 SC589855:SF589855 ABY589855:ACB589855 ALU589855:ALX589855 AVQ589855:AVT589855 BFM589855:BFP589855 BPI589855:BPL589855 BZE589855:BZH589855 CJA589855:CJD589855 CSW589855:CSZ589855 DCS589855:DCV589855 DMO589855:DMR589855 DWK589855:DWN589855 EGG589855:EGJ589855 EQC589855:EQF589855 EZY589855:FAB589855 FJU589855:FJX589855 FTQ589855:FTT589855 GDM589855:GDP589855 GNI589855:GNL589855 GXE589855:GXH589855 HHA589855:HHD589855 HQW589855:HQZ589855 IAS589855:IAV589855 IKO589855:IKR589855 IUK589855:IUN589855 JEG589855:JEJ589855 JOC589855:JOF589855 JXY589855:JYB589855 KHU589855:KHX589855 KRQ589855:KRT589855 LBM589855:LBP589855 LLI589855:LLL589855 LVE589855:LVH589855 MFA589855:MFD589855 MOW589855:MOZ589855 MYS589855:MYV589855 NIO589855:NIR589855 NSK589855:NSN589855 OCG589855:OCJ589855 OMC589855:OMF589855 OVY589855:OWB589855 PFU589855:PFX589855 PPQ589855:PPT589855 PZM589855:PZP589855 QJI589855:QJL589855 QTE589855:QTH589855 RDA589855:RDD589855 RMW589855:RMZ589855 RWS589855:RWV589855 SGO589855:SGR589855 SQK589855:SQN589855 TAG589855:TAJ589855 TKC589855:TKF589855 TTY589855:TUB589855 UDU589855:UDX589855 UNQ589855:UNT589855 UXM589855:UXP589855 VHI589855:VHL589855 VRE589855:VRH589855 WBA589855:WBD589855 WKW589855:WKZ589855 WUS589855:WUV589855 U655391:X655391 IG655391:IJ655391 SC655391:SF655391 ABY655391:ACB655391 ALU655391:ALX655391 AVQ655391:AVT655391 BFM655391:BFP655391 BPI655391:BPL655391 BZE655391:BZH655391 CJA655391:CJD655391 CSW655391:CSZ655391 DCS655391:DCV655391 DMO655391:DMR655391 DWK655391:DWN655391 EGG655391:EGJ655391 EQC655391:EQF655391 EZY655391:FAB655391 FJU655391:FJX655391 FTQ655391:FTT655391 GDM655391:GDP655391 GNI655391:GNL655391 GXE655391:GXH655391 HHA655391:HHD655391 HQW655391:HQZ655391 IAS655391:IAV655391 IKO655391:IKR655391 IUK655391:IUN655391 JEG655391:JEJ655391 JOC655391:JOF655391 JXY655391:JYB655391 KHU655391:KHX655391 KRQ655391:KRT655391 LBM655391:LBP655391 LLI655391:LLL655391 LVE655391:LVH655391 MFA655391:MFD655391 MOW655391:MOZ655391 MYS655391:MYV655391 NIO655391:NIR655391 NSK655391:NSN655391 OCG655391:OCJ655391 OMC655391:OMF655391 OVY655391:OWB655391 PFU655391:PFX655391 PPQ655391:PPT655391 PZM655391:PZP655391 QJI655391:QJL655391 QTE655391:QTH655391 RDA655391:RDD655391 RMW655391:RMZ655391 RWS655391:RWV655391 SGO655391:SGR655391 SQK655391:SQN655391 TAG655391:TAJ655391 TKC655391:TKF655391 TTY655391:TUB655391 UDU655391:UDX655391 UNQ655391:UNT655391 UXM655391:UXP655391 VHI655391:VHL655391 VRE655391:VRH655391 WBA655391:WBD655391 WKW655391:WKZ655391 WUS655391:WUV655391 U720927:X720927 IG720927:IJ720927 SC720927:SF720927 ABY720927:ACB720927 ALU720927:ALX720927 AVQ720927:AVT720927 BFM720927:BFP720927 BPI720927:BPL720927 BZE720927:BZH720927 CJA720927:CJD720927 CSW720927:CSZ720927 DCS720927:DCV720927 DMO720927:DMR720927 DWK720927:DWN720927 EGG720927:EGJ720927 EQC720927:EQF720927 EZY720927:FAB720927 FJU720927:FJX720927 FTQ720927:FTT720927 GDM720927:GDP720927 GNI720927:GNL720927 GXE720927:GXH720927 HHA720927:HHD720927 HQW720927:HQZ720927 IAS720927:IAV720927 IKO720927:IKR720927 IUK720927:IUN720927 JEG720927:JEJ720927 JOC720927:JOF720927 JXY720927:JYB720927 KHU720927:KHX720927 KRQ720927:KRT720927 LBM720927:LBP720927 LLI720927:LLL720927 LVE720927:LVH720927 MFA720927:MFD720927 MOW720927:MOZ720927 MYS720927:MYV720927 NIO720927:NIR720927 NSK720927:NSN720927 OCG720927:OCJ720927 OMC720927:OMF720927 OVY720927:OWB720927 PFU720927:PFX720927 PPQ720927:PPT720927 PZM720927:PZP720927 QJI720927:QJL720927 QTE720927:QTH720927 RDA720927:RDD720927 RMW720927:RMZ720927 RWS720927:RWV720927 SGO720927:SGR720927 SQK720927:SQN720927 TAG720927:TAJ720927 TKC720927:TKF720927 TTY720927:TUB720927 UDU720927:UDX720927 UNQ720927:UNT720927 UXM720927:UXP720927 VHI720927:VHL720927 VRE720927:VRH720927 WBA720927:WBD720927 WKW720927:WKZ720927 WUS720927:WUV720927 U786463:X786463 IG786463:IJ786463 SC786463:SF786463 ABY786463:ACB786463 ALU786463:ALX786463 AVQ786463:AVT786463 BFM786463:BFP786463 BPI786463:BPL786463 BZE786463:BZH786463 CJA786463:CJD786463 CSW786463:CSZ786463 DCS786463:DCV786463 DMO786463:DMR786463 DWK786463:DWN786463 EGG786463:EGJ786463 EQC786463:EQF786463 EZY786463:FAB786463 FJU786463:FJX786463 FTQ786463:FTT786463 GDM786463:GDP786463 GNI786463:GNL786463 GXE786463:GXH786463 HHA786463:HHD786463 HQW786463:HQZ786463 IAS786463:IAV786463 IKO786463:IKR786463 IUK786463:IUN786463 JEG786463:JEJ786463 JOC786463:JOF786463 JXY786463:JYB786463 KHU786463:KHX786463 KRQ786463:KRT786463 LBM786463:LBP786463 LLI786463:LLL786463 LVE786463:LVH786463 MFA786463:MFD786463 MOW786463:MOZ786463 MYS786463:MYV786463 NIO786463:NIR786463 NSK786463:NSN786463 OCG786463:OCJ786463 OMC786463:OMF786463 OVY786463:OWB786463 PFU786463:PFX786463 PPQ786463:PPT786463 PZM786463:PZP786463 QJI786463:QJL786463 QTE786463:QTH786463 RDA786463:RDD786463 RMW786463:RMZ786463 RWS786463:RWV786463 SGO786463:SGR786463 SQK786463:SQN786463 TAG786463:TAJ786463 TKC786463:TKF786463 TTY786463:TUB786463 UDU786463:UDX786463 UNQ786463:UNT786463 UXM786463:UXP786463 VHI786463:VHL786463 VRE786463:VRH786463 WBA786463:WBD786463 WKW786463:WKZ786463 WUS786463:WUV786463 U851999:X851999 IG851999:IJ851999 SC851999:SF851999 ABY851999:ACB851999 ALU851999:ALX851999 AVQ851999:AVT851999 BFM851999:BFP851999 BPI851999:BPL851999 BZE851999:BZH851999 CJA851999:CJD851999 CSW851999:CSZ851999 DCS851999:DCV851999 DMO851999:DMR851999 DWK851999:DWN851999 EGG851999:EGJ851999 EQC851999:EQF851999 EZY851999:FAB851999 FJU851999:FJX851999 FTQ851999:FTT851999 GDM851999:GDP851999 GNI851999:GNL851999 GXE851999:GXH851999 HHA851999:HHD851999 HQW851999:HQZ851999 IAS851999:IAV851999 IKO851999:IKR851999 IUK851999:IUN851999 JEG851999:JEJ851999 JOC851999:JOF851999 JXY851999:JYB851999 KHU851999:KHX851999 KRQ851999:KRT851999 LBM851999:LBP851999 LLI851999:LLL851999 LVE851999:LVH851999 MFA851999:MFD851999 MOW851999:MOZ851999 MYS851999:MYV851999 NIO851999:NIR851999 NSK851999:NSN851999 OCG851999:OCJ851999 OMC851999:OMF851999 OVY851999:OWB851999 PFU851999:PFX851999 PPQ851999:PPT851999 PZM851999:PZP851999 QJI851999:QJL851999 QTE851999:QTH851999 RDA851999:RDD851999 RMW851999:RMZ851999 RWS851999:RWV851999 SGO851999:SGR851999 SQK851999:SQN851999 TAG851999:TAJ851999 TKC851999:TKF851999 TTY851999:TUB851999 UDU851999:UDX851999 UNQ851999:UNT851999 UXM851999:UXP851999 VHI851999:VHL851999 VRE851999:VRH851999 WBA851999:WBD851999 WKW851999:WKZ851999 WUS851999:WUV851999 U917535:X917535 IG917535:IJ917535 SC917535:SF917535 ABY917535:ACB917535 ALU917535:ALX917535 AVQ917535:AVT917535 BFM917535:BFP917535 BPI917535:BPL917535 BZE917535:BZH917535 CJA917535:CJD917535 CSW917535:CSZ917535 DCS917535:DCV917535 DMO917535:DMR917535 DWK917535:DWN917535 EGG917535:EGJ917535 EQC917535:EQF917535 EZY917535:FAB917535 FJU917535:FJX917535 FTQ917535:FTT917535 GDM917535:GDP917535 GNI917535:GNL917535 GXE917535:GXH917535 HHA917535:HHD917535 HQW917535:HQZ917535 IAS917535:IAV917535 IKO917535:IKR917535 IUK917535:IUN917535 JEG917535:JEJ917535 JOC917535:JOF917535 JXY917535:JYB917535 KHU917535:KHX917535 KRQ917535:KRT917535 LBM917535:LBP917535 LLI917535:LLL917535 LVE917535:LVH917535 MFA917535:MFD917535 MOW917535:MOZ917535 MYS917535:MYV917535 NIO917535:NIR917535 NSK917535:NSN917535 OCG917535:OCJ917535 OMC917535:OMF917535 OVY917535:OWB917535 PFU917535:PFX917535 PPQ917535:PPT917535 PZM917535:PZP917535 QJI917535:QJL917535 QTE917535:QTH917535 RDA917535:RDD917535 RMW917535:RMZ917535 RWS917535:RWV917535 SGO917535:SGR917535 SQK917535:SQN917535 TAG917535:TAJ917535 TKC917535:TKF917535 TTY917535:TUB917535 UDU917535:UDX917535 UNQ917535:UNT917535 UXM917535:UXP917535 VHI917535:VHL917535 VRE917535:VRH917535 WBA917535:WBD917535 WKW917535:WKZ917535 WUS917535:WUV917535 U983071:X983071 IG983071:IJ983071 SC983071:SF983071 ABY983071:ACB983071 ALU983071:ALX983071 AVQ983071:AVT983071 BFM983071:BFP983071 BPI983071:BPL983071 BZE983071:BZH983071 CJA983071:CJD983071 CSW983071:CSZ983071 DCS983071:DCV983071 DMO983071:DMR983071 DWK983071:DWN983071 EGG983071:EGJ983071 EQC983071:EQF983071 EZY983071:FAB983071 FJU983071:FJX983071 FTQ983071:FTT983071 GDM983071:GDP983071 GNI983071:GNL983071 GXE983071:GXH983071 HHA983071:HHD983071 HQW983071:HQZ983071 IAS983071:IAV983071 IKO983071:IKR983071 IUK983071:IUN983071 JEG983071:JEJ983071 JOC983071:JOF983071 JXY983071:JYB983071 KHU983071:KHX983071 KRQ983071:KRT983071 LBM983071:LBP983071 LLI983071:LLL983071 LVE983071:LVH983071 MFA983071:MFD983071 MOW983071:MOZ983071 MYS983071:MYV983071 NIO983071:NIR983071 NSK983071:NSN983071 OCG983071:OCJ983071 OMC983071:OMF983071 OVY983071:OWB983071 PFU983071:PFX983071 PPQ983071:PPT983071 PZM983071:PZP983071 QJI983071:QJL983071 QTE983071:QTH983071 RDA983071:RDD983071 RMW983071:RMZ983071 RWS983071:RWV983071 SGO983071:SGR983071 SQK983071:SQN983071 TAG983071:TAJ983071 TKC983071:TKF983071 TTY983071:TUB983071 UDU983071:UDX983071 UNQ983071:UNT983071 UXM983071:UXP983071 VHI983071:VHL983071 VRE983071:VRH983071 WBA983071:WBD983071 WKW983071:WKZ983071 WUS983071:WUV983071 IB983070:IE983070 RX983070:SA983070 ABT983070:ABW983070 ALP983070:ALS983070 AVL983070:AVO983070 BFH983070:BFK983070 BPD983070:BPG983070 BYZ983070:BZC983070 CIV983070:CIY983070 CSR983070:CSU983070 DCN983070:DCQ983070 DMJ983070:DMM983070 DWF983070:DWI983070 EGB983070:EGE983070 EPX983070:EQA983070 EZT983070:EZW983070 FJP983070:FJS983070 FTL983070:FTO983070 GDH983070:GDK983070 GND983070:GNG983070 GWZ983070:GXC983070 HGV983070:HGY983070 HQR983070:HQU983070 IAN983070:IAQ983070 IKJ983070:IKM983070 IUF983070:IUI983070 JEB983070:JEE983070 JNX983070:JOA983070 JXT983070:JXW983070 KHP983070:KHS983070 KRL983070:KRO983070 LBH983070:LBK983070 LLD983070:LLG983070 LUZ983070:LVC983070 MEV983070:MEY983070 MOR983070:MOU983070 MYN983070:MYQ983070 NIJ983070:NIM983070 NSF983070:NSI983070 OCB983070:OCE983070 OLX983070:OMA983070 OVT983070:OVW983070 PFP983070:PFS983070 PPL983070:PPO983070 PZH983070:PZK983070 QJD983070:QJG983070 QSZ983070:QTC983070 RCV983070:RCY983070 RMR983070:RMU983070 RWN983070:RWQ983070 SGJ983070:SGM983070 SQF983070:SQI983070 TAB983070:TAE983070 TJX983070:TKA983070 TTT983070:TTW983070 UDP983070:UDS983070 UNL983070:UNO983070 UXH983070:UXK983070 VHD983070:VHG983070 VQZ983070:VRC983070 WAV983070:WAY983070 WKR983070:WKU983070 WUN983070:WUQ983070 IB65566:IE65566 RX65566:SA65566 ABT65566:ABW65566 ALP65566:ALS65566 AVL65566:AVO65566 BFH65566:BFK65566 BPD65566:BPG65566 BYZ65566:BZC65566 CIV65566:CIY65566 CSR65566:CSU65566 DCN65566:DCQ65566 DMJ65566:DMM65566 DWF65566:DWI65566 EGB65566:EGE65566 EPX65566:EQA65566 EZT65566:EZW65566 FJP65566:FJS65566 FTL65566:FTO65566 GDH65566:GDK65566 GND65566:GNG65566 GWZ65566:GXC65566 HGV65566:HGY65566 HQR65566:HQU65566 IAN65566:IAQ65566 IKJ65566:IKM65566 IUF65566:IUI65566 JEB65566:JEE65566 JNX65566:JOA65566 JXT65566:JXW65566 KHP65566:KHS65566 KRL65566:KRO65566 LBH65566:LBK65566 LLD65566:LLG65566 LUZ65566:LVC65566 MEV65566:MEY65566 MOR65566:MOU65566 MYN65566:MYQ65566 NIJ65566:NIM65566 NSF65566:NSI65566 OCB65566:OCE65566 OLX65566:OMA65566 OVT65566:OVW65566 PFP65566:PFS65566 PPL65566:PPO65566 PZH65566:PZK65566 QJD65566:QJG65566 QSZ65566:QTC65566 RCV65566:RCY65566 RMR65566:RMU65566 RWN65566:RWQ65566 SGJ65566:SGM65566 SQF65566:SQI65566 TAB65566:TAE65566 TJX65566:TKA65566 TTT65566:TTW65566 UDP65566:UDS65566 UNL65566:UNO65566 UXH65566:UXK65566 VHD65566:VHG65566 VQZ65566:VRC65566 WAV65566:WAY65566 WKR65566:WKU65566 WUN65566:WUQ65566 IB131102:IE131102 RX131102:SA131102 ABT131102:ABW131102 ALP131102:ALS131102 AVL131102:AVO131102 BFH131102:BFK131102 BPD131102:BPG131102 BYZ131102:BZC131102 CIV131102:CIY131102 CSR131102:CSU131102 DCN131102:DCQ131102 DMJ131102:DMM131102 DWF131102:DWI131102 EGB131102:EGE131102 EPX131102:EQA131102 EZT131102:EZW131102 FJP131102:FJS131102 FTL131102:FTO131102 GDH131102:GDK131102 GND131102:GNG131102 GWZ131102:GXC131102 HGV131102:HGY131102 HQR131102:HQU131102 IAN131102:IAQ131102 IKJ131102:IKM131102 IUF131102:IUI131102 JEB131102:JEE131102 JNX131102:JOA131102 JXT131102:JXW131102 KHP131102:KHS131102 KRL131102:KRO131102 LBH131102:LBK131102 LLD131102:LLG131102 LUZ131102:LVC131102 MEV131102:MEY131102 MOR131102:MOU131102 MYN131102:MYQ131102 NIJ131102:NIM131102 NSF131102:NSI131102 OCB131102:OCE131102 OLX131102:OMA131102 OVT131102:OVW131102 PFP131102:PFS131102 PPL131102:PPO131102 PZH131102:PZK131102 QJD131102:QJG131102 QSZ131102:QTC131102 RCV131102:RCY131102 RMR131102:RMU131102 RWN131102:RWQ131102 SGJ131102:SGM131102 SQF131102:SQI131102 TAB131102:TAE131102 TJX131102:TKA131102 TTT131102:TTW131102 UDP131102:UDS131102 UNL131102:UNO131102 UXH131102:UXK131102 VHD131102:VHG131102 VQZ131102:VRC131102 WAV131102:WAY131102 WKR131102:WKU131102 WUN131102:WUQ131102 IB196638:IE196638 RX196638:SA196638 ABT196638:ABW196638 ALP196638:ALS196638 AVL196638:AVO196638 BFH196638:BFK196638 BPD196638:BPG196638 BYZ196638:BZC196638 CIV196638:CIY196638 CSR196638:CSU196638 DCN196638:DCQ196638 DMJ196638:DMM196638 DWF196638:DWI196638 EGB196638:EGE196638 EPX196638:EQA196638 EZT196638:EZW196638 FJP196638:FJS196638 FTL196638:FTO196638 GDH196638:GDK196638 GND196638:GNG196638 GWZ196638:GXC196638 HGV196638:HGY196638 HQR196638:HQU196638 IAN196638:IAQ196638 IKJ196638:IKM196638 IUF196638:IUI196638 JEB196638:JEE196638 JNX196638:JOA196638 JXT196638:JXW196638 KHP196638:KHS196638 KRL196638:KRO196638 LBH196638:LBK196638 LLD196638:LLG196638 LUZ196638:LVC196638 MEV196638:MEY196638 MOR196638:MOU196638 MYN196638:MYQ196638 NIJ196638:NIM196638 NSF196638:NSI196638 OCB196638:OCE196638 OLX196638:OMA196638 OVT196638:OVW196638 PFP196638:PFS196638 PPL196638:PPO196638 PZH196638:PZK196638 QJD196638:QJG196638 QSZ196638:QTC196638 RCV196638:RCY196638 RMR196638:RMU196638 RWN196638:RWQ196638 SGJ196638:SGM196638 SQF196638:SQI196638 TAB196638:TAE196638 TJX196638:TKA196638 TTT196638:TTW196638 UDP196638:UDS196638 UNL196638:UNO196638 UXH196638:UXK196638 VHD196638:VHG196638 VQZ196638:VRC196638 WAV196638:WAY196638 WKR196638:WKU196638 WUN196638:WUQ196638 IB262174:IE262174 RX262174:SA262174 ABT262174:ABW262174 ALP262174:ALS262174 AVL262174:AVO262174 BFH262174:BFK262174 BPD262174:BPG262174 BYZ262174:BZC262174 CIV262174:CIY262174 CSR262174:CSU262174 DCN262174:DCQ262174 DMJ262174:DMM262174 DWF262174:DWI262174 EGB262174:EGE262174 EPX262174:EQA262174 EZT262174:EZW262174 FJP262174:FJS262174 FTL262174:FTO262174 GDH262174:GDK262174 GND262174:GNG262174 GWZ262174:GXC262174 HGV262174:HGY262174 HQR262174:HQU262174 IAN262174:IAQ262174 IKJ262174:IKM262174 IUF262174:IUI262174 JEB262174:JEE262174 JNX262174:JOA262174 JXT262174:JXW262174 KHP262174:KHS262174 KRL262174:KRO262174 LBH262174:LBK262174 LLD262174:LLG262174 LUZ262174:LVC262174 MEV262174:MEY262174 MOR262174:MOU262174 MYN262174:MYQ262174 NIJ262174:NIM262174 NSF262174:NSI262174 OCB262174:OCE262174 OLX262174:OMA262174 OVT262174:OVW262174 PFP262174:PFS262174 PPL262174:PPO262174 PZH262174:PZK262174 QJD262174:QJG262174 QSZ262174:QTC262174 RCV262174:RCY262174 RMR262174:RMU262174 RWN262174:RWQ262174 SGJ262174:SGM262174 SQF262174:SQI262174 TAB262174:TAE262174 TJX262174:TKA262174 TTT262174:TTW262174 UDP262174:UDS262174 UNL262174:UNO262174 UXH262174:UXK262174 VHD262174:VHG262174 VQZ262174:VRC262174 WAV262174:WAY262174 WKR262174:WKU262174 WUN262174:WUQ262174 IB327710:IE327710 RX327710:SA327710 ABT327710:ABW327710 ALP327710:ALS327710 AVL327710:AVO327710 BFH327710:BFK327710 BPD327710:BPG327710 BYZ327710:BZC327710 CIV327710:CIY327710 CSR327710:CSU327710 DCN327710:DCQ327710 DMJ327710:DMM327710 DWF327710:DWI327710 EGB327710:EGE327710 EPX327710:EQA327710 EZT327710:EZW327710 FJP327710:FJS327710 FTL327710:FTO327710 GDH327710:GDK327710 GND327710:GNG327710 GWZ327710:GXC327710 HGV327710:HGY327710 HQR327710:HQU327710 IAN327710:IAQ327710 IKJ327710:IKM327710 IUF327710:IUI327710 JEB327710:JEE327710 JNX327710:JOA327710 JXT327710:JXW327710 KHP327710:KHS327710 KRL327710:KRO327710 LBH327710:LBK327710 LLD327710:LLG327710 LUZ327710:LVC327710 MEV327710:MEY327710 MOR327710:MOU327710 MYN327710:MYQ327710 NIJ327710:NIM327710 NSF327710:NSI327710 OCB327710:OCE327710 OLX327710:OMA327710 OVT327710:OVW327710 PFP327710:PFS327710 PPL327710:PPO327710 PZH327710:PZK327710 QJD327710:QJG327710 QSZ327710:QTC327710 RCV327710:RCY327710 RMR327710:RMU327710 RWN327710:RWQ327710 SGJ327710:SGM327710 SQF327710:SQI327710 TAB327710:TAE327710 TJX327710:TKA327710 TTT327710:TTW327710 UDP327710:UDS327710 UNL327710:UNO327710 UXH327710:UXK327710 VHD327710:VHG327710 VQZ327710:VRC327710 WAV327710:WAY327710 WKR327710:WKU327710 WUN327710:WUQ327710 IB393246:IE393246 RX393246:SA393246 ABT393246:ABW393246 ALP393246:ALS393246 AVL393246:AVO393246 BFH393246:BFK393246 BPD393246:BPG393246 BYZ393246:BZC393246 CIV393246:CIY393246 CSR393246:CSU393246 DCN393246:DCQ393246 DMJ393246:DMM393246 DWF393246:DWI393246 EGB393246:EGE393246 EPX393246:EQA393246 EZT393246:EZW393246 FJP393246:FJS393246 FTL393246:FTO393246 GDH393246:GDK393246 GND393246:GNG393246 GWZ393246:GXC393246 HGV393246:HGY393246 HQR393246:HQU393246 IAN393246:IAQ393246 IKJ393246:IKM393246 IUF393246:IUI393246 JEB393246:JEE393246 JNX393246:JOA393246 JXT393246:JXW393246 KHP393246:KHS393246 KRL393246:KRO393246 LBH393246:LBK393246 LLD393246:LLG393246 LUZ393246:LVC393246 MEV393246:MEY393246 MOR393246:MOU393246 MYN393246:MYQ393246 NIJ393246:NIM393246 NSF393246:NSI393246 OCB393246:OCE393246 OLX393246:OMA393246 OVT393246:OVW393246 PFP393246:PFS393246 PPL393246:PPO393246 PZH393246:PZK393246 QJD393246:QJG393246 QSZ393246:QTC393246 RCV393246:RCY393246 RMR393246:RMU393246 RWN393246:RWQ393246 SGJ393246:SGM393246 SQF393246:SQI393246 TAB393246:TAE393246 TJX393246:TKA393246 TTT393246:TTW393246 UDP393246:UDS393246 UNL393246:UNO393246 UXH393246:UXK393246 VHD393246:VHG393246 VQZ393246:VRC393246 WAV393246:WAY393246 WKR393246:WKU393246 WUN393246:WUQ393246 IB458782:IE458782 RX458782:SA458782 ABT458782:ABW458782 ALP458782:ALS458782 AVL458782:AVO458782 BFH458782:BFK458782 BPD458782:BPG458782 BYZ458782:BZC458782 CIV458782:CIY458782 CSR458782:CSU458782 DCN458782:DCQ458782 DMJ458782:DMM458782 DWF458782:DWI458782 EGB458782:EGE458782 EPX458782:EQA458782 EZT458782:EZW458782 FJP458782:FJS458782 FTL458782:FTO458782 GDH458782:GDK458782 GND458782:GNG458782 GWZ458782:GXC458782 HGV458782:HGY458782 HQR458782:HQU458782 IAN458782:IAQ458782 IKJ458782:IKM458782 IUF458782:IUI458782 JEB458782:JEE458782 JNX458782:JOA458782 JXT458782:JXW458782 KHP458782:KHS458782 KRL458782:KRO458782 LBH458782:LBK458782 LLD458782:LLG458782 LUZ458782:LVC458782 MEV458782:MEY458782 MOR458782:MOU458782 MYN458782:MYQ458782 NIJ458782:NIM458782 NSF458782:NSI458782 OCB458782:OCE458782 OLX458782:OMA458782 OVT458782:OVW458782 PFP458782:PFS458782 PPL458782:PPO458782 PZH458782:PZK458782 QJD458782:QJG458782 QSZ458782:QTC458782 RCV458782:RCY458782 RMR458782:RMU458782 RWN458782:RWQ458782 SGJ458782:SGM458782 SQF458782:SQI458782 TAB458782:TAE458782 TJX458782:TKA458782 TTT458782:TTW458782 UDP458782:UDS458782 UNL458782:UNO458782 UXH458782:UXK458782 VHD458782:VHG458782 VQZ458782:VRC458782 WAV458782:WAY458782 WKR458782:WKU458782 WUN458782:WUQ458782 IB524318:IE524318 RX524318:SA524318 ABT524318:ABW524318 ALP524318:ALS524318 AVL524318:AVO524318 BFH524318:BFK524318 BPD524318:BPG524318 BYZ524318:BZC524318 CIV524318:CIY524318 CSR524318:CSU524318 DCN524318:DCQ524318 DMJ524318:DMM524318 DWF524318:DWI524318 EGB524318:EGE524318 EPX524318:EQA524318 EZT524318:EZW524318 FJP524318:FJS524318 FTL524318:FTO524318 GDH524318:GDK524318 GND524318:GNG524318 GWZ524318:GXC524318 HGV524318:HGY524318 HQR524318:HQU524318 IAN524318:IAQ524318 IKJ524318:IKM524318 IUF524318:IUI524318 JEB524318:JEE524318 JNX524318:JOA524318 JXT524318:JXW524318 KHP524318:KHS524318 KRL524318:KRO524318 LBH524318:LBK524318 LLD524318:LLG524318 LUZ524318:LVC524318 MEV524318:MEY524318 MOR524318:MOU524318 MYN524318:MYQ524318 NIJ524318:NIM524318 NSF524318:NSI524318 OCB524318:OCE524318 OLX524318:OMA524318 OVT524318:OVW524318 PFP524318:PFS524318 PPL524318:PPO524318 PZH524318:PZK524318 QJD524318:QJG524318 QSZ524318:QTC524318 RCV524318:RCY524318 RMR524318:RMU524318 RWN524318:RWQ524318 SGJ524318:SGM524318 SQF524318:SQI524318 TAB524318:TAE524318 TJX524318:TKA524318 TTT524318:TTW524318 UDP524318:UDS524318 UNL524318:UNO524318 UXH524318:UXK524318 VHD524318:VHG524318 VQZ524318:VRC524318 WAV524318:WAY524318 WKR524318:WKU524318 WUN524318:WUQ524318 IB589854:IE589854 RX589854:SA589854 ABT589854:ABW589854 ALP589854:ALS589854 AVL589854:AVO589854 BFH589854:BFK589854 BPD589854:BPG589854 BYZ589854:BZC589854 CIV589854:CIY589854 CSR589854:CSU589854 DCN589854:DCQ589854 DMJ589854:DMM589854 DWF589854:DWI589854 EGB589854:EGE589854 EPX589854:EQA589854 EZT589854:EZW589854 FJP589854:FJS589854 FTL589854:FTO589854 GDH589854:GDK589854 GND589854:GNG589854 GWZ589854:GXC589854 HGV589854:HGY589854 HQR589854:HQU589854 IAN589854:IAQ589854 IKJ589854:IKM589854 IUF589854:IUI589854 JEB589854:JEE589854 JNX589854:JOA589854 JXT589854:JXW589854 KHP589854:KHS589854 KRL589854:KRO589854 LBH589854:LBK589854 LLD589854:LLG589854 LUZ589854:LVC589854 MEV589854:MEY589854 MOR589854:MOU589854 MYN589854:MYQ589854 NIJ589854:NIM589854 NSF589854:NSI589854 OCB589854:OCE589854 OLX589854:OMA589854 OVT589854:OVW589854 PFP589854:PFS589854 PPL589854:PPO589854 PZH589854:PZK589854 QJD589854:QJG589854 QSZ589854:QTC589854 RCV589854:RCY589854 RMR589854:RMU589854 RWN589854:RWQ589854 SGJ589854:SGM589854 SQF589854:SQI589854 TAB589854:TAE589854 TJX589854:TKA589854 TTT589854:TTW589854 UDP589854:UDS589854 UNL589854:UNO589854 UXH589854:UXK589854 VHD589854:VHG589854 VQZ589854:VRC589854 WAV589854:WAY589854 WKR589854:WKU589854 WUN589854:WUQ589854 IB655390:IE655390 RX655390:SA655390 ABT655390:ABW655390 ALP655390:ALS655390 AVL655390:AVO655390 BFH655390:BFK655390 BPD655390:BPG655390 BYZ655390:BZC655390 CIV655390:CIY655390 CSR655390:CSU655390 DCN655390:DCQ655390 DMJ655390:DMM655390 DWF655390:DWI655390 EGB655390:EGE655390 EPX655390:EQA655390 EZT655390:EZW655390 FJP655390:FJS655390 FTL655390:FTO655390 GDH655390:GDK655390 GND655390:GNG655390 GWZ655390:GXC655390 HGV655390:HGY655390 HQR655390:HQU655390 IAN655390:IAQ655390 IKJ655390:IKM655390 IUF655390:IUI655390 JEB655390:JEE655390 JNX655390:JOA655390 JXT655390:JXW655390 KHP655390:KHS655390 KRL655390:KRO655390 LBH655390:LBK655390 LLD655390:LLG655390 LUZ655390:LVC655390 MEV655390:MEY655390 MOR655390:MOU655390 MYN655390:MYQ655390 NIJ655390:NIM655390 NSF655390:NSI655390 OCB655390:OCE655390 OLX655390:OMA655390 OVT655390:OVW655390 PFP655390:PFS655390 PPL655390:PPO655390 PZH655390:PZK655390 QJD655390:QJG655390 QSZ655390:QTC655390 RCV655390:RCY655390 RMR655390:RMU655390 RWN655390:RWQ655390 SGJ655390:SGM655390 SQF655390:SQI655390 TAB655390:TAE655390 TJX655390:TKA655390 TTT655390:TTW655390 UDP655390:UDS655390 UNL655390:UNO655390 UXH655390:UXK655390 VHD655390:VHG655390 VQZ655390:VRC655390 WAV655390:WAY655390 WKR655390:WKU655390 WUN655390:WUQ655390 IB720926:IE720926 RX720926:SA720926 ABT720926:ABW720926 ALP720926:ALS720926 AVL720926:AVO720926 BFH720926:BFK720926 BPD720926:BPG720926 BYZ720926:BZC720926 CIV720926:CIY720926 CSR720926:CSU720926 DCN720926:DCQ720926 DMJ720926:DMM720926 DWF720926:DWI720926 EGB720926:EGE720926 EPX720926:EQA720926 EZT720926:EZW720926 FJP720926:FJS720926 FTL720926:FTO720926 GDH720926:GDK720926 GND720926:GNG720926 GWZ720926:GXC720926 HGV720926:HGY720926 HQR720926:HQU720926 IAN720926:IAQ720926 IKJ720926:IKM720926 IUF720926:IUI720926 JEB720926:JEE720926 JNX720926:JOA720926 JXT720926:JXW720926 KHP720926:KHS720926 KRL720926:KRO720926 LBH720926:LBK720926 LLD720926:LLG720926 LUZ720926:LVC720926 MEV720926:MEY720926 MOR720926:MOU720926 MYN720926:MYQ720926 NIJ720926:NIM720926 NSF720926:NSI720926 OCB720926:OCE720926 OLX720926:OMA720926 OVT720926:OVW720926 PFP720926:PFS720926 PPL720926:PPO720926 PZH720926:PZK720926 QJD720926:QJG720926 QSZ720926:QTC720926 RCV720926:RCY720926 RMR720926:RMU720926 RWN720926:RWQ720926 SGJ720926:SGM720926 SQF720926:SQI720926 TAB720926:TAE720926 TJX720926:TKA720926 TTT720926:TTW720926 UDP720926:UDS720926 UNL720926:UNO720926 UXH720926:UXK720926 VHD720926:VHG720926 VQZ720926:VRC720926 WAV720926:WAY720926 WKR720926:WKU720926 WUN720926:WUQ720926 IB786462:IE786462 RX786462:SA786462 ABT786462:ABW786462 ALP786462:ALS786462 AVL786462:AVO786462 BFH786462:BFK786462 BPD786462:BPG786462 BYZ786462:BZC786462 CIV786462:CIY786462 CSR786462:CSU786462 DCN786462:DCQ786462 DMJ786462:DMM786462 DWF786462:DWI786462 EGB786462:EGE786462 EPX786462:EQA786462 EZT786462:EZW786462 FJP786462:FJS786462 FTL786462:FTO786462 GDH786462:GDK786462 GND786462:GNG786462 GWZ786462:GXC786462 HGV786462:HGY786462 HQR786462:HQU786462 IAN786462:IAQ786462 IKJ786462:IKM786462 IUF786462:IUI786462 JEB786462:JEE786462 JNX786462:JOA786462 JXT786462:JXW786462 KHP786462:KHS786462 KRL786462:KRO786462 LBH786462:LBK786462 LLD786462:LLG786462 LUZ786462:LVC786462 MEV786462:MEY786462 MOR786462:MOU786462 MYN786462:MYQ786462 NIJ786462:NIM786462 NSF786462:NSI786462 OCB786462:OCE786462 OLX786462:OMA786462 OVT786462:OVW786462 PFP786462:PFS786462 PPL786462:PPO786462 PZH786462:PZK786462 QJD786462:QJG786462 QSZ786462:QTC786462 RCV786462:RCY786462 RMR786462:RMU786462 RWN786462:RWQ786462 SGJ786462:SGM786462 SQF786462:SQI786462 TAB786462:TAE786462 TJX786462:TKA786462 TTT786462:TTW786462 UDP786462:UDS786462 UNL786462:UNO786462 UXH786462:UXK786462 VHD786462:VHG786462 VQZ786462:VRC786462 WAV786462:WAY786462 WKR786462:WKU786462 WUN786462:WUQ786462 IB851998:IE851998 RX851998:SA851998 ABT851998:ABW851998 ALP851998:ALS851998 AVL851998:AVO851998 BFH851998:BFK851998 BPD851998:BPG851998 BYZ851998:BZC851998 CIV851998:CIY851998 CSR851998:CSU851998 DCN851998:DCQ851998 DMJ851998:DMM851998 DWF851998:DWI851998 EGB851998:EGE851998 EPX851998:EQA851998 EZT851998:EZW851998 FJP851998:FJS851998 FTL851998:FTO851998 GDH851998:GDK851998 GND851998:GNG851998 GWZ851998:GXC851998 HGV851998:HGY851998 HQR851998:HQU851998 IAN851998:IAQ851998 IKJ851998:IKM851998 IUF851998:IUI851998 JEB851998:JEE851998 JNX851998:JOA851998 JXT851998:JXW851998 KHP851998:KHS851998 KRL851998:KRO851998 LBH851998:LBK851998 LLD851998:LLG851998 LUZ851998:LVC851998 MEV851998:MEY851998 MOR851998:MOU851998 MYN851998:MYQ851998 NIJ851998:NIM851998 NSF851998:NSI851998 OCB851998:OCE851998 OLX851998:OMA851998 OVT851998:OVW851998 PFP851998:PFS851998 PPL851998:PPO851998 PZH851998:PZK851998 QJD851998:QJG851998 QSZ851998:QTC851998 RCV851998:RCY851998 RMR851998:RMU851998 RWN851998:RWQ851998 SGJ851998:SGM851998 SQF851998:SQI851998 TAB851998:TAE851998 TJX851998:TKA851998 TTT851998:TTW851998 UDP851998:UDS851998 UNL851998:UNO851998 UXH851998:UXK851998 VHD851998:VHG851998 VQZ851998:VRC851998 WAV851998:WAY851998 WKR851998:WKU851998 WUN851998:WUQ851998 IB917534:IE917534 RX917534:SA917534 ABT917534:ABW917534 ALP917534:ALS917534 AVL917534:AVO917534 BFH917534:BFK917534 BPD917534:BPG917534 BYZ917534:BZC917534 CIV917534:CIY917534 CSR917534:CSU917534 DCN917534:DCQ917534 DMJ917534:DMM917534 DWF917534:DWI917534 EGB917534:EGE917534 EPX917534:EQA917534 EZT917534:EZW917534 FJP917534:FJS917534 FTL917534:FTO917534 GDH917534:GDK917534 GND917534:GNG917534 GWZ917534:GXC917534 HGV917534:HGY917534 HQR917534:HQU917534 IAN917534:IAQ917534 IKJ917534:IKM917534 IUF917534:IUI917534 JEB917534:JEE917534 JNX917534:JOA917534 JXT917534:JXW917534 KHP917534:KHS917534 KRL917534:KRO917534 LBH917534:LBK917534 LLD917534:LLG917534 LUZ917534:LVC917534 MEV917534:MEY917534 MOR917534:MOU917534 MYN917534:MYQ917534 NIJ917534:NIM917534 NSF917534:NSI917534 OCB917534:OCE917534 OLX917534:OMA917534 OVT917534:OVW917534 PFP917534:PFS917534 PPL917534:PPO917534 PZH917534:PZK917534 QJD917534:QJG917534 QSZ917534:QTC917534 RCV917534:RCY917534 RMR917534:RMU917534 RWN917534:RWQ917534 SGJ917534:SGM917534 SQF917534:SQI917534 TAB917534:TAE917534 TJX917534:TKA917534 TTT917534:TTW917534 UDP917534:UDS917534 UNL917534:UNO917534 UXH917534:UXK917534 VHD917534:VHG917534 VQZ917534:VRC917534 WAV917534:WAY917534 WKR917534:WKU917534 WUN917534:WUQ917534 Q917534:S917534 Q851998:S851998 Q786462:S786462 Q720926:S720926 Q655390:S655390 Q589854:S589854 Q524318:S524318 Q458782:S458782 Q393246:S393246 Q327710:S327710 Q262174:S262174 Q196638:S196638 Q131102:S131102 Q65566:S65566 Q983070:S983070 AF65567:AI65567 AF131103:AI131103 AF196639:AI196639 AF262175:AI262175 AF327711:AI327711 AF393247:AI393247 AF458783:AI458783 AF524319:AI524319 AF589855:AI589855 AF655391:AI655391 AF720927:AI720927 AF786463:AI786463 AF851999:AI851999 AF917535:AI917535 AF983071:AI983071 AB917534:AD917534 AB851998:AD851998 AB786462:AD786462 AB720926:AD720926 AB655390:AD655390 AB589854:AD589854 AB524318:AD524318 AB458782:AD458782 AB393246:AD393246 AB327710:AD327710 AB262174:AD262174 AB196638:AD196638 AB131102:AD131102 AB65566:AD65566 AB983070:AD983070" xr:uid="{996E16F4-7283-4A3B-82B5-250897E5BBD4}">
      <formula1>"○, ○（オンライン処理設計書なし）"</formula1>
    </dataValidation>
    <dataValidation type="list" allowBlank="1" showInputMessage="1" showErrorMessage="1" sqref="V37:Y40 IH37:IK40 SD37:SG40 ABZ37:ACC40 ALV37:ALY40 AVR37:AVU40 BFN37:BFQ40 BPJ37:BPM40 BZF37:BZI40 CJB37:CJE40 CSX37:CTA40 DCT37:DCW40 DMP37:DMS40 DWL37:DWO40 EGH37:EGK40 EQD37:EQG40 EZZ37:FAC40 FJV37:FJY40 FTR37:FTU40 GDN37:GDQ40 GNJ37:GNM40 GXF37:GXI40 HHB37:HHE40 HQX37:HRA40 IAT37:IAW40 IKP37:IKS40 IUL37:IUO40 JEH37:JEK40 JOD37:JOG40 JXZ37:JYC40 KHV37:KHY40 KRR37:KRU40 LBN37:LBQ40 LLJ37:LLM40 LVF37:LVI40 MFB37:MFE40 MOX37:MPA40 MYT37:MYW40 NIP37:NIS40 NSL37:NSO40 OCH37:OCK40 OMD37:OMG40 OVZ37:OWC40 PFV37:PFY40 PPR37:PPU40 PZN37:PZQ40 QJJ37:QJM40 QTF37:QTI40 RDB37:RDE40 RMX37:RNA40 RWT37:RWW40 SGP37:SGS40 SQL37:SQO40 TAH37:TAK40 TKD37:TKG40 TTZ37:TUC40 UDV37:UDY40 UNR37:UNU40 UXN37:UXQ40 VHJ37:VHM40 VRF37:VRI40 WBB37:WBE40 WKX37:WLA40 WUT37:WUW40 V65573:Y65576 IH65573:IK65576 SD65573:SG65576 ABZ65573:ACC65576 ALV65573:ALY65576 AVR65573:AVU65576 BFN65573:BFQ65576 BPJ65573:BPM65576 BZF65573:BZI65576 CJB65573:CJE65576 CSX65573:CTA65576 DCT65573:DCW65576 DMP65573:DMS65576 DWL65573:DWO65576 EGH65573:EGK65576 EQD65573:EQG65576 EZZ65573:FAC65576 FJV65573:FJY65576 FTR65573:FTU65576 GDN65573:GDQ65576 GNJ65573:GNM65576 GXF65573:GXI65576 HHB65573:HHE65576 HQX65573:HRA65576 IAT65573:IAW65576 IKP65573:IKS65576 IUL65573:IUO65576 JEH65573:JEK65576 JOD65573:JOG65576 JXZ65573:JYC65576 KHV65573:KHY65576 KRR65573:KRU65576 LBN65573:LBQ65576 LLJ65573:LLM65576 LVF65573:LVI65576 MFB65573:MFE65576 MOX65573:MPA65576 MYT65573:MYW65576 NIP65573:NIS65576 NSL65573:NSO65576 OCH65573:OCK65576 OMD65573:OMG65576 OVZ65573:OWC65576 PFV65573:PFY65576 PPR65573:PPU65576 PZN65573:PZQ65576 QJJ65573:QJM65576 QTF65573:QTI65576 RDB65573:RDE65576 RMX65573:RNA65576 RWT65573:RWW65576 SGP65573:SGS65576 SQL65573:SQO65576 TAH65573:TAK65576 TKD65573:TKG65576 TTZ65573:TUC65576 UDV65573:UDY65576 UNR65573:UNU65576 UXN65573:UXQ65576 VHJ65573:VHM65576 VRF65573:VRI65576 WBB65573:WBE65576 WKX65573:WLA65576 WUT65573:WUW65576 V131109:Y131112 IH131109:IK131112 SD131109:SG131112 ABZ131109:ACC131112 ALV131109:ALY131112 AVR131109:AVU131112 BFN131109:BFQ131112 BPJ131109:BPM131112 BZF131109:BZI131112 CJB131109:CJE131112 CSX131109:CTA131112 DCT131109:DCW131112 DMP131109:DMS131112 DWL131109:DWO131112 EGH131109:EGK131112 EQD131109:EQG131112 EZZ131109:FAC131112 FJV131109:FJY131112 FTR131109:FTU131112 GDN131109:GDQ131112 GNJ131109:GNM131112 GXF131109:GXI131112 HHB131109:HHE131112 HQX131109:HRA131112 IAT131109:IAW131112 IKP131109:IKS131112 IUL131109:IUO131112 JEH131109:JEK131112 JOD131109:JOG131112 JXZ131109:JYC131112 KHV131109:KHY131112 KRR131109:KRU131112 LBN131109:LBQ131112 LLJ131109:LLM131112 LVF131109:LVI131112 MFB131109:MFE131112 MOX131109:MPA131112 MYT131109:MYW131112 NIP131109:NIS131112 NSL131109:NSO131112 OCH131109:OCK131112 OMD131109:OMG131112 OVZ131109:OWC131112 PFV131109:PFY131112 PPR131109:PPU131112 PZN131109:PZQ131112 QJJ131109:QJM131112 QTF131109:QTI131112 RDB131109:RDE131112 RMX131109:RNA131112 RWT131109:RWW131112 SGP131109:SGS131112 SQL131109:SQO131112 TAH131109:TAK131112 TKD131109:TKG131112 TTZ131109:TUC131112 UDV131109:UDY131112 UNR131109:UNU131112 UXN131109:UXQ131112 VHJ131109:VHM131112 VRF131109:VRI131112 WBB131109:WBE131112 WKX131109:WLA131112 WUT131109:WUW131112 V196645:Y196648 IH196645:IK196648 SD196645:SG196648 ABZ196645:ACC196648 ALV196645:ALY196648 AVR196645:AVU196648 BFN196645:BFQ196648 BPJ196645:BPM196648 BZF196645:BZI196648 CJB196645:CJE196648 CSX196645:CTA196648 DCT196645:DCW196648 DMP196645:DMS196648 DWL196645:DWO196648 EGH196645:EGK196648 EQD196645:EQG196648 EZZ196645:FAC196648 FJV196645:FJY196648 FTR196645:FTU196648 GDN196645:GDQ196648 GNJ196645:GNM196648 GXF196645:GXI196648 HHB196645:HHE196648 HQX196645:HRA196648 IAT196645:IAW196648 IKP196645:IKS196648 IUL196645:IUO196648 JEH196645:JEK196648 JOD196645:JOG196648 JXZ196645:JYC196648 KHV196645:KHY196648 KRR196645:KRU196648 LBN196645:LBQ196648 LLJ196645:LLM196648 LVF196645:LVI196648 MFB196645:MFE196648 MOX196645:MPA196648 MYT196645:MYW196648 NIP196645:NIS196648 NSL196645:NSO196648 OCH196645:OCK196648 OMD196645:OMG196648 OVZ196645:OWC196648 PFV196645:PFY196648 PPR196645:PPU196648 PZN196645:PZQ196648 QJJ196645:QJM196648 QTF196645:QTI196648 RDB196645:RDE196648 RMX196645:RNA196648 RWT196645:RWW196648 SGP196645:SGS196648 SQL196645:SQO196648 TAH196645:TAK196648 TKD196645:TKG196648 TTZ196645:TUC196648 UDV196645:UDY196648 UNR196645:UNU196648 UXN196645:UXQ196648 VHJ196645:VHM196648 VRF196645:VRI196648 WBB196645:WBE196648 WKX196645:WLA196648 WUT196645:WUW196648 V262181:Y262184 IH262181:IK262184 SD262181:SG262184 ABZ262181:ACC262184 ALV262181:ALY262184 AVR262181:AVU262184 BFN262181:BFQ262184 BPJ262181:BPM262184 BZF262181:BZI262184 CJB262181:CJE262184 CSX262181:CTA262184 DCT262181:DCW262184 DMP262181:DMS262184 DWL262181:DWO262184 EGH262181:EGK262184 EQD262181:EQG262184 EZZ262181:FAC262184 FJV262181:FJY262184 FTR262181:FTU262184 GDN262181:GDQ262184 GNJ262181:GNM262184 GXF262181:GXI262184 HHB262181:HHE262184 HQX262181:HRA262184 IAT262181:IAW262184 IKP262181:IKS262184 IUL262181:IUO262184 JEH262181:JEK262184 JOD262181:JOG262184 JXZ262181:JYC262184 KHV262181:KHY262184 KRR262181:KRU262184 LBN262181:LBQ262184 LLJ262181:LLM262184 LVF262181:LVI262184 MFB262181:MFE262184 MOX262181:MPA262184 MYT262181:MYW262184 NIP262181:NIS262184 NSL262181:NSO262184 OCH262181:OCK262184 OMD262181:OMG262184 OVZ262181:OWC262184 PFV262181:PFY262184 PPR262181:PPU262184 PZN262181:PZQ262184 QJJ262181:QJM262184 QTF262181:QTI262184 RDB262181:RDE262184 RMX262181:RNA262184 RWT262181:RWW262184 SGP262181:SGS262184 SQL262181:SQO262184 TAH262181:TAK262184 TKD262181:TKG262184 TTZ262181:TUC262184 UDV262181:UDY262184 UNR262181:UNU262184 UXN262181:UXQ262184 VHJ262181:VHM262184 VRF262181:VRI262184 WBB262181:WBE262184 WKX262181:WLA262184 WUT262181:WUW262184 V327717:Y327720 IH327717:IK327720 SD327717:SG327720 ABZ327717:ACC327720 ALV327717:ALY327720 AVR327717:AVU327720 BFN327717:BFQ327720 BPJ327717:BPM327720 BZF327717:BZI327720 CJB327717:CJE327720 CSX327717:CTA327720 DCT327717:DCW327720 DMP327717:DMS327720 DWL327717:DWO327720 EGH327717:EGK327720 EQD327717:EQG327720 EZZ327717:FAC327720 FJV327717:FJY327720 FTR327717:FTU327720 GDN327717:GDQ327720 GNJ327717:GNM327720 GXF327717:GXI327720 HHB327717:HHE327720 HQX327717:HRA327720 IAT327717:IAW327720 IKP327717:IKS327720 IUL327717:IUO327720 JEH327717:JEK327720 JOD327717:JOG327720 JXZ327717:JYC327720 KHV327717:KHY327720 KRR327717:KRU327720 LBN327717:LBQ327720 LLJ327717:LLM327720 LVF327717:LVI327720 MFB327717:MFE327720 MOX327717:MPA327720 MYT327717:MYW327720 NIP327717:NIS327720 NSL327717:NSO327720 OCH327717:OCK327720 OMD327717:OMG327720 OVZ327717:OWC327720 PFV327717:PFY327720 PPR327717:PPU327720 PZN327717:PZQ327720 QJJ327717:QJM327720 QTF327717:QTI327720 RDB327717:RDE327720 RMX327717:RNA327720 RWT327717:RWW327720 SGP327717:SGS327720 SQL327717:SQO327720 TAH327717:TAK327720 TKD327717:TKG327720 TTZ327717:TUC327720 UDV327717:UDY327720 UNR327717:UNU327720 UXN327717:UXQ327720 VHJ327717:VHM327720 VRF327717:VRI327720 WBB327717:WBE327720 WKX327717:WLA327720 WUT327717:WUW327720 V393253:Y393256 IH393253:IK393256 SD393253:SG393256 ABZ393253:ACC393256 ALV393253:ALY393256 AVR393253:AVU393256 BFN393253:BFQ393256 BPJ393253:BPM393256 BZF393253:BZI393256 CJB393253:CJE393256 CSX393253:CTA393256 DCT393253:DCW393256 DMP393253:DMS393256 DWL393253:DWO393256 EGH393253:EGK393256 EQD393253:EQG393256 EZZ393253:FAC393256 FJV393253:FJY393256 FTR393253:FTU393256 GDN393253:GDQ393256 GNJ393253:GNM393256 GXF393253:GXI393256 HHB393253:HHE393256 HQX393253:HRA393256 IAT393253:IAW393256 IKP393253:IKS393256 IUL393253:IUO393256 JEH393253:JEK393256 JOD393253:JOG393256 JXZ393253:JYC393256 KHV393253:KHY393256 KRR393253:KRU393256 LBN393253:LBQ393256 LLJ393253:LLM393256 LVF393253:LVI393256 MFB393253:MFE393256 MOX393253:MPA393256 MYT393253:MYW393256 NIP393253:NIS393256 NSL393253:NSO393256 OCH393253:OCK393256 OMD393253:OMG393256 OVZ393253:OWC393256 PFV393253:PFY393256 PPR393253:PPU393256 PZN393253:PZQ393256 QJJ393253:QJM393256 QTF393253:QTI393256 RDB393253:RDE393256 RMX393253:RNA393256 RWT393253:RWW393256 SGP393253:SGS393256 SQL393253:SQO393256 TAH393253:TAK393256 TKD393253:TKG393256 TTZ393253:TUC393256 UDV393253:UDY393256 UNR393253:UNU393256 UXN393253:UXQ393256 VHJ393253:VHM393256 VRF393253:VRI393256 WBB393253:WBE393256 WKX393253:WLA393256 WUT393253:WUW393256 V458789:Y458792 IH458789:IK458792 SD458789:SG458792 ABZ458789:ACC458792 ALV458789:ALY458792 AVR458789:AVU458792 BFN458789:BFQ458792 BPJ458789:BPM458792 BZF458789:BZI458792 CJB458789:CJE458792 CSX458789:CTA458792 DCT458789:DCW458792 DMP458789:DMS458792 DWL458789:DWO458792 EGH458789:EGK458792 EQD458789:EQG458792 EZZ458789:FAC458792 FJV458789:FJY458792 FTR458789:FTU458792 GDN458789:GDQ458792 GNJ458789:GNM458792 GXF458789:GXI458792 HHB458789:HHE458792 HQX458789:HRA458792 IAT458789:IAW458792 IKP458789:IKS458792 IUL458789:IUO458792 JEH458789:JEK458792 JOD458789:JOG458792 JXZ458789:JYC458792 KHV458789:KHY458792 KRR458789:KRU458792 LBN458789:LBQ458792 LLJ458789:LLM458792 LVF458789:LVI458792 MFB458789:MFE458792 MOX458789:MPA458792 MYT458789:MYW458792 NIP458789:NIS458792 NSL458789:NSO458792 OCH458789:OCK458792 OMD458789:OMG458792 OVZ458789:OWC458792 PFV458789:PFY458792 PPR458789:PPU458792 PZN458789:PZQ458792 QJJ458789:QJM458792 QTF458789:QTI458792 RDB458789:RDE458792 RMX458789:RNA458792 RWT458789:RWW458792 SGP458789:SGS458792 SQL458789:SQO458792 TAH458789:TAK458792 TKD458789:TKG458792 TTZ458789:TUC458792 UDV458789:UDY458792 UNR458789:UNU458792 UXN458789:UXQ458792 VHJ458789:VHM458792 VRF458789:VRI458792 WBB458789:WBE458792 WKX458789:WLA458792 WUT458789:WUW458792 V524325:Y524328 IH524325:IK524328 SD524325:SG524328 ABZ524325:ACC524328 ALV524325:ALY524328 AVR524325:AVU524328 BFN524325:BFQ524328 BPJ524325:BPM524328 BZF524325:BZI524328 CJB524325:CJE524328 CSX524325:CTA524328 DCT524325:DCW524328 DMP524325:DMS524328 DWL524325:DWO524328 EGH524325:EGK524328 EQD524325:EQG524328 EZZ524325:FAC524328 FJV524325:FJY524328 FTR524325:FTU524328 GDN524325:GDQ524328 GNJ524325:GNM524328 GXF524325:GXI524328 HHB524325:HHE524328 HQX524325:HRA524328 IAT524325:IAW524328 IKP524325:IKS524328 IUL524325:IUO524328 JEH524325:JEK524328 JOD524325:JOG524328 JXZ524325:JYC524328 KHV524325:KHY524328 KRR524325:KRU524328 LBN524325:LBQ524328 LLJ524325:LLM524328 LVF524325:LVI524328 MFB524325:MFE524328 MOX524325:MPA524328 MYT524325:MYW524328 NIP524325:NIS524328 NSL524325:NSO524328 OCH524325:OCK524328 OMD524325:OMG524328 OVZ524325:OWC524328 PFV524325:PFY524328 PPR524325:PPU524328 PZN524325:PZQ524328 QJJ524325:QJM524328 QTF524325:QTI524328 RDB524325:RDE524328 RMX524325:RNA524328 RWT524325:RWW524328 SGP524325:SGS524328 SQL524325:SQO524328 TAH524325:TAK524328 TKD524325:TKG524328 TTZ524325:TUC524328 UDV524325:UDY524328 UNR524325:UNU524328 UXN524325:UXQ524328 VHJ524325:VHM524328 VRF524325:VRI524328 WBB524325:WBE524328 WKX524325:WLA524328 WUT524325:WUW524328 V589861:Y589864 IH589861:IK589864 SD589861:SG589864 ABZ589861:ACC589864 ALV589861:ALY589864 AVR589861:AVU589864 BFN589861:BFQ589864 BPJ589861:BPM589864 BZF589861:BZI589864 CJB589861:CJE589864 CSX589861:CTA589864 DCT589861:DCW589864 DMP589861:DMS589864 DWL589861:DWO589864 EGH589861:EGK589864 EQD589861:EQG589864 EZZ589861:FAC589864 FJV589861:FJY589864 FTR589861:FTU589864 GDN589861:GDQ589864 GNJ589861:GNM589864 GXF589861:GXI589864 HHB589861:HHE589864 HQX589861:HRA589864 IAT589861:IAW589864 IKP589861:IKS589864 IUL589861:IUO589864 JEH589861:JEK589864 JOD589861:JOG589864 JXZ589861:JYC589864 KHV589861:KHY589864 KRR589861:KRU589864 LBN589861:LBQ589864 LLJ589861:LLM589864 LVF589861:LVI589864 MFB589861:MFE589864 MOX589861:MPA589864 MYT589861:MYW589864 NIP589861:NIS589864 NSL589861:NSO589864 OCH589861:OCK589864 OMD589861:OMG589864 OVZ589861:OWC589864 PFV589861:PFY589864 PPR589861:PPU589864 PZN589861:PZQ589864 QJJ589861:QJM589864 QTF589861:QTI589864 RDB589861:RDE589864 RMX589861:RNA589864 RWT589861:RWW589864 SGP589861:SGS589864 SQL589861:SQO589864 TAH589861:TAK589864 TKD589861:TKG589864 TTZ589861:TUC589864 UDV589861:UDY589864 UNR589861:UNU589864 UXN589861:UXQ589864 VHJ589861:VHM589864 VRF589861:VRI589864 WBB589861:WBE589864 WKX589861:WLA589864 WUT589861:WUW589864 V655397:Y655400 IH655397:IK655400 SD655397:SG655400 ABZ655397:ACC655400 ALV655397:ALY655400 AVR655397:AVU655400 BFN655397:BFQ655400 BPJ655397:BPM655400 BZF655397:BZI655400 CJB655397:CJE655400 CSX655397:CTA655400 DCT655397:DCW655400 DMP655397:DMS655400 DWL655397:DWO655400 EGH655397:EGK655400 EQD655397:EQG655400 EZZ655397:FAC655400 FJV655397:FJY655400 FTR655397:FTU655400 GDN655397:GDQ655400 GNJ655397:GNM655400 GXF655397:GXI655400 HHB655397:HHE655400 HQX655397:HRA655400 IAT655397:IAW655400 IKP655397:IKS655400 IUL655397:IUO655400 JEH655397:JEK655400 JOD655397:JOG655400 JXZ655397:JYC655400 KHV655397:KHY655400 KRR655397:KRU655400 LBN655397:LBQ655400 LLJ655397:LLM655400 LVF655397:LVI655400 MFB655397:MFE655400 MOX655397:MPA655400 MYT655397:MYW655400 NIP655397:NIS655400 NSL655397:NSO655400 OCH655397:OCK655400 OMD655397:OMG655400 OVZ655397:OWC655400 PFV655397:PFY655400 PPR655397:PPU655400 PZN655397:PZQ655400 QJJ655397:QJM655400 QTF655397:QTI655400 RDB655397:RDE655400 RMX655397:RNA655400 RWT655397:RWW655400 SGP655397:SGS655400 SQL655397:SQO655400 TAH655397:TAK655400 TKD655397:TKG655400 TTZ655397:TUC655400 UDV655397:UDY655400 UNR655397:UNU655400 UXN655397:UXQ655400 VHJ655397:VHM655400 VRF655397:VRI655400 WBB655397:WBE655400 WKX655397:WLA655400 WUT655397:WUW655400 V720933:Y720936 IH720933:IK720936 SD720933:SG720936 ABZ720933:ACC720936 ALV720933:ALY720936 AVR720933:AVU720936 BFN720933:BFQ720936 BPJ720933:BPM720936 BZF720933:BZI720936 CJB720933:CJE720936 CSX720933:CTA720936 DCT720933:DCW720936 DMP720933:DMS720936 DWL720933:DWO720936 EGH720933:EGK720936 EQD720933:EQG720936 EZZ720933:FAC720936 FJV720933:FJY720936 FTR720933:FTU720936 GDN720933:GDQ720936 GNJ720933:GNM720936 GXF720933:GXI720936 HHB720933:HHE720936 HQX720933:HRA720936 IAT720933:IAW720936 IKP720933:IKS720936 IUL720933:IUO720936 JEH720933:JEK720936 JOD720933:JOG720936 JXZ720933:JYC720936 KHV720933:KHY720936 KRR720933:KRU720936 LBN720933:LBQ720936 LLJ720933:LLM720936 LVF720933:LVI720936 MFB720933:MFE720936 MOX720933:MPA720936 MYT720933:MYW720936 NIP720933:NIS720936 NSL720933:NSO720936 OCH720933:OCK720936 OMD720933:OMG720936 OVZ720933:OWC720936 PFV720933:PFY720936 PPR720933:PPU720936 PZN720933:PZQ720936 QJJ720933:QJM720936 QTF720933:QTI720936 RDB720933:RDE720936 RMX720933:RNA720936 RWT720933:RWW720936 SGP720933:SGS720936 SQL720933:SQO720936 TAH720933:TAK720936 TKD720933:TKG720936 TTZ720933:TUC720936 UDV720933:UDY720936 UNR720933:UNU720936 UXN720933:UXQ720936 VHJ720933:VHM720936 VRF720933:VRI720936 WBB720933:WBE720936 WKX720933:WLA720936 WUT720933:WUW720936 V786469:Y786472 IH786469:IK786472 SD786469:SG786472 ABZ786469:ACC786472 ALV786469:ALY786472 AVR786469:AVU786472 BFN786469:BFQ786472 BPJ786469:BPM786472 BZF786469:BZI786472 CJB786469:CJE786472 CSX786469:CTA786472 DCT786469:DCW786472 DMP786469:DMS786472 DWL786469:DWO786472 EGH786469:EGK786472 EQD786469:EQG786472 EZZ786469:FAC786472 FJV786469:FJY786472 FTR786469:FTU786472 GDN786469:GDQ786472 GNJ786469:GNM786472 GXF786469:GXI786472 HHB786469:HHE786472 HQX786469:HRA786472 IAT786469:IAW786472 IKP786469:IKS786472 IUL786469:IUO786472 JEH786469:JEK786472 JOD786469:JOG786472 JXZ786469:JYC786472 KHV786469:KHY786472 KRR786469:KRU786472 LBN786469:LBQ786472 LLJ786469:LLM786472 LVF786469:LVI786472 MFB786469:MFE786472 MOX786469:MPA786472 MYT786469:MYW786472 NIP786469:NIS786472 NSL786469:NSO786472 OCH786469:OCK786472 OMD786469:OMG786472 OVZ786469:OWC786472 PFV786469:PFY786472 PPR786469:PPU786472 PZN786469:PZQ786472 QJJ786469:QJM786472 QTF786469:QTI786472 RDB786469:RDE786472 RMX786469:RNA786472 RWT786469:RWW786472 SGP786469:SGS786472 SQL786469:SQO786472 TAH786469:TAK786472 TKD786469:TKG786472 TTZ786469:TUC786472 UDV786469:UDY786472 UNR786469:UNU786472 UXN786469:UXQ786472 VHJ786469:VHM786472 VRF786469:VRI786472 WBB786469:WBE786472 WKX786469:WLA786472 WUT786469:WUW786472 V852005:Y852008 IH852005:IK852008 SD852005:SG852008 ABZ852005:ACC852008 ALV852005:ALY852008 AVR852005:AVU852008 BFN852005:BFQ852008 BPJ852005:BPM852008 BZF852005:BZI852008 CJB852005:CJE852008 CSX852005:CTA852008 DCT852005:DCW852008 DMP852005:DMS852008 DWL852005:DWO852008 EGH852005:EGK852008 EQD852005:EQG852008 EZZ852005:FAC852008 FJV852005:FJY852008 FTR852005:FTU852008 GDN852005:GDQ852008 GNJ852005:GNM852008 GXF852005:GXI852008 HHB852005:HHE852008 HQX852005:HRA852008 IAT852005:IAW852008 IKP852005:IKS852008 IUL852005:IUO852008 JEH852005:JEK852008 JOD852005:JOG852008 JXZ852005:JYC852008 KHV852005:KHY852008 KRR852005:KRU852008 LBN852005:LBQ852008 LLJ852005:LLM852008 LVF852005:LVI852008 MFB852005:MFE852008 MOX852005:MPA852008 MYT852005:MYW852008 NIP852005:NIS852008 NSL852005:NSO852008 OCH852005:OCK852008 OMD852005:OMG852008 OVZ852005:OWC852008 PFV852005:PFY852008 PPR852005:PPU852008 PZN852005:PZQ852008 QJJ852005:QJM852008 QTF852005:QTI852008 RDB852005:RDE852008 RMX852005:RNA852008 RWT852005:RWW852008 SGP852005:SGS852008 SQL852005:SQO852008 TAH852005:TAK852008 TKD852005:TKG852008 TTZ852005:TUC852008 UDV852005:UDY852008 UNR852005:UNU852008 UXN852005:UXQ852008 VHJ852005:VHM852008 VRF852005:VRI852008 WBB852005:WBE852008 WKX852005:WLA852008 WUT852005:WUW852008 V917541:Y917544 IH917541:IK917544 SD917541:SG917544 ABZ917541:ACC917544 ALV917541:ALY917544 AVR917541:AVU917544 BFN917541:BFQ917544 BPJ917541:BPM917544 BZF917541:BZI917544 CJB917541:CJE917544 CSX917541:CTA917544 DCT917541:DCW917544 DMP917541:DMS917544 DWL917541:DWO917544 EGH917541:EGK917544 EQD917541:EQG917544 EZZ917541:FAC917544 FJV917541:FJY917544 FTR917541:FTU917544 GDN917541:GDQ917544 GNJ917541:GNM917544 GXF917541:GXI917544 HHB917541:HHE917544 HQX917541:HRA917544 IAT917541:IAW917544 IKP917541:IKS917544 IUL917541:IUO917544 JEH917541:JEK917544 JOD917541:JOG917544 JXZ917541:JYC917544 KHV917541:KHY917544 KRR917541:KRU917544 LBN917541:LBQ917544 LLJ917541:LLM917544 LVF917541:LVI917544 MFB917541:MFE917544 MOX917541:MPA917544 MYT917541:MYW917544 NIP917541:NIS917544 NSL917541:NSO917544 OCH917541:OCK917544 OMD917541:OMG917544 OVZ917541:OWC917544 PFV917541:PFY917544 PPR917541:PPU917544 PZN917541:PZQ917544 QJJ917541:QJM917544 QTF917541:QTI917544 RDB917541:RDE917544 RMX917541:RNA917544 RWT917541:RWW917544 SGP917541:SGS917544 SQL917541:SQO917544 TAH917541:TAK917544 TKD917541:TKG917544 TTZ917541:TUC917544 UDV917541:UDY917544 UNR917541:UNU917544 UXN917541:UXQ917544 VHJ917541:VHM917544 VRF917541:VRI917544 WBB917541:WBE917544 WKX917541:WLA917544 WUT917541:WUW917544 V983077:Y983080 IH983077:IK983080 SD983077:SG983080 ABZ983077:ACC983080 ALV983077:ALY983080 AVR983077:AVU983080 BFN983077:BFQ983080 BPJ983077:BPM983080 BZF983077:BZI983080 CJB983077:CJE983080 CSX983077:CTA983080 DCT983077:DCW983080 DMP983077:DMS983080 DWL983077:DWO983080 EGH983077:EGK983080 EQD983077:EQG983080 EZZ983077:FAC983080 FJV983077:FJY983080 FTR983077:FTU983080 GDN983077:GDQ983080 GNJ983077:GNM983080 GXF983077:GXI983080 HHB983077:HHE983080 HQX983077:HRA983080 IAT983077:IAW983080 IKP983077:IKS983080 IUL983077:IUO983080 JEH983077:JEK983080 JOD983077:JOG983080 JXZ983077:JYC983080 KHV983077:KHY983080 KRR983077:KRU983080 LBN983077:LBQ983080 LLJ983077:LLM983080 LVF983077:LVI983080 MFB983077:MFE983080 MOX983077:MPA983080 MYT983077:MYW983080 NIP983077:NIS983080 NSL983077:NSO983080 OCH983077:OCK983080 OMD983077:OMG983080 OVZ983077:OWC983080 PFV983077:PFY983080 PPR983077:PPU983080 PZN983077:PZQ983080 QJJ983077:QJM983080 QTF983077:QTI983080 RDB983077:RDE983080 RMX983077:RNA983080 RWT983077:RWW983080 SGP983077:SGS983080 SQL983077:SQO983080 TAH983077:TAK983080 TKD983077:TKG983080 TTZ983077:TUC983080 UDV983077:UDY983080 UNR983077:UNU983080 UXN983077:UXQ983080 VHJ983077:VHM983080 VRF983077:VRI983080 WBB983077:WBE983080 WKX983077:WLA983080 WUT983077:WUW983080 Q65567:T65567 IC65567:IF65567 RY65567:SB65567 ABU65567:ABX65567 ALQ65567:ALT65567 AVM65567:AVP65567 BFI65567:BFL65567 BPE65567:BPH65567 BZA65567:BZD65567 CIW65567:CIZ65567 CSS65567:CSV65567 DCO65567:DCR65567 DMK65567:DMN65567 DWG65567:DWJ65567 EGC65567:EGF65567 EPY65567:EQB65567 EZU65567:EZX65567 FJQ65567:FJT65567 FTM65567:FTP65567 GDI65567:GDL65567 GNE65567:GNH65567 GXA65567:GXD65567 HGW65567:HGZ65567 HQS65567:HQV65567 IAO65567:IAR65567 IKK65567:IKN65567 IUG65567:IUJ65567 JEC65567:JEF65567 JNY65567:JOB65567 JXU65567:JXX65567 KHQ65567:KHT65567 KRM65567:KRP65567 LBI65567:LBL65567 LLE65567:LLH65567 LVA65567:LVD65567 MEW65567:MEZ65567 MOS65567:MOV65567 MYO65567:MYR65567 NIK65567:NIN65567 NSG65567:NSJ65567 OCC65567:OCF65567 OLY65567:OMB65567 OVU65567:OVX65567 PFQ65567:PFT65567 PPM65567:PPP65567 PZI65567:PZL65567 QJE65567:QJH65567 QTA65567:QTD65567 RCW65567:RCZ65567 RMS65567:RMV65567 RWO65567:RWR65567 SGK65567:SGN65567 SQG65567:SQJ65567 TAC65567:TAF65567 TJY65567:TKB65567 TTU65567:TTX65567 UDQ65567:UDT65567 UNM65567:UNP65567 UXI65567:UXL65567 VHE65567:VHH65567 VRA65567:VRD65567 WAW65567:WAZ65567 WKS65567:WKV65567 WUO65567:WUR65567 Q131103:T131103 IC131103:IF131103 RY131103:SB131103 ABU131103:ABX131103 ALQ131103:ALT131103 AVM131103:AVP131103 BFI131103:BFL131103 BPE131103:BPH131103 BZA131103:BZD131103 CIW131103:CIZ131103 CSS131103:CSV131103 DCO131103:DCR131103 DMK131103:DMN131103 DWG131103:DWJ131103 EGC131103:EGF131103 EPY131103:EQB131103 EZU131103:EZX131103 FJQ131103:FJT131103 FTM131103:FTP131103 GDI131103:GDL131103 GNE131103:GNH131103 GXA131103:GXD131103 HGW131103:HGZ131103 HQS131103:HQV131103 IAO131103:IAR131103 IKK131103:IKN131103 IUG131103:IUJ131103 JEC131103:JEF131103 JNY131103:JOB131103 JXU131103:JXX131103 KHQ131103:KHT131103 KRM131103:KRP131103 LBI131103:LBL131103 LLE131103:LLH131103 LVA131103:LVD131103 MEW131103:MEZ131103 MOS131103:MOV131103 MYO131103:MYR131103 NIK131103:NIN131103 NSG131103:NSJ131103 OCC131103:OCF131103 OLY131103:OMB131103 OVU131103:OVX131103 PFQ131103:PFT131103 PPM131103:PPP131103 PZI131103:PZL131103 QJE131103:QJH131103 QTA131103:QTD131103 RCW131103:RCZ131103 RMS131103:RMV131103 RWO131103:RWR131103 SGK131103:SGN131103 SQG131103:SQJ131103 TAC131103:TAF131103 TJY131103:TKB131103 TTU131103:TTX131103 UDQ131103:UDT131103 UNM131103:UNP131103 UXI131103:UXL131103 VHE131103:VHH131103 VRA131103:VRD131103 WAW131103:WAZ131103 WKS131103:WKV131103 WUO131103:WUR131103 Q196639:T196639 IC196639:IF196639 RY196639:SB196639 ABU196639:ABX196639 ALQ196639:ALT196639 AVM196639:AVP196639 BFI196639:BFL196639 BPE196639:BPH196639 BZA196639:BZD196639 CIW196639:CIZ196639 CSS196639:CSV196639 DCO196639:DCR196639 DMK196639:DMN196639 DWG196639:DWJ196639 EGC196639:EGF196639 EPY196639:EQB196639 EZU196639:EZX196639 FJQ196639:FJT196639 FTM196639:FTP196639 GDI196639:GDL196639 GNE196639:GNH196639 GXA196639:GXD196639 HGW196639:HGZ196639 HQS196639:HQV196639 IAO196639:IAR196639 IKK196639:IKN196639 IUG196639:IUJ196639 JEC196639:JEF196639 JNY196639:JOB196639 JXU196639:JXX196639 KHQ196639:KHT196639 KRM196639:KRP196639 LBI196639:LBL196639 LLE196639:LLH196639 LVA196639:LVD196639 MEW196639:MEZ196639 MOS196639:MOV196639 MYO196639:MYR196639 NIK196639:NIN196639 NSG196639:NSJ196639 OCC196639:OCF196639 OLY196639:OMB196639 OVU196639:OVX196639 PFQ196639:PFT196639 PPM196639:PPP196639 PZI196639:PZL196639 QJE196639:QJH196639 QTA196639:QTD196639 RCW196639:RCZ196639 RMS196639:RMV196639 RWO196639:RWR196639 SGK196639:SGN196639 SQG196639:SQJ196639 TAC196639:TAF196639 TJY196639:TKB196639 TTU196639:TTX196639 UDQ196639:UDT196639 UNM196639:UNP196639 UXI196639:UXL196639 VHE196639:VHH196639 VRA196639:VRD196639 WAW196639:WAZ196639 WKS196639:WKV196639 WUO196639:WUR196639 Q262175:T262175 IC262175:IF262175 RY262175:SB262175 ABU262175:ABX262175 ALQ262175:ALT262175 AVM262175:AVP262175 BFI262175:BFL262175 BPE262175:BPH262175 BZA262175:BZD262175 CIW262175:CIZ262175 CSS262175:CSV262175 DCO262175:DCR262175 DMK262175:DMN262175 DWG262175:DWJ262175 EGC262175:EGF262175 EPY262175:EQB262175 EZU262175:EZX262175 FJQ262175:FJT262175 FTM262175:FTP262175 GDI262175:GDL262175 GNE262175:GNH262175 GXA262175:GXD262175 HGW262175:HGZ262175 HQS262175:HQV262175 IAO262175:IAR262175 IKK262175:IKN262175 IUG262175:IUJ262175 JEC262175:JEF262175 JNY262175:JOB262175 JXU262175:JXX262175 KHQ262175:KHT262175 KRM262175:KRP262175 LBI262175:LBL262175 LLE262175:LLH262175 LVA262175:LVD262175 MEW262175:MEZ262175 MOS262175:MOV262175 MYO262175:MYR262175 NIK262175:NIN262175 NSG262175:NSJ262175 OCC262175:OCF262175 OLY262175:OMB262175 OVU262175:OVX262175 PFQ262175:PFT262175 PPM262175:PPP262175 PZI262175:PZL262175 QJE262175:QJH262175 QTA262175:QTD262175 RCW262175:RCZ262175 RMS262175:RMV262175 RWO262175:RWR262175 SGK262175:SGN262175 SQG262175:SQJ262175 TAC262175:TAF262175 TJY262175:TKB262175 TTU262175:TTX262175 UDQ262175:UDT262175 UNM262175:UNP262175 UXI262175:UXL262175 VHE262175:VHH262175 VRA262175:VRD262175 WAW262175:WAZ262175 WKS262175:WKV262175 WUO262175:WUR262175 Q327711:T327711 IC327711:IF327711 RY327711:SB327711 ABU327711:ABX327711 ALQ327711:ALT327711 AVM327711:AVP327711 BFI327711:BFL327711 BPE327711:BPH327711 BZA327711:BZD327711 CIW327711:CIZ327711 CSS327711:CSV327711 DCO327711:DCR327711 DMK327711:DMN327711 DWG327711:DWJ327711 EGC327711:EGF327711 EPY327711:EQB327711 EZU327711:EZX327711 FJQ327711:FJT327711 FTM327711:FTP327711 GDI327711:GDL327711 GNE327711:GNH327711 GXA327711:GXD327711 HGW327711:HGZ327711 HQS327711:HQV327711 IAO327711:IAR327711 IKK327711:IKN327711 IUG327711:IUJ327711 JEC327711:JEF327711 JNY327711:JOB327711 JXU327711:JXX327711 KHQ327711:KHT327711 KRM327711:KRP327711 LBI327711:LBL327711 LLE327711:LLH327711 LVA327711:LVD327711 MEW327711:MEZ327711 MOS327711:MOV327711 MYO327711:MYR327711 NIK327711:NIN327711 NSG327711:NSJ327711 OCC327711:OCF327711 OLY327711:OMB327711 OVU327711:OVX327711 PFQ327711:PFT327711 PPM327711:PPP327711 PZI327711:PZL327711 QJE327711:QJH327711 QTA327711:QTD327711 RCW327711:RCZ327711 RMS327711:RMV327711 RWO327711:RWR327711 SGK327711:SGN327711 SQG327711:SQJ327711 TAC327711:TAF327711 TJY327711:TKB327711 TTU327711:TTX327711 UDQ327711:UDT327711 UNM327711:UNP327711 UXI327711:UXL327711 VHE327711:VHH327711 VRA327711:VRD327711 WAW327711:WAZ327711 WKS327711:WKV327711 WUO327711:WUR327711 Q393247:T393247 IC393247:IF393247 RY393247:SB393247 ABU393247:ABX393247 ALQ393247:ALT393247 AVM393247:AVP393247 BFI393247:BFL393247 BPE393247:BPH393247 BZA393247:BZD393247 CIW393247:CIZ393247 CSS393247:CSV393247 DCO393247:DCR393247 DMK393247:DMN393247 DWG393247:DWJ393247 EGC393247:EGF393247 EPY393247:EQB393247 EZU393247:EZX393247 FJQ393247:FJT393247 FTM393247:FTP393247 GDI393247:GDL393247 GNE393247:GNH393247 GXA393247:GXD393247 HGW393247:HGZ393247 HQS393247:HQV393247 IAO393247:IAR393247 IKK393247:IKN393247 IUG393247:IUJ393247 JEC393247:JEF393247 JNY393247:JOB393247 JXU393247:JXX393247 KHQ393247:KHT393247 KRM393247:KRP393247 LBI393247:LBL393247 LLE393247:LLH393247 LVA393247:LVD393247 MEW393247:MEZ393247 MOS393247:MOV393247 MYO393247:MYR393247 NIK393247:NIN393247 NSG393247:NSJ393247 OCC393247:OCF393247 OLY393247:OMB393247 OVU393247:OVX393247 PFQ393247:PFT393247 PPM393247:PPP393247 PZI393247:PZL393247 QJE393247:QJH393247 QTA393247:QTD393247 RCW393247:RCZ393247 RMS393247:RMV393247 RWO393247:RWR393247 SGK393247:SGN393247 SQG393247:SQJ393247 TAC393247:TAF393247 TJY393247:TKB393247 TTU393247:TTX393247 UDQ393247:UDT393247 UNM393247:UNP393247 UXI393247:UXL393247 VHE393247:VHH393247 VRA393247:VRD393247 WAW393247:WAZ393247 WKS393247:WKV393247 WUO393247:WUR393247 Q458783:T458783 IC458783:IF458783 RY458783:SB458783 ABU458783:ABX458783 ALQ458783:ALT458783 AVM458783:AVP458783 BFI458783:BFL458783 BPE458783:BPH458783 BZA458783:BZD458783 CIW458783:CIZ458783 CSS458783:CSV458783 DCO458783:DCR458783 DMK458783:DMN458783 DWG458783:DWJ458783 EGC458783:EGF458783 EPY458783:EQB458783 EZU458783:EZX458783 FJQ458783:FJT458783 FTM458783:FTP458783 GDI458783:GDL458783 GNE458783:GNH458783 GXA458783:GXD458783 HGW458783:HGZ458783 HQS458783:HQV458783 IAO458783:IAR458783 IKK458783:IKN458783 IUG458783:IUJ458783 JEC458783:JEF458783 JNY458783:JOB458783 JXU458783:JXX458783 KHQ458783:KHT458783 KRM458783:KRP458783 LBI458783:LBL458783 LLE458783:LLH458783 LVA458783:LVD458783 MEW458783:MEZ458783 MOS458783:MOV458783 MYO458783:MYR458783 NIK458783:NIN458783 NSG458783:NSJ458783 OCC458783:OCF458783 OLY458783:OMB458783 OVU458783:OVX458783 PFQ458783:PFT458783 PPM458783:PPP458783 PZI458783:PZL458783 QJE458783:QJH458783 QTA458783:QTD458783 RCW458783:RCZ458783 RMS458783:RMV458783 RWO458783:RWR458783 SGK458783:SGN458783 SQG458783:SQJ458783 TAC458783:TAF458783 TJY458783:TKB458783 TTU458783:TTX458783 UDQ458783:UDT458783 UNM458783:UNP458783 UXI458783:UXL458783 VHE458783:VHH458783 VRA458783:VRD458783 WAW458783:WAZ458783 WKS458783:WKV458783 WUO458783:WUR458783 Q524319:T524319 IC524319:IF524319 RY524319:SB524319 ABU524319:ABX524319 ALQ524319:ALT524319 AVM524319:AVP524319 BFI524319:BFL524319 BPE524319:BPH524319 BZA524319:BZD524319 CIW524319:CIZ524319 CSS524319:CSV524319 DCO524319:DCR524319 DMK524319:DMN524319 DWG524319:DWJ524319 EGC524319:EGF524319 EPY524319:EQB524319 EZU524319:EZX524319 FJQ524319:FJT524319 FTM524319:FTP524319 GDI524319:GDL524319 GNE524319:GNH524319 GXA524319:GXD524319 HGW524319:HGZ524319 HQS524319:HQV524319 IAO524319:IAR524319 IKK524319:IKN524319 IUG524319:IUJ524319 JEC524319:JEF524319 JNY524319:JOB524319 JXU524319:JXX524319 KHQ524319:KHT524319 KRM524319:KRP524319 LBI524319:LBL524319 LLE524319:LLH524319 LVA524319:LVD524319 MEW524319:MEZ524319 MOS524319:MOV524319 MYO524319:MYR524319 NIK524319:NIN524319 NSG524319:NSJ524319 OCC524319:OCF524319 OLY524319:OMB524319 OVU524319:OVX524319 PFQ524319:PFT524319 PPM524319:PPP524319 PZI524319:PZL524319 QJE524319:QJH524319 QTA524319:QTD524319 RCW524319:RCZ524319 RMS524319:RMV524319 RWO524319:RWR524319 SGK524319:SGN524319 SQG524319:SQJ524319 TAC524319:TAF524319 TJY524319:TKB524319 TTU524319:TTX524319 UDQ524319:UDT524319 UNM524319:UNP524319 UXI524319:UXL524319 VHE524319:VHH524319 VRA524319:VRD524319 WAW524319:WAZ524319 WKS524319:WKV524319 WUO524319:WUR524319 Q589855:T589855 IC589855:IF589855 RY589855:SB589855 ABU589855:ABX589855 ALQ589855:ALT589855 AVM589855:AVP589855 BFI589855:BFL589855 BPE589855:BPH589855 BZA589855:BZD589855 CIW589855:CIZ589855 CSS589855:CSV589855 DCO589855:DCR589855 DMK589855:DMN589855 DWG589855:DWJ589855 EGC589855:EGF589855 EPY589855:EQB589855 EZU589855:EZX589855 FJQ589855:FJT589855 FTM589855:FTP589855 GDI589855:GDL589855 GNE589855:GNH589855 GXA589855:GXD589855 HGW589855:HGZ589855 HQS589855:HQV589855 IAO589855:IAR589855 IKK589855:IKN589855 IUG589855:IUJ589855 JEC589855:JEF589855 JNY589855:JOB589855 JXU589855:JXX589855 KHQ589855:KHT589855 KRM589855:KRP589855 LBI589855:LBL589855 LLE589855:LLH589855 LVA589855:LVD589855 MEW589855:MEZ589855 MOS589855:MOV589855 MYO589855:MYR589855 NIK589855:NIN589855 NSG589855:NSJ589855 OCC589855:OCF589855 OLY589855:OMB589855 OVU589855:OVX589855 PFQ589855:PFT589855 PPM589855:PPP589855 PZI589855:PZL589855 QJE589855:QJH589855 QTA589855:QTD589855 RCW589855:RCZ589855 RMS589855:RMV589855 RWO589855:RWR589855 SGK589855:SGN589855 SQG589855:SQJ589855 TAC589855:TAF589855 TJY589855:TKB589855 TTU589855:TTX589855 UDQ589855:UDT589855 UNM589855:UNP589855 UXI589855:UXL589855 VHE589855:VHH589855 VRA589855:VRD589855 WAW589855:WAZ589855 WKS589855:WKV589855 WUO589855:WUR589855 Q655391:T655391 IC655391:IF655391 RY655391:SB655391 ABU655391:ABX655391 ALQ655391:ALT655391 AVM655391:AVP655391 BFI655391:BFL655391 BPE655391:BPH655391 BZA655391:BZD655391 CIW655391:CIZ655391 CSS655391:CSV655391 DCO655391:DCR655391 DMK655391:DMN655391 DWG655391:DWJ655391 EGC655391:EGF655391 EPY655391:EQB655391 EZU655391:EZX655391 FJQ655391:FJT655391 FTM655391:FTP655391 GDI655391:GDL655391 GNE655391:GNH655391 GXA655391:GXD655391 HGW655391:HGZ655391 HQS655391:HQV655391 IAO655391:IAR655391 IKK655391:IKN655391 IUG655391:IUJ655391 JEC655391:JEF655391 JNY655391:JOB655391 JXU655391:JXX655391 KHQ655391:KHT655391 KRM655391:KRP655391 LBI655391:LBL655391 LLE655391:LLH655391 LVA655391:LVD655391 MEW655391:MEZ655391 MOS655391:MOV655391 MYO655391:MYR655391 NIK655391:NIN655391 NSG655391:NSJ655391 OCC655391:OCF655391 OLY655391:OMB655391 OVU655391:OVX655391 PFQ655391:PFT655391 PPM655391:PPP655391 PZI655391:PZL655391 QJE655391:QJH655391 QTA655391:QTD655391 RCW655391:RCZ655391 RMS655391:RMV655391 RWO655391:RWR655391 SGK655391:SGN655391 SQG655391:SQJ655391 TAC655391:TAF655391 TJY655391:TKB655391 TTU655391:TTX655391 UDQ655391:UDT655391 UNM655391:UNP655391 UXI655391:UXL655391 VHE655391:VHH655391 VRA655391:VRD655391 WAW655391:WAZ655391 WKS655391:WKV655391 WUO655391:WUR655391 Q720927:T720927 IC720927:IF720927 RY720927:SB720927 ABU720927:ABX720927 ALQ720927:ALT720927 AVM720927:AVP720927 BFI720927:BFL720927 BPE720927:BPH720927 BZA720927:BZD720927 CIW720927:CIZ720927 CSS720927:CSV720927 DCO720927:DCR720927 DMK720927:DMN720927 DWG720927:DWJ720927 EGC720927:EGF720927 EPY720927:EQB720927 EZU720927:EZX720927 FJQ720927:FJT720927 FTM720927:FTP720927 GDI720927:GDL720927 GNE720927:GNH720927 GXA720927:GXD720927 HGW720927:HGZ720927 HQS720927:HQV720927 IAO720927:IAR720927 IKK720927:IKN720927 IUG720927:IUJ720927 JEC720927:JEF720927 JNY720927:JOB720927 JXU720927:JXX720927 KHQ720927:KHT720927 KRM720927:KRP720927 LBI720927:LBL720927 LLE720927:LLH720927 LVA720927:LVD720927 MEW720927:MEZ720927 MOS720927:MOV720927 MYO720927:MYR720927 NIK720927:NIN720927 NSG720927:NSJ720927 OCC720927:OCF720927 OLY720927:OMB720927 OVU720927:OVX720927 PFQ720927:PFT720927 PPM720927:PPP720927 PZI720927:PZL720927 QJE720927:QJH720927 QTA720927:QTD720927 RCW720927:RCZ720927 RMS720927:RMV720927 RWO720927:RWR720927 SGK720927:SGN720927 SQG720927:SQJ720927 TAC720927:TAF720927 TJY720927:TKB720927 TTU720927:TTX720927 UDQ720927:UDT720927 UNM720927:UNP720927 UXI720927:UXL720927 VHE720927:VHH720927 VRA720927:VRD720927 WAW720927:WAZ720927 WKS720927:WKV720927 WUO720927:WUR720927 Q786463:T786463 IC786463:IF786463 RY786463:SB786463 ABU786463:ABX786463 ALQ786463:ALT786463 AVM786463:AVP786463 BFI786463:BFL786463 BPE786463:BPH786463 BZA786463:BZD786463 CIW786463:CIZ786463 CSS786463:CSV786463 DCO786463:DCR786463 DMK786463:DMN786463 DWG786463:DWJ786463 EGC786463:EGF786463 EPY786463:EQB786463 EZU786463:EZX786463 FJQ786463:FJT786463 FTM786463:FTP786463 GDI786463:GDL786463 GNE786463:GNH786463 GXA786463:GXD786463 HGW786463:HGZ786463 HQS786463:HQV786463 IAO786463:IAR786463 IKK786463:IKN786463 IUG786463:IUJ786463 JEC786463:JEF786463 JNY786463:JOB786463 JXU786463:JXX786463 KHQ786463:KHT786463 KRM786463:KRP786463 LBI786463:LBL786463 LLE786463:LLH786463 LVA786463:LVD786463 MEW786463:MEZ786463 MOS786463:MOV786463 MYO786463:MYR786463 NIK786463:NIN786463 NSG786463:NSJ786463 OCC786463:OCF786463 OLY786463:OMB786463 OVU786463:OVX786463 PFQ786463:PFT786463 PPM786463:PPP786463 PZI786463:PZL786463 QJE786463:QJH786463 QTA786463:QTD786463 RCW786463:RCZ786463 RMS786463:RMV786463 RWO786463:RWR786463 SGK786463:SGN786463 SQG786463:SQJ786463 TAC786463:TAF786463 TJY786463:TKB786463 TTU786463:TTX786463 UDQ786463:UDT786463 UNM786463:UNP786463 UXI786463:UXL786463 VHE786463:VHH786463 VRA786463:VRD786463 WAW786463:WAZ786463 WKS786463:WKV786463 WUO786463:WUR786463 Q851999:T851999 IC851999:IF851999 RY851999:SB851999 ABU851999:ABX851999 ALQ851999:ALT851999 AVM851999:AVP851999 BFI851999:BFL851999 BPE851999:BPH851999 BZA851999:BZD851999 CIW851999:CIZ851999 CSS851999:CSV851999 DCO851999:DCR851999 DMK851999:DMN851999 DWG851999:DWJ851999 EGC851999:EGF851999 EPY851999:EQB851999 EZU851999:EZX851999 FJQ851999:FJT851999 FTM851999:FTP851999 GDI851999:GDL851999 GNE851999:GNH851999 GXA851999:GXD851999 HGW851999:HGZ851999 HQS851999:HQV851999 IAO851999:IAR851999 IKK851999:IKN851999 IUG851999:IUJ851999 JEC851999:JEF851999 JNY851999:JOB851999 JXU851999:JXX851999 KHQ851999:KHT851999 KRM851999:KRP851999 LBI851999:LBL851999 LLE851999:LLH851999 LVA851999:LVD851999 MEW851999:MEZ851999 MOS851999:MOV851999 MYO851999:MYR851999 NIK851999:NIN851999 NSG851999:NSJ851999 OCC851999:OCF851999 OLY851999:OMB851999 OVU851999:OVX851999 PFQ851999:PFT851999 PPM851999:PPP851999 PZI851999:PZL851999 QJE851999:QJH851999 QTA851999:QTD851999 RCW851999:RCZ851999 RMS851999:RMV851999 RWO851999:RWR851999 SGK851999:SGN851999 SQG851999:SQJ851999 TAC851999:TAF851999 TJY851999:TKB851999 TTU851999:TTX851999 UDQ851999:UDT851999 UNM851999:UNP851999 UXI851999:UXL851999 VHE851999:VHH851999 VRA851999:VRD851999 WAW851999:WAZ851999 WKS851999:WKV851999 WUO851999:WUR851999 Q917535:T917535 IC917535:IF917535 RY917535:SB917535 ABU917535:ABX917535 ALQ917535:ALT917535 AVM917535:AVP917535 BFI917535:BFL917535 BPE917535:BPH917535 BZA917535:BZD917535 CIW917535:CIZ917535 CSS917535:CSV917535 DCO917535:DCR917535 DMK917535:DMN917535 DWG917535:DWJ917535 EGC917535:EGF917535 EPY917535:EQB917535 EZU917535:EZX917535 FJQ917535:FJT917535 FTM917535:FTP917535 GDI917535:GDL917535 GNE917535:GNH917535 GXA917535:GXD917535 HGW917535:HGZ917535 HQS917535:HQV917535 IAO917535:IAR917535 IKK917535:IKN917535 IUG917535:IUJ917535 JEC917535:JEF917535 JNY917535:JOB917535 JXU917535:JXX917535 KHQ917535:KHT917535 KRM917535:KRP917535 LBI917535:LBL917535 LLE917535:LLH917535 LVA917535:LVD917535 MEW917535:MEZ917535 MOS917535:MOV917535 MYO917535:MYR917535 NIK917535:NIN917535 NSG917535:NSJ917535 OCC917535:OCF917535 OLY917535:OMB917535 OVU917535:OVX917535 PFQ917535:PFT917535 PPM917535:PPP917535 PZI917535:PZL917535 QJE917535:QJH917535 QTA917535:QTD917535 RCW917535:RCZ917535 RMS917535:RMV917535 RWO917535:RWR917535 SGK917535:SGN917535 SQG917535:SQJ917535 TAC917535:TAF917535 TJY917535:TKB917535 TTU917535:TTX917535 UDQ917535:UDT917535 UNM917535:UNP917535 UXI917535:UXL917535 VHE917535:VHH917535 VRA917535:VRD917535 WAW917535:WAZ917535 WKS917535:WKV917535 WUO917535:WUR917535 Q983071:T983071 IC983071:IF983071 RY983071:SB983071 ABU983071:ABX983071 ALQ983071:ALT983071 AVM983071:AVP983071 BFI983071:BFL983071 BPE983071:BPH983071 BZA983071:BZD983071 CIW983071:CIZ983071 CSS983071:CSV983071 DCO983071:DCR983071 DMK983071:DMN983071 DWG983071:DWJ983071 EGC983071:EGF983071 EPY983071:EQB983071 EZU983071:EZX983071 FJQ983071:FJT983071 FTM983071:FTP983071 GDI983071:GDL983071 GNE983071:GNH983071 GXA983071:GXD983071 HGW983071:HGZ983071 HQS983071:HQV983071 IAO983071:IAR983071 IKK983071:IKN983071 IUG983071:IUJ983071 JEC983071:JEF983071 JNY983071:JOB983071 JXU983071:JXX983071 KHQ983071:KHT983071 KRM983071:KRP983071 LBI983071:LBL983071 LLE983071:LLH983071 LVA983071:LVD983071 MEW983071:MEZ983071 MOS983071:MOV983071 MYO983071:MYR983071 NIK983071:NIN983071 NSG983071:NSJ983071 OCC983071:OCF983071 OLY983071:OMB983071 OVU983071:OVX983071 PFQ983071:PFT983071 PPM983071:PPP983071 PZI983071:PZL983071 QJE983071:QJH983071 QTA983071:QTD983071 RCW983071:RCZ983071 RMS983071:RMV983071 RWO983071:RWR983071 SGK983071:SGN983071 SQG983071:SQJ983071 TAC983071:TAF983071 TJY983071:TKB983071 TTU983071:TTX983071 UDQ983071:UDT983071 UNM983071:UNP983071 UXI983071:UXL983071 VHE983071:VHH983071 VRA983071:VRD983071 WAW983071:WAZ983071 WKS983071:WKV983071 WUO983071:WUR983071 HX983070:IA983070 RT983070:RW983070 ABP983070:ABS983070 ALL983070:ALO983070 AVH983070:AVK983070 BFD983070:BFG983070 BOZ983070:BPC983070 BYV983070:BYY983070 CIR983070:CIU983070 CSN983070:CSQ983070 DCJ983070:DCM983070 DMF983070:DMI983070 DWB983070:DWE983070 EFX983070:EGA983070 EPT983070:EPW983070 EZP983070:EZS983070 FJL983070:FJO983070 FTH983070:FTK983070 GDD983070:GDG983070 GMZ983070:GNC983070 GWV983070:GWY983070 HGR983070:HGU983070 HQN983070:HQQ983070 IAJ983070:IAM983070 IKF983070:IKI983070 IUB983070:IUE983070 JDX983070:JEA983070 JNT983070:JNW983070 JXP983070:JXS983070 KHL983070:KHO983070 KRH983070:KRK983070 LBD983070:LBG983070 LKZ983070:LLC983070 LUV983070:LUY983070 MER983070:MEU983070 MON983070:MOQ983070 MYJ983070:MYM983070 NIF983070:NII983070 NSB983070:NSE983070 OBX983070:OCA983070 OLT983070:OLW983070 OVP983070:OVS983070 PFL983070:PFO983070 PPH983070:PPK983070 PZD983070:PZG983070 QIZ983070:QJC983070 QSV983070:QSY983070 RCR983070:RCU983070 RMN983070:RMQ983070 RWJ983070:RWM983070 SGF983070:SGI983070 SQB983070:SQE983070 SZX983070:TAA983070 TJT983070:TJW983070 TTP983070:TTS983070 UDL983070:UDO983070 UNH983070:UNK983070 UXD983070:UXG983070 VGZ983070:VHC983070 VQV983070:VQY983070 WAR983070:WAU983070 WKN983070:WKQ983070 WUJ983070:WUM983070 HX65566:IA65566 RT65566:RW65566 ABP65566:ABS65566 ALL65566:ALO65566 AVH65566:AVK65566 BFD65566:BFG65566 BOZ65566:BPC65566 BYV65566:BYY65566 CIR65566:CIU65566 CSN65566:CSQ65566 DCJ65566:DCM65566 DMF65566:DMI65566 DWB65566:DWE65566 EFX65566:EGA65566 EPT65566:EPW65566 EZP65566:EZS65566 FJL65566:FJO65566 FTH65566:FTK65566 GDD65566:GDG65566 GMZ65566:GNC65566 GWV65566:GWY65566 HGR65566:HGU65566 HQN65566:HQQ65566 IAJ65566:IAM65566 IKF65566:IKI65566 IUB65566:IUE65566 JDX65566:JEA65566 JNT65566:JNW65566 JXP65566:JXS65566 KHL65566:KHO65566 KRH65566:KRK65566 LBD65566:LBG65566 LKZ65566:LLC65566 LUV65566:LUY65566 MER65566:MEU65566 MON65566:MOQ65566 MYJ65566:MYM65566 NIF65566:NII65566 NSB65566:NSE65566 OBX65566:OCA65566 OLT65566:OLW65566 OVP65566:OVS65566 PFL65566:PFO65566 PPH65566:PPK65566 PZD65566:PZG65566 QIZ65566:QJC65566 QSV65566:QSY65566 RCR65566:RCU65566 RMN65566:RMQ65566 RWJ65566:RWM65566 SGF65566:SGI65566 SQB65566:SQE65566 SZX65566:TAA65566 TJT65566:TJW65566 TTP65566:TTS65566 UDL65566:UDO65566 UNH65566:UNK65566 UXD65566:UXG65566 VGZ65566:VHC65566 VQV65566:VQY65566 WAR65566:WAU65566 WKN65566:WKQ65566 WUJ65566:WUM65566 HX131102:IA131102 RT131102:RW131102 ABP131102:ABS131102 ALL131102:ALO131102 AVH131102:AVK131102 BFD131102:BFG131102 BOZ131102:BPC131102 BYV131102:BYY131102 CIR131102:CIU131102 CSN131102:CSQ131102 DCJ131102:DCM131102 DMF131102:DMI131102 DWB131102:DWE131102 EFX131102:EGA131102 EPT131102:EPW131102 EZP131102:EZS131102 FJL131102:FJO131102 FTH131102:FTK131102 GDD131102:GDG131102 GMZ131102:GNC131102 GWV131102:GWY131102 HGR131102:HGU131102 HQN131102:HQQ131102 IAJ131102:IAM131102 IKF131102:IKI131102 IUB131102:IUE131102 JDX131102:JEA131102 JNT131102:JNW131102 JXP131102:JXS131102 KHL131102:KHO131102 KRH131102:KRK131102 LBD131102:LBG131102 LKZ131102:LLC131102 LUV131102:LUY131102 MER131102:MEU131102 MON131102:MOQ131102 MYJ131102:MYM131102 NIF131102:NII131102 NSB131102:NSE131102 OBX131102:OCA131102 OLT131102:OLW131102 OVP131102:OVS131102 PFL131102:PFO131102 PPH131102:PPK131102 PZD131102:PZG131102 QIZ131102:QJC131102 QSV131102:QSY131102 RCR131102:RCU131102 RMN131102:RMQ131102 RWJ131102:RWM131102 SGF131102:SGI131102 SQB131102:SQE131102 SZX131102:TAA131102 TJT131102:TJW131102 TTP131102:TTS131102 UDL131102:UDO131102 UNH131102:UNK131102 UXD131102:UXG131102 VGZ131102:VHC131102 VQV131102:VQY131102 WAR131102:WAU131102 WKN131102:WKQ131102 WUJ131102:WUM131102 HX196638:IA196638 RT196638:RW196638 ABP196638:ABS196638 ALL196638:ALO196638 AVH196638:AVK196638 BFD196638:BFG196638 BOZ196638:BPC196638 BYV196638:BYY196638 CIR196638:CIU196638 CSN196638:CSQ196638 DCJ196638:DCM196638 DMF196638:DMI196638 DWB196638:DWE196638 EFX196638:EGA196638 EPT196638:EPW196638 EZP196638:EZS196638 FJL196638:FJO196638 FTH196638:FTK196638 GDD196638:GDG196638 GMZ196638:GNC196638 GWV196638:GWY196638 HGR196638:HGU196638 HQN196638:HQQ196638 IAJ196638:IAM196638 IKF196638:IKI196638 IUB196638:IUE196638 JDX196638:JEA196638 JNT196638:JNW196638 JXP196638:JXS196638 KHL196638:KHO196638 KRH196638:KRK196638 LBD196638:LBG196638 LKZ196638:LLC196638 LUV196638:LUY196638 MER196638:MEU196638 MON196638:MOQ196638 MYJ196638:MYM196638 NIF196638:NII196638 NSB196638:NSE196638 OBX196638:OCA196638 OLT196638:OLW196638 OVP196638:OVS196638 PFL196638:PFO196638 PPH196638:PPK196638 PZD196638:PZG196638 QIZ196638:QJC196638 QSV196638:QSY196638 RCR196638:RCU196638 RMN196638:RMQ196638 RWJ196638:RWM196638 SGF196638:SGI196638 SQB196638:SQE196638 SZX196638:TAA196638 TJT196638:TJW196638 TTP196638:TTS196638 UDL196638:UDO196638 UNH196638:UNK196638 UXD196638:UXG196638 VGZ196638:VHC196638 VQV196638:VQY196638 WAR196638:WAU196638 WKN196638:WKQ196638 WUJ196638:WUM196638 HX262174:IA262174 RT262174:RW262174 ABP262174:ABS262174 ALL262174:ALO262174 AVH262174:AVK262174 BFD262174:BFG262174 BOZ262174:BPC262174 BYV262174:BYY262174 CIR262174:CIU262174 CSN262174:CSQ262174 DCJ262174:DCM262174 DMF262174:DMI262174 DWB262174:DWE262174 EFX262174:EGA262174 EPT262174:EPW262174 EZP262174:EZS262174 FJL262174:FJO262174 FTH262174:FTK262174 GDD262174:GDG262174 GMZ262174:GNC262174 GWV262174:GWY262174 HGR262174:HGU262174 HQN262174:HQQ262174 IAJ262174:IAM262174 IKF262174:IKI262174 IUB262174:IUE262174 JDX262174:JEA262174 JNT262174:JNW262174 JXP262174:JXS262174 KHL262174:KHO262174 KRH262174:KRK262174 LBD262174:LBG262174 LKZ262174:LLC262174 LUV262174:LUY262174 MER262174:MEU262174 MON262174:MOQ262174 MYJ262174:MYM262174 NIF262174:NII262174 NSB262174:NSE262174 OBX262174:OCA262174 OLT262174:OLW262174 OVP262174:OVS262174 PFL262174:PFO262174 PPH262174:PPK262174 PZD262174:PZG262174 QIZ262174:QJC262174 QSV262174:QSY262174 RCR262174:RCU262174 RMN262174:RMQ262174 RWJ262174:RWM262174 SGF262174:SGI262174 SQB262174:SQE262174 SZX262174:TAA262174 TJT262174:TJW262174 TTP262174:TTS262174 UDL262174:UDO262174 UNH262174:UNK262174 UXD262174:UXG262174 VGZ262174:VHC262174 VQV262174:VQY262174 WAR262174:WAU262174 WKN262174:WKQ262174 WUJ262174:WUM262174 HX327710:IA327710 RT327710:RW327710 ABP327710:ABS327710 ALL327710:ALO327710 AVH327710:AVK327710 BFD327710:BFG327710 BOZ327710:BPC327710 BYV327710:BYY327710 CIR327710:CIU327710 CSN327710:CSQ327710 DCJ327710:DCM327710 DMF327710:DMI327710 DWB327710:DWE327710 EFX327710:EGA327710 EPT327710:EPW327710 EZP327710:EZS327710 FJL327710:FJO327710 FTH327710:FTK327710 GDD327710:GDG327710 GMZ327710:GNC327710 GWV327710:GWY327710 HGR327710:HGU327710 HQN327710:HQQ327710 IAJ327710:IAM327710 IKF327710:IKI327710 IUB327710:IUE327710 JDX327710:JEA327710 JNT327710:JNW327710 JXP327710:JXS327710 KHL327710:KHO327710 KRH327710:KRK327710 LBD327710:LBG327710 LKZ327710:LLC327710 LUV327710:LUY327710 MER327710:MEU327710 MON327710:MOQ327710 MYJ327710:MYM327710 NIF327710:NII327710 NSB327710:NSE327710 OBX327710:OCA327710 OLT327710:OLW327710 OVP327710:OVS327710 PFL327710:PFO327710 PPH327710:PPK327710 PZD327710:PZG327710 QIZ327710:QJC327710 QSV327710:QSY327710 RCR327710:RCU327710 RMN327710:RMQ327710 RWJ327710:RWM327710 SGF327710:SGI327710 SQB327710:SQE327710 SZX327710:TAA327710 TJT327710:TJW327710 TTP327710:TTS327710 UDL327710:UDO327710 UNH327710:UNK327710 UXD327710:UXG327710 VGZ327710:VHC327710 VQV327710:VQY327710 WAR327710:WAU327710 WKN327710:WKQ327710 WUJ327710:WUM327710 HX393246:IA393246 RT393246:RW393246 ABP393246:ABS393246 ALL393246:ALO393246 AVH393246:AVK393246 BFD393246:BFG393246 BOZ393246:BPC393246 BYV393246:BYY393246 CIR393246:CIU393246 CSN393246:CSQ393246 DCJ393246:DCM393246 DMF393246:DMI393246 DWB393246:DWE393246 EFX393246:EGA393246 EPT393246:EPW393246 EZP393246:EZS393246 FJL393246:FJO393246 FTH393246:FTK393246 GDD393246:GDG393246 GMZ393246:GNC393246 GWV393246:GWY393246 HGR393246:HGU393246 HQN393246:HQQ393246 IAJ393246:IAM393246 IKF393246:IKI393246 IUB393246:IUE393246 JDX393246:JEA393246 JNT393246:JNW393246 JXP393246:JXS393246 KHL393246:KHO393246 KRH393246:KRK393246 LBD393246:LBG393246 LKZ393246:LLC393246 LUV393246:LUY393246 MER393246:MEU393246 MON393246:MOQ393246 MYJ393246:MYM393246 NIF393246:NII393246 NSB393246:NSE393246 OBX393246:OCA393246 OLT393246:OLW393246 OVP393246:OVS393246 PFL393246:PFO393246 PPH393246:PPK393246 PZD393246:PZG393246 QIZ393246:QJC393246 QSV393246:QSY393246 RCR393246:RCU393246 RMN393246:RMQ393246 RWJ393246:RWM393246 SGF393246:SGI393246 SQB393246:SQE393246 SZX393246:TAA393246 TJT393246:TJW393246 TTP393246:TTS393246 UDL393246:UDO393246 UNH393246:UNK393246 UXD393246:UXG393246 VGZ393246:VHC393246 VQV393246:VQY393246 WAR393246:WAU393246 WKN393246:WKQ393246 WUJ393246:WUM393246 HX458782:IA458782 RT458782:RW458782 ABP458782:ABS458782 ALL458782:ALO458782 AVH458782:AVK458782 BFD458782:BFG458782 BOZ458782:BPC458782 BYV458782:BYY458782 CIR458782:CIU458782 CSN458782:CSQ458782 DCJ458782:DCM458782 DMF458782:DMI458782 DWB458782:DWE458782 EFX458782:EGA458782 EPT458782:EPW458782 EZP458782:EZS458782 FJL458782:FJO458782 FTH458782:FTK458782 GDD458782:GDG458782 GMZ458782:GNC458782 GWV458782:GWY458782 HGR458782:HGU458782 HQN458782:HQQ458782 IAJ458782:IAM458782 IKF458782:IKI458782 IUB458782:IUE458782 JDX458782:JEA458782 JNT458782:JNW458782 JXP458782:JXS458782 KHL458782:KHO458782 KRH458782:KRK458782 LBD458782:LBG458782 LKZ458782:LLC458782 LUV458782:LUY458782 MER458782:MEU458782 MON458782:MOQ458782 MYJ458782:MYM458782 NIF458782:NII458782 NSB458782:NSE458782 OBX458782:OCA458782 OLT458782:OLW458782 OVP458782:OVS458782 PFL458782:PFO458782 PPH458782:PPK458782 PZD458782:PZG458782 QIZ458782:QJC458782 QSV458782:QSY458782 RCR458782:RCU458782 RMN458782:RMQ458782 RWJ458782:RWM458782 SGF458782:SGI458782 SQB458782:SQE458782 SZX458782:TAA458782 TJT458782:TJW458782 TTP458782:TTS458782 UDL458782:UDO458782 UNH458782:UNK458782 UXD458782:UXG458782 VGZ458782:VHC458782 VQV458782:VQY458782 WAR458782:WAU458782 WKN458782:WKQ458782 WUJ458782:WUM458782 HX524318:IA524318 RT524318:RW524318 ABP524318:ABS524318 ALL524318:ALO524318 AVH524318:AVK524318 BFD524318:BFG524318 BOZ524318:BPC524318 BYV524318:BYY524318 CIR524318:CIU524318 CSN524318:CSQ524318 DCJ524318:DCM524318 DMF524318:DMI524318 DWB524318:DWE524318 EFX524318:EGA524318 EPT524318:EPW524318 EZP524318:EZS524318 FJL524318:FJO524318 FTH524318:FTK524318 GDD524318:GDG524318 GMZ524318:GNC524318 GWV524318:GWY524318 HGR524318:HGU524318 HQN524318:HQQ524318 IAJ524318:IAM524318 IKF524318:IKI524318 IUB524318:IUE524318 JDX524318:JEA524318 JNT524318:JNW524318 JXP524318:JXS524318 KHL524318:KHO524318 KRH524318:KRK524318 LBD524318:LBG524318 LKZ524318:LLC524318 LUV524318:LUY524318 MER524318:MEU524318 MON524318:MOQ524318 MYJ524318:MYM524318 NIF524318:NII524318 NSB524318:NSE524318 OBX524318:OCA524318 OLT524318:OLW524318 OVP524318:OVS524318 PFL524318:PFO524318 PPH524318:PPK524318 PZD524318:PZG524318 QIZ524318:QJC524318 QSV524318:QSY524318 RCR524318:RCU524318 RMN524318:RMQ524318 RWJ524318:RWM524318 SGF524318:SGI524318 SQB524318:SQE524318 SZX524318:TAA524318 TJT524318:TJW524318 TTP524318:TTS524318 UDL524318:UDO524318 UNH524318:UNK524318 UXD524318:UXG524318 VGZ524318:VHC524318 VQV524318:VQY524318 WAR524318:WAU524318 WKN524318:WKQ524318 WUJ524318:WUM524318 HX589854:IA589854 RT589854:RW589854 ABP589854:ABS589854 ALL589854:ALO589854 AVH589854:AVK589854 BFD589854:BFG589854 BOZ589854:BPC589854 BYV589854:BYY589854 CIR589854:CIU589854 CSN589854:CSQ589854 DCJ589854:DCM589854 DMF589854:DMI589854 DWB589854:DWE589854 EFX589854:EGA589854 EPT589854:EPW589854 EZP589854:EZS589854 FJL589854:FJO589854 FTH589854:FTK589854 GDD589854:GDG589854 GMZ589854:GNC589854 GWV589854:GWY589854 HGR589854:HGU589854 HQN589854:HQQ589854 IAJ589854:IAM589854 IKF589854:IKI589854 IUB589854:IUE589854 JDX589854:JEA589854 JNT589854:JNW589854 JXP589854:JXS589854 KHL589854:KHO589854 KRH589854:KRK589854 LBD589854:LBG589854 LKZ589854:LLC589854 LUV589854:LUY589854 MER589854:MEU589854 MON589854:MOQ589854 MYJ589854:MYM589854 NIF589854:NII589854 NSB589854:NSE589854 OBX589854:OCA589854 OLT589854:OLW589854 OVP589854:OVS589854 PFL589854:PFO589854 PPH589854:PPK589854 PZD589854:PZG589854 QIZ589854:QJC589854 QSV589854:QSY589854 RCR589854:RCU589854 RMN589854:RMQ589854 RWJ589854:RWM589854 SGF589854:SGI589854 SQB589854:SQE589854 SZX589854:TAA589854 TJT589854:TJW589854 TTP589854:TTS589854 UDL589854:UDO589854 UNH589854:UNK589854 UXD589854:UXG589854 VGZ589854:VHC589854 VQV589854:VQY589854 WAR589854:WAU589854 WKN589854:WKQ589854 WUJ589854:WUM589854 HX655390:IA655390 RT655390:RW655390 ABP655390:ABS655390 ALL655390:ALO655390 AVH655390:AVK655390 BFD655390:BFG655390 BOZ655390:BPC655390 BYV655390:BYY655390 CIR655390:CIU655390 CSN655390:CSQ655390 DCJ655390:DCM655390 DMF655390:DMI655390 DWB655390:DWE655390 EFX655390:EGA655390 EPT655390:EPW655390 EZP655390:EZS655390 FJL655390:FJO655390 FTH655390:FTK655390 GDD655390:GDG655390 GMZ655390:GNC655390 GWV655390:GWY655390 HGR655390:HGU655390 HQN655390:HQQ655390 IAJ655390:IAM655390 IKF655390:IKI655390 IUB655390:IUE655390 JDX655390:JEA655390 JNT655390:JNW655390 JXP655390:JXS655390 KHL655390:KHO655390 KRH655390:KRK655390 LBD655390:LBG655390 LKZ655390:LLC655390 LUV655390:LUY655390 MER655390:MEU655390 MON655390:MOQ655390 MYJ655390:MYM655390 NIF655390:NII655390 NSB655390:NSE655390 OBX655390:OCA655390 OLT655390:OLW655390 OVP655390:OVS655390 PFL655390:PFO655390 PPH655390:PPK655390 PZD655390:PZG655390 QIZ655390:QJC655390 QSV655390:QSY655390 RCR655390:RCU655390 RMN655390:RMQ655390 RWJ655390:RWM655390 SGF655390:SGI655390 SQB655390:SQE655390 SZX655390:TAA655390 TJT655390:TJW655390 TTP655390:TTS655390 UDL655390:UDO655390 UNH655390:UNK655390 UXD655390:UXG655390 VGZ655390:VHC655390 VQV655390:VQY655390 WAR655390:WAU655390 WKN655390:WKQ655390 WUJ655390:WUM655390 HX720926:IA720926 RT720926:RW720926 ABP720926:ABS720926 ALL720926:ALO720926 AVH720926:AVK720926 BFD720926:BFG720926 BOZ720926:BPC720926 BYV720926:BYY720926 CIR720926:CIU720926 CSN720926:CSQ720926 DCJ720926:DCM720926 DMF720926:DMI720926 DWB720926:DWE720926 EFX720926:EGA720926 EPT720926:EPW720926 EZP720926:EZS720926 FJL720926:FJO720926 FTH720926:FTK720926 GDD720926:GDG720926 GMZ720926:GNC720926 GWV720926:GWY720926 HGR720926:HGU720926 HQN720926:HQQ720926 IAJ720926:IAM720926 IKF720926:IKI720926 IUB720926:IUE720926 JDX720926:JEA720926 JNT720926:JNW720926 JXP720926:JXS720926 KHL720926:KHO720926 KRH720926:KRK720926 LBD720926:LBG720926 LKZ720926:LLC720926 LUV720926:LUY720926 MER720926:MEU720926 MON720926:MOQ720926 MYJ720926:MYM720926 NIF720926:NII720926 NSB720926:NSE720926 OBX720926:OCA720926 OLT720926:OLW720926 OVP720926:OVS720926 PFL720926:PFO720926 PPH720926:PPK720926 PZD720926:PZG720926 QIZ720926:QJC720926 QSV720926:QSY720926 RCR720926:RCU720926 RMN720926:RMQ720926 RWJ720926:RWM720926 SGF720926:SGI720926 SQB720926:SQE720926 SZX720926:TAA720926 TJT720926:TJW720926 TTP720926:TTS720926 UDL720926:UDO720926 UNH720926:UNK720926 UXD720926:UXG720926 VGZ720926:VHC720926 VQV720926:VQY720926 WAR720926:WAU720926 WKN720926:WKQ720926 WUJ720926:WUM720926 HX786462:IA786462 RT786462:RW786462 ABP786462:ABS786462 ALL786462:ALO786462 AVH786462:AVK786462 BFD786462:BFG786462 BOZ786462:BPC786462 BYV786462:BYY786462 CIR786462:CIU786462 CSN786462:CSQ786462 DCJ786462:DCM786462 DMF786462:DMI786462 DWB786462:DWE786462 EFX786462:EGA786462 EPT786462:EPW786462 EZP786462:EZS786462 FJL786462:FJO786462 FTH786462:FTK786462 GDD786462:GDG786462 GMZ786462:GNC786462 GWV786462:GWY786462 HGR786462:HGU786462 HQN786462:HQQ786462 IAJ786462:IAM786462 IKF786462:IKI786462 IUB786462:IUE786462 JDX786462:JEA786462 JNT786462:JNW786462 JXP786462:JXS786462 KHL786462:KHO786462 KRH786462:KRK786462 LBD786462:LBG786462 LKZ786462:LLC786462 LUV786462:LUY786462 MER786462:MEU786462 MON786462:MOQ786462 MYJ786462:MYM786462 NIF786462:NII786462 NSB786462:NSE786462 OBX786462:OCA786462 OLT786462:OLW786462 OVP786462:OVS786462 PFL786462:PFO786462 PPH786462:PPK786462 PZD786462:PZG786462 QIZ786462:QJC786462 QSV786462:QSY786462 RCR786462:RCU786462 RMN786462:RMQ786462 RWJ786462:RWM786462 SGF786462:SGI786462 SQB786462:SQE786462 SZX786462:TAA786462 TJT786462:TJW786462 TTP786462:TTS786462 UDL786462:UDO786462 UNH786462:UNK786462 UXD786462:UXG786462 VGZ786462:VHC786462 VQV786462:VQY786462 WAR786462:WAU786462 WKN786462:WKQ786462 WUJ786462:WUM786462 HX851998:IA851998 RT851998:RW851998 ABP851998:ABS851998 ALL851998:ALO851998 AVH851998:AVK851998 BFD851998:BFG851998 BOZ851998:BPC851998 BYV851998:BYY851998 CIR851998:CIU851998 CSN851998:CSQ851998 DCJ851998:DCM851998 DMF851998:DMI851998 DWB851998:DWE851998 EFX851998:EGA851998 EPT851998:EPW851998 EZP851998:EZS851998 FJL851998:FJO851998 FTH851998:FTK851998 GDD851998:GDG851998 GMZ851998:GNC851998 GWV851998:GWY851998 HGR851998:HGU851998 HQN851998:HQQ851998 IAJ851998:IAM851998 IKF851998:IKI851998 IUB851998:IUE851998 JDX851998:JEA851998 JNT851998:JNW851998 JXP851998:JXS851998 KHL851998:KHO851998 KRH851998:KRK851998 LBD851998:LBG851998 LKZ851998:LLC851998 LUV851998:LUY851998 MER851998:MEU851998 MON851998:MOQ851998 MYJ851998:MYM851998 NIF851998:NII851998 NSB851998:NSE851998 OBX851998:OCA851998 OLT851998:OLW851998 OVP851998:OVS851998 PFL851998:PFO851998 PPH851998:PPK851998 PZD851998:PZG851998 QIZ851998:QJC851998 QSV851998:QSY851998 RCR851998:RCU851998 RMN851998:RMQ851998 RWJ851998:RWM851998 SGF851998:SGI851998 SQB851998:SQE851998 SZX851998:TAA851998 TJT851998:TJW851998 TTP851998:TTS851998 UDL851998:UDO851998 UNH851998:UNK851998 UXD851998:UXG851998 VGZ851998:VHC851998 VQV851998:VQY851998 WAR851998:WAU851998 WKN851998:WKQ851998 WUJ851998:WUM851998 HX917534:IA917534 RT917534:RW917534 ABP917534:ABS917534 ALL917534:ALO917534 AVH917534:AVK917534 BFD917534:BFG917534 BOZ917534:BPC917534 BYV917534:BYY917534 CIR917534:CIU917534 CSN917534:CSQ917534 DCJ917534:DCM917534 DMF917534:DMI917534 DWB917534:DWE917534 EFX917534:EGA917534 EPT917534:EPW917534 EZP917534:EZS917534 FJL917534:FJO917534 FTH917534:FTK917534 GDD917534:GDG917534 GMZ917534:GNC917534 GWV917534:GWY917534 HGR917534:HGU917534 HQN917534:HQQ917534 IAJ917534:IAM917534 IKF917534:IKI917534 IUB917534:IUE917534 JDX917534:JEA917534 JNT917534:JNW917534 JXP917534:JXS917534 KHL917534:KHO917534 KRH917534:KRK917534 LBD917534:LBG917534 LKZ917534:LLC917534 LUV917534:LUY917534 MER917534:MEU917534 MON917534:MOQ917534 MYJ917534:MYM917534 NIF917534:NII917534 NSB917534:NSE917534 OBX917534:OCA917534 OLT917534:OLW917534 OVP917534:OVS917534 PFL917534:PFO917534 PPH917534:PPK917534 PZD917534:PZG917534 QIZ917534:QJC917534 QSV917534:QSY917534 RCR917534:RCU917534 RMN917534:RMQ917534 RWJ917534:RWM917534 SGF917534:SGI917534 SQB917534:SQE917534 SZX917534:TAA917534 TJT917534:TJW917534 TTP917534:TTS917534 UDL917534:UDO917534 UNH917534:UNK917534 UXD917534:UXG917534 VGZ917534:VHC917534 VQV917534:VQY917534 WAR917534:WAU917534 WKN917534:WKQ917534 WUJ917534:WUM917534 AG37:AJ40 AG65573:AJ65576 AG131109:AJ131112 AG196645:AJ196648 AG262181:AJ262184 AG327717:AJ327720 AG393253:AJ393256 AG458789:AJ458792 AG524325:AJ524328 AG589861:AJ589864 AG655397:AJ655400 AG720933:AJ720936 AG786469:AJ786472 AG852005:AJ852008 AG917541:AJ917544 AG983077:AJ983080 AB65567:AE65567 AB131103:AE131103 AB196639:AE196639 AB262175:AE262175 AB327711:AE327711 AB393247:AE393247 AB458783:AE458783 AB524319:AE524319 AB589855:AE589855 AB655391:AE655391 AB720927:AE720927 AB786463:AE786463 AB851999:AE851999 AB917535:AE917535 AB983071:AE983071" xr:uid="{19876C68-309A-4E27-9488-5B0BD1A5E560}">
      <formula1>"○"</formula1>
    </dataValidation>
    <dataValidation type="list" allowBlank="1" showInputMessage="1" showErrorMessage="1" sqref="WTP983023:WTZ983060 WJT983023:WKD983060 HD65519:HN65556 QZ65519:RJ65556 AAV65519:ABF65556 AKR65519:ALB65556 AUN65519:AUX65556 BEJ65519:BET65556 BOF65519:BOP65556 BYB65519:BYL65556 CHX65519:CIH65556 CRT65519:CSD65556 DBP65519:DBZ65556 DLL65519:DLV65556 DVH65519:DVR65556 EFD65519:EFN65556 EOZ65519:EPJ65556 EYV65519:EZF65556 FIR65519:FJB65556 FSN65519:FSX65556 GCJ65519:GCT65556 GMF65519:GMP65556 GWB65519:GWL65556 HFX65519:HGH65556 HPT65519:HQD65556 HZP65519:HZZ65556 IJL65519:IJV65556 ITH65519:ITR65556 JDD65519:JDN65556 JMZ65519:JNJ65556 JWV65519:JXF65556 KGR65519:KHB65556 KQN65519:KQX65556 LAJ65519:LAT65556 LKF65519:LKP65556 LUB65519:LUL65556 MDX65519:MEH65556 MNT65519:MOD65556 MXP65519:MXZ65556 NHL65519:NHV65556 NRH65519:NRR65556 OBD65519:OBN65556 OKZ65519:OLJ65556 OUV65519:OVF65556 PER65519:PFB65556 PON65519:POX65556 PYJ65519:PYT65556 QIF65519:QIP65556 QSB65519:QSL65556 RBX65519:RCH65556 RLT65519:RMD65556 RVP65519:RVZ65556 SFL65519:SFV65556 SPH65519:SPR65556 SZD65519:SZN65556 TIZ65519:TJJ65556 TSV65519:TTF65556 UCR65519:UDB65556 UMN65519:UMX65556 UWJ65519:UWT65556 VGF65519:VGP65556 VQB65519:VQL65556 VZX65519:WAH65556 WJT65519:WKD65556 WTP65519:WTZ65556 HD131055:HN131092 QZ131055:RJ131092 AAV131055:ABF131092 AKR131055:ALB131092 AUN131055:AUX131092 BEJ131055:BET131092 BOF131055:BOP131092 BYB131055:BYL131092 CHX131055:CIH131092 CRT131055:CSD131092 DBP131055:DBZ131092 DLL131055:DLV131092 DVH131055:DVR131092 EFD131055:EFN131092 EOZ131055:EPJ131092 EYV131055:EZF131092 FIR131055:FJB131092 FSN131055:FSX131092 GCJ131055:GCT131092 GMF131055:GMP131092 GWB131055:GWL131092 HFX131055:HGH131092 HPT131055:HQD131092 HZP131055:HZZ131092 IJL131055:IJV131092 ITH131055:ITR131092 JDD131055:JDN131092 JMZ131055:JNJ131092 JWV131055:JXF131092 KGR131055:KHB131092 KQN131055:KQX131092 LAJ131055:LAT131092 LKF131055:LKP131092 LUB131055:LUL131092 MDX131055:MEH131092 MNT131055:MOD131092 MXP131055:MXZ131092 NHL131055:NHV131092 NRH131055:NRR131092 OBD131055:OBN131092 OKZ131055:OLJ131092 OUV131055:OVF131092 PER131055:PFB131092 PON131055:POX131092 PYJ131055:PYT131092 QIF131055:QIP131092 QSB131055:QSL131092 RBX131055:RCH131092 RLT131055:RMD131092 RVP131055:RVZ131092 SFL131055:SFV131092 SPH131055:SPR131092 SZD131055:SZN131092 TIZ131055:TJJ131092 TSV131055:TTF131092 UCR131055:UDB131092 UMN131055:UMX131092 UWJ131055:UWT131092 VGF131055:VGP131092 VQB131055:VQL131092 VZX131055:WAH131092 WJT131055:WKD131092 WTP131055:WTZ131092 HD196591:HN196628 QZ196591:RJ196628 AAV196591:ABF196628 AKR196591:ALB196628 AUN196591:AUX196628 BEJ196591:BET196628 BOF196591:BOP196628 BYB196591:BYL196628 CHX196591:CIH196628 CRT196591:CSD196628 DBP196591:DBZ196628 DLL196591:DLV196628 DVH196591:DVR196628 EFD196591:EFN196628 EOZ196591:EPJ196628 EYV196591:EZF196628 FIR196591:FJB196628 FSN196591:FSX196628 GCJ196591:GCT196628 GMF196591:GMP196628 GWB196591:GWL196628 HFX196591:HGH196628 HPT196591:HQD196628 HZP196591:HZZ196628 IJL196591:IJV196628 ITH196591:ITR196628 JDD196591:JDN196628 JMZ196591:JNJ196628 JWV196591:JXF196628 KGR196591:KHB196628 KQN196591:KQX196628 LAJ196591:LAT196628 LKF196591:LKP196628 LUB196591:LUL196628 MDX196591:MEH196628 MNT196591:MOD196628 MXP196591:MXZ196628 NHL196591:NHV196628 NRH196591:NRR196628 OBD196591:OBN196628 OKZ196591:OLJ196628 OUV196591:OVF196628 PER196591:PFB196628 PON196591:POX196628 PYJ196591:PYT196628 QIF196591:QIP196628 QSB196591:QSL196628 RBX196591:RCH196628 RLT196591:RMD196628 RVP196591:RVZ196628 SFL196591:SFV196628 SPH196591:SPR196628 SZD196591:SZN196628 TIZ196591:TJJ196628 TSV196591:TTF196628 UCR196591:UDB196628 UMN196591:UMX196628 UWJ196591:UWT196628 VGF196591:VGP196628 VQB196591:VQL196628 VZX196591:WAH196628 WJT196591:WKD196628 WTP196591:WTZ196628 HD262127:HN262164 QZ262127:RJ262164 AAV262127:ABF262164 AKR262127:ALB262164 AUN262127:AUX262164 BEJ262127:BET262164 BOF262127:BOP262164 BYB262127:BYL262164 CHX262127:CIH262164 CRT262127:CSD262164 DBP262127:DBZ262164 DLL262127:DLV262164 DVH262127:DVR262164 EFD262127:EFN262164 EOZ262127:EPJ262164 EYV262127:EZF262164 FIR262127:FJB262164 FSN262127:FSX262164 GCJ262127:GCT262164 GMF262127:GMP262164 GWB262127:GWL262164 HFX262127:HGH262164 HPT262127:HQD262164 HZP262127:HZZ262164 IJL262127:IJV262164 ITH262127:ITR262164 JDD262127:JDN262164 JMZ262127:JNJ262164 JWV262127:JXF262164 KGR262127:KHB262164 KQN262127:KQX262164 LAJ262127:LAT262164 LKF262127:LKP262164 LUB262127:LUL262164 MDX262127:MEH262164 MNT262127:MOD262164 MXP262127:MXZ262164 NHL262127:NHV262164 NRH262127:NRR262164 OBD262127:OBN262164 OKZ262127:OLJ262164 OUV262127:OVF262164 PER262127:PFB262164 PON262127:POX262164 PYJ262127:PYT262164 QIF262127:QIP262164 QSB262127:QSL262164 RBX262127:RCH262164 RLT262127:RMD262164 RVP262127:RVZ262164 SFL262127:SFV262164 SPH262127:SPR262164 SZD262127:SZN262164 TIZ262127:TJJ262164 TSV262127:TTF262164 UCR262127:UDB262164 UMN262127:UMX262164 UWJ262127:UWT262164 VGF262127:VGP262164 VQB262127:VQL262164 VZX262127:WAH262164 WJT262127:WKD262164 WTP262127:WTZ262164 HD327663:HN327700 QZ327663:RJ327700 AAV327663:ABF327700 AKR327663:ALB327700 AUN327663:AUX327700 BEJ327663:BET327700 BOF327663:BOP327700 BYB327663:BYL327700 CHX327663:CIH327700 CRT327663:CSD327700 DBP327663:DBZ327700 DLL327663:DLV327700 DVH327663:DVR327700 EFD327663:EFN327700 EOZ327663:EPJ327700 EYV327663:EZF327700 FIR327663:FJB327700 FSN327663:FSX327700 GCJ327663:GCT327700 GMF327663:GMP327700 GWB327663:GWL327700 HFX327663:HGH327700 HPT327663:HQD327700 HZP327663:HZZ327700 IJL327663:IJV327700 ITH327663:ITR327700 JDD327663:JDN327700 JMZ327663:JNJ327700 JWV327663:JXF327700 KGR327663:KHB327700 KQN327663:KQX327700 LAJ327663:LAT327700 LKF327663:LKP327700 LUB327663:LUL327700 MDX327663:MEH327700 MNT327663:MOD327700 MXP327663:MXZ327700 NHL327663:NHV327700 NRH327663:NRR327700 OBD327663:OBN327700 OKZ327663:OLJ327700 OUV327663:OVF327700 PER327663:PFB327700 PON327663:POX327700 PYJ327663:PYT327700 QIF327663:QIP327700 QSB327663:QSL327700 RBX327663:RCH327700 RLT327663:RMD327700 RVP327663:RVZ327700 SFL327663:SFV327700 SPH327663:SPR327700 SZD327663:SZN327700 TIZ327663:TJJ327700 TSV327663:TTF327700 UCR327663:UDB327700 UMN327663:UMX327700 UWJ327663:UWT327700 VGF327663:VGP327700 VQB327663:VQL327700 VZX327663:WAH327700 WJT327663:WKD327700 WTP327663:WTZ327700 HD393199:HN393236 QZ393199:RJ393236 AAV393199:ABF393236 AKR393199:ALB393236 AUN393199:AUX393236 BEJ393199:BET393236 BOF393199:BOP393236 BYB393199:BYL393236 CHX393199:CIH393236 CRT393199:CSD393236 DBP393199:DBZ393236 DLL393199:DLV393236 DVH393199:DVR393236 EFD393199:EFN393236 EOZ393199:EPJ393236 EYV393199:EZF393236 FIR393199:FJB393236 FSN393199:FSX393236 GCJ393199:GCT393236 GMF393199:GMP393236 GWB393199:GWL393236 HFX393199:HGH393236 HPT393199:HQD393236 HZP393199:HZZ393236 IJL393199:IJV393236 ITH393199:ITR393236 JDD393199:JDN393236 JMZ393199:JNJ393236 JWV393199:JXF393236 KGR393199:KHB393236 KQN393199:KQX393236 LAJ393199:LAT393236 LKF393199:LKP393236 LUB393199:LUL393236 MDX393199:MEH393236 MNT393199:MOD393236 MXP393199:MXZ393236 NHL393199:NHV393236 NRH393199:NRR393236 OBD393199:OBN393236 OKZ393199:OLJ393236 OUV393199:OVF393236 PER393199:PFB393236 PON393199:POX393236 PYJ393199:PYT393236 QIF393199:QIP393236 QSB393199:QSL393236 RBX393199:RCH393236 RLT393199:RMD393236 RVP393199:RVZ393236 SFL393199:SFV393236 SPH393199:SPR393236 SZD393199:SZN393236 TIZ393199:TJJ393236 TSV393199:TTF393236 UCR393199:UDB393236 UMN393199:UMX393236 UWJ393199:UWT393236 VGF393199:VGP393236 VQB393199:VQL393236 VZX393199:WAH393236 WJT393199:WKD393236 WTP393199:WTZ393236 HD458735:HN458772 QZ458735:RJ458772 AAV458735:ABF458772 AKR458735:ALB458772 AUN458735:AUX458772 BEJ458735:BET458772 BOF458735:BOP458772 BYB458735:BYL458772 CHX458735:CIH458772 CRT458735:CSD458772 DBP458735:DBZ458772 DLL458735:DLV458772 DVH458735:DVR458772 EFD458735:EFN458772 EOZ458735:EPJ458772 EYV458735:EZF458772 FIR458735:FJB458772 FSN458735:FSX458772 GCJ458735:GCT458772 GMF458735:GMP458772 GWB458735:GWL458772 HFX458735:HGH458772 HPT458735:HQD458772 HZP458735:HZZ458772 IJL458735:IJV458772 ITH458735:ITR458772 JDD458735:JDN458772 JMZ458735:JNJ458772 JWV458735:JXF458772 KGR458735:KHB458772 KQN458735:KQX458772 LAJ458735:LAT458772 LKF458735:LKP458772 LUB458735:LUL458772 MDX458735:MEH458772 MNT458735:MOD458772 MXP458735:MXZ458772 NHL458735:NHV458772 NRH458735:NRR458772 OBD458735:OBN458772 OKZ458735:OLJ458772 OUV458735:OVF458772 PER458735:PFB458772 PON458735:POX458772 PYJ458735:PYT458772 QIF458735:QIP458772 QSB458735:QSL458772 RBX458735:RCH458772 RLT458735:RMD458772 RVP458735:RVZ458772 SFL458735:SFV458772 SPH458735:SPR458772 SZD458735:SZN458772 TIZ458735:TJJ458772 TSV458735:TTF458772 UCR458735:UDB458772 UMN458735:UMX458772 UWJ458735:UWT458772 VGF458735:VGP458772 VQB458735:VQL458772 VZX458735:WAH458772 WJT458735:WKD458772 WTP458735:WTZ458772 HD524271:HN524308 QZ524271:RJ524308 AAV524271:ABF524308 AKR524271:ALB524308 AUN524271:AUX524308 BEJ524271:BET524308 BOF524271:BOP524308 BYB524271:BYL524308 CHX524271:CIH524308 CRT524271:CSD524308 DBP524271:DBZ524308 DLL524271:DLV524308 DVH524271:DVR524308 EFD524271:EFN524308 EOZ524271:EPJ524308 EYV524271:EZF524308 FIR524271:FJB524308 FSN524271:FSX524308 GCJ524271:GCT524308 GMF524271:GMP524308 GWB524271:GWL524308 HFX524271:HGH524308 HPT524271:HQD524308 HZP524271:HZZ524308 IJL524271:IJV524308 ITH524271:ITR524308 JDD524271:JDN524308 JMZ524271:JNJ524308 JWV524271:JXF524308 KGR524271:KHB524308 KQN524271:KQX524308 LAJ524271:LAT524308 LKF524271:LKP524308 LUB524271:LUL524308 MDX524271:MEH524308 MNT524271:MOD524308 MXP524271:MXZ524308 NHL524271:NHV524308 NRH524271:NRR524308 OBD524271:OBN524308 OKZ524271:OLJ524308 OUV524271:OVF524308 PER524271:PFB524308 PON524271:POX524308 PYJ524271:PYT524308 QIF524271:QIP524308 QSB524271:QSL524308 RBX524271:RCH524308 RLT524271:RMD524308 RVP524271:RVZ524308 SFL524271:SFV524308 SPH524271:SPR524308 SZD524271:SZN524308 TIZ524271:TJJ524308 TSV524271:TTF524308 UCR524271:UDB524308 UMN524271:UMX524308 UWJ524271:UWT524308 VGF524271:VGP524308 VQB524271:VQL524308 VZX524271:WAH524308 WJT524271:WKD524308 WTP524271:WTZ524308 HD589807:HN589844 QZ589807:RJ589844 AAV589807:ABF589844 AKR589807:ALB589844 AUN589807:AUX589844 BEJ589807:BET589844 BOF589807:BOP589844 BYB589807:BYL589844 CHX589807:CIH589844 CRT589807:CSD589844 DBP589807:DBZ589844 DLL589807:DLV589844 DVH589807:DVR589844 EFD589807:EFN589844 EOZ589807:EPJ589844 EYV589807:EZF589844 FIR589807:FJB589844 FSN589807:FSX589844 GCJ589807:GCT589844 GMF589807:GMP589844 GWB589807:GWL589844 HFX589807:HGH589844 HPT589807:HQD589844 HZP589807:HZZ589844 IJL589807:IJV589844 ITH589807:ITR589844 JDD589807:JDN589844 JMZ589807:JNJ589844 JWV589807:JXF589844 KGR589807:KHB589844 KQN589807:KQX589844 LAJ589807:LAT589844 LKF589807:LKP589844 LUB589807:LUL589844 MDX589807:MEH589844 MNT589807:MOD589844 MXP589807:MXZ589844 NHL589807:NHV589844 NRH589807:NRR589844 OBD589807:OBN589844 OKZ589807:OLJ589844 OUV589807:OVF589844 PER589807:PFB589844 PON589807:POX589844 PYJ589807:PYT589844 QIF589807:QIP589844 QSB589807:QSL589844 RBX589807:RCH589844 RLT589807:RMD589844 RVP589807:RVZ589844 SFL589807:SFV589844 SPH589807:SPR589844 SZD589807:SZN589844 TIZ589807:TJJ589844 TSV589807:TTF589844 UCR589807:UDB589844 UMN589807:UMX589844 UWJ589807:UWT589844 VGF589807:VGP589844 VQB589807:VQL589844 VZX589807:WAH589844 WJT589807:WKD589844 WTP589807:WTZ589844 HD655343:HN655380 QZ655343:RJ655380 AAV655343:ABF655380 AKR655343:ALB655380 AUN655343:AUX655380 BEJ655343:BET655380 BOF655343:BOP655380 BYB655343:BYL655380 CHX655343:CIH655380 CRT655343:CSD655380 DBP655343:DBZ655380 DLL655343:DLV655380 DVH655343:DVR655380 EFD655343:EFN655380 EOZ655343:EPJ655380 EYV655343:EZF655380 FIR655343:FJB655380 FSN655343:FSX655380 GCJ655343:GCT655380 GMF655343:GMP655380 GWB655343:GWL655380 HFX655343:HGH655380 HPT655343:HQD655380 HZP655343:HZZ655380 IJL655343:IJV655380 ITH655343:ITR655380 JDD655343:JDN655380 JMZ655343:JNJ655380 JWV655343:JXF655380 KGR655343:KHB655380 KQN655343:KQX655380 LAJ655343:LAT655380 LKF655343:LKP655380 LUB655343:LUL655380 MDX655343:MEH655380 MNT655343:MOD655380 MXP655343:MXZ655380 NHL655343:NHV655380 NRH655343:NRR655380 OBD655343:OBN655380 OKZ655343:OLJ655380 OUV655343:OVF655380 PER655343:PFB655380 PON655343:POX655380 PYJ655343:PYT655380 QIF655343:QIP655380 QSB655343:QSL655380 RBX655343:RCH655380 RLT655343:RMD655380 RVP655343:RVZ655380 SFL655343:SFV655380 SPH655343:SPR655380 SZD655343:SZN655380 TIZ655343:TJJ655380 TSV655343:TTF655380 UCR655343:UDB655380 UMN655343:UMX655380 UWJ655343:UWT655380 VGF655343:VGP655380 VQB655343:VQL655380 VZX655343:WAH655380 WJT655343:WKD655380 WTP655343:WTZ655380 HD720879:HN720916 QZ720879:RJ720916 AAV720879:ABF720916 AKR720879:ALB720916 AUN720879:AUX720916 BEJ720879:BET720916 BOF720879:BOP720916 BYB720879:BYL720916 CHX720879:CIH720916 CRT720879:CSD720916 DBP720879:DBZ720916 DLL720879:DLV720916 DVH720879:DVR720916 EFD720879:EFN720916 EOZ720879:EPJ720916 EYV720879:EZF720916 FIR720879:FJB720916 FSN720879:FSX720916 GCJ720879:GCT720916 GMF720879:GMP720916 GWB720879:GWL720916 HFX720879:HGH720916 HPT720879:HQD720916 HZP720879:HZZ720916 IJL720879:IJV720916 ITH720879:ITR720916 JDD720879:JDN720916 JMZ720879:JNJ720916 JWV720879:JXF720916 KGR720879:KHB720916 KQN720879:KQX720916 LAJ720879:LAT720916 LKF720879:LKP720916 LUB720879:LUL720916 MDX720879:MEH720916 MNT720879:MOD720916 MXP720879:MXZ720916 NHL720879:NHV720916 NRH720879:NRR720916 OBD720879:OBN720916 OKZ720879:OLJ720916 OUV720879:OVF720916 PER720879:PFB720916 PON720879:POX720916 PYJ720879:PYT720916 QIF720879:QIP720916 QSB720879:QSL720916 RBX720879:RCH720916 RLT720879:RMD720916 RVP720879:RVZ720916 SFL720879:SFV720916 SPH720879:SPR720916 SZD720879:SZN720916 TIZ720879:TJJ720916 TSV720879:TTF720916 UCR720879:UDB720916 UMN720879:UMX720916 UWJ720879:UWT720916 VGF720879:VGP720916 VQB720879:VQL720916 VZX720879:WAH720916 WJT720879:WKD720916 WTP720879:WTZ720916 HD786415:HN786452 QZ786415:RJ786452 AAV786415:ABF786452 AKR786415:ALB786452 AUN786415:AUX786452 BEJ786415:BET786452 BOF786415:BOP786452 BYB786415:BYL786452 CHX786415:CIH786452 CRT786415:CSD786452 DBP786415:DBZ786452 DLL786415:DLV786452 DVH786415:DVR786452 EFD786415:EFN786452 EOZ786415:EPJ786452 EYV786415:EZF786452 FIR786415:FJB786452 FSN786415:FSX786452 GCJ786415:GCT786452 GMF786415:GMP786452 GWB786415:GWL786452 HFX786415:HGH786452 HPT786415:HQD786452 HZP786415:HZZ786452 IJL786415:IJV786452 ITH786415:ITR786452 JDD786415:JDN786452 JMZ786415:JNJ786452 JWV786415:JXF786452 KGR786415:KHB786452 KQN786415:KQX786452 LAJ786415:LAT786452 LKF786415:LKP786452 LUB786415:LUL786452 MDX786415:MEH786452 MNT786415:MOD786452 MXP786415:MXZ786452 NHL786415:NHV786452 NRH786415:NRR786452 OBD786415:OBN786452 OKZ786415:OLJ786452 OUV786415:OVF786452 PER786415:PFB786452 PON786415:POX786452 PYJ786415:PYT786452 QIF786415:QIP786452 QSB786415:QSL786452 RBX786415:RCH786452 RLT786415:RMD786452 RVP786415:RVZ786452 SFL786415:SFV786452 SPH786415:SPR786452 SZD786415:SZN786452 TIZ786415:TJJ786452 TSV786415:TTF786452 UCR786415:UDB786452 UMN786415:UMX786452 UWJ786415:UWT786452 VGF786415:VGP786452 VQB786415:VQL786452 VZX786415:WAH786452 WJT786415:WKD786452 WTP786415:WTZ786452 HD851951:HN851988 QZ851951:RJ851988 AAV851951:ABF851988 AKR851951:ALB851988 AUN851951:AUX851988 BEJ851951:BET851988 BOF851951:BOP851988 BYB851951:BYL851988 CHX851951:CIH851988 CRT851951:CSD851988 DBP851951:DBZ851988 DLL851951:DLV851988 DVH851951:DVR851988 EFD851951:EFN851988 EOZ851951:EPJ851988 EYV851951:EZF851988 FIR851951:FJB851988 FSN851951:FSX851988 GCJ851951:GCT851988 GMF851951:GMP851988 GWB851951:GWL851988 HFX851951:HGH851988 HPT851951:HQD851988 HZP851951:HZZ851988 IJL851951:IJV851988 ITH851951:ITR851988 JDD851951:JDN851988 JMZ851951:JNJ851988 JWV851951:JXF851988 KGR851951:KHB851988 KQN851951:KQX851988 LAJ851951:LAT851988 LKF851951:LKP851988 LUB851951:LUL851988 MDX851951:MEH851988 MNT851951:MOD851988 MXP851951:MXZ851988 NHL851951:NHV851988 NRH851951:NRR851988 OBD851951:OBN851988 OKZ851951:OLJ851988 OUV851951:OVF851988 PER851951:PFB851988 PON851951:POX851988 PYJ851951:PYT851988 QIF851951:QIP851988 QSB851951:QSL851988 RBX851951:RCH851988 RLT851951:RMD851988 RVP851951:RVZ851988 SFL851951:SFV851988 SPH851951:SPR851988 SZD851951:SZN851988 TIZ851951:TJJ851988 TSV851951:TTF851988 UCR851951:UDB851988 UMN851951:UMX851988 UWJ851951:UWT851988 VGF851951:VGP851988 VQB851951:VQL851988 VZX851951:WAH851988 WJT851951:WKD851988 WTP851951:WTZ851988 HD917487:HN917524 QZ917487:RJ917524 AAV917487:ABF917524 AKR917487:ALB917524 AUN917487:AUX917524 BEJ917487:BET917524 BOF917487:BOP917524 BYB917487:BYL917524 CHX917487:CIH917524 CRT917487:CSD917524 DBP917487:DBZ917524 DLL917487:DLV917524 DVH917487:DVR917524 EFD917487:EFN917524 EOZ917487:EPJ917524 EYV917487:EZF917524 FIR917487:FJB917524 FSN917487:FSX917524 GCJ917487:GCT917524 GMF917487:GMP917524 GWB917487:GWL917524 HFX917487:HGH917524 HPT917487:HQD917524 HZP917487:HZZ917524 IJL917487:IJV917524 ITH917487:ITR917524 JDD917487:JDN917524 JMZ917487:JNJ917524 JWV917487:JXF917524 KGR917487:KHB917524 KQN917487:KQX917524 LAJ917487:LAT917524 LKF917487:LKP917524 LUB917487:LUL917524 MDX917487:MEH917524 MNT917487:MOD917524 MXP917487:MXZ917524 NHL917487:NHV917524 NRH917487:NRR917524 OBD917487:OBN917524 OKZ917487:OLJ917524 OUV917487:OVF917524 PER917487:PFB917524 PON917487:POX917524 PYJ917487:PYT917524 QIF917487:QIP917524 QSB917487:QSL917524 RBX917487:RCH917524 RLT917487:RMD917524 RVP917487:RVZ917524 SFL917487:SFV917524 SPH917487:SPR917524 SZD917487:SZN917524 TIZ917487:TJJ917524 TSV917487:TTF917524 UCR917487:UDB917524 UMN917487:UMX917524 UWJ917487:UWT917524 VGF917487:VGP917524 VQB917487:VQL917524 VZX917487:WAH917524 WJT917487:WKD917524 WTP917487:WTZ917524 HD983023:HN983060 QZ983023:RJ983060 AAV983023:ABF983060 AKR983023:ALB983060 AUN983023:AUX983060 BEJ983023:BET983060 BOF983023:BOP983060 BYB983023:BYL983060 CHX983023:CIH983060 CRT983023:CSD983060 DBP983023:DBZ983060 DLL983023:DLV983060 DVH983023:DVR983060 EFD983023:EFN983060 EOZ983023:EPJ983060 EYV983023:EZF983060 FIR983023:FJB983060 FSN983023:FSX983060 GCJ983023:GCT983060 GMF983023:GMP983060 GWB983023:GWL983060 HFX983023:HGH983060 HPT983023:HQD983060 HZP983023:HZZ983060 IJL983023:IJV983060 ITH983023:ITR983060 JDD983023:JDN983060 JMZ983023:JNJ983060 JWV983023:JXF983060 KGR983023:KHB983060 KQN983023:KQX983060 LAJ983023:LAT983060 LKF983023:LKP983060 LUB983023:LUL983060 MDX983023:MEH983060 MNT983023:MOD983060 MXP983023:MXZ983060 NHL983023:NHV983060 NRH983023:NRR983060 OBD983023:OBN983060 OKZ983023:OLJ983060 OUV983023:OVF983060 PER983023:PFB983060 PON983023:POX983060 PYJ983023:PYT983060 QIF983023:QIP983060 QSB983023:QSL983060 RBX983023:RCH983060 RLT983023:RMD983060 RVP983023:RVZ983060 SFL983023:SFV983060 SPH983023:SPR983060 SZD983023:SZN983060 TIZ983023:TJJ983060 TSV983023:TTF983060 UCR983023:UDB983060 UMN983023:UMX983060 UWJ983023:UWT983060 VGF983023:VGP983060 VQB983023:VQL983060 VZX983023:WAH983060 WTP5:WTZ29 HD5:HN29 QZ5:RJ29 AAV5:ABF29 AKR5:ALB29 AUN5:AUX29 BEJ5:BET29 BOF5:BOP29 BYB5:BYL29 CHX5:CIH29 CRT5:CSD29 DBP5:DBZ29 DLL5:DLV29 DVH5:DVR29 EFD5:EFN29 EOZ5:EPJ29 EYV5:EZF29 FIR5:FJB29 FSN5:FSX29 GCJ5:GCT29 GMF5:GMP29 GWB5:GWL29 HFX5:HGH29 HPT5:HQD29 HZP5:HZZ29 IJL5:IJV29 ITH5:ITR29 JDD5:JDN29 JMZ5:JNJ29 JWV5:JXF29 KGR5:KHB29 KQN5:KQX29 LAJ5:LAT29 LKF5:LKP29 LUB5:LUL29 MDX5:MEH29 MNT5:MOD29 MXP5:MXZ29 NHL5:NHV29 NRH5:NRR29 OBD5:OBN29 OKZ5:OLJ29 OUV5:OVF29 PER5:PFB29 PON5:POX29 PYJ5:PYT29 QIF5:QIP29 QSB5:QSL29 RBX5:RCH29 RLT5:RMD29 RVP5:RVZ29 SFL5:SFV29 SPH5:SPR29 SZD5:SZN29 TIZ5:TJJ29 TSV5:TTF29 UCR5:UDB29 UMN5:UMX29 UWJ5:UWT29 VGF5:VGP29 VQB5:VQL29 VZX5:WAH29 WJT5:WKD29" xr:uid="{7BD5A66D-893A-4D7A-AA21-B4CFFDD6B43F}">
      <formula1>$C$33:$C$53</formula1>
    </dataValidation>
    <dataValidation type="list" allowBlank="1" showInputMessage="1" showErrorMessage="1" sqref="WUA983023:WUD983060 VQM983023:VQP983060 VGQ983023:VGT983060 UWU983023:UWX983060 UMY983023:UNB983060 UDC983023:UDF983060 TTG983023:TTJ983060 TJK983023:TJN983060 SZO983023:SZR983060 SPS983023:SPV983060 SFW983023:SFZ983060 RWA983023:RWD983060 RME983023:RMH983060 RCI983023:RCL983060 QSM983023:QSP983060 QIQ983023:QIT983060 PYU983023:PYX983060 POY983023:PPB983060 PFC983023:PFF983060 OVG983023:OVJ983060 OLK983023:OLN983060 OBO983023:OBR983060 NRS983023:NRV983060 NHW983023:NHZ983060 MYA983023:MYD983060 MOE983023:MOH983060 MEI983023:MEL983060 LUM983023:LUP983060 LKQ983023:LKT983060 LAU983023:LAX983060 KQY983023:KRB983060 KHC983023:KHF983060 JXG983023:JXJ983060 JNK983023:JNN983060 JDO983023:JDR983060 ITS983023:ITV983060 IJW983023:IJZ983060 IAA983023:IAD983060 HQE983023:HQH983060 HGI983023:HGL983060 GWM983023:GWP983060 GMQ983023:GMT983060 GCU983023:GCX983060 FSY983023:FTB983060 FJC983023:FJF983060 EZG983023:EZJ983060 EPK983023:EPN983060 EFO983023:EFR983060 DVS983023:DVV983060 DLW983023:DLZ983060 DCA983023:DCD983060 CSE983023:CSH983060 CII983023:CIL983060 BYM983023:BYP983060 BOQ983023:BOT983060 BEU983023:BEX983060 AUY983023:AVB983060 ALC983023:ALF983060 ABG983023:ABJ983060 RK983023:RN983060 HO983023:HR983060 WUA917487:WUD917524 WKE917487:WKH917524 WAI917487:WAL917524 VQM917487:VQP917524 VGQ917487:VGT917524 UWU917487:UWX917524 UMY917487:UNB917524 UDC917487:UDF917524 TTG917487:TTJ917524 TJK917487:TJN917524 SZO917487:SZR917524 SPS917487:SPV917524 SFW917487:SFZ917524 RWA917487:RWD917524 RME917487:RMH917524 RCI917487:RCL917524 QSM917487:QSP917524 QIQ917487:QIT917524 PYU917487:PYX917524 POY917487:PPB917524 PFC917487:PFF917524 OVG917487:OVJ917524 OLK917487:OLN917524 OBO917487:OBR917524 NRS917487:NRV917524 NHW917487:NHZ917524 MYA917487:MYD917524 MOE917487:MOH917524 MEI917487:MEL917524 LUM917487:LUP917524 LKQ917487:LKT917524 LAU917487:LAX917524 KQY917487:KRB917524 KHC917487:KHF917524 JXG917487:JXJ917524 JNK917487:JNN917524 JDO917487:JDR917524 ITS917487:ITV917524 IJW917487:IJZ917524 IAA917487:IAD917524 HQE917487:HQH917524 HGI917487:HGL917524 GWM917487:GWP917524 GMQ917487:GMT917524 GCU917487:GCX917524 FSY917487:FTB917524 FJC917487:FJF917524 EZG917487:EZJ917524 EPK917487:EPN917524 EFO917487:EFR917524 DVS917487:DVV917524 DLW917487:DLZ917524 DCA917487:DCD917524 CSE917487:CSH917524 CII917487:CIL917524 BYM917487:BYP917524 BOQ917487:BOT917524 BEU917487:BEX917524 AUY917487:AVB917524 ALC917487:ALF917524 ABG917487:ABJ917524 RK917487:RN917524 HO917487:HR917524 WUA851951:WUD851988 WKE851951:WKH851988 WAI851951:WAL851988 VQM851951:VQP851988 VGQ851951:VGT851988 UWU851951:UWX851988 UMY851951:UNB851988 UDC851951:UDF851988 TTG851951:TTJ851988 TJK851951:TJN851988 SZO851951:SZR851988 SPS851951:SPV851988 SFW851951:SFZ851988 RWA851951:RWD851988 RME851951:RMH851988 RCI851951:RCL851988 QSM851951:QSP851988 QIQ851951:QIT851988 PYU851951:PYX851988 POY851951:PPB851988 PFC851951:PFF851988 OVG851951:OVJ851988 OLK851951:OLN851988 OBO851951:OBR851988 NRS851951:NRV851988 NHW851951:NHZ851988 MYA851951:MYD851988 MOE851951:MOH851988 MEI851951:MEL851988 LUM851951:LUP851988 LKQ851951:LKT851988 LAU851951:LAX851988 KQY851951:KRB851988 KHC851951:KHF851988 JXG851951:JXJ851988 JNK851951:JNN851988 JDO851951:JDR851988 ITS851951:ITV851988 IJW851951:IJZ851988 IAA851951:IAD851988 HQE851951:HQH851988 HGI851951:HGL851988 GWM851951:GWP851988 GMQ851951:GMT851988 GCU851951:GCX851988 FSY851951:FTB851988 FJC851951:FJF851988 EZG851951:EZJ851988 EPK851951:EPN851988 EFO851951:EFR851988 DVS851951:DVV851988 DLW851951:DLZ851988 DCA851951:DCD851988 CSE851951:CSH851988 CII851951:CIL851988 BYM851951:BYP851988 BOQ851951:BOT851988 BEU851951:BEX851988 AUY851951:AVB851988 ALC851951:ALF851988 ABG851951:ABJ851988 RK851951:RN851988 HO851951:HR851988 WUA786415:WUD786452 WKE786415:WKH786452 WAI786415:WAL786452 VQM786415:VQP786452 VGQ786415:VGT786452 UWU786415:UWX786452 UMY786415:UNB786452 UDC786415:UDF786452 TTG786415:TTJ786452 TJK786415:TJN786452 SZO786415:SZR786452 SPS786415:SPV786452 SFW786415:SFZ786452 RWA786415:RWD786452 RME786415:RMH786452 RCI786415:RCL786452 QSM786415:QSP786452 QIQ786415:QIT786452 PYU786415:PYX786452 POY786415:PPB786452 PFC786415:PFF786452 OVG786415:OVJ786452 OLK786415:OLN786452 OBO786415:OBR786452 NRS786415:NRV786452 NHW786415:NHZ786452 MYA786415:MYD786452 MOE786415:MOH786452 MEI786415:MEL786452 LUM786415:LUP786452 LKQ786415:LKT786452 LAU786415:LAX786452 KQY786415:KRB786452 KHC786415:KHF786452 JXG786415:JXJ786452 JNK786415:JNN786452 JDO786415:JDR786452 ITS786415:ITV786452 IJW786415:IJZ786452 IAA786415:IAD786452 HQE786415:HQH786452 HGI786415:HGL786452 GWM786415:GWP786452 GMQ786415:GMT786452 GCU786415:GCX786452 FSY786415:FTB786452 FJC786415:FJF786452 EZG786415:EZJ786452 EPK786415:EPN786452 EFO786415:EFR786452 DVS786415:DVV786452 DLW786415:DLZ786452 DCA786415:DCD786452 CSE786415:CSH786452 CII786415:CIL786452 BYM786415:BYP786452 BOQ786415:BOT786452 BEU786415:BEX786452 AUY786415:AVB786452 ALC786415:ALF786452 ABG786415:ABJ786452 RK786415:RN786452 HO786415:HR786452 WUA720879:WUD720916 WKE720879:WKH720916 WAI720879:WAL720916 VQM720879:VQP720916 VGQ720879:VGT720916 UWU720879:UWX720916 UMY720879:UNB720916 UDC720879:UDF720916 TTG720879:TTJ720916 TJK720879:TJN720916 SZO720879:SZR720916 SPS720879:SPV720916 SFW720879:SFZ720916 RWA720879:RWD720916 RME720879:RMH720916 RCI720879:RCL720916 QSM720879:QSP720916 QIQ720879:QIT720916 PYU720879:PYX720916 POY720879:PPB720916 PFC720879:PFF720916 OVG720879:OVJ720916 OLK720879:OLN720916 OBO720879:OBR720916 NRS720879:NRV720916 NHW720879:NHZ720916 MYA720879:MYD720916 MOE720879:MOH720916 MEI720879:MEL720916 LUM720879:LUP720916 LKQ720879:LKT720916 LAU720879:LAX720916 KQY720879:KRB720916 KHC720879:KHF720916 JXG720879:JXJ720916 JNK720879:JNN720916 JDO720879:JDR720916 ITS720879:ITV720916 IJW720879:IJZ720916 IAA720879:IAD720916 HQE720879:HQH720916 HGI720879:HGL720916 GWM720879:GWP720916 GMQ720879:GMT720916 GCU720879:GCX720916 FSY720879:FTB720916 FJC720879:FJF720916 EZG720879:EZJ720916 EPK720879:EPN720916 EFO720879:EFR720916 DVS720879:DVV720916 DLW720879:DLZ720916 DCA720879:DCD720916 CSE720879:CSH720916 CII720879:CIL720916 BYM720879:BYP720916 BOQ720879:BOT720916 BEU720879:BEX720916 AUY720879:AVB720916 ALC720879:ALF720916 ABG720879:ABJ720916 RK720879:RN720916 HO720879:HR720916 WUA655343:WUD655380 WKE655343:WKH655380 WAI655343:WAL655380 VQM655343:VQP655380 VGQ655343:VGT655380 UWU655343:UWX655380 UMY655343:UNB655380 UDC655343:UDF655380 TTG655343:TTJ655380 TJK655343:TJN655380 SZO655343:SZR655380 SPS655343:SPV655380 SFW655343:SFZ655380 RWA655343:RWD655380 RME655343:RMH655380 RCI655343:RCL655380 QSM655343:QSP655380 QIQ655343:QIT655380 PYU655343:PYX655380 POY655343:PPB655380 PFC655343:PFF655380 OVG655343:OVJ655380 OLK655343:OLN655380 OBO655343:OBR655380 NRS655343:NRV655380 NHW655343:NHZ655380 MYA655343:MYD655380 MOE655343:MOH655380 MEI655343:MEL655380 LUM655343:LUP655380 LKQ655343:LKT655380 LAU655343:LAX655380 KQY655343:KRB655380 KHC655343:KHF655380 JXG655343:JXJ655380 JNK655343:JNN655380 JDO655343:JDR655380 ITS655343:ITV655380 IJW655343:IJZ655380 IAA655343:IAD655380 HQE655343:HQH655380 HGI655343:HGL655380 GWM655343:GWP655380 GMQ655343:GMT655380 GCU655343:GCX655380 FSY655343:FTB655380 FJC655343:FJF655380 EZG655343:EZJ655380 EPK655343:EPN655380 EFO655343:EFR655380 DVS655343:DVV655380 DLW655343:DLZ655380 DCA655343:DCD655380 CSE655343:CSH655380 CII655343:CIL655380 BYM655343:BYP655380 BOQ655343:BOT655380 BEU655343:BEX655380 AUY655343:AVB655380 ALC655343:ALF655380 ABG655343:ABJ655380 RK655343:RN655380 HO655343:HR655380 WUA589807:WUD589844 WKE589807:WKH589844 WAI589807:WAL589844 VQM589807:VQP589844 VGQ589807:VGT589844 UWU589807:UWX589844 UMY589807:UNB589844 UDC589807:UDF589844 TTG589807:TTJ589844 TJK589807:TJN589844 SZO589807:SZR589844 SPS589807:SPV589844 SFW589807:SFZ589844 RWA589807:RWD589844 RME589807:RMH589844 RCI589807:RCL589844 QSM589807:QSP589844 QIQ589807:QIT589844 PYU589807:PYX589844 POY589807:PPB589844 PFC589807:PFF589844 OVG589807:OVJ589844 OLK589807:OLN589844 OBO589807:OBR589844 NRS589807:NRV589844 NHW589807:NHZ589844 MYA589807:MYD589844 MOE589807:MOH589844 MEI589807:MEL589844 LUM589807:LUP589844 LKQ589807:LKT589844 LAU589807:LAX589844 KQY589807:KRB589844 KHC589807:KHF589844 JXG589807:JXJ589844 JNK589807:JNN589844 JDO589807:JDR589844 ITS589807:ITV589844 IJW589807:IJZ589844 IAA589807:IAD589844 HQE589807:HQH589844 HGI589807:HGL589844 GWM589807:GWP589844 GMQ589807:GMT589844 GCU589807:GCX589844 FSY589807:FTB589844 FJC589807:FJF589844 EZG589807:EZJ589844 EPK589807:EPN589844 EFO589807:EFR589844 DVS589807:DVV589844 DLW589807:DLZ589844 DCA589807:DCD589844 CSE589807:CSH589844 CII589807:CIL589844 BYM589807:BYP589844 BOQ589807:BOT589844 BEU589807:BEX589844 AUY589807:AVB589844 ALC589807:ALF589844 ABG589807:ABJ589844 RK589807:RN589844 HO589807:HR589844 WUA524271:WUD524308 WKE524271:WKH524308 WAI524271:WAL524308 VQM524271:VQP524308 VGQ524271:VGT524308 UWU524271:UWX524308 UMY524271:UNB524308 UDC524271:UDF524308 TTG524271:TTJ524308 TJK524271:TJN524308 SZO524271:SZR524308 SPS524271:SPV524308 SFW524271:SFZ524308 RWA524271:RWD524308 RME524271:RMH524308 RCI524271:RCL524308 QSM524271:QSP524308 QIQ524271:QIT524308 PYU524271:PYX524308 POY524271:PPB524308 PFC524271:PFF524308 OVG524271:OVJ524308 OLK524271:OLN524308 OBO524271:OBR524308 NRS524271:NRV524308 NHW524271:NHZ524308 MYA524271:MYD524308 MOE524271:MOH524308 MEI524271:MEL524308 LUM524271:LUP524308 LKQ524271:LKT524308 LAU524271:LAX524308 KQY524271:KRB524308 KHC524271:KHF524308 JXG524271:JXJ524308 JNK524271:JNN524308 JDO524271:JDR524308 ITS524271:ITV524308 IJW524271:IJZ524308 IAA524271:IAD524308 HQE524271:HQH524308 HGI524271:HGL524308 GWM524271:GWP524308 GMQ524271:GMT524308 GCU524271:GCX524308 FSY524271:FTB524308 FJC524271:FJF524308 EZG524271:EZJ524308 EPK524271:EPN524308 EFO524271:EFR524308 DVS524271:DVV524308 DLW524271:DLZ524308 DCA524271:DCD524308 CSE524271:CSH524308 CII524271:CIL524308 BYM524271:BYP524308 BOQ524271:BOT524308 BEU524271:BEX524308 AUY524271:AVB524308 ALC524271:ALF524308 ABG524271:ABJ524308 RK524271:RN524308 HO524271:HR524308 WUA458735:WUD458772 WKE458735:WKH458772 WAI458735:WAL458772 VQM458735:VQP458772 VGQ458735:VGT458772 UWU458735:UWX458772 UMY458735:UNB458772 UDC458735:UDF458772 TTG458735:TTJ458772 TJK458735:TJN458772 SZO458735:SZR458772 SPS458735:SPV458772 SFW458735:SFZ458772 RWA458735:RWD458772 RME458735:RMH458772 RCI458735:RCL458772 QSM458735:QSP458772 QIQ458735:QIT458772 PYU458735:PYX458772 POY458735:PPB458772 PFC458735:PFF458772 OVG458735:OVJ458772 OLK458735:OLN458772 OBO458735:OBR458772 NRS458735:NRV458772 NHW458735:NHZ458772 MYA458735:MYD458772 MOE458735:MOH458772 MEI458735:MEL458772 LUM458735:LUP458772 LKQ458735:LKT458772 LAU458735:LAX458772 KQY458735:KRB458772 KHC458735:KHF458772 JXG458735:JXJ458772 JNK458735:JNN458772 JDO458735:JDR458772 ITS458735:ITV458772 IJW458735:IJZ458772 IAA458735:IAD458772 HQE458735:HQH458772 HGI458735:HGL458772 GWM458735:GWP458772 GMQ458735:GMT458772 GCU458735:GCX458772 FSY458735:FTB458772 FJC458735:FJF458772 EZG458735:EZJ458772 EPK458735:EPN458772 EFO458735:EFR458772 DVS458735:DVV458772 DLW458735:DLZ458772 DCA458735:DCD458772 CSE458735:CSH458772 CII458735:CIL458772 BYM458735:BYP458772 BOQ458735:BOT458772 BEU458735:BEX458772 AUY458735:AVB458772 ALC458735:ALF458772 ABG458735:ABJ458772 RK458735:RN458772 HO458735:HR458772 WUA393199:WUD393236 WKE393199:WKH393236 WAI393199:WAL393236 VQM393199:VQP393236 VGQ393199:VGT393236 UWU393199:UWX393236 UMY393199:UNB393236 UDC393199:UDF393236 TTG393199:TTJ393236 TJK393199:TJN393236 SZO393199:SZR393236 SPS393199:SPV393236 SFW393199:SFZ393236 RWA393199:RWD393236 RME393199:RMH393236 RCI393199:RCL393236 QSM393199:QSP393236 QIQ393199:QIT393236 PYU393199:PYX393236 POY393199:PPB393236 PFC393199:PFF393236 OVG393199:OVJ393236 OLK393199:OLN393236 OBO393199:OBR393236 NRS393199:NRV393236 NHW393199:NHZ393236 MYA393199:MYD393236 MOE393199:MOH393236 MEI393199:MEL393236 LUM393199:LUP393236 LKQ393199:LKT393236 LAU393199:LAX393236 KQY393199:KRB393236 KHC393199:KHF393236 JXG393199:JXJ393236 JNK393199:JNN393236 JDO393199:JDR393236 ITS393199:ITV393236 IJW393199:IJZ393236 IAA393199:IAD393236 HQE393199:HQH393236 HGI393199:HGL393236 GWM393199:GWP393236 GMQ393199:GMT393236 GCU393199:GCX393236 FSY393199:FTB393236 FJC393199:FJF393236 EZG393199:EZJ393236 EPK393199:EPN393236 EFO393199:EFR393236 DVS393199:DVV393236 DLW393199:DLZ393236 DCA393199:DCD393236 CSE393199:CSH393236 CII393199:CIL393236 BYM393199:BYP393236 BOQ393199:BOT393236 BEU393199:BEX393236 AUY393199:AVB393236 ALC393199:ALF393236 ABG393199:ABJ393236 RK393199:RN393236 HO393199:HR393236 WUA327663:WUD327700 WKE327663:WKH327700 WAI327663:WAL327700 VQM327663:VQP327700 VGQ327663:VGT327700 UWU327663:UWX327700 UMY327663:UNB327700 UDC327663:UDF327700 TTG327663:TTJ327700 TJK327663:TJN327700 SZO327663:SZR327700 SPS327663:SPV327700 SFW327663:SFZ327700 RWA327663:RWD327700 RME327663:RMH327700 RCI327663:RCL327700 QSM327663:QSP327700 QIQ327663:QIT327700 PYU327663:PYX327700 POY327663:PPB327700 PFC327663:PFF327700 OVG327663:OVJ327700 OLK327663:OLN327700 OBO327663:OBR327700 NRS327663:NRV327700 NHW327663:NHZ327700 MYA327663:MYD327700 MOE327663:MOH327700 MEI327663:MEL327700 LUM327663:LUP327700 LKQ327663:LKT327700 LAU327663:LAX327700 KQY327663:KRB327700 KHC327663:KHF327700 JXG327663:JXJ327700 JNK327663:JNN327700 JDO327663:JDR327700 ITS327663:ITV327700 IJW327663:IJZ327700 IAA327663:IAD327700 HQE327663:HQH327700 HGI327663:HGL327700 GWM327663:GWP327700 GMQ327663:GMT327700 GCU327663:GCX327700 FSY327663:FTB327700 FJC327663:FJF327700 EZG327663:EZJ327700 EPK327663:EPN327700 EFO327663:EFR327700 DVS327663:DVV327700 DLW327663:DLZ327700 DCA327663:DCD327700 CSE327663:CSH327700 CII327663:CIL327700 BYM327663:BYP327700 BOQ327663:BOT327700 BEU327663:BEX327700 AUY327663:AVB327700 ALC327663:ALF327700 ABG327663:ABJ327700 RK327663:RN327700 HO327663:HR327700 WUA262127:WUD262164 WKE262127:WKH262164 WAI262127:WAL262164 VQM262127:VQP262164 VGQ262127:VGT262164 UWU262127:UWX262164 UMY262127:UNB262164 UDC262127:UDF262164 TTG262127:TTJ262164 TJK262127:TJN262164 SZO262127:SZR262164 SPS262127:SPV262164 SFW262127:SFZ262164 RWA262127:RWD262164 RME262127:RMH262164 RCI262127:RCL262164 QSM262127:QSP262164 QIQ262127:QIT262164 PYU262127:PYX262164 POY262127:PPB262164 PFC262127:PFF262164 OVG262127:OVJ262164 OLK262127:OLN262164 OBO262127:OBR262164 NRS262127:NRV262164 NHW262127:NHZ262164 MYA262127:MYD262164 MOE262127:MOH262164 MEI262127:MEL262164 LUM262127:LUP262164 LKQ262127:LKT262164 LAU262127:LAX262164 KQY262127:KRB262164 KHC262127:KHF262164 JXG262127:JXJ262164 JNK262127:JNN262164 JDO262127:JDR262164 ITS262127:ITV262164 IJW262127:IJZ262164 IAA262127:IAD262164 HQE262127:HQH262164 HGI262127:HGL262164 GWM262127:GWP262164 GMQ262127:GMT262164 GCU262127:GCX262164 FSY262127:FTB262164 FJC262127:FJF262164 EZG262127:EZJ262164 EPK262127:EPN262164 EFO262127:EFR262164 DVS262127:DVV262164 DLW262127:DLZ262164 DCA262127:DCD262164 CSE262127:CSH262164 CII262127:CIL262164 BYM262127:BYP262164 BOQ262127:BOT262164 BEU262127:BEX262164 AUY262127:AVB262164 ALC262127:ALF262164 ABG262127:ABJ262164 RK262127:RN262164 HO262127:HR262164 WUA196591:WUD196628 WKE196591:WKH196628 WAI196591:WAL196628 VQM196591:VQP196628 VGQ196591:VGT196628 UWU196591:UWX196628 UMY196591:UNB196628 UDC196591:UDF196628 TTG196591:TTJ196628 TJK196591:TJN196628 SZO196591:SZR196628 SPS196591:SPV196628 SFW196591:SFZ196628 RWA196591:RWD196628 RME196591:RMH196628 RCI196591:RCL196628 QSM196591:QSP196628 QIQ196591:QIT196628 PYU196591:PYX196628 POY196591:PPB196628 PFC196591:PFF196628 OVG196591:OVJ196628 OLK196591:OLN196628 OBO196591:OBR196628 NRS196591:NRV196628 NHW196591:NHZ196628 MYA196591:MYD196628 MOE196591:MOH196628 MEI196591:MEL196628 LUM196591:LUP196628 LKQ196591:LKT196628 LAU196591:LAX196628 KQY196591:KRB196628 KHC196591:KHF196628 JXG196591:JXJ196628 JNK196591:JNN196628 JDO196591:JDR196628 ITS196591:ITV196628 IJW196591:IJZ196628 IAA196591:IAD196628 HQE196591:HQH196628 HGI196591:HGL196628 GWM196591:GWP196628 GMQ196591:GMT196628 GCU196591:GCX196628 FSY196591:FTB196628 FJC196591:FJF196628 EZG196591:EZJ196628 EPK196591:EPN196628 EFO196591:EFR196628 DVS196591:DVV196628 DLW196591:DLZ196628 DCA196591:DCD196628 CSE196591:CSH196628 CII196591:CIL196628 BYM196591:BYP196628 BOQ196591:BOT196628 BEU196591:BEX196628 AUY196591:AVB196628 ALC196591:ALF196628 ABG196591:ABJ196628 RK196591:RN196628 HO196591:HR196628 WUA131055:WUD131092 WKE131055:WKH131092 WAI131055:WAL131092 VQM131055:VQP131092 VGQ131055:VGT131092 UWU131055:UWX131092 UMY131055:UNB131092 UDC131055:UDF131092 TTG131055:TTJ131092 TJK131055:TJN131092 SZO131055:SZR131092 SPS131055:SPV131092 SFW131055:SFZ131092 RWA131055:RWD131092 RME131055:RMH131092 RCI131055:RCL131092 QSM131055:QSP131092 QIQ131055:QIT131092 PYU131055:PYX131092 POY131055:PPB131092 PFC131055:PFF131092 OVG131055:OVJ131092 OLK131055:OLN131092 OBO131055:OBR131092 NRS131055:NRV131092 NHW131055:NHZ131092 MYA131055:MYD131092 MOE131055:MOH131092 MEI131055:MEL131092 LUM131055:LUP131092 LKQ131055:LKT131092 LAU131055:LAX131092 KQY131055:KRB131092 KHC131055:KHF131092 JXG131055:JXJ131092 JNK131055:JNN131092 JDO131055:JDR131092 ITS131055:ITV131092 IJW131055:IJZ131092 IAA131055:IAD131092 HQE131055:HQH131092 HGI131055:HGL131092 GWM131055:GWP131092 GMQ131055:GMT131092 GCU131055:GCX131092 FSY131055:FTB131092 FJC131055:FJF131092 EZG131055:EZJ131092 EPK131055:EPN131092 EFO131055:EFR131092 DVS131055:DVV131092 DLW131055:DLZ131092 DCA131055:DCD131092 CSE131055:CSH131092 CII131055:CIL131092 BYM131055:BYP131092 BOQ131055:BOT131092 BEU131055:BEX131092 AUY131055:AVB131092 ALC131055:ALF131092 ABG131055:ABJ131092 RK131055:RN131092 HO131055:HR131092 WUA65519:WUD65556 WKE65519:WKH65556 WAI65519:WAL65556 VQM65519:VQP65556 VGQ65519:VGT65556 UWU65519:UWX65556 UMY65519:UNB65556 UDC65519:UDF65556 TTG65519:TTJ65556 TJK65519:TJN65556 SZO65519:SZR65556 SPS65519:SPV65556 SFW65519:SFZ65556 RWA65519:RWD65556 RME65519:RMH65556 RCI65519:RCL65556 QSM65519:QSP65556 QIQ65519:QIT65556 PYU65519:PYX65556 POY65519:PPB65556 PFC65519:PFF65556 OVG65519:OVJ65556 OLK65519:OLN65556 OBO65519:OBR65556 NRS65519:NRV65556 NHW65519:NHZ65556 MYA65519:MYD65556 MOE65519:MOH65556 MEI65519:MEL65556 LUM65519:LUP65556 LKQ65519:LKT65556 LAU65519:LAX65556 KQY65519:KRB65556 KHC65519:KHF65556 JXG65519:JXJ65556 JNK65519:JNN65556 JDO65519:JDR65556 ITS65519:ITV65556 IJW65519:IJZ65556 IAA65519:IAD65556 HQE65519:HQH65556 HGI65519:HGL65556 GWM65519:GWP65556 GMQ65519:GMT65556 GCU65519:GCX65556 FSY65519:FTB65556 FJC65519:FJF65556 EZG65519:EZJ65556 EPK65519:EPN65556 EFO65519:EFR65556 DVS65519:DVV65556 DLW65519:DLZ65556 DCA65519:DCD65556 CSE65519:CSH65556 CII65519:CIL65556 BYM65519:BYP65556 BOQ65519:BOT65556 BEU65519:BEX65556 AUY65519:AVB65556 ALC65519:ALF65556 ABG65519:ABJ65556 RK65519:RN65556 HO65519:HR65556 WKE983023:WKH983060 WAI983023:WAL983060 WAI5:WAL29 VQM5:VQP29 VGQ5:VGT29 UWU5:UWX29 UMY5:UNB29 UDC5:UDF29 TTG5:TTJ29 TJK5:TJN29 SZO5:SZR29 SPS5:SPV29 SFW5:SFZ29 RWA5:RWD29 RME5:RMH29 RCI5:RCL29 QSM5:QSP29 QIQ5:QIT29 PYU5:PYX29 POY5:PPB29 PFC5:PFF29 OVG5:OVJ29 OLK5:OLN29 OBO5:OBR29 NRS5:NRV29 NHW5:NHZ29 MYA5:MYD29 MOE5:MOH29 MEI5:MEL29 LUM5:LUP29 LKQ5:LKT29 LAU5:LAX29 KQY5:KRB29 KHC5:KHF29 JXG5:JXJ29 JNK5:JNN29 JDO5:JDR29 ITS5:ITV29 IJW5:IJZ29 IAA5:IAD29 HQE5:HQH29 HGI5:HGL29 GWM5:GWP29 GMQ5:GMT29 GCU5:GCX29 FSY5:FTB29 FJC5:FJF29 EZG5:EZJ29 EPK5:EPN29 EFO5:EFR29 DVS5:DVV29 DLW5:DLZ29 DCA5:DCD29 CSE5:CSH29 CII5:CIL29 BYM5:BYP29 BOQ5:BOT29 BEU5:BEX29 AUY5:AVB29 ALC5:ALF29 ABG5:ABJ29 RK5:RN29 HO5:HR29 WUA5:WUD29 WKE5:WKH29" xr:uid="{95629BFD-FFB3-4FF5-A3B6-537950BF97B6}">
      <formula1>#REF!</formula1>
    </dataValidation>
    <dataValidation type="list" allowBlank="1" showInputMessage="1" showErrorMessage="1" sqref="HR983064:HY983069 RN983064:RU983069 ABJ983064:ABQ983069 ALF983064:ALM983069 AVB983064:AVI983069 BEX983064:BFE983069 BOT983064:BPA983069 BYP983064:BYW983069 CIL983064:CIS983069 CSH983064:CSO983069 DCD983064:DCK983069 DLZ983064:DMG983069 DVV983064:DWC983069 EFR983064:EFY983069 EPN983064:EPU983069 EZJ983064:EZQ983069 FJF983064:FJM983069 FTB983064:FTI983069 GCX983064:GDE983069 GMT983064:GNA983069 GWP983064:GWW983069 HGL983064:HGS983069 HQH983064:HQO983069 IAD983064:IAK983069 IJZ983064:IKG983069 ITV983064:IUC983069 JDR983064:JDY983069 JNN983064:JNU983069 JXJ983064:JXQ983069 KHF983064:KHM983069 KRB983064:KRI983069 LAX983064:LBE983069 LKT983064:LLA983069 LUP983064:LUW983069 MEL983064:MES983069 MOH983064:MOO983069 MYD983064:MYK983069 NHZ983064:NIG983069 NRV983064:NSC983069 OBR983064:OBY983069 OLN983064:OLU983069 OVJ983064:OVQ983069 PFF983064:PFM983069 PPB983064:PPI983069 PYX983064:PZE983069 QIT983064:QJA983069 QSP983064:QSW983069 RCL983064:RCS983069 RMH983064:RMO983069 RWD983064:RWK983069 SFZ983064:SGG983069 SPV983064:SQC983069 SZR983064:SZY983069 TJN983064:TJU983069 TTJ983064:TTQ983069 UDF983064:UDM983069 UNB983064:UNI983069 UWX983064:UXE983069 VGT983064:VHA983069 VQP983064:VQW983069 WAL983064:WAS983069 WKH983064:WKO983069 WUD983064:WUK983069 HR65560:HY65565 RN65560:RU65565 ABJ65560:ABQ65565 ALF65560:ALM65565 AVB65560:AVI65565 BEX65560:BFE65565 BOT65560:BPA65565 BYP65560:BYW65565 CIL65560:CIS65565 CSH65560:CSO65565 DCD65560:DCK65565 DLZ65560:DMG65565 DVV65560:DWC65565 EFR65560:EFY65565 EPN65560:EPU65565 EZJ65560:EZQ65565 FJF65560:FJM65565 FTB65560:FTI65565 GCX65560:GDE65565 GMT65560:GNA65565 GWP65560:GWW65565 HGL65560:HGS65565 HQH65560:HQO65565 IAD65560:IAK65565 IJZ65560:IKG65565 ITV65560:IUC65565 JDR65560:JDY65565 JNN65560:JNU65565 JXJ65560:JXQ65565 KHF65560:KHM65565 KRB65560:KRI65565 LAX65560:LBE65565 LKT65560:LLA65565 LUP65560:LUW65565 MEL65560:MES65565 MOH65560:MOO65565 MYD65560:MYK65565 NHZ65560:NIG65565 NRV65560:NSC65565 OBR65560:OBY65565 OLN65560:OLU65565 OVJ65560:OVQ65565 PFF65560:PFM65565 PPB65560:PPI65565 PYX65560:PZE65565 QIT65560:QJA65565 QSP65560:QSW65565 RCL65560:RCS65565 RMH65560:RMO65565 RWD65560:RWK65565 SFZ65560:SGG65565 SPV65560:SQC65565 SZR65560:SZY65565 TJN65560:TJU65565 TTJ65560:TTQ65565 UDF65560:UDM65565 UNB65560:UNI65565 UWX65560:UXE65565 VGT65560:VHA65565 VQP65560:VQW65565 WAL65560:WAS65565 WKH65560:WKO65565 WUD65560:WUK65565 HR131096:HY131101 RN131096:RU131101 ABJ131096:ABQ131101 ALF131096:ALM131101 AVB131096:AVI131101 BEX131096:BFE131101 BOT131096:BPA131101 BYP131096:BYW131101 CIL131096:CIS131101 CSH131096:CSO131101 DCD131096:DCK131101 DLZ131096:DMG131101 DVV131096:DWC131101 EFR131096:EFY131101 EPN131096:EPU131101 EZJ131096:EZQ131101 FJF131096:FJM131101 FTB131096:FTI131101 GCX131096:GDE131101 GMT131096:GNA131101 GWP131096:GWW131101 HGL131096:HGS131101 HQH131096:HQO131101 IAD131096:IAK131101 IJZ131096:IKG131101 ITV131096:IUC131101 JDR131096:JDY131101 JNN131096:JNU131101 JXJ131096:JXQ131101 KHF131096:KHM131101 KRB131096:KRI131101 LAX131096:LBE131101 LKT131096:LLA131101 LUP131096:LUW131101 MEL131096:MES131101 MOH131096:MOO131101 MYD131096:MYK131101 NHZ131096:NIG131101 NRV131096:NSC131101 OBR131096:OBY131101 OLN131096:OLU131101 OVJ131096:OVQ131101 PFF131096:PFM131101 PPB131096:PPI131101 PYX131096:PZE131101 QIT131096:QJA131101 QSP131096:QSW131101 RCL131096:RCS131101 RMH131096:RMO131101 RWD131096:RWK131101 SFZ131096:SGG131101 SPV131096:SQC131101 SZR131096:SZY131101 TJN131096:TJU131101 TTJ131096:TTQ131101 UDF131096:UDM131101 UNB131096:UNI131101 UWX131096:UXE131101 VGT131096:VHA131101 VQP131096:VQW131101 WAL131096:WAS131101 WKH131096:WKO131101 WUD131096:WUK131101 HR196632:HY196637 RN196632:RU196637 ABJ196632:ABQ196637 ALF196632:ALM196637 AVB196632:AVI196637 BEX196632:BFE196637 BOT196632:BPA196637 BYP196632:BYW196637 CIL196632:CIS196637 CSH196632:CSO196637 DCD196632:DCK196637 DLZ196632:DMG196637 DVV196632:DWC196637 EFR196632:EFY196637 EPN196632:EPU196637 EZJ196632:EZQ196637 FJF196632:FJM196637 FTB196632:FTI196637 GCX196632:GDE196637 GMT196632:GNA196637 GWP196632:GWW196637 HGL196632:HGS196637 HQH196632:HQO196637 IAD196632:IAK196637 IJZ196632:IKG196637 ITV196632:IUC196637 JDR196632:JDY196637 JNN196632:JNU196637 JXJ196632:JXQ196637 KHF196632:KHM196637 KRB196632:KRI196637 LAX196632:LBE196637 LKT196632:LLA196637 LUP196632:LUW196637 MEL196632:MES196637 MOH196632:MOO196637 MYD196632:MYK196637 NHZ196632:NIG196637 NRV196632:NSC196637 OBR196632:OBY196637 OLN196632:OLU196637 OVJ196632:OVQ196637 PFF196632:PFM196637 PPB196632:PPI196637 PYX196632:PZE196637 QIT196632:QJA196637 QSP196632:QSW196637 RCL196632:RCS196637 RMH196632:RMO196637 RWD196632:RWK196637 SFZ196632:SGG196637 SPV196632:SQC196637 SZR196632:SZY196637 TJN196632:TJU196637 TTJ196632:TTQ196637 UDF196632:UDM196637 UNB196632:UNI196637 UWX196632:UXE196637 VGT196632:VHA196637 VQP196632:VQW196637 WAL196632:WAS196637 WKH196632:WKO196637 WUD196632:WUK196637 HR262168:HY262173 RN262168:RU262173 ABJ262168:ABQ262173 ALF262168:ALM262173 AVB262168:AVI262173 BEX262168:BFE262173 BOT262168:BPA262173 BYP262168:BYW262173 CIL262168:CIS262173 CSH262168:CSO262173 DCD262168:DCK262173 DLZ262168:DMG262173 DVV262168:DWC262173 EFR262168:EFY262173 EPN262168:EPU262173 EZJ262168:EZQ262173 FJF262168:FJM262173 FTB262168:FTI262173 GCX262168:GDE262173 GMT262168:GNA262173 GWP262168:GWW262173 HGL262168:HGS262173 HQH262168:HQO262173 IAD262168:IAK262173 IJZ262168:IKG262173 ITV262168:IUC262173 JDR262168:JDY262173 JNN262168:JNU262173 JXJ262168:JXQ262173 KHF262168:KHM262173 KRB262168:KRI262173 LAX262168:LBE262173 LKT262168:LLA262173 LUP262168:LUW262173 MEL262168:MES262173 MOH262168:MOO262173 MYD262168:MYK262173 NHZ262168:NIG262173 NRV262168:NSC262173 OBR262168:OBY262173 OLN262168:OLU262173 OVJ262168:OVQ262173 PFF262168:PFM262173 PPB262168:PPI262173 PYX262168:PZE262173 QIT262168:QJA262173 QSP262168:QSW262173 RCL262168:RCS262173 RMH262168:RMO262173 RWD262168:RWK262173 SFZ262168:SGG262173 SPV262168:SQC262173 SZR262168:SZY262173 TJN262168:TJU262173 TTJ262168:TTQ262173 UDF262168:UDM262173 UNB262168:UNI262173 UWX262168:UXE262173 VGT262168:VHA262173 VQP262168:VQW262173 WAL262168:WAS262173 WKH262168:WKO262173 WUD262168:WUK262173 HR327704:HY327709 RN327704:RU327709 ABJ327704:ABQ327709 ALF327704:ALM327709 AVB327704:AVI327709 BEX327704:BFE327709 BOT327704:BPA327709 BYP327704:BYW327709 CIL327704:CIS327709 CSH327704:CSO327709 DCD327704:DCK327709 DLZ327704:DMG327709 DVV327704:DWC327709 EFR327704:EFY327709 EPN327704:EPU327709 EZJ327704:EZQ327709 FJF327704:FJM327709 FTB327704:FTI327709 GCX327704:GDE327709 GMT327704:GNA327709 GWP327704:GWW327709 HGL327704:HGS327709 HQH327704:HQO327709 IAD327704:IAK327709 IJZ327704:IKG327709 ITV327704:IUC327709 JDR327704:JDY327709 JNN327704:JNU327709 JXJ327704:JXQ327709 KHF327704:KHM327709 KRB327704:KRI327709 LAX327704:LBE327709 LKT327704:LLA327709 LUP327704:LUW327709 MEL327704:MES327709 MOH327704:MOO327709 MYD327704:MYK327709 NHZ327704:NIG327709 NRV327704:NSC327709 OBR327704:OBY327709 OLN327704:OLU327709 OVJ327704:OVQ327709 PFF327704:PFM327709 PPB327704:PPI327709 PYX327704:PZE327709 QIT327704:QJA327709 QSP327704:QSW327709 RCL327704:RCS327709 RMH327704:RMO327709 RWD327704:RWK327709 SFZ327704:SGG327709 SPV327704:SQC327709 SZR327704:SZY327709 TJN327704:TJU327709 TTJ327704:TTQ327709 UDF327704:UDM327709 UNB327704:UNI327709 UWX327704:UXE327709 VGT327704:VHA327709 VQP327704:VQW327709 WAL327704:WAS327709 WKH327704:WKO327709 WUD327704:WUK327709 HR393240:HY393245 RN393240:RU393245 ABJ393240:ABQ393245 ALF393240:ALM393245 AVB393240:AVI393245 BEX393240:BFE393245 BOT393240:BPA393245 BYP393240:BYW393245 CIL393240:CIS393245 CSH393240:CSO393245 DCD393240:DCK393245 DLZ393240:DMG393245 DVV393240:DWC393245 EFR393240:EFY393245 EPN393240:EPU393245 EZJ393240:EZQ393245 FJF393240:FJM393245 FTB393240:FTI393245 GCX393240:GDE393245 GMT393240:GNA393245 GWP393240:GWW393245 HGL393240:HGS393245 HQH393240:HQO393245 IAD393240:IAK393245 IJZ393240:IKG393245 ITV393240:IUC393245 JDR393240:JDY393245 JNN393240:JNU393245 JXJ393240:JXQ393245 KHF393240:KHM393245 KRB393240:KRI393245 LAX393240:LBE393245 LKT393240:LLA393245 LUP393240:LUW393245 MEL393240:MES393245 MOH393240:MOO393245 MYD393240:MYK393245 NHZ393240:NIG393245 NRV393240:NSC393245 OBR393240:OBY393245 OLN393240:OLU393245 OVJ393240:OVQ393245 PFF393240:PFM393245 PPB393240:PPI393245 PYX393240:PZE393245 QIT393240:QJA393245 QSP393240:QSW393245 RCL393240:RCS393245 RMH393240:RMO393245 RWD393240:RWK393245 SFZ393240:SGG393245 SPV393240:SQC393245 SZR393240:SZY393245 TJN393240:TJU393245 TTJ393240:TTQ393245 UDF393240:UDM393245 UNB393240:UNI393245 UWX393240:UXE393245 VGT393240:VHA393245 VQP393240:VQW393245 WAL393240:WAS393245 WKH393240:WKO393245 WUD393240:WUK393245 HR458776:HY458781 RN458776:RU458781 ABJ458776:ABQ458781 ALF458776:ALM458781 AVB458776:AVI458781 BEX458776:BFE458781 BOT458776:BPA458781 BYP458776:BYW458781 CIL458776:CIS458781 CSH458776:CSO458781 DCD458776:DCK458781 DLZ458776:DMG458781 DVV458776:DWC458781 EFR458776:EFY458781 EPN458776:EPU458781 EZJ458776:EZQ458781 FJF458776:FJM458781 FTB458776:FTI458781 GCX458776:GDE458781 GMT458776:GNA458781 GWP458776:GWW458781 HGL458776:HGS458781 HQH458776:HQO458781 IAD458776:IAK458781 IJZ458776:IKG458781 ITV458776:IUC458781 JDR458776:JDY458781 JNN458776:JNU458781 JXJ458776:JXQ458781 KHF458776:KHM458781 KRB458776:KRI458781 LAX458776:LBE458781 LKT458776:LLA458781 LUP458776:LUW458781 MEL458776:MES458781 MOH458776:MOO458781 MYD458776:MYK458781 NHZ458776:NIG458781 NRV458776:NSC458781 OBR458776:OBY458781 OLN458776:OLU458781 OVJ458776:OVQ458781 PFF458776:PFM458781 PPB458776:PPI458781 PYX458776:PZE458781 QIT458776:QJA458781 QSP458776:QSW458781 RCL458776:RCS458781 RMH458776:RMO458781 RWD458776:RWK458781 SFZ458776:SGG458781 SPV458776:SQC458781 SZR458776:SZY458781 TJN458776:TJU458781 TTJ458776:TTQ458781 UDF458776:UDM458781 UNB458776:UNI458781 UWX458776:UXE458781 VGT458776:VHA458781 VQP458776:VQW458781 WAL458776:WAS458781 WKH458776:WKO458781 WUD458776:WUK458781 HR524312:HY524317 RN524312:RU524317 ABJ524312:ABQ524317 ALF524312:ALM524317 AVB524312:AVI524317 BEX524312:BFE524317 BOT524312:BPA524317 BYP524312:BYW524317 CIL524312:CIS524317 CSH524312:CSO524317 DCD524312:DCK524317 DLZ524312:DMG524317 DVV524312:DWC524317 EFR524312:EFY524317 EPN524312:EPU524317 EZJ524312:EZQ524317 FJF524312:FJM524317 FTB524312:FTI524317 GCX524312:GDE524317 GMT524312:GNA524317 GWP524312:GWW524317 HGL524312:HGS524317 HQH524312:HQO524317 IAD524312:IAK524317 IJZ524312:IKG524317 ITV524312:IUC524317 JDR524312:JDY524317 JNN524312:JNU524317 JXJ524312:JXQ524317 KHF524312:KHM524317 KRB524312:KRI524317 LAX524312:LBE524317 LKT524312:LLA524317 LUP524312:LUW524317 MEL524312:MES524317 MOH524312:MOO524317 MYD524312:MYK524317 NHZ524312:NIG524317 NRV524312:NSC524317 OBR524312:OBY524317 OLN524312:OLU524317 OVJ524312:OVQ524317 PFF524312:PFM524317 PPB524312:PPI524317 PYX524312:PZE524317 QIT524312:QJA524317 QSP524312:QSW524317 RCL524312:RCS524317 RMH524312:RMO524317 RWD524312:RWK524317 SFZ524312:SGG524317 SPV524312:SQC524317 SZR524312:SZY524317 TJN524312:TJU524317 TTJ524312:TTQ524317 UDF524312:UDM524317 UNB524312:UNI524317 UWX524312:UXE524317 VGT524312:VHA524317 VQP524312:VQW524317 WAL524312:WAS524317 WKH524312:WKO524317 WUD524312:WUK524317 HR589848:HY589853 RN589848:RU589853 ABJ589848:ABQ589853 ALF589848:ALM589853 AVB589848:AVI589853 BEX589848:BFE589853 BOT589848:BPA589853 BYP589848:BYW589853 CIL589848:CIS589853 CSH589848:CSO589853 DCD589848:DCK589853 DLZ589848:DMG589853 DVV589848:DWC589853 EFR589848:EFY589853 EPN589848:EPU589853 EZJ589848:EZQ589853 FJF589848:FJM589853 FTB589848:FTI589853 GCX589848:GDE589853 GMT589848:GNA589853 GWP589848:GWW589853 HGL589848:HGS589853 HQH589848:HQO589853 IAD589848:IAK589853 IJZ589848:IKG589853 ITV589848:IUC589853 JDR589848:JDY589853 JNN589848:JNU589853 JXJ589848:JXQ589853 KHF589848:KHM589853 KRB589848:KRI589853 LAX589848:LBE589853 LKT589848:LLA589853 LUP589848:LUW589853 MEL589848:MES589853 MOH589848:MOO589853 MYD589848:MYK589853 NHZ589848:NIG589853 NRV589848:NSC589853 OBR589848:OBY589853 OLN589848:OLU589853 OVJ589848:OVQ589853 PFF589848:PFM589853 PPB589848:PPI589853 PYX589848:PZE589853 QIT589848:QJA589853 QSP589848:QSW589853 RCL589848:RCS589853 RMH589848:RMO589853 RWD589848:RWK589853 SFZ589848:SGG589853 SPV589848:SQC589853 SZR589848:SZY589853 TJN589848:TJU589853 TTJ589848:TTQ589853 UDF589848:UDM589853 UNB589848:UNI589853 UWX589848:UXE589853 VGT589848:VHA589853 VQP589848:VQW589853 WAL589848:WAS589853 WKH589848:WKO589853 WUD589848:WUK589853 HR655384:HY655389 RN655384:RU655389 ABJ655384:ABQ655389 ALF655384:ALM655389 AVB655384:AVI655389 BEX655384:BFE655389 BOT655384:BPA655389 BYP655384:BYW655389 CIL655384:CIS655389 CSH655384:CSO655389 DCD655384:DCK655389 DLZ655384:DMG655389 DVV655384:DWC655389 EFR655384:EFY655389 EPN655384:EPU655389 EZJ655384:EZQ655389 FJF655384:FJM655389 FTB655384:FTI655389 GCX655384:GDE655389 GMT655384:GNA655389 GWP655384:GWW655389 HGL655384:HGS655389 HQH655384:HQO655389 IAD655384:IAK655389 IJZ655384:IKG655389 ITV655384:IUC655389 JDR655384:JDY655389 JNN655384:JNU655389 JXJ655384:JXQ655389 KHF655384:KHM655389 KRB655384:KRI655389 LAX655384:LBE655389 LKT655384:LLA655389 LUP655384:LUW655389 MEL655384:MES655389 MOH655384:MOO655389 MYD655384:MYK655389 NHZ655384:NIG655389 NRV655384:NSC655389 OBR655384:OBY655389 OLN655384:OLU655389 OVJ655384:OVQ655389 PFF655384:PFM655389 PPB655384:PPI655389 PYX655384:PZE655389 QIT655384:QJA655389 QSP655384:QSW655389 RCL655384:RCS655389 RMH655384:RMO655389 RWD655384:RWK655389 SFZ655384:SGG655389 SPV655384:SQC655389 SZR655384:SZY655389 TJN655384:TJU655389 TTJ655384:TTQ655389 UDF655384:UDM655389 UNB655384:UNI655389 UWX655384:UXE655389 VGT655384:VHA655389 VQP655384:VQW655389 WAL655384:WAS655389 WKH655384:WKO655389 WUD655384:WUK655389 HR720920:HY720925 RN720920:RU720925 ABJ720920:ABQ720925 ALF720920:ALM720925 AVB720920:AVI720925 BEX720920:BFE720925 BOT720920:BPA720925 BYP720920:BYW720925 CIL720920:CIS720925 CSH720920:CSO720925 DCD720920:DCK720925 DLZ720920:DMG720925 DVV720920:DWC720925 EFR720920:EFY720925 EPN720920:EPU720925 EZJ720920:EZQ720925 FJF720920:FJM720925 FTB720920:FTI720925 GCX720920:GDE720925 GMT720920:GNA720925 GWP720920:GWW720925 HGL720920:HGS720925 HQH720920:HQO720925 IAD720920:IAK720925 IJZ720920:IKG720925 ITV720920:IUC720925 JDR720920:JDY720925 JNN720920:JNU720925 JXJ720920:JXQ720925 KHF720920:KHM720925 KRB720920:KRI720925 LAX720920:LBE720925 LKT720920:LLA720925 LUP720920:LUW720925 MEL720920:MES720925 MOH720920:MOO720925 MYD720920:MYK720925 NHZ720920:NIG720925 NRV720920:NSC720925 OBR720920:OBY720925 OLN720920:OLU720925 OVJ720920:OVQ720925 PFF720920:PFM720925 PPB720920:PPI720925 PYX720920:PZE720925 QIT720920:QJA720925 QSP720920:QSW720925 RCL720920:RCS720925 RMH720920:RMO720925 RWD720920:RWK720925 SFZ720920:SGG720925 SPV720920:SQC720925 SZR720920:SZY720925 TJN720920:TJU720925 TTJ720920:TTQ720925 UDF720920:UDM720925 UNB720920:UNI720925 UWX720920:UXE720925 VGT720920:VHA720925 VQP720920:VQW720925 WAL720920:WAS720925 WKH720920:WKO720925 WUD720920:WUK720925 HR786456:HY786461 RN786456:RU786461 ABJ786456:ABQ786461 ALF786456:ALM786461 AVB786456:AVI786461 BEX786456:BFE786461 BOT786456:BPA786461 BYP786456:BYW786461 CIL786456:CIS786461 CSH786456:CSO786461 DCD786456:DCK786461 DLZ786456:DMG786461 DVV786456:DWC786461 EFR786456:EFY786461 EPN786456:EPU786461 EZJ786456:EZQ786461 FJF786456:FJM786461 FTB786456:FTI786461 GCX786456:GDE786461 GMT786456:GNA786461 GWP786456:GWW786461 HGL786456:HGS786461 HQH786456:HQO786461 IAD786456:IAK786461 IJZ786456:IKG786461 ITV786456:IUC786461 JDR786456:JDY786461 JNN786456:JNU786461 JXJ786456:JXQ786461 KHF786456:KHM786461 KRB786456:KRI786461 LAX786456:LBE786461 LKT786456:LLA786461 LUP786456:LUW786461 MEL786456:MES786461 MOH786456:MOO786461 MYD786456:MYK786461 NHZ786456:NIG786461 NRV786456:NSC786461 OBR786456:OBY786461 OLN786456:OLU786461 OVJ786456:OVQ786461 PFF786456:PFM786461 PPB786456:PPI786461 PYX786456:PZE786461 QIT786456:QJA786461 QSP786456:QSW786461 RCL786456:RCS786461 RMH786456:RMO786461 RWD786456:RWK786461 SFZ786456:SGG786461 SPV786456:SQC786461 SZR786456:SZY786461 TJN786456:TJU786461 TTJ786456:TTQ786461 UDF786456:UDM786461 UNB786456:UNI786461 UWX786456:UXE786461 VGT786456:VHA786461 VQP786456:VQW786461 WAL786456:WAS786461 WKH786456:WKO786461 WUD786456:WUK786461 HR851992:HY851997 RN851992:RU851997 ABJ851992:ABQ851997 ALF851992:ALM851997 AVB851992:AVI851997 BEX851992:BFE851997 BOT851992:BPA851997 BYP851992:BYW851997 CIL851992:CIS851997 CSH851992:CSO851997 DCD851992:DCK851997 DLZ851992:DMG851997 DVV851992:DWC851997 EFR851992:EFY851997 EPN851992:EPU851997 EZJ851992:EZQ851997 FJF851992:FJM851997 FTB851992:FTI851997 GCX851992:GDE851997 GMT851992:GNA851997 GWP851992:GWW851997 HGL851992:HGS851997 HQH851992:HQO851997 IAD851992:IAK851997 IJZ851992:IKG851997 ITV851992:IUC851997 JDR851992:JDY851997 JNN851992:JNU851997 JXJ851992:JXQ851997 KHF851992:KHM851997 KRB851992:KRI851997 LAX851992:LBE851997 LKT851992:LLA851997 LUP851992:LUW851997 MEL851992:MES851997 MOH851992:MOO851997 MYD851992:MYK851997 NHZ851992:NIG851997 NRV851992:NSC851997 OBR851992:OBY851997 OLN851992:OLU851997 OVJ851992:OVQ851997 PFF851992:PFM851997 PPB851992:PPI851997 PYX851992:PZE851997 QIT851992:QJA851997 QSP851992:QSW851997 RCL851992:RCS851997 RMH851992:RMO851997 RWD851992:RWK851997 SFZ851992:SGG851997 SPV851992:SQC851997 SZR851992:SZY851997 TJN851992:TJU851997 TTJ851992:TTQ851997 UDF851992:UDM851997 UNB851992:UNI851997 UWX851992:UXE851997 VGT851992:VHA851997 VQP851992:VQW851997 WAL851992:WAS851997 WKH851992:WKO851997 WUD851992:WUK851997 HR917528:HY917533 RN917528:RU917533 ABJ917528:ABQ917533 ALF917528:ALM917533 AVB917528:AVI917533 BEX917528:BFE917533 BOT917528:BPA917533 BYP917528:BYW917533 CIL917528:CIS917533 CSH917528:CSO917533 DCD917528:DCK917533 DLZ917528:DMG917533 DVV917528:DWC917533 EFR917528:EFY917533 EPN917528:EPU917533 EZJ917528:EZQ917533 FJF917528:FJM917533 FTB917528:FTI917533 GCX917528:GDE917533 GMT917528:GNA917533 GWP917528:GWW917533 HGL917528:HGS917533 HQH917528:HQO917533 IAD917528:IAK917533 IJZ917528:IKG917533 ITV917528:IUC917533 JDR917528:JDY917533 JNN917528:JNU917533 JXJ917528:JXQ917533 KHF917528:KHM917533 KRB917528:KRI917533 LAX917528:LBE917533 LKT917528:LLA917533 LUP917528:LUW917533 MEL917528:MES917533 MOH917528:MOO917533 MYD917528:MYK917533 NHZ917528:NIG917533 NRV917528:NSC917533 OBR917528:OBY917533 OLN917528:OLU917533 OVJ917528:OVQ917533 PFF917528:PFM917533 PPB917528:PPI917533 PYX917528:PZE917533 QIT917528:QJA917533 QSP917528:QSW917533 RCL917528:RCS917533 RMH917528:RMO917533 RWD917528:RWK917533 SFZ917528:SGG917533 SPV917528:SQC917533 SZR917528:SZY917533 TJN917528:TJU917533 TTJ917528:TTQ917533 UDF917528:UDM917533 UNB917528:UNI917533 UWX917528:UXE917533 VGT917528:VHA917533 VQP917528:VQW917533 WAL917528:WAS917533 WKH917528:WKO917533 WUD917528:WUK917533" xr:uid="{92E3B9A6-2BA9-4464-BC49-C91A4CCFB7D3}">
      <formula1>"サーバ,クライアント"</formula1>
    </dataValidation>
  </dataValidations>
  <pageMargins left="0.7" right="0.7" top="0.75" bottom="0.75" header="0.3" footer="0.3"/>
  <pageSetup paperSize="9" scale="54" fitToHeight="0" orientation="landscape" r:id="rId1"/>
  <ignoredErrors>
    <ignoredError sqref="A29:B29 A5:B6 A8:B9 A10:B23 A25:B25"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S54"/>
  <sheetViews>
    <sheetView showGridLines="0" view="pageBreakPreview" zoomScale="80" zoomScaleNormal="70" zoomScaleSheetLayoutView="80" workbookViewId="0">
      <selection sqref="A1:I1"/>
    </sheetView>
  </sheetViews>
  <sheetFormatPr defaultColWidth="2.453125" defaultRowHeight="15"/>
  <cols>
    <col min="1" max="86" width="2.7265625" style="174" customWidth="1"/>
    <col min="87" max="16384" width="2.453125" style="174"/>
  </cols>
  <sheetData>
    <row r="1" spans="1:97" s="141" customFormat="1">
      <c r="A1" s="310" t="s">
        <v>158</v>
      </c>
      <c r="B1" s="310"/>
      <c r="C1" s="310"/>
      <c r="D1" s="310"/>
      <c r="E1" s="310"/>
      <c r="F1" s="310"/>
      <c r="G1" s="310"/>
      <c r="H1" s="310"/>
      <c r="I1" s="310"/>
      <c r="J1" s="139"/>
      <c r="K1" s="139"/>
      <c r="L1" s="139"/>
      <c r="M1" s="139"/>
      <c r="N1" s="139"/>
      <c r="O1" s="139"/>
      <c r="P1" s="139"/>
      <c r="Q1" s="139"/>
      <c r="R1" s="139"/>
      <c r="S1" s="139"/>
      <c r="T1" s="139"/>
      <c r="U1" s="139"/>
      <c r="V1" s="139"/>
      <c r="W1" s="139"/>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40"/>
      <c r="BT1" s="140"/>
    </row>
    <row r="2" spans="1:97" s="141" customFormat="1">
      <c r="A2" s="311" t="s">
        <v>159</v>
      </c>
      <c r="B2" s="312"/>
      <c r="C2" s="315" t="s">
        <v>160</v>
      </c>
      <c r="D2" s="316"/>
      <c r="E2" s="316"/>
      <c r="F2" s="316"/>
      <c r="G2" s="316"/>
      <c r="H2" s="316"/>
      <c r="I2" s="367"/>
      <c r="J2" s="319" t="s">
        <v>161</v>
      </c>
      <c r="K2" s="320"/>
      <c r="L2" s="320"/>
      <c r="M2" s="320"/>
      <c r="N2" s="320"/>
      <c r="O2" s="320"/>
      <c r="P2" s="320"/>
      <c r="Q2" s="320"/>
      <c r="R2" s="320"/>
      <c r="S2" s="320"/>
      <c r="T2" s="320"/>
      <c r="U2" s="320"/>
      <c r="V2" s="320"/>
      <c r="W2" s="321"/>
      <c r="X2" s="319" t="s">
        <v>162</v>
      </c>
      <c r="Y2" s="320"/>
      <c r="Z2" s="320"/>
      <c r="AA2" s="320"/>
      <c r="AB2" s="320"/>
      <c r="AC2" s="320"/>
      <c r="AD2" s="321"/>
      <c r="AE2" s="311" t="s">
        <v>163</v>
      </c>
      <c r="AF2" s="353"/>
      <c r="AG2" s="353"/>
      <c r="AH2" s="353"/>
      <c r="AI2" s="353"/>
      <c r="AJ2" s="353"/>
      <c r="AK2" s="353"/>
      <c r="AL2" s="312"/>
      <c r="AM2" s="319" t="s">
        <v>164</v>
      </c>
      <c r="AN2" s="320"/>
      <c r="AO2" s="320"/>
      <c r="AP2" s="320"/>
      <c r="AQ2" s="320"/>
      <c r="AR2" s="320"/>
      <c r="AS2" s="320"/>
      <c r="AT2" s="320"/>
      <c r="AU2" s="320"/>
      <c r="AV2" s="321"/>
      <c r="AW2" s="319" t="s">
        <v>165</v>
      </c>
      <c r="AX2" s="320"/>
      <c r="AY2" s="320"/>
      <c r="AZ2" s="320"/>
      <c r="BA2" s="320"/>
      <c r="BB2" s="320"/>
      <c r="BC2" s="320"/>
      <c r="BD2" s="320"/>
      <c r="BE2" s="320"/>
      <c r="BF2" s="320"/>
      <c r="BG2" s="320"/>
      <c r="BH2" s="320"/>
      <c r="BI2" s="320"/>
      <c r="BJ2" s="320"/>
      <c r="BK2" s="320"/>
      <c r="BL2" s="320"/>
      <c r="BM2" s="320"/>
      <c r="BN2" s="320"/>
      <c r="BO2" s="320"/>
      <c r="BP2" s="320"/>
      <c r="BQ2" s="320"/>
      <c r="BR2" s="320"/>
      <c r="BS2" s="320"/>
      <c r="BT2" s="320"/>
      <c r="BU2" s="320"/>
      <c r="BV2" s="320"/>
      <c r="BW2" s="320"/>
      <c r="BX2" s="320"/>
      <c r="BY2" s="320"/>
      <c r="BZ2" s="320"/>
      <c r="CA2" s="320"/>
      <c r="CB2" s="320"/>
      <c r="CC2" s="320"/>
      <c r="CD2" s="320"/>
      <c r="CE2" s="320"/>
      <c r="CF2" s="320"/>
      <c r="CG2" s="320"/>
      <c r="CH2" s="320"/>
      <c r="CI2" s="320"/>
      <c r="CJ2" s="320"/>
      <c r="CK2" s="320"/>
      <c r="CL2" s="320"/>
      <c r="CM2" s="320"/>
      <c r="CN2" s="320"/>
      <c r="CO2" s="320"/>
      <c r="CP2" s="320"/>
      <c r="CQ2" s="320"/>
      <c r="CR2" s="320"/>
      <c r="CS2" s="321"/>
    </row>
    <row r="3" spans="1:97" s="141" customFormat="1" ht="21.25" customHeight="1">
      <c r="A3" s="313"/>
      <c r="B3" s="314"/>
      <c r="C3" s="317"/>
      <c r="D3" s="318"/>
      <c r="E3" s="318"/>
      <c r="F3" s="318"/>
      <c r="G3" s="318"/>
      <c r="H3" s="318"/>
      <c r="I3" s="368"/>
      <c r="J3" s="322"/>
      <c r="K3" s="323"/>
      <c r="L3" s="323"/>
      <c r="M3" s="323"/>
      <c r="N3" s="323"/>
      <c r="O3" s="323"/>
      <c r="P3" s="323"/>
      <c r="Q3" s="323"/>
      <c r="R3" s="323"/>
      <c r="S3" s="323"/>
      <c r="T3" s="323"/>
      <c r="U3" s="323"/>
      <c r="V3" s="323"/>
      <c r="W3" s="324"/>
      <c r="X3" s="322"/>
      <c r="Y3" s="323"/>
      <c r="Z3" s="323"/>
      <c r="AA3" s="323"/>
      <c r="AB3" s="323"/>
      <c r="AC3" s="323"/>
      <c r="AD3" s="324"/>
      <c r="AE3" s="313"/>
      <c r="AF3" s="354"/>
      <c r="AG3" s="354"/>
      <c r="AH3" s="354"/>
      <c r="AI3" s="354"/>
      <c r="AJ3" s="354"/>
      <c r="AK3" s="354"/>
      <c r="AL3" s="314"/>
      <c r="AM3" s="322"/>
      <c r="AN3" s="323"/>
      <c r="AO3" s="323"/>
      <c r="AP3" s="323"/>
      <c r="AQ3" s="323"/>
      <c r="AR3" s="323"/>
      <c r="AS3" s="323"/>
      <c r="AT3" s="323"/>
      <c r="AU3" s="323"/>
      <c r="AV3" s="324"/>
      <c r="AW3" s="322"/>
      <c r="AX3" s="323"/>
      <c r="AY3" s="323"/>
      <c r="AZ3" s="323"/>
      <c r="BA3" s="323"/>
      <c r="BB3" s="323"/>
      <c r="BC3" s="323"/>
      <c r="BD3" s="323"/>
      <c r="BE3" s="323"/>
      <c r="BF3" s="323"/>
      <c r="BG3" s="323"/>
      <c r="BH3" s="323"/>
      <c r="BI3" s="323"/>
      <c r="BJ3" s="323"/>
      <c r="BK3" s="323"/>
      <c r="BL3" s="323"/>
      <c r="BM3" s="323"/>
      <c r="BN3" s="323"/>
      <c r="BO3" s="323"/>
      <c r="BP3" s="323"/>
      <c r="BQ3" s="323"/>
      <c r="BR3" s="323"/>
      <c r="BS3" s="323"/>
      <c r="BT3" s="323"/>
      <c r="BU3" s="323"/>
      <c r="BV3" s="323"/>
      <c r="BW3" s="323"/>
      <c r="BX3" s="323"/>
      <c r="BY3" s="323"/>
      <c r="BZ3" s="323"/>
      <c r="CA3" s="323"/>
      <c r="CB3" s="323"/>
      <c r="CC3" s="323"/>
      <c r="CD3" s="323"/>
      <c r="CE3" s="323"/>
      <c r="CF3" s="323"/>
      <c r="CG3" s="323"/>
      <c r="CH3" s="323"/>
      <c r="CI3" s="323"/>
      <c r="CJ3" s="323"/>
      <c r="CK3" s="323"/>
      <c r="CL3" s="323"/>
      <c r="CM3" s="323"/>
      <c r="CN3" s="323"/>
      <c r="CO3" s="323"/>
      <c r="CP3" s="323"/>
      <c r="CQ3" s="323"/>
      <c r="CR3" s="323"/>
      <c r="CS3" s="324"/>
    </row>
    <row r="4" spans="1:97" s="151" customFormat="1" ht="50" customHeight="1">
      <c r="A4" s="283">
        <v>1</v>
      </c>
      <c r="B4" s="284"/>
      <c r="C4" s="366" t="s">
        <v>166</v>
      </c>
      <c r="D4" s="300"/>
      <c r="E4" s="300"/>
      <c r="F4" s="300"/>
      <c r="G4" s="300"/>
      <c r="H4" s="300"/>
      <c r="I4" s="301"/>
      <c r="J4" s="302"/>
      <c r="K4" s="303"/>
      <c r="L4" s="303"/>
      <c r="M4" s="303"/>
      <c r="N4" s="303"/>
      <c r="O4" s="303"/>
      <c r="P4" s="304"/>
      <c r="Q4" s="365" t="s">
        <v>262</v>
      </c>
      <c r="R4" s="305"/>
      <c r="S4" s="305"/>
      <c r="T4" s="305"/>
      <c r="U4" s="305"/>
      <c r="V4" s="305"/>
      <c r="W4" s="306"/>
      <c r="X4" s="283" t="s">
        <v>167</v>
      </c>
      <c r="Y4" s="325"/>
      <c r="Z4" s="325"/>
      <c r="AA4" s="325"/>
      <c r="AB4" s="325"/>
      <c r="AC4" s="325"/>
      <c r="AD4" s="326"/>
      <c r="AE4" s="327" t="s">
        <v>168</v>
      </c>
      <c r="AF4" s="325"/>
      <c r="AG4" s="325"/>
      <c r="AH4" s="325"/>
      <c r="AI4" s="325"/>
      <c r="AJ4" s="325"/>
      <c r="AK4" s="325"/>
      <c r="AL4" s="284"/>
      <c r="AM4" s="328" t="s">
        <v>99</v>
      </c>
      <c r="AN4" s="305"/>
      <c r="AO4" s="305"/>
      <c r="AP4" s="305"/>
      <c r="AQ4" s="305"/>
      <c r="AR4" s="305"/>
      <c r="AS4" s="305"/>
      <c r="AT4" s="305"/>
      <c r="AU4" s="305"/>
      <c r="AV4" s="306"/>
      <c r="AW4" s="307" t="s">
        <v>305</v>
      </c>
      <c r="AX4" s="308"/>
      <c r="AY4" s="308"/>
      <c r="AZ4" s="308"/>
      <c r="BA4" s="308"/>
      <c r="BB4" s="308"/>
      <c r="BC4" s="308"/>
      <c r="BD4" s="308"/>
      <c r="BE4" s="308"/>
      <c r="BF4" s="308"/>
      <c r="BG4" s="308"/>
      <c r="BH4" s="308"/>
      <c r="BI4" s="308"/>
      <c r="BJ4" s="308"/>
      <c r="BK4" s="308"/>
      <c r="BL4" s="308"/>
      <c r="BM4" s="308"/>
      <c r="BN4" s="308"/>
      <c r="BO4" s="308"/>
      <c r="BP4" s="308"/>
      <c r="BQ4" s="308"/>
      <c r="BR4" s="308"/>
      <c r="BS4" s="308"/>
      <c r="BT4" s="308"/>
      <c r="BU4" s="308"/>
      <c r="BV4" s="308"/>
      <c r="BW4" s="308"/>
      <c r="BX4" s="308"/>
      <c r="BY4" s="308"/>
      <c r="BZ4" s="308"/>
      <c r="CA4" s="308"/>
      <c r="CB4" s="308"/>
      <c r="CC4" s="308"/>
      <c r="CD4" s="308"/>
      <c r="CE4" s="308"/>
      <c r="CF4" s="308"/>
      <c r="CG4" s="308"/>
      <c r="CH4" s="308"/>
      <c r="CI4" s="308"/>
      <c r="CJ4" s="308"/>
      <c r="CK4" s="308"/>
      <c r="CL4" s="308"/>
      <c r="CM4" s="308"/>
      <c r="CN4" s="308"/>
      <c r="CO4" s="308"/>
      <c r="CP4" s="308"/>
      <c r="CQ4" s="308"/>
      <c r="CR4" s="308"/>
      <c r="CS4" s="309"/>
    </row>
    <row r="5" spans="1:97" s="140" customFormat="1" ht="60.5" customHeight="1">
      <c r="A5" s="283">
        <v>2</v>
      </c>
      <c r="B5" s="284"/>
      <c r="C5" s="362" t="s">
        <v>169</v>
      </c>
      <c r="D5" s="363"/>
      <c r="E5" s="363"/>
      <c r="F5" s="363"/>
      <c r="G5" s="363"/>
      <c r="H5" s="363"/>
      <c r="I5" s="364"/>
      <c r="J5" s="369"/>
      <c r="K5" s="370"/>
      <c r="L5" s="370"/>
      <c r="M5" s="370"/>
      <c r="N5" s="370"/>
      <c r="O5" s="370"/>
      <c r="P5" s="371"/>
      <c r="Q5" s="359"/>
      <c r="R5" s="281"/>
      <c r="S5" s="281"/>
      <c r="T5" s="281"/>
      <c r="U5" s="281"/>
      <c r="V5" s="281"/>
      <c r="W5" s="282"/>
      <c r="X5" s="291" t="s">
        <v>170</v>
      </c>
      <c r="Y5" s="292"/>
      <c r="Z5" s="292"/>
      <c r="AA5" s="292"/>
      <c r="AB5" s="292"/>
      <c r="AC5" s="292"/>
      <c r="AD5" s="293"/>
      <c r="AE5" s="294" t="s">
        <v>171</v>
      </c>
      <c r="AF5" s="292"/>
      <c r="AG5" s="292"/>
      <c r="AH5" s="292"/>
      <c r="AI5" s="292"/>
      <c r="AJ5" s="292"/>
      <c r="AK5" s="292"/>
      <c r="AL5" s="295"/>
      <c r="AM5" s="296" t="s">
        <v>99</v>
      </c>
      <c r="AN5" s="281"/>
      <c r="AO5" s="281"/>
      <c r="AP5" s="281"/>
      <c r="AQ5" s="281"/>
      <c r="AR5" s="281"/>
      <c r="AS5" s="281"/>
      <c r="AT5" s="281"/>
      <c r="AU5" s="281"/>
      <c r="AV5" s="282"/>
      <c r="AW5" s="297" t="s">
        <v>197</v>
      </c>
      <c r="AX5" s="298"/>
      <c r="AY5" s="298"/>
      <c r="AZ5" s="298"/>
      <c r="BA5" s="298"/>
      <c r="BB5" s="298"/>
      <c r="BC5" s="298"/>
      <c r="BD5" s="298"/>
      <c r="BE5" s="298"/>
      <c r="BF5" s="298"/>
      <c r="BG5" s="298"/>
      <c r="BH5" s="298"/>
      <c r="BI5" s="298"/>
      <c r="BJ5" s="298"/>
      <c r="BK5" s="298"/>
      <c r="BL5" s="298"/>
      <c r="BM5" s="298"/>
      <c r="BN5" s="298"/>
      <c r="BO5" s="298"/>
      <c r="BP5" s="298"/>
      <c r="BQ5" s="298"/>
      <c r="BR5" s="298"/>
      <c r="BS5" s="298"/>
      <c r="BT5" s="298"/>
      <c r="BU5" s="298"/>
      <c r="BV5" s="298"/>
      <c r="BW5" s="298"/>
      <c r="BX5" s="298"/>
      <c r="BY5" s="298"/>
      <c r="BZ5" s="298"/>
      <c r="CA5" s="298"/>
      <c r="CB5" s="298"/>
      <c r="CC5" s="298"/>
      <c r="CD5" s="298"/>
      <c r="CE5" s="298"/>
      <c r="CF5" s="298"/>
      <c r="CG5" s="298"/>
      <c r="CH5" s="298"/>
      <c r="CI5" s="298"/>
      <c r="CJ5" s="298"/>
      <c r="CK5" s="298"/>
      <c r="CL5" s="298"/>
      <c r="CM5" s="298"/>
      <c r="CN5" s="298"/>
      <c r="CO5" s="298"/>
      <c r="CP5" s="298"/>
      <c r="CQ5" s="298"/>
      <c r="CR5" s="298"/>
      <c r="CS5" s="299"/>
    </row>
    <row r="6" spans="1:97" s="140" customFormat="1" ht="46.5" customHeight="1">
      <c r="A6" s="283">
        <v>3</v>
      </c>
      <c r="B6" s="284"/>
      <c r="C6" s="360" t="s">
        <v>172</v>
      </c>
      <c r="D6" s="361"/>
      <c r="E6" s="361"/>
      <c r="F6" s="361"/>
      <c r="G6" s="361"/>
      <c r="H6" s="361"/>
      <c r="I6" s="361"/>
      <c r="J6" s="372"/>
      <c r="K6" s="372"/>
      <c r="L6" s="372"/>
      <c r="M6" s="372"/>
      <c r="N6" s="372"/>
      <c r="O6" s="372"/>
      <c r="P6" s="372"/>
      <c r="Q6" s="281"/>
      <c r="R6" s="281"/>
      <c r="S6" s="281"/>
      <c r="T6" s="281"/>
      <c r="U6" s="281"/>
      <c r="V6" s="281"/>
      <c r="W6" s="282"/>
      <c r="X6" s="291" t="s">
        <v>170</v>
      </c>
      <c r="Y6" s="292"/>
      <c r="Z6" s="292"/>
      <c r="AA6" s="292"/>
      <c r="AB6" s="292"/>
      <c r="AC6" s="292"/>
      <c r="AD6" s="293"/>
      <c r="AE6" s="294" t="s">
        <v>171</v>
      </c>
      <c r="AF6" s="292"/>
      <c r="AG6" s="292"/>
      <c r="AH6" s="292"/>
      <c r="AI6" s="292"/>
      <c r="AJ6" s="292"/>
      <c r="AK6" s="292"/>
      <c r="AL6" s="295"/>
      <c r="AM6" s="296" t="s">
        <v>99</v>
      </c>
      <c r="AN6" s="281"/>
      <c r="AO6" s="281"/>
      <c r="AP6" s="281"/>
      <c r="AQ6" s="281"/>
      <c r="AR6" s="281"/>
      <c r="AS6" s="281"/>
      <c r="AT6" s="281"/>
      <c r="AU6" s="281"/>
      <c r="AV6" s="282"/>
      <c r="AW6" s="356" t="s">
        <v>198</v>
      </c>
      <c r="AX6" s="357"/>
      <c r="AY6" s="357"/>
      <c r="AZ6" s="357"/>
      <c r="BA6" s="357"/>
      <c r="BB6" s="357"/>
      <c r="BC6" s="357"/>
      <c r="BD6" s="357"/>
      <c r="BE6" s="357"/>
      <c r="BF6" s="357"/>
      <c r="BG6" s="357"/>
      <c r="BH6" s="357"/>
      <c r="BI6" s="357"/>
      <c r="BJ6" s="357"/>
      <c r="BK6" s="357"/>
      <c r="BL6" s="357"/>
      <c r="BM6" s="357"/>
      <c r="BN6" s="357"/>
      <c r="BO6" s="357"/>
      <c r="BP6" s="357"/>
      <c r="BQ6" s="357"/>
      <c r="BR6" s="357"/>
      <c r="BS6" s="357"/>
      <c r="BT6" s="357"/>
      <c r="BU6" s="357"/>
      <c r="BV6" s="357"/>
      <c r="BW6" s="357"/>
      <c r="BX6" s="357"/>
      <c r="BY6" s="357"/>
      <c r="BZ6" s="357"/>
      <c r="CA6" s="357"/>
      <c r="CB6" s="357"/>
      <c r="CC6" s="357"/>
      <c r="CD6" s="357"/>
      <c r="CE6" s="357"/>
      <c r="CF6" s="357"/>
      <c r="CG6" s="357"/>
      <c r="CH6" s="357"/>
      <c r="CI6" s="357"/>
      <c r="CJ6" s="357"/>
      <c r="CK6" s="357"/>
      <c r="CL6" s="357"/>
      <c r="CM6" s="357"/>
      <c r="CN6" s="357"/>
      <c r="CO6" s="357"/>
      <c r="CP6" s="357"/>
      <c r="CQ6" s="357"/>
      <c r="CR6" s="357"/>
      <c r="CS6" s="358"/>
    </row>
    <row r="7" spans="1:97">
      <c r="A7" s="178"/>
      <c r="E7" s="180"/>
      <c r="CG7" s="176"/>
    </row>
    <row r="8" spans="1:97" ht="13.75" customHeight="1">
      <c r="A8" s="185" t="s">
        <v>263</v>
      </c>
      <c r="B8" s="185"/>
      <c r="C8" s="185"/>
      <c r="D8" s="185"/>
      <c r="E8" s="185"/>
      <c r="F8" s="185"/>
      <c r="G8" s="185"/>
      <c r="H8" s="185"/>
      <c r="I8" s="185"/>
      <c r="J8" s="185"/>
      <c r="K8" s="185"/>
      <c r="L8" s="185"/>
      <c r="M8" s="185"/>
    </row>
    <row r="9" spans="1:97" ht="13.75" customHeight="1">
      <c r="A9" s="175"/>
      <c r="B9" s="176"/>
      <c r="C9" s="176"/>
      <c r="D9" s="176"/>
      <c r="E9" s="176"/>
      <c r="F9" s="176"/>
      <c r="G9" s="176"/>
      <c r="H9" s="176"/>
      <c r="I9" s="176"/>
      <c r="J9" s="176"/>
      <c r="K9" s="176"/>
      <c r="L9" s="176"/>
      <c r="M9" s="176"/>
      <c r="N9" s="176"/>
      <c r="O9" s="176"/>
      <c r="P9" s="176"/>
      <c r="Q9" s="176"/>
      <c r="R9" s="176"/>
      <c r="S9" s="176"/>
      <c r="T9" s="176"/>
      <c r="U9" s="176"/>
      <c r="V9" s="176"/>
      <c r="W9" s="176"/>
      <c r="X9" s="176"/>
      <c r="Y9" s="176"/>
      <c r="Z9" s="176"/>
      <c r="AA9" s="176"/>
      <c r="AB9" s="176"/>
      <c r="AC9" s="176"/>
      <c r="AD9" s="176"/>
      <c r="AE9" s="176"/>
      <c r="AF9" s="176"/>
      <c r="AG9" s="176"/>
      <c r="AH9" s="176"/>
      <c r="AI9" s="176"/>
      <c r="AJ9" s="176"/>
      <c r="AK9" s="176"/>
      <c r="AL9" s="176"/>
      <c r="AM9" s="176"/>
      <c r="AN9" s="176"/>
      <c r="AO9" s="176"/>
      <c r="AP9" s="176"/>
      <c r="AQ9" s="176"/>
      <c r="AR9" s="176"/>
      <c r="AS9" s="176"/>
      <c r="AT9" s="176"/>
      <c r="AU9" s="176"/>
      <c r="AV9" s="176"/>
      <c r="AW9" s="176"/>
      <c r="AX9" s="176"/>
      <c r="AY9" s="176"/>
      <c r="AZ9" s="176"/>
      <c r="BA9" s="176"/>
      <c r="BB9" s="176"/>
      <c r="BC9" s="176"/>
      <c r="BD9" s="176"/>
      <c r="BE9" s="176"/>
      <c r="BF9" s="176"/>
      <c r="BG9" s="176"/>
      <c r="BH9" s="176"/>
      <c r="BI9" s="176"/>
      <c r="BJ9" s="176"/>
      <c r="BK9" s="176"/>
      <c r="BL9" s="176"/>
      <c r="BM9" s="176"/>
      <c r="BN9" s="176"/>
      <c r="BO9" s="176"/>
      <c r="BP9" s="176"/>
      <c r="BQ9" s="176"/>
      <c r="BR9" s="176"/>
      <c r="BS9" s="176"/>
      <c r="BT9" s="176"/>
      <c r="BU9" s="176"/>
      <c r="BV9" s="176"/>
      <c r="BW9" s="176"/>
      <c r="BX9" s="176"/>
      <c r="BY9" s="176"/>
      <c r="BZ9" s="176"/>
      <c r="CA9" s="176"/>
      <c r="CB9" s="176"/>
      <c r="CC9" s="176"/>
      <c r="CD9" s="176"/>
      <c r="CE9" s="176"/>
      <c r="CF9" s="176"/>
      <c r="CG9" s="177"/>
    </row>
    <row r="10" spans="1:97" ht="13.75" customHeight="1">
      <c r="A10" s="178"/>
      <c r="B10" s="173" t="s">
        <v>264</v>
      </c>
      <c r="CG10" s="179"/>
    </row>
    <row r="11" spans="1:97">
      <c r="A11" s="178"/>
      <c r="CG11" s="179"/>
    </row>
    <row r="12" spans="1:97" ht="15" customHeight="1">
      <c r="A12" s="178"/>
      <c r="D12" s="355" t="s">
        <v>303</v>
      </c>
      <c r="E12" s="355"/>
      <c r="F12" s="355"/>
      <c r="G12" s="355"/>
      <c r="H12" s="355"/>
      <c r="I12" s="355"/>
      <c r="J12" s="355"/>
      <c r="K12" s="355"/>
      <c r="L12" s="355"/>
      <c r="M12" s="355"/>
      <c r="N12" s="355"/>
      <c r="O12" s="355"/>
      <c r="P12" s="355"/>
      <c r="Q12" s="355"/>
      <c r="R12" s="355"/>
      <c r="S12" s="355"/>
      <c r="T12" s="355"/>
      <c r="U12" s="186" t="s">
        <v>265</v>
      </c>
      <c r="V12" s="187"/>
      <c r="W12" s="187"/>
      <c r="X12" s="187"/>
      <c r="Y12" s="187"/>
      <c r="Z12" s="187"/>
      <c r="AA12" s="187"/>
      <c r="AB12" s="187"/>
      <c r="AC12" s="187"/>
      <c r="AD12" s="187"/>
      <c r="AE12" s="187"/>
      <c r="AF12" s="187"/>
      <c r="AG12" s="187"/>
      <c r="AH12" s="187"/>
      <c r="AI12" s="187"/>
      <c r="AJ12" s="187"/>
      <c r="AK12" s="187"/>
      <c r="AL12" s="187"/>
      <c r="AM12" s="187"/>
      <c r="AN12" s="187"/>
      <c r="AO12" s="187"/>
      <c r="AP12" s="187"/>
      <c r="AQ12" s="187"/>
      <c r="AR12" s="187"/>
      <c r="AS12" s="187"/>
      <c r="AT12" s="187"/>
      <c r="AU12" s="187"/>
      <c r="AV12" s="187"/>
      <c r="AW12" s="187"/>
      <c r="AX12" s="187"/>
      <c r="AY12" s="187"/>
      <c r="AZ12" s="187"/>
      <c r="BA12" s="188"/>
      <c r="CG12" s="179"/>
    </row>
    <row r="13" spans="1:97" ht="15.75" customHeight="1">
      <c r="A13" s="178"/>
      <c r="D13" s="355" t="s">
        <v>266</v>
      </c>
      <c r="E13" s="355"/>
      <c r="F13" s="355"/>
      <c r="G13" s="355"/>
      <c r="H13" s="355"/>
      <c r="I13" s="355"/>
      <c r="J13" s="355"/>
      <c r="K13" s="355"/>
      <c r="L13" s="355"/>
      <c r="M13" s="355"/>
      <c r="N13" s="355"/>
      <c r="O13" s="355"/>
      <c r="P13" s="355"/>
      <c r="Q13" s="355"/>
      <c r="R13" s="355"/>
      <c r="S13" s="355"/>
      <c r="T13" s="355"/>
      <c r="U13" s="186" t="s">
        <v>267</v>
      </c>
      <c r="V13" s="187"/>
      <c r="W13" s="187"/>
      <c r="X13" s="187"/>
      <c r="Y13" s="187"/>
      <c r="Z13" s="187"/>
      <c r="AA13" s="187"/>
      <c r="AB13" s="187"/>
      <c r="AC13" s="187"/>
      <c r="AD13" s="187"/>
      <c r="AE13" s="187"/>
      <c r="AF13" s="187"/>
      <c r="AG13" s="187"/>
      <c r="AH13" s="187"/>
      <c r="AI13" s="187"/>
      <c r="AJ13" s="187"/>
      <c r="AK13" s="187"/>
      <c r="AL13" s="187"/>
      <c r="AM13" s="187"/>
      <c r="AN13" s="187"/>
      <c r="AO13" s="187"/>
      <c r="AP13" s="187"/>
      <c r="AQ13" s="187"/>
      <c r="AR13" s="187"/>
      <c r="AS13" s="187"/>
      <c r="AT13" s="187"/>
      <c r="AU13" s="187"/>
      <c r="AV13" s="187"/>
      <c r="AW13" s="187"/>
      <c r="AX13" s="187"/>
      <c r="AY13" s="187"/>
      <c r="AZ13" s="187"/>
      <c r="BA13" s="188"/>
      <c r="CG13" s="179"/>
    </row>
    <row r="14" spans="1:97">
      <c r="A14" s="178"/>
      <c r="CG14" s="179"/>
    </row>
    <row r="15" spans="1:97">
      <c r="A15" s="178"/>
      <c r="D15" s="174" t="s">
        <v>268</v>
      </c>
      <c r="CG15" s="179"/>
    </row>
    <row r="16" spans="1:97">
      <c r="A16" s="178"/>
      <c r="CG16" s="179"/>
    </row>
    <row r="17" spans="1:85">
      <c r="D17" s="174" t="s">
        <v>269</v>
      </c>
      <c r="CG17" s="179"/>
    </row>
    <row r="18" spans="1:85">
      <c r="A18" s="178"/>
      <c r="CG18" s="179"/>
    </row>
    <row r="19" spans="1:85">
      <c r="A19" s="178"/>
      <c r="F19" s="184" t="s">
        <v>270</v>
      </c>
      <c r="G19" s="184"/>
      <c r="H19" s="184"/>
      <c r="I19" s="184"/>
      <c r="J19" s="184"/>
      <c r="K19" s="184"/>
      <c r="L19" s="184" t="s">
        <v>271</v>
      </c>
      <c r="M19" s="184"/>
      <c r="N19" s="184"/>
      <c r="O19" s="184"/>
      <c r="P19" s="184"/>
      <c r="Q19" s="184"/>
      <c r="R19" s="184"/>
      <c r="S19" s="184"/>
      <c r="T19" s="184"/>
      <c r="U19" s="184"/>
      <c r="V19" s="184"/>
      <c r="W19" s="184"/>
      <c r="X19" s="184"/>
      <c r="Y19" s="184"/>
      <c r="Z19" s="184"/>
      <c r="AA19" s="184"/>
      <c r="AB19" s="184"/>
      <c r="AC19" s="184"/>
      <c r="AD19" s="184"/>
      <c r="AE19" s="184"/>
      <c r="AF19" s="184"/>
      <c r="AG19" s="184"/>
      <c r="AH19" s="184"/>
      <c r="AI19" s="184"/>
      <c r="AJ19" s="184"/>
      <c r="AK19" s="184"/>
      <c r="AL19" s="184"/>
      <c r="AM19" s="184"/>
      <c r="CG19" s="179"/>
    </row>
    <row r="20" spans="1:85">
      <c r="A20" s="178"/>
      <c r="F20" s="189" t="s">
        <v>272</v>
      </c>
      <c r="G20" s="189"/>
      <c r="H20" s="189"/>
      <c r="I20" s="189"/>
      <c r="J20" s="189"/>
      <c r="K20" s="189"/>
      <c r="L20" s="190" t="s">
        <v>273</v>
      </c>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CG20" s="179"/>
    </row>
    <row r="21" spans="1:85">
      <c r="A21" s="178"/>
      <c r="F21" s="189" t="s">
        <v>274</v>
      </c>
      <c r="G21" s="189"/>
      <c r="H21" s="189"/>
      <c r="I21" s="189"/>
      <c r="J21" s="189"/>
      <c r="K21" s="189"/>
      <c r="L21" s="190" t="s">
        <v>275</v>
      </c>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CG21" s="179"/>
    </row>
    <row r="22" spans="1:85">
      <c r="A22" s="178"/>
      <c r="CG22" s="179"/>
    </row>
    <row r="23" spans="1:85">
      <c r="A23" s="178"/>
      <c r="D23" s="174" t="s">
        <v>276</v>
      </c>
      <c r="CG23" s="179"/>
    </row>
    <row r="24" spans="1:85">
      <c r="A24" s="178"/>
      <c r="CG24" s="179"/>
    </row>
    <row r="25" spans="1:85">
      <c r="A25" s="178"/>
      <c r="F25" s="184" t="s">
        <v>270</v>
      </c>
      <c r="G25" s="184"/>
      <c r="H25" s="184"/>
      <c r="I25" s="184"/>
      <c r="J25" s="184"/>
      <c r="K25" s="184"/>
      <c r="L25" s="184" t="s">
        <v>277</v>
      </c>
      <c r="M25" s="184"/>
      <c r="N25" s="184" t="s">
        <v>277</v>
      </c>
      <c r="O25" s="184"/>
      <c r="P25" s="184"/>
      <c r="Q25" s="184"/>
      <c r="R25" s="184"/>
      <c r="S25" s="184"/>
      <c r="T25" s="184"/>
      <c r="U25" s="184"/>
      <c r="V25" s="184"/>
      <c r="W25" s="184"/>
      <c r="X25" s="184"/>
      <c r="Y25" s="184"/>
      <c r="Z25" s="184"/>
      <c r="AA25" s="184"/>
      <c r="AB25" s="184"/>
      <c r="AC25" s="184"/>
      <c r="AD25" s="184"/>
      <c r="AE25" s="184"/>
      <c r="AF25" s="184"/>
      <c r="AG25" s="184"/>
      <c r="AH25" s="184"/>
      <c r="AI25" s="184"/>
      <c r="AJ25" s="184"/>
      <c r="AK25" s="184"/>
      <c r="AL25" s="184"/>
      <c r="AM25" s="184"/>
      <c r="AN25" s="184"/>
      <c r="AO25" s="184"/>
      <c r="AP25" s="184"/>
      <c r="AQ25" s="184"/>
      <c r="AR25" s="184"/>
      <c r="AS25" s="184"/>
      <c r="CG25" s="179"/>
    </row>
    <row r="26" spans="1:85" ht="37.5" customHeight="1">
      <c r="A26" s="178"/>
      <c r="F26" s="189" t="s">
        <v>272</v>
      </c>
      <c r="G26" s="189"/>
      <c r="H26" s="189"/>
      <c r="I26" s="189"/>
      <c r="J26" s="189"/>
      <c r="K26" s="189"/>
      <c r="L26" s="190" t="s">
        <v>278</v>
      </c>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c r="AR26" s="190"/>
      <c r="AS26" s="190"/>
      <c r="CG26" s="179"/>
    </row>
    <row r="27" spans="1:85" ht="55.5" customHeight="1">
      <c r="A27" s="178"/>
      <c r="F27" s="189" t="s">
        <v>279</v>
      </c>
      <c r="G27" s="189"/>
      <c r="H27" s="189"/>
      <c r="I27" s="189"/>
      <c r="J27" s="189"/>
      <c r="K27" s="189"/>
      <c r="L27" s="191" t="s">
        <v>280</v>
      </c>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c r="AR27" s="190"/>
      <c r="AS27" s="190"/>
      <c r="CG27" s="179"/>
    </row>
    <row r="28" spans="1:85">
      <c r="A28" s="178"/>
      <c r="CG28" s="179"/>
    </row>
    <row r="29" spans="1:85">
      <c r="A29" s="178"/>
      <c r="B29" s="173" t="s">
        <v>281</v>
      </c>
      <c r="CG29" s="179"/>
    </row>
    <row r="30" spans="1:85">
      <c r="A30" s="178"/>
      <c r="CG30" s="179"/>
    </row>
    <row r="31" spans="1:85">
      <c r="A31" s="178"/>
      <c r="D31" s="174" t="s">
        <v>282</v>
      </c>
      <c r="CG31" s="179"/>
    </row>
    <row r="32" spans="1:85">
      <c r="A32" s="178"/>
      <c r="E32" s="174" t="s">
        <v>283</v>
      </c>
      <c r="CG32" s="179"/>
    </row>
    <row r="33" spans="1:85">
      <c r="A33" s="178"/>
      <c r="F33" s="174" t="s">
        <v>140</v>
      </c>
      <c r="J33" s="174" t="s">
        <v>284</v>
      </c>
      <c r="K33" s="174" t="s">
        <v>285</v>
      </c>
      <c r="CG33" s="179"/>
    </row>
    <row r="34" spans="1:85">
      <c r="A34" s="178"/>
      <c r="E34" s="174" t="s">
        <v>286</v>
      </c>
      <c r="CG34" s="179"/>
    </row>
    <row r="35" spans="1:85">
      <c r="A35" s="178"/>
      <c r="E35" s="174" t="s">
        <v>287</v>
      </c>
      <c r="CG35" s="179"/>
    </row>
    <row r="36" spans="1:85">
      <c r="A36" s="178"/>
      <c r="F36" s="174" t="s">
        <v>288</v>
      </c>
      <c r="J36" s="174" t="s">
        <v>289</v>
      </c>
      <c r="K36" s="174" t="s">
        <v>290</v>
      </c>
      <c r="CG36" s="179"/>
    </row>
    <row r="37" spans="1:85">
      <c r="A37" s="178"/>
      <c r="E37" s="180"/>
      <c r="F37" s="174" t="s">
        <v>291</v>
      </c>
      <c r="I37" s="180"/>
      <c r="J37" s="174" t="s">
        <v>289</v>
      </c>
      <c r="K37" s="174" t="s">
        <v>292</v>
      </c>
      <c r="L37" s="180"/>
      <c r="CG37" s="179"/>
    </row>
    <row r="38" spans="1:85">
      <c r="A38" s="178"/>
      <c r="E38" s="180"/>
      <c r="F38" s="174" t="s">
        <v>293</v>
      </c>
      <c r="I38" s="180"/>
      <c r="J38" s="180"/>
      <c r="K38" s="180"/>
      <c r="L38" s="180"/>
      <c r="CG38" s="179"/>
    </row>
    <row r="39" spans="1:85">
      <c r="A39" s="178"/>
      <c r="F39" s="174" t="s">
        <v>294</v>
      </c>
      <c r="I39" s="180"/>
      <c r="J39" s="180"/>
      <c r="K39" s="180"/>
      <c r="L39" s="180"/>
      <c r="CG39" s="179"/>
    </row>
    <row r="40" spans="1:85">
      <c r="A40" s="178"/>
      <c r="F40" s="174" t="s">
        <v>295</v>
      </c>
      <c r="I40" s="180"/>
      <c r="J40" s="180"/>
      <c r="K40" s="180"/>
      <c r="L40" s="180"/>
      <c r="CG40" s="179"/>
    </row>
    <row r="41" spans="1:85">
      <c r="A41" s="178"/>
      <c r="F41" s="174" t="s">
        <v>296</v>
      </c>
      <c r="I41" s="180"/>
      <c r="J41" s="180"/>
      <c r="K41" s="180"/>
      <c r="L41" s="180"/>
      <c r="CG41" s="179"/>
    </row>
    <row r="42" spans="1:85">
      <c r="A42" s="178"/>
      <c r="F42" s="174" t="s">
        <v>297</v>
      </c>
      <c r="I42" s="180"/>
      <c r="J42" s="180"/>
      <c r="K42" s="180"/>
      <c r="L42" s="180"/>
      <c r="CG42" s="179"/>
    </row>
    <row r="43" spans="1:85">
      <c r="A43" s="178"/>
      <c r="E43" s="180"/>
      <c r="F43" s="180"/>
      <c r="G43" s="180"/>
      <c r="H43" s="180"/>
      <c r="I43" s="180"/>
      <c r="J43" s="180"/>
      <c r="K43" s="180"/>
      <c r="L43" s="180"/>
      <c r="CG43" s="179"/>
    </row>
    <row r="44" spans="1:85">
      <c r="A44" s="178"/>
      <c r="CG44" s="179"/>
    </row>
    <row r="45" spans="1:85">
      <c r="A45" s="178"/>
      <c r="B45" s="173" t="s">
        <v>298</v>
      </c>
      <c r="CG45" s="179"/>
    </row>
    <row r="46" spans="1:85">
      <c r="A46" s="178"/>
      <c r="B46" s="173"/>
      <c r="CG46" s="179"/>
    </row>
    <row r="47" spans="1:85">
      <c r="A47" s="178"/>
      <c r="C47" s="174" t="s">
        <v>299</v>
      </c>
      <c r="CG47" s="179"/>
    </row>
    <row r="48" spans="1:85">
      <c r="A48" s="178"/>
      <c r="CG48" s="179"/>
    </row>
    <row r="49" spans="1:85" ht="15" customHeight="1">
      <c r="A49" s="178"/>
      <c r="C49" s="355" t="s">
        <v>304</v>
      </c>
      <c r="D49" s="355"/>
      <c r="E49" s="355"/>
      <c r="F49" s="355"/>
      <c r="G49" s="355"/>
      <c r="H49" s="355"/>
      <c r="I49" s="355"/>
      <c r="J49" s="355"/>
      <c r="K49" s="355"/>
      <c r="L49" s="355"/>
      <c r="M49" s="355"/>
      <c r="N49" s="355"/>
      <c r="O49" s="355"/>
      <c r="P49" s="355"/>
      <c r="Q49" s="355"/>
      <c r="R49" s="355"/>
      <c r="S49" s="355"/>
      <c r="T49" s="186" t="s">
        <v>300</v>
      </c>
      <c r="U49" s="187"/>
      <c r="V49" s="187"/>
      <c r="W49" s="187"/>
      <c r="X49" s="187"/>
      <c r="Y49" s="187"/>
      <c r="Z49" s="187"/>
      <c r="AA49" s="187"/>
      <c r="AB49" s="187"/>
      <c r="AC49" s="187"/>
      <c r="AD49" s="187"/>
      <c r="AE49" s="187"/>
      <c r="AF49" s="187"/>
      <c r="AG49" s="187"/>
      <c r="AH49" s="187"/>
      <c r="AI49" s="187"/>
      <c r="AJ49" s="187"/>
      <c r="AK49" s="187"/>
      <c r="AL49" s="187"/>
      <c r="AM49" s="187"/>
      <c r="AN49" s="187"/>
      <c r="AO49" s="187"/>
      <c r="AP49" s="187"/>
      <c r="AQ49" s="187"/>
      <c r="AR49" s="187"/>
      <c r="AS49" s="187"/>
      <c r="AT49" s="187"/>
      <c r="AU49" s="187"/>
      <c r="AV49" s="187"/>
      <c r="AW49" s="187"/>
      <c r="AX49" s="187"/>
      <c r="AY49" s="187"/>
      <c r="AZ49" s="188"/>
      <c r="CG49" s="179"/>
    </row>
    <row r="50" spans="1:85" ht="15" customHeight="1">
      <c r="A50" s="178"/>
      <c r="C50" s="355" t="s">
        <v>266</v>
      </c>
      <c r="D50" s="355"/>
      <c r="E50" s="355"/>
      <c r="F50" s="355"/>
      <c r="G50" s="355"/>
      <c r="H50" s="355"/>
      <c r="I50" s="355"/>
      <c r="J50" s="355"/>
      <c r="K50" s="355"/>
      <c r="L50" s="355"/>
      <c r="M50" s="355"/>
      <c r="N50" s="355"/>
      <c r="O50" s="355"/>
      <c r="P50" s="355"/>
      <c r="Q50" s="355"/>
      <c r="R50" s="355"/>
      <c r="S50" s="355"/>
      <c r="T50" s="186" t="s">
        <v>301</v>
      </c>
      <c r="U50" s="187"/>
      <c r="V50" s="187"/>
      <c r="W50" s="187"/>
      <c r="X50" s="187"/>
      <c r="Y50" s="187"/>
      <c r="Z50" s="187"/>
      <c r="AA50" s="187"/>
      <c r="AB50" s="187"/>
      <c r="AC50" s="187"/>
      <c r="AD50" s="187"/>
      <c r="AE50" s="187"/>
      <c r="AF50" s="187"/>
      <c r="AG50" s="187"/>
      <c r="AH50" s="187"/>
      <c r="AI50" s="187"/>
      <c r="AJ50" s="187"/>
      <c r="AK50" s="187"/>
      <c r="AL50" s="187"/>
      <c r="AM50" s="187"/>
      <c r="AN50" s="187"/>
      <c r="AO50" s="187"/>
      <c r="AP50" s="187"/>
      <c r="AQ50" s="187"/>
      <c r="AR50" s="187"/>
      <c r="AS50" s="187"/>
      <c r="AT50" s="187"/>
      <c r="AU50" s="187"/>
      <c r="AV50" s="187"/>
      <c r="AW50" s="187"/>
      <c r="AX50" s="187"/>
      <c r="AY50" s="187"/>
      <c r="AZ50" s="188"/>
      <c r="CG50" s="179"/>
    </row>
    <row r="51" spans="1:85">
      <c r="A51" s="178"/>
      <c r="CG51" s="179"/>
    </row>
    <row r="52" spans="1:85">
      <c r="A52" s="178"/>
      <c r="CG52" s="179"/>
    </row>
    <row r="53" spans="1:85">
      <c r="A53" s="178"/>
      <c r="E53" s="180"/>
      <c r="CG53" s="179"/>
    </row>
    <row r="54" spans="1:85">
      <c r="A54" s="181"/>
      <c r="B54" s="182"/>
      <c r="C54" s="182"/>
      <c r="D54" s="182"/>
      <c r="E54" s="182"/>
      <c r="F54" s="182"/>
      <c r="G54" s="182"/>
      <c r="H54" s="182"/>
      <c r="I54" s="182"/>
      <c r="J54" s="182"/>
      <c r="K54" s="182"/>
      <c r="L54" s="182"/>
      <c r="M54" s="182"/>
      <c r="N54" s="182"/>
      <c r="O54" s="182"/>
      <c r="P54" s="182"/>
      <c r="Q54" s="182"/>
      <c r="R54" s="182"/>
      <c r="S54" s="182"/>
      <c r="T54" s="182"/>
      <c r="U54" s="182"/>
      <c r="V54" s="182"/>
      <c r="W54" s="182"/>
      <c r="X54" s="182"/>
      <c r="Y54" s="182"/>
      <c r="Z54" s="182"/>
      <c r="AA54" s="182"/>
      <c r="AB54" s="182"/>
      <c r="AC54" s="182"/>
      <c r="AD54" s="182"/>
      <c r="AE54" s="182"/>
      <c r="AF54" s="182"/>
      <c r="AG54" s="182"/>
      <c r="AH54" s="182"/>
      <c r="AI54" s="182"/>
      <c r="AJ54" s="182"/>
      <c r="AK54" s="182"/>
      <c r="AL54" s="182"/>
      <c r="AM54" s="182"/>
      <c r="AN54" s="182"/>
      <c r="AO54" s="182"/>
      <c r="AP54" s="182"/>
      <c r="AQ54" s="182"/>
      <c r="AR54" s="182"/>
      <c r="AS54" s="182"/>
      <c r="AT54" s="182"/>
      <c r="AU54" s="182"/>
      <c r="AV54" s="182"/>
      <c r="AW54" s="182"/>
      <c r="AX54" s="182"/>
      <c r="AY54" s="182"/>
      <c r="AZ54" s="182"/>
      <c r="BA54" s="182"/>
      <c r="BB54" s="182"/>
      <c r="BC54" s="182"/>
      <c r="BD54" s="182"/>
      <c r="BE54" s="182"/>
      <c r="BF54" s="182"/>
      <c r="BG54" s="182"/>
      <c r="BH54" s="182"/>
      <c r="BI54" s="182"/>
      <c r="BJ54" s="182"/>
      <c r="BK54" s="182"/>
      <c r="BL54" s="182"/>
      <c r="BM54" s="182"/>
      <c r="BN54" s="182"/>
      <c r="BO54" s="182"/>
      <c r="BP54" s="182"/>
      <c r="BQ54" s="182"/>
      <c r="BR54" s="182"/>
      <c r="BS54" s="182"/>
      <c r="BT54" s="182"/>
      <c r="BU54" s="182"/>
      <c r="BV54" s="182"/>
      <c r="BW54" s="182"/>
      <c r="BX54" s="182"/>
      <c r="BY54" s="182"/>
      <c r="BZ54" s="182"/>
      <c r="CA54" s="182"/>
      <c r="CB54" s="182"/>
      <c r="CC54" s="182"/>
      <c r="CD54" s="182"/>
      <c r="CE54" s="182"/>
      <c r="CF54" s="182"/>
      <c r="CG54" s="183"/>
    </row>
  </sheetData>
  <mergeCells count="53">
    <mergeCell ref="AE5:AL5"/>
    <mergeCell ref="AM5:AV5"/>
    <mergeCell ref="AW5:CS5"/>
    <mergeCell ref="A6:B6"/>
    <mergeCell ref="C6:I6"/>
    <mergeCell ref="J6:P6"/>
    <mergeCell ref="Q6:W6"/>
    <mergeCell ref="X6:AD6"/>
    <mergeCell ref="AE6:AL6"/>
    <mergeCell ref="AM6:AV6"/>
    <mergeCell ref="AW6:CS6"/>
    <mergeCell ref="A5:B5"/>
    <mergeCell ref="C5:I5"/>
    <mergeCell ref="J5:P5"/>
    <mergeCell ref="Q5:W5"/>
    <mergeCell ref="X5:AD5"/>
    <mergeCell ref="AE2:AL3"/>
    <mergeCell ref="AM2:AV3"/>
    <mergeCell ref="AW2:CS3"/>
    <mergeCell ref="A4:B4"/>
    <mergeCell ref="C4:I4"/>
    <mergeCell ref="J4:P4"/>
    <mergeCell ref="Q4:W4"/>
    <mergeCell ref="X4:AD4"/>
    <mergeCell ref="AE4:AL4"/>
    <mergeCell ref="AM4:AV4"/>
    <mergeCell ref="AW4:CS4"/>
    <mergeCell ref="A2:B3"/>
    <mergeCell ref="C2:I3"/>
    <mergeCell ref="J2:W3"/>
    <mergeCell ref="X2:AD3"/>
    <mergeCell ref="A1:I1"/>
    <mergeCell ref="F26:K26"/>
    <mergeCell ref="L26:AS26"/>
    <mergeCell ref="F27:K27"/>
    <mergeCell ref="L27:AS27"/>
    <mergeCell ref="C49:S49"/>
    <mergeCell ref="C50:S50"/>
    <mergeCell ref="T49:AZ49"/>
    <mergeCell ref="T50:AZ50"/>
    <mergeCell ref="F20:K20"/>
    <mergeCell ref="L20:AM20"/>
    <mergeCell ref="F21:K21"/>
    <mergeCell ref="L21:AM21"/>
    <mergeCell ref="F25:K25"/>
    <mergeCell ref="L25:AS25"/>
    <mergeCell ref="F19:K19"/>
    <mergeCell ref="L19:AM19"/>
    <mergeCell ref="A8:M8"/>
    <mergeCell ref="D12:T12"/>
    <mergeCell ref="D13:T13"/>
    <mergeCell ref="U12:BA12"/>
    <mergeCell ref="U13:BA13"/>
  </mergeCells>
  <phoneticPr fontId="53"/>
  <dataValidations disablePrompts="1" count="2">
    <dataValidation type="list" allowBlank="1" showInputMessage="1" showErrorMessage="1" sqref="WVZ982965:WWE982986 WMD982965:WMI982986 WCH982965:WCM982986 VSL982965:VSQ982986 VIP982965:VIU982986 UYT982965:UYY982986 UOX982965:UPC982986 UFB982965:UFG982986 TVF982965:TVK982986 TLJ982965:TLO982986 TBN982965:TBS982986 SRR982965:SRW982986 SHV982965:SIA982986 RXZ982965:RYE982986 ROD982965:ROI982986 REH982965:REM982986 QUL982965:QUQ982986 QKP982965:QKU982986 QAT982965:QAY982986 PQX982965:PRC982986 PHB982965:PHG982986 OXF982965:OXK982986 ONJ982965:ONO982986 ODN982965:ODS982986 NTR982965:NTW982986 NJV982965:NKA982986 MZZ982965:NAE982986 MQD982965:MQI982986 MGH982965:MGM982986 LWL982965:LWQ982986 LMP982965:LMU982986 LCT982965:LCY982986 KSX982965:KTC982986 KJB982965:KJG982986 JZF982965:JZK982986 JPJ982965:JPO982986 JFN982965:JFS982986 IVR982965:IVW982986 ILV982965:IMA982986 IBZ982965:ICE982986 HSD982965:HSI982986 HIH982965:HIM982986 GYL982965:GYQ982986 GOP982965:GOU982986 GET982965:GEY982986 FUX982965:FVC982986 FLB982965:FLG982986 FBF982965:FBK982986 ERJ982965:ERO982986 EHN982965:EHS982986 DXR982965:DXW982986 DNV982965:DOA982986 DDZ982965:DEE982986 CUD982965:CUI982986 CKH982965:CKM982986 CAL982965:CAQ982986 BQP982965:BQU982986 BGT982965:BGY982986 AWX982965:AXC982986 ANB982965:ANG982986 ADF982965:ADK982986 TJ982965:TO982986 JN982965:JS982986 J982965:O982986 WVZ917429:WWE917450 WMD917429:WMI917450 WCH917429:WCM917450 VSL917429:VSQ917450 VIP917429:VIU917450 UYT917429:UYY917450 UOX917429:UPC917450 UFB917429:UFG917450 TVF917429:TVK917450 TLJ917429:TLO917450 TBN917429:TBS917450 SRR917429:SRW917450 SHV917429:SIA917450 RXZ917429:RYE917450 ROD917429:ROI917450 REH917429:REM917450 QUL917429:QUQ917450 QKP917429:QKU917450 QAT917429:QAY917450 PQX917429:PRC917450 PHB917429:PHG917450 OXF917429:OXK917450 ONJ917429:ONO917450 ODN917429:ODS917450 NTR917429:NTW917450 NJV917429:NKA917450 MZZ917429:NAE917450 MQD917429:MQI917450 MGH917429:MGM917450 LWL917429:LWQ917450 LMP917429:LMU917450 LCT917429:LCY917450 KSX917429:KTC917450 KJB917429:KJG917450 JZF917429:JZK917450 JPJ917429:JPO917450 JFN917429:JFS917450 IVR917429:IVW917450 ILV917429:IMA917450 IBZ917429:ICE917450 HSD917429:HSI917450 HIH917429:HIM917450 GYL917429:GYQ917450 GOP917429:GOU917450 GET917429:GEY917450 FUX917429:FVC917450 FLB917429:FLG917450 FBF917429:FBK917450 ERJ917429:ERO917450 EHN917429:EHS917450 DXR917429:DXW917450 DNV917429:DOA917450 DDZ917429:DEE917450 CUD917429:CUI917450 CKH917429:CKM917450 CAL917429:CAQ917450 BQP917429:BQU917450 BGT917429:BGY917450 AWX917429:AXC917450 ANB917429:ANG917450 ADF917429:ADK917450 TJ917429:TO917450 JN917429:JS917450 J917429:O917450 WVZ851893:WWE851914 WMD851893:WMI851914 WCH851893:WCM851914 VSL851893:VSQ851914 VIP851893:VIU851914 UYT851893:UYY851914 UOX851893:UPC851914 UFB851893:UFG851914 TVF851893:TVK851914 TLJ851893:TLO851914 TBN851893:TBS851914 SRR851893:SRW851914 SHV851893:SIA851914 RXZ851893:RYE851914 ROD851893:ROI851914 REH851893:REM851914 QUL851893:QUQ851914 QKP851893:QKU851914 QAT851893:QAY851914 PQX851893:PRC851914 PHB851893:PHG851914 OXF851893:OXK851914 ONJ851893:ONO851914 ODN851893:ODS851914 NTR851893:NTW851914 NJV851893:NKA851914 MZZ851893:NAE851914 MQD851893:MQI851914 MGH851893:MGM851914 LWL851893:LWQ851914 LMP851893:LMU851914 LCT851893:LCY851914 KSX851893:KTC851914 KJB851893:KJG851914 JZF851893:JZK851914 JPJ851893:JPO851914 JFN851893:JFS851914 IVR851893:IVW851914 ILV851893:IMA851914 IBZ851893:ICE851914 HSD851893:HSI851914 HIH851893:HIM851914 GYL851893:GYQ851914 GOP851893:GOU851914 GET851893:GEY851914 FUX851893:FVC851914 FLB851893:FLG851914 FBF851893:FBK851914 ERJ851893:ERO851914 EHN851893:EHS851914 DXR851893:DXW851914 DNV851893:DOA851914 DDZ851893:DEE851914 CUD851893:CUI851914 CKH851893:CKM851914 CAL851893:CAQ851914 BQP851893:BQU851914 BGT851893:BGY851914 AWX851893:AXC851914 ANB851893:ANG851914 ADF851893:ADK851914 TJ851893:TO851914 JN851893:JS851914 J851893:O851914 WVZ786357:WWE786378 WMD786357:WMI786378 WCH786357:WCM786378 VSL786357:VSQ786378 VIP786357:VIU786378 UYT786357:UYY786378 UOX786357:UPC786378 UFB786357:UFG786378 TVF786357:TVK786378 TLJ786357:TLO786378 TBN786357:TBS786378 SRR786357:SRW786378 SHV786357:SIA786378 RXZ786357:RYE786378 ROD786357:ROI786378 REH786357:REM786378 QUL786357:QUQ786378 QKP786357:QKU786378 QAT786357:QAY786378 PQX786357:PRC786378 PHB786357:PHG786378 OXF786357:OXK786378 ONJ786357:ONO786378 ODN786357:ODS786378 NTR786357:NTW786378 NJV786357:NKA786378 MZZ786357:NAE786378 MQD786357:MQI786378 MGH786357:MGM786378 LWL786357:LWQ786378 LMP786357:LMU786378 LCT786357:LCY786378 KSX786357:KTC786378 KJB786357:KJG786378 JZF786357:JZK786378 JPJ786357:JPO786378 JFN786357:JFS786378 IVR786357:IVW786378 ILV786357:IMA786378 IBZ786357:ICE786378 HSD786357:HSI786378 HIH786357:HIM786378 GYL786357:GYQ786378 GOP786357:GOU786378 GET786357:GEY786378 FUX786357:FVC786378 FLB786357:FLG786378 FBF786357:FBK786378 ERJ786357:ERO786378 EHN786357:EHS786378 DXR786357:DXW786378 DNV786357:DOA786378 DDZ786357:DEE786378 CUD786357:CUI786378 CKH786357:CKM786378 CAL786357:CAQ786378 BQP786357:BQU786378 BGT786357:BGY786378 AWX786357:AXC786378 ANB786357:ANG786378 ADF786357:ADK786378 TJ786357:TO786378 JN786357:JS786378 J786357:O786378 WVZ720821:WWE720842 WMD720821:WMI720842 WCH720821:WCM720842 VSL720821:VSQ720842 VIP720821:VIU720842 UYT720821:UYY720842 UOX720821:UPC720842 UFB720821:UFG720842 TVF720821:TVK720842 TLJ720821:TLO720842 TBN720821:TBS720842 SRR720821:SRW720842 SHV720821:SIA720842 RXZ720821:RYE720842 ROD720821:ROI720842 REH720821:REM720842 QUL720821:QUQ720842 QKP720821:QKU720842 QAT720821:QAY720842 PQX720821:PRC720842 PHB720821:PHG720842 OXF720821:OXK720842 ONJ720821:ONO720842 ODN720821:ODS720842 NTR720821:NTW720842 NJV720821:NKA720842 MZZ720821:NAE720842 MQD720821:MQI720842 MGH720821:MGM720842 LWL720821:LWQ720842 LMP720821:LMU720842 LCT720821:LCY720842 KSX720821:KTC720842 KJB720821:KJG720842 JZF720821:JZK720842 JPJ720821:JPO720842 JFN720821:JFS720842 IVR720821:IVW720842 ILV720821:IMA720842 IBZ720821:ICE720842 HSD720821:HSI720842 HIH720821:HIM720842 GYL720821:GYQ720842 GOP720821:GOU720842 GET720821:GEY720842 FUX720821:FVC720842 FLB720821:FLG720842 FBF720821:FBK720842 ERJ720821:ERO720842 EHN720821:EHS720842 DXR720821:DXW720842 DNV720821:DOA720842 DDZ720821:DEE720842 CUD720821:CUI720842 CKH720821:CKM720842 CAL720821:CAQ720842 BQP720821:BQU720842 BGT720821:BGY720842 AWX720821:AXC720842 ANB720821:ANG720842 ADF720821:ADK720842 TJ720821:TO720842 JN720821:JS720842 J720821:O720842 WVZ655285:WWE655306 WMD655285:WMI655306 WCH655285:WCM655306 VSL655285:VSQ655306 VIP655285:VIU655306 UYT655285:UYY655306 UOX655285:UPC655306 UFB655285:UFG655306 TVF655285:TVK655306 TLJ655285:TLO655306 TBN655285:TBS655306 SRR655285:SRW655306 SHV655285:SIA655306 RXZ655285:RYE655306 ROD655285:ROI655306 REH655285:REM655306 QUL655285:QUQ655306 QKP655285:QKU655306 QAT655285:QAY655306 PQX655285:PRC655306 PHB655285:PHG655306 OXF655285:OXK655306 ONJ655285:ONO655306 ODN655285:ODS655306 NTR655285:NTW655306 NJV655285:NKA655306 MZZ655285:NAE655306 MQD655285:MQI655306 MGH655285:MGM655306 LWL655285:LWQ655306 LMP655285:LMU655306 LCT655285:LCY655306 KSX655285:KTC655306 KJB655285:KJG655306 JZF655285:JZK655306 JPJ655285:JPO655306 JFN655285:JFS655306 IVR655285:IVW655306 ILV655285:IMA655306 IBZ655285:ICE655306 HSD655285:HSI655306 HIH655285:HIM655306 GYL655285:GYQ655306 GOP655285:GOU655306 GET655285:GEY655306 FUX655285:FVC655306 FLB655285:FLG655306 FBF655285:FBK655306 ERJ655285:ERO655306 EHN655285:EHS655306 DXR655285:DXW655306 DNV655285:DOA655306 DDZ655285:DEE655306 CUD655285:CUI655306 CKH655285:CKM655306 CAL655285:CAQ655306 BQP655285:BQU655306 BGT655285:BGY655306 AWX655285:AXC655306 ANB655285:ANG655306 ADF655285:ADK655306 TJ655285:TO655306 JN655285:JS655306 J655285:O655306 WVZ589749:WWE589770 WMD589749:WMI589770 WCH589749:WCM589770 VSL589749:VSQ589770 VIP589749:VIU589770 UYT589749:UYY589770 UOX589749:UPC589770 UFB589749:UFG589770 TVF589749:TVK589770 TLJ589749:TLO589770 TBN589749:TBS589770 SRR589749:SRW589770 SHV589749:SIA589770 RXZ589749:RYE589770 ROD589749:ROI589770 REH589749:REM589770 QUL589749:QUQ589770 QKP589749:QKU589770 QAT589749:QAY589770 PQX589749:PRC589770 PHB589749:PHG589770 OXF589749:OXK589770 ONJ589749:ONO589770 ODN589749:ODS589770 NTR589749:NTW589770 NJV589749:NKA589770 MZZ589749:NAE589770 MQD589749:MQI589770 MGH589749:MGM589770 LWL589749:LWQ589770 LMP589749:LMU589770 LCT589749:LCY589770 KSX589749:KTC589770 KJB589749:KJG589770 JZF589749:JZK589770 JPJ589749:JPO589770 JFN589749:JFS589770 IVR589749:IVW589770 ILV589749:IMA589770 IBZ589749:ICE589770 HSD589749:HSI589770 HIH589749:HIM589770 GYL589749:GYQ589770 GOP589749:GOU589770 GET589749:GEY589770 FUX589749:FVC589770 FLB589749:FLG589770 FBF589749:FBK589770 ERJ589749:ERO589770 EHN589749:EHS589770 DXR589749:DXW589770 DNV589749:DOA589770 DDZ589749:DEE589770 CUD589749:CUI589770 CKH589749:CKM589770 CAL589749:CAQ589770 BQP589749:BQU589770 BGT589749:BGY589770 AWX589749:AXC589770 ANB589749:ANG589770 ADF589749:ADK589770 TJ589749:TO589770 JN589749:JS589770 J589749:O589770 WVZ524213:WWE524234 WMD524213:WMI524234 WCH524213:WCM524234 VSL524213:VSQ524234 VIP524213:VIU524234 UYT524213:UYY524234 UOX524213:UPC524234 UFB524213:UFG524234 TVF524213:TVK524234 TLJ524213:TLO524234 TBN524213:TBS524234 SRR524213:SRW524234 SHV524213:SIA524234 RXZ524213:RYE524234 ROD524213:ROI524234 REH524213:REM524234 QUL524213:QUQ524234 QKP524213:QKU524234 QAT524213:QAY524234 PQX524213:PRC524234 PHB524213:PHG524234 OXF524213:OXK524234 ONJ524213:ONO524234 ODN524213:ODS524234 NTR524213:NTW524234 NJV524213:NKA524234 MZZ524213:NAE524234 MQD524213:MQI524234 MGH524213:MGM524234 LWL524213:LWQ524234 LMP524213:LMU524234 LCT524213:LCY524234 KSX524213:KTC524234 KJB524213:KJG524234 JZF524213:JZK524234 JPJ524213:JPO524234 JFN524213:JFS524234 IVR524213:IVW524234 ILV524213:IMA524234 IBZ524213:ICE524234 HSD524213:HSI524234 HIH524213:HIM524234 GYL524213:GYQ524234 GOP524213:GOU524234 GET524213:GEY524234 FUX524213:FVC524234 FLB524213:FLG524234 FBF524213:FBK524234 ERJ524213:ERO524234 EHN524213:EHS524234 DXR524213:DXW524234 DNV524213:DOA524234 DDZ524213:DEE524234 CUD524213:CUI524234 CKH524213:CKM524234 CAL524213:CAQ524234 BQP524213:BQU524234 BGT524213:BGY524234 AWX524213:AXC524234 ANB524213:ANG524234 ADF524213:ADK524234 TJ524213:TO524234 JN524213:JS524234 J524213:O524234 WVZ458677:WWE458698 WMD458677:WMI458698 WCH458677:WCM458698 VSL458677:VSQ458698 VIP458677:VIU458698 UYT458677:UYY458698 UOX458677:UPC458698 UFB458677:UFG458698 TVF458677:TVK458698 TLJ458677:TLO458698 TBN458677:TBS458698 SRR458677:SRW458698 SHV458677:SIA458698 RXZ458677:RYE458698 ROD458677:ROI458698 REH458677:REM458698 QUL458677:QUQ458698 QKP458677:QKU458698 QAT458677:QAY458698 PQX458677:PRC458698 PHB458677:PHG458698 OXF458677:OXK458698 ONJ458677:ONO458698 ODN458677:ODS458698 NTR458677:NTW458698 NJV458677:NKA458698 MZZ458677:NAE458698 MQD458677:MQI458698 MGH458677:MGM458698 LWL458677:LWQ458698 LMP458677:LMU458698 LCT458677:LCY458698 KSX458677:KTC458698 KJB458677:KJG458698 JZF458677:JZK458698 JPJ458677:JPO458698 JFN458677:JFS458698 IVR458677:IVW458698 ILV458677:IMA458698 IBZ458677:ICE458698 HSD458677:HSI458698 HIH458677:HIM458698 GYL458677:GYQ458698 GOP458677:GOU458698 GET458677:GEY458698 FUX458677:FVC458698 FLB458677:FLG458698 FBF458677:FBK458698 ERJ458677:ERO458698 EHN458677:EHS458698 DXR458677:DXW458698 DNV458677:DOA458698 DDZ458677:DEE458698 CUD458677:CUI458698 CKH458677:CKM458698 CAL458677:CAQ458698 BQP458677:BQU458698 BGT458677:BGY458698 AWX458677:AXC458698 ANB458677:ANG458698 ADF458677:ADK458698 TJ458677:TO458698 JN458677:JS458698 J458677:O458698 WVZ393141:WWE393162 WMD393141:WMI393162 WCH393141:WCM393162 VSL393141:VSQ393162 VIP393141:VIU393162 UYT393141:UYY393162 UOX393141:UPC393162 UFB393141:UFG393162 TVF393141:TVK393162 TLJ393141:TLO393162 TBN393141:TBS393162 SRR393141:SRW393162 SHV393141:SIA393162 RXZ393141:RYE393162 ROD393141:ROI393162 REH393141:REM393162 QUL393141:QUQ393162 QKP393141:QKU393162 QAT393141:QAY393162 PQX393141:PRC393162 PHB393141:PHG393162 OXF393141:OXK393162 ONJ393141:ONO393162 ODN393141:ODS393162 NTR393141:NTW393162 NJV393141:NKA393162 MZZ393141:NAE393162 MQD393141:MQI393162 MGH393141:MGM393162 LWL393141:LWQ393162 LMP393141:LMU393162 LCT393141:LCY393162 KSX393141:KTC393162 KJB393141:KJG393162 JZF393141:JZK393162 JPJ393141:JPO393162 JFN393141:JFS393162 IVR393141:IVW393162 ILV393141:IMA393162 IBZ393141:ICE393162 HSD393141:HSI393162 HIH393141:HIM393162 GYL393141:GYQ393162 GOP393141:GOU393162 GET393141:GEY393162 FUX393141:FVC393162 FLB393141:FLG393162 FBF393141:FBK393162 ERJ393141:ERO393162 EHN393141:EHS393162 DXR393141:DXW393162 DNV393141:DOA393162 DDZ393141:DEE393162 CUD393141:CUI393162 CKH393141:CKM393162 CAL393141:CAQ393162 BQP393141:BQU393162 BGT393141:BGY393162 AWX393141:AXC393162 ANB393141:ANG393162 ADF393141:ADK393162 TJ393141:TO393162 JN393141:JS393162 J393141:O393162 WVZ327605:WWE327626 WMD327605:WMI327626 WCH327605:WCM327626 VSL327605:VSQ327626 VIP327605:VIU327626 UYT327605:UYY327626 UOX327605:UPC327626 UFB327605:UFG327626 TVF327605:TVK327626 TLJ327605:TLO327626 TBN327605:TBS327626 SRR327605:SRW327626 SHV327605:SIA327626 RXZ327605:RYE327626 ROD327605:ROI327626 REH327605:REM327626 QUL327605:QUQ327626 QKP327605:QKU327626 QAT327605:QAY327626 PQX327605:PRC327626 PHB327605:PHG327626 OXF327605:OXK327626 ONJ327605:ONO327626 ODN327605:ODS327626 NTR327605:NTW327626 NJV327605:NKA327626 MZZ327605:NAE327626 MQD327605:MQI327626 MGH327605:MGM327626 LWL327605:LWQ327626 LMP327605:LMU327626 LCT327605:LCY327626 KSX327605:KTC327626 KJB327605:KJG327626 JZF327605:JZK327626 JPJ327605:JPO327626 JFN327605:JFS327626 IVR327605:IVW327626 ILV327605:IMA327626 IBZ327605:ICE327626 HSD327605:HSI327626 HIH327605:HIM327626 GYL327605:GYQ327626 GOP327605:GOU327626 GET327605:GEY327626 FUX327605:FVC327626 FLB327605:FLG327626 FBF327605:FBK327626 ERJ327605:ERO327626 EHN327605:EHS327626 DXR327605:DXW327626 DNV327605:DOA327626 DDZ327605:DEE327626 CUD327605:CUI327626 CKH327605:CKM327626 CAL327605:CAQ327626 BQP327605:BQU327626 BGT327605:BGY327626 AWX327605:AXC327626 ANB327605:ANG327626 ADF327605:ADK327626 TJ327605:TO327626 JN327605:JS327626 J327605:O327626 WVZ262069:WWE262090 WMD262069:WMI262090 WCH262069:WCM262090 VSL262069:VSQ262090 VIP262069:VIU262090 UYT262069:UYY262090 UOX262069:UPC262090 UFB262069:UFG262090 TVF262069:TVK262090 TLJ262069:TLO262090 TBN262069:TBS262090 SRR262069:SRW262090 SHV262069:SIA262090 RXZ262069:RYE262090 ROD262069:ROI262090 REH262069:REM262090 QUL262069:QUQ262090 QKP262069:QKU262090 QAT262069:QAY262090 PQX262069:PRC262090 PHB262069:PHG262090 OXF262069:OXK262090 ONJ262069:ONO262090 ODN262069:ODS262090 NTR262069:NTW262090 NJV262069:NKA262090 MZZ262069:NAE262090 MQD262069:MQI262090 MGH262069:MGM262090 LWL262069:LWQ262090 LMP262069:LMU262090 LCT262069:LCY262090 KSX262069:KTC262090 KJB262069:KJG262090 JZF262069:JZK262090 JPJ262069:JPO262090 JFN262069:JFS262090 IVR262069:IVW262090 ILV262069:IMA262090 IBZ262069:ICE262090 HSD262069:HSI262090 HIH262069:HIM262090 GYL262069:GYQ262090 GOP262069:GOU262090 GET262069:GEY262090 FUX262069:FVC262090 FLB262069:FLG262090 FBF262069:FBK262090 ERJ262069:ERO262090 EHN262069:EHS262090 DXR262069:DXW262090 DNV262069:DOA262090 DDZ262069:DEE262090 CUD262069:CUI262090 CKH262069:CKM262090 CAL262069:CAQ262090 BQP262069:BQU262090 BGT262069:BGY262090 AWX262069:AXC262090 ANB262069:ANG262090 ADF262069:ADK262090 TJ262069:TO262090 JN262069:JS262090 J262069:O262090 WVZ196533:WWE196554 WMD196533:WMI196554 WCH196533:WCM196554 VSL196533:VSQ196554 VIP196533:VIU196554 UYT196533:UYY196554 UOX196533:UPC196554 UFB196533:UFG196554 TVF196533:TVK196554 TLJ196533:TLO196554 TBN196533:TBS196554 SRR196533:SRW196554 SHV196533:SIA196554 RXZ196533:RYE196554 ROD196533:ROI196554 REH196533:REM196554 QUL196533:QUQ196554 QKP196533:QKU196554 QAT196533:QAY196554 PQX196533:PRC196554 PHB196533:PHG196554 OXF196533:OXK196554 ONJ196533:ONO196554 ODN196533:ODS196554 NTR196533:NTW196554 NJV196533:NKA196554 MZZ196533:NAE196554 MQD196533:MQI196554 MGH196533:MGM196554 LWL196533:LWQ196554 LMP196533:LMU196554 LCT196533:LCY196554 KSX196533:KTC196554 KJB196533:KJG196554 JZF196533:JZK196554 JPJ196533:JPO196554 JFN196533:JFS196554 IVR196533:IVW196554 ILV196533:IMA196554 IBZ196533:ICE196554 HSD196533:HSI196554 HIH196533:HIM196554 GYL196533:GYQ196554 GOP196533:GOU196554 GET196533:GEY196554 FUX196533:FVC196554 FLB196533:FLG196554 FBF196533:FBK196554 ERJ196533:ERO196554 EHN196533:EHS196554 DXR196533:DXW196554 DNV196533:DOA196554 DDZ196533:DEE196554 CUD196533:CUI196554 CKH196533:CKM196554 CAL196533:CAQ196554 BQP196533:BQU196554 BGT196533:BGY196554 AWX196533:AXC196554 ANB196533:ANG196554 ADF196533:ADK196554 TJ196533:TO196554 JN196533:JS196554 J196533:O196554 WVZ130997:WWE131018 WMD130997:WMI131018 WCH130997:WCM131018 VSL130997:VSQ131018 VIP130997:VIU131018 UYT130997:UYY131018 UOX130997:UPC131018 UFB130997:UFG131018 TVF130997:TVK131018 TLJ130997:TLO131018 TBN130997:TBS131018 SRR130997:SRW131018 SHV130997:SIA131018 RXZ130997:RYE131018 ROD130997:ROI131018 REH130997:REM131018 QUL130997:QUQ131018 QKP130997:QKU131018 QAT130997:QAY131018 PQX130997:PRC131018 PHB130997:PHG131018 OXF130997:OXK131018 ONJ130997:ONO131018 ODN130997:ODS131018 NTR130997:NTW131018 NJV130997:NKA131018 MZZ130997:NAE131018 MQD130997:MQI131018 MGH130997:MGM131018 LWL130997:LWQ131018 LMP130997:LMU131018 LCT130997:LCY131018 KSX130997:KTC131018 KJB130997:KJG131018 JZF130997:JZK131018 JPJ130997:JPO131018 JFN130997:JFS131018 IVR130997:IVW131018 ILV130997:IMA131018 IBZ130997:ICE131018 HSD130997:HSI131018 HIH130997:HIM131018 GYL130997:GYQ131018 GOP130997:GOU131018 GET130997:GEY131018 FUX130997:FVC131018 FLB130997:FLG131018 FBF130997:FBK131018 ERJ130997:ERO131018 EHN130997:EHS131018 DXR130997:DXW131018 DNV130997:DOA131018 DDZ130997:DEE131018 CUD130997:CUI131018 CKH130997:CKM131018 CAL130997:CAQ131018 BQP130997:BQU131018 BGT130997:BGY131018 AWX130997:AXC131018 ANB130997:ANG131018 ADF130997:ADK131018 TJ130997:TO131018 JN130997:JS131018 J130997:O131018 WVZ65461:WWE65482 WMD65461:WMI65482 WCH65461:WCM65482 VSL65461:VSQ65482 VIP65461:VIU65482 UYT65461:UYY65482 UOX65461:UPC65482 UFB65461:UFG65482 TVF65461:TVK65482 TLJ65461:TLO65482 TBN65461:TBS65482 SRR65461:SRW65482 SHV65461:SIA65482 RXZ65461:RYE65482 ROD65461:ROI65482 REH65461:REM65482 QUL65461:QUQ65482 QKP65461:QKU65482 QAT65461:QAY65482 PQX65461:PRC65482 PHB65461:PHG65482 OXF65461:OXK65482 ONJ65461:ONO65482 ODN65461:ODS65482 NTR65461:NTW65482 NJV65461:NKA65482 MZZ65461:NAE65482 MQD65461:MQI65482 MGH65461:MGM65482 LWL65461:LWQ65482 LMP65461:LMU65482 LCT65461:LCY65482 KSX65461:KTC65482 KJB65461:KJG65482 JZF65461:JZK65482 JPJ65461:JPO65482 JFN65461:JFS65482 IVR65461:IVW65482 ILV65461:IMA65482 IBZ65461:ICE65482 HSD65461:HSI65482 HIH65461:HIM65482 GYL65461:GYQ65482 GOP65461:GOU65482 GET65461:GEY65482 FUX65461:FVC65482 FLB65461:FLG65482 FBF65461:FBK65482 ERJ65461:ERO65482 EHN65461:EHS65482 DXR65461:DXW65482 DNV65461:DOA65482 DDZ65461:DEE65482 CUD65461:CUI65482 CKH65461:CKM65482 CAL65461:CAQ65482 BQP65461:BQU65482 BGT65461:BGY65482 AWX65461:AXC65482 ANB65461:ANG65482 ADF65461:ADK65482 TJ65461:TO65482 JN65461:JS65482 J65461:O65482 WWN982965:WWU982986 WMR982965:WMY982986 WCV982965:WDC982986 VSZ982965:VTG982986 VJD982965:VJK982986 UZH982965:UZO982986 UPL982965:UPS982986 UFP982965:UFW982986 TVT982965:TWA982986 TLX982965:TME982986 TCB982965:TCI982986 SSF982965:SSM982986 SIJ982965:SIQ982986 RYN982965:RYU982986 ROR982965:ROY982986 REV982965:RFC982986 QUZ982965:QVG982986 QLD982965:QLK982986 QBH982965:QBO982986 PRL982965:PRS982986 PHP982965:PHW982986 OXT982965:OYA982986 ONX982965:OOE982986 OEB982965:OEI982986 NUF982965:NUM982986 NKJ982965:NKQ982986 NAN982965:NAU982986 MQR982965:MQY982986 MGV982965:MHC982986 LWZ982965:LXG982986 LND982965:LNK982986 LDH982965:LDO982986 KTL982965:KTS982986 KJP982965:KJW982986 JZT982965:KAA982986 JPX982965:JQE982986 JGB982965:JGI982986 IWF982965:IWM982986 IMJ982965:IMQ982986 ICN982965:ICU982986 HSR982965:HSY982986 HIV982965:HJC982986 GYZ982965:GZG982986 GPD982965:GPK982986 GFH982965:GFO982986 FVL982965:FVS982986 FLP982965:FLW982986 FBT982965:FCA982986 ERX982965:ESE982986 EIB982965:EII982986 DYF982965:DYM982986 DOJ982965:DOQ982986 DEN982965:DEU982986 CUR982965:CUY982986 CKV982965:CLC982986 CAZ982965:CBG982986 BRD982965:BRK982986 BHH982965:BHO982986 AXL982965:AXS982986 ANP982965:ANW982986 ADT982965:AEA982986 TX982965:UE982986 KB982965:KI982986 X982965:AE982986 WWN917429:WWU917450 WMR917429:WMY917450 WCV917429:WDC917450 VSZ917429:VTG917450 VJD917429:VJK917450 UZH917429:UZO917450 UPL917429:UPS917450 UFP917429:UFW917450 TVT917429:TWA917450 TLX917429:TME917450 TCB917429:TCI917450 SSF917429:SSM917450 SIJ917429:SIQ917450 RYN917429:RYU917450 ROR917429:ROY917450 REV917429:RFC917450 QUZ917429:QVG917450 QLD917429:QLK917450 QBH917429:QBO917450 PRL917429:PRS917450 PHP917429:PHW917450 OXT917429:OYA917450 ONX917429:OOE917450 OEB917429:OEI917450 NUF917429:NUM917450 NKJ917429:NKQ917450 NAN917429:NAU917450 MQR917429:MQY917450 MGV917429:MHC917450 LWZ917429:LXG917450 LND917429:LNK917450 LDH917429:LDO917450 KTL917429:KTS917450 KJP917429:KJW917450 JZT917429:KAA917450 JPX917429:JQE917450 JGB917429:JGI917450 IWF917429:IWM917450 IMJ917429:IMQ917450 ICN917429:ICU917450 HSR917429:HSY917450 HIV917429:HJC917450 GYZ917429:GZG917450 GPD917429:GPK917450 GFH917429:GFO917450 FVL917429:FVS917450 FLP917429:FLW917450 FBT917429:FCA917450 ERX917429:ESE917450 EIB917429:EII917450 DYF917429:DYM917450 DOJ917429:DOQ917450 DEN917429:DEU917450 CUR917429:CUY917450 CKV917429:CLC917450 CAZ917429:CBG917450 BRD917429:BRK917450 BHH917429:BHO917450 AXL917429:AXS917450 ANP917429:ANW917450 ADT917429:AEA917450 TX917429:UE917450 KB917429:KI917450 X917429:AE917450 WWN851893:WWU851914 WMR851893:WMY851914 WCV851893:WDC851914 VSZ851893:VTG851914 VJD851893:VJK851914 UZH851893:UZO851914 UPL851893:UPS851914 UFP851893:UFW851914 TVT851893:TWA851914 TLX851893:TME851914 TCB851893:TCI851914 SSF851893:SSM851914 SIJ851893:SIQ851914 RYN851893:RYU851914 ROR851893:ROY851914 REV851893:RFC851914 QUZ851893:QVG851914 QLD851893:QLK851914 QBH851893:QBO851914 PRL851893:PRS851914 PHP851893:PHW851914 OXT851893:OYA851914 ONX851893:OOE851914 OEB851893:OEI851914 NUF851893:NUM851914 NKJ851893:NKQ851914 NAN851893:NAU851914 MQR851893:MQY851914 MGV851893:MHC851914 LWZ851893:LXG851914 LND851893:LNK851914 LDH851893:LDO851914 KTL851893:KTS851914 KJP851893:KJW851914 JZT851893:KAA851914 JPX851893:JQE851914 JGB851893:JGI851914 IWF851893:IWM851914 IMJ851893:IMQ851914 ICN851893:ICU851914 HSR851893:HSY851914 HIV851893:HJC851914 GYZ851893:GZG851914 GPD851893:GPK851914 GFH851893:GFO851914 FVL851893:FVS851914 FLP851893:FLW851914 FBT851893:FCA851914 ERX851893:ESE851914 EIB851893:EII851914 DYF851893:DYM851914 DOJ851893:DOQ851914 DEN851893:DEU851914 CUR851893:CUY851914 CKV851893:CLC851914 CAZ851893:CBG851914 BRD851893:BRK851914 BHH851893:BHO851914 AXL851893:AXS851914 ANP851893:ANW851914 ADT851893:AEA851914 TX851893:UE851914 KB851893:KI851914 X851893:AE851914 WWN786357:WWU786378 WMR786357:WMY786378 WCV786357:WDC786378 VSZ786357:VTG786378 VJD786357:VJK786378 UZH786357:UZO786378 UPL786357:UPS786378 UFP786357:UFW786378 TVT786357:TWA786378 TLX786357:TME786378 TCB786357:TCI786378 SSF786357:SSM786378 SIJ786357:SIQ786378 RYN786357:RYU786378 ROR786357:ROY786378 REV786357:RFC786378 QUZ786357:QVG786378 QLD786357:QLK786378 QBH786357:QBO786378 PRL786357:PRS786378 PHP786357:PHW786378 OXT786357:OYA786378 ONX786357:OOE786378 OEB786357:OEI786378 NUF786357:NUM786378 NKJ786357:NKQ786378 NAN786357:NAU786378 MQR786357:MQY786378 MGV786357:MHC786378 LWZ786357:LXG786378 LND786357:LNK786378 LDH786357:LDO786378 KTL786357:KTS786378 KJP786357:KJW786378 JZT786357:KAA786378 JPX786357:JQE786378 JGB786357:JGI786378 IWF786357:IWM786378 IMJ786357:IMQ786378 ICN786357:ICU786378 HSR786357:HSY786378 HIV786357:HJC786378 GYZ786357:GZG786378 GPD786357:GPK786378 GFH786357:GFO786378 FVL786357:FVS786378 FLP786357:FLW786378 FBT786357:FCA786378 ERX786357:ESE786378 EIB786357:EII786378 DYF786357:DYM786378 DOJ786357:DOQ786378 DEN786357:DEU786378 CUR786357:CUY786378 CKV786357:CLC786378 CAZ786357:CBG786378 BRD786357:BRK786378 BHH786357:BHO786378 AXL786357:AXS786378 ANP786357:ANW786378 ADT786357:AEA786378 TX786357:UE786378 KB786357:KI786378 X786357:AE786378 WWN720821:WWU720842 WMR720821:WMY720842 WCV720821:WDC720842 VSZ720821:VTG720842 VJD720821:VJK720842 UZH720821:UZO720842 UPL720821:UPS720842 UFP720821:UFW720842 TVT720821:TWA720842 TLX720821:TME720842 TCB720821:TCI720842 SSF720821:SSM720842 SIJ720821:SIQ720842 RYN720821:RYU720842 ROR720821:ROY720842 REV720821:RFC720842 QUZ720821:QVG720842 QLD720821:QLK720842 QBH720821:QBO720842 PRL720821:PRS720842 PHP720821:PHW720842 OXT720821:OYA720842 ONX720821:OOE720842 OEB720821:OEI720842 NUF720821:NUM720842 NKJ720821:NKQ720842 NAN720821:NAU720842 MQR720821:MQY720842 MGV720821:MHC720842 LWZ720821:LXG720842 LND720821:LNK720842 LDH720821:LDO720842 KTL720821:KTS720842 KJP720821:KJW720842 JZT720821:KAA720842 JPX720821:JQE720842 JGB720821:JGI720842 IWF720821:IWM720842 IMJ720821:IMQ720842 ICN720821:ICU720842 HSR720821:HSY720842 HIV720821:HJC720842 GYZ720821:GZG720842 GPD720821:GPK720842 GFH720821:GFO720842 FVL720821:FVS720842 FLP720821:FLW720842 FBT720821:FCA720842 ERX720821:ESE720842 EIB720821:EII720842 DYF720821:DYM720842 DOJ720821:DOQ720842 DEN720821:DEU720842 CUR720821:CUY720842 CKV720821:CLC720842 CAZ720821:CBG720842 BRD720821:BRK720842 BHH720821:BHO720842 AXL720821:AXS720842 ANP720821:ANW720842 ADT720821:AEA720842 TX720821:UE720842 KB720821:KI720842 X720821:AE720842 WWN655285:WWU655306 WMR655285:WMY655306 WCV655285:WDC655306 VSZ655285:VTG655306 VJD655285:VJK655306 UZH655285:UZO655306 UPL655285:UPS655306 UFP655285:UFW655306 TVT655285:TWA655306 TLX655285:TME655306 TCB655285:TCI655306 SSF655285:SSM655306 SIJ655285:SIQ655306 RYN655285:RYU655306 ROR655285:ROY655306 REV655285:RFC655306 QUZ655285:QVG655306 QLD655285:QLK655306 QBH655285:QBO655306 PRL655285:PRS655306 PHP655285:PHW655306 OXT655285:OYA655306 ONX655285:OOE655306 OEB655285:OEI655306 NUF655285:NUM655306 NKJ655285:NKQ655306 NAN655285:NAU655306 MQR655285:MQY655306 MGV655285:MHC655306 LWZ655285:LXG655306 LND655285:LNK655306 LDH655285:LDO655306 KTL655285:KTS655306 KJP655285:KJW655306 JZT655285:KAA655306 JPX655285:JQE655306 JGB655285:JGI655306 IWF655285:IWM655306 IMJ655285:IMQ655306 ICN655285:ICU655306 HSR655285:HSY655306 HIV655285:HJC655306 GYZ655285:GZG655306 GPD655285:GPK655306 GFH655285:GFO655306 FVL655285:FVS655306 FLP655285:FLW655306 FBT655285:FCA655306 ERX655285:ESE655306 EIB655285:EII655306 DYF655285:DYM655306 DOJ655285:DOQ655306 DEN655285:DEU655306 CUR655285:CUY655306 CKV655285:CLC655306 CAZ655285:CBG655306 BRD655285:BRK655306 BHH655285:BHO655306 AXL655285:AXS655306 ANP655285:ANW655306 ADT655285:AEA655306 TX655285:UE655306 KB655285:KI655306 X655285:AE655306 WWN589749:WWU589770 WMR589749:WMY589770 WCV589749:WDC589770 VSZ589749:VTG589770 VJD589749:VJK589770 UZH589749:UZO589770 UPL589749:UPS589770 UFP589749:UFW589770 TVT589749:TWA589770 TLX589749:TME589770 TCB589749:TCI589770 SSF589749:SSM589770 SIJ589749:SIQ589770 RYN589749:RYU589770 ROR589749:ROY589770 REV589749:RFC589770 QUZ589749:QVG589770 QLD589749:QLK589770 QBH589749:QBO589770 PRL589749:PRS589770 PHP589749:PHW589770 OXT589749:OYA589770 ONX589749:OOE589770 OEB589749:OEI589770 NUF589749:NUM589770 NKJ589749:NKQ589770 NAN589749:NAU589770 MQR589749:MQY589770 MGV589749:MHC589770 LWZ589749:LXG589770 LND589749:LNK589770 LDH589749:LDO589770 KTL589749:KTS589770 KJP589749:KJW589770 JZT589749:KAA589770 JPX589749:JQE589770 JGB589749:JGI589770 IWF589749:IWM589770 IMJ589749:IMQ589770 ICN589749:ICU589770 HSR589749:HSY589770 HIV589749:HJC589770 GYZ589749:GZG589770 GPD589749:GPK589770 GFH589749:GFO589770 FVL589749:FVS589770 FLP589749:FLW589770 FBT589749:FCA589770 ERX589749:ESE589770 EIB589749:EII589770 DYF589749:DYM589770 DOJ589749:DOQ589770 DEN589749:DEU589770 CUR589749:CUY589770 CKV589749:CLC589770 CAZ589749:CBG589770 BRD589749:BRK589770 BHH589749:BHO589770 AXL589749:AXS589770 ANP589749:ANW589770 ADT589749:AEA589770 TX589749:UE589770 KB589749:KI589770 X589749:AE589770 WWN524213:WWU524234 WMR524213:WMY524234 WCV524213:WDC524234 VSZ524213:VTG524234 VJD524213:VJK524234 UZH524213:UZO524234 UPL524213:UPS524234 UFP524213:UFW524234 TVT524213:TWA524234 TLX524213:TME524234 TCB524213:TCI524234 SSF524213:SSM524234 SIJ524213:SIQ524234 RYN524213:RYU524234 ROR524213:ROY524234 REV524213:RFC524234 QUZ524213:QVG524234 QLD524213:QLK524234 QBH524213:QBO524234 PRL524213:PRS524234 PHP524213:PHW524234 OXT524213:OYA524234 ONX524213:OOE524234 OEB524213:OEI524234 NUF524213:NUM524234 NKJ524213:NKQ524234 NAN524213:NAU524234 MQR524213:MQY524234 MGV524213:MHC524234 LWZ524213:LXG524234 LND524213:LNK524234 LDH524213:LDO524234 KTL524213:KTS524234 KJP524213:KJW524234 JZT524213:KAA524234 JPX524213:JQE524234 JGB524213:JGI524234 IWF524213:IWM524234 IMJ524213:IMQ524234 ICN524213:ICU524234 HSR524213:HSY524234 HIV524213:HJC524234 GYZ524213:GZG524234 GPD524213:GPK524234 GFH524213:GFO524234 FVL524213:FVS524234 FLP524213:FLW524234 FBT524213:FCA524234 ERX524213:ESE524234 EIB524213:EII524234 DYF524213:DYM524234 DOJ524213:DOQ524234 DEN524213:DEU524234 CUR524213:CUY524234 CKV524213:CLC524234 CAZ524213:CBG524234 BRD524213:BRK524234 BHH524213:BHO524234 AXL524213:AXS524234 ANP524213:ANW524234 ADT524213:AEA524234 TX524213:UE524234 KB524213:KI524234 X524213:AE524234 WWN458677:WWU458698 WMR458677:WMY458698 WCV458677:WDC458698 VSZ458677:VTG458698 VJD458677:VJK458698 UZH458677:UZO458698 UPL458677:UPS458698 UFP458677:UFW458698 TVT458677:TWA458698 TLX458677:TME458698 TCB458677:TCI458698 SSF458677:SSM458698 SIJ458677:SIQ458698 RYN458677:RYU458698 ROR458677:ROY458698 REV458677:RFC458698 QUZ458677:QVG458698 QLD458677:QLK458698 QBH458677:QBO458698 PRL458677:PRS458698 PHP458677:PHW458698 OXT458677:OYA458698 ONX458677:OOE458698 OEB458677:OEI458698 NUF458677:NUM458698 NKJ458677:NKQ458698 NAN458677:NAU458698 MQR458677:MQY458698 MGV458677:MHC458698 LWZ458677:LXG458698 LND458677:LNK458698 LDH458677:LDO458698 KTL458677:KTS458698 KJP458677:KJW458698 JZT458677:KAA458698 JPX458677:JQE458698 JGB458677:JGI458698 IWF458677:IWM458698 IMJ458677:IMQ458698 ICN458677:ICU458698 HSR458677:HSY458698 HIV458677:HJC458698 GYZ458677:GZG458698 GPD458677:GPK458698 GFH458677:GFO458698 FVL458677:FVS458698 FLP458677:FLW458698 FBT458677:FCA458698 ERX458677:ESE458698 EIB458677:EII458698 DYF458677:DYM458698 DOJ458677:DOQ458698 DEN458677:DEU458698 CUR458677:CUY458698 CKV458677:CLC458698 CAZ458677:CBG458698 BRD458677:BRK458698 BHH458677:BHO458698 AXL458677:AXS458698 ANP458677:ANW458698 ADT458677:AEA458698 TX458677:UE458698 KB458677:KI458698 X458677:AE458698 WWN393141:WWU393162 WMR393141:WMY393162 WCV393141:WDC393162 VSZ393141:VTG393162 VJD393141:VJK393162 UZH393141:UZO393162 UPL393141:UPS393162 UFP393141:UFW393162 TVT393141:TWA393162 TLX393141:TME393162 TCB393141:TCI393162 SSF393141:SSM393162 SIJ393141:SIQ393162 RYN393141:RYU393162 ROR393141:ROY393162 REV393141:RFC393162 QUZ393141:QVG393162 QLD393141:QLK393162 QBH393141:QBO393162 PRL393141:PRS393162 PHP393141:PHW393162 OXT393141:OYA393162 ONX393141:OOE393162 OEB393141:OEI393162 NUF393141:NUM393162 NKJ393141:NKQ393162 NAN393141:NAU393162 MQR393141:MQY393162 MGV393141:MHC393162 LWZ393141:LXG393162 LND393141:LNK393162 LDH393141:LDO393162 KTL393141:KTS393162 KJP393141:KJW393162 JZT393141:KAA393162 JPX393141:JQE393162 JGB393141:JGI393162 IWF393141:IWM393162 IMJ393141:IMQ393162 ICN393141:ICU393162 HSR393141:HSY393162 HIV393141:HJC393162 GYZ393141:GZG393162 GPD393141:GPK393162 GFH393141:GFO393162 FVL393141:FVS393162 FLP393141:FLW393162 FBT393141:FCA393162 ERX393141:ESE393162 EIB393141:EII393162 DYF393141:DYM393162 DOJ393141:DOQ393162 DEN393141:DEU393162 CUR393141:CUY393162 CKV393141:CLC393162 CAZ393141:CBG393162 BRD393141:BRK393162 BHH393141:BHO393162 AXL393141:AXS393162 ANP393141:ANW393162 ADT393141:AEA393162 TX393141:UE393162 KB393141:KI393162 X393141:AE393162 WWN327605:WWU327626 WMR327605:WMY327626 WCV327605:WDC327626 VSZ327605:VTG327626 VJD327605:VJK327626 UZH327605:UZO327626 UPL327605:UPS327626 UFP327605:UFW327626 TVT327605:TWA327626 TLX327605:TME327626 TCB327605:TCI327626 SSF327605:SSM327626 SIJ327605:SIQ327626 RYN327605:RYU327626 ROR327605:ROY327626 REV327605:RFC327626 QUZ327605:QVG327626 QLD327605:QLK327626 QBH327605:QBO327626 PRL327605:PRS327626 PHP327605:PHW327626 OXT327605:OYA327626 ONX327605:OOE327626 OEB327605:OEI327626 NUF327605:NUM327626 NKJ327605:NKQ327626 NAN327605:NAU327626 MQR327605:MQY327626 MGV327605:MHC327626 LWZ327605:LXG327626 LND327605:LNK327626 LDH327605:LDO327626 KTL327605:KTS327626 KJP327605:KJW327626 JZT327605:KAA327626 JPX327605:JQE327626 JGB327605:JGI327626 IWF327605:IWM327626 IMJ327605:IMQ327626 ICN327605:ICU327626 HSR327605:HSY327626 HIV327605:HJC327626 GYZ327605:GZG327626 GPD327605:GPK327626 GFH327605:GFO327626 FVL327605:FVS327626 FLP327605:FLW327626 FBT327605:FCA327626 ERX327605:ESE327626 EIB327605:EII327626 DYF327605:DYM327626 DOJ327605:DOQ327626 DEN327605:DEU327626 CUR327605:CUY327626 CKV327605:CLC327626 CAZ327605:CBG327626 BRD327605:BRK327626 BHH327605:BHO327626 AXL327605:AXS327626 ANP327605:ANW327626 ADT327605:AEA327626 TX327605:UE327626 KB327605:KI327626 X327605:AE327626 WWN262069:WWU262090 WMR262069:WMY262090 WCV262069:WDC262090 VSZ262069:VTG262090 VJD262069:VJK262090 UZH262069:UZO262090 UPL262069:UPS262090 UFP262069:UFW262090 TVT262069:TWA262090 TLX262069:TME262090 TCB262069:TCI262090 SSF262069:SSM262090 SIJ262069:SIQ262090 RYN262069:RYU262090 ROR262069:ROY262090 REV262069:RFC262090 QUZ262069:QVG262090 QLD262069:QLK262090 QBH262069:QBO262090 PRL262069:PRS262090 PHP262069:PHW262090 OXT262069:OYA262090 ONX262069:OOE262090 OEB262069:OEI262090 NUF262069:NUM262090 NKJ262069:NKQ262090 NAN262069:NAU262090 MQR262069:MQY262090 MGV262069:MHC262090 LWZ262069:LXG262090 LND262069:LNK262090 LDH262069:LDO262090 KTL262069:KTS262090 KJP262069:KJW262090 JZT262069:KAA262090 JPX262069:JQE262090 JGB262069:JGI262090 IWF262069:IWM262090 IMJ262069:IMQ262090 ICN262069:ICU262090 HSR262069:HSY262090 HIV262069:HJC262090 GYZ262069:GZG262090 GPD262069:GPK262090 GFH262069:GFO262090 FVL262069:FVS262090 FLP262069:FLW262090 FBT262069:FCA262090 ERX262069:ESE262090 EIB262069:EII262090 DYF262069:DYM262090 DOJ262069:DOQ262090 DEN262069:DEU262090 CUR262069:CUY262090 CKV262069:CLC262090 CAZ262069:CBG262090 BRD262069:BRK262090 BHH262069:BHO262090 AXL262069:AXS262090 ANP262069:ANW262090 ADT262069:AEA262090 TX262069:UE262090 KB262069:KI262090 X262069:AE262090 WWN196533:WWU196554 WMR196533:WMY196554 WCV196533:WDC196554 VSZ196533:VTG196554 VJD196533:VJK196554 UZH196533:UZO196554 UPL196533:UPS196554 UFP196533:UFW196554 TVT196533:TWA196554 TLX196533:TME196554 TCB196533:TCI196554 SSF196533:SSM196554 SIJ196533:SIQ196554 RYN196533:RYU196554 ROR196533:ROY196554 REV196533:RFC196554 QUZ196533:QVG196554 QLD196533:QLK196554 QBH196533:QBO196554 PRL196533:PRS196554 PHP196533:PHW196554 OXT196533:OYA196554 ONX196533:OOE196554 OEB196533:OEI196554 NUF196533:NUM196554 NKJ196533:NKQ196554 NAN196533:NAU196554 MQR196533:MQY196554 MGV196533:MHC196554 LWZ196533:LXG196554 LND196533:LNK196554 LDH196533:LDO196554 KTL196533:KTS196554 KJP196533:KJW196554 JZT196533:KAA196554 JPX196533:JQE196554 JGB196533:JGI196554 IWF196533:IWM196554 IMJ196533:IMQ196554 ICN196533:ICU196554 HSR196533:HSY196554 HIV196533:HJC196554 GYZ196533:GZG196554 GPD196533:GPK196554 GFH196533:GFO196554 FVL196533:FVS196554 FLP196533:FLW196554 FBT196533:FCA196554 ERX196533:ESE196554 EIB196533:EII196554 DYF196533:DYM196554 DOJ196533:DOQ196554 DEN196533:DEU196554 CUR196533:CUY196554 CKV196533:CLC196554 CAZ196533:CBG196554 BRD196533:BRK196554 BHH196533:BHO196554 AXL196533:AXS196554 ANP196533:ANW196554 ADT196533:AEA196554 TX196533:UE196554 KB196533:KI196554 X196533:AE196554 WWN130997:WWU131018 WMR130997:WMY131018 WCV130997:WDC131018 VSZ130997:VTG131018 VJD130997:VJK131018 UZH130997:UZO131018 UPL130997:UPS131018 UFP130997:UFW131018 TVT130997:TWA131018 TLX130997:TME131018 TCB130997:TCI131018 SSF130997:SSM131018 SIJ130997:SIQ131018 RYN130997:RYU131018 ROR130997:ROY131018 REV130997:RFC131018 QUZ130997:QVG131018 QLD130997:QLK131018 QBH130997:QBO131018 PRL130997:PRS131018 PHP130997:PHW131018 OXT130997:OYA131018 ONX130997:OOE131018 OEB130997:OEI131018 NUF130997:NUM131018 NKJ130997:NKQ131018 NAN130997:NAU131018 MQR130997:MQY131018 MGV130997:MHC131018 LWZ130997:LXG131018 LND130997:LNK131018 LDH130997:LDO131018 KTL130997:KTS131018 KJP130997:KJW131018 JZT130997:KAA131018 JPX130997:JQE131018 JGB130997:JGI131018 IWF130997:IWM131018 IMJ130997:IMQ131018 ICN130997:ICU131018 HSR130997:HSY131018 HIV130997:HJC131018 GYZ130997:GZG131018 GPD130997:GPK131018 GFH130997:GFO131018 FVL130997:FVS131018 FLP130997:FLW131018 FBT130997:FCA131018 ERX130997:ESE131018 EIB130997:EII131018 DYF130997:DYM131018 DOJ130997:DOQ131018 DEN130997:DEU131018 CUR130997:CUY131018 CKV130997:CLC131018 CAZ130997:CBG131018 BRD130997:BRK131018 BHH130997:BHO131018 AXL130997:AXS131018 ANP130997:ANW131018 ADT130997:AEA131018 TX130997:UE131018 KB130997:KI131018 X130997:AE131018 WWN65461:WWU65482 WMR65461:WMY65482 WCV65461:WDC65482 VSZ65461:VTG65482 VJD65461:VJK65482 UZH65461:UZO65482 UPL65461:UPS65482 UFP65461:UFW65482 TVT65461:TWA65482 TLX65461:TME65482 TCB65461:TCI65482 SSF65461:SSM65482 SIJ65461:SIQ65482 RYN65461:RYU65482 ROR65461:ROY65482 REV65461:RFC65482 QUZ65461:QVG65482 QLD65461:QLK65482 QBH65461:QBO65482 PRL65461:PRS65482 PHP65461:PHW65482 OXT65461:OYA65482 ONX65461:OOE65482 OEB65461:OEI65482 NUF65461:NUM65482 NKJ65461:NKQ65482 NAN65461:NAU65482 MQR65461:MQY65482 MGV65461:MHC65482 LWZ65461:LXG65482 LND65461:LNK65482 LDH65461:LDO65482 KTL65461:KTS65482 KJP65461:KJW65482 JZT65461:KAA65482 JPX65461:JQE65482 JGB65461:JGI65482 IWF65461:IWM65482 IMJ65461:IMQ65482 ICN65461:ICU65482 HSR65461:HSY65482 HIV65461:HJC65482 GYZ65461:GZG65482 GPD65461:GPK65482 GFH65461:GFO65482 FVL65461:FVS65482 FLP65461:FLW65482 FBT65461:FCA65482 ERX65461:ESE65482 EIB65461:EII65482 DYF65461:DYM65482 DOJ65461:DOQ65482 DEN65461:DEU65482 CUR65461:CUY65482 CKV65461:CLC65482 CAZ65461:CBG65482 BRD65461:BRK65482 BHH65461:BHO65482 AXL65461:AXS65482 ANP65461:ANW65482 ADT65461:AEA65482 TX65461:UE65482 KB65461:KI65482 X65461:AE65482" xr:uid="{CCAD837C-C618-4984-8462-32A1962C4B95}">
      <formula1>#REF!</formula1>
    </dataValidation>
    <dataValidation type="list" allowBlank="1" showInputMessage="1" showErrorMessage="1" sqref="WAL4:WAS6 VQP4:VQW6 VGT4:VHA6 UWX4:UXE6 UNB4:UNI6 UDF4:UDM6 TTJ4:TTQ6 TJN4:TJU6 SZR4:SZY6 SPV4:SQC6 SFZ4:SGG6 RWD4:RWK6 RMH4:RMO6 RCL4:RCS6 QSP4:QSW6 QIT4:QJA6 PYX4:PZE6 PPB4:PPI6 PFF4:PFM6 OVJ4:OVQ6 OLN4:OLU6 OBR4:OBY6 NRV4:NSC6 NHZ4:NIG6 MYD4:MYK6 MOH4:MOO6 MEL4:MES6 LUP4:LUW6 LKT4:LLA6 LAX4:LBE6 KRB4:KRI6 KHF4:KHM6 JXJ4:JXQ6 JNN4:JNU6 JDR4:JDY6 ITV4:IUC6 IJZ4:IKG6 IAD4:IAK6 HQH4:HQO6 HGL4:HGS6 GWP4:GWW6 GMT4:GNA6 GCX4:GDE6 FTB4:FTI6 FJF4:FJM6 EZJ4:EZQ6 EPN4:EPU6 EFR4:EFY6 DVV4:DWC6 DLZ4:DMG6 DCD4:DCK6 CSH4:CSO6 CIL4:CIS6 BYP4:BYW6 BOT4:BPA6 BEX4:BFE6 AVB4:AVI6 ALF4:ALM6 ABJ4:ABQ6 RN4:RU6 HR4:HY6 WUD4:WUK6 AE4:AL6 WKH4:WKO6" xr:uid="{6DCA4638-B268-4027-8621-3EE99E22C323}">
      <formula1>"サーバ,クライアント"</formula1>
    </dataValidation>
  </dataValidations>
  <pageMargins left="0.7" right="0.7" top="0.75" bottom="0.75" header="0.3" footer="0.3"/>
  <pageSetup paperSize="9" scale="33" fitToHeight="0"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2026-05-14T05:16:19Z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