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tmp" ContentType="image/png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drawings/drawing8.xml" ContentType="application/vnd.openxmlformats-officedocument.drawing+xml"/>
  <Override PartName="/xl/comments2.xml" ContentType="application/vnd.openxmlformats-officedocument.spreadsheetml.comments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omments3.xml" ContentType="application/vnd.openxmlformats-officedocument.spreadsheetml.comments+xml"/>
  <Override PartName="/xl/drawings/drawing12.xml" ContentType="application/vnd.openxmlformats-officedocument.drawing+xml"/>
  <Override PartName="/xl/comments4.xml" ContentType="application/vnd.openxmlformats-officedocument.spreadsheetml.comments+xml"/>
  <Override PartName="/xl/drawings/drawing13.xml" ContentType="application/vnd.openxmlformats-officedocument.drawing+xml"/>
  <Override PartName="/xl/comments5.xml" ContentType="application/vnd.openxmlformats-officedocument.spreadsheetml.comments+xml"/>
  <Override PartName="/xl/drawings/drawing14.xml" ContentType="application/vnd.openxmlformats-officedocument.drawing+xml"/>
  <Override PartName="/xl/comments6.xml" ContentType="application/vnd.openxmlformats-officedocument.spreadsheetml.comments+xml"/>
  <Override PartName="/xl/drawings/drawing15.xml" ContentType="application/vnd.openxmlformats-officedocument.drawing+xml"/>
  <Override PartName="/xl/comments7.xml" ContentType="application/vnd.openxmlformats-officedocument.spreadsheetml.comments+xml"/>
  <Override PartName="/xl/drawings/drawing16.xml" ContentType="application/vnd.openxmlformats-officedocument.drawing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roject\hrs_環境証明書\20_設計書\"/>
    </mc:Choice>
  </mc:AlternateContent>
  <xr:revisionPtr revIDLastSave="0" documentId="13_ncr:1_{A8A1DA3A-83B8-4575-825A-197531A141A0}" xr6:coauthVersionLast="47" xr6:coauthVersionMax="47" xr10:uidLastSave="{00000000-0000-0000-0000-000000000000}"/>
  <bookViews>
    <workbookView xWindow="2175" yWindow="0" windowWidth="25590" windowHeight="15585" tabRatio="859" activeTab="6" xr2:uid="{00000000-000D-0000-FFFF-FFFF00000000}"/>
  </bookViews>
  <sheets>
    <sheet name="表紙" sheetId="2" r:id="rId1"/>
    <sheet name="変更来歴" sheetId="3" r:id="rId2"/>
    <sheet name="化学物質データ画面（日本語表記）" sheetId="67" state="hidden" r:id="rId3"/>
    <sheet name="化学物質データ画面(日英併記・2カラム)" sheetId="72" state="hidden" r:id="rId4"/>
    <sheet name="化学物質データ画面(日英併記)" sheetId="73" r:id="rId5"/>
    <sheet name="化学物質データ画面(日英切替)" sheetId="71" r:id="rId6"/>
    <sheet name="画面項目" sheetId="69" r:id="rId7"/>
    <sheet name="画面状態" sheetId="70" r:id="rId8"/>
    <sheet name="化学物質データ画面 (2)" sheetId="68" state="hidden" r:id="rId9"/>
    <sheet name="選択画面" sheetId="63" state="hidden" r:id="rId10"/>
    <sheet name="円(PPM)" sheetId="16" state="hidden" r:id="rId11"/>
    <sheet name="円(技術原計)" sheetId="59" state="hidden" r:id="rId12"/>
    <sheet name="円(コリア原計)" sheetId="61" state="hidden" r:id="rId13"/>
    <sheet name="外貨(PPM)" sheetId="64" state="hidden" r:id="rId14"/>
    <sheet name="外貨(技術原計)" sheetId="65" state="hidden" r:id="rId15"/>
    <sheet name="外貨(コリア原計)" sheetId="66" state="hidden" r:id="rId16"/>
  </sheets>
  <definedNames>
    <definedName name="_2a1_" hidden="1">{"'Sheet1'!$A$3:$I$11"}</definedName>
    <definedName name="_a1" hidden="1">{"'Sheet1'!$A$3:$I$11"}</definedName>
    <definedName name="_xlnm._FilterDatabase" localSheetId="7" hidden="1">画面状態!$A$1:$AD$18</definedName>
    <definedName name="_Order1" hidden="1">255</definedName>
    <definedName name="a" hidden="1">{"'Sheet1'!$A$3:$I$11"}</definedName>
    <definedName name="AAA" hidden="1">{"'Sheet1'!$A$3:$I$11"}</definedName>
    <definedName name="aaaa" hidden="1">{"'Sheet1'!$A$3:$I$11"}</definedName>
    <definedName name="b" hidden="1">{"'Sheet1'!$A$3:$I$11"}</definedName>
    <definedName name="bb" hidden="1">{"'Sheet1'!$A$3:$I$11"}</definedName>
    <definedName name="bbb" hidden="1">{"'Sheet1'!$A$3:$I$11"}</definedName>
    <definedName name="bbbb" hidden="1">{"'Sheet1'!$A$3:$I$11"}</definedName>
    <definedName name="f" hidden="1">{"'Sheet1'!$A$3:$I$11"}</definedName>
    <definedName name="ff" hidden="1">{"'Sheet1'!$A$3:$I$11"}</definedName>
    <definedName name="HTML_CodePage" hidden="1">932</definedName>
    <definedName name="HTML_Control" hidden="1">{"'Sheet1'!$A$3:$I$11"}</definedName>
    <definedName name="HTML_Control2" hidden="1">{"'Sheet1'!$A$3:$I$11"}</definedName>
    <definedName name="HTML_Description" hidden="1">""</definedName>
    <definedName name="HTML_Email" hidden="1">""</definedName>
    <definedName name="HTML_Header" hidden="1">"Sheet1"</definedName>
    <definedName name="HTML_LastUpdate" hidden="1">"99/10/16"</definedName>
    <definedName name="HTML_LineAfter" hidden="1">FALSE</definedName>
    <definedName name="HTML_LineBefore" hidden="1">FALSE</definedName>
    <definedName name="HTML_Name" hidden="1">"清水秀樹"</definedName>
    <definedName name="HTML_OBDlg2" hidden="1">TRUE</definedName>
    <definedName name="HTML_OBDlg4" hidden="1">TRUE</definedName>
    <definedName name="HTML_OS" hidden="1">0</definedName>
    <definedName name="HTML_PathFile" hidden="1">"C:\My Documents\"</definedName>
    <definedName name="HTML_Title" hidden="1">"機能関連図"</definedName>
    <definedName name="i" hidden="1">{"'Sheet1'!$A$3:$I$11"}</definedName>
    <definedName name="IBD00110チェック仕様" hidden="1">{"'Sheet1'!$A$3:$I$11"}</definedName>
    <definedName name="IBE09000チェック仕様" hidden="1">{"'Sheet1'!$A$3:$I$11"}</definedName>
    <definedName name="ooo" hidden="1">{"'Sheet1'!$A$3:$I$11"}</definedName>
    <definedName name="_xlnm.Print_Area" localSheetId="10">'円(PPM)'!$A$1:$BC$106</definedName>
    <definedName name="_xlnm.Print_Area" localSheetId="12">'円(コリア原計)'!$A$1:$BC$116</definedName>
    <definedName name="_xlnm.Print_Area" localSheetId="11">'円(技術原計)'!$A$1:$BC$106</definedName>
    <definedName name="_xlnm.Print_Area" localSheetId="8">'化学物質データ画面 (2)'!$A$1:$BC$79</definedName>
    <definedName name="_xlnm.Print_Area" localSheetId="5">'化学物質データ画面(日英切替)'!$A$1:$BC$36</definedName>
    <definedName name="_xlnm.Print_Area" localSheetId="4">'化学物質データ画面(日英併記)'!$A$1:$BC$54</definedName>
    <definedName name="_xlnm.Print_Area" localSheetId="3">'化学物質データ画面(日英併記・2カラム)'!$A$1:$BC$36</definedName>
    <definedName name="_xlnm.Print_Area" localSheetId="2">'化学物質データ画面（日本語表記）'!$A$1:$BC$35</definedName>
    <definedName name="_xlnm.Print_Area" localSheetId="6">画面項目!$A$1:$CJ$34</definedName>
    <definedName name="_xlnm.Print_Area" localSheetId="7">画面状態!$A$1:$DL$20</definedName>
    <definedName name="_xlnm.Print_Area" localSheetId="13">'外貨(PPM)'!$A$1:$BC$150</definedName>
    <definedName name="_xlnm.Print_Area" localSheetId="15">'外貨(コリア原計)'!$A$1:$BC$113</definedName>
    <definedName name="_xlnm.Print_Area" localSheetId="14">'外貨(技術原計)'!$A$1:$BC$117</definedName>
    <definedName name="_xlnm.Print_Area" localSheetId="9">選択画面!$A$1:$BC$41</definedName>
    <definedName name="_xlnm.Print_Area" localSheetId="0">表紙!$A$1:$I$36</definedName>
    <definedName name="s" hidden="1">{"'Sheet1'!$A$3:$I$11"}</definedName>
    <definedName name="txtDatabaseName">"テキスト 8"</definedName>
    <definedName name="txtTableName">"テキスト 2"</definedName>
    <definedName name="txtUserName">"テキスト 4"</definedName>
    <definedName name="vvvv" hidden="1">{"'Sheet1'!$A$3:$I$11"}</definedName>
    <definedName name="wew" hidden="1">{"'Sheet1'!$A$3:$I$11"}</definedName>
    <definedName name="ああ" hidden="1">{"'Sheet1'!$A$3:$I$11"}</definedName>
    <definedName name="ささ" hidden="1">{"'Sheet1'!$A$3:$I$11"}</definedName>
    <definedName name="仮単価発注" hidden="1">{"'Sheet1'!$A$3:$I$11"}</definedName>
    <definedName name="荷札イレギュラー" hidden="1">{"'Sheet1'!$A$3:$I$11"}</definedName>
    <definedName name="画面遷移new" localSheetId="6" hidden="1">{"'画面仕様'!$C$22:$BY$40","'画面仕様'!$C$28:$BY$39"}</definedName>
    <definedName name="画面遷移new" localSheetId="7" hidden="1">{"'画面仕様'!$C$22:$BY$40","'画面仕様'!$C$28:$BY$39"}</definedName>
    <definedName name="画面遷移new" hidden="1">{"'画面仕様'!$C$22:$BY$40","'画面仕様'!$C$28:$BY$39"}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5" i="73" l="1"/>
  <c r="AA3" i="73"/>
  <c r="M3" i="73"/>
  <c r="A3" i="73"/>
  <c r="AZ2" i="73"/>
  <c r="M2" i="73"/>
  <c r="AV1" i="73"/>
  <c r="AN1" i="73"/>
  <c r="AA1" i="73"/>
  <c r="M1" i="73"/>
  <c r="A5" i="72"/>
  <c r="AA3" i="72"/>
  <c r="M3" i="72"/>
  <c r="A3" i="72"/>
  <c r="AZ2" i="72"/>
  <c r="M2" i="72"/>
  <c r="AV1" i="72"/>
  <c r="AN1" i="72"/>
  <c r="AA1" i="72"/>
  <c r="M1" i="72"/>
  <c r="AV2" i="72"/>
  <c r="AV3" i="73"/>
  <c r="AN2" i="73"/>
  <c r="AV3" i="72"/>
  <c r="AV2" i="73"/>
  <c r="AN2" i="72"/>
  <c r="A5" i="71" l="1"/>
  <c r="AA3" i="71"/>
  <c r="M3" i="71"/>
  <c r="A3" i="71"/>
  <c r="AZ2" i="71"/>
  <c r="M2" i="71"/>
  <c r="AV1" i="71"/>
  <c r="AN1" i="71"/>
  <c r="AA1" i="71"/>
  <c r="M1" i="71"/>
  <c r="A5" i="68"/>
  <c r="AA3" i="68"/>
  <c r="M3" i="68"/>
  <c r="A3" i="68"/>
  <c r="AZ2" i="68"/>
  <c r="M2" i="68"/>
  <c r="AV1" i="68"/>
  <c r="AN1" i="68"/>
  <c r="AA1" i="68"/>
  <c r="M1" i="68"/>
  <c r="AV3" i="71"/>
  <c r="AN2" i="71"/>
  <c r="AV2" i="71"/>
  <c r="AV2" i="68"/>
  <c r="AV3" i="68"/>
  <c r="AN2" i="68"/>
  <c r="A5" i="67" l="1"/>
  <c r="AA3" i="67"/>
  <c r="M3" i="67"/>
  <c r="A3" i="67"/>
  <c r="AZ2" i="67"/>
  <c r="M2" i="67"/>
  <c r="AV1" i="67"/>
  <c r="AN1" i="67"/>
  <c r="AA1" i="67"/>
  <c r="M1" i="67"/>
  <c r="BM58" i="66"/>
  <c r="AV2" i="67"/>
  <c r="AV3" i="67"/>
  <c r="AN2" i="67"/>
  <c r="AB70" i="65" l="1"/>
  <c r="AB69" i="65"/>
  <c r="AB65" i="65"/>
  <c r="AB64" i="65"/>
  <c r="X73" i="61"/>
  <c r="X69" i="61"/>
  <c r="AB74" i="65" l="1"/>
  <c r="AK65" i="61"/>
  <c r="BE64" i="66" l="1"/>
  <c r="AB75" i="65"/>
  <c r="X70" i="61"/>
  <c r="AG61" i="59" l="1"/>
  <c r="AG64" i="59"/>
  <c r="AS64" i="66" l="1"/>
  <c r="BA65" i="61"/>
  <c r="X74" i="61"/>
  <c r="BA58" i="59"/>
  <c r="D64" i="66"/>
  <c r="D65" i="65"/>
  <c r="D64" i="65"/>
  <c r="D81" i="64"/>
  <c r="D80" i="64"/>
  <c r="D65" i="61"/>
  <c r="D58" i="59"/>
  <c r="D57" i="59"/>
  <c r="D59" i="16"/>
  <c r="D58" i="16"/>
  <c r="BA57" i="59"/>
  <c r="BA64" i="66" l="1"/>
  <c r="AB64" i="66"/>
  <c r="BM64" i="66" s="1"/>
  <c r="CB64" i="66"/>
  <c r="BU64" i="66"/>
  <c r="BQ64" i="66"/>
  <c r="BI64" i="66"/>
  <c r="AO64" i="66"/>
  <c r="AW64" i="66" s="1"/>
  <c r="AK64" i="66"/>
  <c r="AF64" i="66"/>
  <c r="X64" i="66"/>
  <c r="T64" i="66"/>
  <c r="J64" i="66"/>
  <c r="F64" i="66"/>
  <c r="BY64" i="66"/>
  <c r="A5" i="66"/>
  <c r="AA3" i="66"/>
  <c r="M3" i="66"/>
  <c r="A3" i="66"/>
  <c r="AZ2" i="66"/>
  <c r="M2" i="66"/>
  <c r="AV1" i="66"/>
  <c r="AN1" i="66"/>
  <c r="AA1" i="66"/>
  <c r="M1" i="66"/>
  <c r="BY65" i="65"/>
  <c r="BY64" i="65"/>
  <c r="BU65" i="65"/>
  <c r="BM65" i="65"/>
  <c r="BI65" i="65"/>
  <c r="BE65" i="65"/>
  <c r="AS65" i="65"/>
  <c r="BQ65" i="65" s="1"/>
  <c r="AO65" i="65"/>
  <c r="AK65" i="65"/>
  <c r="AF65" i="65"/>
  <c r="X65" i="65"/>
  <c r="T65" i="65"/>
  <c r="J65" i="65"/>
  <c r="F65" i="65"/>
  <c r="BU64" i="65"/>
  <c r="BM64" i="65"/>
  <c r="BI64" i="65"/>
  <c r="BE64" i="65"/>
  <c r="AS64" i="65"/>
  <c r="BQ64" i="65" s="1"/>
  <c r="AO64" i="65"/>
  <c r="AK64" i="65"/>
  <c r="AF64" i="65"/>
  <c r="X64" i="65"/>
  <c r="X70" i="65" s="1"/>
  <c r="T64" i="65"/>
  <c r="J64" i="65"/>
  <c r="F64" i="65"/>
  <c r="CC65" i="65"/>
  <c r="CC64" i="65"/>
  <c r="A5" i="65"/>
  <c r="AA3" i="65"/>
  <c r="M3" i="65"/>
  <c r="A3" i="65"/>
  <c r="AZ2" i="65"/>
  <c r="M2" i="65"/>
  <c r="AV1" i="65"/>
  <c r="AN1" i="65"/>
  <c r="AA1" i="65"/>
  <c r="M1" i="65"/>
  <c r="AV3" i="65"/>
  <c r="AV2" i="66"/>
  <c r="AN2" i="65"/>
  <c r="AV2" i="65"/>
  <c r="AN2" i="66"/>
  <c r="AV3" i="66"/>
  <c r="BA64" i="65" l="1"/>
  <c r="BA65" i="65"/>
  <c r="AS71" i="66"/>
  <c r="AB71" i="66"/>
  <c r="X71" i="66"/>
  <c r="AF71" i="66" s="1"/>
  <c r="AK71" i="66" s="1"/>
  <c r="X67" i="66"/>
  <c r="AS67" i="66"/>
  <c r="AB67" i="66"/>
  <c r="AS74" i="65"/>
  <c r="AW74" i="65"/>
  <c r="X74" i="65"/>
  <c r="AF74" i="65" s="1"/>
  <c r="AK74" i="65" s="1"/>
  <c r="BA74" i="65"/>
  <c r="BA69" i="65"/>
  <c r="AW69" i="65"/>
  <c r="AS69" i="65"/>
  <c r="X69" i="65"/>
  <c r="AF69" i="65" s="1"/>
  <c r="AK69" i="65" s="1"/>
  <c r="AS68" i="66"/>
  <c r="AB68" i="66"/>
  <c r="X68" i="66"/>
  <c r="AS72" i="66"/>
  <c r="AB72" i="66"/>
  <c r="X72" i="66"/>
  <c r="AS75" i="65"/>
  <c r="AF70" i="65"/>
  <c r="AK70" i="65" s="1"/>
  <c r="BA70" i="65"/>
  <c r="AW75" i="65"/>
  <c r="BA75" i="65"/>
  <c r="AW70" i="65"/>
  <c r="AS70" i="65"/>
  <c r="X75" i="65"/>
  <c r="AW65" i="65"/>
  <c r="AW64" i="65"/>
  <c r="AO67" i="66" l="1"/>
  <c r="AO71" i="66"/>
  <c r="AF67" i="66"/>
  <c r="AK67" i="66" s="1"/>
  <c r="AO74" i="65"/>
  <c r="BE69" i="65"/>
  <c r="BE74" i="65"/>
  <c r="AO69" i="65"/>
  <c r="AF72" i="66"/>
  <c r="AK72" i="66" s="1"/>
  <c r="AF68" i="66"/>
  <c r="AK68" i="66" s="1"/>
  <c r="AO68" i="66"/>
  <c r="AO70" i="65"/>
  <c r="BE70" i="65"/>
  <c r="BE75" i="65"/>
  <c r="AO72" i="66"/>
  <c r="AO75" i="65"/>
  <c r="AF75" i="65"/>
  <c r="AK75" i="65" s="1"/>
  <c r="BI81" i="64" l="1"/>
  <c r="BY81" i="64"/>
  <c r="BY80" i="64"/>
  <c r="BU81" i="64"/>
  <c r="BU80" i="64"/>
  <c r="BM81" i="64"/>
  <c r="BM80" i="64"/>
  <c r="BI80" i="64"/>
  <c r="BE81" i="64"/>
  <c r="BE80" i="64"/>
  <c r="AS81" i="64"/>
  <c r="BQ81" i="64" s="1"/>
  <c r="AS80" i="64"/>
  <c r="BQ80" i="64" s="1"/>
  <c r="AO81" i="64"/>
  <c r="AO80" i="64"/>
  <c r="AF81" i="64"/>
  <c r="AF80" i="64"/>
  <c r="AB81" i="64"/>
  <c r="AB80" i="64"/>
  <c r="AK81" i="64"/>
  <c r="AK80" i="64"/>
  <c r="T81" i="64"/>
  <c r="T80" i="64"/>
  <c r="BG57" i="64"/>
  <c r="BG56" i="64"/>
  <c r="AW80" i="64" l="1"/>
  <c r="BA80" i="64" s="1"/>
  <c r="AW81" i="64"/>
  <c r="BA81" i="64" s="1"/>
  <c r="CF81" i="64"/>
  <c r="CC81" i="64"/>
  <c r="X81" i="64"/>
  <c r="J81" i="64"/>
  <c r="F81" i="64"/>
  <c r="CF80" i="64"/>
  <c r="CC80" i="64"/>
  <c r="X80" i="64"/>
  <c r="J80" i="64"/>
  <c r="F80" i="64"/>
  <c r="A5" i="64"/>
  <c r="AA3" i="64"/>
  <c r="M3" i="64"/>
  <c r="A3" i="64"/>
  <c r="AZ2" i="64"/>
  <c r="M2" i="64"/>
  <c r="AV1" i="64"/>
  <c r="AN1" i="64"/>
  <c r="AA1" i="64"/>
  <c r="M1" i="64"/>
  <c r="A5" i="63"/>
  <c r="AA3" i="63"/>
  <c r="M3" i="63"/>
  <c r="A3" i="63"/>
  <c r="AZ2" i="63"/>
  <c r="M2" i="63"/>
  <c r="AV1" i="63"/>
  <c r="AN1" i="63"/>
  <c r="AA1" i="63"/>
  <c r="M1" i="63"/>
  <c r="BE65" i="61"/>
  <c r="AO65" i="61"/>
  <c r="AG65" i="61"/>
  <c r="AB65" i="61"/>
  <c r="X65" i="61"/>
  <c r="J58" i="59"/>
  <c r="F58" i="59"/>
  <c r="J57" i="59"/>
  <c r="F57" i="59"/>
  <c r="J59" i="16"/>
  <c r="F59" i="16"/>
  <c r="J58" i="16"/>
  <c r="F58" i="16"/>
  <c r="J65" i="61"/>
  <c r="F65" i="61"/>
  <c r="AW65" i="61"/>
  <c r="T65" i="61"/>
  <c r="A5" i="61"/>
  <c r="AA3" i="61"/>
  <c r="M3" i="61"/>
  <c r="A3" i="61"/>
  <c r="AZ2" i="61"/>
  <c r="M2" i="61"/>
  <c r="AV1" i="61"/>
  <c r="AN1" i="61"/>
  <c r="AA1" i="61"/>
  <c r="M1" i="61"/>
  <c r="X58" i="59"/>
  <c r="X57" i="59"/>
  <c r="BA59" i="16"/>
  <c r="BA58" i="16"/>
  <c r="AO58" i="59"/>
  <c r="AO57" i="59"/>
  <c r="BH58" i="59"/>
  <c r="BE58" i="59"/>
  <c r="AK58" i="59"/>
  <c r="AG58" i="59"/>
  <c r="AB58" i="59"/>
  <c r="T58" i="59"/>
  <c r="BH57" i="59"/>
  <c r="BE57" i="59"/>
  <c r="AK57" i="59"/>
  <c r="AG57" i="59"/>
  <c r="AB57" i="59"/>
  <c r="T57" i="59"/>
  <c r="A5" i="59"/>
  <c r="AA3" i="59"/>
  <c r="M3" i="59"/>
  <c r="A3" i="59"/>
  <c r="AZ2" i="59"/>
  <c r="M2" i="59"/>
  <c r="AV1" i="59"/>
  <c r="AN1" i="59"/>
  <c r="AA1" i="59"/>
  <c r="M1" i="59"/>
  <c r="AV2" i="61"/>
  <c r="AV2" i="63"/>
  <c r="AV3" i="64"/>
  <c r="AN2" i="63"/>
  <c r="AV3" i="61"/>
  <c r="AV3" i="63"/>
  <c r="AV2" i="59"/>
  <c r="AN2" i="61"/>
  <c r="AV2" i="64"/>
  <c r="AV3" i="59"/>
  <c r="AN2" i="64"/>
  <c r="AN2" i="59"/>
  <c r="AS73" i="61" l="1"/>
  <c r="T73" i="61"/>
  <c r="AG73" i="61" s="1"/>
  <c r="AK73" i="61" s="1"/>
  <c r="AS69" i="61"/>
  <c r="T69" i="61"/>
  <c r="AG69" i="61" s="1"/>
  <c r="AK69" i="61" s="1"/>
  <c r="X90" i="64"/>
  <c r="BA90" i="64"/>
  <c r="AW90" i="64"/>
  <c r="AB90" i="64"/>
  <c r="AS90" i="64"/>
  <c r="X85" i="64"/>
  <c r="BA85" i="64"/>
  <c r="AW85" i="64"/>
  <c r="AS85" i="64"/>
  <c r="AB85" i="64"/>
  <c r="X91" i="64"/>
  <c r="AB86" i="64"/>
  <c r="AB91" i="64"/>
  <c r="AW86" i="64"/>
  <c r="AW91" i="64"/>
  <c r="BA86" i="64"/>
  <c r="AS86" i="64"/>
  <c r="BA91" i="64"/>
  <c r="AS91" i="64"/>
  <c r="X86" i="64"/>
  <c r="T70" i="61"/>
  <c r="AG70" i="61" s="1"/>
  <c r="AK70" i="61" s="1"/>
  <c r="AS70" i="61"/>
  <c r="AS74" i="61"/>
  <c r="T74" i="61"/>
  <c r="AG74" i="61" s="1"/>
  <c r="AK74" i="61" s="1"/>
  <c r="AB61" i="59"/>
  <c r="AK61" i="59" s="1"/>
  <c r="AO61" i="59" s="1"/>
  <c r="BA61" i="59"/>
  <c r="AW61" i="59"/>
  <c r="AW64" i="59"/>
  <c r="AS65" i="61"/>
  <c r="AS58" i="59"/>
  <c r="AS57" i="59"/>
  <c r="BA64" i="59"/>
  <c r="AB64" i="59"/>
  <c r="AK64" i="59" s="1"/>
  <c r="AO64" i="59" s="1"/>
  <c r="AO90" i="64" l="1"/>
  <c r="AO69" i="61"/>
  <c r="AO73" i="61"/>
  <c r="AF90" i="64"/>
  <c r="AK90" i="64" s="1"/>
  <c r="BE85" i="64"/>
  <c r="BE90" i="64"/>
  <c r="AO85" i="64"/>
  <c r="AF86" i="64"/>
  <c r="AK86" i="64" s="1"/>
  <c r="AF85" i="64"/>
  <c r="AK85" i="64" s="1"/>
  <c r="AO91" i="64"/>
  <c r="AO86" i="64"/>
  <c r="BE86" i="64"/>
  <c r="BE91" i="64"/>
  <c r="AF91" i="64"/>
  <c r="AK91" i="64" s="1"/>
  <c r="AO70" i="61"/>
  <c r="AS61" i="59"/>
  <c r="AO74" i="61"/>
  <c r="AS64" i="59"/>
  <c r="X59" i="16" l="1"/>
  <c r="X58" i="16"/>
  <c r="BE59" i="16"/>
  <c r="BE58" i="16"/>
  <c r="BH59" i="16"/>
  <c r="BH58" i="16"/>
  <c r="AK59" i="16"/>
  <c r="AK58" i="16"/>
  <c r="AG59" i="16"/>
  <c r="AG58" i="16"/>
  <c r="T59" i="16"/>
  <c r="T58" i="16"/>
  <c r="AB59" i="16"/>
  <c r="AB58" i="16"/>
  <c r="AB62" i="16" l="1"/>
  <c r="AK62" i="16" s="1"/>
  <c r="AO62" i="16" s="1"/>
  <c r="AW62" i="16"/>
  <c r="BA62" i="16"/>
  <c r="AG62" i="16"/>
  <c r="AW65" i="16"/>
  <c r="AG65" i="16"/>
  <c r="AO58" i="16"/>
  <c r="AO59" i="16"/>
  <c r="BA65" i="16"/>
  <c r="AB65" i="16"/>
  <c r="AK65" i="16" s="1"/>
  <c r="AO65" i="16" s="1"/>
  <c r="AS58" i="16"/>
  <c r="AS59" i="16"/>
  <c r="AS62" i="16" l="1"/>
  <c r="AS65" i="16"/>
  <c r="AA3" i="16" l="1"/>
  <c r="AA1" i="16" l="1"/>
  <c r="AN1" i="16" l="1"/>
  <c r="AV1" i="16"/>
  <c r="AT1" i="3"/>
  <c r="AV3" i="16"/>
  <c r="AV2" i="16"/>
  <c r="AN2" i="16"/>
  <c r="A5" i="16" l="1"/>
  <c r="AT3" i="3"/>
  <c r="B22" i="2" l="1"/>
  <c r="M3" i="16"/>
  <c r="A3" i="16"/>
  <c r="AZ2" i="16"/>
  <c r="M2" i="16"/>
  <c r="M1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AF2" authorId="0" shapeId="0" xr:uid="{D964FC44-4F95-4911-AB56-1237B6A3141E}">
      <text>
        <r>
          <rPr>
            <sz val="9"/>
            <color indexed="81"/>
            <rFont val="ＭＳ Ｐゴシック"/>
            <family val="3"/>
            <charset val="128"/>
          </rPr>
          <t>OOTBは記入不要</t>
        </r>
      </text>
    </comment>
    <comment ref="Q3" authorId="0" shapeId="0" xr:uid="{B10143A8-FBB5-49B5-BEC5-07FE27BFB2A9}">
      <text>
        <r>
          <rPr>
            <sz val="9"/>
            <color indexed="81"/>
            <rFont val="ＭＳ Ｐゴシック"/>
            <family val="3"/>
            <charset val="128"/>
          </rPr>
          <t>画面項目のコンポーネントの種類</t>
        </r>
      </text>
    </comment>
    <comment ref="X3" authorId="0" shapeId="0" xr:uid="{9F4BA9EA-C6A9-4EEF-B17E-6CB472334ABB}">
      <text>
        <r>
          <rPr>
            <sz val="9"/>
            <color indexed="81"/>
            <rFont val="ＭＳ Ｐゴシック"/>
            <family val="3"/>
            <charset val="128"/>
          </rPr>
          <t>表示内容が固定値を取り変わらない項目（見出しなど）を「固定」、導出元のデータ内容や入力値により変わる項目は「可変」を指定します。
「可変」は右隣の「IO」列は必ず記載します。</t>
        </r>
      </text>
    </comment>
    <comment ref="AB3" authorId="0" shapeId="0" xr:uid="{083CA373-1DCD-4EEC-ACEF-B199C61F47A8}">
      <text>
        <r>
          <rPr>
            <sz val="9"/>
            <color indexed="8"/>
            <rFont val="ＭＳ Ｐゴシック"/>
            <family val="3"/>
            <charset val="128"/>
          </rPr>
          <t>ユーザが入力する項目は「I」、DB等から出力され動的な値が表示される項目は「O」を入力します。
出力された値をユーザが編集する場合は「I/O」を入力します。</t>
        </r>
      </text>
    </comment>
    <comment ref="AD3" authorId="0" shapeId="0" xr:uid="{829C5021-D448-48E9-AE0B-38C4D6305F7C}">
      <text>
        <r>
          <rPr>
            <sz val="9"/>
            <color indexed="81"/>
            <rFont val="ＭＳ Ｐゴシック"/>
            <family val="3"/>
            <charset val="128"/>
          </rPr>
          <t>項目レベルで、OOTBとしてアクセラレータが提供しているかどうかを記入する</t>
        </r>
      </text>
    </comment>
    <comment ref="AF3" authorId="0" shapeId="0" xr:uid="{640C1395-2570-4007-AB29-5F9974E84DF8}">
      <text>
        <r>
          <rPr>
            <sz val="9"/>
            <color indexed="8"/>
            <rFont val="ＭＳ Ｐゴシック"/>
            <family val="3"/>
            <charset val="128"/>
          </rPr>
          <t>入力可能文字数を指定する
（入力ボックスの幅ではない）</t>
        </r>
      </text>
    </comment>
    <comment ref="AJ3" authorId="0" shapeId="0" xr:uid="{C89D2B57-41B5-4ACD-B1E4-BA05CE5B63CC}">
      <text>
        <r>
          <rPr>
            <sz val="9"/>
            <color indexed="81"/>
            <rFont val="ＭＳ Ｐゴシック"/>
            <family val="3"/>
            <charset val="128"/>
          </rPr>
          <t xml:space="preserve">表示ラベルのキー値
</t>
        </r>
      </text>
    </comment>
    <comment ref="AP3" authorId="0" shapeId="0" xr:uid="{7F851CB6-8C45-41EC-B987-150022F2AA3B}">
      <text>
        <r>
          <rPr>
            <sz val="9"/>
            <color indexed="81"/>
            <rFont val="ＭＳ Ｐゴシック"/>
            <family val="3"/>
            <charset val="128"/>
          </rPr>
          <t>Oに関しては必ず記載すること。
空の場合でも「-」を記入する</t>
        </r>
      </text>
    </comment>
    <comment ref="C4" authorId="0" shapeId="0" xr:uid="{8E2E2B2F-35D0-4FDF-AE06-770A779BB48E}">
      <text>
        <r>
          <rPr>
            <sz val="9"/>
            <color indexed="81"/>
            <rFont val="ＭＳ Ｐゴシック"/>
            <family val="3"/>
            <charset val="128"/>
          </rPr>
          <t>画面上をエリア分割した単位で記載する。
項番の一桁目として定義する。</t>
        </r>
      </text>
    </comment>
    <comment ref="J4" authorId="0" shapeId="0" xr:uid="{FE3EEF43-1DDD-4BAC-BB6B-272166EFC57F}">
      <text>
        <r>
          <rPr>
            <sz val="9"/>
            <color indexed="81"/>
            <rFont val="ＭＳ Ｐゴシック"/>
            <family val="3"/>
            <charset val="128"/>
          </rPr>
          <t>項目に対する名称
Labelの項目名が表示名称とする
Hiddenパラメタは追記しない</t>
        </r>
      </text>
    </comment>
    <comment ref="C25" authorId="0" shapeId="0" xr:uid="{C4528E3C-3854-4A91-9EF3-3C7EAF640F14}">
      <text>
        <r>
          <rPr>
            <sz val="9"/>
            <color indexed="8"/>
            <rFont val="ＭＳ Ｐゴシック"/>
            <family val="3"/>
            <charset val="128"/>
          </rPr>
          <t>クライアントまたはサーバ処理の処理名を記入します。
サーバ処理の場合は処理ID同様、画面遷移図との整合性を確保する必要があります。</t>
        </r>
      </text>
    </comment>
    <comment ref="X25" authorId="0" shapeId="0" xr:uid="{11F128C4-F44E-4F56-89CB-C6E6D53890AD}">
      <text>
        <r>
          <rPr>
            <sz val="9"/>
            <color indexed="81"/>
            <rFont val="ＭＳ Ｐゴシック"/>
            <family val="3"/>
            <charset val="128"/>
          </rPr>
          <t>Java Scriptの関数を記載する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A1" authorId="0" shapeId="0" xr:uid="{7411FB38-5F7B-4F94-A04C-66CFB6477C27}">
      <text>
        <r>
          <rPr>
            <sz val="9"/>
            <color indexed="81"/>
            <rFont val="ＭＳ Ｐゴシック"/>
            <family val="3"/>
            <charset val="128"/>
          </rPr>
          <t>本シートは概要設計では空欄とし、詳細設計で追記します。</t>
        </r>
      </text>
    </comment>
    <comment ref="C2" authorId="0" shapeId="0" xr:uid="{D763C0F7-FC6B-4CC0-901F-0A70E9DA9BC1}">
      <text>
        <r>
          <rPr>
            <sz val="10"/>
            <color indexed="8"/>
            <rFont val="ＭＳ Ｐゴシック"/>
            <family val="3"/>
            <charset val="128"/>
          </rPr>
          <t>ユーザ操作等により入力可否などの画面状態が変化する画面項目を「画面項目」シートの「画面項目」と同じ形式で記入します。(項目はすべて記述)</t>
        </r>
        <r>
          <rPr>
            <b/>
            <sz val="10"/>
            <color indexed="8"/>
            <rFont val="ＭＳ Ｐゴシック"/>
            <family val="3"/>
            <charset val="128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  <author xml:space="preserve"> </author>
  </authors>
  <commentList>
    <comment ref="P19" authorId="0" shapeId="0" xr:uid="{981B6EB6-FAED-49D9-9A74-10427F90C90C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AR57" authorId="0" shapeId="0" xr:uid="{6F0DAA68-15AD-4A1C-849B-511E6C1B2A1F}">
      <text>
        <r>
          <rPr>
            <sz val="9"/>
            <color indexed="81"/>
            <rFont val="MS P ゴシック"/>
            <family val="3"/>
            <charset val="128"/>
          </rPr>
          <t>1-コスト/申請価格</t>
        </r>
      </text>
    </comment>
    <comment ref="AV57" authorId="0" shapeId="0" xr:uid="{0E29794C-0A0E-4D21-83B3-FC81F1A9F1FD}">
      <text>
        <r>
          <rPr>
            <sz val="9"/>
            <color indexed="81"/>
            <rFont val="MS P ゴシック"/>
            <family val="3"/>
            <charset val="128"/>
          </rPr>
          <t>(申請価格-従来価格)/従来価格</t>
        </r>
      </text>
    </comment>
    <comment ref="BD57" authorId="1" shapeId="0" xr:uid="{FBDE0BD4-2CA9-4838-A0B4-DE3E7B909D56}">
      <text>
        <r>
          <rPr>
            <sz val="9"/>
            <color indexed="81"/>
            <rFont val="MS P ゴシック"/>
            <family val="3"/>
            <charset val="128"/>
          </rPr>
          <t>1-申請価格/代理店売値</t>
        </r>
      </text>
    </comment>
    <comment ref="AF61" authorId="0" shapeId="0" xr:uid="{F8345E2B-CE16-4FE6-A455-0177CE895C06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N61" authorId="0" shapeId="0" xr:uid="{F7AD58DA-EBBB-4B07-855C-E4152557AED9}">
      <text>
        <r>
          <rPr>
            <sz val="9"/>
            <color indexed="81"/>
            <rFont val="MS P ゴシック"/>
            <family val="3"/>
            <charset val="128"/>
          </rPr>
          <t>売上-(月間数量xコスト)</t>
        </r>
      </text>
    </comment>
    <comment ref="AR61" authorId="0" shapeId="0" xr:uid="{64D9F5F1-1F9F-42CF-B6E2-8D62A12C7277}">
      <text>
        <r>
          <rPr>
            <sz val="9"/>
            <color indexed="81"/>
            <rFont val="MS P ゴシック"/>
            <family val="3"/>
            <charset val="128"/>
          </rPr>
          <t>貢献額/売上</t>
        </r>
      </text>
    </comment>
    <comment ref="AV61" authorId="0" shapeId="0" xr:uid="{AF811EB1-BCFF-4015-A298-4E73A1933D71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Z61" authorId="0" shapeId="0" xr:uid="{A952BB9F-4763-4924-90D7-9EFC1F9907CD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BD61" authorId="0" shapeId="0" xr:uid="{E4C3CF31-8EF2-4843-9207-52745433258D}">
      <text>
        <r>
          <rPr>
            <sz val="9"/>
            <color indexed="81"/>
            <rFont val="MS P ゴシック"/>
            <family val="3"/>
            <charset val="128"/>
          </rPr>
          <t>月間数量x従来価格</t>
        </r>
      </text>
    </comment>
    <comment ref="AF64" authorId="0" shapeId="0" xr:uid="{A30503E4-8054-4F2D-A811-2A7F0B6CC134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N64" authorId="0" shapeId="0" xr:uid="{1B1823D8-01B2-4575-9602-1DFD11D880BC}">
      <text>
        <r>
          <rPr>
            <sz val="9"/>
            <color indexed="81"/>
            <rFont val="MS P ゴシック"/>
            <family val="3"/>
            <charset val="128"/>
          </rPr>
          <t>売上-(月間数量xコスト)</t>
        </r>
      </text>
    </comment>
    <comment ref="AR64" authorId="0" shapeId="0" xr:uid="{64EC24C2-3977-4246-907F-75B8F7BDBD52}">
      <text>
        <r>
          <rPr>
            <sz val="9"/>
            <color indexed="81"/>
            <rFont val="MS P ゴシック"/>
            <family val="3"/>
            <charset val="128"/>
          </rPr>
          <t>貢献額/売上</t>
        </r>
      </text>
    </comment>
    <comment ref="AV64" authorId="0" shapeId="0" xr:uid="{2DAE61A2-85F4-47D9-8CD3-436C7FF25D32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Z64" authorId="0" shapeId="0" xr:uid="{1A67A92A-9EDF-4B81-9382-1AC65A988845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BD64" authorId="0" shapeId="0" xr:uid="{48A77E68-AF77-4DF1-AFEF-ABEF2569983F}">
      <text>
        <r>
          <rPr>
            <sz val="9"/>
            <color indexed="81"/>
            <rFont val="MS P ゴシック"/>
            <family val="3"/>
            <charset val="128"/>
          </rPr>
          <t>月間数量x従来価格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  <author xml:space="preserve"> </author>
  </authors>
  <commentList>
    <comment ref="P19" authorId="0" shapeId="0" xr:uid="{798F932A-EBB5-4E0C-9590-2232F086E5B0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AR56" authorId="0" shapeId="0" xr:uid="{180A4CBC-DEB0-4BF9-929D-897531D7CC43}">
      <text>
        <r>
          <rPr>
            <sz val="9"/>
            <color indexed="81"/>
            <rFont val="MS P ゴシック"/>
            <family val="3"/>
            <charset val="128"/>
          </rPr>
          <t>申請価格/総原価 -1</t>
        </r>
      </text>
    </comment>
    <comment ref="AV56" authorId="0" shapeId="0" xr:uid="{7BC05733-7AAD-4013-8914-608E0EC0912E}">
      <text>
        <r>
          <rPr>
            <sz val="9"/>
            <color indexed="81"/>
            <rFont val="MS P ゴシック"/>
            <family val="3"/>
            <charset val="128"/>
          </rPr>
          <t>(申請価格-従来価格)/従来価格</t>
        </r>
      </text>
    </comment>
    <comment ref="BD56" authorId="1" shapeId="0" xr:uid="{7C110BAA-A2C8-4B6B-9637-8A748DF7D71D}">
      <text>
        <r>
          <rPr>
            <sz val="9"/>
            <color indexed="81"/>
            <rFont val="MS P ゴシック"/>
            <family val="3"/>
            <charset val="128"/>
          </rPr>
          <t>1-申請価格/代理店売値</t>
        </r>
      </text>
    </comment>
    <comment ref="AF60" authorId="0" shapeId="0" xr:uid="{CB749365-E1C2-4E9B-AA02-A7456F3C9FDC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N60" authorId="0" shapeId="0" xr:uid="{B556DCF4-0816-40FF-848B-174B50C68B64}">
      <text>
        <r>
          <rPr>
            <sz val="9"/>
            <color indexed="81"/>
            <rFont val="MS P ゴシック"/>
            <family val="3"/>
            <charset val="128"/>
          </rPr>
          <t>売上-(月間数量x総原価)</t>
        </r>
      </text>
    </comment>
    <comment ref="AR60" authorId="0" shapeId="0" xr:uid="{0F33DFA1-B260-4B9D-8B12-28D4D0EA10DE}">
      <text>
        <r>
          <rPr>
            <sz val="9"/>
            <color indexed="81"/>
            <rFont val="MS P ゴシック"/>
            <family val="3"/>
            <charset val="128"/>
          </rPr>
          <t>総原価利益額/(売上-総原価利益額)</t>
        </r>
      </text>
    </comment>
    <comment ref="AV60" authorId="0" shapeId="0" xr:uid="{BF317FA0-0908-4F79-A602-3CA4CFF07133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Z60" authorId="0" shapeId="0" xr:uid="{4A635085-E489-4BC4-9199-9302E60A6CEA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BD60" authorId="0" shapeId="0" xr:uid="{6F1D44E1-048F-403F-8C8F-92BE2DED1EFF}">
      <text>
        <r>
          <rPr>
            <sz val="9"/>
            <color indexed="81"/>
            <rFont val="MS P ゴシック"/>
            <family val="3"/>
            <charset val="128"/>
          </rPr>
          <t>月間数量x従来価格</t>
        </r>
      </text>
    </comment>
    <comment ref="AF63" authorId="0" shapeId="0" xr:uid="{8407D761-7158-42D4-8DD3-2667CE960A18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N63" authorId="0" shapeId="0" xr:uid="{AB912CE9-FA4F-4E11-8A39-67905E8BC2A4}">
      <text>
        <r>
          <rPr>
            <sz val="9"/>
            <color indexed="81"/>
            <rFont val="MS P ゴシック"/>
            <family val="3"/>
            <charset val="128"/>
          </rPr>
          <t>売上-(月間数量x総原価)</t>
        </r>
      </text>
    </comment>
    <comment ref="AR63" authorId="0" shapeId="0" xr:uid="{5067FC13-6634-4C19-BF35-2AC16DB66B32}">
      <text>
        <r>
          <rPr>
            <sz val="9"/>
            <color indexed="81"/>
            <rFont val="MS P ゴシック"/>
            <family val="3"/>
            <charset val="128"/>
          </rPr>
          <t>総原価利益額/(売上-総原価利益額)</t>
        </r>
      </text>
    </comment>
    <comment ref="AV63" authorId="0" shapeId="0" xr:uid="{34066EC0-902B-4C0A-98F8-04540C955623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Z63" authorId="0" shapeId="0" xr:uid="{069D1B63-3B11-4E93-8C28-692B58AAF3D6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BD63" authorId="0" shapeId="0" xr:uid="{178A0E1A-B46C-450E-A1AD-A81A25454E71}">
      <text>
        <r>
          <rPr>
            <sz val="9"/>
            <color indexed="81"/>
            <rFont val="MS P ゴシック"/>
            <family val="3"/>
            <charset val="128"/>
          </rPr>
          <t>月間数量x従来価格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  <author xml:space="preserve"> </author>
  </authors>
  <commentList>
    <comment ref="P19" authorId="0" shapeId="0" xr:uid="{273EC183-5BC7-4257-BBE6-C7E77E46A788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0" authorId="0" shapeId="0" xr:uid="{185C3EEB-5C23-469C-B3B5-5103009954C0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A64" authorId="0" shapeId="0" xr:uid="{068DEC90-9BC3-459F-92B6-8D9A081FAF5A}">
      <text>
        <r>
          <rPr>
            <sz val="9"/>
            <color indexed="81"/>
            <rFont val="MS P ゴシック"/>
            <family val="3"/>
            <charset val="128"/>
          </rPr>
          <t>申請通貨での換算値</t>
        </r>
      </text>
    </comment>
    <comment ref="AR64" authorId="0" shapeId="0" xr:uid="{29E5ADA4-03B5-422E-875E-9B91A0ED15B0}">
      <text>
        <r>
          <rPr>
            <sz val="9"/>
            <color indexed="81"/>
            <rFont val="MS P ゴシック"/>
            <family val="3"/>
            <charset val="128"/>
          </rPr>
          <t>1-純原価/販社売価</t>
        </r>
      </text>
    </comment>
    <comment ref="AV64" authorId="0" shapeId="0" xr:uid="{CF91C253-A964-4544-AF9A-D89F2F1B085A}">
      <text>
        <r>
          <rPr>
            <sz val="9"/>
            <color indexed="81"/>
            <rFont val="MS P ゴシック"/>
            <family val="3"/>
            <charset val="128"/>
          </rPr>
          <t>(申請価格-従来価格)/従来価格</t>
        </r>
      </text>
    </comment>
    <comment ref="BD64" authorId="1" shapeId="0" xr:uid="{69E753B5-CA17-46A5-8BDF-0A678BCED516}">
      <text>
        <r>
          <rPr>
            <sz val="9"/>
            <color indexed="81"/>
            <rFont val="MS P ゴシック"/>
            <family val="3"/>
            <charset val="128"/>
          </rPr>
          <t xml:space="preserve">1-申請価格/代理店売価
</t>
        </r>
      </text>
    </comment>
    <comment ref="W68" authorId="0" shapeId="0" xr:uid="{FD790258-FA59-45E5-98B1-AC72459DF732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A68" authorId="0" shapeId="0" xr:uid="{9CDB41AF-6353-462B-B71A-01078DE712D3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68" authorId="0" shapeId="0" xr:uid="{C54452BF-E9A6-4D19-A1D9-272ED4825A14}">
      <text>
        <r>
          <rPr>
            <sz val="9"/>
            <color indexed="81"/>
            <rFont val="MS P ゴシック"/>
            <family val="3"/>
            <charset val="128"/>
          </rPr>
          <t>売上-総原価合計</t>
        </r>
      </text>
    </comment>
    <comment ref="AN68" authorId="0" shapeId="0" xr:uid="{F8413561-B397-4210-8B2E-D6A9307B8F00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68" authorId="0" shapeId="0" xr:uid="{B444D291-3A20-489F-ACC4-9FF9E209DEB5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V68" authorId="0" shapeId="0" xr:uid="{2E6FFADE-EB07-48A1-8A75-6D5BA2570976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W72" authorId="0" shapeId="0" xr:uid="{16789354-AA5A-4BF9-9540-6E3513A935BA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A72" authorId="0" shapeId="0" xr:uid="{A82A4898-9271-4EF4-AECC-B1C748F34214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72" authorId="0" shapeId="0" xr:uid="{DA516412-D3B3-44D7-81E4-ABBCC1162F99}">
      <text>
        <r>
          <rPr>
            <sz val="9"/>
            <color indexed="81"/>
            <rFont val="MS P ゴシック"/>
            <family val="3"/>
            <charset val="128"/>
          </rPr>
          <t>売上-総原価合計</t>
        </r>
      </text>
    </comment>
    <comment ref="AN72" authorId="0" shapeId="0" xr:uid="{1480013C-04F6-4E6B-9390-B626A3CA89F4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72" authorId="0" shapeId="0" xr:uid="{500A8BB5-F2F7-47CB-AD2F-E9C61C9B440B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V72" authorId="0" shapeId="0" xr:uid="{764C76D9-D557-438C-9C4E-75D508BFF82B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</authors>
  <commentList>
    <comment ref="P19" authorId="0" shapeId="0" xr:uid="{7A8BD53D-BE0C-49F1-A85A-3DB676A1C6FE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6" authorId="0" shapeId="0" xr:uid="{A5BF93D4-9A12-42CC-B55A-870D730103B9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H56" authorId="0" shapeId="0" xr:uid="{D7085670-18AB-4492-A5E4-F6FEEF514111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G64" authorId="0" shapeId="0" xr:uid="{09747633-F6FB-47D4-B3E3-D548D8993440}">
      <text>
        <r>
          <rPr>
            <sz val="9"/>
            <color indexed="81"/>
            <rFont val="MS P ゴシック"/>
            <family val="3"/>
            <charset val="128"/>
          </rPr>
          <t>有償
無償</t>
        </r>
      </text>
    </comment>
    <comment ref="G70" authorId="0" shapeId="0" xr:uid="{60A63F56-81EC-4794-AB05-CB8612FB2FA7}">
      <text>
        <r>
          <rPr>
            <sz val="9"/>
            <color indexed="81"/>
            <rFont val="MS P ゴシック"/>
            <family val="3"/>
            <charset val="128"/>
          </rPr>
          <t>有償
無償</t>
        </r>
      </text>
    </comment>
    <comment ref="AE79" authorId="0" shapeId="0" xr:uid="{783290D4-BFFA-4EE4-B077-1822CE119D00}">
      <text>
        <r>
          <rPr>
            <sz val="9"/>
            <color indexed="81"/>
            <rFont val="MS P ゴシック"/>
            <family val="3"/>
            <charset val="128"/>
          </rPr>
          <t>PPM直接コストの申請通貨換算値</t>
        </r>
      </text>
    </comment>
    <comment ref="AV79" authorId="0" shapeId="0" xr:uid="{E685A5C8-59A2-4E9B-A376-A31D07B20D98}">
      <text>
        <r>
          <rPr>
            <sz val="9"/>
            <color indexed="81"/>
            <rFont val="MS P ゴシック"/>
            <family val="3"/>
            <charset val="128"/>
          </rPr>
          <t>FOB価格/(1-物流コスト率)</t>
        </r>
      </text>
    </comment>
    <comment ref="AZ79" authorId="0" shapeId="0" xr:uid="{B9E63FDF-1907-4951-9193-01A63960177D}">
      <text>
        <r>
          <rPr>
            <sz val="9"/>
            <color indexed="81"/>
            <rFont val="MS P ゴシック"/>
            <family val="3"/>
            <charset val="128"/>
          </rPr>
          <t>FOB価格-(CIF価格*口銭率)</t>
        </r>
      </text>
    </comment>
    <comment ref="BD79" authorId="0" shapeId="0" xr:uid="{C72D1E4A-659F-4830-926E-F70596C819DC}">
      <text>
        <r>
          <rPr>
            <sz val="9"/>
            <color indexed="81"/>
            <rFont val="MS P ゴシック"/>
            <family val="3"/>
            <charset val="128"/>
          </rPr>
          <t>1-製造原価/為替レート/申請価格</t>
        </r>
      </text>
    </comment>
    <comment ref="BH79" authorId="0" shapeId="0" xr:uid="{C981884F-ABB5-4027-89AA-B701BAF6461D}">
      <text>
        <r>
          <rPr>
            <sz val="9"/>
            <color indexed="81"/>
            <rFont val="MS P ゴシック"/>
            <family val="3"/>
            <charset val="128"/>
          </rPr>
          <t>(FOB価格-従来FOB価格)/従来FOB価格</t>
        </r>
      </text>
    </comment>
    <comment ref="BP79" authorId="0" shapeId="0" xr:uid="{089B973E-AF9E-4066-B9C5-DB84A9D8DFF4}">
      <text>
        <r>
          <rPr>
            <sz val="9"/>
            <color indexed="81"/>
            <rFont val="MS P ゴシック"/>
            <family val="3"/>
            <charset val="128"/>
          </rPr>
          <t>1-FOB価格/(1-物流コスト率)/販社売価</t>
        </r>
      </text>
    </comment>
    <comment ref="BT79" authorId="0" shapeId="0" xr:uid="{E12C1DC8-155E-464D-A16F-26D5D5C17D10}">
      <text>
        <r>
          <rPr>
            <sz val="9"/>
            <color indexed="81"/>
            <rFont val="MS P ゴシック"/>
            <family val="3"/>
            <charset val="128"/>
          </rPr>
          <t>1-(製造原価/為替レート+FOB価格*物流コスト率+CIF価格*口銭率)/販社売価</t>
        </r>
      </text>
    </comment>
    <comment ref="CB79" authorId="0" shapeId="0" xr:uid="{3A3DE05C-8D8B-4D97-9294-9156F44A8B1F}">
      <text>
        <r>
          <rPr>
            <sz val="9"/>
            <color indexed="81"/>
            <rFont val="MS P ゴシック"/>
            <family val="3"/>
            <charset val="128"/>
          </rPr>
          <t>1-販社売価/代理店売価</t>
        </r>
      </text>
    </comment>
    <comment ref="AA83" authorId="0" shapeId="0" xr:uid="{7BA32FB1-9F62-40D8-876F-BE0214021F90}">
      <text>
        <r>
          <rPr>
            <sz val="9"/>
            <color indexed="81"/>
            <rFont val="MS P ゴシック"/>
            <family val="3"/>
            <charset val="128"/>
          </rPr>
          <t>数量xFOB価格</t>
        </r>
      </text>
    </comment>
    <comment ref="AE83" authorId="0" shapeId="0" xr:uid="{E363DA61-4DB2-453F-A39C-2A37B73AFD95}">
      <text>
        <r>
          <rPr>
            <sz val="9"/>
            <color indexed="81"/>
            <rFont val="MS P ゴシック"/>
            <family val="3"/>
            <charset val="128"/>
          </rPr>
          <t>数量*コスト</t>
        </r>
      </text>
    </comment>
    <comment ref="AJ83" authorId="0" shapeId="0" xr:uid="{A005250B-86A9-4AC0-A0B2-A02672E9768F}">
      <text>
        <r>
          <rPr>
            <sz val="9"/>
            <color indexed="81"/>
            <rFont val="MS P ゴシック"/>
            <family val="3"/>
            <charset val="128"/>
          </rPr>
          <t>売上-コスト合計</t>
        </r>
      </text>
    </comment>
    <comment ref="AN83" authorId="0" shapeId="0" xr:uid="{0DAA0ED9-D4A4-42C7-B123-9E20368ADEE3}">
      <text>
        <r>
          <rPr>
            <sz val="9"/>
            <color indexed="81"/>
            <rFont val="MS P ゴシック"/>
            <family val="3"/>
            <charset val="128"/>
          </rPr>
          <t>貢献額/売上</t>
        </r>
      </text>
    </comment>
    <comment ref="AR83" authorId="0" shapeId="0" xr:uid="{C1118227-8A70-4F71-B4FB-30CC601F3055}">
      <text>
        <r>
          <rPr>
            <sz val="9"/>
            <color indexed="81"/>
            <rFont val="MS P ゴシック"/>
            <family val="3"/>
            <charset val="128"/>
          </rPr>
          <t>値引き額(FOB)/(売上-値引額(FOB))</t>
        </r>
      </text>
    </comment>
    <comment ref="AV83" authorId="0" shapeId="0" xr:uid="{0DD8322E-6864-495B-BF85-282C83D031AE}">
      <text>
        <r>
          <rPr>
            <sz val="9"/>
            <color indexed="81"/>
            <rFont val="MS P ゴシック"/>
            <family val="3"/>
            <charset val="128"/>
          </rPr>
          <t>数量x(FOB価格-従来FOB価格)</t>
        </r>
      </text>
    </comment>
    <comment ref="AZ83" authorId="0" shapeId="0" xr:uid="{FE55E17E-48B1-406E-B64F-132A831932FB}">
      <text>
        <r>
          <rPr>
            <sz val="9"/>
            <color indexed="81"/>
            <rFont val="MS P ゴシック"/>
            <family val="3"/>
            <charset val="128"/>
          </rPr>
          <t>数量x従来価格</t>
        </r>
      </text>
    </comment>
    <comment ref="BD83" authorId="0" shapeId="0" xr:uid="{28E18CEB-1734-4F8F-AAF7-8E6830259DE4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BH83" authorId="0" shapeId="0" xr:uid="{A01ED628-1DD1-4479-B9E7-BBDB62F0A5E6}">
      <text>
        <r>
          <rPr>
            <sz val="9"/>
            <color indexed="81"/>
            <rFont val="MS P ゴシック"/>
            <family val="3"/>
            <charset val="128"/>
          </rPr>
          <t>1-(直接コスト合計+数量*(FOB価格x物流コスト率+CIF価*口銭率))/売上(連結)</t>
        </r>
      </text>
    </comment>
    <comment ref="AA88" authorId="0" shapeId="0" xr:uid="{3DDDE427-588B-406F-8A19-B9B579792851}">
      <text>
        <r>
          <rPr>
            <sz val="9"/>
            <color indexed="81"/>
            <rFont val="MS P ゴシック"/>
            <family val="3"/>
            <charset val="128"/>
          </rPr>
          <t>数量xFOB価格</t>
        </r>
      </text>
    </comment>
    <comment ref="AE88" authorId="0" shapeId="0" xr:uid="{362E1E65-6856-4B12-8B2B-A173CB9AB68E}">
      <text>
        <r>
          <rPr>
            <sz val="9"/>
            <color indexed="81"/>
            <rFont val="MS P ゴシック"/>
            <family val="3"/>
            <charset val="128"/>
          </rPr>
          <t>数量*コスト</t>
        </r>
      </text>
    </comment>
    <comment ref="AJ88" authorId="0" shapeId="0" xr:uid="{9EAAAB28-8225-4A8F-BE41-96C837C83207}">
      <text>
        <r>
          <rPr>
            <sz val="9"/>
            <color indexed="81"/>
            <rFont val="MS P ゴシック"/>
            <family val="3"/>
            <charset val="128"/>
          </rPr>
          <t>売上-コスト合計</t>
        </r>
      </text>
    </comment>
    <comment ref="AN88" authorId="0" shapeId="0" xr:uid="{22462884-0E1E-4AB3-AA05-5FDACC146B77}">
      <text>
        <r>
          <rPr>
            <sz val="9"/>
            <color indexed="81"/>
            <rFont val="MS P ゴシック"/>
            <family val="3"/>
            <charset val="128"/>
          </rPr>
          <t>貢献額/売上</t>
        </r>
      </text>
    </comment>
    <comment ref="AR88" authorId="0" shapeId="0" xr:uid="{7092DA5B-8BF9-4E95-AFCD-5E32D3557945}">
      <text>
        <r>
          <rPr>
            <sz val="9"/>
            <color indexed="81"/>
            <rFont val="MS P ゴシック"/>
            <family val="3"/>
            <charset val="128"/>
          </rPr>
          <t>値引き額(FOB)/(売上-値引額(FOB))</t>
        </r>
      </text>
    </comment>
    <comment ref="AV88" authorId="0" shapeId="0" xr:uid="{69A9A745-BA11-4C92-9B0A-D58DA283FCFD}">
      <text>
        <r>
          <rPr>
            <sz val="9"/>
            <color indexed="81"/>
            <rFont val="MS P ゴシック"/>
            <family val="3"/>
            <charset val="128"/>
          </rPr>
          <t>数量x(FOB価格-従来FOB価格)</t>
        </r>
      </text>
    </comment>
    <comment ref="BD88" authorId="0" shapeId="0" xr:uid="{93AA3A95-7DD4-432C-A3EC-FCD959E31A89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BH88" authorId="0" shapeId="0" xr:uid="{0A9FB5DE-024E-4846-8581-FC3CFCA1EFEC}">
      <text>
        <r>
          <rPr>
            <sz val="9"/>
            <color indexed="81"/>
            <rFont val="MS P ゴシック"/>
            <family val="3"/>
            <charset val="128"/>
          </rPr>
          <t>1-(直接コスト合計+数量*(FOB価格x物流コスト率+CIF価*口銭率))/売上(連結)</t>
        </r>
      </text>
    </comment>
    <comment ref="P106" authorId="0" shapeId="0" xr:uid="{74D25D7A-D279-42AF-BB26-66E6477342F9}">
      <text>
        <r>
          <rPr>
            <sz val="9"/>
            <color indexed="81"/>
            <rFont val="MS P ゴシック"/>
            <family val="3"/>
            <charset val="128"/>
          </rPr>
          <t>有
無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  <author xml:space="preserve"> </author>
  </authors>
  <commentList>
    <comment ref="P19" authorId="0" shapeId="0" xr:uid="{6623BF2F-8CA1-4F96-AD8E-8787264430D2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1" authorId="0" shapeId="0" xr:uid="{2BDF4F72-BFFF-4F68-9DC7-9CA8FC1DC83C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E63" authorId="0" shapeId="0" xr:uid="{A938626A-87FA-41AD-9607-E4E5F51B7B03}">
      <text>
        <r>
          <rPr>
            <sz val="9"/>
            <color indexed="81"/>
            <rFont val="MS P ゴシック"/>
            <family val="3"/>
            <charset val="128"/>
          </rPr>
          <t>製造原価/為替レート</t>
        </r>
      </text>
    </comment>
    <comment ref="AV63" authorId="0" shapeId="0" xr:uid="{ED49BA27-2E4A-4FA5-99E4-AD5C275240E0}">
      <text>
        <r>
          <rPr>
            <sz val="9"/>
            <color indexed="81"/>
            <rFont val="MS P ゴシック"/>
            <family val="3"/>
            <charset val="128"/>
          </rPr>
          <t>FOB価格/(1-物流コスト率)</t>
        </r>
      </text>
    </comment>
    <comment ref="AZ63" authorId="0" shapeId="0" xr:uid="{D65D3F7F-8FD1-4239-BD6C-5DA15D787712}">
      <text>
        <r>
          <rPr>
            <sz val="9"/>
            <color indexed="81"/>
            <rFont val="MS P ゴシック"/>
            <family val="3"/>
            <charset val="128"/>
          </rPr>
          <t>FOB価格-(CIF価格*口銭率)</t>
        </r>
      </text>
    </comment>
    <comment ref="BD63" authorId="0" shapeId="0" xr:uid="{8EA5B32F-3CC9-4707-AE2D-67F331D44ACA}">
      <text>
        <r>
          <rPr>
            <sz val="9"/>
            <color indexed="81"/>
            <rFont val="MS P ゴシック"/>
            <family val="3"/>
            <charset val="128"/>
          </rPr>
          <t>(FOB価格-CIF価格*口銭率-総原価/為替レート)/(総原価/為替レート)</t>
        </r>
      </text>
    </comment>
    <comment ref="BH63" authorId="1" shapeId="0" xr:uid="{058AD372-E79A-416D-8D68-6A16B16B6D1C}">
      <text>
        <r>
          <rPr>
            <sz val="9"/>
            <color indexed="81"/>
            <rFont val="MS P ゴシック"/>
            <family val="3"/>
            <charset val="128"/>
          </rPr>
          <t>(FOB価格-従来FOB価格)/従来FOB価格</t>
        </r>
      </text>
    </comment>
    <comment ref="BP63" authorId="1" shapeId="0" xr:uid="{F2B1A7CF-959F-414E-A78E-EC455CC96B37}">
      <text>
        <r>
          <rPr>
            <sz val="9"/>
            <color indexed="81"/>
            <rFont val="MS P ゴシック"/>
            <family val="3"/>
            <charset val="128"/>
          </rPr>
          <t>1-FOB価格/(1-物流コスト率)/販社売価</t>
        </r>
      </text>
    </comment>
    <comment ref="BT63" authorId="0" shapeId="0" xr:uid="{C08CABE3-F817-4F58-8AAF-D6C8EB6ABC4E}">
      <text>
        <r>
          <rPr>
            <sz val="9"/>
            <color indexed="81"/>
            <rFont val="MS P ゴシック"/>
            <family val="3"/>
            <charset val="128"/>
          </rPr>
          <t>1-(製造原価/為替レート+FOB価格*物流コスト率+CIF価格*口銭率)/販社売価</t>
        </r>
      </text>
    </comment>
    <comment ref="CB63" authorId="0" shapeId="0" xr:uid="{2E9EB4F6-4084-4F8B-BF81-2F811CF011D7}">
      <text>
        <r>
          <rPr>
            <sz val="9"/>
            <color indexed="81"/>
            <rFont val="MS P ゴシック"/>
            <family val="3"/>
            <charset val="128"/>
          </rPr>
          <t>1-販社売価/代理店売価</t>
        </r>
      </text>
    </comment>
    <comment ref="AA67" authorId="0" shapeId="0" xr:uid="{0008D8C9-F466-433C-8781-EB64D0900F1C}">
      <text>
        <r>
          <rPr>
            <sz val="9"/>
            <color indexed="81"/>
            <rFont val="MS P ゴシック"/>
            <family val="3"/>
            <charset val="128"/>
          </rPr>
          <t>数量xFOB価格</t>
        </r>
      </text>
    </comment>
    <comment ref="AE67" authorId="0" shapeId="0" xr:uid="{58183CC7-466B-4D5F-AD36-EEB8F2551732}">
      <text>
        <r>
          <rPr>
            <sz val="9"/>
            <color indexed="81"/>
            <rFont val="MS P ゴシック"/>
            <family val="3"/>
            <charset val="128"/>
          </rPr>
          <t>数量*総原価/為替レート</t>
        </r>
      </text>
    </comment>
    <comment ref="AJ67" authorId="0" shapeId="0" xr:uid="{705C7AF5-0972-4D88-893D-3A8280B4ECA3}">
      <text>
        <r>
          <rPr>
            <sz val="9"/>
            <color indexed="81"/>
            <rFont val="MS P ゴシック"/>
            <family val="3"/>
            <charset val="128"/>
          </rPr>
          <t>売上-コスト合計</t>
        </r>
      </text>
    </comment>
    <comment ref="AN67" authorId="0" shapeId="0" xr:uid="{E40FBDBE-7055-4E5E-B2AC-85065231E226}">
      <text>
        <r>
          <rPr>
            <sz val="9"/>
            <color indexed="81"/>
            <rFont val="MS P ゴシック"/>
            <family val="3"/>
            <charset val="128"/>
          </rPr>
          <t>総原価利益率/総原価合計</t>
        </r>
      </text>
    </comment>
    <comment ref="AR67" authorId="0" shapeId="0" xr:uid="{2C699ADD-B18E-450C-9936-91FA39EE31B4}">
      <text>
        <r>
          <rPr>
            <sz val="9"/>
            <color indexed="81"/>
            <rFont val="MS P ゴシック"/>
            <family val="3"/>
            <charset val="128"/>
          </rPr>
          <t>値引き額(FOB)/(売上-値引額(FOB))</t>
        </r>
      </text>
    </comment>
    <comment ref="AV67" authorId="0" shapeId="0" xr:uid="{7A6D7B8E-E81F-4D0B-8478-8A301A25D472}">
      <text>
        <r>
          <rPr>
            <sz val="9"/>
            <color indexed="81"/>
            <rFont val="MS P ゴシック"/>
            <family val="3"/>
            <charset val="128"/>
          </rPr>
          <t>数量x(FOB価格-従来FOB価格)</t>
        </r>
      </text>
    </comment>
    <comment ref="AZ67" authorId="1" shapeId="0" xr:uid="{7F6DA814-E095-43FC-B1E7-690AD8DC9B06}">
      <text>
        <r>
          <rPr>
            <sz val="9"/>
            <color indexed="81"/>
            <rFont val="MS P ゴシック"/>
            <family val="3"/>
            <charset val="128"/>
          </rPr>
          <t>数量*従来FOB価格</t>
        </r>
      </text>
    </comment>
    <comment ref="BD67" authorId="0" shapeId="0" xr:uid="{6F3AAC99-9C2A-44C7-95ED-5AE8DD2C9329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BH67" authorId="0" shapeId="0" xr:uid="{B7F6938F-EF68-4F76-8B03-E74A6BB59B1F}">
      <text>
        <r>
          <rPr>
            <sz val="9"/>
            <color indexed="81"/>
            <rFont val="MS P ゴシック"/>
            <family val="3"/>
            <charset val="128"/>
          </rPr>
          <t>1-((製造原価/為替レート*数量)+(FOB価格*物流コスト率+FOB価格/(1-物流コスト率)*口銭率)*月間数量)/売上(連結)</t>
        </r>
      </text>
    </comment>
    <comment ref="AA72" authorId="0" shapeId="0" xr:uid="{1C5DD139-ED23-4833-A397-2CE31A302AA0}">
      <text>
        <r>
          <rPr>
            <sz val="9"/>
            <color indexed="81"/>
            <rFont val="MS P ゴシック"/>
            <family val="3"/>
            <charset val="128"/>
          </rPr>
          <t>数量xFOB価格</t>
        </r>
      </text>
    </comment>
    <comment ref="AE72" authorId="0" shapeId="0" xr:uid="{8FBD9153-D455-48A5-8160-9FD612285F39}">
      <text>
        <r>
          <rPr>
            <sz val="9"/>
            <color indexed="81"/>
            <rFont val="MS P ゴシック"/>
            <family val="3"/>
            <charset val="128"/>
          </rPr>
          <t>数量*総原価/為替レート</t>
        </r>
      </text>
    </comment>
    <comment ref="AJ72" authorId="0" shapeId="0" xr:uid="{A04A2564-914A-41DE-AEA1-C66CE93147CB}">
      <text>
        <r>
          <rPr>
            <sz val="9"/>
            <color indexed="81"/>
            <rFont val="MS P ゴシック"/>
            <family val="3"/>
            <charset val="128"/>
          </rPr>
          <t>売上-コスト合計</t>
        </r>
      </text>
    </comment>
    <comment ref="AN72" authorId="0" shapeId="0" xr:uid="{DDF17ECF-4EC5-43B3-83CA-C891D25175ED}">
      <text>
        <r>
          <rPr>
            <sz val="9"/>
            <color indexed="81"/>
            <rFont val="MS P ゴシック"/>
            <family val="3"/>
            <charset val="128"/>
          </rPr>
          <t>総原価利益率/総原価合計</t>
        </r>
      </text>
    </comment>
    <comment ref="AR72" authorId="0" shapeId="0" xr:uid="{1A674939-80ED-49BC-BB54-370D0A50DCB5}">
      <text>
        <r>
          <rPr>
            <sz val="9"/>
            <color indexed="81"/>
            <rFont val="MS P ゴシック"/>
            <family val="3"/>
            <charset val="128"/>
          </rPr>
          <t>値引き額(FOB)/(売上-値引額(FOB))</t>
        </r>
      </text>
    </comment>
    <comment ref="AV72" authorId="0" shapeId="0" xr:uid="{E818FAD8-D17D-41F1-AA98-2F46284036D5}">
      <text>
        <r>
          <rPr>
            <sz val="9"/>
            <color indexed="81"/>
            <rFont val="MS P ゴシック"/>
            <family val="3"/>
            <charset val="128"/>
          </rPr>
          <t>数量x(FOB価格-従来FOB価格)</t>
        </r>
      </text>
    </comment>
    <comment ref="AZ72" authorId="1" shapeId="0" xr:uid="{491E7B96-D91E-4F59-AC10-072C8670CFE6}">
      <text>
        <r>
          <rPr>
            <sz val="9"/>
            <color indexed="81"/>
            <rFont val="MS P ゴシック"/>
            <family val="3"/>
            <charset val="128"/>
          </rPr>
          <t>数量*従来FOB価格</t>
        </r>
      </text>
    </comment>
    <comment ref="BD72" authorId="0" shapeId="0" xr:uid="{F9E58F2A-1288-4EC7-9F60-C84689F01A58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BH72" authorId="0" shapeId="0" xr:uid="{A362063F-BA67-4729-8CA6-750EBD90C6CC}">
      <text>
        <r>
          <rPr>
            <sz val="9"/>
            <color indexed="81"/>
            <rFont val="MS P ゴシック"/>
            <family val="3"/>
            <charset val="128"/>
          </rPr>
          <t>1-((製造原価/為替レート*数量)+(FOB価格*物流コスト率+FOB価格/(1-物流コスト率)*口銭率)*月間数量)/売上(連結)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</authors>
  <commentList>
    <comment ref="P19" authorId="0" shapeId="0" xr:uid="{B16F0910-2B25-48B0-AC84-D0F450AB68A7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1" authorId="0" shapeId="0" xr:uid="{91BDABE1-D4AF-4D5B-B352-20254FB23C28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H51" authorId="0" shapeId="0" xr:uid="{62CDB66E-96A3-4E83-9D95-D4E2C06B9625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V63" authorId="0" shapeId="0" xr:uid="{0DBD67A4-FF9E-46EB-B9C8-A2B692E652C6}">
      <text>
        <r>
          <rPr>
            <sz val="9"/>
            <color indexed="81"/>
            <rFont val="MS P ゴシック"/>
            <family val="3"/>
            <charset val="128"/>
          </rPr>
          <t>FOB価格/(1-物流コスト率)</t>
        </r>
      </text>
    </comment>
    <comment ref="AZ63" authorId="0" shapeId="0" xr:uid="{D26709B3-3714-4512-8EA6-BBCB3ABEB186}">
      <text>
        <r>
          <rPr>
            <sz val="9"/>
            <color indexed="81"/>
            <rFont val="MS P ゴシック"/>
            <family val="3"/>
            <charset val="128"/>
          </rPr>
          <t>FOB価格-(CIF価格*口銭率)</t>
        </r>
      </text>
    </comment>
    <comment ref="BD63" authorId="0" shapeId="0" xr:uid="{AA63994B-1D1B-48A9-954E-382465FEBBA7}">
      <text>
        <r>
          <rPr>
            <sz val="9"/>
            <color indexed="81"/>
            <rFont val="MS P ゴシック"/>
            <family val="3"/>
            <charset val="128"/>
          </rPr>
          <t>(FOB価格-従来FOB価格)/従来FOB価格</t>
        </r>
      </text>
    </comment>
    <comment ref="BL63" authorId="0" shapeId="0" xr:uid="{4847ED2C-045B-45EF-A3ED-4524C19E78DD}">
      <text>
        <r>
          <rPr>
            <sz val="9"/>
            <color indexed="81"/>
            <rFont val="MS P ゴシック"/>
            <family val="3"/>
            <charset val="128"/>
          </rPr>
          <t>1-FOB価格/(1-物流コスト率)/販社売価</t>
        </r>
      </text>
    </comment>
    <comment ref="BP63" authorId="0" shapeId="0" xr:uid="{0A221737-153F-4D5F-85C3-9D404C6E198A}">
      <text>
        <r>
          <rPr>
            <sz val="9"/>
            <color indexed="81"/>
            <rFont val="MS P ゴシック"/>
            <family val="3"/>
            <charset val="128"/>
          </rPr>
          <t>1-純原価/販社売価</t>
        </r>
      </text>
    </comment>
    <comment ref="BX63" authorId="0" shapeId="0" xr:uid="{73AFF1EF-3E0E-4720-98C8-71032E00FED5}">
      <text>
        <r>
          <rPr>
            <sz val="9"/>
            <color indexed="81"/>
            <rFont val="MS P ゴシック"/>
            <family val="3"/>
            <charset val="128"/>
          </rPr>
          <t>1-販社売価/代理店売価</t>
        </r>
      </text>
    </comment>
    <comment ref="AA66" authorId="0" shapeId="0" xr:uid="{430E6BB0-4127-4384-BC54-60CA61C14030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AE66" authorId="0" shapeId="0" xr:uid="{2FF6B129-4FE2-4056-9395-D341715CE753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66" authorId="0" shapeId="0" xr:uid="{124A21D9-B11E-440A-9251-38D6463B5ED4}">
      <text>
        <r>
          <rPr>
            <sz val="9"/>
            <color indexed="81"/>
            <rFont val="MS P ゴシック"/>
            <family val="3"/>
            <charset val="128"/>
          </rPr>
          <t>売上-純原価合計</t>
        </r>
      </text>
    </comment>
    <comment ref="AN66" authorId="0" shapeId="0" xr:uid="{39B1E842-0F08-4EE1-90A6-8A5B014B09D6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66" authorId="0" shapeId="0" xr:uid="{74834474-258D-4DD9-8E4D-73D629C279A5}">
      <text>
        <r>
          <rPr>
            <sz val="9"/>
            <color indexed="81"/>
            <rFont val="MS P ゴシック"/>
            <family val="3"/>
            <charset val="128"/>
          </rPr>
          <t>値引き額/(売上-値引額)</t>
        </r>
      </text>
    </comment>
    <comment ref="AV66" authorId="0" shapeId="0" xr:uid="{9A6D075A-CB09-4104-B0B5-77393C6BC79C}">
      <text>
        <r>
          <rPr>
            <sz val="9"/>
            <color indexed="81"/>
            <rFont val="MS P ゴシック"/>
            <family val="3"/>
            <charset val="128"/>
          </rPr>
          <t>数量x(販社売価-従来FOB価格)</t>
        </r>
      </text>
    </comment>
    <comment ref="AA70" authorId="0" shapeId="0" xr:uid="{CC6D866E-EB37-46D4-8CC8-94D22DA66F2C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AE70" authorId="0" shapeId="0" xr:uid="{E3B1403C-EDD2-4F49-B602-4CF89721539C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70" authorId="0" shapeId="0" xr:uid="{B597D182-914B-4079-9012-10863EB9E722}">
      <text>
        <r>
          <rPr>
            <sz val="9"/>
            <color indexed="81"/>
            <rFont val="MS P ゴシック"/>
            <family val="3"/>
            <charset val="128"/>
          </rPr>
          <t>売上-純原価合計</t>
        </r>
      </text>
    </comment>
    <comment ref="AN70" authorId="0" shapeId="0" xr:uid="{8734A2E2-1436-4500-9F85-28ADB0147A2C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70" authorId="0" shapeId="0" xr:uid="{DCE142C0-1C1D-4045-9C53-756E41C9714D}">
      <text>
        <r>
          <rPr>
            <sz val="9"/>
            <color indexed="81"/>
            <rFont val="MS P ゴシック"/>
            <family val="3"/>
            <charset val="128"/>
          </rPr>
          <t>値引き額/(売上-値引額)</t>
        </r>
      </text>
    </comment>
    <comment ref="AV70" authorId="0" shapeId="0" xr:uid="{D97FBD94-788C-4E96-8996-E4A87B5B2361}">
      <text>
        <r>
          <rPr>
            <sz val="9"/>
            <color indexed="81"/>
            <rFont val="MS P ゴシック"/>
            <family val="3"/>
            <charset val="128"/>
          </rPr>
          <t>数量x(販社売価-従来FOB価格)</t>
        </r>
      </text>
    </comment>
  </commentList>
</comments>
</file>

<file path=xl/sharedStrings.xml><?xml version="1.0" encoding="utf-8"?>
<sst xmlns="http://schemas.openxmlformats.org/spreadsheetml/2006/main" count="2886" uniqueCount="698">
  <si>
    <t>HRS殿</t>
    <rPh sb="3" eb="4">
      <t>ドノ</t>
    </rPh>
    <phoneticPr fontId="11"/>
  </si>
  <si>
    <t>作成</t>
    <rPh sb="0" eb="2">
      <t>サクセイ</t>
    </rPh>
    <phoneticPr fontId="11"/>
  </si>
  <si>
    <t>照査</t>
    <rPh sb="0" eb="2">
      <t>ショウサ</t>
    </rPh>
    <phoneticPr fontId="11"/>
  </si>
  <si>
    <t>承認</t>
    <rPh sb="0" eb="2">
      <t>ショウニン</t>
    </rPh>
    <phoneticPr fontId="11"/>
  </si>
  <si>
    <t>文書名：</t>
    <rPh sb="0" eb="2">
      <t>ブンショ</t>
    </rPh>
    <rPh sb="2" eb="3">
      <t>メイ</t>
    </rPh>
    <phoneticPr fontId="11"/>
  </si>
  <si>
    <t>顧客名</t>
    <rPh sb="0" eb="2">
      <t>コキャク</t>
    </rPh>
    <rPh sb="2" eb="3">
      <t>メイ</t>
    </rPh>
    <phoneticPr fontId="11"/>
  </si>
  <si>
    <t>ヒロセ電機株式会社</t>
    <rPh sb="3" eb="5">
      <t>デンキ</t>
    </rPh>
    <rPh sb="5" eb="7">
      <t>カブシキ</t>
    </rPh>
    <rPh sb="7" eb="9">
      <t>カイシャ</t>
    </rPh>
    <phoneticPr fontId="11"/>
  </si>
  <si>
    <t>システム</t>
    <phoneticPr fontId="11"/>
  </si>
  <si>
    <t>作成者</t>
    <rPh sb="0" eb="2">
      <t>サクセイ</t>
    </rPh>
    <rPh sb="2" eb="3">
      <t>シャ</t>
    </rPh>
    <phoneticPr fontId="11"/>
  </si>
  <si>
    <t>作成日</t>
    <rPh sb="0" eb="3">
      <t>サクセイビ</t>
    </rPh>
    <phoneticPr fontId="11"/>
  </si>
  <si>
    <t>書類番号</t>
    <rPh sb="0" eb="2">
      <t>ショルイ</t>
    </rPh>
    <rPh sb="2" eb="4">
      <t>バンゴウ</t>
    </rPh>
    <phoneticPr fontId="11"/>
  </si>
  <si>
    <t>プロジェクト</t>
    <phoneticPr fontId="11"/>
  </si>
  <si>
    <t>修正者</t>
    <rPh sb="0" eb="2">
      <t>シュウセイ</t>
    </rPh>
    <rPh sb="2" eb="3">
      <t>シャ</t>
    </rPh>
    <phoneticPr fontId="11"/>
  </si>
  <si>
    <t>修正日</t>
    <rPh sb="0" eb="2">
      <t>シュウセイ</t>
    </rPh>
    <rPh sb="2" eb="3">
      <t>ビ</t>
    </rPh>
    <phoneticPr fontId="11"/>
  </si>
  <si>
    <t>内容</t>
    <rPh sb="0" eb="2">
      <t>ナイヨウ</t>
    </rPh>
    <phoneticPr fontId="11"/>
  </si>
  <si>
    <t>Rev</t>
    <phoneticPr fontId="11"/>
  </si>
  <si>
    <t>intra-mart Accel Platform</t>
    <phoneticPr fontId="11"/>
  </si>
  <si>
    <t>変更内容</t>
    <rPh sb="0" eb="2">
      <t>ヘンコウ</t>
    </rPh>
    <rPh sb="2" eb="4">
      <t>ナイヨウ</t>
    </rPh>
    <phoneticPr fontId="10"/>
  </si>
  <si>
    <t>変更・追加箇所</t>
    <rPh sb="0" eb="2">
      <t>ヘンコウ</t>
    </rPh>
    <rPh sb="3" eb="5">
      <t>ツイカ</t>
    </rPh>
    <rPh sb="5" eb="7">
      <t>カショ</t>
    </rPh>
    <phoneticPr fontId="10"/>
  </si>
  <si>
    <t>提出日</t>
    <rPh sb="0" eb="2">
      <t>テイシュツ</t>
    </rPh>
    <rPh sb="2" eb="3">
      <t>ビ</t>
    </rPh>
    <phoneticPr fontId="10"/>
  </si>
  <si>
    <t>作成者</t>
    <rPh sb="0" eb="3">
      <t>サクセイシャ</t>
    </rPh>
    <phoneticPr fontId="10"/>
  </si>
  <si>
    <t>承認者</t>
    <rPh sb="0" eb="2">
      <t>ショウニン</t>
    </rPh>
    <rPh sb="2" eb="3">
      <t>シャ</t>
    </rPh>
    <phoneticPr fontId="10"/>
  </si>
  <si>
    <t>備考</t>
    <rPh sb="0" eb="2">
      <t>ビコウ</t>
    </rPh>
    <phoneticPr fontId="10"/>
  </si>
  <si>
    <t>新規作成</t>
    <rPh sb="0" eb="2">
      <t>シンキ</t>
    </rPh>
    <rPh sb="2" eb="4">
      <t>サクセイ</t>
    </rPh>
    <phoneticPr fontId="48"/>
  </si>
  <si>
    <t>Rev.</t>
    <phoneticPr fontId="10"/>
  </si>
  <si>
    <t>変更来歴</t>
    <phoneticPr fontId="48"/>
  </si>
  <si>
    <t>画面設計書</t>
    <rPh sb="0" eb="2">
      <t>ガメン</t>
    </rPh>
    <rPh sb="2" eb="5">
      <t>セッケイショ</t>
    </rPh>
    <phoneticPr fontId="11"/>
  </si>
  <si>
    <t>画面名</t>
    <rPh sb="0" eb="2">
      <t>ガメン</t>
    </rPh>
    <rPh sb="2" eb="3">
      <t>メイ</t>
    </rPh>
    <phoneticPr fontId="48"/>
  </si>
  <si>
    <t>アメージングアクティビティ(株)</t>
    <rPh sb="13" eb="16">
      <t>カブシキガイシャ</t>
    </rPh>
    <phoneticPr fontId="11"/>
  </si>
  <si>
    <t>　</t>
    <phoneticPr fontId="48"/>
  </si>
  <si>
    <t/>
  </si>
  <si>
    <t>IMWF-53</t>
    <phoneticPr fontId="48"/>
  </si>
  <si>
    <t>No</t>
    <phoneticPr fontId="54"/>
  </si>
  <si>
    <t>▼</t>
    <phoneticPr fontId="54"/>
  </si>
  <si>
    <t>品名</t>
    <rPh sb="0" eb="1">
      <t>ヒンメイ</t>
    </rPh>
    <phoneticPr fontId="54"/>
  </si>
  <si>
    <t>○</t>
    <phoneticPr fontId="54"/>
  </si>
  <si>
    <t>◎</t>
    <phoneticPr fontId="54"/>
  </si>
  <si>
    <t>▲</t>
    <phoneticPr fontId="54"/>
  </si>
  <si>
    <t>ファイル名</t>
    <rPh sb="4" eb="5">
      <t>メイ</t>
    </rPh>
    <phoneticPr fontId="54"/>
  </si>
  <si>
    <t>得意先コード</t>
    <rPh sb="0" eb="3">
      <t>トクイサキ</t>
    </rPh>
    <phoneticPr fontId="54"/>
  </si>
  <si>
    <t>サイズ</t>
    <phoneticPr fontId="54"/>
  </si>
  <si>
    <t>102 KB</t>
    <phoneticPr fontId="54"/>
  </si>
  <si>
    <t>得意先</t>
    <rPh sb="0" eb="3">
      <t>トクイサキ</t>
    </rPh>
    <phoneticPr fontId="58"/>
  </si>
  <si>
    <t>　</t>
    <phoneticPr fontId="54"/>
  </si>
  <si>
    <t>契約書DB</t>
    <rPh sb="0" eb="3">
      <t>ケイヤクショ</t>
    </rPh>
    <phoneticPr fontId="48"/>
  </si>
  <si>
    <t>クリア</t>
    <phoneticPr fontId="54"/>
  </si>
  <si>
    <t>ファイル001.xlsx</t>
    <phoneticPr fontId="54"/>
  </si>
  <si>
    <t>CD-1234567</t>
    <phoneticPr fontId="54"/>
  </si>
  <si>
    <t>単価上申(円販売一般品)</t>
    <rPh sb="0" eb="2">
      <t>タンカ</t>
    </rPh>
    <rPh sb="2" eb="4">
      <t>ジョウシン</t>
    </rPh>
    <rPh sb="5" eb="8">
      <t>エンハンバイ</t>
    </rPh>
    <rPh sb="8" eb="10">
      <t>イッパン</t>
    </rPh>
    <rPh sb="10" eb="11">
      <t>シナ</t>
    </rPh>
    <phoneticPr fontId="54"/>
  </si>
  <si>
    <t>過去の申請から内容コピー</t>
    <rPh sb="0" eb="2">
      <t>カコ</t>
    </rPh>
    <rPh sb="3" eb="5">
      <t>シンセイ</t>
    </rPh>
    <rPh sb="7" eb="9">
      <t>ナイヨウ</t>
    </rPh>
    <phoneticPr fontId="54"/>
  </si>
  <si>
    <t>起票日</t>
    <rPh sb="0" eb="3">
      <t>キヒョウビ</t>
    </rPh>
    <phoneticPr fontId="54"/>
  </si>
  <si>
    <t>所属</t>
    <rPh sb="0" eb="2">
      <t>ショゾク</t>
    </rPh>
    <phoneticPr fontId="54"/>
  </si>
  <si>
    <t>社員番号</t>
    <rPh sb="0" eb="2">
      <t>シャイン</t>
    </rPh>
    <rPh sb="2" eb="4">
      <t>バンゴウ</t>
    </rPh>
    <phoneticPr fontId="54"/>
  </si>
  <si>
    <t>2022/09/29</t>
    <phoneticPr fontId="54"/>
  </si>
  <si>
    <t>：</t>
    <phoneticPr fontId="54"/>
  </si>
  <si>
    <t>ヒロセ電機株式会社/管理本部/ＩＴ統括部/情報システム企画課</t>
    <phoneticPr fontId="54"/>
  </si>
  <si>
    <t>hirose</t>
    <phoneticPr fontId="54"/>
  </si>
  <si>
    <t>氏名　：</t>
    <rPh sb="0" eb="2">
      <t>シメイ</t>
    </rPh>
    <phoneticPr fontId="54"/>
  </si>
  <si>
    <t>システム担当者</t>
    <rPh sb="4" eb="7">
      <t>タントウシャ</t>
    </rPh>
    <phoneticPr fontId="54"/>
  </si>
  <si>
    <r>
      <t>タイトル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4"/>
  </si>
  <si>
    <r>
      <t>得意先名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トクイサキ</t>
    </rPh>
    <rPh sb="3" eb="4">
      <t>メイ</t>
    </rPh>
    <phoneticPr fontId="54"/>
  </si>
  <si>
    <t>客先担当者名</t>
    <rPh sb="0" eb="2">
      <t>キャクサキ</t>
    </rPh>
    <rPh sb="2" eb="6">
      <t>タントウシャメイ</t>
    </rPh>
    <phoneticPr fontId="54"/>
  </si>
  <si>
    <r>
      <t>案件種類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アンケン</t>
    </rPh>
    <rPh sb="2" eb="4">
      <t>シュルイ</t>
    </rPh>
    <phoneticPr fontId="54"/>
  </si>
  <si>
    <r>
      <t>希望承認期限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キボウ</t>
    </rPh>
    <rPh sb="2" eb="4">
      <t>ショウニン</t>
    </rPh>
    <rPh sb="4" eb="6">
      <t>キゲン</t>
    </rPh>
    <phoneticPr fontId="54"/>
  </si>
  <si>
    <t>申請価格入力</t>
    <rPh sb="0" eb="2">
      <t>シンセイ</t>
    </rPh>
    <rPh sb="2" eb="4">
      <t>カカク</t>
    </rPh>
    <rPh sb="4" eb="6">
      <t>ニュウリョク</t>
    </rPh>
    <phoneticPr fontId="54"/>
  </si>
  <si>
    <t>CL</t>
    <phoneticPr fontId="58"/>
  </si>
  <si>
    <t>得意先要求価格</t>
    <rPh sb="0" eb="3">
      <t>トクイサキ</t>
    </rPh>
    <rPh sb="3" eb="5">
      <t>ヨウキュウ</t>
    </rPh>
    <rPh sb="5" eb="7">
      <t>カカク</t>
    </rPh>
    <phoneticPr fontId="58"/>
  </si>
  <si>
    <t>申請価格</t>
    <rPh sb="0" eb="2">
      <t>シンセイ</t>
    </rPh>
    <rPh sb="2" eb="4">
      <t>カカク</t>
    </rPh>
    <phoneticPr fontId="58"/>
  </si>
  <si>
    <t>原計タイプ</t>
    <rPh sb="0" eb="2">
      <t>ゲンケイ</t>
    </rPh>
    <phoneticPr fontId="58"/>
  </si>
  <si>
    <t>従来価格</t>
    <rPh sb="0" eb="2">
      <t>ジュウライ</t>
    </rPh>
    <rPh sb="2" eb="4">
      <t>カカク</t>
    </rPh>
    <phoneticPr fontId="58"/>
  </si>
  <si>
    <t>備考</t>
    <rPh sb="0" eb="2">
      <t>ビコウ</t>
    </rPh>
    <phoneticPr fontId="58"/>
  </si>
  <si>
    <t>2022/9/29</t>
    <phoneticPr fontId="54"/>
  </si>
  <si>
    <r>
      <rPr>
        <b/>
        <sz val="10"/>
        <color theme="6" tint="0.39997558519241921"/>
        <rFont val="ＭＳ Ｐゴシック"/>
        <family val="3"/>
        <charset val="128"/>
        <scheme val="minor"/>
      </rPr>
      <t>＋</t>
    </r>
    <r>
      <rPr>
        <b/>
        <sz val="10"/>
        <color rgb="FF00B050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追加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←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挿入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FF0000"/>
        <rFont val="ＭＳ Ｐゴシック"/>
        <family val="3"/>
        <charset val="128"/>
        <scheme val="minor"/>
      </rPr>
      <t>－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削除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↑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 xml:space="preserve">上へ </t>
    </r>
    <r>
      <rPr>
        <b/>
        <sz val="10"/>
        <color rgb="FF00B0F0"/>
        <rFont val="ＭＳ Ｐゴシック"/>
        <family val="3"/>
        <charset val="128"/>
        <scheme val="minor"/>
      </rPr>
      <t>↓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下へ</t>
    </r>
    <rPh sb="7" eb="9">
      <t>ソウニュウ</t>
    </rPh>
    <phoneticPr fontId="54"/>
  </si>
  <si>
    <t>通貨：JPY</t>
    <rPh sb="0" eb="2">
      <t>ツウカ</t>
    </rPh>
    <phoneticPr fontId="54"/>
  </si>
  <si>
    <r>
      <t>品名</t>
    </r>
    <r>
      <rPr>
        <sz val="10"/>
        <color rgb="FFFF0000"/>
        <rFont val="ＭＳ Ｐゴシック"/>
        <family val="3"/>
        <charset val="128"/>
        <scheme val="minor"/>
      </rPr>
      <t>*</t>
    </r>
    <rPh sb="0" eb="1">
      <t>ヒンメイ</t>
    </rPh>
    <phoneticPr fontId="54"/>
  </si>
  <si>
    <r>
      <t>形</t>
    </r>
    <r>
      <rPr>
        <sz val="10"/>
        <color rgb="FFFF0000"/>
        <rFont val="ＭＳ Ｐゴシック"/>
        <family val="3"/>
        <charset val="128"/>
        <scheme val="minor"/>
      </rPr>
      <t>*</t>
    </r>
    <rPh sb="0" eb="1">
      <t>カタ</t>
    </rPh>
    <phoneticPr fontId="58"/>
  </si>
  <si>
    <r>
      <t>月間数量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ゲッカン</t>
    </rPh>
    <rPh sb="2" eb="4">
      <t>スウリョウ</t>
    </rPh>
    <phoneticPr fontId="58"/>
  </si>
  <si>
    <r>
      <t>申請価格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シンセイ</t>
    </rPh>
    <rPh sb="2" eb="4">
      <t>カカク</t>
    </rPh>
    <phoneticPr fontId="58"/>
  </si>
  <si>
    <r>
      <t>PPM直接コスト</t>
    </r>
    <r>
      <rPr>
        <sz val="9"/>
        <color rgb="FFFF0000"/>
        <rFont val="ＭＳ Ｐゴシック"/>
        <family val="3"/>
        <charset val="128"/>
        <scheme val="minor"/>
      </rPr>
      <t>*</t>
    </r>
    <rPh sb="2" eb="4">
      <t>チョクセツ</t>
    </rPh>
    <phoneticPr fontId="54"/>
  </si>
  <si>
    <t>承認者確認用</t>
    <rPh sb="0" eb="3">
      <t>ショウニンシャ</t>
    </rPh>
    <rPh sb="3" eb="6">
      <t>カクニンヨウ</t>
    </rPh>
    <phoneticPr fontId="54"/>
  </si>
  <si>
    <t>数量pcs/月</t>
    <rPh sb="0" eb="2">
      <t>スウリョウ</t>
    </rPh>
    <rPh sb="6" eb="7">
      <t>ツキ</t>
    </rPh>
    <phoneticPr fontId="58"/>
  </si>
  <si>
    <t>コスト</t>
    <phoneticPr fontId="58"/>
  </si>
  <si>
    <t>貢献率</t>
    <rPh sb="0" eb="2">
      <t>コウケン</t>
    </rPh>
    <rPh sb="2" eb="3">
      <t>リツ</t>
    </rPh>
    <phoneticPr fontId="54"/>
  </si>
  <si>
    <t>値引き率</t>
    <rPh sb="0" eb="2">
      <t>ネビ</t>
    </rPh>
    <rPh sb="3" eb="4">
      <t>リツ</t>
    </rPh>
    <phoneticPr fontId="58"/>
  </si>
  <si>
    <t>代理店売価</t>
    <rPh sb="0" eb="3">
      <t>ダイリテン</t>
    </rPh>
    <rPh sb="3" eb="5">
      <t>バイカ</t>
    </rPh>
    <phoneticPr fontId="58"/>
  </si>
  <si>
    <t>代理店粗利率</t>
    <rPh sb="0" eb="3">
      <t>ダイリテン</t>
    </rPh>
    <rPh sb="3" eb="6">
      <t>アラリリツ</t>
    </rPh>
    <phoneticPr fontId="58"/>
  </si>
  <si>
    <t>ピン@</t>
    <phoneticPr fontId="58"/>
  </si>
  <si>
    <t>競合名</t>
    <rPh sb="0" eb="3">
      <t>キョウゴウメイ</t>
    </rPh>
    <phoneticPr fontId="58"/>
  </si>
  <si>
    <t>得意先要求</t>
    <rPh sb="0" eb="3">
      <t>トクイサキ</t>
    </rPh>
    <rPh sb="3" eb="5">
      <t>ヨウキュウ</t>
    </rPh>
    <phoneticPr fontId="58"/>
  </si>
  <si>
    <t>価格</t>
    <rPh sb="0" eb="1">
      <t>カカク</t>
    </rPh>
    <phoneticPr fontId="54"/>
  </si>
  <si>
    <r>
      <t>従来価格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ジュウライ</t>
    </rPh>
    <rPh sb="2" eb="4">
      <t>カカク</t>
    </rPh>
    <phoneticPr fontId="58"/>
  </si>
  <si>
    <t>1130511471</t>
    <phoneticPr fontId="54"/>
  </si>
  <si>
    <t>RP17-13RA-12SD(71)</t>
    <phoneticPr fontId="54"/>
  </si>
  <si>
    <t>R</t>
    <phoneticPr fontId="54"/>
  </si>
  <si>
    <t>PPM原計</t>
    <rPh sb="2" eb="4">
      <t>ゲンケイ</t>
    </rPh>
    <phoneticPr fontId="54"/>
  </si>
  <si>
    <t>1135042200</t>
    <phoneticPr fontId="54"/>
  </si>
  <si>
    <t>RP34-8R-3PDL</t>
    <phoneticPr fontId="54"/>
  </si>
  <si>
    <t>SMK</t>
    <phoneticPr fontId="54"/>
  </si>
  <si>
    <t>中国</t>
    <rPh sb="0" eb="1">
      <t>チュウゴク</t>
    </rPh>
    <phoneticPr fontId="54"/>
  </si>
  <si>
    <t>売上</t>
    <rPh sb="0" eb="2">
      <t>ウリアゲ</t>
    </rPh>
    <phoneticPr fontId="58"/>
  </si>
  <si>
    <t>貢献額</t>
    <rPh sb="0" eb="2">
      <t>コウケン</t>
    </rPh>
    <rPh sb="2" eb="3">
      <t>ガク</t>
    </rPh>
    <phoneticPr fontId="58"/>
  </si>
  <si>
    <t>値引き額</t>
    <rPh sb="0" eb="2">
      <t>ネビ</t>
    </rPh>
    <rPh sb="3" eb="4">
      <t>ガク</t>
    </rPh>
    <phoneticPr fontId="58"/>
  </si>
  <si>
    <t>値引き前売上</t>
    <rPh sb="0" eb="2">
      <t>ネビ</t>
    </rPh>
    <rPh sb="3" eb="4">
      <t>マエ</t>
    </rPh>
    <rPh sb="4" eb="6">
      <t>ウリアゲ</t>
    </rPh>
    <phoneticPr fontId="58"/>
  </si>
  <si>
    <t>売上</t>
    <rPh sb="0" eb="2">
      <t>ウリアゲ</t>
    </rPh>
    <phoneticPr fontId="54"/>
  </si>
  <si>
    <t>申請内容</t>
    <rPh sb="0" eb="2">
      <t>シンセイ</t>
    </rPh>
    <rPh sb="2" eb="4">
      <t>ナイヨウ</t>
    </rPh>
    <phoneticPr fontId="54"/>
  </si>
  <si>
    <t>起票区分</t>
    <rPh sb="0" eb="2">
      <t>キヒョウ</t>
    </rPh>
    <rPh sb="2" eb="4">
      <t>クブン</t>
    </rPh>
    <phoneticPr fontId="54"/>
  </si>
  <si>
    <r>
      <t>総原価</t>
    </r>
    <r>
      <rPr>
        <sz val="9"/>
        <color rgb="FFFF0000"/>
        <rFont val="ＭＳ Ｐゴシック"/>
        <family val="3"/>
        <charset val="128"/>
        <scheme val="minor"/>
      </rPr>
      <t>*</t>
    </r>
    <r>
      <rPr>
        <sz val="9"/>
        <rFont val="ＭＳ Ｐゴシック"/>
        <family val="3"/>
        <charset val="128"/>
        <scheme val="minor"/>
      </rPr>
      <t xml:space="preserve"> </t>
    </r>
    <rPh sb="0" eb="1">
      <t>ソウ</t>
    </rPh>
    <rPh sb="1" eb="3">
      <t>ゲンカ</t>
    </rPh>
    <phoneticPr fontId="58"/>
  </si>
  <si>
    <t>口銭率</t>
    <rPh sb="0" eb="2">
      <t>コウセン</t>
    </rPh>
    <rPh sb="2" eb="3">
      <t>リツ</t>
    </rPh>
    <phoneticPr fontId="54"/>
  </si>
  <si>
    <t>☑ 口銭申請有り</t>
    <rPh sb="2" eb="4">
      <t>コウセン</t>
    </rPh>
    <rPh sb="4" eb="6">
      <t>シンセイ</t>
    </rPh>
    <rPh sb="6" eb="7">
      <t>アリ</t>
    </rPh>
    <phoneticPr fontId="54"/>
  </si>
  <si>
    <t>プロジェクト情報</t>
    <rPh sb="6" eb="8">
      <t>ジョウホウ</t>
    </rPh>
    <phoneticPr fontId="54"/>
  </si>
  <si>
    <t>工事金額</t>
    <rPh sb="0" eb="4">
      <t>コウジキンガク</t>
    </rPh>
    <phoneticPr fontId="54"/>
  </si>
  <si>
    <t>万円/月</t>
    <rPh sb="0" eb="2">
      <t>マンエン</t>
    </rPh>
    <rPh sb="3" eb="4">
      <t>ツキ</t>
    </rPh>
    <phoneticPr fontId="54"/>
  </si>
  <si>
    <t>MFC PJ番号</t>
    <rPh sb="6" eb="8">
      <t>バンゴウ</t>
    </rPh>
    <phoneticPr fontId="54"/>
  </si>
  <si>
    <t>ヵ月</t>
    <rPh sb="1" eb="2">
      <t>ゲツ</t>
    </rPh>
    <phoneticPr fontId="54"/>
  </si>
  <si>
    <t>総工事金額</t>
    <rPh sb="0" eb="5">
      <t>ソウコウジキンガク</t>
    </rPh>
    <phoneticPr fontId="54"/>
  </si>
  <si>
    <t>万円</t>
    <rPh sb="0" eb="2">
      <t>マンエン</t>
    </rPh>
    <phoneticPr fontId="54"/>
  </si>
  <si>
    <t>MFC OPPORTUNITY番号</t>
    <rPh sb="15" eb="17">
      <t>バンゴウ</t>
    </rPh>
    <phoneticPr fontId="54"/>
  </si>
  <si>
    <t>機種A</t>
    <rPh sb="0" eb="2">
      <t>キシュ</t>
    </rPh>
    <phoneticPr fontId="54"/>
  </si>
  <si>
    <r>
      <rPr>
        <sz val="10"/>
        <rFont val="ＭＳ Ｐゴシック"/>
        <family val="3"/>
        <charset val="128"/>
        <scheme val="minor"/>
      </rPr>
      <t>大分類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ダイブンルイ</t>
    </rPh>
    <phoneticPr fontId="54"/>
  </si>
  <si>
    <t>競合名</t>
    <rPh sb="0" eb="3">
      <t>キョウゴウメイ</t>
    </rPh>
    <phoneticPr fontId="54"/>
  </si>
  <si>
    <r>
      <t>継続期間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ケイゾク</t>
    </rPh>
    <rPh sb="2" eb="4">
      <t>キカン</t>
    </rPh>
    <phoneticPr fontId="54"/>
  </si>
  <si>
    <r>
      <t>中分類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チュウブンルイ</t>
    </rPh>
    <phoneticPr fontId="54"/>
  </si>
  <si>
    <r>
      <t>機種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キシュ</t>
    </rPh>
    <phoneticPr fontId="54"/>
  </si>
  <si>
    <t>大分類A</t>
    <rPh sb="0" eb="3">
      <t>ダイブンルイ</t>
    </rPh>
    <phoneticPr fontId="54"/>
  </si>
  <si>
    <t>中分類B</t>
    <rPh sb="0" eb="3">
      <t>チュウブンルイ</t>
    </rPh>
    <phoneticPr fontId="54"/>
  </si>
  <si>
    <r>
      <t>申請理由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シンセイ</t>
    </rPh>
    <rPh sb="2" eb="4">
      <t>リユウ</t>
    </rPh>
    <phoneticPr fontId="54"/>
  </si>
  <si>
    <r>
      <t>量産時期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リョウサン</t>
    </rPh>
    <rPh sb="2" eb="4">
      <t>ジキ</t>
    </rPh>
    <phoneticPr fontId="54"/>
  </si>
  <si>
    <t>値引補填工事</t>
    <rPh sb="0" eb="2">
      <t>ネビ</t>
    </rPh>
    <rPh sb="2" eb="4">
      <t>ホテン</t>
    </rPh>
    <rPh sb="4" eb="6">
      <t>コウジ</t>
    </rPh>
    <phoneticPr fontId="54"/>
  </si>
  <si>
    <t>備考欄</t>
    <rPh sb="0" eb="3">
      <t>ビコウラン</t>
    </rPh>
    <phoneticPr fontId="54"/>
  </si>
  <si>
    <t>◎ 技術原計 ○ PPM原計 ○ コリア原計</t>
    <rPh sb="2" eb="4">
      <t>ギジュツ</t>
    </rPh>
    <rPh sb="4" eb="6">
      <t>ゲンケイ</t>
    </rPh>
    <rPh sb="12" eb="14">
      <t>ゲンケイ</t>
    </rPh>
    <rPh sb="20" eb="22">
      <t>ゲンケイ</t>
    </rPh>
    <phoneticPr fontId="54"/>
  </si>
  <si>
    <t>/月</t>
    <rPh sb="1" eb="2">
      <t>ゲツ</t>
    </rPh>
    <phoneticPr fontId="54"/>
  </si>
  <si>
    <t>平均生産予定数量</t>
    <rPh sb="0" eb="2">
      <t>ヘイキン</t>
    </rPh>
    <rPh sb="2" eb="4">
      <t>セイサン</t>
    </rPh>
    <rPh sb="4" eb="6">
      <t>ヨテイ</t>
    </rPh>
    <rPh sb="6" eb="8">
      <t>スウリョウ</t>
    </rPh>
    <phoneticPr fontId="54"/>
  </si>
  <si>
    <t>添付書類</t>
    <rPh sb="0" eb="2">
      <t>テンプ</t>
    </rPh>
    <rPh sb="2" eb="4">
      <t>ショルイ</t>
    </rPh>
    <phoneticPr fontId="54"/>
  </si>
  <si>
    <t>一般品</t>
    <rPh sb="0" eb="3">
      <t>イッパンヒン</t>
    </rPh>
    <phoneticPr fontId="54"/>
  </si>
  <si>
    <t>円販売</t>
    <rPh sb="0" eb="3">
      <t>エンハンバイ</t>
    </rPh>
    <phoneticPr fontId="54"/>
  </si>
  <si>
    <t>外貨販売</t>
    <rPh sb="0" eb="2">
      <t>ガイカ</t>
    </rPh>
    <rPh sb="2" eb="4">
      <t>ハンバイ</t>
    </rPh>
    <phoneticPr fontId="54"/>
  </si>
  <si>
    <t>1250103874</t>
    <phoneticPr fontId="54"/>
  </si>
  <si>
    <t>1250109471</t>
    <phoneticPr fontId="54"/>
  </si>
  <si>
    <t>HR25-9TP-16P(74)</t>
    <phoneticPr fontId="54"/>
  </si>
  <si>
    <t>HR25-9TR-16S(71)</t>
    <phoneticPr fontId="54"/>
  </si>
  <si>
    <t>○ 技術原計 ◎ PPM原計 ○ コリア原計</t>
    <rPh sb="2" eb="4">
      <t>ギジュツ</t>
    </rPh>
    <rPh sb="4" eb="6">
      <t>ゲンケイ</t>
    </rPh>
    <rPh sb="12" eb="14">
      <t>ゲンケイ</t>
    </rPh>
    <rPh sb="20" eb="22">
      <t>ゲンケイ</t>
    </rPh>
    <phoneticPr fontId="54"/>
  </si>
  <si>
    <t>サンウー</t>
    <phoneticPr fontId="54"/>
  </si>
  <si>
    <t>総原価利益率</t>
    <rPh sb="0" eb="3">
      <t>ソウゲンカ</t>
    </rPh>
    <rPh sb="3" eb="6">
      <t>リエキリツ</t>
    </rPh>
    <phoneticPr fontId="54"/>
  </si>
  <si>
    <t>総原価利益額</t>
    <rPh sb="0" eb="3">
      <t>ソウゲンカ</t>
    </rPh>
    <rPh sb="3" eb="5">
      <t>リエキ</t>
    </rPh>
    <rPh sb="5" eb="6">
      <t>ガク</t>
    </rPh>
    <phoneticPr fontId="58"/>
  </si>
  <si>
    <t>総原価利益率</t>
    <rPh sb="0" eb="3">
      <t>ソウゲンカ</t>
    </rPh>
    <rPh sb="3" eb="5">
      <t>リエキ</t>
    </rPh>
    <rPh sb="5" eb="6">
      <t>リツ</t>
    </rPh>
    <phoneticPr fontId="54"/>
  </si>
  <si>
    <t>技術原計</t>
    <rPh sb="0" eb="2">
      <t>ギジュツ</t>
    </rPh>
    <rPh sb="2" eb="4">
      <t>ゲンケイ</t>
    </rPh>
    <phoneticPr fontId="54"/>
  </si>
  <si>
    <t>総原価合計</t>
    <rPh sb="0" eb="3">
      <t>ソウゲンカ</t>
    </rPh>
    <rPh sb="3" eb="5">
      <t>ゴウケイ</t>
    </rPh>
    <phoneticPr fontId="58"/>
  </si>
  <si>
    <t>○ 技術原計 ○ PPM原計 ◎ コリア原計</t>
    <rPh sb="2" eb="4">
      <t>ギジュツ</t>
    </rPh>
    <rPh sb="4" eb="6">
      <t>ゲンケイ</t>
    </rPh>
    <rPh sb="12" eb="14">
      <t>ゲンケイ</t>
    </rPh>
    <rPh sb="20" eb="22">
      <t>ゲンケイ</t>
    </rPh>
    <phoneticPr fontId="54"/>
  </si>
  <si>
    <t>コリア術原計</t>
    <rPh sb="2" eb="3">
      <t>ジュツ</t>
    </rPh>
    <rPh sb="3" eb="5">
      <t>ゲンケイ</t>
    </rPh>
    <phoneticPr fontId="54"/>
  </si>
  <si>
    <t>USD</t>
    <phoneticPr fontId="54"/>
  </si>
  <si>
    <t>コリア原計</t>
    <rPh sb="2" eb="4">
      <t>ゲンケイ</t>
    </rPh>
    <phoneticPr fontId="54"/>
  </si>
  <si>
    <t>純原価</t>
    <rPh sb="0" eb="1">
      <t>ジュン</t>
    </rPh>
    <rPh sb="1" eb="3">
      <t>ゲンカ</t>
    </rPh>
    <phoneticPr fontId="58"/>
  </si>
  <si>
    <t>申請通貨</t>
    <rPh sb="0" eb="2">
      <t>シンセイ</t>
    </rPh>
    <rPh sb="2" eb="4">
      <t>ツウカ</t>
    </rPh>
    <phoneticPr fontId="58"/>
  </si>
  <si>
    <r>
      <t>従来FOB価格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ジュウライ</t>
    </rPh>
    <rPh sb="5" eb="7">
      <t>カカク</t>
    </rPh>
    <phoneticPr fontId="58"/>
  </si>
  <si>
    <t>物流コスト率%</t>
    <rPh sb="0" eb="2">
      <t>ブツリュウ</t>
    </rPh>
    <rPh sb="5" eb="6">
      <t>リツ</t>
    </rPh>
    <phoneticPr fontId="58"/>
  </si>
  <si>
    <t>販社売価</t>
    <rPh sb="0" eb="2">
      <t>ハンシャ</t>
    </rPh>
    <rPh sb="2" eb="4">
      <t>バイカ</t>
    </rPh>
    <phoneticPr fontId="54"/>
  </si>
  <si>
    <t>(外貨)</t>
    <rPh sb="0" eb="2">
      <t>ガイカ</t>
    </rPh>
    <phoneticPr fontId="54"/>
  </si>
  <si>
    <t>ピン@FOB</t>
    <phoneticPr fontId="58"/>
  </si>
  <si>
    <t>価格基準</t>
    <rPh sb="0" eb="1">
      <t>カカク</t>
    </rPh>
    <rPh sb="2" eb="4">
      <t>キジュン</t>
    </rPh>
    <phoneticPr fontId="54"/>
  </si>
  <si>
    <t>4800215830</t>
    <phoneticPr fontId="54"/>
  </si>
  <si>
    <t>TF38-20S-0.5SV(830)</t>
    <phoneticPr fontId="54"/>
  </si>
  <si>
    <t>KFH</t>
    <phoneticPr fontId="54"/>
  </si>
  <si>
    <t>総連結利益率</t>
    <rPh sb="0" eb="3">
      <t>ソウレンケツ</t>
    </rPh>
    <rPh sb="3" eb="6">
      <t>リエキリツ</t>
    </rPh>
    <phoneticPr fontId="54"/>
  </si>
  <si>
    <t>FOB価格</t>
    <rPh sb="3" eb="5">
      <t>カカク</t>
    </rPh>
    <phoneticPr fontId="58"/>
  </si>
  <si>
    <t>連結粗利額</t>
    <rPh sb="0" eb="1">
      <t>レンケツ</t>
    </rPh>
    <rPh sb="1" eb="3">
      <t>アラリ</t>
    </rPh>
    <rPh sb="3" eb="4">
      <t>ガク</t>
    </rPh>
    <phoneticPr fontId="54"/>
  </si>
  <si>
    <t>連結粗利率</t>
    <rPh sb="0" eb="1">
      <t>レンケツ</t>
    </rPh>
    <rPh sb="1" eb="3">
      <t>アラリ</t>
    </rPh>
    <rPh sb="3" eb="4">
      <t>リツ</t>
    </rPh>
    <phoneticPr fontId="54"/>
  </si>
  <si>
    <t>Step １： 起票区分を選択してください</t>
    <rPh sb="8" eb="10">
      <t>キヒョウ</t>
    </rPh>
    <rPh sb="10" eb="12">
      <t>クブン</t>
    </rPh>
    <rPh sb="13" eb="15">
      <t>センタク</t>
    </rPh>
    <phoneticPr fontId="54"/>
  </si>
  <si>
    <t>販売単価上申書</t>
    <rPh sb="0" eb="2">
      <t>ハンバイ</t>
    </rPh>
    <rPh sb="2" eb="4">
      <t>タンカ</t>
    </rPh>
    <rPh sb="4" eb="7">
      <t>ジョウシンショ</t>
    </rPh>
    <phoneticPr fontId="54"/>
  </si>
  <si>
    <t>Step ２： 一般品またはカスタムのいずれかを選択してください</t>
    <rPh sb="8" eb="11">
      <t>イッパンヒン</t>
    </rPh>
    <rPh sb="24" eb="26">
      <t>センタク</t>
    </rPh>
    <phoneticPr fontId="54"/>
  </si>
  <si>
    <t>カスタム</t>
    <phoneticPr fontId="54"/>
  </si>
  <si>
    <t>Step ３： 円販売または外貨販売のいずれかを選択してください</t>
    <rPh sb="8" eb="11">
      <t>エンハンバイ</t>
    </rPh>
    <rPh sb="14" eb="16">
      <t>ガイカ</t>
    </rPh>
    <rPh sb="16" eb="18">
      <t>ハンバイ</t>
    </rPh>
    <rPh sb="24" eb="26">
      <t>センタク</t>
    </rPh>
    <phoneticPr fontId="54"/>
  </si>
  <si>
    <t>◎ 単価上申書</t>
    <rPh sb="2" eb="4">
      <t>タンカ</t>
    </rPh>
    <rPh sb="4" eb="6">
      <t>ジョウシン</t>
    </rPh>
    <rPh sb="6" eb="7">
      <t>ショ</t>
    </rPh>
    <phoneticPr fontId="54"/>
  </si>
  <si>
    <t>値引きしなければならない理由を記載してください</t>
    <rPh sb="0" eb="2">
      <t>ネビ</t>
    </rPh>
    <rPh sb="12" eb="14">
      <t>リユウ</t>
    </rPh>
    <rPh sb="15" eb="17">
      <t>キサイ</t>
    </rPh>
    <phoneticPr fontId="54"/>
  </si>
  <si>
    <t>カスタム品申請情報</t>
    <rPh sb="4" eb="5">
      <t>ヒン</t>
    </rPh>
    <rPh sb="5" eb="7">
      <t>シンセイ</t>
    </rPh>
    <rPh sb="7" eb="9">
      <t>ジョウホウ</t>
    </rPh>
    <phoneticPr fontId="54"/>
  </si>
  <si>
    <r>
      <t>償却期間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ショウキャク</t>
    </rPh>
    <rPh sb="2" eb="4">
      <t>キカン</t>
    </rPh>
    <phoneticPr fontId="54"/>
  </si>
  <si>
    <t>金型</t>
    <rPh sb="0" eb="2">
      <t>カナガタ</t>
    </rPh>
    <phoneticPr fontId="54"/>
  </si>
  <si>
    <t>有償or無償</t>
    <rPh sb="0" eb="2">
      <t>ユウショウ</t>
    </rPh>
    <rPh sb="4" eb="6">
      <t>ムショウ</t>
    </rPh>
    <phoneticPr fontId="58"/>
  </si>
  <si>
    <t>個品名称</t>
    <rPh sb="0" eb="1">
      <t>コヒン</t>
    </rPh>
    <rPh sb="1" eb="3">
      <t>メイショウ</t>
    </rPh>
    <phoneticPr fontId="54"/>
  </si>
  <si>
    <t>個品実費価格</t>
    <rPh sb="0" eb="2">
      <t>コヒン</t>
    </rPh>
    <rPh sb="2" eb="4">
      <t>ジッピ</t>
    </rPh>
    <rPh sb="4" eb="6">
      <t>カカク</t>
    </rPh>
    <phoneticPr fontId="58"/>
  </si>
  <si>
    <t>個品販売価格</t>
    <rPh sb="0" eb="2">
      <t>コヒン</t>
    </rPh>
    <rPh sb="2" eb="4">
      <t>ハンバイ</t>
    </rPh>
    <rPh sb="4" eb="6">
      <t>カカク</t>
    </rPh>
    <phoneticPr fontId="58"/>
  </si>
  <si>
    <t>倍率</t>
    <rPh sb="0" eb="2">
      <t>バイリツ</t>
    </rPh>
    <phoneticPr fontId="58"/>
  </si>
  <si>
    <t>有償</t>
    <rPh sb="0" eb="1">
      <t>ユウショウ</t>
    </rPh>
    <phoneticPr fontId="54"/>
  </si>
  <si>
    <t>治工具</t>
    <rPh sb="0" eb="3">
      <t>チコウグ</t>
    </rPh>
    <phoneticPr fontId="54"/>
  </si>
  <si>
    <r>
      <t>有償or無償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ユウショウ</t>
    </rPh>
    <rPh sb="4" eb="6">
      <t>ムショウ</t>
    </rPh>
    <phoneticPr fontId="58"/>
  </si>
  <si>
    <r>
      <t>個品名称</t>
    </r>
    <r>
      <rPr>
        <sz val="10"/>
        <color rgb="FFFF0000"/>
        <rFont val="ＭＳ Ｐゴシック"/>
        <family val="3"/>
        <charset val="128"/>
        <scheme val="minor"/>
      </rPr>
      <t>*</t>
    </r>
    <rPh sb="0" eb="1">
      <t>コヒン</t>
    </rPh>
    <rPh sb="1" eb="3">
      <t>メイショウ</t>
    </rPh>
    <phoneticPr fontId="54"/>
  </si>
  <si>
    <r>
      <t>個品実費価格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コヒン</t>
    </rPh>
    <rPh sb="2" eb="4">
      <t>ジッピ</t>
    </rPh>
    <rPh sb="4" eb="6">
      <t>カカク</t>
    </rPh>
    <phoneticPr fontId="58"/>
  </si>
  <si>
    <r>
      <t>個品販売価格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コヒン</t>
    </rPh>
    <rPh sb="2" eb="4">
      <t>ハンバイ</t>
    </rPh>
    <rPh sb="4" eb="6">
      <t>カカク</t>
    </rPh>
    <phoneticPr fontId="58"/>
  </si>
  <si>
    <t>治工具名称</t>
    <phoneticPr fontId="54"/>
  </si>
  <si>
    <t>治工具実費価格</t>
    <rPh sb="3" eb="5">
      <t>ジッピ</t>
    </rPh>
    <rPh sb="5" eb="7">
      <t>カカク</t>
    </rPh>
    <phoneticPr fontId="58"/>
  </si>
  <si>
    <t>治工具販売価格</t>
    <rPh sb="3" eb="5">
      <t>ハンバイ</t>
    </rPh>
    <rPh sb="5" eb="7">
      <t>カカク</t>
    </rPh>
    <phoneticPr fontId="58"/>
  </si>
  <si>
    <r>
      <t>治工具名称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4"/>
  </si>
  <si>
    <r>
      <t>治工具実費価格</t>
    </r>
    <r>
      <rPr>
        <sz val="10"/>
        <color rgb="FFFF0000"/>
        <rFont val="ＭＳ Ｐゴシック"/>
        <family val="3"/>
        <charset val="128"/>
        <scheme val="minor"/>
      </rPr>
      <t>*</t>
    </r>
    <rPh sb="3" eb="5">
      <t>ジッピ</t>
    </rPh>
    <rPh sb="5" eb="7">
      <t>カカク</t>
    </rPh>
    <phoneticPr fontId="58"/>
  </si>
  <si>
    <r>
      <t>治工具販売価格</t>
    </r>
    <r>
      <rPr>
        <sz val="10"/>
        <color rgb="FFFF0000"/>
        <rFont val="ＭＳ Ｐゴシック"/>
        <family val="3"/>
        <charset val="128"/>
        <scheme val="minor"/>
      </rPr>
      <t>*</t>
    </r>
    <rPh sb="3" eb="5">
      <t>ハンバイ</t>
    </rPh>
    <rPh sb="5" eb="7">
      <t>カカク</t>
    </rPh>
    <phoneticPr fontId="58"/>
  </si>
  <si>
    <t>個品A</t>
    <rPh sb="0" eb="1">
      <t>コヒン</t>
    </rPh>
    <phoneticPr fontId="54"/>
  </si>
  <si>
    <t>償却数量</t>
    <rPh sb="0" eb="2">
      <t>ショウキャク</t>
    </rPh>
    <rPh sb="2" eb="4">
      <t>スウリョウ</t>
    </rPh>
    <phoneticPr fontId="54"/>
  </si>
  <si>
    <t>一個当たりの償却金額</t>
    <rPh sb="0" eb="3">
      <t>イッコア</t>
    </rPh>
    <rPh sb="6" eb="8">
      <t>ショウキャク</t>
    </rPh>
    <rPh sb="8" eb="10">
      <t>キンガク</t>
    </rPh>
    <phoneticPr fontId="54"/>
  </si>
  <si>
    <t>未償却リスク</t>
    <rPh sb="0" eb="1">
      <t>ミ</t>
    </rPh>
    <rPh sb="1" eb="3">
      <t>ショウキャク</t>
    </rPh>
    <phoneticPr fontId="54"/>
  </si>
  <si>
    <t>※ 得意先一括負担の場合は記載不要</t>
    <rPh sb="2" eb="5">
      <t>トクイサキ</t>
    </rPh>
    <rPh sb="5" eb="7">
      <t>イッカツ</t>
    </rPh>
    <rPh sb="7" eb="9">
      <t>フタン</t>
    </rPh>
    <rPh sb="10" eb="12">
      <t>バアイ</t>
    </rPh>
    <rPh sb="13" eb="15">
      <t>キサイ</t>
    </rPh>
    <rPh sb="15" eb="17">
      <t>フヨウ</t>
    </rPh>
    <phoneticPr fontId="54"/>
  </si>
  <si>
    <t>物流コスト率</t>
    <rPh sb="0" eb="2">
      <t>ブツリュウ</t>
    </rPh>
    <rPh sb="5" eb="6">
      <t>リツ</t>
    </rPh>
    <phoneticPr fontId="58"/>
  </si>
  <si>
    <t>(%)</t>
    <phoneticPr fontId="54"/>
  </si>
  <si>
    <t>販社売価</t>
    <rPh sb="0" eb="2">
      <t>ハンシャ</t>
    </rPh>
    <rPh sb="2" eb="4">
      <t>バイカ</t>
    </rPh>
    <phoneticPr fontId="58"/>
  </si>
  <si>
    <t>要求価格</t>
    <rPh sb="0" eb="1">
      <t>ヨウキュウ</t>
    </rPh>
    <rPh sb="1" eb="3">
      <t>カカク</t>
    </rPh>
    <phoneticPr fontId="54"/>
  </si>
  <si>
    <t>価格基準</t>
    <rPh sb="0" eb="1">
      <t>カカク</t>
    </rPh>
    <rPh sb="1" eb="3">
      <t>キジュン</t>
    </rPh>
    <phoneticPr fontId="54"/>
  </si>
  <si>
    <t>5802922450</t>
    <phoneticPr fontId="54"/>
  </si>
  <si>
    <t>5801232050</t>
    <phoneticPr fontId="54"/>
  </si>
  <si>
    <t>FH35C-21S-0.3SHW(50)</t>
    <phoneticPr fontId="54"/>
  </si>
  <si>
    <t>FH34SRJ-30S-0.5SH(50)</t>
    <phoneticPr fontId="54"/>
  </si>
  <si>
    <t>FH</t>
    <phoneticPr fontId="54"/>
  </si>
  <si>
    <t>JPY</t>
    <phoneticPr fontId="54"/>
  </si>
  <si>
    <t>JAE</t>
    <phoneticPr fontId="54"/>
  </si>
  <si>
    <t>TE</t>
    <phoneticPr fontId="54"/>
  </si>
  <si>
    <t>従来FOB価格</t>
    <rPh sb="0" eb="2">
      <t>ジュウライ</t>
    </rPh>
    <rPh sb="5" eb="7">
      <t>カカク</t>
    </rPh>
    <phoneticPr fontId="58"/>
  </si>
  <si>
    <t>CIF価格</t>
    <rPh sb="3" eb="5">
      <t>カカク</t>
    </rPh>
    <phoneticPr fontId="58"/>
  </si>
  <si>
    <t>国内収益性</t>
    <rPh sb="0" eb="2">
      <t>コクナイ</t>
    </rPh>
    <rPh sb="2" eb="5">
      <t>シュウエキセイ</t>
    </rPh>
    <phoneticPr fontId="54"/>
  </si>
  <si>
    <t>FOB値引き率</t>
    <rPh sb="3" eb="5">
      <t>ネビ</t>
    </rPh>
    <rPh sb="6" eb="7">
      <t>リツ</t>
    </rPh>
    <phoneticPr fontId="58"/>
  </si>
  <si>
    <t>販社粗利率</t>
    <rPh sb="0" eb="2">
      <t>ハンシャ</t>
    </rPh>
    <rPh sb="2" eb="5">
      <t>アラリリツ</t>
    </rPh>
    <phoneticPr fontId="58"/>
  </si>
  <si>
    <t>連結収益性</t>
    <rPh sb="0" eb="2">
      <t>レンケツ</t>
    </rPh>
    <rPh sb="2" eb="5">
      <t>シュウエキセイ</t>
    </rPh>
    <phoneticPr fontId="58"/>
  </si>
  <si>
    <t>売上(国内)</t>
    <rPh sb="0" eb="2">
      <t>ウリアゲ</t>
    </rPh>
    <rPh sb="3" eb="5">
      <t>コクナイ</t>
    </rPh>
    <phoneticPr fontId="54"/>
  </si>
  <si>
    <t>直接コスト合計</t>
    <rPh sb="0" eb="2">
      <t>チョクセツ</t>
    </rPh>
    <rPh sb="5" eb="7">
      <t>ゴウケイ</t>
    </rPh>
    <phoneticPr fontId="58"/>
  </si>
  <si>
    <t>貢献額</t>
    <rPh sb="0" eb="3">
      <t>コウケンガク</t>
    </rPh>
    <phoneticPr fontId="58"/>
  </si>
  <si>
    <t>国内収益性</t>
    <rPh sb="0" eb="2">
      <t>コクナイ</t>
    </rPh>
    <rPh sb="2" eb="5">
      <t>シュウエキセイ</t>
    </rPh>
    <phoneticPr fontId="58"/>
  </si>
  <si>
    <t>値引き率(FOB)</t>
    <rPh sb="0" eb="2">
      <t>ネビ</t>
    </rPh>
    <rPh sb="3" eb="4">
      <t>リツ</t>
    </rPh>
    <phoneticPr fontId="54"/>
  </si>
  <si>
    <t>値引き額(FOB)</t>
    <rPh sb="0" eb="2">
      <t>ネビ</t>
    </rPh>
    <rPh sb="3" eb="4">
      <t>ガク</t>
    </rPh>
    <phoneticPr fontId="54"/>
  </si>
  <si>
    <t>売上(連結)</t>
    <rPh sb="0" eb="1">
      <t>ウリアゲ</t>
    </rPh>
    <rPh sb="2" eb="4">
      <t>レンケツ</t>
    </rPh>
    <phoneticPr fontId="54"/>
  </si>
  <si>
    <t>連結収益性</t>
    <rPh sb="0" eb="1">
      <t>レンケツ</t>
    </rPh>
    <rPh sb="1" eb="4">
      <t>シュウエキセイ</t>
    </rPh>
    <phoneticPr fontId="54"/>
  </si>
  <si>
    <t>総原価</t>
    <rPh sb="0" eb="3">
      <t>ソウゲンカ</t>
    </rPh>
    <phoneticPr fontId="58"/>
  </si>
  <si>
    <t>8311308000</t>
    <phoneticPr fontId="54"/>
  </si>
  <si>
    <t>8311309000</t>
    <phoneticPr fontId="54"/>
  </si>
  <si>
    <t>BF4MC-(375161-01)</t>
    <phoneticPr fontId="54"/>
  </si>
  <si>
    <t>BF4MC-(375168-01)</t>
    <phoneticPr fontId="54"/>
  </si>
  <si>
    <t>OPT</t>
    <phoneticPr fontId="54"/>
  </si>
  <si>
    <t>総原価利益率</t>
    <rPh sb="0" eb="3">
      <t>ソウゲンカ</t>
    </rPh>
    <rPh sb="3" eb="6">
      <t>リエキリツ</t>
    </rPh>
    <phoneticPr fontId="58"/>
  </si>
  <si>
    <t>(国内)</t>
    <phoneticPr fontId="54"/>
  </si>
  <si>
    <t>(粗利)</t>
    <rPh sb="0" eb="2">
      <t>アラリ</t>
    </rPh>
    <phoneticPr fontId="54"/>
  </si>
  <si>
    <t>(国内)</t>
    <rPh sb="1" eb="3">
      <t>コクナイ</t>
    </rPh>
    <phoneticPr fontId="54"/>
  </si>
  <si>
    <t>純原価合計</t>
    <rPh sb="0" eb="1">
      <t>ジュン</t>
    </rPh>
    <rPh sb="1" eb="3">
      <t>ゲンカ</t>
    </rPh>
    <rPh sb="3" eb="5">
      <t>ゴウケイ</t>
    </rPh>
    <phoneticPr fontId="58"/>
  </si>
  <si>
    <t>連結粗利額</t>
    <rPh sb="0" eb="2">
      <t>レンケツ</t>
    </rPh>
    <rPh sb="2" eb="5">
      <t>アラリガク</t>
    </rPh>
    <phoneticPr fontId="58"/>
  </si>
  <si>
    <t>連結粗利率</t>
    <rPh sb="0" eb="2">
      <t>レンケツ</t>
    </rPh>
    <rPh sb="2" eb="5">
      <t>アラリリツ</t>
    </rPh>
    <phoneticPr fontId="58"/>
  </si>
  <si>
    <t>値引き率</t>
    <rPh sb="0" eb="2">
      <t>ネビ</t>
    </rPh>
    <rPh sb="3" eb="4">
      <t>リツ</t>
    </rPh>
    <phoneticPr fontId="54"/>
  </si>
  <si>
    <t>値引き額</t>
    <rPh sb="0" eb="2">
      <t>ネビ</t>
    </rPh>
    <rPh sb="3" eb="4">
      <t>ガク</t>
    </rPh>
    <phoneticPr fontId="54"/>
  </si>
  <si>
    <t>売上(連結)</t>
    <rPh sb="0" eb="2">
      <t>ウリアゲ</t>
    </rPh>
    <rPh sb="3" eb="5">
      <t>レンケツ</t>
    </rPh>
    <phoneticPr fontId="54"/>
  </si>
  <si>
    <r>
      <t>承認者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ショウニンシャ</t>
    </rPh>
    <phoneticPr fontId="54"/>
  </si>
  <si>
    <t>10347008</t>
    <phoneticPr fontId="54"/>
  </si>
  <si>
    <t>関　博一</t>
    <phoneticPr fontId="54"/>
  </si>
  <si>
    <r>
      <rPr>
        <b/>
        <sz val="10"/>
        <color rgb="FF00B050"/>
        <rFont val="ＭＳ Ｐゴシック"/>
        <family val="3"/>
        <charset val="128"/>
        <scheme val="minor"/>
      </rPr>
      <t>＋</t>
    </r>
    <r>
      <rPr>
        <sz val="10"/>
        <color theme="1"/>
        <rFont val="ＭＳ Ｐゴシック"/>
        <family val="3"/>
        <charset val="128"/>
        <scheme val="minor"/>
      </rPr>
      <t xml:space="preserve"> 承認者の追加</t>
    </r>
    <phoneticPr fontId="54"/>
  </si>
  <si>
    <r>
      <rPr>
        <b/>
        <sz val="10"/>
        <color rgb="FF00B050"/>
        <rFont val="ＭＳ Ｐゴシック"/>
        <family val="3"/>
        <charset val="128"/>
        <scheme val="minor"/>
      </rPr>
      <t xml:space="preserve">＋ </t>
    </r>
    <r>
      <rPr>
        <sz val="10"/>
        <color theme="0"/>
        <rFont val="ＭＳ Ｐゴシック"/>
        <family val="3"/>
        <charset val="128"/>
        <scheme val="minor"/>
      </rPr>
      <t>追加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←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挿入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FF0000"/>
        <rFont val="ＭＳ Ｐゴシック"/>
        <family val="3"/>
        <charset val="128"/>
        <scheme val="minor"/>
      </rPr>
      <t>－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削除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↑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 xml:space="preserve">上へ </t>
    </r>
    <r>
      <rPr>
        <b/>
        <sz val="10"/>
        <color rgb="FF00B0F0"/>
        <rFont val="ＭＳ Ｐゴシック"/>
        <family val="3"/>
        <charset val="128"/>
        <scheme val="minor"/>
      </rPr>
      <t>↓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下へ</t>
    </r>
    <rPh sb="7" eb="9">
      <t>ソウニュウ</t>
    </rPh>
    <phoneticPr fontId="54"/>
  </si>
  <si>
    <t>10637000</t>
    <phoneticPr fontId="54"/>
  </si>
  <si>
    <t>古川　福待</t>
    <phoneticPr fontId="54"/>
  </si>
  <si>
    <t>承認者設定</t>
    <rPh sb="0" eb="3">
      <t>ショウニンシャ</t>
    </rPh>
    <rPh sb="3" eb="5">
      <t>セッテイ</t>
    </rPh>
    <phoneticPr fontId="54"/>
  </si>
  <si>
    <t>承認ルートは必要に応じて、「承認者の追加」をクリックして入力欄を増やしてください。 設定した承認ルートは、設定した承認者の上から順に回送されます。 最終承認者は、一番下に設定してください。</t>
    <phoneticPr fontId="54"/>
  </si>
  <si>
    <t>確認者設定</t>
    <rPh sb="0" eb="3">
      <t>カクニンシャ</t>
    </rPh>
    <rPh sb="3" eb="5">
      <t>セッテイ</t>
    </rPh>
    <phoneticPr fontId="54"/>
  </si>
  <si>
    <t>確認者一覧</t>
    <rPh sb="0" eb="3">
      <t>カクニンシャ</t>
    </rPh>
    <rPh sb="3" eb="5">
      <t>イチラン</t>
    </rPh>
    <phoneticPr fontId="54"/>
  </si>
  <si>
    <t>部門</t>
    <rPh sb="0" eb="2">
      <t>ブモン</t>
    </rPh>
    <phoneticPr fontId="54"/>
  </si>
  <si>
    <t>確認者名</t>
    <rPh sb="0" eb="4">
      <t>カクニンシャメイ</t>
    </rPh>
    <phoneticPr fontId="54"/>
  </si>
  <si>
    <t>ヒロセ電機株式会社/管理本部/ＩＴ統括部</t>
    <phoneticPr fontId="54"/>
  </si>
  <si>
    <t>部長</t>
    <rPh sb="0" eb="2">
      <t>ブチョウ</t>
    </rPh>
    <phoneticPr fontId="54"/>
  </si>
  <si>
    <t>志村 亜里沙</t>
    <rPh sb="0" eb="1">
      <t>シムラ</t>
    </rPh>
    <rPh sb="2" eb="5">
      <t>アリサ</t>
    </rPh>
    <phoneticPr fontId="54"/>
  </si>
  <si>
    <t>出水 瞳</t>
    <rPh sb="0" eb="1">
      <t>デミズ</t>
    </rPh>
    <rPh sb="2" eb="3">
      <t>ヒトミ</t>
    </rPh>
    <phoneticPr fontId="54"/>
  </si>
  <si>
    <t>松澤 朱海</t>
    <rPh sb="0" eb="1">
      <t>マツザワ</t>
    </rPh>
    <rPh sb="2" eb="3">
      <t>シュ</t>
    </rPh>
    <rPh sb="3" eb="4">
      <t>ウミ</t>
    </rPh>
    <phoneticPr fontId="54"/>
  </si>
  <si>
    <t>ｒ1.0</t>
    <phoneticPr fontId="48"/>
  </si>
  <si>
    <t>画面</t>
    <rPh sb="0" eb="2">
      <t>ガメン</t>
    </rPh>
    <phoneticPr fontId="48"/>
  </si>
  <si>
    <t>コスト合計</t>
    <rPh sb="3" eb="5">
      <t>ゴウケイ</t>
    </rPh>
    <phoneticPr fontId="58"/>
  </si>
  <si>
    <t>形</t>
    <rPh sb="0" eb="1">
      <t>カタ</t>
    </rPh>
    <phoneticPr fontId="58"/>
  </si>
  <si>
    <t>無償</t>
    <rPh sb="0" eb="1">
      <t>ムショウ</t>
    </rPh>
    <phoneticPr fontId="54"/>
  </si>
  <si>
    <t>通貨</t>
    <rPh sb="0" eb="2">
      <t>ツウカ</t>
    </rPh>
    <phoneticPr fontId="58"/>
  </si>
  <si>
    <t>EUR</t>
    <phoneticPr fontId="54"/>
  </si>
  <si>
    <t>精算通貨</t>
    <rPh sb="0" eb="2">
      <t>セイサン</t>
    </rPh>
    <rPh sb="2" eb="4">
      <t>ツウカ</t>
    </rPh>
    <phoneticPr fontId="54"/>
  </si>
  <si>
    <t>SFDC工事番号</t>
    <rPh sb="4" eb="6">
      <t>コウジ</t>
    </rPh>
    <rPh sb="6" eb="8">
      <t>バンゴウ</t>
    </rPh>
    <phoneticPr fontId="54"/>
  </si>
  <si>
    <t>円/月</t>
    <rPh sb="0" eb="1">
      <t>エン</t>
    </rPh>
    <rPh sb="2" eb="3">
      <t>ツキ</t>
    </rPh>
    <phoneticPr fontId="54"/>
  </si>
  <si>
    <t>海外販社</t>
    <rPh sb="0" eb="2">
      <t>カイガイ</t>
    </rPh>
    <rPh sb="2" eb="4">
      <t>ハンシャ</t>
    </rPh>
    <phoneticPr fontId="54"/>
  </si>
  <si>
    <t>レップ社名</t>
    <rPh sb="3" eb="4">
      <t>シャ</t>
    </rPh>
    <rPh sb="4" eb="5">
      <t>メイ</t>
    </rPh>
    <phoneticPr fontId="54"/>
  </si>
  <si>
    <t>量産時期</t>
    <rPh sb="0" eb="2">
      <t>リョウサン</t>
    </rPh>
    <rPh sb="2" eb="4">
      <t>ジキ</t>
    </rPh>
    <phoneticPr fontId="54"/>
  </si>
  <si>
    <r>
      <t>用途</t>
    </r>
    <r>
      <rPr>
        <sz val="9"/>
        <color theme="1"/>
        <rFont val="ＭＳ Ｐゴシック"/>
        <family val="3"/>
        <charset val="128"/>
        <scheme val="minor"/>
      </rPr>
      <t>(アプリケーション)</t>
    </r>
    <rPh sb="0" eb="2">
      <t>ヨウト</t>
    </rPh>
    <phoneticPr fontId="54"/>
  </si>
  <si>
    <t>生産セット台数</t>
    <rPh sb="0" eb="2">
      <t>セイサン</t>
    </rPh>
    <rPh sb="5" eb="7">
      <t>ダイスウ</t>
    </rPh>
    <phoneticPr fontId="54"/>
  </si>
  <si>
    <t>プロジェクトピーク金額</t>
    <rPh sb="9" eb="11">
      <t>キンガク</t>
    </rPh>
    <phoneticPr fontId="54"/>
  </si>
  <si>
    <t>大分類</t>
    <rPh sb="0" eb="3">
      <t>ダイブンルイ</t>
    </rPh>
    <phoneticPr fontId="54"/>
  </si>
  <si>
    <t>中分類</t>
    <rPh sb="0" eb="3">
      <t>チュウブンルイ</t>
    </rPh>
    <phoneticPr fontId="54"/>
  </si>
  <si>
    <t>技術原計</t>
    <rPh sb="0" eb="1">
      <t>ギジュツ</t>
    </rPh>
    <rPh sb="1" eb="3">
      <t>ゲンケイ</t>
    </rPh>
    <phoneticPr fontId="54"/>
  </si>
  <si>
    <t>レート</t>
    <phoneticPr fontId="54"/>
  </si>
  <si>
    <t>○経営計画レート　○ 顧客契約レート　◎ その他のレート 　</t>
    <rPh sb="1" eb="3">
      <t>ケイエイ</t>
    </rPh>
    <rPh sb="3" eb="5">
      <t>ケイカク</t>
    </rPh>
    <rPh sb="13" eb="15">
      <t>ケイヤク</t>
    </rPh>
    <rPh sb="23" eb="24">
      <t>ホカ</t>
    </rPh>
    <phoneticPr fontId="54"/>
  </si>
  <si>
    <r>
      <t>製造原価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セイゾウ</t>
    </rPh>
    <rPh sb="2" eb="4">
      <t>ゲンカ</t>
    </rPh>
    <phoneticPr fontId="58"/>
  </si>
  <si>
    <t>総合計</t>
    <rPh sb="0" eb="3">
      <t>ソウゴウケイ</t>
    </rPh>
    <phoneticPr fontId="54"/>
  </si>
  <si>
    <t>形</t>
    <rPh sb="0" eb="1">
      <t>カタ</t>
    </rPh>
    <phoneticPr fontId="54"/>
  </si>
  <si>
    <t>形小計</t>
    <rPh sb="0" eb="1">
      <t>カタ</t>
    </rPh>
    <rPh sb="1" eb="3">
      <t>ショウケイ</t>
    </rPh>
    <phoneticPr fontId="54"/>
  </si>
  <si>
    <r>
      <t>レートタイプ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4"/>
  </si>
  <si>
    <t>有</t>
    <rPh sb="0" eb="1">
      <t>ア</t>
    </rPh>
    <phoneticPr fontId="54"/>
  </si>
  <si>
    <r>
      <t>コメント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4"/>
  </si>
  <si>
    <t>1行目の[貢献率]の桁数が異常です。入力内容を確認して下さい。</t>
    <rPh sb="1" eb="3">
      <t>ギョウメ</t>
    </rPh>
    <rPh sb="5" eb="8">
      <t>コウケンリツ</t>
    </rPh>
    <rPh sb="10" eb="12">
      <t>ケタスウ</t>
    </rPh>
    <rPh sb="13" eb="15">
      <t>イジョウ</t>
    </rPh>
    <rPh sb="18" eb="20">
      <t>ニュウリョク</t>
    </rPh>
    <rPh sb="20" eb="22">
      <t>ナイヨウ</t>
    </rPh>
    <rPh sb="23" eb="25">
      <t>カクニン</t>
    </rPh>
    <rPh sb="27" eb="28">
      <t>クダ</t>
    </rPh>
    <phoneticPr fontId="54"/>
  </si>
  <si>
    <t>SA-PR123456</t>
    <phoneticPr fontId="54"/>
  </si>
  <si>
    <t>案件番号：</t>
    <phoneticPr fontId="54"/>
  </si>
  <si>
    <r>
      <t>原計タイプ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ゲンケイ</t>
    </rPh>
    <phoneticPr fontId="54"/>
  </si>
  <si>
    <t>コメント</t>
    <phoneticPr fontId="54"/>
  </si>
  <si>
    <t>コメント入力</t>
    <rPh sb="3" eb="5">
      <t>ニュウリョク</t>
    </rPh>
    <phoneticPr fontId="54"/>
  </si>
  <si>
    <t>単価上申(外貨販売カスタム品)</t>
    <rPh sb="0" eb="2">
      <t>タンカ</t>
    </rPh>
    <rPh sb="2" eb="4">
      <t>ジョウシン</t>
    </rPh>
    <rPh sb="5" eb="7">
      <t>ガイカ</t>
    </rPh>
    <rPh sb="7" eb="9">
      <t>ハンバイ</t>
    </rPh>
    <rPh sb="13" eb="14">
      <t>シナ</t>
    </rPh>
    <phoneticPr fontId="54"/>
  </si>
  <si>
    <r>
      <t>原計通貨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ゲンケイ</t>
    </rPh>
    <rPh sb="2" eb="4">
      <t>ツウカ</t>
    </rPh>
    <phoneticPr fontId="58"/>
  </si>
  <si>
    <r>
      <t>申請通貨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シンセイ</t>
    </rPh>
    <rPh sb="2" eb="4">
      <t>ツウカ</t>
    </rPh>
    <phoneticPr fontId="58"/>
  </si>
  <si>
    <t>表示通貨</t>
    <rPh sb="0" eb="1">
      <t>ヒョウジ</t>
    </rPh>
    <rPh sb="1" eb="3">
      <t>ツウカ</t>
    </rPh>
    <phoneticPr fontId="54"/>
  </si>
  <si>
    <t>表示通貨</t>
    <rPh sb="0" eb="2">
      <t>ヒョウジ</t>
    </rPh>
    <rPh sb="2" eb="4">
      <t>ツウカ</t>
    </rPh>
    <phoneticPr fontId="54"/>
  </si>
  <si>
    <t>表示通貨</t>
    <rPh sb="0" eb="4">
      <t>ヒョウジツウカ</t>
    </rPh>
    <phoneticPr fontId="54"/>
  </si>
  <si>
    <t>r.1.1</t>
    <phoneticPr fontId="54"/>
  </si>
  <si>
    <t>古竹</t>
    <rPh sb="0" eb="2">
      <t>フルタケ</t>
    </rPh>
    <phoneticPr fontId="48"/>
  </si>
  <si>
    <t>販売WEB</t>
    <rPh sb="0" eb="2">
      <t>ハンバイ</t>
    </rPh>
    <phoneticPr fontId="54"/>
  </si>
  <si>
    <t>お問い合わせ一覧(0)</t>
    <rPh sb="1" eb="2">
      <t>ト</t>
    </rPh>
    <rPh sb="3" eb="4">
      <t>ア</t>
    </rPh>
    <rPh sb="6" eb="8">
      <t>イチラン</t>
    </rPh>
    <phoneticPr fontId="54"/>
  </si>
  <si>
    <t>化学物質データ</t>
    <rPh sb="0" eb="4">
      <t>カガクブッシツ</t>
    </rPh>
    <phoneticPr fontId="54"/>
  </si>
  <si>
    <t>ログアウト</t>
    <phoneticPr fontId="54"/>
  </si>
  <si>
    <t>製品カテゴリ</t>
    <rPh sb="0" eb="1">
      <t>セイヒン</t>
    </rPh>
    <phoneticPr fontId="54"/>
  </si>
  <si>
    <t>用途・アプリケーション</t>
    <rPh sb="0" eb="2">
      <t>ヨウト</t>
    </rPh>
    <phoneticPr fontId="54"/>
  </si>
  <si>
    <t>会社情報</t>
    <rPh sb="0" eb="4">
      <t>カイシャジョウホウ</t>
    </rPh>
    <phoneticPr fontId="54"/>
  </si>
  <si>
    <t>スペック検索</t>
    <rPh sb="4" eb="6">
      <t>ケンサク</t>
    </rPh>
    <phoneticPr fontId="54"/>
  </si>
  <si>
    <t>特集・キャンペーン</t>
    <rPh sb="0" eb="2">
      <t>トクシュウ</t>
    </rPh>
    <phoneticPr fontId="54"/>
  </si>
  <si>
    <t>ご購入・サポート</t>
    <rPh sb="1" eb="3">
      <t>コウニュウ</t>
    </rPh>
    <phoneticPr fontId="54"/>
  </si>
  <si>
    <t>［お知らせ］</t>
    <rPh sb="2" eb="3">
      <t>シ</t>
    </rPh>
    <phoneticPr fontId="54"/>
  </si>
  <si>
    <t>・</t>
    <phoneticPr fontId="54"/>
  </si>
  <si>
    <t>2025/11/10</t>
    <phoneticPr fontId="54"/>
  </si>
  <si>
    <t>システムメンテナンスが完了しました。</t>
    <rPh sb="11" eb="13">
      <t>カンリョウ</t>
    </rPh>
    <phoneticPr fontId="54"/>
  </si>
  <si>
    <t>SVHC調査報告書は、第34次(251物質)対応となります</t>
    <rPh sb="4" eb="8">
      <t>チョウサホウコク</t>
    </rPh>
    <rPh sb="8" eb="9">
      <t>ショ</t>
    </rPh>
    <rPh sb="11" eb="12">
      <t>ダイ</t>
    </rPh>
    <rPh sb="14" eb="15">
      <t>ジ</t>
    </rPh>
    <rPh sb="19" eb="21">
      <t>ブッシツ</t>
    </rPh>
    <rPh sb="22" eb="24">
      <t>タイオウ</t>
    </rPh>
    <phoneticPr fontId="54"/>
  </si>
  <si>
    <t>2024/6/10</t>
    <phoneticPr fontId="54"/>
  </si>
  <si>
    <t>得意先コード入力から提出先企業名入力に変更となりました。</t>
    <rPh sb="0" eb="3">
      <t>トクイサキ</t>
    </rPh>
    <rPh sb="6" eb="8">
      <t>ニュウリョク</t>
    </rPh>
    <rPh sb="10" eb="13">
      <t>テイシュツサキ</t>
    </rPh>
    <rPh sb="13" eb="16">
      <t>キギョウメイ</t>
    </rPh>
    <rPh sb="16" eb="18">
      <t>ニュウリョク</t>
    </rPh>
    <rPh sb="19" eb="21">
      <t>ヘンコウ</t>
    </rPh>
    <phoneticPr fontId="54"/>
  </si>
  <si>
    <t>CL番号またはHRS製品名で申請可能になりました。</t>
    <rPh sb="2" eb="4">
      <t>バンゴウ</t>
    </rPh>
    <rPh sb="10" eb="13">
      <t>セイヒンメイ</t>
    </rPh>
    <rPh sb="14" eb="18">
      <t>シンセイカノウ</t>
    </rPh>
    <phoneticPr fontId="54"/>
  </si>
  <si>
    <t>≪WEB出力回答書Ver、その他留意事項≫</t>
    <rPh sb="4" eb="6">
      <t>シュツリョク</t>
    </rPh>
    <rPh sb="6" eb="9">
      <t>カイトウショ</t>
    </rPh>
    <rPh sb="15" eb="16">
      <t>タ</t>
    </rPh>
    <rPh sb="16" eb="20">
      <t>リュウイジコウ</t>
    </rPh>
    <phoneticPr fontId="54"/>
  </si>
  <si>
    <t>【お願い】WEBから出力したデータのローカルでの保管とそのローカル保管データの転用・流出は行わないようにお願い致します。</t>
    <rPh sb="2" eb="3">
      <t>ネガ</t>
    </rPh>
    <rPh sb="10" eb="12">
      <t>シュツリョク</t>
    </rPh>
    <rPh sb="24" eb="26">
      <t>ホカン</t>
    </rPh>
    <rPh sb="33" eb="35">
      <t>ホカン</t>
    </rPh>
    <rPh sb="39" eb="41">
      <t>テンヨウ</t>
    </rPh>
    <rPh sb="42" eb="44">
      <t>リュウシュツ</t>
    </rPh>
    <rPh sb="45" eb="46">
      <t>オコナ</t>
    </rPh>
    <rPh sb="53" eb="54">
      <t>ネガ</t>
    </rPh>
    <rPh sb="55" eb="56">
      <t>イタ</t>
    </rPh>
    <phoneticPr fontId="54"/>
  </si>
  <si>
    <t>お客様よりご依頼いただいた都度WEBより申請いただき、最新版でご提出ください。</t>
    <rPh sb="1" eb="3">
      <t>キャクサマ</t>
    </rPh>
    <rPh sb="6" eb="8">
      <t>イライ</t>
    </rPh>
    <rPh sb="13" eb="15">
      <t>ツド</t>
    </rPh>
    <rPh sb="20" eb="22">
      <t>シンセイ</t>
    </rPh>
    <rPh sb="27" eb="30">
      <t>サイシンバン</t>
    </rPh>
    <rPh sb="32" eb="34">
      <t>テイシュツ</t>
    </rPh>
    <phoneticPr fontId="54"/>
  </si>
  <si>
    <t>SVHCバージョン：第1次～第34次（251物質　Candidate List最終更新日：2025年11月5日）</t>
    <rPh sb="10" eb="11">
      <t>ダイ</t>
    </rPh>
    <rPh sb="12" eb="13">
      <t>ジ</t>
    </rPh>
    <rPh sb="14" eb="15">
      <t>ダイ</t>
    </rPh>
    <rPh sb="17" eb="18">
      <t>ジ</t>
    </rPh>
    <rPh sb="22" eb="24">
      <t>ブッシツ</t>
    </rPh>
    <rPh sb="39" eb="44">
      <t>サイシュウコウシンビ</t>
    </rPh>
    <rPh sb="49" eb="50">
      <t>ネン</t>
    </rPh>
    <rPh sb="52" eb="53">
      <t>ガツ</t>
    </rPh>
    <rPh sb="54" eb="55">
      <t>ニチ</t>
    </rPh>
    <phoneticPr fontId="54"/>
  </si>
  <si>
    <t>RoHS10連合証明書 対象物質：鉛、カドミウム、水銀、六価クロム、PBB、PBDE、BBP、DBP、DIBP、DEHP</t>
    <rPh sb="6" eb="8">
      <t>レンゴウ</t>
    </rPh>
    <rPh sb="8" eb="11">
      <t>ショウメイショ</t>
    </rPh>
    <rPh sb="12" eb="14">
      <t>タイショウ</t>
    </rPh>
    <rPh sb="14" eb="16">
      <t>ブッシツ</t>
    </rPh>
    <rPh sb="17" eb="18">
      <t>ナマリ</t>
    </rPh>
    <rPh sb="25" eb="27">
      <t>スイギン</t>
    </rPh>
    <rPh sb="28" eb="30">
      <t>ロッカ</t>
    </rPh>
    <phoneticPr fontId="54"/>
  </si>
  <si>
    <t>RoHS6物質証明書の出力は出来ませんので、ご注意ください。</t>
    <rPh sb="5" eb="7">
      <t>ブッシツ</t>
    </rPh>
    <rPh sb="7" eb="10">
      <t>ショウメイショ</t>
    </rPh>
    <rPh sb="11" eb="13">
      <t>シュツリョク</t>
    </rPh>
    <rPh sb="14" eb="16">
      <t>デキ</t>
    </rPh>
    <rPh sb="23" eb="25">
      <t>チュウイ</t>
    </rPh>
    <phoneticPr fontId="54"/>
  </si>
  <si>
    <t>chemSHERPA対応バージョン：V2R1.02.0(SCIP・China RoHS対応)</t>
    <rPh sb="10" eb="12">
      <t>タイオウ</t>
    </rPh>
    <rPh sb="43" eb="45">
      <t>タイオウ</t>
    </rPh>
    <phoneticPr fontId="54"/>
  </si>
  <si>
    <t>物質リストVer2.12.00、　出力形式V2ex</t>
    <rPh sb="0" eb="2">
      <t>ブッシツ</t>
    </rPh>
    <rPh sb="17" eb="21">
      <t>シュツリョクケイシキ</t>
    </rPh>
    <phoneticPr fontId="54"/>
  </si>
  <si>
    <t>工具・治具はRoHS対象外です。</t>
    <rPh sb="0" eb="2">
      <t>コウグ</t>
    </rPh>
    <rPh sb="3" eb="4">
      <t>チ</t>
    </rPh>
    <rPh sb="4" eb="5">
      <t>グ</t>
    </rPh>
    <rPh sb="10" eb="13">
      <t>タイショウガイ</t>
    </rPh>
    <phoneticPr fontId="54"/>
  </si>
  <si>
    <t>申請画面の製品検索結果の順序について、検索順ではなくCL番号が昇順での表示となります。</t>
    <rPh sb="0" eb="4">
      <t>シンセイガメン</t>
    </rPh>
    <rPh sb="5" eb="9">
      <t>セイヒンケンサク</t>
    </rPh>
    <rPh sb="9" eb="11">
      <t>ケッカ</t>
    </rPh>
    <rPh sb="12" eb="14">
      <t>ジュンジョ</t>
    </rPh>
    <rPh sb="19" eb="22">
      <t>ケンサクジュン</t>
    </rPh>
    <rPh sb="28" eb="30">
      <t>バンゴウ</t>
    </rPh>
    <rPh sb="31" eb="33">
      <t>ショウジュン</t>
    </rPh>
    <rPh sb="35" eb="37">
      <t>ヒョウジ</t>
    </rPh>
    <phoneticPr fontId="54"/>
  </si>
  <si>
    <t>≪関連ドキュメントリンク≫</t>
    <rPh sb="1" eb="3">
      <t>カンレン</t>
    </rPh>
    <phoneticPr fontId="54"/>
  </si>
  <si>
    <r>
      <t>TSCA 5物質不含有証明書リンク：</t>
    </r>
    <r>
      <rPr>
        <sz val="8"/>
        <color rgb="FF3366CC"/>
        <rFont val="Meiryo UI"/>
        <family val="3"/>
        <charset val="128"/>
      </rPr>
      <t>click here</t>
    </r>
    <rPh sb="6" eb="8">
      <t>ブッシツ</t>
    </rPh>
    <rPh sb="8" eb="9">
      <t>フ</t>
    </rPh>
    <rPh sb="9" eb="11">
      <t>ガンユウ</t>
    </rPh>
    <rPh sb="11" eb="14">
      <t>ショウメイショ</t>
    </rPh>
    <phoneticPr fontId="54"/>
  </si>
  <si>
    <r>
      <t>POPs COP11 3物質（デクロランプラス・UV-328・メトキシクロル）不含有証明書：</t>
    </r>
    <r>
      <rPr>
        <sz val="8"/>
        <color rgb="FF3366CC"/>
        <rFont val="Meiryo UI"/>
        <family val="3"/>
        <charset val="128"/>
      </rPr>
      <t>click here</t>
    </r>
    <rPh sb="11" eb="13">
      <t>ブッシツ</t>
    </rPh>
    <rPh sb="38" eb="41">
      <t>フガンユウ</t>
    </rPh>
    <rPh sb="41" eb="44">
      <t>ショウメイショ</t>
    </rPh>
    <phoneticPr fontId="54"/>
  </si>
  <si>
    <r>
      <t>POPs COP12 3物質（MCCP・LC-PFCA・クロルピリホス）不含有証明書リンク：</t>
    </r>
    <r>
      <rPr>
        <sz val="8"/>
        <color rgb="FF3366CC"/>
        <rFont val="Meiryo UI"/>
        <family val="3"/>
        <charset val="128"/>
      </rPr>
      <t>click here</t>
    </r>
    <rPh sb="12" eb="14">
      <t>ブッシツ</t>
    </rPh>
    <rPh sb="36" eb="37">
      <t>フ</t>
    </rPh>
    <rPh sb="37" eb="39">
      <t>ガンユウ</t>
    </rPh>
    <rPh sb="39" eb="42">
      <t>ショウメイショ</t>
    </rPh>
    <phoneticPr fontId="54"/>
  </si>
  <si>
    <t>≪問い合わせ先≫</t>
    <rPh sb="1" eb="2">
      <t>ト</t>
    </rPh>
    <rPh sb="3" eb="4">
      <t>ア</t>
    </rPh>
    <rPh sb="6" eb="7">
      <t>サキ</t>
    </rPh>
    <phoneticPr fontId="54"/>
  </si>
  <si>
    <t>hrs.green.support.2q@hirose-gl.com</t>
    <phoneticPr fontId="54"/>
  </si>
  <si>
    <r>
      <t>検索ヒット件数:</t>
    </r>
    <r>
      <rPr>
        <sz val="8"/>
        <color rgb="FF0033CC"/>
        <rFont val="Meiryo UI"/>
        <family val="3"/>
        <charset val="128"/>
      </rPr>
      <t>5件</t>
    </r>
    <rPh sb="0" eb="2">
      <t>ケンサク</t>
    </rPh>
    <rPh sb="5" eb="7">
      <t>ケンスウ</t>
    </rPh>
    <rPh sb="9" eb="10">
      <t>ケン</t>
    </rPh>
    <phoneticPr fontId="54"/>
  </si>
  <si>
    <t>受付番号</t>
    <rPh sb="0" eb="4">
      <t>ウケツケバンゴウ</t>
    </rPh>
    <phoneticPr fontId="54"/>
  </si>
  <si>
    <t>提出先企業名</t>
    <rPh sb="0" eb="2">
      <t>テイシュツサキ</t>
    </rPh>
    <rPh sb="2" eb="5">
      <t>キギョウメイ</t>
    </rPh>
    <phoneticPr fontId="54"/>
  </si>
  <si>
    <t>申請日</t>
    <rPh sb="0" eb="3">
      <t>シンセイビ</t>
    </rPh>
    <phoneticPr fontId="54"/>
  </si>
  <si>
    <t>エンドユーザー</t>
    <phoneticPr fontId="54"/>
  </si>
  <si>
    <t>有効期限日</t>
    <rPh sb="0" eb="5">
      <t>ユウコウキゲンビ</t>
    </rPh>
    <phoneticPr fontId="54"/>
  </si>
  <si>
    <t>ファイルサイズ</t>
    <phoneticPr fontId="54"/>
  </si>
  <si>
    <t>ステータス</t>
    <phoneticPr fontId="54"/>
  </si>
  <si>
    <t>ドキュメント</t>
    <phoneticPr fontId="54"/>
  </si>
  <si>
    <t>-(MB)</t>
    <phoneticPr fontId="54"/>
  </si>
  <si>
    <t>有効期限切れ</t>
    <rPh sb="0" eb="5">
      <t>ユウコウキゲンギ</t>
    </rPh>
    <phoneticPr fontId="54"/>
  </si>
  <si>
    <t>2025-15746</t>
    <phoneticPr fontId="54"/>
  </si>
  <si>
    <t>2025-15742</t>
    <phoneticPr fontId="54"/>
  </si>
  <si>
    <t>2025-08887</t>
    <phoneticPr fontId="54"/>
  </si>
  <si>
    <t>2025-15905</t>
    <phoneticPr fontId="54"/>
  </si>
  <si>
    <t>2025-14801</t>
    <phoneticPr fontId="54"/>
  </si>
  <si>
    <t>test</t>
    <phoneticPr fontId="54"/>
  </si>
  <si>
    <t xml:space="preserve"> </t>
    <phoneticPr fontId="54"/>
  </si>
  <si>
    <t>テスト</t>
    <phoneticPr fontId="54"/>
  </si>
  <si>
    <t>000000</t>
    <phoneticPr fontId="54"/>
  </si>
  <si>
    <t>999999</t>
    <phoneticPr fontId="54"/>
  </si>
  <si>
    <t>サポート</t>
    <phoneticPr fontId="54"/>
  </si>
  <si>
    <t>サイトマップ</t>
    <rPh sb="5" eb="6">
      <t>イ</t>
    </rPh>
    <phoneticPr fontId="54"/>
  </si>
  <si>
    <t>カテゴリ</t>
    <phoneticPr fontId="54"/>
  </si>
  <si>
    <t>アプリケーション/用</t>
    <rPh sb="8" eb="9">
      <t>ヨウ</t>
    </rPh>
    <phoneticPr fontId="54"/>
  </si>
  <si>
    <t>イベント</t>
    <phoneticPr fontId="54"/>
  </si>
  <si>
    <t>ニュース</t>
    <phoneticPr fontId="54"/>
  </si>
  <si>
    <t>会社案内</t>
    <rPh sb="0" eb="3">
      <t>カイシャアンナイ</t>
    </rPh>
    <phoneticPr fontId="54"/>
  </si>
  <si>
    <t>利用規約</t>
    <rPh sb="0" eb="3">
      <t>リヨウキヤク</t>
    </rPh>
    <phoneticPr fontId="54"/>
  </si>
  <si>
    <t>会社規約</t>
    <rPh sb="0" eb="3">
      <t>カイシャキヤク</t>
    </rPh>
    <phoneticPr fontId="54"/>
  </si>
  <si>
    <t>プライバシーポリシー</t>
    <phoneticPr fontId="54"/>
  </si>
  <si>
    <t>途・ソリューション</t>
    <phoneticPr fontId="54"/>
  </si>
  <si>
    <t>スペック検索</t>
    <rPh sb="3" eb="5">
      <t>ケンサク</t>
    </rPh>
    <phoneticPr fontId="54"/>
  </si>
  <si>
    <t>特集一覧</t>
    <rPh sb="0" eb="3">
      <t>トクシュウイチラン</t>
    </rPh>
    <phoneticPr fontId="54"/>
  </si>
  <si>
    <t>購入窓口</t>
    <rPh sb="0" eb="3">
      <t>コウニュウマドグチ</t>
    </rPh>
    <phoneticPr fontId="54"/>
  </si>
  <si>
    <t>IR情報</t>
    <rPh sb="1" eb="3">
      <t>ジョウホウ</t>
    </rPh>
    <phoneticPr fontId="54"/>
  </si>
  <si>
    <t>CSR</t>
    <phoneticPr fontId="54"/>
  </si>
  <si>
    <t>採用情報</t>
    <rPh sb="0" eb="3">
      <t>サイヨウジョウホウ</t>
    </rPh>
    <phoneticPr fontId="54"/>
  </si>
  <si>
    <t>©1999 HIROSE ELECTRIC CO.,LTD.</t>
    <phoneticPr fontId="54"/>
  </si>
  <si>
    <t>化学物質データ</t>
    <rPh sb="0" eb="2">
      <t>カガクブッシツ</t>
    </rPh>
    <phoneticPr fontId="54"/>
  </si>
  <si>
    <r>
      <rPr>
        <sz val="10"/>
        <color rgb="FFFF9900"/>
        <rFont val="Meiryo UI"/>
        <family val="3"/>
        <charset val="128"/>
      </rPr>
      <t>ホーム</t>
    </r>
    <r>
      <rPr>
        <sz val="10"/>
        <rFont val="Meiryo UI"/>
        <family val="3"/>
        <charset val="128"/>
      </rPr>
      <t xml:space="preserve"> / 化学物質データ</t>
    </r>
    <rPh sb="5" eb="9">
      <t>カガクブッシツ</t>
    </rPh>
    <phoneticPr fontId="54"/>
  </si>
  <si>
    <t>処理中</t>
    <rPh sb="0" eb="3">
      <t>ショリチュウ</t>
    </rPh>
    <phoneticPr fontId="54"/>
  </si>
  <si>
    <t>A社</t>
    <rPh sb="1" eb="2">
      <t>シャ</t>
    </rPh>
    <phoneticPr fontId="54"/>
  </si>
  <si>
    <t>B社</t>
    <rPh sb="1" eb="2">
      <t>シャ</t>
    </rPh>
    <phoneticPr fontId="54"/>
  </si>
  <si>
    <t>C社</t>
    <rPh sb="1" eb="2">
      <t>シャ</t>
    </rPh>
    <phoneticPr fontId="54"/>
  </si>
  <si>
    <t>YYYYMMDD</t>
  </si>
  <si>
    <t>YYYYMMDD</t>
    <phoneticPr fontId="54"/>
  </si>
  <si>
    <t>-</t>
    <phoneticPr fontId="54"/>
  </si>
  <si>
    <t>xx.xx(MB)</t>
    <phoneticPr fontId="54"/>
  </si>
  <si>
    <t>機能仕様</t>
    <rPh sb="0" eb="4">
      <t>キノウシヨウ</t>
    </rPh>
    <phoneticPr fontId="54"/>
  </si>
  <si>
    <t>1. パンくずリストエリア</t>
    <phoneticPr fontId="10"/>
  </si>
  <si>
    <t>1.1　パンくずリスト</t>
    <phoneticPr fontId="10"/>
  </si>
  <si>
    <t>以下のようにパンくずリストを表示する。</t>
    <rPh sb="0" eb="2">
      <t>イカ</t>
    </rPh>
    <rPh sb="14" eb="16">
      <t>ヒョウジ</t>
    </rPh>
    <phoneticPr fontId="10"/>
  </si>
  <si>
    <t>『製品トップ &gt; 化学物質データ』</t>
    <rPh sb="1" eb="3">
      <t>セイヒン</t>
    </rPh>
    <rPh sb="9" eb="11">
      <t>カガク</t>
    </rPh>
    <rPh sb="11" eb="13">
      <t>ブッシツ</t>
    </rPh>
    <phoneticPr fontId="10"/>
  </si>
  <si>
    <t>2. お知らせエリア</t>
    <rPh sb="4" eb="5">
      <t>シ</t>
    </rPh>
    <phoneticPr fontId="10"/>
  </si>
  <si>
    <t>2.1　新着情報</t>
    <rPh sb="4" eb="8">
      <t>シンチャクジョウホウ</t>
    </rPh>
    <phoneticPr fontId="10"/>
  </si>
  <si>
    <t>①社員・販社権限の文言を一つ、代理店権限の文言をそれぞれ一つずつ定義する</t>
    <rPh sb="9" eb="11">
      <t>モンゴン</t>
    </rPh>
    <rPh sb="32" eb="34">
      <t>テイギ</t>
    </rPh>
    <phoneticPr fontId="4"/>
  </si>
  <si>
    <t>② html用のパーツはSmartEditで運用する</t>
    <rPh sb="6" eb="7">
      <t>ヨウ</t>
    </rPh>
    <rPh sb="22" eb="24">
      <t>ウンヨウ</t>
    </rPh>
    <phoneticPr fontId="4"/>
  </si>
  <si>
    <t>検索ヒット件数:104件</t>
    <rPh sb="0" eb="2">
      <t>ケンサク</t>
    </rPh>
    <rPh sb="5" eb="7">
      <t>ケンスウ</t>
    </rPh>
    <rPh sb="11" eb="12">
      <t>ケン</t>
    </rPh>
    <phoneticPr fontId="54"/>
  </si>
  <si>
    <t xml:space="preserve">3. 検索結果表示エリア
</t>
    <rPh sb="3" eb="5">
      <t>ケンサク</t>
    </rPh>
    <rPh sb="5" eb="7">
      <t>ケッカ</t>
    </rPh>
    <rPh sb="7" eb="9">
      <t>ヒョウジ</t>
    </rPh>
    <phoneticPr fontId="5"/>
  </si>
  <si>
    <t>3.1 検索ヒット件数</t>
    <rPh sb="4" eb="6">
      <t>ケンサク</t>
    </rPh>
    <rPh sb="9" eb="11">
      <t>ケンスウ</t>
    </rPh>
    <phoneticPr fontId="4"/>
  </si>
  <si>
    <t>検索の結果ヒットしたデータ件数を表示する。</t>
    <rPh sb="0" eb="2">
      <t>ケンサク</t>
    </rPh>
    <rPh sb="3" eb="5">
      <t>ケッカ</t>
    </rPh>
    <rPh sb="13" eb="15">
      <t>ケンスウ</t>
    </rPh>
    <rPh sb="16" eb="18">
      <t>ヒョウジ</t>
    </rPh>
    <phoneticPr fontId="4"/>
  </si>
  <si>
    <t>3.2 ページング</t>
  </si>
  <si>
    <t>検索結果のページング。1ページあたり100件とする。</t>
    <rPh sb="0" eb="2">
      <t>ケンサク</t>
    </rPh>
    <rPh sb="2" eb="4">
      <t>ケッカ</t>
    </rPh>
    <rPh sb="21" eb="22">
      <t>ケン</t>
    </rPh>
    <phoneticPr fontId="4"/>
  </si>
  <si>
    <t>100件を超える場合、2ページ目(とそれ以降)へのナビゲー</t>
    <rPh sb="3" eb="4">
      <t>ケン</t>
    </rPh>
    <rPh sb="5" eb="6">
      <t>コ</t>
    </rPh>
    <rPh sb="8" eb="10">
      <t>バアイ</t>
    </rPh>
    <rPh sb="15" eb="16">
      <t>メ</t>
    </rPh>
    <rPh sb="20" eb="22">
      <t>イコウ</t>
    </rPh>
    <phoneticPr fontId="4"/>
  </si>
  <si>
    <t>ションが表示される</t>
  </si>
  <si>
    <t>3.3 申請履歴データ</t>
    <rPh sb="4" eb="6">
      <t>シンセイ</t>
    </rPh>
    <rPh sb="6" eb="8">
      <t>リレキ</t>
    </rPh>
    <phoneticPr fontId="4"/>
  </si>
  <si>
    <t>検索結果が一覧表示される。1ページの上限は100件。</t>
    <rPh sb="0" eb="2">
      <t>ケンサク</t>
    </rPh>
    <rPh sb="2" eb="4">
      <t>ケッカ</t>
    </rPh>
    <rPh sb="5" eb="7">
      <t>イチラン</t>
    </rPh>
    <rPh sb="7" eb="9">
      <t>ヒョウジ</t>
    </rPh>
    <rPh sb="18" eb="20">
      <t>ジョウゲン</t>
    </rPh>
    <rPh sb="24" eb="25">
      <t>ケン</t>
    </rPh>
    <phoneticPr fontId="4"/>
  </si>
  <si>
    <t>画面の初期表示時はデータがない状態。</t>
    <rPh sb="0" eb="2">
      <t>ガメン</t>
    </rPh>
    <rPh sb="3" eb="5">
      <t>ショキ</t>
    </rPh>
    <rPh sb="5" eb="7">
      <t>ヒョウジ</t>
    </rPh>
    <rPh sb="7" eb="8">
      <t>ジ</t>
    </rPh>
    <rPh sb="15" eb="17">
      <t>ジョウタイ</t>
    </rPh>
    <phoneticPr fontId="4"/>
  </si>
  <si>
    <t>受付が最新のものが最上位（日付降順）</t>
  </si>
  <si>
    <t>暦年-シーケンス番号</t>
  </si>
  <si>
    <t>*採番については、2018年だけ2018-50000から採番する。</t>
  </si>
  <si>
    <t>2019年以後は20xx-00000という形で採番される。</t>
  </si>
  <si>
    <t>3.4 受付番号</t>
    <rPh sb="4" eb="6">
      <t>ウケツケ</t>
    </rPh>
    <rPh sb="6" eb="8">
      <t>バンゴウ</t>
    </rPh>
    <phoneticPr fontId="4"/>
  </si>
  <si>
    <t>3.5 提出先企業名</t>
  </si>
  <si>
    <t>3.6 エンドユーザー</t>
  </si>
  <si>
    <t>3.7 申請日</t>
    <rPh sb="4" eb="6">
      <t>シンセイ</t>
    </rPh>
    <rPh sb="6" eb="7">
      <t>ビ</t>
    </rPh>
    <phoneticPr fontId="4"/>
  </si>
  <si>
    <t>YYYY/MM/DD形式</t>
    <rPh sb="10" eb="12">
      <t>ケイシキ</t>
    </rPh>
    <phoneticPr fontId="4"/>
  </si>
  <si>
    <t>3.8 有効期限日</t>
    <rPh sb="4" eb="6">
      <t>ユウコウ</t>
    </rPh>
    <rPh sb="6" eb="8">
      <t>キゲン</t>
    </rPh>
    <rPh sb="8" eb="9">
      <t>ビ</t>
    </rPh>
    <phoneticPr fontId="4"/>
  </si>
  <si>
    <t>ダウンロード有効期限日</t>
    <rPh sb="6" eb="8">
      <t>ユウコウ</t>
    </rPh>
    <rPh sb="8" eb="10">
      <t>キゲン</t>
    </rPh>
    <rPh sb="10" eb="11">
      <t>ビ</t>
    </rPh>
    <phoneticPr fontId="4"/>
  </si>
  <si>
    <t>YYYY/MM/DD形式。</t>
    <rPh sb="10" eb="12">
      <t>ケイシキ</t>
    </rPh>
    <phoneticPr fontId="4"/>
  </si>
  <si>
    <t>ステータスが「処理中」の場合はNULL。</t>
    <rPh sb="7" eb="10">
      <t>ショリチュウ</t>
    </rPh>
    <rPh sb="12" eb="14">
      <t>バアイ</t>
    </rPh>
    <phoneticPr fontId="4"/>
  </si>
  <si>
    <t>3.9 ファイルサイズ</t>
  </si>
  <si>
    <t>証明書ファイルのサイズ。ステータスが「処理中」または</t>
    <rPh sb="0" eb="3">
      <t>ショウメイショ</t>
    </rPh>
    <rPh sb="19" eb="22">
      <t>ショリチュウ</t>
    </rPh>
    <phoneticPr fontId="4"/>
  </si>
  <si>
    <t>「有効期限切れ」の場合は"-"。</t>
  </si>
  <si>
    <t>ステータスが「処理済」の場合は数字をフォーマットして表示。</t>
    <rPh sb="26" eb="28">
      <t>ヒョウジ</t>
    </rPh>
    <phoneticPr fontId="4"/>
  </si>
  <si>
    <t>※フォーマット形式は画面項目シート参照</t>
    <rPh sb="7" eb="9">
      <t>ケイシキ</t>
    </rPh>
    <rPh sb="10" eb="12">
      <t>ガメン</t>
    </rPh>
    <rPh sb="12" eb="14">
      <t>コウモク</t>
    </rPh>
    <rPh sb="17" eb="19">
      <t>サンショウ</t>
    </rPh>
    <phoneticPr fontId="4"/>
  </si>
  <si>
    <t>3.10 ステータス</t>
  </si>
  <si>
    <t>処理中：証明書がダウンロード可能になるのを待っている状態</t>
    <rPh sb="0" eb="3">
      <t>ショリチュウ</t>
    </rPh>
    <rPh sb="4" eb="7">
      <t>ショウメイショ</t>
    </rPh>
    <rPh sb="14" eb="16">
      <t>カノウ</t>
    </rPh>
    <rPh sb="21" eb="22">
      <t>マ</t>
    </rPh>
    <rPh sb="26" eb="28">
      <t>ジョウタイ</t>
    </rPh>
    <phoneticPr fontId="4"/>
  </si>
  <si>
    <t>処理済：</t>
  </si>
  <si>
    <t>[証明書ファイルの完成から30日経過していない]</t>
    <rPh sb="1" eb="4">
      <t>ショウメイショ</t>
    </rPh>
    <rPh sb="9" eb="11">
      <t>カンセイ</t>
    </rPh>
    <rPh sb="15" eb="16">
      <t>ニチ</t>
    </rPh>
    <rPh sb="16" eb="18">
      <t>ケイカ</t>
    </rPh>
    <phoneticPr fontId="4"/>
  </si>
  <si>
    <t>が表示される。クリックすると、</t>
    <rPh sb="1" eb="3">
      <t>ヒョウジ</t>
    </rPh>
    <phoneticPr fontId="4"/>
  </si>
  <si>
    <t>証明書ファイルをダウンロードすることができる。</t>
    <rPh sb="0" eb="3">
      <t>ショウメイショ</t>
    </rPh>
    <phoneticPr fontId="4"/>
  </si>
  <si>
    <t>有効期限内であれば、何回でもダウンロード</t>
    <rPh sb="0" eb="2">
      <t>ユウコウ</t>
    </rPh>
    <rPh sb="2" eb="4">
      <t>キゲン</t>
    </rPh>
    <rPh sb="4" eb="5">
      <t>ナイ</t>
    </rPh>
    <rPh sb="10" eb="12">
      <t>ナンカイ</t>
    </rPh>
    <phoneticPr fontId="4"/>
  </si>
  <si>
    <t>できる。</t>
  </si>
  <si>
    <t>[証明書ファイルの完成から30日経過している]</t>
    <rPh sb="1" eb="4">
      <t>ショウメイショ</t>
    </rPh>
    <rPh sb="9" eb="11">
      <t>カンセイ</t>
    </rPh>
    <rPh sb="15" eb="16">
      <t>ニチ</t>
    </rPh>
    <rPh sb="16" eb="18">
      <t>ケイカ</t>
    </rPh>
    <phoneticPr fontId="4"/>
  </si>
  <si>
    <t>「有効期限切れ」を表示する。</t>
    <rPh sb="1" eb="3">
      <t>ユウコウ</t>
    </rPh>
    <rPh sb="3" eb="5">
      <t>キゲン</t>
    </rPh>
    <rPh sb="5" eb="6">
      <t>ギ</t>
    </rPh>
    <rPh sb="9" eb="11">
      <t>ヒョウジ</t>
    </rPh>
    <phoneticPr fontId="4"/>
  </si>
  <si>
    <t>3.11 ドキュメント</t>
  </si>
  <si>
    <t>「csvDownload」ボタンを押下すると、該当申請履歴内の</t>
  </si>
  <si>
    <t>ドキュメント情報がダウンロードされる。</t>
  </si>
  <si>
    <t>画面構成 4．申請ドキュメント詳細を参照</t>
    <rPh sb="0" eb="2">
      <t>ガメン</t>
    </rPh>
    <rPh sb="2" eb="4">
      <t>コウセイ</t>
    </rPh>
    <rPh sb="18" eb="20">
      <t>サンショウ</t>
    </rPh>
    <phoneticPr fontId="4"/>
  </si>
  <si>
    <t>3.12 新規申請</t>
    <rPh sb="5" eb="7">
      <t>シンキ</t>
    </rPh>
    <rPh sb="7" eb="9">
      <t>シンセイ</t>
    </rPh>
    <phoneticPr fontId="4"/>
  </si>
  <si>
    <t>クリックすると、新規申請情報作成用画面に遷移する。</t>
    <rPh sb="8" eb="10">
      <t>シンキ</t>
    </rPh>
    <rPh sb="10" eb="12">
      <t>シンセイ</t>
    </rPh>
    <rPh sb="12" eb="14">
      <t>ジョウホウ</t>
    </rPh>
    <rPh sb="14" eb="17">
      <t>サクセイヨウ</t>
    </rPh>
    <rPh sb="17" eb="19">
      <t>ガメン</t>
    </rPh>
    <rPh sb="20" eb="22">
      <t>センイ</t>
    </rPh>
    <phoneticPr fontId="4"/>
  </si>
  <si>
    <t>4．申請ドキュメントCSV(イメージ)</t>
  </si>
  <si>
    <t>4.1 申請された製品名</t>
    <rPh sb="4" eb="6">
      <t>シンセイ</t>
    </rPh>
    <rPh sb="9" eb="11">
      <t>セイヒン</t>
    </rPh>
    <rPh sb="11" eb="12">
      <t>メイ</t>
    </rPh>
    <phoneticPr fontId="4"/>
  </si>
  <si>
    <t>4.2 申請に含まれたCL番号</t>
    <rPh sb="4" eb="6">
      <t>シンセイ</t>
    </rPh>
    <rPh sb="7" eb="8">
      <t>フク</t>
    </rPh>
    <rPh sb="13" eb="15">
      <t>バンゴウ</t>
    </rPh>
    <phoneticPr fontId="4"/>
  </si>
  <si>
    <t>4.3 申請された製品の新製品区分</t>
    <rPh sb="4" eb="6">
      <t>シンセイ</t>
    </rPh>
    <rPh sb="9" eb="11">
      <t>セイヒン</t>
    </rPh>
    <rPh sb="12" eb="15">
      <t>シンセイヒン</t>
    </rPh>
    <rPh sb="15" eb="17">
      <t>クブン</t>
    </rPh>
    <phoneticPr fontId="4"/>
  </si>
  <si>
    <t>4.4 申請された製品の製品販売状況</t>
    <rPh sb="4" eb="6">
      <t>シンセイ</t>
    </rPh>
    <rPh sb="9" eb="11">
      <t>セイヒン</t>
    </rPh>
    <rPh sb="12" eb="14">
      <t>セイヒン</t>
    </rPh>
    <rPh sb="14" eb="16">
      <t>ハンバイ</t>
    </rPh>
    <rPh sb="16" eb="18">
      <t>ジョウキョウ</t>
    </rPh>
    <phoneticPr fontId="4"/>
  </si>
  <si>
    <t>4.5 申請された製品のPCN番号</t>
    <rPh sb="4" eb="6">
      <t>シンセイ</t>
    </rPh>
    <rPh sb="9" eb="11">
      <t>セイヒン</t>
    </rPh>
    <rPh sb="15" eb="17">
      <t>バンゴウ</t>
    </rPh>
    <phoneticPr fontId="4"/>
  </si>
  <si>
    <t>4.6 申請された証明書</t>
    <rPh sb="4" eb="6">
      <t>シンセイ</t>
    </rPh>
    <rPh sb="9" eb="12">
      <t>ショウメイショ</t>
    </rPh>
    <phoneticPr fontId="4"/>
  </si>
  <si>
    <t>申請があったものはYESと表示される。</t>
    <rPh sb="0" eb="2">
      <t>シンセイ</t>
    </rPh>
    <rPh sb="13" eb="15">
      <t>ヒョウジ</t>
    </rPh>
    <phoneticPr fontId="4"/>
  </si>
  <si>
    <t>申請されたCL全てについて、証明書の種類ごとに</t>
    <rPh sb="0" eb="2">
      <t>シンセイ</t>
    </rPh>
    <rPh sb="7" eb="8">
      <t>スベ</t>
    </rPh>
    <rPh sb="14" eb="17">
      <t>ショウメイショ</t>
    </rPh>
    <rPh sb="18" eb="20">
      <t>シュルイ</t>
    </rPh>
    <phoneticPr fontId="4"/>
  </si>
  <si>
    <t>同じ値が出力される</t>
    <rPh sb="0" eb="1">
      <t>オナ</t>
    </rPh>
    <rPh sb="2" eb="3">
      <t>アタイ</t>
    </rPh>
    <rPh sb="4" eb="6">
      <t>シュツリョク</t>
    </rPh>
    <phoneticPr fontId="4"/>
  </si>
  <si>
    <t>※証明書の種類は、区分値管理画面でメンテナンスする</t>
    <rPh sb="1" eb="4">
      <t>ショウメイショ</t>
    </rPh>
    <rPh sb="5" eb="7">
      <t>シュルイ</t>
    </rPh>
    <rPh sb="9" eb="11">
      <t>クブン</t>
    </rPh>
    <rPh sb="11" eb="12">
      <t>チ</t>
    </rPh>
    <rPh sb="12" eb="14">
      <t>カンリ</t>
    </rPh>
    <rPh sb="14" eb="16">
      <t>ガメン</t>
    </rPh>
    <phoneticPr fontId="4"/>
  </si>
  <si>
    <t>ことが可能（DDL変更は不要）</t>
    <rPh sb="3" eb="5">
      <t>カノウ</t>
    </rPh>
    <rPh sb="9" eb="11">
      <t>ヘンコウ</t>
    </rPh>
    <rPh sb="12" eb="14">
      <t>フヨウ</t>
    </rPh>
    <phoneticPr fontId="4"/>
  </si>
  <si>
    <t>製品名</t>
    <rPh sb="0" eb="3">
      <t>セイヒンメイ</t>
    </rPh>
    <phoneticPr fontId="58"/>
  </si>
  <si>
    <t>CL Code</t>
    <phoneticPr fontId="58"/>
  </si>
  <si>
    <t>新製品区分</t>
    <rPh sb="0" eb="3">
      <t>シンセイヒン</t>
    </rPh>
    <rPh sb="3" eb="5">
      <t>クブン</t>
    </rPh>
    <phoneticPr fontId="58"/>
  </si>
  <si>
    <t>製品販売状況</t>
    <rPh sb="0" eb="2">
      <t>セイヒン</t>
    </rPh>
    <rPh sb="2" eb="4">
      <t>ハンバイ</t>
    </rPh>
    <rPh sb="4" eb="6">
      <t>ジョウキョウ</t>
    </rPh>
    <phoneticPr fontId="58"/>
  </si>
  <si>
    <t>PCN番号</t>
    <rPh sb="3" eb="5">
      <t>バンゴウ</t>
    </rPh>
    <phoneticPr fontId="58"/>
  </si>
  <si>
    <t>RoHS適合証明書</t>
    <rPh sb="4" eb="6">
      <t>テキゴウ</t>
    </rPh>
    <rPh sb="6" eb="9">
      <t>ショウメイショ</t>
    </rPh>
    <phoneticPr fontId="58"/>
  </si>
  <si>
    <t>ハロゲンフリー証明書</t>
    <phoneticPr fontId="58"/>
  </si>
  <si>
    <t>成分表</t>
    <phoneticPr fontId="58"/>
  </si>
  <si>
    <t>AIS</t>
    <phoneticPr fontId="58"/>
  </si>
  <si>
    <t>ICP</t>
    <phoneticPr fontId="58"/>
  </si>
  <si>
    <t>SDS</t>
    <phoneticPr fontId="58"/>
  </si>
  <si>
    <t>chemSHERPA</t>
    <phoneticPr fontId="58"/>
  </si>
  <si>
    <t>NameA</t>
    <phoneticPr fontId="58"/>
  </si>
  <si>
    <t>CL0123-4567-8-90</t>
    <phoneticPr fontId="58"/>
  </si>
  <si>
    <t>オリジナル</t>
    <phoneticPr fontId="58"/>
  </si>
  <si>
    <t>生産終了予定品</t>
    <rPh sb="0" eb="2">
      <t>セイサン</t>
    </rPh>
    <rPh sb="2" eb="4">
      <t>シュウリョウ</t>
    </rPh>
    <rPh sb="4" eb="6">
      <t>ヨテイ</t>
    </rPh>
    <rPh sb="6" eb="7">
      <t>ヒン</t>
    </rPh>
    <phoneticPr fontId="58"/>
  </si>
  <si>
    <t>2024-01</t>
    <phoneticPr fontId="58"/>
  </si>
  <si>
    <t>YES</t>
    <phoneticPr fontId="58"/>
  </si>
  <si>
    <t>-</t>
    <phoneticPr fontId="58"/>
  </si>
  <si>
    <t>NameB</t>
    <phoneticPr fontId="58"/>
  </si>
  <si>
    <t>CL0123-4567-8-91</t>
    <phoneticPr fontId="58"/>
  </si>
  <si>
    <t>オリジナル(特定社)</t>
    <phoneticPr fontId="58"/>
  </si>
  <si>
    <t>生産終了品</t>
    <rPh sb="0" eb="2">
      <t>セイサン</t>
    </rPh>
    <rPh sb="2" eb="4">
      <t>シュウリョウ</t>
    </rPh>
    <rPh sb="4" eb="5">
      <t>ヒン</t>
    </rPh>
    <phoneticPr fontId="58"/>
  </si>
  <si>
    <t>2023-12</t>
    <phoneticPr fontId="58"/>
  </si>
  <si>
    <t>NameC</t>
    <phoneticPr fontId="58"/>
  </si>
  <si>
    <t>CL0123-4567-8-92</t>
    <phoneticPr fontId="58"/>
  </si>
  <si>
    <t>カスタム(他社販売可)</t>
    <phoneticPr fontId="58"/>
  </si>
  <si>
    <t>新規設計非推奨</t>
    <rPh sb="0" eb="2">
      <t>シンキ</t>
    </rPh>
    <rPh sb="2" eb="4">
      <t>セッケイ</t>
    </rPh>
    <rPh sb="4" eb="5">
      <t>ヒ</t>
    </rPh>
    <rPh sb="5" eb="7">
      <t>スイショウ</t>
    </rPh>
    <phoneticPr fontId="58"/>
  </si>
  <si>
    <t>NameE</t>
    <phoneticPr fontId="58"/>
  </si>
  <si>
    <t>CL0123-4567-8-94</t>
    <phoneticPr fontId="58"/>
  </si>
  <si>
    <t>カスタム(他社販売不可)</t>
    <phoneticPr fontId="58"/>
  </si>
  <si>
    <t>販売品</t>
    <rPh sb="0" eb="2">
      <t>ハンバイ</t>
    </rPh>
    <rPh sb="2" eb="3">
      <t>ヒン</t>
    </rPh>
    <phoneticPr fontId="58"/>
  </si>
  <si>
    <t>※製品名、新製品区分、製品販売状況、PCN番号に関して、"-"は値なしを示す。</t>
    <rPh sb="1" eb="4">
      <t>セイヒンメイ</t>
    </rPh>
    <rPh sb="5" eb="8">
      <t>シンセイヒン</t>
    </rPh>
    <rPh sb="8" eb="10">
      <t>クブン</t>
    </rPh>
    <rPh sb="11" eb="13">
      <t>セイヒン</t>
    </rPh>
    <rPh sb="13" eb="15">
      <t>ハンバイ</t>
    </rPh>
    <rPh sb="15" eb="17">
      <t>ジョウキョウ</t>
    </rPh>
    <rPh sb="21" eb="23">
      <t>バンゴウ</t>
    </rPh>
    <rPh sb="24" eb="25">
      <t>カン</t>
    </rPh>
    <phoneticPr fontId="58"/>
  </si>
  <si>
    <t>※申請された証明書に関して、YESは、申請されたもの、"-"は、申請されなかったものを示す。</t>
    <rPh sb="1" eb="3">
      <t>シンセイ</t>
    </rPh>
    <rPh sb="6" eb="9">
      <t>ショウメイショ</t>
    </rPh>
    <rPh sb="10" eb="11">
      <t>カン</t>
    </rPh>
    <rPh sb="19" eb="21">
      <t>シンセイ</t>
    </rPh>
    <rPh sb="32" eb="34">
      <t>シンセイ</t>
    </rPh>
    <rPh sb="43" eb="44">
      <t>シメ</t>
    </rPh>
    <phoneticPr fontId="58"/>
  </si>
  <si>
    <t>※製品名の昇順、CLコードの昇順（値がない場合は末尾）にて出力する</t>
    <rPh sb="1" eb="4">
      <t>セイヒンメイ</t>
    </rPh>
    <rPh sb="5" eb="7">
      <t>ショウジュン</t>
    </rPh>
    <rPh sb="14" eb="16">
      <t>ショウジュン</t>
    </rPh>
    <rPh sb="17" eb="18">
      <t>アタイ</t>
    </rPh>
    <rPh sb="21" eb="23">
      <t>バアイ</t>
    </rPh>
    <rPh sb="24" eb="26">
      <t>マツビ</t>
    </rPh>
    <rPh sb="29" eb="31">
      <t>シュツリョク</t>
    </rPh>
    <phoneticPr fontId="58"/>
  </si>
  <si>
    <t>画面項目(Screen Items)</t>
    <rPh sb="0" eb="4">
      <t>ガメンコウモク</t>
    </rPh>
    <phoneticPr fontId="10"/>
  </si>
  <si>
    <t>必須記入</t>
    <rPh sb="0" eb="2">
      <t>ヒッス</t>
    </rPh>
    <rPh sb="2" eb="4">
      <t>キニュウ</t>
    </rPh>
    <phoneticPr fontId="10"/>
  </si>
  <si>
    <t>OOTB以外</t>
    <rPh sb="4" eb="6">
      <t>イガイ</t>
    </rPh>
    <phoneticPr fontId="10"/>
  </si>
  <si>
    <t>単機能テスト</t>
    <rPh sb="0" eb="3">
      <t>タンキノウ</t>
    </rPh>
    <phoneticPr fontId="10"/>
  </si>
  <si>
    <t>項番
(No)</t>
    <phoneticPr fontId="10"/>
  </si>
  <si>
    <t>項目名(Item Name)</t>
    <phoneticPr fontId="10"/>
  </si>
  <si>
    <t>論理項目種別
(Logical Item Type)</t>
    <phoneticPr fontId="10"/>
  </si>
  <si>
    <t>固定/可変
(Fixed/Variable)</t>
    <rPh sb="0" eb="5">
      <t>コテイカヘン</t>
    </rPh>
    <phoneticPr fontId="10"/>
  </si>
  <si>
    <t>I/O</t>
  </si>
  <si>
    <t>OOTB</t>
    <phoneticPr fontId="10"/>
  </si>
  <si>
    <t>入力桁数
(Input Digits)</t>
    <rPh sb="0" eb="2">
      <t>ニュウリョク</t>
    </rPh>
    <rPh sb="2" eb="4">
      <t>ケタスウ</t>
    </rPh>
    <phoneticPr fontId="10"/>
  </si>
  <si>
    <t>表示ラベルキー
（Display Label Key)</t>
    <rPh sb="0" eb="2">
      <t>ヒョウジ</t>
    </rPh>
    <phoneticPr fontId="10"/>
  </si>
  <si>
    <t>初期値
(Default Value)</t>
    <rPh sb="0" eb="3">
      <t>ショキチ</t>
    </rPh>
    <phoneticPr fontId="10"/>
  </si>
  <si>
    <t>備考
(Comment)</t>
    <rPh sb="0" eb="2">
      <t>ビコウ</t>
    </rPh>
    <phoneticPr fontId="10"/>
  </si>
  <si>
    <t>初回</t>
    <rPh sb="0" eb="2">
      <t>ショカイ</t>
    </rPh>
    <phoneticPr fontId="10"/>
  </si>
  <si>
    <t>修正後</t>
    <rPh sb="0" eb="2">
      <t>シュウセイ</t>
    </rPh>
    <rPh sb="2" eb="3">
      <t>ゴ</t>
    </rPh>
    <phoneticPr fontId="10"/>
  </si>
  <si>
    <t>テスト観点</t>
    <rPh sb="3" eb="5">
      <t>カンテン</t>
    </rPh>
    <phoneticPr fontId="10"/>
  </si>
  <si>
    <t>エリア
（Area）</t>
    <phoneticPr fontId="10"/>
  </si>
  <si>
    <t>項目名
(Item Name)</t>
    <phoneticPr fontId="10"/>
  </si>
  <si>
    <t>確認日</t>
    <rPh sb="0" eb="2">
      <t>カクニン</t>
    </rPh>
    <rPh sb="2" eb="3">
      <t>ビ</t>
    </rPh>
    <phoneticPr fontId="10"/>
  </si>
  <si>
    <t>確認者</t>
    <rPh sb="0" eb="2">
      <t>カクニン</t>
    </rPh>
    <rPh sb="2" eb="3">
      <t>シャ</t>
    </rPh>
    <phoneticPr fontId="10"/>
  </si>
  <si>
    <t>判定</t>
    <rPh sb="0" eb="2">
      <t>ハンテイ</t>
    </rPh>
    <phoneticPr fontId="10"/>
  </si>
  <si>
    <t>1</t>
  </si>
  <si>
    <t>パンくずリストエリア</t>
  </si>
  <si>
    <t>1.1</t>
  </si>
  <si>
    <t>パンくずリスト</t>
  </si>
  <si>
    <t>Anchor Text</t>
  </si>
  <si>
    <t>Fixed</t>
  </si>
  <si>
    <t>O</t>
  </si>
  <si>
    <t>○</t>
  </si>
  <si>
    <t>Variable</t>
  </si>
  <si>
    <t>I</t>
  </si>
  <si>
    <t>×</t>
  </si>
  <si>
    <t>-</t>
  </si>
  <si>
    <t>エンドユーザー</t>
    <phoneticPr fontId="58"/>
  </si>
  <si>
    <t>Image Button</t>
  </si>
  <si>
    <t>検索結果表示エリア</t>
    <phoneticPr fontId="58"/>
  </si>
  <si>
    <t>・ログインユーザの申請履歴を表示対象とする</t>
    <rPh sb="9" eb="11">
      <t>シンセイ</t>
    </rPh>
    <rPh sb="11" eb="13">
      <t>リレキ</t>
    </rPh>
    <rPh sb="14" eb="16">
      <t>ヒョウジ</t>
    </rPh>
    <rPh sb="16" eb="18">
      <t>タイショウ</t>
    </rPh>
    <phoneticPr fontId="58"/>
  </si>
  <si>
    <t>3.1</t>
    <phoneticPr fontId="58"/>
  </si>
  <si>
    <t>検索ヒット件数</t>
    <rPh sb="0" eb="2">
      <t>ケンサク</t>
    </rPh>
    <rPh sb="5" eb="7">
      <t>ケンスウ</t>
    </rPh>
    <phoneticPr fontId="58"/>
  </si>
  <si>
    <t>Text Output</t>
  </si>
  <si>
    <t>取得した件数を表示する。</t>
    <rPh sb="4" eb="6">
      <t>ケンスウ</t>
    </rPh>
    <rPh sb="7" eb="9">
      <t>ヒョウジ</t>
    </rPh>
    <phoneticPr fontId="58"/>
  </si>
  <si>
    <t>3.2</t>
    <phoneticPr fontId="58"/>
  </si>
  <si>
    <t>ページング</t>
    <phoneticPr fontId="58"/>
  </si>
  <si>
    <t>Other</t>
  </si>
  <si>
    <t xml:space="preserve">検索結果のページング。1ページあたり100件とする。
100件を超える場合、2ページ目(とそれ以降)へのナビゲーションが表示される。
</t>
    <rPh sb="60" eb="62">
      <t>ヒョウジ</t>
    </rPh>
    <phoneticPr fontId="58"/>
  </si>
  <si>
    <t>3.3</t>
  </si>
  <si>
    <t>申請履歴データ</t>
    <rPh sb="0" eb="2">
      <t>シンセイ</t>
    </rPh>
    <rPh sb="2" eb="4">
      <t>リレキ</t>
    </rPh>
    <phoneticPr fontId="58"/>
  </si>
  <si>
    <t>Loop Table</t>
  </si>
  <si>
    <t xml:space="preserve">検索結果が一覧表示される。1ページの上限は100件。   
画面の初期表示時はデータがない状態。   
受付が最新のものが最上位（日付降順）   
暦年-シーケンス番号   
*採番については、2019年だけ2018-50000から採番する。   
2020年以後は20xx-00000という形で採番される。   </t>
    <phoneticPr fontId="58"/>
  </si>
  <si>
    <t>3.4</t>
  </si>
  <si>
    <t>受付番号</t>
    <rPh sb="0" eb="2">
      <t>ウケツケ</t>
    </rPh>
    <rPh sb="2" eb="4">
      <t>バンゴウ</t>
    </rPh>
    <phoneticPr fontId="58"/>
  </si>
  <si>
    <t>3.5</t>
  </si>
  <si>
    <t>提出先企業名</t>
    <phoneticPr fontId="58"/>
  </si>
  <si>
    <t>3.6</t>
  </si>
  <si>
    <t>3.7</t>
  </si>
  <si>
    <t>申請日</t>
    <rPh sb="0" eb="2">
      <t>シンセイ</t>
    </rPh>
    <rPh sb="2" eb="3">
      <t>ビ</t>
    </rPh>
    <phoneticPr fontId="58"/>
  </si>
  <si>
    <t>3.8</t>
  </si>
  <si>
    <t>有効期限日</t>
    <rPh sb="0" eb="2">
      <t>ユウコウ</t>
    </rPh>
    <rPh sb="2" eb="4">
      <t>キゲン</t>
    </rPh>
    <rPh sb="4" eb="5">
      <t>ビ</t>
    </rPh>
    <phoneticPr fontId="58"/>
  </si>
  <si>
    <t>ダウンロード有効期限。ステータスが「処理中」の場合はNULL。</t>
    <rPh sb="6" eb="8">
      <t>ユウコウ</t>
    </rPh>
    <rPh sb="8" eb="10">
      <t>キゲン</t>
    </rPh>
    <rPh sb="18" eb="21">
      <t>ショリチュウ</t>
    </rPh>
    <rPh sb="23" eb="25">
      <t>バアイ</t>
    </rPh>
    <phoneticPr fontId="58"/>
  </si>
  <si>
    <t>3.9</t>
  </si>
  <si>
    <t>ファイルサイズ</t>
    <phoneticPr fontId="58"/>
  </si>
  <si>
    <t>ステータスが「処理中」または「有効期限切れ」の場合は"-"を表示する
ステータスが「処理済」の場合の数字表示方式は以下の通り。
　　・数字の後に(MB)を追加
　　・単位はMB
　　・小数点第一位まで表記し、第二位を切り上げ
　　・カンマ付きのフォーマットとする
　　・右寄せで表示
例）ファイルサイズ：100,000バイト　→　100000÷1024÷1024=0.0953…　表示：0.10(MB)</t>
    <rPh sb="7" eb="10">
      <t>ショリチュウ</t>
    </rPh>
    <rPh sb="15" eb="19">
      <t>ユウコウキゲン</t>
    </rPh>
    <rPh sb="19" eb="20">
      <t>キ</t>
    </rPh>
    <rPh sb="23" eb="25">
      <t>バアイ</t>
    </rPh>
    <rPh sb="30" eb="32">
      <t>ヒョウジ</t>
    </rPh>
    <rPh sb="50" eb="52">
      <t>スウジ</t>
    </rPh>
    <rPh sb="52" eb="54">
      <t>ヒョウジ</t>
    </rPh>
    <rPh sb="54" eb="56">
      <t>ホウシキ</t>
    </rPh>
    <rPh sb="57" eb="59">
      <t>イカ</t>
    </rPh>
    <rPh sb="60" eb="61">
      <t>トオ</t>
    </rPh>
    <rPh sb="67" eb="69">
      <t>スウジ</t>
    </rPh>
    <rPh sb="70" eb="71">
      <t>アト</t>
    </rPh>
    <rPh sb="77" eb="79">
      <t>ツイカ</t>
    </rPh>
    <rPh sb="142" eb="143">
      <t>レイ</t>
    </rPh>
    <rPh sb="190" eb="192">
      <t>ヒョウジ</t>
    </rPh>
    <phoneticPr fontId="58"/>
  </si>
  <si>
    <t>3.10</t>
  </si>
  <si>
    <t>ステータス</t>
    <phoneticPr fontId="58"/>
  </si>
  <si>
    <t>[HrsChemicalSubstance.status == ChemicalSubstanceStatus.processed]
　[現在日時 &lt; HrsChemicalSubstance.expDate]
　　　　　　　　　　　が表示され、クリックすることでファイルをダウンロード可能。
　[現在日時 &gt;= HrsChemicalSubstance.expDate]
    「有効期限切れ」を表示する
[HrsChemicalSubstance.status == ChemicalSubstanceStatus.processing]
    「処理中」を表示する</t>
    <rPh sb="118" eb="120">
      <t>ヒョウジ</t>
    </rPh>
    <rPh sb="143" eb="145">
      <t>カノウ</t>
    </rPh>
    <rPh sb="193" eb="195">
      <t>ユウコウ</t>
    </rPh>
    <rPh sb="195" eb="197">
      <t>キゲン</t>
    </rPh>
    <rPh sb="197" eb="198">
      <t>ギ</t>
    </rPh>
    <rPh sb="201" eb="203">
      <t>ヒョウジ</t>
    </rPh>
    <rPh sb="279" eb="282">
      <t>ショリチュウ</t>
    </rPh>
    <phoneticPr fontId="58"/>
  </si>
  <si>
    <t>3.11</t>
  </si>
  <si>
    <t>ドキュメント</t>
    <phoneticPr fontId="58"/>
  </si>
  <si>
    <t xml:space="preserve">                    をクリックすると、化学物質のリクエスト内容を記載したCSVをダウンロードする</t>
    <rPh sb="29" eb="31">
      <t>カガク</t>
    </rPh>
    <rPh sb="31" eb="33">
      <t>ブッシツ</t>
    </rPh>
    <rPh sb="39" eb="41">
      <t>ナイヨウ</t>
    </rPh>
    <rPh sb="42" eb="44">
      <t>キサイ</t>
    </rPh>
    <phoneticPr fontId="58"/>
  </si>
  <si>
    <t>3.12</t>
  </si>
  <si>
    <t>新規申請</t>
    <phoneticPr fontId="58"/>
  </si>
  <si>
    <t xml:space="preserve">新規申請情報作成用画面に遷移する。         </t>
    <phoneticPr fontId="58"/>
  </si>
  <si>
    <t>申請ドキュメント詳細</t>
    <rPh sb="0" eb="2">
      <t>シンセイ</t>
    </rPh>
    <rPh sb="8" eb="10">
      <t>ショウサイ</t>
    </rPh>
    <phoneticPr fontId="58"/>
  </si>
  <si>
    <t>4.2</t>
    <phoneticPr fontId="58"/>
  </si>
  <si>
    <t>CL番号</t>
    <rPh sb="2" eb="4">
      <t>バンゴウ</t>
    </rPh>
    <phoneticPr fontId="58"/>
  </si>
  <si>
    <t>指定した受付番号で申請されたCL番号。</t>
    <rPh sb="0" eb="2">
      <t>シテイ</t>
    </rPh>
    <rPh sb="4" eb="8">
      <t>ウケツケバンゴウ</t>
    </rPh>
    <rPh sb="9" eb="11">
      <t>シンセイ</t>
    </rPh>
    <rPh sb="16" eb="18">
      <t>バンゴウ</t>
    </rPh>
    <phoneticPr fontId="58"/>
  </si>
  <si>
    <t>4.6</t>
    <phoneticPr fontId="58"/>
  </si>
  <si>
    <t>化学物質の申請履歴情報</t>
    <rPh sb="0" eb="2">
      <t>カガク</t>
    </rPh>
    <rPh sb="2" eb="4">
      <t>ブッシツ</t>
    </rPh>
    <rPh sb="5" eb="7">
      <t>シンセイ</t>
    </rPh>
    <rPh sb="7" eb="9">
      <t>リレキ</t>
    </rPh>
    <rPh sb="9" eb="11">
      <t>ジョウホウ</t>
    </rPh>
    <phoneticPr fontId="58"/>
  </si>
  <si>
    <t>処理項目(Process Items)</t>
    <rPh sb="0" eb="4">
      <t>ショリコウモク</t>
    </rPh>
    <phoneticPr fontId="10"/>
  </si>
  <si>
    <t>項番
(No)</t>
    <rPh sb="0" eb="2">
      <t>コウバン</t>
    </rPh>
    <phoneticPr fontId="10"/>
  </si>
  <si>
    <t>処理名
(Process Name)</t>
    <rPh sb="0" eb="3">
      <t>ショリメイ</t>
    </rPh>
    <phoneticPr fontId="10"/>
  </si>
  <si>
    <t>イベント発生元（論理項目名）
(Event Source(Logical Item Name))</t>
    <phoneticPr fontId="10"/>
  </si>
  <si>
    <t>イベント
(Event)</t>
    <phoneticPr fontId="10"/>
  </si>
  <si>
    <t>サーバ
／クライアント</t>
    <phoneticPr fontId="10"/>
  </si>
  <si>
    <t>遷移先画面ID
(Transition Destination Screen ID)</t>
    <rPh sb="0" eb="7">
      <t>センイサキガメン</t>
    </rPh>
    <phoneticPr fontId="10"/>
  </si>
  <si>
    <t>概要
(Comment)</t>
    <rPh sb="0" eb="2">
      <t>ガイヨウ</t>
    </rPh>
    <phoneticPr fontId="10"/>
  </si>
  <si>
    <t>初期画面表示</t>
    <rPh sb="0" eb="2">
      <t>ショキ</t>
    </rPh>
    <rPh sb="2" eb="4">
      <t>ガメン</t>
    </rPh>
    <rPh sb="4" eb="6">
      <t>ヒョウジ</t>
    </rPh>
    <phoneticPr fontId="10"/>
  </si>
  <si>
    <t>本画面に遷移</t>
    <rPh sb="0" eb="1">
      <t>ホン</t>
    </rPh>
    <rPh sb="1" eb="3">
      <t>ガメン</t>
    </rPh>
    <rPh sb="4" eb="6">
      <t>センイ</t>
    </rPh>
    <phoneticPr fontId="10"/>
  </si>
  <si>
    <t>Onload</t>
    <phoneticPr fontId="58"/>
  </si>
  <si>
    <t>サーバ</t>
  </si>
  <si>
    <t>・化学物質申請履歴データ検索処理を実行し、結果セットを検索結果エリアに表示する。
※検索処理は「処理詳細」シート：初期表示時の検索処理 を参照する
※100件を超える場合はページングを行うので、初期表示時は1ページ目を表示する。</t>
    <rPh sb="78" eb="79">
      <t>ケン</t>
    </rPh>
    <rPh sb="80" eb="81">
      <t>コ</t>
    </rPh>
    <rPh sb="83" eb="85">
      <t>バアイ</t>
    </rPh>
    <rPh sb="92" eb="93">
      <t>オコナ</t>
    </rPh>
    <rPh sb="97" eb="99">
      <t>ショキ</t>
    </rPh>
    <rPh sb="99" eb="101">
      <t>ヒョウジ</t>
    </rPh>
    <rPh sb="101" eb="102">
      <t>ジ</t>
    </rPh>
    <rPh sb="107" eb="108">
      <t>メ</t>
    </rPh>
    <rPh sb="109" eb="111">
      <t>ヒョウジ</t>
    </rPh>
    <phoneticPr fontId="58"/>
  </si>
  <si>
    <t>Click</t>
  </si>
  <si>
    <t>証明書ダウンロード</t>
    <rPh sb="0" eb="3">
      <t>ショウメイショ</t>
    </rPh>
    <phoneticPr fontId="58"/>
  </si>
  <si>
    <t>Click</t>
    <phoneticPr fontId="58"/>
  </si>
  <si>
    <t>サーバ</t>
    <phoneticPr fontId="58"/>
  </si>
  <si>
    <t>ドキュメントダウンロード</t>
    <phoneticPr fontId="58"/>
  </si>
  <si>
    <t>新規申請</t>
    <rPh sb="0" eb="2">
      <t>シンキ</t>
    </rPh>
    <rPh sb="2" eb="4">
      <t>シンセイ</t>
    </rPh>
    <phoneticPr fontId="58"/>
  </si>
  <si>
    <t>新規申請ボタン</t>
    <rPh sb="0" eb="2">
      <t>シンキ</t>
    </rPh>
    <rPh sb="2" eb="4">
      <t>シンセイ</t>
    </rPh>
    <phoneticPr fontId="58"/>
  </si>
  <si>
    <t>SEFE210_画面要件定義書_化学物質データ申請画面</t>
    <phoneticPr fontId="58"/>
  </si>
  <si>
    <t>利用可能な論理項目種別</t>
    <rPh sb="0" eb="11">
      <t>リヨウカノウロンリコウモクシュベツ</t>
    </rPh>
    <phoneticPr fontId="10"/>
  </si>
  <si>
    <t>固定/可変</t>
    <rPh sb="0" eb="2">
      <t>コテイ</t>
    </rPh>
    <rPh sb="3" eb="5">
      <t>カヘン</t>
    </rPh>
    <phoneticPr fontId="10"/>
  </si>
  <si>
    <t>Label</t>
    <phoneticPr fontId="10"/>
  </si>
  <si>
    <t>Fixed</t>
    <phoneticPr fontId="10"/>
  </si>
  <si>
    <t>○</t>
    <phoneticPr fontId="10"/>
  </si>
  <si>
    <t>全て利用</t>
    <rPh sb="0" eb="1">
      <t>スベ</t>
    </rPh>
    <rPh sb="2" eb="4">
      <t>リヨウ</t>
    </rPh>
    <phoneticPr fontId="10"/>
  </si>
  <si>
    <t>Manual Operation Button</t>
    <phoneticPr fontId="10"/>
  </si>
  <si>
    <t>Variable</t>
    <phoneticPr fontId="10"/>
  </si>
  <si>
    <t>△</t>
    <phoneticPr fontId="10"/>
  </si>
  <si>
    <t>一部利用</t>
    <rPh sb="0" eb="2">
      <t>イチブ</t>
    </rPh>
    <rPh sb="2" eb="4">
      <t>リヨウ</t>
    </rPh>
    <phoneticPr fontId="10"/>
  </si>
  <si>
    <t>Image Button</t>
    <phoneticPr fontId="10"/>
  </si>
  <si>
    <t>×</t>
    <phoneticPr fontId="10"/>
  </si>
  <si>
    <t>なし（新規作成）</t>
    <rPh sb="3" eb="5">
      <t>シンキ</t>
    </rPh>
    <rPh sb="5" eb="7">
      <t>サクセイ</t>
    </rPh>
    <phoneticPr fontId="10"/>
  </si>
  <si>
    <t>Anchor Text</t>
    <phoneticPr fontId="10"/>
  </si>
  <si>
    <t>Textbox</t>
    <phoneticPr fontId="10"/>
  </si>
  <si>
    <t>Text Box (with spin button)</t>
    <phoneticPr fontId="10"/>
  </si>
  <si>
    <t>Password</t>
    <phoneticPr fontId="10"/>
  </si>
  <si>
    <t>Text Area</t>
    <phoneticPr fontId="10"/>
  </si>
  <si>
    <t>File field</t>
    <phoneticPr fontId="10"/>
  </si>
  <si>
    <t>Radio Button</t>
    <phoneticPr fontId="10"/>
  </si>
  <si>
    <t>Dropdown List</t>
    <phoneticPr fontId="10"/>
  </si>
  <si>
    <t>Checkbox</t>
    <phoneticPr fontId="10"/>
  </si>
  <si>
    <t>Calendar</t>
    <phoneticPr fontId="10"/>
  </si>
  <si>
    <t>Time Input</t>
    <phoneticPr fontId="10"/>
  </si>
  <si>
    <t>Loop Table</t>
    <phoneticPr fontId="10"/>
  </si>
  <si>
    <t>Image</t>
    <phoneticPr fontId="10"/>
  </si>
  <si>
    <t>Hidden Field</t>
    <phoneticPr fontId="10"/>
  </si>
  <si>
    <t>Included Screen</t>
    <phoneticPr fontId="10"/>
  </si>
  <si>
    <t>Text Output</t>
    <phoneticPr fontId="10"/>
  </si>
  <si>
    <t>Other</t>
    <phoneticPr fontId="10"/>
  </si>
  <si>
    <t>申請においてリクエストした証明書の一覧。</t>
    <rPh sb="0" eb="2">
      <t>シンセイ</t>
    </rPh>
    <rPh sb="13" eb="16">
      <t>ショウメイショ</t>
    </rPh>
    <rPh sb="17" eb="19">
      <t>イチラン</t>
    </rPh>
    <phoneticPr fontId="58"/>
  </si>
  <si>
    <t xml:space="preserve">
ダウンロードボタンを押下すると、対応する証明書ファイルをダウンロードする。</t>
    <rPh sb="11" eb="13">
      <t>オウカ</t>
    </rPh>
    <rPh sb="17" eb="19">
      <t>タイオウ</t>
    </rPh>
    <rPh sb="21" eb="24">
      <t>ショウメイショ</t>
    </rPh>
    <phoneticPr fontId="58"/>
  </si>
  <si>
    <t xml:space="preserve">                    をクリックすると、化学物質のリクエスト内容を記載したCSVをダウンロードする</t>
    <phoneticPr fontId="58"/>
  </si>
  <si>
    <t>画面状態 (Screen State)</t>
    <rPh sb="0" eb="4">
      <t>ガメンジョウタイ</t>
    </rPh>
    <phoneticPr fontId="10"/>
  </si>
  <si>
    <t>論理項目名
(Logical Item Name)</t>
    <rPh sb="0" eb="5">
      <t>ロンリコウモクメイ</t>
    </rPh>
    <phoneticPr fontId="10"/>
  </si>
  <si>
    <t>状態 (State)</t>
    <rPh sb="0" eb="2">
      <t>ジョウタイ</t>
    </rPh>
    <phoneticPr fontId="10"/>
  </si>
  <si>
    <t>初期表示</t>
    <rPh sb="0" eb="2">
      <t>ショキ</t>
    </rPh>
    <rPh sb="2" eb="4">
      <t>ヒョウジ</t>
    </rPh>
    <phoneticPr fontId="58"/>
  </si>
  <si>
    <t>検索結果
（１件以上）</t>
    <rPh sb="0" eb="2">
      <t>ケンサク</t>
    </rPh>
    <rPh sb="2" eb="4">
      <t>ケッカ</t>
    </rPh>
    <phoneticPr fontId="58"/>
  </si>
  <si>
    <t>●</t>
  </si>
  <si>
    <t>●</t>
    <phoneticPr fontId="58"/>
  </si>
  <si>
    <t>証明書ファイルがダウンロードできる場合は、
が表示される</t>
    <rPh sb="0" eb="3">
      <t>ショウメイショ</t>
    </rPh>
    <rPh sb="17" eb="19">
      <t>バアイ</t>
    </rPh>
    <rPh sb="23" eb="25">
      <t>ヒョウジ</t>
    </rPh>
    <phoneticPr fontId="58"/>
  </si>
  <si>
    <t>　　　　　　　　　　　を押下することが可能</t>
    <rPh sb="12" eb="14">
      <t>オウカ</t>
    </rPh>
    <rPh sb="19" eb="21">
      <t>カノウ</t>
    </rPh>
    <phoneticPr fontId="58"/>
  </si>
  <si>
    <t>Legend Name</t>
    <phoneticPr fontId="10"/>
  </si>
  <si>
    <t>Legend Value</t>
    <phoneticPr fontId="10"/>
  </si>
  <si>
    <t>Display(Active)</t>
    <phoneticPr fontId="10"/>
  </si>
  <si>
    <t>Display(In-Active)</t>
    <phoneticPr fontId="10"/>
  </si>
  <si>
    <t>●</t>
    <phoneticPr fontId="10"/>
  </si>
  <si>
    <t>Hidden</t>
    <phoneticPr fontId="10"/>
  </si>
  <si>
    <t>検索結果表示エリア</t>
  </si>
  <si>
    <t>3.1</t>
  </si>
  <si>
    <t>3.2</t>
  </si>
  <si>
    <t>申請ドキュメント詳細</t>
  </si>
  <si>
    <t>検索ヒット件数</t>
  </si>
  <si>
    <t>ページング</t>
  </si>
  <si>
    <t>申請履歴データ</t>
  </si>
  <si>
    <t>受付番号</t>
  </si>
  <si>
    <t>提出先企業名</t>
  </si>
  <si>
    <t>エンドユーザー</t>
  </si>
  <si>
    <t>申請日</t>
  </si>
  <si>
    <t>有効期限日</t>
  </si>
  <si>
    <t>ファイルサイズ</t>
  </si>
  <si>
    <t>ステータス</t>
  </si>
  <si>
    <t>ドキュメント</t>
  </si>
  <si>
    <t>新規申請</t>
  </si>
  <si>
    <t>chemSHERPA対応バージョン：Ver1.05</t>
    <rPh sb="10" eb="12">
      <t>タイオウ</t>
    </rPh>
    <phoneticPr fontId="54"/>
  </si>
  <si>
    <t xml:space="preserve"> chemSHERPA version：Ver1.05</t>
    <phoneticPr fontId="54"/>
  </si>
  <si>
    <t xml:space="preserve"> AIS version：format ver4.1d substances list ver4.090</t>
    <phoneticPr fontId="54"/>
  </si>
  <si>
    <t>AIS対応バージョン：フォーマットVer4.1d　物質リストVer4.090</t>
    <rPh sb="3" eb="5">
      <t>タイオウ</t>
    </rPh>
    <rPh sb="25" eb="27">
      <t>ブッシツ</t>
    </rPh>
    <phoneticPr fontId="54"/>
  </si>
  <si>
    <t>♦NEW!!</t>
    <phoneticPr fontId="54"/>
  </si>
  <si>
    <t>以下、英語での申請ドキュメントCSV(イメージ)</t>
    <rPh sb="0" eb="2">
      <t>イカ</t>
    </rPh>
    <rPh sb="3" eb="5">
      <t>エイゴ</t>
    </rPh>
    <rPh sb="7" eb="9">
      <t>シンセイ</t>
    </rPh>
    <phoneticPr fontId="54"/>
  </si>
  <si>
    <t>Product name</t>
    <phoneticPr fontId="58"/>
  </si>
  <si>
    <t>New product category</t>
    <phoneticPr fontId="58"/>
  </si>
  <si>
    <t>Product sales status</t>
    <phoneticPr fontId="58"/>
  </si>
  <si>
    <t>PCN number</t>
    <phoneticPr fontId="58"/>
  </si>
  <si>
    <t>RoHS Certificate of confoemity</t>
    <phoneticPr fontId="58"/>
  </si>
  <si>
    <t>Halogen free certificate</t>
    <phoneticPr fontId="58"/>
  </si>
  <si>
    <t>Ingredient list</t>
    <phoneticPr fontId="58"/>
  </si>
  <si>
    <t>Original
(Specified company)</t>
    <phoneticPr fontId="58"/>
  </si>
  <si>
    <t>Original</t>
    <phoneticPr fontId="58"/>
  </si>
  <si>
    <t>Custom
(Can be sold by other companies)</t>
    <phoneticPr fontId="58"/>
  </si>
  <si>
    <t>Custom
(Cannot be sold by other companies)</t>
    <phoneticPr fontId="58"/>
  </si>
  <si>
    <t>Products scheduled to be discontinued</t>
    <phoneticPr fontId="58"/>
  </si>
  <si>
    <t>Discontinued product</t>
    <phoneticPr fontId="58"/>
  </si>
  <si>
    <t>New designs are not recommended</t>
    <phoneticPr fontId="58"/>
  </si>
  <si>
    <t>Items for sales</t>
    <phoneticPr fontId="58"/>
  </si>
  <si>
    <t>Regarding product name, new producr category, product sales status, and PCN number, "-" indicates no value</t>
    <phoneticPr fontId="54"/>
  </si>
  <si>
    <t>＊製品名、新製品区分、製品販売状況、PCN番号に関して、"-"は値なしを示す。</t>
    <rPh sb="1" eb="4">
      <t>セイヒンメイ</t>
    </rPh>
    <rPh sb="5" eb="8">
      <t>シンセイヒン</t>
    </rPh>
    <rPh sb="8" eb="10">
      <t>クブン</t>
    </rPh>
    <rPh sb="11" eb="13">
      <t>セイヒン</t>
    </rPh>
    <rPh sb="13" eb="15">
      <t>ハンバイ</t>
    </rPh>
    <rPh sb="15" eb="17">
      <t>ジョウキョウ</t>
    </rPh>
    <rPh sb="21" eb="23">
      <t>バンゴウ</t>
    </rPh>
    <rPh sb="24" eb="25">
      <t>カン</t>
    </rPh>
    <phoneticPr fontId="58"/>
  </si>
  <si>
    <t xml:space="preserve">Regarding the requested certificates, "YES" indicates that a certficate was requested, </t>
    <phoneticPr fontId="54"/>
  </si>
  <si>
    <t>and "-" indicates that a certficate was not requested</t>
    <phoneticPr fontId="54"/>
  </si>
  <si>
    <t>Output in ascending order of product name, then ascending oder of CL code(end of value if no value exists)</t>
    <phoneticPr fontId="54"/>
  </si>
  <si>
    <t>［Information］</t>
    <phoneticPr fontId="54"/>
  </si>
  <si>
    <t>Chemical substance data</t>
    <phoneticPr fontId="54"/>
  </si>
  <si>
    <t>Search results:104 results</t>
    <phoneticPr fontId="54"/>
  </si>
  <si>
    <t>Reception_number
受付番号</t>
    <rPh sb="17" eb="21">
      <t>ウケツケバンゴウ</t>
    </rPh>
    <phoneticPr fontId="54"/>
  </si>
  <si>
    <t>End_user
エンドユーザー</t>
    <phoneticPr fontId="54"/>
  </si>
  <si>
    <t>Applicatrion_date
申請日</t>
    <rPh sb="18" eb="21">
      <t>シンセイビ</t>
    </rPh>
    <phoneticPr fontId="54"/>
  </si>
  <si>
    <t>Expiry_date
有効期限日</t>
    <rPh sb="12" eb="17">
      <t>ユウコウキゲンビ</t>
    </rPh>
    <phoneticPr fontId="54"/>
  </si>
  <si>
    <t>File_size
ファイルサイズ</t>
    <phoneticPr fontId="54"/>
  </si>
  <si>
    <t>Status
ステータス</t>
    <phoneticPr fontId="54"/>
  </si>
  <si>
    <t>Document
ドキュメント</t>
    <phoneticPr fontId="54"/>
  </si>
  <si>
    <t>Submission_company 
提出先企業名</t>
    <rPh sb="20" eb="22">
      <t>テイシュツ</t>
    </rPh>
    <rPh sb="21" eb="24">
      <t>キギョウメイ</t>
    </rPh>
    <phoneticPr fontId="54"/>
  </si>
  <si>
    <t>A company
A社</t>
    <rPh sb="11" eb="12">
      <t>シャ</t>
    </rPh>
    <phoneticPr fontId="54"/>
  </si>
  <si>
    <t>B company
B社</t>
    <rPh sb="11" eb="12">
      <t>シャ</t>
    </rPh>
    <phoneticPr fontId="54"/>
  </si>
  <si>
    <t>C company
C社</t>
    <rPh sb="11" eb="12">
      <t>シャ</t>
    </rPh>
    <phoneticPr fontId="54"/>
  </si>
  <si>
    <t>Processing
処理中</t>
    <rPh sb="11" eb="14">
      <t>ショリチュウ</t>
    </rPh>
    <phoneticPr fontId="54"/>
  </si>
  <si>
    <t>Expaired
有効期限切れ</t>
    <rPh sb="9" eb="14">
      <t>ユウコウキゲンギ</t>
    </rPh>
    <phoneticPr fontId="54"/>
  </si>
  <si>
    <t>2.2　日英表記切替ボタン</t>
    <rPh sb="4" eb="8">
      <t>ニチエイヒョウキ</t>
    </rPh>
    <rPh sb="8" eb="10">
      <t>キリカエ</t>
    </rPh>
    <phoneticPr fontId="10"/>
  </si>
  <si>
    <r>
      <rPr>
        <sz val="9"/>
        <rFont val="Meiryo UI"/>
        <family val="3"/>
        <charset val="128"/>
      </rPr>
      <t>検索ヒット件数:104件</t>
    </r>
    <r>
      <rPr>
        <sz val="8"/>
        <rFont val="Meiryo UI"/>
        <family val="3"/>
        <charset val="128"/>
      </rPr>
      <t xml:space="preserve">
</t>
    </r>
    <r>
      <rPr>
        <sz val="7.5"/>
        <rFont val="Meiryo UI"/>
        <family val="3"/>
        <charset val="128"/>
      </rPr>
      <t>Search results:104 results</t>
    </r>
    <phoneticPr fontId="54"/>
  </si>
  <si>
    <t>有効期限切れ
Expaired</t>
    <rPh sb="0" eb="5">
      <t>ユウコウキゲンギ</t>
    </rPh>
    <phoneticPr fontId="54"/>
  </si>
  <si>
    <t>処理中
Processing</t>
    <rPh sb="0" eb="3">
      <t>ショリチュウ</t>
    </rPh>
    <phoneticPr fontId="54"/>
  </si>
  <si>
    <r>
      <t>［お知らせ/</t>
    </r>
    <r>
      <rPr>
        <sz val="7"/>
        <rFont val="Meiryo UI"/>
        <family val="3"/>
        <charset val="128"/>
      </rPr>
      <t>Information</t>
    </r>
    <r>
      <rPr>
        <sz val="8"/>
        <rFont val="Meiryo UI"/>
        <family val="3"/>
        <charset val="128"/>
      </rPr>
      <t>］</t>
    </r>
    <rPh sb="2" eb="3">
      <t>シ</t>
    </rPh>
    <phoneticPr fontId="54"/>
  </si>
  <si>
    <t>r1.1</t>
    <phoneticPr fontId="48"/>
  </si>
  <si>
    <t>「化学物質データ画面(日英併記)」、「化学物質データ画面(日英切替)」シートを追加、「化学物質データ画面(日本語)」シートを削除</t>
    <rPh sb="31" eb="33">
      <t>キリカエ</t>
    </rPh>
    <rPh sb="39" eb="41">
      <t>ツイカ</t>
    </rPh>
    <rPh sb="53" eb="56">
      <t>ニホンゴ</t>
    </rPh>
    <rPh sb="62" eb="64">
      <t>サクジョ</t>
    </rPh>
    <phoneticPr fontId="48"/>
  </si>
  <si>
    <t>データ画面を日英併記と日英切替の2種類を作成</t>
    <rPh sb="3" eb="5">
      <t>ガメン</t>
    </rPh>
    <rPh sb="6" eb="8">
      <t>ニチエイ</t>
    </rPh>
    <rPh sb="8" eb="10">
      <t>ヘイキ</t>
    </rPh>
    <rPh sb="11" eb="13">
      <t>ニチエイ</t>
    </rPh>
    <rPh sb="13" eb="15">
      <t>キリカエ</t>
    </rPh>
    <rPh sb="17" eb="19">
      <t>シュルイ</t>
    </rPh>
    <rPh sb="20" eb="22">
      <t>サクセイ</t>
    </rPh>
    <phoneticPr fontId="4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</si>
</sst>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#,##0;\-#,##0;&quot;-&quot;"/>
    <numFmt numFmtId="177" formatCode="0.00_)"/>
    <numFmt numFmtId="178" formatCode="#,##0.00;[Red]\(#,##0.00\)"/>
    <numFmt numFmtId="179" formatCode="#,##0.00_);[Red]\(#,##0.00\)"/>
    <numFmt numFmtId="180" formatCode="0.0_);[Red]\(0.0\)"/>
    <numFmt numFmtId="181" formatCode="#,##0.00_ "/>
    <numFmt numFmtId="182" formatCode="#,##0_ "/>
    <numFmt numFmtId="183" formatCode="#,##0_);[Red]\(#,##0\)"/>
    <numFmt numFmtId="184" formatCode="0.0%"/>
    <numFmt numFmtId="185" formatCode="#,##0_ ;[Red]\-#,##0\ "/>
    <numFmt numFmtId="186" formatCode="#,##0.0000_);[Red]\(#,##0.0000\)"/>
    <numFmt numFmtId="187" formatCode="0.0000_);[Red]\(0.0000\)"/>
    <numFmt numFmtId="188" formatCode="#,##0.0000_ "/>
    <numFmt numFmtId="189" formatCode="0.00_);[Red]\(0.00\)"/>
    <numFmt numFmtId="190" formatCode="0.0000_ "/>
    <numFmt numFmtId="191" formatCode="0_);[Red]\(0\)"/>
    <numFmt numFmtId="192" formatCode="yyyy/mm/dd"/>
  </numFmts>
  <fonts count="131">
    <font>
      <sz val="11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Arial Black"/>
      <family val="2"/>
    </font>
    <font>
      <sz val="12"/>
      <name val="ＭＳ Ｐゴシック"/>
      <family val="3"/>
      <charset val="128"/>
    </font>
    <font>
      <sz val="16"/>
      <name val="ＭＳ Ｐゴシック"/>
      <family val="3"/>
      <charset val="128"/>
    </font>
    <font>
      <b/>
      <u/>
      <sz val="10"/>
      <name val="ＭＳ Ｐゴシック"/>
      <family val="3"/>
      <charset val="128"/>
    </font>
    <font>
      <b/>
      <sz val="10"/>
      <name val="ＭＳ Ｐゴシック"/>
      <family val="3"/>
      <charset val="128"/>
    </font>
    <font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8"/>
      <name val="ＭＳ Ｐゴシック"/>
      <family val="3"/>
      <charset val="128"/>
    </font>
    <font>
      <sz val="11"/>
      <name val="ＭＳ 明朝"/>
      <family val="1"/>
      <charset val="128"/>
    </font>
    <font>
      <sz val="10"/>
      <color indexed="8"/>
      <name val="Arial"/>
      <family val="2"/>
    </font>
    <font>
      <b/>
      <sz val="10"/>
      <color indexed="9"/>
      <name val="ＭＳ ゴシック"/>
      <family val="3"/>
      <charset val="128"/>
    </font>
    <font>
      <b/>
      <sz val="8"/>
      <color indexed="9"/>
      <name val="ＭＳ ゴシック"/>
      <family val="3"/>
      <charset val="128"/>
    </font>
    <font>
      <b/>
      <sz val="8"/>
      <color indexed="8"/>
      <name val="ＭＳ ゴシック"/>
      <family val="3"/>
      <charset val="128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b/>
      <sz val="10"/>
      <color indexed="8"/>
      <name val="ＭＳ ゴシック"/>
      <family val="3"/>
      <charset val="128"/>
    </font>
    <font>
      <b/>
      <i/>
      <sz val="16"/>
      <name val="Helv"/>
      <family val="2"/>
    </font>
    <font>
      <sz val="10"/>
      <name val="Arial"/>
      <family val="2"/>
    </font>
    <font>
      <sz val="10"/>
      <color indexed="8"/>
      <name val="_x001b_$B#M#S_x001b_(B _x001b_$B%4%7%C%/_x001b_(B"/>
      <family val="1"/>
    </font>
    <font>
      <b/>
      <i/>
      <sz val="10"/>
      <color indexed="8"/>
      <name val="_x001b_$B#M#S_x001b_(B _x001b_$B%4%7%C%/_x001b_(B"/>
      <family val="1"/>
    </font>
    <font>
      <b/>
      <sz val="10"/>
      <color indexed="9"/>
      <name val="_x001b_$B#M#S_x001b_(B _x001b_$B%4%7%C%/_x001b_(B"/>
      <family val="1"/>
    </font>
    <font>
      <b/>
      <sz val="10"/>
      <color indexed="17"/>
      <name val="_x001b_$B#M#S_x001b_(B _x001b_$B%4%7%C%/_x001b_(B"/>
      <family val="1"/>
    </font>
    <font>
      <b/>
      <sz val="16"/>
      <color indexed="13"/>
      <name val="_x001b_$B#M#S_x001b_(B _x001b_$B%4%7%C%/_x001b_(B"/>
      <family val="1"/>
    </font>
    <font>
      <b/>
      <sz val="12"/>
      <color indexed="8"/>
      <name val="ＭＳ ゴシック"/>
      <family val="3"/>
      <charset val="128"/>
    </font>
    <font>
      <sz val="8"/>
      <color indexed="16"/>
      <name val="Century Schoolbook"/>
      <family val="1"/>
    </font>
    <font>
      <sz val="8"/>
      <color indexed="8"/>
      <name val="ＭＳ ゴシック"/>
      <family val="3"/>
      <charset val="128"/>
    </font>
    <font>
      <sz val="8"/>
      <color indexed="12"/>
      <name val="ＭＳ ゴシック"/>
      <family val="3"/>
      <charset val="128"/>
    </font>
    <font>
      <b/>
      <i/>
      <sz val="10"/>
      <name val="Times New Roman"/>
      <family val="1"/>
    </font>
    <font>
      <b/>
      <sz val="11"/>
      <name val="Helv"/>
      <family val="2"/>
    </font>
    <font>
      <b/>
      <sz val="9"/>
      <name val="Times New Roman"/>
      <family val="1"/>
    </font>
    <font>
      <sz val="8"/>
      <color indexed="8"/>
      <name val="Wingdings"/>
      <charset val="2"/>
    </font>
    <font>
      <sz val="11"/>
      <name val="明朝"/>
      <family val="3"/>
      <charset val="128"/>
    </font>
    <font>
      <sz val="14"/>
      <name val="ＭＳ 明朝"/>
      <family val="1"/>
      <charset val="128"/>
    </font>
    <font>
      <b/>
      <sz val="9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0"/>
      <color indexed="9"/>
      <name val="ＭＳ Ｐゴシック"/>
      <family val="3"/>
      <charset val="128"/>
    </font>
    <font>
      <sz val="10"/>
      <color rgb="FFFF0000"/>
      <name val="ＭＳ Ｐゴシック"/>
      <family val="3"/>
      <charset val="128"/>
    </font>
    <font>
      <sz val="10"/>
      <color theme="1"/>
      <name val="ＭＳ Ｐゴシック"/>
      <family val="3"/>
      <charset val="128"/>
      <scheme val="minor"/>
    </font>
    <font>
      <sz val="10"/>
      <name val="ＭＳ Ｐゴシック"/>
      <family val="3"/>
      <charset val="128"/>
      <scheme val="minor"/>
    </font>
    <font>
      <b/>
      <sz val="12"/>
      <color theme="0"/>
      <name val="ＭＳ Ｐゴシック"/>
      <family val="3"/>
      <charset val="128"/>
      <scheme val="minor"/>
    </font>
    <font>
      <sz val="6"/>
      <name val="ＭＳ Ｐゴシック"/>
      <family val="3"/>
      <charset val="128"/>
      <scheme val="minor"/>
    </font>
    <font>
      <sz val="11"/>
      <color theme="0"/>
      <name val="ＭＳ Ｐゴシック"/>
      <family val="2"/>
      <charset val="128"/>
      <scheme val="minor"/>
    </font>
    <font>
      <sz val="10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scheme val="minor"/>
    </font>
    <font>
      <sz val="6"/>
      <name val="ＭＳ Ｐゴシック"/>
      <family val="2"/>
      <charset val="128"/>
      <scheme val="minor"/>
    </font>
    <font>
      <sz val="9"/>
      <name val="ＭＳ Ｐゴシック"/>
      <family val="3"/>
      <charset val="128"/>
      <scheme val="minor"/>
    </font>
    <font>
      <sz val="11"/>
      <color theme="1"/>
      <name val="ＭＳ Ｐゴシック"/>
      <family val="3"/>
      <charset val="128"/>
      <scheme val="minor"/>
    </font>
    <font>
      <u/>
      <sz val="9"/>
      <color theme="3" tint="0.39997558519241921"/>
      <name val="ＭＳ Ｐゴシック"/>
      <family val="3"/>
      <charset val="128"/>
      <scheme val="minor"/>
    </font>
    <font>
      <sz val="10"/>
      <color rgb="FFFF0000"/>
      <name val="ＭＳ Ｐゴシック"/>
      <family val="3"/>
      <charset val="128"/>
      <scheme val="minor"/>
    </font>
    <font>
      <sz val="10"/>
      <name val="ＭＳ Ｐゴシック"/>
      <family val="2"/>
      <charset val="128"/>
      <scheme val="minor"/>
    </font>
    <font>
      <sz val="11"/>
      <color theme="0" tint="-0.14999847407452621"/>
      <name val="ＭＳ Ｐゴシック"/>
      <family val="2"/>
      <charset val="128"/>
      <scheme val="minor"/>
    </font>
    <font>
      <sz val="11"/>
      <color rgb="FFFFFF00"/>
      <name val="ＭＳ Ｐゴシック"/>
      <family val="2"/>
      <charset val="128"/>
      <scheme val="minor"/>
    </font>
    <font>
      <b/>
      <sz val="14"/>
      <color theme="0"/>
      <name val="ＭＳ Ｐゴシック"/>
      <family val="3"/>
      <charset val="128"/>
      <scheme val="minor"/>
    </font>
    <font>
      <sz val="10"/>
      <color theme="0" tint="-0.34998626667073579"/>
      <name val="ＭＳ Ｐゴシック"/>
      <family val="3"/>
      <charset val="128"/>
      <scheme val="minor"/>
    </font>
    <font>
      <u/>
      <sz val="10"/>
      <name val="ＭＳ Ｐゴシック"/>
      <family val="3"/>
      <charset val="128"/>
      <scheme val="minor"/>
    </font>
    <font>
      <b/>
      <sz val="10"/>
      <color rgb="FF00B050"/>
      <name val="ＭＳ Ｐゴシック"/>
      <family val="3"/>
      <charset val="128"/>
      <scheme val="minor"/>
    </font>
    <font>
      <b/>
      <sz val="10"/>
      <color rgb="FFFF0000"/>
      <name val="ＭＳ Ｐゴシック"/>
      <family val="3"/>
      <charset val="128"/>
      <scheme val="minor"/>
    </font>
    <font>
      <sz val="10"/>
      <color theme="0" tint="-0.499984740745262"/>
      <name val="ＭＳ Ｐゴシック"/>
      <family val="3"/>
      <charset val="128"/>
      <scheme val="minor"/>
    </font>
    <font>
      <sz val="9"/>
      <color theme="1"/>
      <name val="ＭＳ Ｐゴシック"/>
      <family val="3"/>
      <charset val="128"/>
      <scheme val="minor"/>
    </font>
    <font>
      <b/>
      <sz val="10"/>
      <name val="ＭＳ Ｐゴシック"/>
      <family val="3"/>
      <charset val="128"/>
      <scheme val="minor"/>
    </font>
    <font>
      <b/>
      <sz val="10"/>
      <color theme="1"/>
      <name val="ＭＳ Ｐゴシック"/>
      <family val="3"/>
      <charset val="128"/>
      <scheme val="minor"/>
    </font>
    <font>
      <u/>
      <sz val="10"/>
      <color rgb="FF0070C0"/>
      <name val="ＭＳ Ｐゴシック"/>
      <family val="3"/>
      <charset val="128"/>
      <scheme val="minor"/>
    </font>
    <font>
      <sz val="11"/>
      <color rgb="FFFF0000"/>
      <name val="ＭＳ Ｐゴシック"/>
      <family val="3"/>
      <charset val="128"/>
      <scheme val="minor"/>
    </font>
    <font>
      <sz val="10"/>
      <color theme="0"/>
      <name val="ＭＳ Ｐゴシック"/>
      <family val="3"/>
      <charset val="128"/>
      <scheme val="minor"/>
    </font>
    <font>
      <sz val="10"/>
      <color rgb="FF0000FF"/>
      <name val="ＭＳ Ｐゴシック"/>
      <family val="3"/>
      <charset val="128"/>
      <scheme val="minor"/>
    </font>
    <font>
      <strike/>
      <sz val="10"/>
      <color rgb="FFFF0000"/>
      <name val="ＭＳ Ｐゴシック"/>
      <family val="3"/>
      <charset val="128"/>
      <scheme val="minor"/>
    </font>
    <font>
      <b/>
      <sz val="12"/>
      <name val="Arial Black"/>
      <family val="2"/>
    </font>
    <font>
      <sz val="9"/>
      <color indexed="81"/>
      <name val="MS P ゴシック"/>
      <family val="3"/>
      <charset val="128"/>
    </font>
    <font>
      <b/>
      <sz val="10"/>
      <color rgb="FF00B0F0"/>
      <name val="ＭＳ Ｐゴシック"/>
      <family val="3"/>
      <charset val="128"/>
      <scheme val="minor"/>
    </font>
    <font>
      <sz val="10"/>
      <color theme="6" tint="0.39997558519241921"/>
      <name val="ＭＳ Ｐゴシック"/>
      <family val="3"/>
      <charset val="128"/>
      <scheme val="minor"/>
    </font>
    <font>
      <b/>
      <sz val="10"/>
      <color theme="6" tint="0.39997558519241921"/>
      <name val="ＭＳ Ｐゴシック"/>
      <family val="3"/>
      <charset val="128"/>
      <scheme val="minor"/>
    </font>
    <font>
      <sz val="9"/>
      <color rgb="FFFF0000"/>
      <name val="ＭＳ Ｐゴシック"/>
      <family val="3"/>
      <charset val="128"/>
      <scheme val="minor"/>
    </font>
    <font>
      <u/>
      <sz val="10"/>
      <color theme="1"/>
      <name val="ＭＳ Ｐゴシック"/>
      <family val="3"/>
      <charset val="128"/>
      <scheme val="minor"/>
    </font>
    <font>
      <b/>
      <sz val="10"/>
      <color rgb="FF0000FF"/>
      <name val="ＭＳ Ｐゴシック"/>
      <family val="3"/>
      <charset val="128"/>
      <scheme val="minor"/>
    </font>
    <font>
      <sz val="10"/>
      <color rgb="FF00B050"/>
      <name val="ＭＳ Ｐゴシック"/>
      <family val="3"/>
      <charset val="128"/>
      <scheme val="minor"/>
    </font>
    <font>
      <sz val="9"/>
      <color rgb="FF0000FF"/>
      <name val="ＭＳ Ｐゴシック"/>
      <family val="3"/>
      <charset val="128"/>
      <scheme val="minor"/>
    </font>
    <font>
      <sz val="11"/>
      <color rgb="FF0000FF"/>
      <name val="ＭＳ Ｐゴシック"/>
      <family val="3"/>
      <charset val="128"/>
      <scheme val="minor"/>
    </font>
    <font>
      <b/>
      <sz val="9"/>
      <color rgb="FF0000FF"/>
      <name val="ＭＳ Ｐゴシック"/>
      <family val="3"/>
      <charset val="128"/>
      <scheme val="minor"/>
    </font>
    <font>
      <strike/>
      <u/>
      <sz val="10"/>
      <color theme="1"/>
      <name val="ＭＳ Ｐゴシック"/>
      <family val="3"/>
      <charset val="128"/>
      <scheme val="minor"/>
    </font>
    <font>
      <sz val="10"/>
      <color theme="0"/>
      <name val="Meiryo UI"/>
      <family val="3"/>
      <charset val="128"/>
    </font>
    <font>
      <sz val="9"/>
      <color theme="0"/>
      <name val="Meiryo UI"/>
      <family val="3"/>
      <charset val="128"/>
    </font>
    <font>
      <sz val="10"/>
      <name val="Meiryo UI"/>
      <family val="3"/>
      <charset val="128"/>
    </font>
    <font>
      <b/>
      <sz val="14"/>
      <color theme="0" tint="-0.14999847407452621"/>
      <name val="Meiryo UI"/>
      <family val="3"/>
      <charset val="128"/>
    </font>
    <font>
      <sz val="11"/>
      <color theme="0" tint="-0.14999847407452621"/>
      <name val="Meiryo UI"/>
      <family val="3"/>
      <charset val="128"/>
    </font>
    <font>
      <sz val="11"/>
      <color theme="0"/>
      <name val="Meiryo UI"/>
      <family val="3"/>
      <charset val="128"/>
    </font>
    <font>
      <sz val="10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sz val="11"/>
      <color rgb="FFFF0000"/>
      <name val="Meiryo UI"/>
      <family val="3"/>
      <charset val="128"/>
    </font>
    <font>
      <b/>
      <sz val="10"/>
      <color theme="1"/>
      <name val="Meiryo UI"/>
      <family val="3"/>
      <charset val="128"/>
    </font>
    <font>
      <sz val="9"/>
      <name val="Meiryo UI"/>
      <family val="3"/>
      <charset val="128"/>
    </font>
    <font>
      <sz val="8"/>
      <color rgb="FF008000"/>
      <name val="Meiryo UI"/>
      <family val="3"/>
      <charset val="128"/>
    </font>
    <font>
      <sz val="11"/>
      <name val="Meiryo UI"/>
      <family val="3"/>
      <charset val="128"/>
    </font>
    <font>
      <sz val="16"/>
      <name val="Meiryo UI"/>
      <family val="3"/>
      <charset val="128"/>
    </font>
    <font>
      <b/>
      <sz val="10"/>
      <name val="Meiryo UI"/>
      <family val="3"/>
      <charset val="128"/>
    </font>
    <font>
      <sz val="8"/>
      <name val="Meiryo UI"/>
      <family val="3"/>
      <charset val="128"/>
    </font>
    <font>
      <sz val="8"/>
      <color theme="1"/>
      <name val="Meiryo UI"/>
      <family val="3"/>
      <charset val="128"/>
    </font>
    <font>
      <sz val="8"/>
      <color rgb="FF0000FF"/>
      <name val="Meiryo UI"/>
      <family val="3"/>
      <charset val="128"/>
    </font>
    <font>
      <b/>
      <sz val="8"/>
      <name val="Meiryo UI"/>
      <family val="3"/>
      <charset val="128"/>
    </font>
    <font>
      <sz val="8"/>
      <color rgb="FF3366CC"/>
      <name val="Meiryo UI"/>
      <family val="3"/>
      <charset val="128"/>
    </font>
    <font>
      <sz val="6"/>
      <name val="Meiryo UI"/>
      <family val="3"/>
      <charset val="128"/>
    </font>
    <font>
      <sz val="6"/>
      <color theme="1"/>
      <name val="Meiryo UI"/>
      <family val="3"/>
      <charset val="128"/>
    </font>
    <font>
      <sz val="8"/>
      <color rgb="FF0033CC"/>
      <name val="Meiryo UI"/>
      <family val="3"/>
      <charset val="128"/>
    </font>
    <font>
      <sz val="7"/>
      <color theme="0"/>
      <name val="Meiryo UI"/>
      <family val="3"/>
      <charset val="128"/>
    </font>
    <font>
      <sz val="7.5"/>
      <color theme="0"/>
      <name val="Meiryo UI"/>
      <family val="3"/>
      <charset val="128"/>
    </font>
    <font>
      <sz val="10"/>
      <color rgb="FFFF9900"/>
      <name val="Meiryo UI"/>
      <family val="3"/>
      <charset val="128"/>
    </font>
    <font>
      <sz val="9"/>
      <color theme="1"/>
      <name val="Meiryo UI"/>
      <family val="3"/>
      <charset val="128"/>
    </font>
    <font>
      <b/>
      <sz val="11"/>
      <name val="Meiryo UI"/>
      <family val="3"/>
      <charset val="128"/>
    </font>
    <font>
      <sz val="10"/>
      <color rgb="FFFF0000"/>
      <name val="Meiryo UI"/>
      <family val="3"/>
      <charset val="128"/>
    </font>
    <font>
      <b/>
      <sz val="9"/>
      <name val="Meiryo UI"/>
      <family val="3"/>
      <charset val="128"/>
    </font>
    <font>
      <sz val="9"/>
      <color indexed="81"/>
      <name val="ＭＳ Ｐゴシック"/>
      <family val="3"/>
      <charset val="128"/>
    </font>
    <font>
      <sz val="9"/>
      <color indexed="8"/>
      <name val="ＭＳ Ｐゴシック"/>
      <family val="3"/>
      <charset val="128"/>
    </font>
    <font>
      <sz val="10"/>
      <color indexed="8"/>
      <name val="ＭＳ Ｐゴシック"/>
      <family val="3"/>
      <charset val="128"/>
    </font>
    <font>
      <b/>
      <sz val="10"/>
      <color indexed="8"/>
      <name val="ＭＳ Ｐゴシック"/>
      <family val="3"/>
      <charset val="128"/>
    </font>
    <font>
      <sz val="14"/>
      <name val="Meiryo UI"/>
      <family val="3"/>
      <charset val="128"/>
    </font>
    <font>
      <sz val="16"/>
      <color theme="1"/>
      <name val="Meiryo UI"/>
      <family val="3"/>
      <charset val="128"/>
    </font>
    <font>
      <sz val="7.5"/>
      <name val="Meiryo UI"/>
      <family val="3"/>
      <charset val="128"/>
    </font>
    <font>
      <sz val="7"/>
      <name val="Meiryo UI"/>
      <family val="3"/>
      <charset val="128"/>
    </font>
  </fonts>
  <fills count="43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12"/>
      </patternFill>
    </fill>
    <fill>
      <patternFill patternType="solid">
        <fgColor indexed="9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3"/>
      </patternFill>
    </fill>
    <fill>
      <patternFill patternType="solid">
        <fgColor indexed="17"/>
      </patternFill>
    </fill>
    <fill>
      <patternFill patternType="solid">
        <fgColor indexed="43"/>
      </patternFill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465926084170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3399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004098"/>
        <bgColor indexed="64"/>
      </patternFill>
    </fill>
    <fill>
      <patternFill patternType="solid">
        <fgColor rgb="FF01328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55"/>
        <bgColor indexed="64"/>
      </patternFill>
    </fill>
  </fills>
  <borders count="99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0" tint="-0.499984740745262"/>
      </right>
      <top style="thin">
        <color indexed="64"/>
      </top>
      <bottom/>
      <diagonal/>
    </border>
    <border>
      <left style="thin">
        <color theme="0" tint="-0.499984740745262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0" tint="-0.499984740745262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 tint="-0.499984740745262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theme="0" tint="-0.499984740745262"/>
      </top>
      <bottom/>
      <diagonal/>
    </border>
    <border>
      <left/>
      <right style="thin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indexed="64"/>
      </right>
      <top style="thin">
        <color theme="0" tint="-0.499984740745262"/>
      </top>
      <bottom/>
      <diagonal/>
    </border>
    <border>
      <left style="thin">
        <color indexed="64"/>
      </left>
      <right/>
      <top style="thin">
        <color theme="0" tint="-0.499984740745262"/>
      </top>
      <bottom/>
      <diagonal/>
    </border>
    <border>
      <left style="thin">
        <color indexed="64"/>
      </left>
      <right/>
      <top style="thin">
        <color indexed="64"/>
      </top>
      <bottom style="thin">
        <color theme="0" tint="-0.499984740745262"/>
      </bottom>
      <diagonal/>
    </border>
    <border>
      <left/>
      <right/>
      <top style="thin">
        <color indexed="64"/>
      </top>
      <bottom style="thin">
        <color theme="0" tint="-0.499984740745262"/>
      </bottom>
      <diagonal/>
    </border>
    <border>
      <left/>
      <right style="thin">
        <color indexed="64"/>
      </right>
      <top style="thin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indexed="64"/>
      </right>
      <top/>
      <bottom/>
      <diagonal/>
    </border>
    <border>
      <left style="thin">
        <color theme="0" tint="-0.499984740745262"/>
      </left>
      <right/>
      <top/>
      <bottom style="thin">
        <color indexed="64"/>
      </bottom>
      <diagonal/>
    </border>
    <border>
      <left/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/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/>
      <top/>
      <bottom style="thin">
        <color indexed="0"/>
      </bottom>
      <diagonal/>
    </border>
    <border>
      <left/>
      <right/>
      <top/>
      <bottom style="thin">
        <color indexed="0"/>
      </bottom>
      <diagonal/>
    </border>
    <border>
      <left/>
      <right style="thin">
        <color indexed="0"/>
      </right>
      <top/>
      <bottom style="thin">
        <color indexed="0"/>
      </bottom>
      <diagonal/>
    </border>
    <border>
      <left style="thin">
        <color indexed="0"/>
      </left>
      <right/>
      <top style="thin">
        <color indexed="64"/>
      </top>
      <bottom style="thin">
        <color indexed="64"/>
      </bottom>
      <diagonal/>
    </border>
    <border>
      <left style="thin">
        <color indexed="0"/>
      </left>
      <right/>
      <top style="thin">
        <color indexed="64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/>
      <top style="thin">
        <color indexed="0"/>
      </top>
      <bottom style="thin">
        <color indexed="64"/>
      </bottom>
      <diagonal/>
    </border>
    <border>
      <left/>
      <right/>
      <top style="thin">
        <color indexed="0"/>
      </top>
      <bottom style="thin">
        <color indexed="64"/>
      </bottom>
      <diagonal/>
    </border>
    <border>
      <left/>
      <right style="thin">
        <color indexed="0"/>
      </right>
      <top style="thin">
        <color indexed="0"/>
      </top>
      <bottom style="thin">
        <color indexed="64"/>
      </bottom>
      <diagonal/>
    </border>
    <border>
      <left style="thin">
        <color indexed="0"/>
      </left>
      <right/>
      <top style="thin">
        <color indexed="0"/>
      </top>
      <bottom/>
      <diagonal/>
    </border>
    <border>
      <left/>
      <right/>
      <top style="thin">
        <color indexed="0"/>
      </top>
      <bottom/>
      <diagonal/>
    </border>
    <border>
      <left/>
      <right style="thin">
        <color indexed="0"/>
      </right>
      <top style="thin">
        <color indexed="0"/>
      </top>
      <bottom/>
      <diagonal/>
    </border>
    <border>
      <left/>
      <right style="thin">
        <color indexed="64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theme="0" tint="-0.14996795556505021"/>
      </right>
      <top style="thin">
        <color theme="0" tint="-0.14999847407452621"/>
      </top>
      <bottom/>
      <diagonal/>
    </border>
    <border>
      <left style="thin">
        <color theme="0" tint="-0.14996795556505021"/>
      </left>
      <right/>
      <top style="thin">
        <color theme="0" tint="-0.14999847407452621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</borders>
  <cellStyleXfs count="186">
    <xf numFmtId="0" fontId="0" fillId="0" borderId="0">
      <alignment vertical="center"/>
    </xf>
    <xf numFmtId="0" fontId="21" fillId="0" borderId="0"/>
    <xf numFmtId="0" fontId="21" fillId="0" borderId="0"/>
    <xf numFmtId="176" fontId="22" fillId="0" borderId="0" applyFill="0" applyBorder="0" applyAlignment="0"/>
    <xf numFmtId="0" fontId="23" fillId="3" borderId="0">
      <alignment horizontal="left"/>
    </xf>
    <xf numFmtId="0" fontId="24" fillId="3" borderId="0">
      <alignment horizontal="right"/>
    </xf>
    <xf numFmtId="0" fontId="25" fillId="4" borderId="0">
      <alignment horizontal="center"/>
    </xf>
    <xf numFmtId="0" fontId="24" fillId="3" borderId="0">
      <alignment horizontal="right"/>
    </xf>
    <xf numFmtId="0" fontId="25" fillId="4" borderId="0">
      <alignment horizontal="left"/>
    </xf>
    <xf numFmtId="0" fontId="26" fillId="0" borderId="0">
      <alignment horizontal="left"/>
    </xf>
    <xf numFmtId="38" fontId="27" fillId="5" borderId="0" applyNumberFormat="0" applyBorder="0" applyAlignment="0" applyProtection="0"/>
    <xf numFmtId="0" fontId="28" fillId="0" borderId="1" applyNumberFormat="0" applyAlignment="0" applyProtection="0">
      <alignment horizontal="left" vertical="center"/>
    </xf>
    <xf numFmtId="0" fontId="28" fillId="0" borderId="2">
      <alignment horizontal="left" vertical="center"/>
    </xf>
    <xf numFmtId="10" fontId="27" fillId="6" borderId="3" applyNumberFormat="0" applyBorder="0" applyAlignment="0" applyProtection="0"/>
    <xf numFmtId="0" fontId="23" fillId="3" borderId="0">
      <alignment horizontal="left"/>
    </xf>
    <xf numFmtId="0" fontId="29" fillId="4" borderId="0">
      <alignment horizontal="left"/>
    </xf>
    <xf numFmtId="177" fontId="30" fillId="0" borderId="0"/>
    <xf numFmtId="0" fontId="31" fillId="0" borderId="0"/>
    <xf numFmtId="178" fontId="32" fillId="4" borderId="0">
      <alignment horizontal="right"/>
    </xf>
    <xf numFmtId="0" fontId="33" fillId="7" borderId="0">
      <alignment horizontal="center"/>
    </xf>
    <xf numFmtId="0" fontId="34" fillId="8" borderId="0"/>
    <xf numFmtId="0" fontId="35" fillId="4" borderId="0" applyBorder="0">
      <alignment horizontal="centerContinuous"/>
    </xf>
    <xf numFmtId="0" fontId="36" fillId="8" borderId="0" applyBorder="0">
      <alignment horizontal="centerContinuous"/>
    </xf>
    <xf numFmtId="10" fontId="31" fillId="0" borderId="0" applyFont="0" applyFill="0" applyBorder="0" applyAlignment="0" applyProtection="0"/>
    <xf numFmtId="4" fontId="26" fillId="0" borderId="0">
      <alignment horizontal="right"/>
    </xf>
    <xf numFmtId="0" fontId="29" fillId="9" borderId="0">
      <alignment horizontal="center"/>
    </xf>
    <xf numFmtId="49" fontId="37" fillId="4" borderId="0">
      <alignment horizontal="center"/>
    </xf>
    <xf numFmtId="4" fontId="38" fillId="0" borderId="0">
      <alignment horizontal="right"/>
    </xf>
    <xf numFmtId="0" fontId="24" fillId="3" borderId="0">
      <alignment horizontal="center"/>
    </xf>
    <xf numFmtId="0" fontId="24" fillId="3" borderId="0">
      <alignment horizontal="centerContinuous"/>
    </xf>
    <xf numFmtId="0" fontId="39" fillId="4" borderId="0">
      <alignment horizontal="left"/>
    </xf>
    <xf numFmtId="49" fontId="39" fillId="4" borderId="0">
      <alignment horizontal="center"/>
    </xf>
    <xf numFmtId="0" fontId="23" fillId="3" borderId="0">
      <alignment horizontal="left"/>
    </xf>
    <xf numFmtId="49" fontId="39" fillId="4" borderId="0">
      <alignment horizontal="left"/>
    </xf>
    <xf numFmtId="0" fontId="23" fillId="3" borderId="0">
      <alignment horizontal="centerContinuous"/>
    </xf>
    <xf numFmtId="0" fontId="23" fillId="3" borderId="0">
      <alignment horizontal="right"/>
    </xf>
    <xf numFmtId="49" fontId="29" fillId="4" borderId="0">
      <alignment horizontal="left"/>
    </xf>
    <xf numFmtId="0" fontId="24" fillId="3" borderId="0">
      <alignment horizontal="right"/>
    </xf>
    <xf numFmtId="0" fontId="39" fillId="2" borderId="0">
      <alignment horizontal="center"/>
    </xf>
    <xf numFmtId="0" fontId="40" fillId="2" borderId="0">
      <alignment horizontal="center"/>
    </xf>
    <xf numFmtId="0" fontId="41" fillId="0" borderId="0">
      <alignment horizontal="left"/>
    </xf>
    <xf numFmtId="0" fontId="42" fillId="0" borderId="0"/>
    <xf numFmtId="0" fontId="43" fillId="0" borderId="0">
      <alignment horizontal="center"/>
    </xf>
    <xf numFmtId="0" fontId="44" fillId="4" borderId="0">
      <alignment horizontal="center"/>
    </xf>
    <xf numFmtId="0" fontId="45" fillId="0" borderId="0"/>
    <xf numFmtId="0" fontId="1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>
      <alignment vertical="center"/>
    </xf>
    <xf numFmtId="0" fontId="46" fillId="0" borderId="0"/>
    <xf numFmtId="0" fontId="9" fillId="0" borderId="0">
      <alignment vertical="center"/>
    </xf>
    <xf numFmtId="0" fontId="8" fillId="0" borderId="0">
      <alignment vertical="center"/>
    </xf>
    <xf numFmtId="0" fontId="7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57" fillId="0" borderId="0"/>
    <xf numFmtId="0" fontId="3" fillId="0" borderId="0">
      <alignment vertical="center"/>
    </xf>
    <xf numFmtId="0" fontId="60" fillId="0" borderId="0">
      <alignment vertical="center"/>
    </xf>
    <xf numFmtId="0" fontId="12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</cellStyleXfs>
  <cellXfs count="1172">
    <xf numFmtId="0" fontId="0" fillId="0" borderId="0" xfId="0">
      <alignment vertical="center"/>
    </xf>
    <xf numFmtId="0" fontId="12" fillId="0" borderId="0" xfId="48"/>
    <xf numFmtId="0" fontId="13" fillId="0" borderId="0" xfId="48" applyFont="1"/>
    <xf numFmtId="0" fontId="14" fillId="0" borderId="3" xfId="48" applyFont="1" applyBorder="1" applyAlignment="1">
      <alignment horizontal="center"/>
    </xf>
    <xf numFmtId="14" fontId="14" fillId="0" borderId="4" xfId="48" applyNumberFormat="1" applyFont="1" applyBorder="1" applyAlignment="1">
      <alignment horizontal="center"/>
    </xf>
    <xf numFmtId="0" fontId="14" fillId="0" borderId="4" xfId="48" applyFont="1" applyBorder="1" applyAlignment="1">
      <alignment horizontal="center"/>
    </xf>
    <xf numFmtId="0" fontId="14" fillId="0" borderId="5" xfId="48" applyFont="1" applyBorder="1" applyAlignment="1">
      <alignment horizontal="center"/>
    </xf>
    <xf numFmtId="0" fontId="15" fillId="0" borderId="0" xfId="48" applyFont="1"/>
    <xf numFmtId="0" fontId="18" fillId="0" borderId="0" xfId="48" applyFont="1" applyAlignment="1">
      <alignment vertical="center"/>
    </xf>
    <xf numFmtId="0" fontId="14" fillId="14" borderId="0" xfId="48" applyFont="1" applyFill="1" applyAlignment="1">
      <alignment horizontal="center"/>
    </xf>
    <xf numFmtId="14" fontId="14" fillId="14" borderId="0" xfId="48" applyNumberFormat="1" applyFont="1" applyFill="1" applyAlignment="1">
      <alignment horizontal="center"/>
    </xf>
    <xf numFmtId="0" fontId="16" fillId="11" borderId="0" xfId="48" applyFont="1" applyFill="1" applyAlignment="1">
      <alignment vertical="center"/>
    </xf>
    <xf numFmtId="0" fontId="17" fillId="12" borderId="0" xfId="48" applyFont="1" applyFill="1" applyAlignment="1">
      <alignment vertical="center"/>
    </xf>
    <xf numFmtId="0" fontId="18" fillId="0" borderId="0" xfId="48" applyFont="1" applyAlignment="1">
      <alignment horizontal="left" vertical="center"/>
    </xf>
    <xf numFmtId="0" fontId="17" fillId="12" borderId="0" xfId="48" applyFont="1" applyFill="1" applyAlignment="1">
      <alignment horizontal="center" vertical="center"/>
    </xf>
    <xf numFmtId="0" fontId="18" fillId="0" borderId="0" xfId="48" applyFont="1" applyAlignment="1">
      <alignment horizontal="center" vertical="center"/>
    </xf>
    <xf numFmtId="14" fontId="18" fillId="0" borderId="0" xfId="48" applyNumberFormat="1" applyFont="1" applyAlignment="1">
      <alignment horizontal="center" vertical="center"/>
    </xf>
    <xf numFmtId="0" fontId="17" fillId="11" borderId="0" xfId="48" applyFont="1" applyFill="1" applyAlignment="1">
      <alignment vertical="center"/>
    </xf>
    <xf numFmtId="0" fontId="19" fillId="0" borderId="0" xfId="48" applyFont="1" applyAlignment="1">
      <alignment vertical="center"/>
    </xf>
    <xf numFmtId="49" fontId="18" fillId="0" borderId="0" xfId="48" applyNumberFormat="1" applyFont="1" applyAlignment="1">
      <alignment horizontal="center" vertical="center"/>
    </xf>
    <xf numFmtId="0" fontId="20" fillId="0" borderId="0" xfId="48" applyFont="1" applyAlignment="1">
      <alignment vertical="center"/>
    </xf>
    <xf numFmtId="49" fontId="18" fillId="14" borderId="13" xfId="0" applyNumberFormat="1" applyFont="1" applyFill="1" applyBorder="1" applyAlignment="1">
      <alignment vertical="top"/>
    </xf>
    <xf numFmtId="0" fontId="18" fillId="10" borderId="6" xfId="49" applyFont="1" applyFill="1" applyBorder="1" applyAlignment="1">
      <alignment horizontal="right" vertical="center"/>
    </xf>
    <xf numFmtId="0" fontId="50" fillId="14" borderId="6" xfId="49" applyFont="1" applyFill="1" applyBorder="1" applyAlignment="1">
      <alignment horizontal="right" vertical="center"/>
    </xf>
    <xf numFmtId="0" fontId="52" fillId="14" borderId="0" xfId="0" applyFont="1" applyFill="1">
      <alignment vertical="center"/>
    </xf>
    <xf numFmtId="0" fontId="0" fillId="14" borderId="0" xfId="0" applyFill="1" applyAlignment="1">
      <alignment vertical="center" wrapText="1"/>
    </xf>
    <xf numFmtId="0" fontId="51" fillId="14" borderId="8" xfId="0" applyFont="1" applyFill="1" applyBorder="1">
      <alignment vertical="center"/>
    </xf>
    <xf numFmtId="49" fontId="18" fillId="10" borderId="15" xfId="0" applyNumberFormat="1" applyFont="1" applyFill="1" applyBorder="1" applyAlignment="1">
      <alignment horizontal="center" vertical="center"/>
    </xf>
    <xf numFmtId="0" fontId="51" fillId="14" borderId="0" xfId="0" applyFont="1" applyFill="1">
      <alignment vertical="center"/>
    </xf>
    <xf numFmtId="49" fontId="18" fillId="10" borderId="6" xfId="0" applyNumberFormat="1" applyFont="1" applyFill="1" applyBorder="1" applyAlignment="1">
      <alignment horizontal="left" vertical="center"/>
    </xf>
    <xf numFmtId="0" fontId="56" fillId="14" borderId="0" xfId="161" applyFont="1" applyFill="1">
      <alignment vertical="center"/>
    </xf>
    <xf numFmtId="0" fontId="51" fillId="14" borderId="0" xfId="161" applyFont="1" applyFill="1">
      <alignment vertical="center"/>
    </xf>
    <xf numFmtId="0" fontId="51" fillId="14" borderId="6" xfId="161" applyFont="1" applyFill="1" applyBorder="1">
      <alignment vertical="center"/>
    </xf>
    <xf numFmtId="0" fontId="51" fillId="14" borderId="11" xfId="161" applyFont="1" applyFill="1" applyBorder="1">
      <alignment vertical="center"/>
    </xf>
    <xf numFmtId="0" fontId="18" fillId="10" borderId="9" xfId="46" applyFont="1" applyFill="1" applyBorder="1" applyAlignment="1">
      <alignment horizontal="centerContinuous"/>
    </xf>
    <xf numFmtId="0" fontId="0" fillId="14" borderId="0" xfId="0" applyFill="1">
      <alignment vertical="center"/>
    </xf>
    <xf numFmtId="0" fontId="55" fillId="18" borderId="2" xfId="161" applyFont="1" applyFill="1" applyBorder="1">
      <alignment vertical="center"/>
    </xf>
    <xf numFmtId="0" fontId="51" fillId="14" borderId="2" xfId="0" applyFont="1" applyFill="1" applyBorder="1">
      <alignment vertical="center"/>
    </xf>
    <xf numFmtId="0" fontId="0" fillId="14" borderId="8" xfId="0" applyFill="1" applyBorder="1">
      <alignment vertical="center"/>
    </xf>
    <xf numFmtId="0" fontId="51" fillId="14" borderId="12" xfId="0" applyFont="1" applyFill="1" applyBorder="1">
      <alignment vertical="center"/>
    </xf>
    <xf numFmtId="0" fontId="18" fillId="10" borderId="22" xfId="46" applyFont="1" applyFill="1" applyBorder="1" applyAlignment="1">
      <alignment horizontal="centerContinuous"/>
    </xf>
    <xf numFmtId="0" fontId="51" fillId="14" borderId="0" xfId="161" applyFont="1" applyFill="1" applyAlignment="1">
      <alignment horizontal="left" vertical="center"/>
    </xf>
    <xf numFmtId="0" fontId="18" fillId="10" borderId="20" xfId="46" applyFont="1" applyFill="1" applyBorder="1" applyAlignment="1">
      <alignment horizontal="centerContinuous"/>
    </xf>
    <xf numFmtId="0" fontId="52" fillId="14" borderId="0" xfId="161" applyFont="1" applyFill="1">
      <alignment vertical="center"/>
    </xf>
    <xf numFmtId="0" fontId="51" fillId="14" borderId="0" xfId="161" applyFont="1" applyFill="1" applyAlignment="1">
      <alignment horizontal="center" vertical="center"/>
    </xf>
    <xf numFmtId="0" fontId="56" fillId="14" borderId="6" xfId="161" quotePrefix="1" applyFont="1" applyFill="1" applyBorder="1">
      <alignment vertical="center"/>
    </xf>
    <xf numFmtId="0" fontId="56" fillId="14" borderId="11" xfId="161" applyFont="1" applyFill="1" applyBorder="1">
      <alignment vertical="center"/>
    </xf>
    <xf numFmtId="0" fontId="66" fillId="18" borderId="10" xfId="161" applyFont="1" applyFill="1" applyBorder="1">
      <alignment vertical="center"/>
    </xf>
    <xf numFmtId="0" fontId="64" fillId="18" borderId="2" xfId="161" applyFont="1" applyFill="1" applyBorder="1">
      <alignment vertical="center"/>
    </xf>
    <xf numFmtId="0" fontId="65" fillId="18" borderId="2" xfId="161" applyFont="1" applyFill="1" applyBorder="1">
      <alignment vertical="center"/>
    </xf>
    <xf numFmtId="0" fontId="55" fillId="18" borderId="2" xfId="161" applyFont="1" applyFill="1" applyBorder="1" applyAlignment="1">
      <alignment horizontal="centerContinuous" vertical="center"/>
    </xf>
    <xf numFmtId="0" fontId="55" fillId="18" borderId="17" xfId="161" applyFont="1" applyFill="1" applyBorder="1" applyAlignment="1">
      <alignment horizontal="centerContinuous" vertical="center"/>
    </xf>
    <xf numFmtId="0" fontId="51" fillId="14" borderId="8" xfId="161" applyFont="1" applyFill="1" applyBorder="1">
      <alignment vertical="center"/>
    </xf>
    <xf numFmtId="0" fontId="51" fillId="14" borderId="12" xfId="161" applyFont="1" applyFill="1" applyBorder="1">
      <alignment vertical="center"/>
    </xf>
    <xf numFmtId="0" fontId="51" fillId="19" borderId="10" xfId="161" quotePrefix="1" applyFont="1" applyFill="1" applyBorder="1">
      <alignment vertical="center"/>
    </xf>
    <xf numFmtId="0" fontId="51" fillId="19" borderId="2" xfId="161" applyFont="1" applyFill="1" applyBorder="1">
      <alignment vertical="center"/>
    </xf>
    <xf numFmtId="0" fontId="51" fillId="19" borderId="2" xfId="161" applyFont="1" applyFill="1" applyBorder="1" applyAlignment="1">
      <alignment horizontal="center" vertical="center"/>
    </xf>
    <xf numFmtId="0" fontId="51" fillId="19" borderId="2" xfId="0" applyFont="1" applyFill="1" applyBorder="1">
      <alignment vertical="center"/>
    </xf>
    <xf numFmtId="0" fontId="51" fillId="0" borderId="10" xfId="161" quotePrefix="1" applyFont="1" applyBorder="1">
      <alignment vertical="center"/>
    </xf>
    <xf numFmtId="0" fontId="51" fillId="0" borderId="2" xfId="161" applyFont="1" applyBorder="1">
      <alignment vertical="center"/>
    </xf>
    <xf numFmtId="0" fontId="51" fillId="0" borderId="2" xfId="161" applyFont="1" applyBorder="1" applyAlignment="1">
      <alignment horizontal="center" vertical="center"/>
    </xf>
    <xf numFmtId="0" fontId="51" fillId="0" borderId="2" xfId="0" applyFont="1" applyBorder="1">
      <alignment vertical="center"/>
    </xf>
    <xf numFmtId="0" fontId="51" fillId="0" borderId="0" xfId="161" quotePrefix="1" applyFont="1">
      <alignment vertical="center"/>
    </xf>
    <xf numFmtId="0" fontId="51" fillId="0" borderId="0" xfId="161" applyFont="1">
      <alignment vertical="center"/>
    </xf>
    <xf numFmtId="0" fontId="51" fillId="0" borderId="0" xfId="161" applyFont="1" applyAlignment="1">
      <alignment horizontal="center" vertical="center"/>
    </xf>
    <xf numFmtId="0" fontId="51" fillId="0" borderId="0" xfId="0" applyFont="1">
      <alignment vertical="center"/>
    </xf>
    <xf numFmtId="0" fontId="51" fillId="19" borderId="17" xfId="0" applyFont="1" applyFill="1" applyBorder="1">
      <alignment vertical="center"/>
    </xf>
    <xf numFmtId="0" fontId="51" fillId="0" borderId="8" xfId="0" applyFont="1" applyBorder="1">
      <alignment vertical="center"/>
    </xf>
    <xf numFmtId="0" fontId="51" fillId="0" borderId="0" xfId="161" applyFont="1" applyAlignment="1">
      <alignment horizontal="centerContinuous" vertical="center"/>
    </xf>
    <xf numFmtId="0" fontId="51" fillId="0" borderId="0" xfId="161" applyFont="1" applyAlignment="1">
      <alignment horizontal="left" vertical="center"/>
    </xf>
    <xf numFmtId="0" fontId="51" fillId="0" borderId="17" xfId="0" applyFont="1" applyBorder="1">
      <alignment vertical="center"/>
    </xf>
    <xf numFmtId="0" fontId="52" fillId="0" borderId="0" xfId="161" applyFont="1" applyAlignment="1">
      <alignment horizontal="centerContinuous" vertical="center"/>
    </xf>
    <xf numFmtId="0" fontId="51" fillId="14" borderId="28" xfId="0" applyFont="1" applyFill="1" applyBorder="1">
      <alignment vertical="center"/>
    </xf>
    <xf numFmtId="0" fontId="51" fillId="14" borderId="31" xfId="0" applyFont="1" applyFill="1" applyBorder="1">
      <alignment vertical="center"/>
    </xf>
    <xf numFmtId="0" fontId="51" fillId="0" borderId="12" xfId="0" applyFont="1" applyBorder="1">
      <alignment vertical="center"/>
    </xf>
    <xf numFmtId="0" fontId="52" fillId="0" borderId="0" xfId="161" applyFont="1">
      <alignment vertical="center"/>
    </xf>
    <xf numFmtId="0" fontId="51" fillId="14" borderId="0" xfId="0" applyFont="1" applyFill="1" applyAlignment="1">
      <alignment horizontal="center" vertical="center"/>
    </xf>
    <xf numFmtId="0" fontId="18" fillId="10" borderId="19" xfId="46" applyFont="1" applyFill="1" applyBorder="1" applyAlignment="1">
      <alignment horizontal="centerContinuous"/>
    </xf>
    <xf numFmtId="0" fontId="18" fillId="10" borderId="16" xfId="46" applyFont="1" applyFill="1" applyBorder="1" applyAlignment="1">
      <alignment horizontal="centerContinuous"/>
    </xf>
    <xf numFmtId="0" fontId="18" fillId="10" borderId="21" xfId="46" applyFont="1" applyFill="1" applyBorder="1" applyAlignment="1">
      <alignment horizontal="centerContinuous"/>
    </xf>
    <xf numFmtId="0" fontId="55" fillId="14" borderId="11" xfId="161" quotePrefix="1" applyFont="1" applyFill="1" applyBorder="1" applyAlignment="1">
      <alignment horizontal="centerContinuous" vertical="center"/>
    </xf>
    <xf numFmtId="0" fontId="51" fillId="14" borderId="0" xfId="0" applyFont="1" applyFill="1" applyAlignment="1">
      <alignment vertical="center" wrapText="1"/>
    </xf>
    <xf numFmtId="0" fontId="52" fillId="14" borderId="0" xfId="161" applyFont="1" applyFill="1" applyAlignment="1">
      <alignment horizontal="center" vertical="center"/>
    </xf>
    <xf numFmtId="0" fontId="52" fillId="0" borderId="0" xfId="161" applyFont="1" applyAlignment="1">
      <alignment horizontal="left" vertical="center"/>
    </xf>
    <xf numFmtId="0" fontId="52" fillId="0" borderId="0" xfId="0" applyFont="1">
      <alignment vertical="center"/>
    </xf>
    <xf numFmtId="0" fontId="52" fillId="0" borderId="0" xfId="161" applyFont="1" applyAlignment="1">
      <alignment horizontal="center" vertical="center"/>
    </xf>
    <xf numFmtId="0" fontId="52" fillId="14" borderId="8" xfId="0" applyFont="1" applyFill="1" applyBorder="1">
      <alignment vertical="center"/>
    </xf>
    <xf numFmtId="0" fontId="52" fillId="0" borderId="8" xfId="161" applyFont="1" applyBorder="1">
      <alignment vertical="center"/>
    </xf>
    <xf numFmtId="0" fontId="52" fillId="0" borderId="8" xfId="0" applyFont="1" applyBorder="1">
      <alignment vertical="center"/>
    </xf>
    <xf numFmtId="0" fontId="52" fillId="0" borderId="8" xfId="161" applyFont="1" applyBorder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51" fillId="0" borderId="0" xfId="161" quotePrefix="1" applyFont="1" applyAlignment="1">
      <alignment horizontal="centerContinuous" vertical="center"/>
    </xf>
    <xf numFmtId="0" fontId="56" fillId="14" borderId="2" xfId="161" applyFont="1" applyFill="1" applyBorder="1">
      <alignment vertical="center"/>
    </xf>
    <xf numFmtId="0" fontId="56" fillId="14" borderId="8" xfId="161" applyFont="1" applyFill="1" applyBorder="1">
      <alignment vertical="center"/>
    </xf>
    <xf numFmtId="0" fontId="51" fillId="0" borderId="6" xfId="0" applyFont="1" applyBorder="1">
      <alignment vertical="center"/>
    </xf>
    <xf numFmtId="0" fontId="51" fillId="14" borderId="2" xfId="161" applyFont="1" applyFill="1" applyBorder="1">
      <alignment vertical="center"/>
    </xf>
    <xf numFmtId="0" fontId="51" fillId="14" borderId="2" xfId="161" applyFont="1" applyFill="1" applyBorder="1" applyAlignment="1">
      <alignment horizontal="center" vertical="center"/>
    </xf>
    <xf numFmtId="0" fontId="51" fillId="14" borderId="17" xfId="0" applyFont="1" applyFill="1" applyBorder="1">
      <alignment vertical="center"/>
    </xf>
    <xf numFmtId="0" fontId="51" fillId="14" borderId="10" xfId="0" applyFont="1" applyFill="1" applyBorder="1">
      <alignment vertical="center"/>
    </xf>
    <xf numFmtId="0" fontId="52" fillId="14" borderId="3" xfId="161" applyFont="1" applyFill="1" applyBorder="1" applyAlignment="1">
      <alignment horizontal="center" vertical="center"/>
    </xf>
    <xf numFmtId="0" fontId="51" fillId="0" borderId="8" xfId="161" applyFont="1" applyBorder="1">
      <alignment vertical="center"/>
    </xf>
    <xf numFmtId="0" fontId="51" fillId="0" borderId="8" xfId="161" applyFont="1" applyBorder="1" applyAlignment="1">
      <alignment horizontal="center" vertical="center"/>
    </xf>
    <xf numFmtId="0" fontId="51" fillId="0" borderId="12" xfId="161" quotePrefix="1" applyFont="1" applyBorder="1">
      <alignment vertical="center"/>
    </xf>
    <xf numFmtId="0" fontId="51" fillId="0" borderId="12" xfId="161" applyFont="1" applyBorder="1">
      <alignment vertical="center"/>
    </xf>
    <xf numFmtId="0" fontId="51" fillId="0" borderId="12" xfId="161" applyFont="1" applyBorder="1" applyAlignment="1">
      <alignment horizontal="center" vertical="center"/>
    </xf>
    <xf numFmtId="0" fontId="51" fillId="0" borderId="8" xfId="161" quotePrefix="1" applyFont="1" applyBorder="1">
      <alignment vertical="center"/>
    </xf>
    <xf numFmtId="0" fontId="59" fillId="19" borderId="2" xfId="0" applyFont="1" applyFill="1" applyBorder="1" applyAlignment="1">
      <alignment horizontal="centerContinuous" vertical="center"/>
    </xf>
    <xf numFmtId="0" fontId="0" fillId="19" borderId="17" xfId="0" applyFill="1" applyBorder="1" applyAlignment="1">
      <alignment horizontal="centerContinuous" vertical="center"/>
    </xf>
    <xf numFmtId="0" fontId="0" fillId="14" borderId="2" xfId="0" applyFill="1" applyBorder="1" applyAlignment="1">
      <alignment horizontal="centerContinuous" vertical="center"/>
    </xf>
    <xf numFmtId="0" fontId="0" fillId="14" borderId="17" xfId="0" applyFill="1" applyBorder="1" applyAlignment="1">
      <alignment horizontal="centerContinuous" vertical="center"/>
    </xf>
    <xf numFmtId="0" fontId="0" fillId="14" borderId="2" xfId="0" applyFill="1" applyBorder="1">
      <alignment vertical="center"/>
    </xf>
    <xf numFmtId="0" fontId="71" fillId="0" borderId="0" xfId="161" applyFont="1">
      <alignment vertical="center"/>
    </xf>
    <xf numFmtId="0" fontId="71" fillId="0" borderId="0" xfId="0" applyFont="1">
      <alignment vertical="center"/>
    </xf>
    <xf numFmtId="0" fontId="71" fillId="14" borderId="0" xfId="0" applyFont="1" applyFill="1">
      <alignment vertical="center"/>
    </xf>
    <xf numFmtId="0" fontId="52" fillId="14" borderId="12" xfId="161" applyFont="1" applyFill="1" applyBorder="1">
      <alignment vertical="center"/>
    </xf>
    <xf numFmtId="0" fontId="18" fillId="10" borderId="18" xfId="46" applyFont="1" applyFill="1" applyBorder="1" applyAlignment="1">
      <alignment horizontal="centerContinuous"/>
    </xf>
    <xf numFmtId="0" fontId="51" fillId="14" borderId="0" xfId="0" applyFont="1" applyFill="1" applyAlignment="1">
      <alignment horizontal="left" vertical="center"/>
    </xf>
    <xf numFmtId="0" fontId="59" fillId="0" borderId="12" xfId="161" quotePrefix="1" applyFont="1" applyBorder="1" applyAlignment="1">
      <alignment horizontal="centerContinuous" vertical="center"/>
    </xf>
    <xf numFmtId="0" fontId="0" fillId="14" borderId="12" xfId="0" applyFill="1" applyBorder="1">
      <alignment vertical="center"/>
    </xf>
    <xf numFmtId="0" fontId="59" fillId="0" borderId="10" xfId="161" quotePrefix="1" applyFont="1" applyBorder="1">
      <alignment vertical="center"/>
    </xf>
    <xf numFmtId="0" fontId="59" fillId="0" borderId="2" xfId="161" quotePrefix="1" applyFont="1" applyBorder="1">
      <alignment vertical="center"/>
    </xf>
    <xf numFmtId="0" fontId="51" fillId="0" borderId="0" xfId="161" quotePrefix="1" applyFont="1" applyAlignment="1">
      <alignment horizontal="left" vertical="center"/>
    </xf>
    <xf numFmtId="0" fontId="51" fillId="0" borderId="25" xfId="161" applyFont="1" applyBorder="1" applyAlignment="1">
      <alignment horizontal="center" vertical="center"/>
    </xf>
    <xf numFmtId="0" fontId="51" fillId="0" borderId="2" xfId="161" quotePrefix="1" applyFont="1" applyBorder="1">
      <alignment vertical="center"/>
    </xf>
    <xf numFmtId="14" fontId="51" fillId="0" borderId="10" xfId="161" quotePrefix="1" applyNumberFormat="1" applyFont="1" applyBorder="1">
      <alignment vertical="center"/>
    </xf>
    <xf numFmtId="0" fontId="51" fillId="0" borderId="0" xfId="0" applyFont="1" applyAlignment="1">
      <alignment vertical="center" wrapText="1"/>
    </xf>
    <xf numFmtId="0" fontId="51" fillId="0" borderId="0" xfId="0" applyFont="1" applyAlignment="1">
      <alignment horizontal="center" vertical="center"/>
    </xf>
    <xf numFmtId="0" fontId="52" fillId="0" borderId="0" xfId="161" quotePrefix="1" applyFont="1">
      <alignment vertical="center"/>
    </xf>
    <xf numFmtId="0" fontId="52" fillId="0" borderId="2" xfId="161" applyFont="1" applyBorder="1">
      <alignment vertical="center"/>
    </xf>
    <xf numFmtId="0" fontId="56" fillId="14" borderId="6" xfId="180" quotePrefix="1" applyFont="1" applyFill="1" applyBorder="1">
      <alignment vertical="center"/>
    </xf>
    <xf numFmtId="0" fontId="51" fillId="14" borderId="0" xfId="180" applyFont="1" applyFill="1">
      <alignment vertical="center"/>
    </xf>
    <xf numFmtId="0" fontId="52" fillId="19" borderId="2" xfId="180" applyFont="1" applyFill="1" applyBorder="1" applyAlignment="1">
      <alignment horizontal="centerContinuous" vertical="center"/>
    </xf>
    <xf numFmtId="0" fontId="59" fillId="19" borderId="2" xfId="180" applyFont="1" applyFill="1" applyBorder="1" applyAlignment="1">
      <alignment horizontal="centerContinuous" vertical="center"/>
    </xf>
    <xf numFmtId="0" fontId="52" fillId="19" borderId="10" xfId="180" applyFont="1" applyFill="1" applyBorder="1" applyAlignment="1">
      <alignment horizontal="centerContinuous" vertical="center"/>
    </xf>
    <xf numFmtId="0" fontId="51" fillId="19" borderId="2" xfId="180" applyFont="1" applyFill="1" applyBorder="1" applyAlignment="1">
      <alignment horizontal="centerContinuous" vertical="center"/>
    </xf>
    <xf numFmtId="0" fontId="51" fillId="0" borderId="0" xfId="180" applyFont="1">
      <alignment vertical="center"/>
    </xf>
    <xf numFmtId="0" fontId="63" fillId="14" borderId="0" xfId="180" applyFont="1" applyFill="1">
      <alignment vertical="center"/>
    </xf>
    <xf numFmtId="0" fontId="75" fillId="14" borderId="2" xfId="180" quotePrefix="1" applyFont="1" applyFill="1" applyBorder="1">
      <alignment vertical="center"/>
    </xf>
    <xf numFmtId="0" fontId="51" fillId="14" borderId="10" xfId="180" applyFont="1" applyFill="1" applyBorder="1" applyAlignment="1">
      <alignment horizontal="centerContinuous" vertical="center"/>
    </xf>
    <xf numFmtId="0" fontId="51" fillId="14" borderId="2" xfId="180" applyFont="1" applyFill="1" applyBorder="1" applyAlignment="1">
      <alignment horizontal="centerContinuous" vertical="center"/>
    </xf>
    <xf numFmtId="0" fontId="72" fillId="14" borderId="10" xfId="180" applyFont="1" applyFill="1" applyBorder="1" applyAlignment="1">
      <alignment horizontal="center" vertical="center"/>
    </xf>
    <xf numFmtId="0" fontId="51" fillId="14" borderId="2" xfId="180" applyFont="1" applyFill="1" applyBorder="1" applyAlignment="1">
      <alignment horizontal="left" vertical="center"/>
    </xf>
    <xf numFmtId="0" fontId="0" fillId="14" borderId="17" xfId="0" applyFill="1" applyBorder="1">
      <alignment vertical="center"/>
    </xf>
    <xf numFmtId="0" fontId="56" fillId="14" borderId="11" xfId="180" applyFont="1" applyFill="1" applyBorder="1">
      <alignment vertical="center"/>
    </xf>
    <xf numFmtId="0" fontId="0" fillId="19" borderId="2" xfId="0" applyFill="1" applyBorder="1" applyAlignment="1">
      <alignment horizontal="centerContinuous" vertical="center"/>
    </xf>
    <xf numFmtId="0" fontId="72" fillId="14" borderId="2" xfId="180" applyFont="1" applyFill="1" applyBorder="1" applyAlignment="1">
      <alignment horizontal="centerContinuous" vertical="center"/>
    </xf>
    <xf numFmtId="0" fontId="51" fillId="14" borderId="0" xfId="180" applyFont="1" applyFill="1" applyAlignment="1">
      <alignment horizontal="center" vertical="center"/>
    </xf>
    <xf numFmtId="0" fontId="51" fillId="14" borderId="0" xfId="180" quotePrefix="1" applyFont="1" applyFill="1">
      <alignment vertical="center"/>
    </xf>
    <xf numFmtId="14" fontId="59" fillId="0" borderId="10" xfId="161" quotePrefix="1" applyNumberFormat="1" applyFont="1" applyBorder="1" applyAlignment="1">
      <alignment horizontal="centerContinuous" vertical="center"/>
    </xf>
    <xf numFmtId="14" fontId="59" fillId="0" borderId="2" xfId="161" quotePrefix="1" applyNumberFormat="1" applyFont="1" applyBorder="1" applyAlignment="1">
      <alignment horizontal="centerContinuous" vertical="center"/>
    </xf>
    <xf numFmtId="0" fontId="59" fillId="0" borderId="2" xfId="161" quotePrefix="1" applyFont="1" applyBorder="1" applyAlignment="1">
      <alignment horizontal="centerContinuous" vertical="center"/>
    </xf>
    <xf numFmtId="0" fontId="59" fillId="0" borderId="17" xfId="161" quotePrefix="1" applyFont="1" applyBorder="1" applyAlignment="1">
      <alignment horizontal="centerContinuous" vertical="center"/>
    </xf>
    <xf numFmtId="0" fontId="59" fillId="0" borderId="17" xfId="161" applyFont="1" applyBorder="1" applyAlignment="1">
      <alignment horizontal="centerContinuous" vertical="center"/>
    </xf>
    <xf numFmtId="0" fontId="0" fillId="14" borderId="11" xfId="0" applyFill="1" applyBorder="1">
      <alignment vertical="center"/>
    </xf>
    <xf numFmtId="0" fontId="0" fillId="14" borderId="14" xfId="0" applyFill="1" applyBorder="1">
      <alignment vertical="center"/>
    </xf>
    <xf numFmtId="0" fontId="18" fillId="10" borderId="7" xfId="49" applyFont="1" applyFill="1" applyBorder="1" applyAlignment="1">
      <alignment horizontal="right" vertical="center"/>
    </xf>
    <xf numFmtId="0" fontId="0" fillId="14" borderId="2" xfId="0" applyFill="1" applyBorder="1" applyAlignment="1">
      <alignment vertical="center" wrapText="1"/>
    </xf>
    <xf numFmtId="0" fontId="56" fillId="14" borderId="14" xfId="161" applyFont="1" applyFill="1" applyBorder="1">
      <alignment vertical="center"/>
    </xf>
    <xf numFmtId="0" fontId="77" fillId="0" borderId="0" xfId="0" applyFont="1">
      <alignment vertical="center"/>
    </xf>
    <xf numFmtId="0" fontId="18" fillId="10" borderId="26" xfId="46" applyFont="1" applyFill="1" applyBorder="1" applyAlignment="1">
      <alignment horizontal="centerContinuous"/>
    </xf>
    <xf numFmtId="0" fontId="51" fillId="0" borderId="23" xfId="161" applyFont="1" applyBorder="1" applyAlignment="1">
      <alignment horizontal="center" vertical="center"/>
    </xf>
    <xf numFmtId="0" fontId="61" fillId="0" borderId="2" xfId="161" applyFont="1" applyBorder="1" applyAlignment="1">
      <alignment horizontal="centerContinuous" vertical="center"/>
    </xf>
    <xf numFmtId="0" fontId="61" fillId="0" borderId="17" xfId="161" applyFont="1" applyBorder="1" applyAlignment="1">
      <alignment horizontal="centerContinuous" vertical="center"/>
    </xf>
    <xf numFmtId="0" fontId="67" fillId="0" borderId="15" xfId="161" applyFont="1" applyBorder="1" applyAlignment="1">
      <alignment horizontal="left" vertical="center"/>
    </xf>
    <xf numFmtId="0" fontId="67" fillId="0" borderId="12" xfId="161" applyFont="1" applyBorder="1" applyAlignment="1">
      <alignment horizontal="left" vertical="center"/>
    </xf>
    <xf numFmtId="0" fontId="67" fillId="0" borderId="12" xfId="0" applyFont="1" applyBorder="1">
      <alignment vertical="center"/>
    </xf>
    <xf numFmtId="0" fontId="67" fillId="0" borderId="12" xfId="161" applyFont="1" applyBorder="1" applyAlignment="1">
      <alignment horizontal="center" vertical="center"/>
    </xf>
    <xf numFmtId="0" fontId="67" fillId="0" borderId="12" xfId="161" applyFont="1" applyBorder="1">
      <alignment vertical="center"/>
    </xf>
    <xf numFmtId="0" fontId="67" fillId="0" borderId="12" xfId="0" applyFont="1" applyBorder="1" applyAlignment="1">
      <alignment horizontal="center" vertical="center"/>
    </xf>
    <xf numFmtId="0" fontId="67" fillId="0" borderId="7" xfId="161" applyFont="1" applyBorder="1" applyAlignment="1">
      <alignment horizontal="left" vertical="center"/>
    </xf>
    <xf numFmtId="0" fontId="67" fillId="0" borderId="8" xfId="161" applyFont="1" applyBorder="1" applyAlignment="1">
      <alignment horizontal="left" vertical="center"/>
    </xf>
    <xf numFmtId="0" fontId="67" fillId="0" borderId="8" xfId="0" applyFont="1" applyBorder="1">
      <alignment vertical="center"/>
    </xf>
    <xf numFmtId="0" fontId="67" fillId="0" borderId="8" xfId="161" applyFont="1" applyBorder="1" applyAlignment="1">
      <alignment horizontal="center" vertical="center"/>
    </xf>
    <xf numFmtId="0" fontId="67" fillId="0" borderId="8" xfId="161" applyFont="1" applyBorder="1">
      <alignment vertical="center"/>
    </xf>
    <xf numFmtId="0" fontId="67" fillId="0" borderId="8" xfId="0" applyFont="1" applyBorder="1" applyAlignment="1">
      <alignment horizontal="center" vertical="center"/>
    </xf>
    <xf numFmtId="0" fontId="18" fillId="10" borderId="0" xfId="46" applyFont="1" applyFill="1" applyAlignment="1">
      <alignment horizontal="centerContinuous"/>
    </xf>
    <xf numFmtId="0" fontId="56" fillId="19" borderId="10" xfId="180" applyFont="1" applyFill="1" applyBorder="1">
      <alignment vertical="center"/>
    </xf>
    <xf numFmtId="0" fontId="56" fillId="19" borderId="2" xfId="180" applyFont="1" applyFill="1" applyBorder="1">
      <alignment vertical="center"/>
    </xf>
    <xf numFmtId="0" fontId="51" fillId="19" borderId="2" xfId="180" applyFont="1" applyFill="1" applyBorder="1">
      <alignment vertical="center"/>
    </xf>
    <xf numFmtId="0" fontId="51" fillId="19" borderId="2" xfId="180" applyFont="1" applyFill="1" applyBorder="1" applyAlignment="1">
      <alignment horizontal="center" vertical="center"/>
    </xf>
    <xf numFmtId="0" fontId="0" fillId="19" borderId="2" xfId="0" applyFill="1" applyBorder="1">
      <alignment vertical="center"/>
    </xf>
    <xf numFmtId="0" fontId="51" fillId="19" borderId="2" xfId="180" quotePrefix="1" applyFont="1" applyFill="1" applyBorder="1">
      <alignment vertical="center"/>
    </xf>
    <xf numFmtId="0" fontId="63" fillId="19" borderId="2" xfId="161" applyFont="1" applyFill="1" applyBorder="1">
      <alignment vertical="center"/>
    </xf>
    <xf numFmtId="0" fontId="51" fillId="19" borderId="2" xfId="0" applyFont="1" applyFill="1" applyBorder="1" applyAlignment="1">
      <alignment vertical="center" wrapText="1"/>
    </xf>
    <xf numFmtId="0" fontId="51" fillId="19" borderId="2" xfId="161" quotePrefix="1" applyFont="1" applyFill="1" applyBorder="1">
      <alignment vertical="center"/>
    </xf>
    <xf numFmtId="0" fontId="56" fillId="19" borderId="17" xfId="180" applyFont="1" applyFill="1" applyBorder="1">
      <alignment vertical="center"/>
    </xf>
    <xf numFmtId="0" fontId="18" fillId="0" borderId="2" xfId="0" applyFont="1" applyBorder="1" applyAlignment="1">
      <alignment horizontal="center" vertical="top"/>
    </xf>
    <xf numFmtId="0" fontId="18" fillId="22" borderId="2" xfId="0" applyFont="1" applyFill="1" applyBorder="1" applyAlignment="1">
      <alignment horizontal="center" vertical="top"/>
    </xf>
    <xf numFmtId="0" fontId="18" fillId="23" borderId="2" xfId="0" applyFont="1" applyFill="1" applyBorder="1" applyAlignment="1">
      <alignment horizontal="center" vertical="top"/>
    </xf>
    <xf numFmtId="0" fontId="51" fillId="0" borderId="15" xfId="0" applyFont="1" applyBorder="1">
      <alignment vertical="center"/>
    </xf>
    <xf numFmtId="0" fontId="79" fillId="0" borderId="0" xfId="161" applyFont="1">
      <alignment vertical="center"/>
    </xf>
    <xf numFmtId="0" fontId="79" fillId="0" borderId="0" xfId="0" applyFont="1">
      <alignment vertical="center"/>
    </xf>
    <xf numFmtId="0" fontId="79" fillId="0" borderId="0" xfId="161" applyFont="1" applyAlignment="1">
      <alignment horizontal="center" vertical="center"/>
    </xf>
    <xf numFmtId="0" fontId="67" fillId="0" borderId="0" xfId="161" applyFont="1" applyAlignment="1">
      <alignment horizontal="left" vertical="center"/>
    </xf>
    <xf numFmtId="0" fontId="67" fillId="0" borderId="0" xfId="0" applyFont="1">
      <alignment vertical="center"/>
    </xf>
    <xf numFmtId="0" fontId="67" fillId="0" borderId="0" xfId="161" applyFont="1" applyAlignment="1">
      <alignment horizontal="center" vertical="center"/>
    </xf>
    <xf numFmtId="0" fontId="67" fillId="0" borderId="0" xfId="161" applyFont="1">
      <alignment vertical="center"/>
    </xf>
    <xf numFmtId="0" fontId="67" fillId="0" borderId="0" xfId="0" applyFont="1" applyAlignment="1">
      <alignment horizontal="center" vertical="center"/>
    </xf>
    <xf numFmtId="0" fontId="51" fillId="0" borderId="0" xfId="0" applyFont="1" applyAlignment="1">
      <alignment horizontal="left" vertical="center"/>
    </xf>
    <xf numFmtId="0" fontId="68" fillId="0" borderId="0" xfId="161" applyFont="1" applyAlignment="1">
      <alignment horizontal="left" vertical="center"/>
    </xf>
    <xf numFmtId="0" fontId="68" fillId="0" borderId="0" xfId="0" applyFont="1">
      <alignment vertical="center"/>
    </xf>
    <xf numFmtId="0" fontId="51" fillId="14" borderId="6" xfId="161" quotePrefix="1" applyFont="1" applyFill="1" applyBorder="1">
      <alignment vertical="center"/>
    </xf>
    <xf numFmtId="0" fontId="77" fillId="14" borderId="6" xfId="161" quotePrefix="1" applyFont="1" applyFill="1" applyBorder="1">
      <alignment vertical="center"/>
    </xf>
    <xf numFmtId="0" fontId="77" fillId="14" borderId="0" xfId="161" applyFont="1" applyFill="1">
      <alignment vertical="center"/>
    </xf>
    <xf numFmtId="0" fontId="74" fillId="14" borderId="0" xfId="0" applyFont="1" applyFill="1">
      <alignment vertical="center"/>
    </xf>
    <xf numFmtId="0" fontId="52" fillId="24" borderId="15" xfId="161" applyFont="1" applyFill="1" applyBorder="1" applyAlignment="1">
      <alignment horizontal="centerContinuous" vertical="center"/>
    </xf>
    <xf numFmtId="0" fontId="52" fillId="24" borderId="12" xfId="161" applyFont="1" applyFill="1" applyBorder="1" applyAlignment="1">
      <alignment horizontal="centerContinuous" vertical="center"/>
    </xf>
    <xf numFmtId="0" fontId="52" fillId="24" borderId="13" xfId="161" applyFont="1" applyFill="1" applyBorder="1" applyAlignment="1">
      <alignment horizontal="centerContinuous" vertical="center"/>
    </xf>
    <xf numFmtId="0" fontId="52" fillId="24" borderId="15" xfId="161" quotePrefix="1" applyFont="1" applyFill="1" applyBorder="1" applyAlignment="1">
      <alignment horizontal="centerContinuous" vertical="center"/>
    </xf>
    <xf numFmtId="0" fontId="52" fillId="24" borderId="12" xfId="161" quotePrefix="1" applyFont="1" applyFill="1" applyBorder="1" applyAlignment="1">
      <alignment horizontal="centerContinuous" vertical="center"/>
    </xf>
    <xf numFmtId="0" fontId="59" fillId="24" borderId="15" xfId="161" applyFont="1" applyFill="1" applyBorder="1" applyAlignment="1">
      <alignment horizontal="centerContinuous" vertical="center"/>
    </xf>
    <xf numFmtId="0" fontId="59" fillId="24" borderId="12" xfId="161" applyFont="1" applyFill="1" applyBorder="1" applyAlignment="1">
      <alignment horizontal="centerContinuous" vertical="center"/>
    </xf>
    <xf numFmtId="0" fontId="59" fillId="24" borderId="13" xfId="161" applyFont="1" applyFill="1" applyBorder="1" applyAlignment="1">
      <alignment horizontal="centerContinuous" vertical="center"/>
    </xf>
    <xf numFmtId="0" fontId="52" fillId="24" borderId="7" xfId="161" quotePrefix="1" applyFont="1" applyFill="1" applyBorder="1" applyAlignment="1">
      <alignment horizontal="centerContinuous" vertical="center"/>
    </xf>
    <xf numFmtId="0" fontId="52" fillId="24" borderId="8" xfId="161" applyFont="1" applyFill="1" applyBorder="1" applyAlignment="1">
      <alignment horizontal="centerContinuous" vertical="center"/>
    </xf>
    <xf numFmtId="0" fontId="52" fillId="24" borderId="14" xfId="161" applyFont="1" applyFill="1" applyBorder="1" applyAlignment="1">
      <alignment horizontal="centerContinuous" vertical="center"/>
    </xf>
    <xf numFmtId="0" fontId="52" fillId="24" borderId="8" xfId="161" quotePrefix="1" applyFont="1" applyFill="1" applyBorder="1" applyAlignment="1">
      <alignment horizontal="centerContinuous" vertical="center"/>
    </xf>
    <xf numFmtId="0" fontId="59" fillId="24" borderId="7" xfId="161" quotePrefix="1" applyFont="1" applyFill="1" applyBorder="1" applyAlignment="1">
      <alignment horizontal="centerContinuous" vertical="center"/>
    </xf>
    <xf numFmtId="0" fontId="59" fillId="24" borderId="8" xfId="161" quotePrefix="1" applyFont="1" applyFill="1" applyBorder="1" applyAlignment="1">
      <alignment horizontal="centerContinuous" vertical="center"/>
    </xf>
    <xf numFmtId="0" fontId="59" fillId="24" borderId="8" xfId="161" applyFont="1" applyFill="1" applyBorder="1" applyAlignment="1">
      <alignment horizontal="centerContinuous" vertical="center"/>
    </xf>
    <xf numFmtId="0" fontId="59" fillId="24" borderId="14" xfId="161" applyFont="1" applyFill="1" applyBorder="1" applyAlignment="1">
      <alignment horizontal="centerContinuous" vertical="center"/>
    </xf>
    <xf numFmtId="0" fontId="59" fillId="0" borderId="10" xfId="161" quotePrefix="1" applyFont="1" applyBorder="1" applyAlignment="1">
      <alignment horizontal="left" vertical="center"/>
    </xf>
    <xf numFmtId="0" fontId="59" fillId="0" borderId="2" xfId="161" quotePrefix="1" applyFont="1" applyBorder="1" applyAlignment="1">
      <alignment horizontal="left" vertical="center"/>
    </xf>
    <xf numFmtId="0" fontId="51" fillId="25" borderId="2" xfId="161" quotePrefix="1" applyFont="1" applyFill="1" applyBorder="1">
      <alignment vertical="center"/>
    </xf>
    <xf numFmtId="0" fontId="51" fillId="25" borderId="2" xfId="161" applyFont="1" applyFill="1" applyBorder="1">
      <alignment vertical="center"/>
    </xf>
    <xf numFmtId="0" fontId="52" fillId="25" borderId="2" xfId="0" applyFont="1" applyFill="1" applyBorder="1">
      <alignment vertical="center"/>
    </xf>
    <xf numFmtId="0" fontId="51" fillId="25" borderId="2" xfId="0" quotePrefix="1" applyFont="1" applyFill="1" applyBorder="1">
      <alignment vertical="center"/>
    </xf>
    <xf numFmtId="0" fontId="51" fillId="25" borderId="2" xfId="0" applyFont="1" applyFill="1" applyBorder="1">
      <alignment vertical="center"/>
    </xf>
    <xf numFmtId="0" fontId="51" fillId="25" borderId="2" xfId="0" applyFont="1" applyFill="1" applyBorder="1" applyAlignment="1">
      <alignment horizontal="center" vertical="center"/>
    </xf>
    <xf numFmtId="0" fontId="51" fillId="25" borderId="2" xfId="0" applyFont="1" applyFill="1" applyBorder="1" applyAlignment="1">
      <alignment horizontal="left" vertical="center"/>
    </xf>
    <xf numFmtId="0" fontId="51" fillId="25" borderId="2" xfId="0" applyFont="1" applyFill="1" applyBorder="1" applyAlignment="1">
      <alignment vertical="center" wrapText="1"/>
    </xf>
    <xf numFmtId="0" fontId="0" fillId="25" borderId="2" xfId="0" applyFill="1" applyBorder="1">
      <alignment vertical="center"/>
    </xf>
    <xf numFmtId="0" fontId="77" fillId="25" borderId="2" xfId="0" applyFont="1" applyFill="1" applyBorder="1">
      <alignment vertical="center"/>
    </xf>
    <xf numFmtId="0" fontId="78" fillId="14" borderId="0" xfId="0" applyFont="1" applyFill="1">
      <alignment vertical="center"/>
    </xf>
    <xf numFmtId="0" fontId="52" fillId="21" borderId="15" xfId="161" applyFont="1" applyFill="1" applyBorder="1" applyAlignment="1">
      <alignment horizontal="centerContinuous" vertical="center"/>
    </xf>
    <xf numFmtId="0" fontId="52" fillId="21" borderId="12" xfId="161" applyFont="1" applyFill="1" applyBorder="1" applyAlignment="1">
      <alignment horizontal="centerContinuous" vertical="center"/>
    </xf>
    <xf numFmtId="0" fontId="52" fillId="21" borderId="13" xfId="161" applyFont="1" applyFill="1" applyBorder="1" applyAlignment="1">
      <alignment horizontal="centerContinuous" vertical="center"/>
    </xf>
    <xf numFmtId="0" fontId="52" fillId="21" borderId="15" xfId="161" quotePrefix="1" applyFont="1" applyFill="1" applyBorder="1" applyAlignment="1">
      <alignment horizontal="centerContinuous" vertical="center"/>
    </xf>
    <xf numFmtId="0" fontId="52" fillId="21" borderId="12" xfId="161" quotePrefix="1" applyFont="1" applyFill="1" applyBorder="1" applyAlignment="1">
      <alignment horizontal="centerContinuous" vertical="center"/>
    </xf>
    <xf numFmtId="0" fontId="59" fillId="21" borderId="15" xfId="161" applyFont="1" applyFill="1" applyBorder="1" applyAlignment="1">
      <alignment horizontal="centerContinuous" vertical="center"/>
    </xf>
    <xf numFmtId="0" fontId="59" fillId="21" borderId="12" xfId="161" applyFont="1" applyFill="1" applyBorder="1" applyAlignment="1">
      <alignment horizontal="centerContinuous" vertical="center"/>
    </xf>
    <xf numFmtId="0" fontId="59" fillId="21" borderId="13" xfId="161" applyFont="1" applyFill="1" applyBorder="1" applyAlignment="1">
      <alignment horizontal="centerContinuous" vertical="center"/>
    </xf>
    <xf numFmtId="0" fontId="59" fillId="0" borderId="10" xfId="161" quotePrefix="1" applyFont="1" applyBorder="1" applyAlignment="1">
      <alignment horizontal="centerContinuous" vertical="center"/>
    </xf>
    <xf numFmtId="0" fontId="52" fillId="26" borderId="15" xfId="161" applyFont="1" applyFill="1" applyBorder="1" applyAlignment="1">
      <alignment horizontal="centerContinuous" vertical="center"/>
    </xf>
    <xf numFmtId="0" fontId="52" fillId="26" borderId="12" xfId="161" applyFont="1" applyFill="1" applyBorder="1" applyAlignment="1">
      <alignment horizontal="centerContinuous" vertical="center"/>
    </xf>
    <xf numFmtId="0" fontId="52" fillId="26" borderId="13" xfId="161" applyFont="1" applyFill="1" applyBorder="1" applyAlignment="1">
      <alignment horizontal="centerContinuous" vertical="center"/>
    </xf>
    <xf numFmtId="0" fontId="52" fillId="26" borderId="15" xfId="161" quotePrefix="1" applyFont="1" applyFill="1" applyBorder="1" applyAlignment="1">
      <alignment horizontal="centerContinuous" vertical="center"/>
    </xf>
    <xf numFmtId="0" fontId="52" fillId="26" borderId="12" xfId="161" quotePrefix="1" applyFont="1" applyFill="1" applyBorder="1" applyAlignment="1">
      <alignment horizontal="centerContinuous" vertical="center"/>
    </xf>
    <xf numFmtId="0" fontId="59" fillId="26" borderId="15" xfId="161" applyFont="1" applyFill="1" applyBorder="1" applyAlignment="1">
      <alignment horizontal="centerContinuous" vertical="center"/>
    </xf>
    <xf numFmtId="0" fontId="59" fillId="26" borderId="12" xfId="161" applyFont="1" applyFill="1" applyBorder="1" applyAlignment="1">
      <alignment horizontal="centerContinuous" vertical="center"/>
    </xf>
    <xf numFmtId="0" fontId="59" fillId="26" borderId="13" xfId="161" applyFont="1" applyFill="1" applyBorder="1" applyAlignment="1">
      <alignment horizontal="centerContinuous" vertical="center"/>
    </xf>
    <xf numFmtId="0" fontId="59" fillId="26" borderId="12" xfId="161" quotePrefix="1" applyFont="1" applyFill="1" applyBorder="1" applyAlignment="1">
      <alignment horizontal="centerContinuous" vertical="center"/>
    </xf>
    <xf numFmtId="183" fontId="59" fillId="0" borderId="2" xfId="161" quotePrefix="1" applyNumberFormat="1" applyFont="1" applyBorder="1" applyAlignment="1">
      <alignment horizontal="right" vertical="center"/>
    </xf>
    <xf numFmtId="0" fontId="59" fillId="26" borderId="15" xfId="161" quotePrefix="1" applyFont="1" applyFill="1" applyBorder="1" applyAlignment="1">
      <alignment horizontal="centerContinuous" vertical="center"/>
    </xf>
    <xf numFmtId="0" fontId="86" fillId="0" borderId="0" xfId="0" applyFont="1">
      <alignment vertical="center"/>
    </xf>
    <xf numFmtId="0" fontId="71" fillId="14" borderId="8" xfId="0" applyFont="1" applyFill="1" applyBorder="1">
      <alignment vertical="center"/>
    </xf>
    <xf numFmtId="0" fontId="51" fillId="14" borderId="6" xfId="180" applyFont="1" applyFill="1" applyBorder="1">
      <alignment vertical="center"/>
    </xf>
    <xf numFmtId="0" fontId="51" fillId="14" borderId="2" xfId="180" quotePrefix="1" applyFont="1" applyFill="1" applyBorder="1">
      <alignment vertical="center"/>
    </xf>
    <xf numFmtId="0" fontId="51" fillId="14" borderId="2" xfId="180" applyFont="1" applyFill="1" applyBorder="1">
      <alignment vertical="center"/>
    </xf>
    <xf numFmtId="0" fontId="51" fillId="14" borderId="2" xfId="180" applyFont="1" applyFill="1" applyBorder="1" applyAlignment="1">
      <alignment horizontal="center" vertical="center"/>
    </xf>
    <xf numFmtId="0" fontId="52" fillId="14" borderId="3" xfId="180" applyFont="1" applyFill="1" applyBorder="1" applyAlignment="1">
      <alignment horizontal="center" vertical="center"/>
    </xf>
    <xf numFmtId="0" fontId="51" fillId="14" borderId="3" xfId="180" applyFont="1" applyFill="1" applyBorder="1" applyAlignment="1">
      <alignment horizontal="center" vertical="center"/>
    </xf>
    <xf numFmtId="0" fontId="62" fillId="14" borderId="3" xfId="180" applyFont="1" applyFill="1" applyBorder="1" applyAlignment="1">
      <alignment horizontal="center" vertical="center"/>
    </xf>
    <xf numFmtId="0" fontId="51" fillId="0" borderId="28" xfId="0" applyFont="1" applyBorder="1">
      <alignment vertical="center"/>
    </xf>
    <xf numFmtId="0" fontId="51" fillId="14" borderId="28" xfId="161" applyFont="1" applyFill="1" applyBorder="1">
      <alignment vertical="center"/>
    </xf>
    <xf numFmtId="0" fontId="51" fillId="14" borderId="29" xfId="161" applyFont="1" applyFill="1" applyBorder="1">
      <alignment vertical="center"/>
    </xf>
    <xf numFmtId="0" fontId="52" fillId="14" borderId="33" xfId="161" applyFont="1" applyFill="1" applyBorder="1">
      <alignment vertical="center"/>
    </xf>
    <xf numFmtId="0" fontId="51" fillId="14" borderId="34" xfId="161" applyFont="1" applyFill="1" applyBorder="1">
      <alignment vertical="center"/>
    </xf>
    <xf numFmtId="0" fontId="52" fillId="14" borderId="30" xfId="161" applyFont="1" applyFill="1" applyBorder="1">
      <alignment vertical="center"/>
    </xf>
    <xf numFmtId="0" fontId="51" fillId="14" borderId="31" xfId="161" applyFont="1" applyFill="1" applyBorder="1">
      <alignment vertical="center"/>
    </xf>
    <xf numFmtId="0" fontId="51" fillId="0" borderId="31" xfId="0" applyFont="1" applyBorder="1">
      <alignment vertical="center"/>
    </xf>
    <xf numFmtId="0" fontId="0" fillId="14" borderId="31" xfId="0" applyFill="1" applyBorder="1">
      <alignment vertical="center"/>
    </xf>
    <xf numFmtId="0" fontId="52" fillId="0" borderId="31" xfId="161" applyFont="1" applyBorder="1">
      <alignment vertical="center"/>
    </xf>
    <xf numFmtId="0" fontId="51" fillId="0" borderId="31" xfId="161" applyFont="1" applyBorder="1">
      <alignment vertical="center"/>
    </xf>
    <xf numFmtId="0" fontId="51" fillId="0" borderId="31" xfId="0" applyFont="1" applyBorder="1" applyAlignment="1">
      <alignment vertical="center" wrapText="1"/>
    </xf>
    <xf numFmtId="0" fontId="51" fillId="0" borderId="31" xfId="161" quotePrefix="1" applyFont="1" applyBorder="1">
      <alignment vertical="center"/>
    </xf>
    <xf numFmtId="0" fontId="51" fillId="0" borderId="31" xfId="161" applyFont="1" applyBorder="1" applyAlignment="1">
      <alignment horizontal="center" vertical="center"/>
    </xf>
    <xf numFmtId="0" fontId="51" fillId="14" borderId="32" xfId="161" applyFont="1" applyFill="1" applyBorder="1">
      <alignment vertical="center"/>
    </xf>
    <xf numFmtId="0" fontId="51" fillId="0" borderId="28" xfId="161" quotePrefix="1" applyFont="1" applyBorder="1">
      <alignment vertical="center"/>
    </xf>
    <xf numFmtId="0" fontId="51" fillId="0" borderId="28" xfId="161" applyFont="1" applyBorder="1">
      <alignment vertical="center"/>
    </xf>
    <xf numFmtId="0" fontId="51" fillId="0" borderId="28" xfId="161" applyFont="1" applyBorder="1" applyAlignment="1">
      <alignment horizontal="center" vertical="center"/>
    </xf>
    <xf numFmtId="0" fontId="0" fillId="14" borderId="28" xfId="0" applyFill="1" applyBorder="1">
      <alignment vertical="center"/>
    </xf>
    <xf numFmtId="0" fontId="51" fillId="14" borderId="33" xfId="0" applyFont="1" applyFill="1" applyBorder="1">
      <alignment vertical="center"/>
    </xf>
    <xf numFmtId="0" fontId="51" fillId="0" borderId="34" xfId="161" applyFont="1" applyBorder="1">
      <alignment vertical="center"/>
    </xf>
    <xf numFmtId="0" fontId="62" fillId="0" borderId="33" xfId="180" applyFont="1" applyBorder="1" applyAlignment="1">
      <alignment vertical="top"/>
    </xf>
    <xf numFmtId="0" fontId="51" fillId="0" borderId="0" xfId="180" applyFont="1" applyAlignment="1">
      <alignment vertical="top"/>
    </xf>
    <xf numFmtId="0" fontId="51" fillId="14" borderId="34" xfId="180" applyFont="1" applyFill="1" applyBorder="1">
      <alignment vertical="center"/>
    </xf>
    <xf numFmtId="0" fontId="51" fillId="14" borderId="33" xfId="161" applyFont="1" applyFill="1" applyBorder="1" applyAlignment="1">
      <alignment horizontal="left" vertical="center"/>
    </xf>
    <xf numFmtId="0" fontId="51" fillId="14" borderId="30" xfId="161" applyFont="1" applyFill="1" applyBorder="1" applyAlignment="1">
      <alignment horizontal="left" vertical="center"/>
    </xf>
    <xf numFmtId="0" fontId="51" fillId="14" borderId="31" xfId="161" applyFont="1" applyFill="1" applyBorder="1" applyAlignment="1">
      <alignment horizontal="left" vertical="center"/>
    </xf>
    <xf numFmtId="0" fontId="67" fillId="0" borderId="31" xfId="161" applyFont="1" applyBorder="1" applyAlignment="1">
      <alignment horizontal="left" vertical="center"/>
    </xf>
    <xf numFmtId="0" fontId="67" fillId="0" borderId="31" xfId="0" applyFont="1" applyBorder="1">
      <alignment vertical="center"/>
    </xf>
    <xf numFmtId="0" fontId="67" fillId="0" borderId="31" xfId="161" applyFont="1" applyBorder="1" applyAlignment="1">
      <alignment horizontal="center" vertical="center"/>
    </xf>
    <xf numFmtId="0" fontId="67" fillId="0" borderId="31" xfId="161" applyFont="1" applyBorder="1">
      <alignment vertical="center"/>
    </xf>
    <xf numFmtId="0" fontId="67" fillId="0" borderId="31" xfId="0" applyFont="1" applyBorder="1" applyAlignment="1">
      <alignment horizontal="center" vertical="center"/>
    </xf>
    <xf numFmtId="0" fontId="51" fillId="0" borderId="32" xfId="161" applyFont="1" applyBorder="1">
      <alignment vertical="center"/>
    </xf>
    <xf numFmtId="0" fontId="74" fillId="14" borderId="27" xfId="0" applyFont="1" applyFill="1" applyBorder="1">
      <alignment vertical="center"/>
    </xf>
    <xf numFmtId="0" fontId="51" fillId="0" borderId="28" xfId="161" quotePrefix="1" applyFont="1" applyBorder="1" applyAlignment="1">
      <alignment horizontal="left" vertical="center"/>
    </xf>
    <xf numFmtId="0" fontId="51" fillId="0" borderId="28" xfId="161" applyFont="1" applyBorder="1" applyAlignment="1">
      <alignment horizontal="left" vertical="center"/>
    </xf>
    <xf numFmtId="0" fontId="52" fillId="0" borderId="15" xfId="161" applyFont="1" applyBorder="1">
      <alignment vertical="center"/>
    </xf>
    <xf numFmtId="0" fontId="78" fillId="14" borderId="28" xfId="0" applyFont="1" applyFill="1" applyBorder="1">
      <alignment vertical="center"/>
    </xf>
    <xf numFmtId="0" fontId="56" fillId="14" borderId="28" xfId="161" applyFont="1" applyFill="1" applyBorder="1">
      <alignment vertical="center"/>
    </xf>
    <xf numFmtId="0" fontId="18" fillId="10" borderId="28" xfId="46" applyFont="1" applyFill="1" applyBorder="1" applyAlignment="1">
      <alignment horizontal="centerContinuous"/>
    </xf>
    <xf numFmtId="0" fontId="18" fillId="10" borderId="29" xfId="46" applyFont="1" applyFill="1" applyBorder="1" applyAlignment="1">
      <alignment horizontal="centerContinuous"/>
    </xf>
    <xf numFmtId="0" fontId="59" fillId="19" borderId="35" xfId="161" applyFont="1" applyFill="1" applyBorder="1" applyAlignment="1">
      <alignment horizontal="center" vertical="center"/>
    </xf>
    <xf numFmtId="0" fontId="59" fillId="24" borderId="36" xfId="161" applyFont="1" applyFill="1" applyBorder="1" applyAlignment="1">
      <alignment horizontal="centerContinuous" vertical="center"/>
    </xf>
    <xf numFmtId="0" fontId="52" fillId="19" borderId="37" xfId="161" applyFont="1" applyFill="1" applyBorder="1" applyAlignment="1">
      <alignment horizontal="centerContinuous" vertical="center"/>
    </xf>
    <xf numFmtId="0" fontId="59" fillId="24" borderId="38" xfId="161" quotePrefix="1" applyFont="1" applyFill="1" applyBorder="1" applyAlignment="1">
      <alignment horizontal="centerContinuous" vertical="center"/>
    </xf>
    <xf numFmtId="0" fontId="51" fillId="19" borderId="39" xfId="161" quotePrefix="1" applyFont="1" applyFill="1" applyBorder="1" applyAlignment="1">
      <alignment horizontal="center" vertical="center"/>
    </xf>
    <xf numFmtId="14" fontId="59" fillId="0" borderId="40" xfId="161" quotePrefix="1" applyNumberFormat="1" applyFont="1" applyBorder="1" applyAlignment="1">
      <alignment horizontal="centerContinuous" vertical="center"/>
    </xf>
    <xf numFmtId="0" fontId="62" fillId="0" borderId="33" xfId="0" applyFont="1" applyBorder="1">
      <alignment vertical="center"/>
    </xf>
    <xf numFmtId="0" fontId="0" fillId="14" borderId="34" xfId="0" applyFill="1" applyBorder="1">
      <alignment vertical="center"/>
    </xf>
    <xf numFmtId="0" fontId="51" fillId="0" borderId="33" xfId="0" applyFont="1" applyBorder="1">
      <alignment vertical="center"/>
    </xf>
    <xf numFmtId="0" fontId="83" fillId="25" borderId="41" xfId="161" quotePrefix="1" applyFont="1" applyFill="1" applyBorder="1" applyAlignment="1">
      <alignment horizontal="left" vertical="center"/>
    </xf>
    <xf numFmtId="0" fontId="0" fillId="25" borderId="40" xfId="0" applyFill="1" applyBorder="1">
      <alignment vertical="center"/>
    </xf>
    <xf numFmtId="0" fontId="74" fillId="14" borderId="30" xfId="0" applyFont="1" applyFill="1" applyBorder="1">
      <alignment vertical="center"/>
    </xf>
    <xf numFmtId="0" fontId="51" fillId="0" borderId="31" xfId="161" quotePrefix="1" applyFont="1" applyBorder="1" applyAlignment="1">
      <alignment horizontal="left" vertical="center"/>
    </xf>
    <xf numFmtId="0" fontId="51" fillId="0" borderId="31" xfId="161" applyFont="1" applyBorder="1" applyAlignment="1">
      <alignment horizontal="left" vertical="center"/>
    </xf>
    <xf numFmtId="0" fontId="78" fillId="14" borderId="31" xfId="0" applyFont="1" applyFill="1" applyBorder="1">
      <alignment vertical="center"/>
    </xf>
    <xf numFmtId="0" fontId="56" fillId="14" borderId="31" xfId="161" applyFont="1" applyFill="1" applyBorder="1">
      <alignment vertical="center"/>
    </xf>
    <xf numFmtId="0" fontId="18" fillId="10" borderId="31" xfId="46" applyFont="1" applyFill="1" applyBorder="1" applyAlignment="1">
      <alignment horizontal="centerContinuous"/>
    </xf>
    <xf numFmtId="0" fontId="18" fillId="10" borderId="32" xfId="46" applyFont="1" applyFill="1" applyBorder="1" applyAlignment="1">
      <alignment horizontal="centerContinuous"/>
    </xf>
    <xf numFmtId="0" fontId="52" fillId="0" borderId="8" xfId="161" quotePrefix="1" applyFont="1" applyBorder="1">
      <alignment vertical="center"/>
    </xf>
    <xf numFmtId="0" fontId="56" fillId="14" borderId="12" xfId="161" applyFont="1" applyFill="1" applyBorder="1">
      <alignment vertical="center"/>
    </xf>
    <xf numFmtId="0" fontId="18" fillId="10" borderId="12" xfId="46" applyFont="1" applyFill="1" applyBorder="1" applyAlignment="1">
      <alignment horizontal="centerContinuous"/>
    </xf>
    <xf numFmtId="0" fontId="18" fillId="10" borderId="36" xfId="46" applyFont="1" applyFill="1" applyBorder="1" applyAlignment="1">
      <alignment horizontal="centerContinuous"/>
    </xf>
    <xf numFmtId="0" fontId="18" fillId="10" borderId="34" xfId="46" applyFont="1" applyFill="1" applyBorder="1" applyAlignment="1">
      <alignment horizontal="centerContinuous"/>
    </xf>
    <xf numFmtId="0" fontId="18" fillId="10" borderId="8" xfId="46" applyFont="1" applyFill="1" applyBorder="1" applyAlignment="1">
      <alignment horizontal="centerContinuous"/>
    </xf>
    <xf numFmtId="0" fontId="18" fillId="10" borderId="38" xfId="46" applyFont="1" applyFill="1" applyBorder="1" applyAlignment="1">
      <alignment horizontal="centerContinuous"/>
    </xf>
    <xf numFmtId="0" fontId="18" fillId="10" borderId="2" xfId="46" applyFont="1" applyFill="1" applyBorder="1" applyAlignment="1">
      <alignment horizontal="centerContinuous"/>
    </xf>
    <xf numFmtId="0" fontId="59" fillId="26" borderId="10" xfId="161" applyFont="1" applyFill="1" applyBorder="1" applyAlignment="1">
      <alignment horizontal="centerContinuous" vertical="center"/>
    </xf>
    <xf numFmtId="0" fontId="51" fillId="0" borderId="0" xfId="161" quotePrefix="1" applyFont="1" applyAlignment="1">
      <alignment horizontal="center" vertical="center"/>
    </xf>
    <xf numFmtId="0" fontId="72" fillId="0" borderId="0" xfId="0" applyFont="1">
      <alignment vertical="center"/>
    </xf>
    <xf numFmtId="179" fontId="59" fillId="0" borderId="0" xfId="161" quotePrefix="1" applyNumberFormat="1" applyFont="1" applyAlignment="1">
      <alignment horizontal="right" vertical="center"/>
    </xf>
    <xf numFmtId="0" fontId="59" fillId="0" borderId="0" xfId="161" quotePrefix="1" applyFont="1" applyAlignment="1">
      <alignment horizontal="right" vertical="center"/>
    </xf>
    <xf numFmtId="0" fontId="18" fillId="10" borderId="16" xfId="46" applyFont="1" applyFill="1" applyBorder="1" applyAlignment="1">
      <alignment horizontal="center"/>
    </xf>
    <xf numFmtId="0" fontId="18" fillId="10" borderId="9" xfId="46" applyFont="1" applyFill="1" applyBorder="1" applyAlignment="1">
      <alignment horizontal="center"/>
    </xf>
    <xf numFmtId="0" fontId="74" fillId="14" borderId="33" xfId="0" applyFont="1" applyFill="1" applyBorder="1">
      <alignment vertical="center"/>
    </xf>
    <xf numFmtId="0" fontId="18" fillId="10" borderId="40" xfId="46" applyFont="1" applyFill="1" applyBorder="1" applyAlignment="1">
      <alignment horizontal="centerContinuous"/>
    </xf>
    <xf numFmtId="0" fontId="52" fillId="0" borderId="33" xfId="161" applyFont="1" applyBorder="1">
      <alignment vertical="center"/>
    </xf>
    <xf numFmtId="0" fontId="74" fillId="0" borderId="33" xfId="0" applyFont="1" applyBorder="1">
      <alignment vertical="center"/>
    </xf>
    <xf numFmtId="0" fontId="59" fillId="0" borderId="33" xfId="161" applyFont="1" applyBorder="1" applyAlignment="1">
      <alignment horizontal="center" vertical="center"/>
    </xf>
    <xf numFmtId="0" fontId="51" fillId="0" borderId="33" xfId="161" quotePrefix="1" applyFont="1" applyBorder="1" applyAlignment="1">
      <alignment horizontal="center" vertical="center"/>
    </xf>
    <xf numFmtId="0" fontId="18" fillId="10" borderId="42" xfId="46" applyFont="1" applyFill="1" applyBorder="1" applyAlignment="1">
      <alignment horizontal="centerContinuous"/>
    </xf>
    <xf numFmtId="0" fontId="18" fillId="10" borderId="43" xfId="46" applyFont="1" applyFill="1" applyBorder="1" applyAlignment="1">
      <alignment horizontal="centerContinuous"/>
    </xf>
    <xf numFmtId="0" fontId="18" fillId="10" borderId="11" xfId="46" applyFont="1" applyFill="1" applyBorder="1" applyAlignment="1">
      <alignment horizontal="centerContinuous"/>
    </xf>
    <xf numFmtId="0" fontId="73" fillId="14" borderId="0" xfId="180" applyFont="1" applyFill="1">
      <alignment vertical="center"/>
    </xf>
    <xf numFmtId="0" fontId="51" fillId="0" borderId="34" xfId="0" applyFont="1" applyBorder="1">
      <alignment vertical="center"/>
    </xf>
    <xf numFmtId="0" fontId="63" fillId="19" borderId="41" xfId="180" applyFont="1" applyFill="1" applyBorder="1" applyAlignment="1">
      <alignment horizontal="centerContinuous" vertical="center"/>
    </xf>
    <xf numFmtId="0" fontId="75" fillId="14" borderId="41" xfId="180" quotePrefix="1" applyFont="1" applyFill="1" applyBorder="1">
      <alignment vertical="center"/>
    </xf>
    <xf numFmtId="14" fontId="51" fillId="14" borderId="2" xfId="180" applyNumberFormat="1" applyFont="1" applyFill="1" applyBorder="1" applyAlignment="1">
      <alignment horizontal="centerContinuous" vertical="center"/>
    </xf>
    <xf numFmtId="0" fontId="51" fillId="14" borderId="44" xfId="0" applyFont="1" applyFill="1" applyBorder="1">
      <alignment vertical="center"/>
    </xf>
    <xf numFmtId="0" fontId="0" fillId="14" borderId="33" xfId="0" applyFill="1" applyBorder="1">
      <alignment vertical="center"/>
    </xf>
    <xf numFmtId="0" fontId="51" fillId="14" borderId="44" xfId="161" applyFont="1" applyFill="1" applyBorder="1">
      <alignment vertical="center"/>
    </xf>
    <xf numFmtId="185" fontId="59" fillId="0" borderId="0" xfId="161" quotePrefix="1" applyNumberFormat="1" applyFont="1" applyAlignment="1">
      <alignment horizontal="right" vertical="center"/>
    </xf>
    <xf numFmtId="0" fontId="18" fillId="10" borderId="21" xfId="46" applyFont="1" applyFill="1" applyBorder="1" applyAlignment="1">
      <alignment horizontal="center"/>
    </xf>
    <xf numFmtId="0" fontId="18" fillId="10" borderId="22" xfId="46" applyFont="1" applyFill="1" applyBorder="1" applyAlignment="1">
      <alignment horizontal="center"/>
    </xf>
    <xf numFmtId="0" fontId="59" fillId="21" borderId="10" xfId="161" applyFont="1" applyFill="1" applyBorder="1" applyAlignment="1">
      <alignment horizontal="centerContinuous" vertical="center"/>
    </xf>
    <xf numFmtId="0" fontId="59" fillId="26" borderId="10" xfId="161" quotePrefix="1" applyFont="1" applyFill="1" applyBorder="1" applyAlignment="1">
      <alignment horizontal="centerContinuous" vertical="center"/>
    </xf>
    <xf numFmtId="0" fontId="76" fillId="14" borderId="0" xfId="161" applyFont="1" applyFill="1">
      <alignment vertical="center"/>
    </xf>
    <xf numFmtId="14" fontId="51" fillId="0" borderId="0" xfId="161" quotePrefix="1" applyNumberFormat="1" applyFont="1">
      <alignment vertical="center"/>
    </xf>
    <xf numFmtId="0" fontId="62" fillId="0" borderId="0" xfId="180" applyFont="1" applyAlignment="1">
      <alignment vertical="top"/>
    </xf>
    <xf numFmtId="0" fontId="52" fillId="14" borderId="0" xfId="180" applyFont="1" applyFill="1" applyAlignment="1">
      <alignment horizontal="center" vertical="center"/>
    </xf>
    <xf numFmtId="0" fontId="62" fillId="14" borderId="0" xfId="180" applyFont="1" applyFill="1" applyAlignment="1">
      <alignment horizontal="center" vertical="center"/>
    </xf>
    <xf numFmtId="0" fontId="67" fillId="0" borderId="28" xfId="161" applyFont="1" applyBorder="1" applyAlignment="1">
      <alignment horizontal="left" vertical="center"/>
    </xf>
    <xf numFmtId="0" fontId="67" fillId="0" borderId="28" xfId="0" applyFont="1" applyBorder="1">
      <alignment vertical="center"/>
    </xf>
    <xf numFmtId="0" fontId="67" fillId="0" borderId="28" xfId="161" applyFont="1" applyBorder="1" applyAlignment="1">
      <alignment horizontal="center" vertical="center"/>
    </xf>
    <xf numFmtId="0" fontId="67" fillId="0" borderId="28" xfId="161" applyFont="1" applyBorder="1">
      <alignment vertical="center"/>
    </xf>
    <xf numFmtId="0" fontId="67" fillId="0" borderId="28" xfId="0" applyFont="1" applyBorder="1" applyAlignment="1">
      <alignment horizontal="center" vertical="center"/>
    </xf>
    <xf numFmtId="0" fontId="74" fillId="27" borderId="27" xfId="0" applyFont="1" applyFill="1" applyBorder="1">
      <alignment vertical="center"/>
    </xf>
    <xf numFmtId="0" fontId="51" fillId="27" borderId="28" xfId="0" applyFont="1" applyFill="1" applyBorder="1">
      <alignment vertical="center"/>
    </xf>
    <xf numFmtId="0" fontId="51" fillId="27" borderId="28" xfId="161" quotePrefix="1" applyFont="1" applyFill="1" applyBorder="1" applyAlignment="1">
      <alignment horizontal="left" vertical="center"/>
    </xf>
    <xf numFmtId="0" fontId="51" fillId="27" borderId="28" xfId="161" quotePrefix="1" applyFont="1" applyFill="1" applyBorder="1">
      <alignment vertical="center"/>
    </xf>
    <xf numFmtId="0" fontId="51" fillId="27" borderId="28" xfId="161" applyFont="1" applyFill="1" applyBorder="1">
      <alignment vertical="center"/>
    </xf>
    <xf numFmtId="0" fontId="51" fillId="27" borderId="28" xfId="161" applyFont="1" applyFill="1" applyBorder="1" applyAlignment="1">
      <alignment horizontal="left" vertical="center"/>
    </xf>
    <xf numFmtId="0" fontId="0" fillId="27" borderId="28" xfId="0" applyFill="1" applyBorder="1">
      <alignment vertical="center"/>
    </xf>
    <xf numFmtId="0" fontId="51" fillId="27" borderId="28" xfId="161" applyFont="1" applyFill="1" applyBorder="1" applyAlignment="1">
      <alignment horizontal="center" vertical="center"/>
    </xf>
    <xf numFmtId="0" fontId="52" fillId="27" borderId="33" xfId="161" applyFont="1" applyFill="1" applyBorder="1">
      <alignment vertical="center"/>
    </xf>
    <xf numFmtId="0" fontId="51" fillId="27" borderId="0" xfId="0" applyFont="1" applyFill="1">
      <alignment vertical="center"/>
    </xf>
    <xf numFmtId="0" fontId="51" fillId="27" borderId="6" xfId="0" applyFont="1" applyFill="1" applyBorder="1">
      <alignment vertical="center"/>
    </xf>
    <xf numFmtId="0" fontId="0" fillId="27" borderId="0" xfId="0" applyFill="1">
      <alignment vertical="center"/>
    </xf>
    <xf numFmtId="0" fontId="51" fillId="27" borderId="0" xfId="161" applyFont="1" applyFill="1" applyAlignment="1">
      <alignment horizontal="center" vertical="center"/>
    </xf>
    <xf numFmtId="0" fontId="51" fillId="27" borderId="0" xfId="161" applyFont="1" applyFill="1">
      <alignment vertical="center"/>
    </xf>
    <xf numFmtId="0" fontId="51" fillId="27" borderId="0" xfId="161" quotePrefix="1" applyFont="1" applyFill="1">
      <alignment vertical="center"/>
    </xf>
    <xf numFmtId="0" fontId="51" fillId="27" borderId="30" xfId="161" applyFont="1" applyFill="1" applyBorder="1" applyAlignment="1">
      <alignment horizontal="left" vertical="center"/>
    </xf>
    <xf numFmtId="0" fontId="51" fillId="27" borderId="31" xfId="161" applyFont="1" applyFill="1" applyBorder="1" applyAlignment="1">
      <alignment horizontal="left" vertical="center"/>
    </xf>
    <xf numFmtId="0" fontId="67" fillId="27" borderId="31" xfId="161" applyFont="1" applyFill="1" applyBorder="1" applyAlignment="1">
      <alignment horizontal="left" vertical="center"/>
    </xf>
    <xf numFmtId="0" fontId="67" fillId="27" borderId="31" xfId="0" applyFont="1" applyFill="1" applyBorder="1">
      <alignment vertical="center"/>
    </xf>
    <xf numFmtId="0" fontId="67" fillId="27" borderId="31" xfId="161" applyFont="1" applyFill="1" applyBorder="1" applyAlignment="1">
      <alignment horizontal="center" vertical="center"/>
    </xf>
    <xf numFmtId="0" fontId="67" fillId="27" borderId="31" xfId="161" applyFont="1" applyFill="1" applyBorder="1">
      <alignment vertical="center"/>
    </xf>
    <xf numFmtId="0" fontId="67" fillId="27" borderId="31" xfId="0" applyFont="1" applyFill="1" applyBorder="1" applyAlignment="1">
      <alignment horizontal="center" vertical="center"/>
    </xf>
    <xf numFmtId="0" fontId="51" fillId="27" borderId="31" xfId="161" applyFont="1" applyFill="1" applyBorder="1" applyAlignment="1">
      <alignment horizontal="center" vertical="center"/>
    </xf>
    <xf numFmtId="0" fontId="51" fillId="14" borderId="10" xfId="161" quotePrefix="1" applyFont="1" applyFill="1" applyBorder="1">
      <alignment vertical="center"/>
    </xf>
    <xf numFmtId="0" fontId="87" fillId="14" borderId="33" xfId="161" applyFont="1" applyFill="1" applyBorder="1">
      <alignment vertical="center"/>
    </xf>
    <xf numFmtId="0" fontId="83" fillId="0" borderId="33" xfId="161" quotePrefix="1" applyFont="1" applyBorder="1" applyAlignment="1">
      <alignment horizontal="left" vertical="center"/>
    </xf>
    <xf numFmtId="0" fontId="51" fillId="0" borderId="8" xfId="0" applyFont="1" applyBorder="1" applyAlignment="1">
      <alignment horizontal="left" vertical="center"/>
    </xf>
    <xf numFmtId="0" fontId="0" fillId="0" borderId="12" xfId="0" applyBorder="1">
      <alignment vertical="center"/>
    </xf>
    <xf numFmtId="0" fontId="0" fillId="0" borderId="34" xfId="0" applyBorder="1">
      <alignment vertical="center"/>
    </xf>
    <xf numFmtId="0" fontId="52" fillId="0" borderId="12" xfId="0" applyFont="1" applyBorder="1">
      <alignment vertical="center"/>
    </xf>
    <xf numFmtId="0" fontId="51" fillId="0" borderId="12" xfId="0" quotePrefix="1" applyFont="1" applyBorder="1">
      <alignment vertical="center"/>
    </xf>
    <xf numFmtId="0" fontId="51" fillId="0" borderId="12" xfId="0" applyFont="1" applyBorder="1" applyAlignment="1">
      <alignment horizontal="center" vertical="center"/>
    </xf>
    <xf numFmtId="0" fontId="51" fillId="0" borderId="12" xfId="0" applyFont="1" applyBorder="1" applyAlignment="1">
      <alignment horizontal="left" vertical="center"/>
    </xf>
    <xf numFmtId="0" fontId="59" fillId="19" borderId="45" xfId="161" applyFont="1" applyFill="1" applyBorder="1" applyAlignment="1">
      <alignment horizontal="center" vertical="center"/>
    </xf>
    <xf numFmtId="0" fontId="52" fillId="28" borderId="46" xfId="161" applyFont="1" applyFill="1" applyBorder="1" applyAlignment="1">
      <alignment horizontal="centerContinuous" vertical="center"/>
    </xf>
    <xf numFmtId="0" fontId="52" fillId="28" borderId="28" xfId="161" applyFont="1" applyFill="1" applyBorder="1" applyAlignment="1">
      <alignment horizontal="centerContinuous" vertical="center"/>
    </xf>
    <xf numFmtId="0" fontId="52" fillId="28" borderId="42" xfId="161" applyFont="1" applyFill="1" applyBorder="1" applyAlignment="1">
      <alignment horizontal="centerContinuous" vertical="center"/>
    </xf>
    <xf numFmtId="0" fontId="52" fillId="28" borderId="46" xfId="161" quotePrefix="1" applyFont="1" applyFill="1" applyBorder="1" applyAlignment="1">
      <alignment horizontal="centerContinuous" vertical="center"/>
    </xf>
    <xf numFmtId="0" fontId="52" fillId="28" borderId="28" xfId="161" quotePrefix="1" applyFont="1" applyFill="1" applyBorder="1" applyAlignment="1">
      <alignment horizontal="centerContinuous" vertical="center"/>
    </xf>
    <xf numFmtId="0" fontId="59" fillId="28" borderId="46" xfId="161" applyFont="1" applyFill="1" applyBorder="1" applyAlignment="1">
      <alignment horizontal="centerContinuous" vertical="center"/>
    </xf>
    <xf numFmtId="0" fontId="59" fillId="28" borderId="28" xfId="161" applyFont="1" applyFill="1" applyBorder="1" applyAlignment="1">
      <alignment horizontal="centerContinuous" vertical="center"/>
    </xf>
    <xf numFmtId="0" fontId="59" fillId="28" borderId="42" xfId="161" applyFont="1" applyFill="1" applyBorder="1" applyAlignment="1">
      <alignment horizontal="centerContinuous" vertical="center"/>
    </xf>
    <xf numFmtId="0" fontId="52" fillId="20" borderId="46" xfId="161" applyFont="1" applyFill="1" applyBorder="1" applyAlignment="1">
      <alignment horizontal="centerContinuous" vertical="center"/>
    </xf>
    <xf numFmtId="0" fontId="52" fillId="20" borderId="28" xfId="161" applyFont="1" applyFill="1" applyBorder="1" applyAlignment="1">
      <alignment horizontal="centerContinuous" vertical="center"/>
    </xf>
    <xf numFmtId="0" fontId="52" fillId="20" borderId="42" xfId="161" applyFont="1" applyFill="1" applyBorder="1" applyAlignment="1">
      <alignment horizontal="centerContinuous" vertical="center"/>
    </xf>
    <xf numFmtId="0" fontId="52" fillId="20" borderId="46" xfId="161" quotePrefix="1" applyFont="1" applyFill="1" applyBorder="1" applyAlignment="1">
      <alignment horizontal="centerContinuous" vertical="center"/>
    </xf>
    <xf numFmtId="0" fontId="52" fillId="20" borderId="28" xfId="161" quotePrefix="1" applyFont="1" applyFill="1" applyBorder="1" applyAlignment="1">
      <alignment horizontal="centerContinuous" vertical="center"/>
    </xf>
    <xf numFmtId="0" fontId="59" fillId="20" borderId="46" xfId="161" applyFont="1" applyFill="1" applyBorder="1" applyAlignment="1">
      <alignment horizontal="centerContinuous" vertical="center"/>
    </xf>
    <xf numFmtId="0" fontId="59" fillId="20" borderId="28" xfId="161" applyFont="1" applyFill="1" applyBorder="1" applyAlignment="1">
      <alignment horizontal="centerContinuous" vertical="center"/>
    </xf>
    <xf numFmtId="0" fontId="59" fillId="20" borderId="42" xfId="161" applyFont="1" applyFill="1" applyBorder="1" applyAlignment="1">
      <alignment horizontal="centerContinuous" vertical="center"/>
    </xf>
    <xf numFmtId="0" fontId="51" fillId="19" borderId="35" xfId="161" quotePrefix="1" applyFont="1" applyFill="1" applyBorder="1" applyAlignment="1">
      <alignment horizontal="center" vertical="center"/>
    </xf>
    <xf numFmtId="0" fontId="59" fillId="0" borderId="15" xfId="161" quotePrefix="1" applyFont="1" applyBorder="1" applyAlignment="1">
      <alignment horizontal="centerContinuous" vertical="center"/>
    </xf>
    <xf numFmtId="0" fontId="61" fillId="0" borderId="12" xfId="161" applyFont="1" applyBorder="1" applyAlignment="1">
      <alignment horizontal="centerContinuous" vertical="center"/>
    </xf>
    <xf numFmtId="0" fontId="61" fillId="0" borderId="13" xfId="161" applyFont="1" applyBorder="1" applyAlignment="1">
      <alignment horizontal="centerContinuous" vertical="center"/>
    </xf>
    <xf numFmtId="14" fontId="59" fillId="0" borderId="28" xfId="161" quotePrefix="1" applyNumberFormat="1" applyFont="1" applyBorder="1" applyAlignment="1">
      <alignment horizontal="centerContinuous" vertical="center"/>
    </xf>
    <xf numFmtId="0" fontId="59" fillId="0" borderId="28" xfId="161" quotePrefix="1" applyFont="1" applyBorder="1" applyAlignment="1">
      <alignment horizontal="centerContinuous" vertical="center"/>
    </xf>
    <xf numFmtId="0" fontId="61" fillId="0" borderId="28" xfId="161" applyFont="1" applyBorder="1" applyAlignment="1">
      <alignment horizontal="centerContinuous" vertical="center"/>
    </xf>
    <xf numFmtId="0" fontId="52" fillId="0" borderId="28" xfId="161" applyFont="1" applyBorder="1" applyAlignment="1">
      <alignment horizontal="center" vertical="center"/>
    </xf>
    <xf numFmtId="14" fontId="59" fillId="0" borderId="47" xfId="161" quotePrefix="1" applyNumberFormat="1" applyFont="1" applyBorder="1" applyAlignment="1">
      <alignment horizontal="centerContinuous" vertical="center"/>
    </xf>
    <xf numFmtId="14" fontId="59" fillId="0" borderId="48" xfId="161" quotePrefix="1" applyNumberFormat="1" applyFont="1" applyBorder="1" applyAlignment="1">
      <alignment horizontal="centerContinuous" vertical="center"/>
    </xf>
    <xf numFmtId="0" fontId="52" fillId="14" borderId="49" xfId="161" applyFont="1" applyFill="1" applyBorder="1" applyAlignment="1">
      <alignment horizontal="centerContinuous" vertical="center"/>
    </xf>
    <xf numFmtId="0" fontId="51" fillId="0" borderId="27" xfId="161" quotePrefix="1" applyFont="1" applyBorder="1" applyAlignment="1">
      <alignment horizontal="center" vertical="center"/>
    </xf>
    <xf numFmtId="0" fontId="59" fillId="19" borderId="23" xfId="161" applyFont="1" applyFill="1" applyBorder="1" applyAlignment="1">
      <alignment horizontal="center" vertical="center"/>
    </xf>
    <xf numFmtId="0" fontId="52" fillId="28" borderId="15" xfId="161" applyFont="1" applyFill="1" applyBorder="1" applyAlignment="1">
      <alignment horizontal="centerContinuous" vertical="center"/>
    </xf>
    <xf numFmtId="0" fontId="52" fillId="28" borderId="12" xfId="161" applyFont="1" applyFill="1" applyBorder="1" applyAlignment="1">
      <alignment horizontal="centerContinuous" vertical="center"/>
    </xf>
    <xf numFmtId="0" fontId="52" fillId="28" borderId="13" xfId="161" applyFont="1" applyFill="1" applyBorder="1" applyAlignment="1">
      <alignment horizontal="centerContinuous" vertical="center"/>
    </xf>
    <xf numFmtId="0" fontId="52" fillId="28" borderId="15" xfId="161" quotePrefix="1" applyFont="1" applyFill="1" applyBorder="1" applyAlignment="1">
      <alignment horizontal="centerContinuous" vertical="center"/>
    </xf>
    <xf numFmtId="0" fontId="52" fillId="28" borderId="12" xfId="161" quotePrefix="1" applyFont="1" applyFill="1" applyBorder="1" applyAlignment="1">
      <alignment horizontal="centerContinuous" vertical="center"/>
    </xf>
    <xf numFmtId="0" fontId="59" fillId="28" borderId="15" xfId="161" applyFont="1" applyFill="1" applyBorder="1" applyAlignment="1">
      <alignment horizontal="centerContinuous" vertical="center"/>
    </xf>
    <xf numFmtId="0" fontId="59" fillId="28" borderId="12" xfId="161" applyFont="1" applyFill="1" applyBorder="1" applyAlignment="1">
      <alignment horizontal="centerContinuous" vertical="center"/>
    </xf>
    <xf numFmtId="0" fontId="59" fillId="28" borderId="13" xfId="161" applyFont="1" applyFill="1" applyBorder="1" applyAlignment="1">
      <alignment horizontal="centerContinuous" vertical="center"/>
    </xf>
    <xf numFmtId="0" fontId="0" fillId="14" borderId="13" xfId="0" applyFill="1" applyBorder="1">
      <alignment vertical="center"/>
    </xf>
    <xf numFmtId="0" fontId="51" fillId="19" borderId="3" xfId="161" quotePrefix="1" applyFont="1" applyFill="1" applyBorder="1" applyAlignment="1">
      <alignment horizontal="center" vertical="center"/>
    </xf>
    <xf numFmtId="0" fontId="51" fillId="0" borderId="11" xfId="0" applyFont="1" applyBorder="1">
      <alignment vertical="center"/>
    </xf>
    <xf numFmtId="0" fontId="83" fillId="25" borderId="10" xfId="161" quotePrefix="1" applyFont="1" applyFill="1" applyBorder="1" applyAlignment="1">
      <alignment horizontal="left" vertical="center"/>
    </xf>
    <xf numFmtId="0" fontId="0" fillId="25" borderId="17" xfId="0" applyFill="1" applyBorder="1">
      <alignment vertical="center"/>
    </xf>
    <xf numFmtId="0" fontId="52" fillId="20" borderId="12" xfId="161" applyFont="1" applyFill="1" applyBorder="1" applyAlignment="1">
      <alignment horizontal="centerContinuous" vertical="center"/>
    </xf>
    <xf numFmtId="0" fontId="52" fillId="20" borderId="13" xfId="161" applyFont="1" applyFill="1" applyBorder="1" applyAlignment="1">
      <alignment horizontal="centerContinuous" vertical="center"/>
    </xf>
    <xf numFmtId="0" fontId="52" fillId="20" borderId="15" xfId="161" quotePrefix="1" applyFont="1" applyFill="1" applyBorder="1" applyAlignment="1">
      <alignment horizontal="centerContinuous" vertical="center"/>
    </xf>
    <xf numFmtId="0" fontId="52" fillId="20" borderId="12" xfId="161" quotePrefix="1" applyFont="1" applyFill="1" applyBorder="1" applyAlignment="1">
      <alignment horizontal="centerContinuous" vertical="center"/>
    </xf>
    <xf numFmtId="0" fontId="52" fillId="20" borderId="15" xfId="161" applyFont="1" applyFill="1" applyBorder="1" applyAlignment="1">
      <alignment horizontal="centerContinuous" vertical="center"/>
    </xf>
    <xf numFmtId="0" fontId="59" fillId="20" borderId="15" xfId="161" applyFont="1" applyFill="1" applyBorder="1" applyAlignment="1">
      <alignment horizontal="centerContinuous" vertical="center"/>
    </xf>
    <xf numFmtId="0" fontId="59" fillId="20" borderId="12" xfId="161" applyFont="1" applyFill="1" applyBorder="1" applyAlignment="1">
      <alignment horizontal="centerContinuous" vertical="center"/>
    </xf>
    <xf numFmtId="0" fontId="59" fillId="20" borderId="13" xfId="161" applyFont="1" applyFill="1" applyBorder="1" applyAlignment="1">
      <alignment horizontal="centerContinuous" vertical="center"/>
    </xf>
    <xf numFmtId="0" fontId="51" fillId="0" borderId="7" xfId="0" applyFont="1" applyBorder="1">
      <alignment vertical="center"/>
    </xf>
    <xf numFmtId="0" fontId="51" fillId="0" borderId="8" xfId="0" applyFont="1" applyBorder="1" applyAlignment="1">
      <alignment vertical="center" wrapText="1"/>
    </xf>
    <xf numFmtId="0" fontId="71" fillId="0" borderId="8" xfId="0" applyFont="1" applyBorder="1">
      <alignment vertical="center"/>
    </xf>
    <xf numFmtId="9" fontId="51" fillId="0" borderId="2" xfId="161" applyNumberFormat="1" applyFont="1" applyBorder="1">
      <alignment vertical="center"/>
    </xf>
    <xf numFmtId="0" fontId="59" fillId="26" borderId="7" xfId="161" quotePrefix="1" applyFont="1" applyFill="1" applyBorder="1" applyAlignment="1">
      <alignment horizontal="centerContinuous" vertical="center"/>
    </xf>
    <xf numFmtId="0" fontId="59" fillId="26" borderId="8" xfId="161" applyFont="1" applyFill="1" applyBorder="1" applyAlignment="1">
      <alignment horizontal="centerContinuous" vertical="center"/>
    </xf>
    <xf numFmtId="0" fontId="59" fillId="26" borderId="14" xfId="161" applyFont="1" applyFill="1" applyBorder="1" applyAlignment="1">
      <alignment horizontal="centerContinuous" vertical="center"/>
    </xf>
    <xf numFmtId="0" fontId="59" fillId="26" borderId="8" xfId="161" quotePrefix="1" applyFont="1" applyFill="1" applyBorder="1" applyAlignment="1">
      <alignment horizontal="centerContinuous" vertical="center"/>
    </xf>
    <xf numFmtId="0" fontId="59" fillId="19" borderId="37" xfId="161" applyFont="1" applyFill="1" applyBorder="1" applyAlignment="1">
      <alignment horizontal="center" vertical="center"/>
    </xf>
    <xf numFmtId="0" fontId="52" fillId="26" borderId="7" xfId="161" applyFont="1" applyFill="1" applyBorder="1" applyAlignment="1">
      <alignment horizontal="centerContinuous" vertical="center"/>
    </xf>
    <xf numFmtId="0" fontId="52" fillId="26" borderId="8" xfId="161" applyFont="1" applyFill="1" applyBorder="1" applyAlignment="1">
      <alignment horizontal="centerContinuous" vertical="center"/>
    </xf>
    <xf numFmtId="0" fontId="52" fillId="26" borderId="14" xfId="161" applyFont="1" applyFill="1" applyBorder="1" applyAlignment="1">
      <alignment horizontal="centerContinuous" vertical="center"/>
    </xf>
    <xf numFmtId="0" fontId="52" fillId="26" borderId="7" xfId="161" quotePrefix="1" applyFont="1" applyFill="1" applyBorder="1" applyAlignment="1">
      <alignment horizontal="centerContinuous" vertical="center"/>
    </xf>
    <xf numFmtId="0" fontId="52" fillId="26" borderId="8" xfId="161" quotePrefix="1" applyFont="1" applyFill="1" applyBorder="1" applyAlignment="1">
      <alignment horizontal="centerContinuous" vertical="center"/>
    </xf>
    <xf numFmtId="0" fontId="59" fillId="26" borderId="7" xfId="161" applyFont="1" applyFill="1" applyBorder="1" applyAlignment="1">
      <alignment horizontal="centerContinuous" vertical="center"/>
    </xf>
    <xf numFmtId="0" fontId="51" fillId="14" borderId="10" xfId="0" quotePrefix="1" applyFont="1" applyFill="1" applyBorder="1">
      <alignment vertical="center"/>
    </xf>
    <xf numFmtId="0" fontId="51" fillId="29" borderId="10" xfId="0" quotePrefix="1" applyFont="1" applyFill="1" applyBorder="1">
      <alignment vertical="center"/>
    </xf>
    <xf numFmtId="0" fontId="51" fillId="29" borderId="2" xfId="180" quotePrefix="1" applyFont="1" applyFill="1" applyBorder="1">
      <alignment vertical="center"/>
    </xf>
    <xf numFmtId="0" fontId="51" fillId="29" borderId="2" xfId="180" applyFont="1" applyFill="1" applyBorder="1">
      <alignment vertical="center"/>
    </xf>
    <xf numFmtId="0" fontId="51" fillId="29" borderId="2" xfId="180" applyFont="1" applyFill="1" applyBorder="1" applyAlignment="1">
      <alignment horizontal="center" vertical="center"/>
    </xf>
    <xf numFmtId="0" fontId="0" fillId="29" borderId="2" xfId="0" applyFill="1" applyBorder="1">
      <alignment vertical="center"/>
    </xf>
    <xf numFmtId="0" fontId="51" fillId="29" borderId="17" xfId="180" applyFont="1" applyFill="1" applyBorder="1" applyAlignment="1">
      <alignment horizontal="center" vertical="center"/>
    </xf>
    <xf numFmtId="0" fontId="88" fillId="25" borderId="41" xfId="161" quotePrefix="1" applyFont="1" applyFill="1" applyBorder="1" applyAlignment="1">
      <alignment horizontal="left" vertical="center"/>
    </xf>
    <xf numFmtId="0" fontId="74" fillId="14" borderId="28" xfId="0" applyFont="1" applyFill="1" applyBorder="1">
      <alignment vertical="center"/>
    </xf>
    <xf numFmtId="185" fontId="59" fillId="0" borderId="0" xfId="161" quotePrefix="1" applyNumberFormat="1" applyFont="1">
      <alignment vertical="center"/>
    </xf>
    <xf numFmtId="0" fontId="89" fillId="0" borderId="0" xfId="0" applyFont="1">
      <alignment vertical="center"/>
    </xf>
    <xf numFmtId="0" fontId="51" fillId="29" borderId="2" xfId="0" applyFont="1" applyFill="1" applyBorder="1">
      <alignment vertical="center"/>
    </xf>
    <xf numFmtId="0" fontId="63" fillId="29" borderId="2" xfId="180" applyFont="1" applyFill="1" applyBorder="1">
      <alignment vertical="center"/>
    </xf>
    <xf numFmtId="0" fontId="51" fillId="29" borderId="2" xfId="0" applyFont="1" applyFill="1" applyBorder="1" applyAlignment="1">
      <alignment vertical="center" wrapText="1"/>
    </xf>
    <xf numFmtId="0" fontId="51" fillId="29" borderId="17" xfId="0" applyFont="1" applyFill="1" applyBorder="1">
      <alignment vertical="center"/>
    </xf>
    <xf numFmtId="0" fontId="51" fillId="0" borderId="24" xfId="180" applyFont="1" applyBorder="1">
      <alignment vertical="center"/>
    </xf>
    <xf numFmtId="0" fontId="51" fillId="29" borderId="2" xfId="180" applyFont="1" applyFill="1" applyBorder="1" applyAlignment="1">
      <alignment horizontal="left" vertical="center"/>
    </xf>
    <xf numFmtId="0" fontId="52" fillId="14" borderId="41" xfId="180" quotePrefix="1" applyFont="1" applyFill="1" applyBorder="1">
      <alignment vertical="center"/>
    </xf>
    <xf numFmtId="0" fontId="51" fillId="14" borderId="10" xfId="180" quotePrefix="1" applyFont="1" applyFill="1" applyBorder="1" applyAlignment="1">
      <alignment horizontal="left" vertical="center"/>
    </xf>
    <xf numFmtId="0" fontId="51" fillId="0" borderId="33" xfId="161" applyFont="1" applyBorder="1">
      <alignment vertical="center"/>
    </xf>
    <xf numFmtId="0" fontId="90" fillId="0" borderId="0" xfId="0" applyFont="1">
      <alignment vertical="center"/>
    </xf>
    <xf numFmtId="0" fontId="77" fillId="14" borderId="44" xfId="161" quotePrefix="1" applyFont="1" applyFill="1" applyBorder="1">
      <alignment vertical="center"/>
    </xf>
    <xf numFmtId="0" fontId="51" fillId="14" borderId="50" xfId="161" applyFont="1" applyFill="1" applyBorder="1">
      <alignment vertical="center"/>
    </xf>
    <xf numFmtId="0" fontId="51" fillId="14" borderId="11" xfId="0" applyFont="1" applyFill="1" applyBorder="1">
      <alignment vertical="center"/>
    </xf>
    <xf numFmtId="0" fontId="62" fillId="0" borderId="28" xfId="0" applyFont="1" applyBorder="1">
      <alignment vertical="center"/>
    </xf>
    <xf numFmtId="0" fontId="51" fillId="14" borderId="8" xfId="180" quotePrefix="1" applyFont="1" applyFill="1" applyBorder="1">
      <alignment vertical="center"/>
    </xf>
    <xf numFmtId="0" fontId="51" fillId="14" borderId="8" xfId="180" applyFont="1" applyFill="1" applyBorder="1">
      <alignment vertical="center"/>
    </xf>
    <xf numFmtId="0" fontId="51" fillId="14" borderId="8" xfId="180" applyFont="1" applyFill="1" applyBorder="1" applyAlignment="1">
      <alignment horizontal="center" vertical="center"/>
    </xf>
    <xf numFmtId="0" fontId="51" fillId="14" borderId="25" xfId="180" applyFont="1" applyFill="1" applyBorder="1" applyAlignment="1">
      <alignment horizontal="center" vertical="center"/>
    </xf>
    <xf numFmtId="0" fontId="52" fillId="0" borderId="33" xfId="180" applyFont="1" applyBorder="1" applyAlignment="1">
      <alignment vertical="top"/>
    </xf>
    <xf numFmtId="0" fontId="52" fillId="14" borderId="17" xfId="180" applyFont="1" applyFill="1" applyBorder="1" applyAlignment="1">
      <alignment horizontal="center" vertical="center"/>
    </xf>
    <xf numFmtId="0" fontId="62" fillId="14" borderId="8" xfId="180" applyFont="1" applyFill="1" applyBorder="1" applyAlignment="1">
      <alignment horizontal="center" vertical="center"/>
    </xf>
    <xf numFmtId="0" fontId="91" fillId="24" borderId="8" xfId="161" quotePrefix="1" applyFont="1" applyFill="1" applyBorder="1" applyAlignment="1">
      <alignment horizontal="centerContinuous" vertical="center"/>
    </xf>
    <xf numFmtId="0" fontId="51" fillId="14" borderId="51" xfId="0" applyFont="1" applyFill="1" applyBorder="1">
      <alignment vertical="center"/>
    </xf>
    <xf numFmtId="0" fontId="52" fillId="30" borderId="15" xfId="161" applyFont="1" applyFill="1" applyBorder="1" applyAlignment="1">
      <alignment horizontal="centerContinuous" vertical="center"/>
    </xf>
    <xf numFmtId="0" fontId="52" fillId="30" borderId="12" xfId="161" applyFont="1" applyFill="1" applyBorder="1" applyAlignment="1">
      <alignment horizontal="centerContinuous" vertical="center"/>
    </xf>
    <xf numFmtId="0" fontId="52" fillId="30" borderId="15" xfId="161" quotePrefix="1" applyFont="1" applyFill="1" applyBorder="1" applyAlignment="1">
      <alignment horizontal="centerContinuous" vertical="center"/>
    </xf>
    <xf numFmtId="0" fontId="52" fillId="30" borderId="13" xfId="161" applyFont="1" applyFill="1" applyBorder="1" applyAlignment="1">
      <alignment horizontal="centerContinuous" vertical="center"/>
    </xf>
    <xf numFmtId="0" fontId="52" fillId="30" borderId="12" xfId="161" quotePrefix="1" applyFont="1" applyFill="1" applyBorder="1" applyAlignment="1">
      <alignment horizontal="centerContinuous" vertical="center"/>
    </xf>
    <xf numFmtId="0" fontId="59" fillId="30" borderId="15" xfId="161" applyFont="1" applyFill="1" applyBorder="1" applyAlignment="1">
      <alignment horizontal="centerContinuous" vertical="center"/>
    </xf>
    <xf numFmtId="0" fontId="59" fillId="30" borderId="12" xfId="161" applyFont="1" applyFill="1" applyBorder="1" applyAlignment="1">
      <alignment horizontal="centerContinuous" vertical="center"/>
    </xf>
    <xf numFmtId="0" fontId="59" fillId="30" borderId="13" xfId="161" applyFont="1" applyFill="1" applyBorder="1" applyAlignment="1">
      <alignment horizontal="centerContinuous" vertical="center"/>
    </xf>
    <xf numFmtId="0" fontId="59" fillId="30" borderId="10" xfId="161" applyFont="1" applyFill="1" applyBorder="1" applyAlignment="1">
      <alignment horizontal="centerContinuous" vertical="center"/>
    </xf>
    <xf numFmtId="0" fontId="59" fillId="30" borderId="15" xfId="161" quotePrefix="1" applyFont="1" applyFill="1" applyBorder="1" applyAlignment="1">
      <alignment horizontal="centerContinuous" vertical="center"/>
    </xf>
    <xf numFmtId="0" fontId="92" fillId="0" borderId="0" xfId="0" applyFont="1">
      <alignment vertical="center"/>
    </xf>
    <xf numFmtId="0" fontId="59" fillId="30" borderId="12" xfId="161" quotePrefix="1" applyFont="1" applyFill="1" applyBorder="1" applyAlignment="1">
      <alignment horizontal="centerContinuous" vertical="center"/>
    </xf>
    <xf numFmtId="0" fontId="59" fillId="30" borderId="10" xfId="161" quotePrefix="1" applyFont="1" applyFill="1" applyBorder="1" applyAlignment="1">
      <alignment horizontal="centerContinuous" vertical="center"/>
    </xf>
    <xf numFmtId="0" fontId="51" fillId="14" borderId="6" xfId="0" applyFont="1" applyFill="1" applyBorder="1">
      <alignment vertical="center"/>
    </xf>
    <xf numFmtId="0" fontId="62" fillId="0" borderId="10" xfId="161" quotePrefix="1" applyFont="1" applyBorder="1">
      <alignment vertical="center"/>
    </xf>
    <xf numFmtId="0" fontId="52" fillId="30" borderId="7" xfId="161" applyFont="1" applyFill="1" applyBorder="1" applyAlignment="1">
      <alignment horizontal="centerContinuous" vertical="center"/>
    </xf>
    <xf numFmtId="0" fontId="52" fillId="30" borderId="8" xfId="161" applyFont="1" applyFill="1" applyBorder="1" applyAlignment="1">
      <alignment horizontal="centerContinuous" vertical="center"/>
    </xf>
    <xf numFmtId="0" fontId="52" fillId="30" borderId="14" xfId="161" applyFont="1" applyFill="1" applyBorder="1" applyAlignment="1">
      <alignment horizontal="centerContinuous" vertical="center"/>
    </xf>
    <xf numFmtId="0" fontId="52" fillId="30" borderId="7" xfId="161" quotePrefix="1" applyFont="1" applyFill="1" applyBorder="1" applyAlignment="1">
      <alignment horizontal="centerContinuous" vertical="center"/>
    </xf>
    <xf numFmtId="0" fontId="52" fillId="30" borderId="8" xfId="161" quotePrefix="1" applyFont="1" applyFill="1" applyBorder="1" applyAlignment="1">
      <alignment horizontal="centerContinuous" vertical="center"/>
    </xf>
    <xf numFmtId="0" fontId="59" fillId="30" borderId="7" xfId="161" applyFont="1" applyFill="1" applyBorder="1" applyAlignment="1">
      <alignment horizontal="centerContinuous" vertical="center"/>
    </xf>
    <xf numFmtId="0" fontId="59" fillId="30" borderId="8" xfId="161" applyFont="1" applyFill="1" applyBorder="1" applyAlignment="1">
      <alignment horizontal="centerContinuous" vertical="center"/>
    </xf>
    <xf numFmtId="0" fontId="59" fillId="30" borderId="14" xfId="161" applyFont="1" applyFill="1" applyBorder="1" applyAlignment="1">
      <alignment horizontal="centerContinuous" vertical="center"/>
    </xf>
    <xf numFmtId="0" fontId="59" fillId="30" borderId="7" xfId="161" quotePrefix="1" applyFont="1" applyFill="1" applyBorder="1" applyAlignment="1">
      <alignment horizontal="centerContinuous" vertical="center"/>
    </xf>
    <xf numFmtId="0" fontId="59" fillId="30" borderId="8" xfId="161" quotePrefix="1" applyFont="1" applyFill="1" applyBorder="1" applyAlignment="1">
      <alignment horizontal="centerContinuous" vertical="center"/>
    </xf>
    <xf numFmtId="0" fontId="62" fillId="14" borderId="33" xfId="161" applyFont="1" applyFill="1" applyBorder="1">
      <alignment vertical="center"/>
    </xf>
    <xf numFmtId="0" fontId="59" fillId="24" borderId="15" xfId="161" quotePrefix="1" applyFont="1" applyFill="1" applyBorder="1" applyAlignment="1">
      <alignment horizontal="centerContinuous" vertical="center"/>
    </xf>
    <xf numFmtId="0" fontId="51" fillId="0" borderId="10" xfId="0" quotePrefix="1" applyFont="1" applyBorder="1">
      <alignment vertical="center"/>
    </xf>
    <xf numFmtId="0" fontId="51" fillId="0" borderId="2" xfId="180" quotePrefix="1" applyFont="1" applyBorder="1">
      <alignment vertical="center"/>
    </xf>
    <xf numFmtId="0" fontId="51" fillId="0" borderId="2" xfId="180" applyFont="1" applyBorder="1">
      <alignment vertical="center"/>
    </xf>
    <xf numFmtId="0" fontId="51" fillId="0" borderId="2" xfId="180" applyFont="1" applyBorder="1" applyAlignment="1">
      <alignment horizontal="center" vertical="center"/>
    </xf>
    <xf numFmtId="0" fontId="0" fillId="0" borderId="2" xfId="0" applyBorder="1">
      <alignment vertical="center"/>
    </xf>
    <xf numFmtId="0" fontId="63" fillId="0" borderId="2" xfId="180" applyFont="1" applyBorder="1">
      <alignment vertical="center"/>
    </xf>
    <xf numFmtId="0" fontId="51" fillId="0" borderId="2" xfId="0" applyFont="1" applyBorder="1" applyAlignment="1">
      <alignment vertical="center" wrapText="1"/>
    </xf>
    <xf numFmtId="49" fontId="95" fillId="10" borderId="6" xfId="0" applyNumberFormat="1" applyFont="1" applyFill="1" applyBorder="1" applyAlignment="1">
      <alignment horizontal="left" vertical="center"/>
    </xf>
    <xf numFmtId="0" fontId="96" fillId="31" borderId="10" xfId="161" applyFont="1" applyFill="1" applyBorder="1">
      <alignment vertical="center"/>
    </xf>
    <xf numFmtId="0" fontId="97" fillId="31" borderId="2" xfId="161" applyFont="1" applyFill="1" applyBorder="1">
      <alignment vertical="center"/>
    </xf>
    <xf numFmtId="0" fontId="97" fillId="31" borderId="2" xfId="161" applyFont="1" applyFill="1" applyBorder="1" applyAlignment="1">
      <alignment horizontal="centerContinuous" vertical="center"/>
    </xf>
    <xf numFmtId="0" fontId="97" fillId="31" borderId="17" xfId="161" applyFont="1" applyFill="1" applyBorder="1" applyAlignment="1">
      <alignment horizontal="centerContinuous" vertical="center"/>
    </xf>
    <xf numFmtId="0" fontId="98" fillId="14" borderId="11" xfId="161" quotePrefix="1" applyFont="1" applyFill="1" applyBorder="1" applyAlignment="1">
      <alignment horizontal="centerContinuous" vertical="center"/>
    </xf>
    <xf numFmtId="0" fontId="95" fillId="10" borderId="16" xfId="46" applyFont="1" applyFill="1" applyBorder="1" applyAlignment="1">
      <alignment horizontal="centerContinuous"/>
    </xf>
    <xf numFmtId="0" fontId="95" fillId="10" borderId="9" xfId="46" applyFont="1" applyFill="1" applyBorder="1" applyAlignment="1">
      <alignment horizontal="centerContinuous"/>
    </xf>
    <xf numFmtId="0" fontId="99" fillId="14" borderId="0" xfId="0" applyFont="1" applyFill="1">
      <alignment vertical="center"/>
    </xf>
    <xf numFmtId="0" fontId="100" fillId="14" borderId="0" xfId="0" applyFont="1" applyFill="1">
      <alignment vertical="center"/>
    </xf>
    <xf numFmtId="0" fontId="99" fillId="34" borderId="2" xfId="180" applyFont="1" applyFill="1" applyBorder="1">
      <alignment vertical="center"/>
    </xf>
    <xf numFmtId="0" fontId="99" fillId="34" borderId="2" xfId="180" applyFont="1" applyFill="1" applyBorder="1" applyAlignment="1">
      <alignment horizontal="center" vertical="center"/>
    </xf>
    <xf numFmtId="0" fontId="93" fillId="34" borderId="2" xfId="180" applyFont="1" applyFill="1" applyBorder="1">
      <alignment vertical="center"/>
    </xf>
    <xf numFmtId="0" fontId="93" fillId="34" borderId="2" xfId="0" applyFont="1" applyFill="1" applyBorder="1">
      <alignment vertical="center"/>
    </xf>
    <xf numFmtId="0" fontId="93" fillId="34" borderId="2" xfId="180" applyFont="1" applyFill="1" applyBorder="1" applyAlignment="1">
      <alignment horizontal="center" vertical="center"/>
    </xf>
    <xf numFmtId="0" fontId="93" fillId="34" borderId="2" xfId="161" applyFont="1" applyFill="1" applyBorder="1">
      <alignment vertical="center"/>
    </xf>
    <xf numFmtId="0" fontId="93" fillId="34" borderId="2" xfId="0" applyFont="1" applyFill="1" applyBorder="1" applyAlignment="1">
      <alignment vertical="center" wrapText="1"/>
    </xf>
    <xf numFmtId="0" fontId="93" fillId="34" borderId="2" xfId="161" quotePrefix="1" applyFont="1" applyFill="1" applyBorder="1">
      <alignment vertical="center"/>
    </xf>
    <xf numFmtId="0" fontId="93" fillId="34" borderId="17" xfId="180" applyFont="1" applyFill="1" applyBorder="1">
      <alignment vertical="center"/>
    </xf>
    <xf numFmtId="0" fontId="99" fillId="14" borderId="11" xfId="180" applyFont="1" applyFill="1" applyBorder="1">
      <alignment vertical="center"/>
    </xf>
    <xf numFmtId="0" fontId="95" fillId="10" borderId="6" xfId="49" applyFont="1" applyFill="1" applyBorder="1" applyAlignment="1">
      <alignment horizontal="right" vertical="center"/>
    </xf>
    <xf numFmtId="0" fontId="99" fillId="14" borderId="6" xfId="161" quotePrefix="1" applyFont="1" applyFill="1" applyBorder="1">
      <alignment vertical="center"/>
    </xf>
    <xf numFmtId="0" fontId="99" fillId="14" borderId="0" xfId="161" applyFont="1" applyFill="1">
      <alignment vertical="center"/>
    </xf>
    <xf numFmtId="0" fontId="99" fillId="14" borderId="11" xfId="161" applyFont="1" applyFill="1" applyBorder="1">
      <alignment vertical="center"/>
    </xf>
    <xf numFmtId="0" fontId="101" fillId="14" borderId="0" xfId="161" applyFont="1" applyFill="1">
      <alignment vertical="center"/>
    </xf>
    <xf numFmtId="0" fontId="99" fillId="0" borderId="0" xfId="161" applyFont="1">
      <alignment vertical="center"/>
    </xf>
    <xf numFmtId="0" fontId="99" fillId="0" borderId="0" xfId="161" quotePrefix="1" applyFont="1">
      <alignment vertical="center"/>
    </xf>
    <xf numFmtId="0" fontId="99" fillId="0" borderId="0" xfId="161" applyFont="1" applyAlignment="1">
      <alignment horizontal="center" vertical="center"/>
    </xf>
    <xf numFmtId="0" fontId="99" fillId="0" borderId="0" xfId="0" applyFont="1">
      <alignment vertical="center"/>
    </xf>
    <xf numFmtId="0" fontId="93" fillId="14" borderId="6" xfId="161" quotePrefix="1" applyFont="1" applyFill="1" applyBorder="1">
      <alignment vertical="center"/>
    </xf>
    <xf numFmtId="0" fontId="102" fillId="14" borderId="0" xfId="0" applyFont="1" applyFill="1">
      <alignment vertical="center"/>
    </xf>
    <xf numFmtId="0" fontId="99" fillId="0" borderId="0" xfId="161" quotePrefix="1" applyFont="1" applyAlignment="1">
      <alignment horizontal="left" vertical="center"/>
    </xf>
    <xf numFmtId="0" fontId="99" fillId="0" borderId="0" xfId="161" applyFont="1" applyAlignment="1">
      <alignment horizontal="left" vertical="center"/>
    </xf>
    <xf numFmtId="0" fontId="95" fillId="14" borderId="0" xfId="0" applyFont="1" applyFill="1">
      <alignment vertical="center"/>
    </xf>
    <xf numFmtId="0" fontId="95" fillId="10" borderId="16" xfId="46" applyFont="1" applyFill="1" applyBorder="1" applyAlignment="1">
      <alignment horizontal="center"/>
    </xf>
    <xf numFmtId="0" fontId="95" fillId="10" borderId="9" xfId="46" applyFont="1" applyFill="1" applyBorder="1" applyAlignment="1">
      <alignment horizontal="center"/>
    </xf>
    <xf numFmtId="0" fontId="99" fillId="14" borderId="0" xfId="0" applyFont="1" applyFill="1" applyAlignment="1">
      <alignment vertical="center" wrapText="1"/>
    </xf>
    <xf numFmtId="0" fontId="95" fillId="10" borderId="7" xfId="49" applyFont="1" applyFill="1" applyBorder="1" applyAlignment="1">
      <alignment horizontal="right" vertical="center"/>
    </xf>
    <xf numFmtId="0" fontId="95" fillId="10" borderId="21" xfId="46" applyFont="1" applyFill="1" applyBorder="1" applyAlignment="1">
      <alignment horizontal="center"/>
    </xf>
    <xf numFmtId="0" fontId="95" fillId="10" borderId="22" xfId="46" applyFont="1" applyFill="1" applyBorder="1" applyAlignment="1">
      <alignment horizontal="center"/>
    </xf>
    <xf numFmtId="0" fontId="100" fillId="14" borderId="0" xfId="0" applyFont="1" applyFill="1" applyAlignment="1">
      <alignment vertical="center" wrapText="1"/>
    </xf>
    <xf numFmtId="0" fontId="94" fillId="34" borderId="2" xfId="180" applyFont="1" applyFill="1" applyBorder="1">
      <alignment vertical="center"/>
    </xf>
    <xf numFmtId="0" fontId="99" fillId="33" borderId="10" xfId="180" applyFont="1" applyFill="1" applyBorder="1">
      <alignment vertical="center"/>
    </xf>
    <xf numFmtId="0" fontId="99" fillId="33" borderId="2" xfId="180" applyFont="1" applyFill="1" applyBorder="1">
      <alignment vertical="center"/>
    </xf>
    <xf numFmtId="0" fontId="99" fillId="33" borderId="2" xfId="180" applyFont="1" applyFill="1" applyBorder="1" applyAlignment="1">
      <alignment horizontal="center" vertical="center"/>
    </xf>
    <xf numFmtId="0" fontId="99" fillId="33" borderId="2" xfId="0" applyFont="1" applyFill="1" applyBorder="1">
      <alignment vertical="center"/>
    </xf>
    <xf numFmtId="0" fontId="100" fillId="33" borderId="2" xfId="0" applyFont="1" applyFill="1" applyBorder="1">
      <alignment vertical="center"/>
    </xf>
    <xf numFmtId="0" fontId="99" fillId="33" borderId="2" xfId="180" quotePrefix="1" applyFont="1" applyFill="1" applyBorder="1">
      <alignment vertical="center"/>
    </xf>
    <xf numFmtId="0" fontId="97" fillId="31" borderId="2" xfId="161" applyFont="1" applyFill="1" applyBorder="1" applyAlignment="1">
      <alignment horizontal="centerContinuous" vertical="top"/>
    </xf>
    <xf numFmtId="0" fontId="104" fillId="31" borderId="2" xfId="161" applyFont="1" applyFill="1" applyBorder="1" applyAlignment="1">
      <alignment horizontal="left" vertical="center"/>
    </xf>
    <xf numFmtId="0" fontId="93" fillId="32" borderId="6" xfId="161" quotePrefix="1" applyFont="1" applyFill="1" applyBorder="1" applyAlignment="1">
      <alignment horizontal="centerContinuous" vertical="center"/>
    </xf>
    <xf numFmtId="0" fontId="93" fillId="32" borderId="0" xfId="0" applyFont="1" applyFill="1" applyAlignment="1">
      <alignment horizontal="centerContinuous" vertical="center"/>
    </xf>
    <xf numFmtId="0" fontId="93" fillId="32" borderId="0" xfId="0" applyFont="1" applyFill="1">
      <alignment vertical="center"/>
    </xf>
    <xf numFmtId="0" fontId="93" fillId="32" borderId="11" xfId="161" applyFont="1" applyFill="1" applyBorder="1">
      <alignment vertical="center"/>
    </xf>
    <xf numFmtId="0" fontId="93" fillId="32" borderId="0" xfId="161" applyFont="1" applyFill="1" applyAlignment="1">
      <alignment horizontal="centerContinuous" vertical="center"/>
    </xf>
    <xf numFmtId="0" fontId="106" fillId="0" borderId="52" xfId="161" quotePrefix="1" applyFont="1" applyBorder="1">
      <alignment vertical="center"/>
    </xf>
    <xf numFmtId="0" fontId="95" fillId="0" borderId="52" xfId="161" applyFont="1" applyBorder="1">
      <alignment vertical="center"/>
    </xf>
    <xf numFmtId="0" fontId="99" fillId="0" borderId="52" xfId="161" applyFont="1" applyBorder="1">
      <alignment vertical="center"/>
    </xf>
    <xf numFmtId="0" fontId="99" fillId="0" borderId="52" xfId="161" quotePrefix="1" applyFont="1" applyBorder="1">
      <alignment vertical="center"/>
    </xf>
    <xf numFmtId="0" fontId="99" fillId="0" borderId="52" xfId="161" applyFont="1" applyBorder="1" applyAlignment="1">
      <alignment horizontal="center" vertical="center"/>
    </xf>
    <xf numFmtId="0" fontId="99" fillId="0" borderId="52" xfId="0" applyFont="1" applyBorder="1">
      <alignment vertical="center"/>
    </xf>
    <xf numFmtId="0" fontId="99" fillId="0" borderId="52" xfId="0" applyFont="1" applyBorder="1" applyAlignment="1">
      <alignment vertical="center" wrapText="1"/>
    </xf>
    <xf numFmtId="0" fontId="95" fillId="0" borderId="0" xfId="161" applyFont="1">
      <alignment vertical="center"/>
    </xf>
    <xf numFmtId="0" fontId="95" fillId="0" borderId="0" xfId="180" applyFont="1" applyAlignment="1">
      <alignment horizontal="center" vertical="center"/>
    </xf>
    <xf numFmtId="0" fontId="95" fillId="0" borderId="6" xfId="161" quotePrefix="1" applyFont="1" applyBorder="1">
      <alignment vertical="center"/>
    </xf>
    <xf numFmtId="0" fontId="105" fillId="0" borderId="0" xfId="0" applyFont="1">
      <alignment vertical="center"/>
    </xf>
    <xf numFmtId="0" fontId="95" fillId="0" borderId="0" xfId="161" quotePrefix="1" applyFont="1">
      <alignment vertical="center"/>
    </xf>
    <xf numFmtId="0" fontId="95" fillId="0" borderId="0" xfId="0" applyFont="1">
      <alignment vertical="center"/>
    </xf>
    <xf numFmtId="0" fontId="95" fillId="0" borderId="11" xfId="161" applyFont="1" applyBorder="1">
      <alignment vertical="center"/>
    </xf>
    <xf numFmtId="0" fontId="105" fillId="0" borderId="0" xfId="161" applyFont="1">
      <alignment vertical="center"/>
    </xf>
    <xf numFmtId="0" fontId="95" fillId="0" borderId="0" xfId="161" applyFont="1" applyAlignment="1">
      <alignment horizontal="left" vertical="center"/>
    </xf>
    <xf numFmtId="0" fontId="95" fillId="0" borderId="0" xfId="161" applyFont="1" applyAlignment="1">
      <alignment horizontal="center" vertical="center"/>
    </xf>
    <xf numFmtId="0" fontId="107" fillId="0" borderId="0" xfId="0" applyFont="1">
      <alignment vertical="center"/>
    </xf>
    <xf numFmtId="0" fontId="95" fillId="0" borderId="0" xfId="0" applyFont="1" applyAlignment="1">
      <alignment vertical="center" wrapText="1"/>
    </xf>
    <xf numFmtId="0" fontId="95" fillId="0" borderId="6" xfId="161" applyFont="1" applyBorder="1">
      <alignment vertical="center"/>
    </xf>
    <xf numFmtId="0" fontId="95" fillId="0" borderId="6" xfId="180" applyFont="1" applyBorder="1">
      <alignment vertical="center"/>
    </xf>
    <xf numFmtId="0" fontId="95" fillId="0" borderId="0" xfId="180" applyFont="1" applyAlignment="1">
      <alignment vertical="top"/>
    </xf>
    <xf numFmtId="0" fontId="95" fillId="0" borderId="0" xfId="180" applyFont="1">
      <alignment vertical="center"/>
    </xf>
    <xf numFmtId="0" fontId="95" fillId="0" borderId="0" xfId="161" quotePrefix="1" applyFont="1" applyAlignment="1">
      <alignment horizontal="center" vertical="center"/>
    </xf>
    <xf numFmtId="0" fontId="103" fillId="0" borderId="0" xfId="0" applyFont="1">
      <alignment vertical="center"/>
    </xf>
    <xf numFmtId="0" fontId="95" fillId="0" borderId="0" xfId="0" applyFont="1" applyAlignment="1">
      <alignment horizontal="left" vertical="center"/>
    </xf>
    <xf numFmtId="0" fontId="95" fillId="0" borderId="2" xfId="161" applyFont="1" applyBorder="1">
      <alignment vertical="center"/>
    </xf>
    <xf numFmtId="0" fontId="105" fillId="0" borderId="2" xfId="0" applyFont="1" applyBorder="1">
      <alignment vertical="center"/>
    </xf>
    <xf numFmtId="0" fontId="105" fillId="0" borderId="2" xfId="0" applyFont="1" applyBorder="1" applyAlignment="1">
      <alignment vertical="center" wrapText="1"/>
    </xf>
    <xf numFmtId="0" fontId="95" fillId="0" borderId="14" xfId="161" applyFont="1" applyBorder="1">
      <alignment vertical="center"/>
    </xf>
    <xf numFmtId="0" fontId="108" fillId="35" borderId="0" xfId="161" applyFont="1" applyFill="1">
      <alignment vertical="center"/>
    </xf>
    <xf numFmtId="0" fontId="109" fillId="35" borderId="0" xfId="161" applyFont="1" applyFill="1">
      <alignment vertical="center"/>
    </xf>
    <xf numFmtId="0" fontId="109" fillId="35" borderId="0" xfId="161" quotePrefix="1" applyFont="1" applyFill="1">
      <alignment vertical="center"/>
    </xf>
    <xf numFmtId="0" fontId="109" fillId="35" borderId="0" xfId="161" applyFont="1" applyFill="1" applyAlignment="1">
      <alignment horizontal="center" vertical="center"/>
    </xf>
    <xf numFmtId="0" fontId="109" fillId="35" borderId="0" xfId="0" applyFont="1" applyFill="1">
      <alignment vertical="center"/>
    </xf>
    <xf numFmtId="0" fontId="109" fillId="35" borderId="0" xfId="0" applyFont="1" applyFill="1" applyAlignment="1">
      <alignment vertical="center" wrapText="1"/>
    </xf>
    <xf numFmtId="0" fontId="110" fillId="35" borderId="0" xfId="161" applyFont="1" applyFill="1">
      <alignment vertical="center"/>
    </xf>
    <xf numFmtId="14" fontId="110" fillId="35" borderId="0" xfId="161" quotePrefix="1" applyNumberFormat="1" applyFont="1" applyFill="1">
      <alignment vertical="center"/>
    </xf>
    <xf numFmtId="0" fontId="110" fillId="35" borderId="0" xfId="161" quotePrefix="1" applyFont="1" applyFill="1">
      <alignment vertical="center"/>
    </xf>
    <xf numFmtId="0" fontId="108" fillId="35" borderId="0" xfId="161" quotePrefix="1" applyFont="1" applyFill="1">
      <alignment vertical="center"/>
    </xf>
    <xf numFmtId="0" fontId="108" fillId="35" borderId="0" xfId="161" applyFont="1" applyFill="1" applyAlignment="1">
      <alignment horizontal="left" vertical="center"/>
    </xf>
    <xf numFmtId="0" fontId="108" fillId="35" borderId="0" xfId="0" applyFont="1" applyFill="1">
      <alignment vertical="center"/>
    </xf>
    <xf numFmtId="0" fontId="108" fillId="35" borderId="0" xfId="161" applyFont="1" applyFill="1" applyAlignment="1">
      <alignment horizontal="center" vertical="center"/>
    </xf>
    <xf numFmtId="0" fontId="108" fillId="35" borderId="0" xfId="161" quotePrefix="1" applyFont="1" applyFill="1" applyAlignment="1">
      <alignment horizontal="left" vertical="center"/>
    </xf>
    <xf numFmtId="0" fontId="108" fillId="35" borderId="0" xfId="0" applyFont="1" applyFill="1" applyAlignment="1">
      <alignment vertical="center" wrapText="1"/>
    </xf>
    <xf numFmtId="0" fontId="108" fillId="35" borderId="53" xfId="161" applyFont="1" applyFill="1" applyBorder="1">
      <alignment vertical="center"/>
    </xf>
    <xf numFmtId="0" fontId="108" fillId="35" borderId="54" xfId="161" applyFont="1" applyFill="1" applyBorder="1">
      <alignment vertical="center"/>
    </xf>
    <xf numFmtId="0" fontId="108" fillId="35" borderId="54" xfId="161" quotePrefix="1" applyFont="1" applyFill="1" applyBorder="1">
      <alignment vertical="center"/>
    </xf>
    <xf numFmtId="0" fontId="108" fillId="35" borderId="54" xfId="161" applyFont="1" applyFill="1" applyBorder="1" applyAlignment="1">
      <alignment horizontal="center" vertical="center"/>
    </xf>
    <xf numFmtId="0" fontId="108" fillId="35" borderId="54" xfId="0" applyFont="1" applyFill="1" applyBorder="1">
      <alignment vertical="center"/>
    </xf>
    <xf numFmtId="0" fontId="108" fillId="35" borderId="54" xfId="0" applyFont="1" applyFill="1" applyBorder="1" applyAlignment="1">
      <alignment vertical="center" wrapText="1"/>
    </xf>
    <xf numFmtId="0" fontId="111" fillId="35" borderId="0" xfId="161" applyFont="1" applyFill="1" applyAlignment="1">
      <alignment horizontal="left" vertical="center"/>
    </xf>
    <xf numFmtId="0" fontId="108" fillId="35" borderId="0" xfId="0" applyFont="1" applyFill="1" applyAlignment="1">
      <alignment horizontal="center" vertical="center"/>
    </xf>
    <xf numFmtId="0" fontId="108" fillId="35" borderId="55" xfId="161" applyFont="1" applyFill="1" applyBorder="1">
      <alignment vertical="center"/>
    </xf>
    <xf numFmtId="0" fontId="108" fillId="35" borderId="0" xfId="180" applyFont="1" applyFill="1">
      <alignment vertical="center"/>
    </xf>
    <xf numFmtId="0" fontId="108" fillId="35" borderId="0" xfId="180" applyFont="1" applyFill="1" applyAlignment="1">
      <alignment horizontal="center" vertical="center"/>
    </xf>
    <xf numFmtId="0" fontId="108" fillId="35" borderId="0" xfId="180" applyFont="1" applyFill="1" applyAlignment="1">
      <alignment vertical="top"/>
    </xf>
    <xf numFmtId="0" fontId="108" fillId="35" borderId="0" xfId="180" quotePrefix="1" applyFont="1" applyFill="1">
      <alignment vertical="center"/>
    </xf>
    <xf numFmtId="185" fontId="108" fillId="35" borderId="0" xfId="161" quotePrefix="1" applyNumberFormat="1" applyFont="1" applyFill="1">
      <alignment vertical="center"/>
    </xf>
    <xf numFmtId="185" fontId="108" fillId="35" borderId="0" xfId="161" quotePrefix="1" applyNumberFormat="1" applyFont="1" applyFill="1" applyAlignment="1">
      <alignment horizontal="right" vertical="center"/>
    </xf>
    <xf numFmtId="0" fontId="108" fillId="35" borderId="0" xfId="0" applyFont="1" applyFill="1" applyAlignment="1">
      <alignment horizontal="left" vertical="center"/>
    </xf>
    <xf numFmtId="0" fontId="0" fillId="35" borderId="0" xfId="0" applyFill="1">
      <alignment vertical="center"/>
    </xf>
    <xf numFmtId="0" fontId="108" fillId="14" borderId="0" xfId="0" applyFont="1" applyFill="1">
      <alignment vertical="center"/>
    </xf>
    <xf numFmtId="0" fontId="108" fillId="14" borderId="0" xfId="161" applyFont="1" applyFill="1">
      <alignment vertical="center"/>
    </xf>
    <xf numFmtId="0" fontId="108" fillId="14" borderId="0" xfId="0" applyFont="1" applyFill="1" applyAlignment="1">
      <alignment horizontal="left" vertical="center"/>
    </xf>
    <xf numFmtId="0" fontId="108" fillId="14" borderId="0" xfId="161" applyFont="1" applyFill="1" applyAlignment="1">
      <alignment horizontal="left" vertical="center"/>
    </xf>
    <xf numFmtId="0" fontId="108" fillId="14" borderId="0" xfId="161" applyFont="1" applyFill="1" applyAlignment="1">
      <alignment horizontal="center" vertical="center"/>
    </xf>
    <xf numFmtId="0" fontId="108" fillId="14" borderId="0" xfId="0" applyFont="1" applyFill="1" applyAlignment="1">
      <alignment horizontal="center" vertical="center"/>
    </xf>
    <xf numFmtId="0" fontId="108" fillId="19" borderId="0" xfId="0" applyFont="1" applyFill="1">
      <alignment vertical="center"/>
    </xf>
    <xf numFmtId="185" fontId="108" fillId="19" borderId="0" xfId="161" quotePrefix="1" applyNumberFormat="1" applyFont="1" applyFill="1">
      <alignment vertical="center"/>
    </xf>
    <xf numFmtId="0" fontId="108" fillId="19" borderId="0" xfId="161" applyFont="1" applyFill="1">
      <alignment vertical="center"/>
    </xf>
    <xf numFmtId="0" fontId="108" fillId="19" borderId="0" xfId="161" applyFont="1" applyFill="1" applyAlignment="1">
      <alignment horizontal="center" vertical="center"/>
    </xf>
    <xf numFmtId="0" fontId="108" fillId="19" borderId="0" xfId="0" applyFont="1" applyFill="1" applyAlignment="1">
      <alignment horizontal="left" vertical="center"/>
    </xf>
    <xf numFmtId="0" fontId="108" fillId="19" borderId="0" xfId="161" applyFont="1" applyFill="1" applyAlignment="1">
      <alignment horizontal="left" vertical="center"/>
    </xf>
    <xf numFmtId="0" fontId="108" fillId="35" borderId="56" xfId="0" applyFont="1" applyFill="1" applyBorder="1" applyAlignment="1">
      <alignment horizontal="centerContinuous" vertical="center"/>
    </xf>
    <xf numFmtId="0" fontId="108" fillId="35" borderId="57" xfId="0" applyFont="1" applyFill="1" applyBorder="1" applyAlignment="1">
      <alignment horizontal="centerContinuous" vertical="center"/>
    </xf>
    <xf numFmtId="185" fontId="108" fillId="35" borderId="57" xfId="161" quotePrefix="1" applyNumberFormat="1" applyFont="1" applyFill="1" applyBorder="1" applyAlignment="1">
      <alignment horizontal="centerContinuous" vertical="center"/>
    </xf>
    <xf numFmtId="185" fontId="108" fillId="35" borderId="58" xfId="161" quotePrefix="1" applyNumberFormat="1" applyFont="1" applyFill="1" applyBorder="1" applyAlignment="1">
      <alignment horizontal="centerContinuous" vertical="center"/>
    </xf>
    <xf numFmtId="185" fontId="108" fillId="35" borderId="56" xfId="161" quotePrefix="1" applyNumberFormat="1" applyFont="1" applyFill="1" applyBorder="1" applyAlignment="1">
      <alignment horizontal="centerContinuous" vertical="center"/>
    </xf>
    <xf numFmtId="0" fontId="108" fillId="35" borderId="57" xfId="161" applyFont="1" applyFill="1" applyBorder="1" applyAlignment="1">
      <alignment horizontal="centerContinuous" vertical="center"/>
    </xf>
    <xf numFmtId="0" fontId="108" fillId="35" borderId="58" xfId="0" applyFont="1" applyFill="1" applyBorder="1" applyAlignment="1">
      <alignment horizontal="centerContinuous" vertical="center"/>
    </xf>
    <xf numFmtId="0" fontId="108" fillId="35" borderId="58" xfId="161" applyFont="1" applyFill="1" applyBorder="1" applyAlignment="1">
      <alignment horizontal="centerContinuous" vertical="center"/>
    </xf>
    <xf numFmtId="0" fontId="108" fillId="35" borderId="56" xfId="161" applyFont="1" applyFill="1" applyBorder="1" applyAlignment="1">
      <alignment horizontal="centerContinuous" vertical="center"/>
    </xf>
    <xf numFmtId="0" fontId="113" fillId="14" borderId="56" xfId="0" applyFont="1" applyFill="1" applyBorder="1" applyAlignment="1">
      <alignment horizontal="centerContinuous" vertical="center"/>
    </xf>
    <xf numFmtId="0" fontId="113" fillId="14" borderId="57" xfId="0" applyFont="1" applyFill="1" applyBorder="1" applyAlignment="1">
      <alignment horizontal="centerContinuous" vertical="center"/>
    </xf>
    <xf numFmtId="0" fontId="113" fillId="14" borderId="58" xfId="0" applyFont="1" applyFill="1" applyBorder="1" applyAlignment="1">
      <alignment horizontal="centerContinuous" vertical="center"/>
    </xf>
    <xf numFmtId="0" fontId="113" fillId="0" borderId="56" xfId="0" applyFont="1" applyBorder="1" applyAlignment="1">
      <alignment horizontal="centerContinuous" vertical="center"/>
    </xf>
    <xf numFmtId="0" fontId="113" fillId="0" borderId="57" xfId="0" applyFont="1" applyBorder="1" applyAlignment="1">
      <alignment horizontal="centerContinuous" vertical="center"/>
    </xf>
    <xf numFmtId="0" fontId="113" fillId="0" borderId="57" xfId="161" applyFont="1" applyBorder="1" applyAlignment="1">
      <alignment horizontal="centerContinuous" vertical="center"/>
    </xf>
    <xf numFmtId="0" fontId="113" fillId="0" borderId="58" xfId="161" applyFont="1" applyBorder="1" applyAlignment="1">
      <alignment horizontal="centerContinuous" vertical="center"/>
    </xf>
    <xf numFmtId="0" fontId="113" fillId="0" borderId="56" xfId="161" applyFont="1" applyBorder="1" applyAlignment="1">
      <alignment horizontal="centerContinuous" vertical="center"/>
    </xf>
    <xf numFmtId="0" fontId="113" fillId="0" borderId="56" xfId="161" applyFont="1" applyBorder="1">
      <alignment vertical="center"/>
    </xf>
    <xf numFmtId="0" fontId="113" fillId="0" borderId="57" xfId="0" applyFont="1" applyBorder="1">
      <alignment vertical="center"/>
    </xf>
    <xf numFmtId="0" fontId="113" fillId="0" borderId="58" xfId="0" quotePrefix="1" applyFont="1" applyBorder="1" applyAlignment="1">
      <alignment horizontal="right" vertical="center"/>
    </xf>
    <xf numFmtId="0" fontId="113" fillId="0" borderId="58" xfId="0" quotePrefix="1" applyFont="1" applyBorder="1" applyAlignment="1">
      <alignment horizontal="centerContinuous" vertical="center"/>
    </xf>
    <xf numFmtId="0" fontId="113" fillId="0" borderId="58" xfId="0" applyFont="1" applyBorder="1" applyAlignment="1">
      <alignment horizontal="centerContinuous" vertical="center"/>
    </xf>
    <xf numFmtId="0" fontId="113" fillId="14" borderId="56" xfId="0" quotePrefix="1" applyFont="1" applyFill="1" applyBorder="1" applyAlignment="1">
      <alignment horizontal="centerContinuous" vertical="center"/>
    </xf>
    <xf numFmtId="192" fontId="113" fillId="0" borderId="56" xfId="161" applyNumberFormat="1" applyFont="1" applyBorder="1" applyAlignment="1">
      <alignment horizontal="centerContinuous" vertical="center"/>
    </xf>
    <xf numFmtId="0" fontId="113" fillId="0" borderId="56" xfId="0" applyFont="1" applyBorder="1">
      <alignment vertical="center"/>
    </xf>
    <xf numFmtId="0" fontId="95" fillId="36" borderId="6" xfId="161" applyFont="1" applyFill="1" applyBorder="1">
      <alignment vertical="center"/>
    </xf>
    <xf numFmtId="0" fontId="95" fillId="36" borderId="0" xfId="161" quotePrefix="1" applyFont="1" applyFill="1">
      <alignment vertical="center"/>
    </xf>
    <xf numFmtId="0" fontId="95" fillId="36" borderId="11" xfId="161" applyFont="1" applyFill="1" applyBorder="1">
      <alignment vertical="center"/>
    </xf>
    <xf numFmtId="0" fontId="95" fillId="36" borderId="6" xfId="161" quotePrefix="1" applyFont="1" applyFill="1" applyBorder="1">
      <alignment vertical="center"/>
    </xf>
    <xf numFmtId="0" fontId="95" fillId="37" borderId="0" xfId="161" quotePrefix="1" applyFont="1" applyFill="1">
      <alignment vertical="center"/>
    </xf>
    <xf numFmtId="0" fontId="95" fillId="37" borderId="0" xfId="161" quotePrefix="1" applyFont="1" applyFill="1" applyAlignment="1">
      <alignment horizontal="centerContinuous" vertical="center"/>
    </xf>
    <xf numFmtId="0" fontId="93" fillId="37" borderId="0" xfId="161" quotePrefix="1" applyFont="1" applyFill="1" applyAlignment="1">
      <alignment horizontal="centerContinuous" vertical="center"/>
    </xf>
    <xf numFmtId="0" fontId="93" fillId="36" borderId="0" xfId="161" quotePrefix="1" applyFont="1" applyFill="1">
      <alignment vertical="center"/>
    </xf>
    <xf numFmtId="0" fontId="116" fillId="36" borderId="0" xfId="161" quotePrefix="1" applyFont="1" applyFill="1">
      <alignment vertical="center"/>
    </xf>
    <xf numFmtId="0" fontId="117" fillId="36" borderId="0" xfId="161" quotePrefix="1" applyFont="1" applyFill="1">
      <alignment vertical="center"/>
    </xf>
    <xf numFmtId="0" fontId="114" fillId="14" borderId="0" xfId="0" applyFont="1" applyFill="1">
      <alignment vertical="center"/>
    </xf>
    <xf numFmtId="0" fontId="95" fillId="19" borderId="6" xfId="161" quotePrefix="1" applyFont="1" applyFill="1" applyBorder="1">
      <alignment vertical="center"/>
    </xf>
    <xf numFmtId="0" fontId="103" fillId="19" borderId="0" xfId="0" applyFont="1" applyFill="1">
      <alignment vertical="center"/>
    </xf>
    <xf numFmtId="0" fontId="95" fillId="19" borderId="0" xfId="0" applyFont="1" applyFill="1">
      <alignment vertical="center"/>
    </xf>
    <xf numFmtId="0" fontId="108" fillId="19" borderId="0" xfId="0" applyFont="1" applyFill="1" applyAlignment="1">
      <alignment horizontal="center" vertical="center"/>
    </xf>
    <xf numFmtId="0" fontId="95" fillId="19" borderId="11" xfId="161" applyFont="1" applyFill="1" applyBorder="1">
      <alignment vertical="center"/>
    </xf>
    <xf numFmtId="0" fontId="95" fillId="19" borderId="0" xfId="161" quotePrefix="1" applyFont="1" applyFill="1">
      <alignment vertical="center"/>
    </xf>
    <xf numFmtId="192" fontId="113" fillId="0" borderId="56" xfId="161" quotePrefix="1" applyNumberFormat="1" applyFont="1" applyBorder="1" applyAlignment="1">
      <alignment horizontal="centerContinuous" vertical="center"/>
    </xf>
    <xf numFmtId="0" fontId="105" fillId="38" borderId="0" xfId="0" applyFont="1" applyFill="1">
      <alignment vertical="center"/>
    </xf>
    <xf numFmtId="0" fontId="72" fillId="14" borderId="0" xfId="0" applyFont="1" applyFill="1">
      <alignment vertical="center"/>
    </xf>
    <xf numFmtId="0" fontId="119" fillId="14" borderId="0" xfId="0" applyFont="1" applyFill="1">
      <alignment vertical="center"/>
    </xf>
    <xf numFmtId="0" fontId="103" fillId="38" borderId="0" xfId="0" applyFont="1" applyFill="1" applyAlignment="1">
      <alignment horizontal="left" vertical="center"/>
    </xf>
    <xf numFmtId="0" fontId="103" fillId="38" borderId="0" xfId="0" applyFont="1" applyFill="1">
      <alignment vertical="center"/>
    </xf>
    <xf numFmtId="0" fontId="103" fillId="14" borderId="0" xfId="0" applyFont="1" applyFill="1">
      <alignment vertical="center"/>
    </xf>
    <xf numFmtId="0" fontId="105" fillId="14" borderId="0" xfId="0" applyFont="1" applyFill="1">
      <alignment vertical="center"/>
    </xf>
    <xf numFmtId="0" fontId="95" fillId="0" borderId="8" xfId="161" applyFont="1" applyBorder="1">
      <alignment vertical="center"/>
    </xf>
    <xf numFmtId="0" fontId="105" fillId="0" borderId="8" xfId="0" applyFont="1" applyBorder="1">
      <alignment vertical="center"/>
    </xf>
    <xf numFmtId="0" fontId="105" fillId="0" borderId="8" xfId="0" applyFont="1" applyBorder="1" applyAlignment="1">
      <alignment vertical="center" wrapText="1"/>
    </xf>
    <xf numFmtId="0" fontId="95" fillId="0" borderId="12" xfId="161" applyFont="1" applyBorder="1">
      <alignment vertical="center"/>
    </xf>
    <xf numFmtId="0" fontId="105" fillId="0" borderId="12" xfId="0" applyFont="1" applyBorder="1">
      <alignment vertical="center"/>
    </xf>
    <xf numFmtId="0" fontId="105" fillId="0" borderId="12" xfId="0" applyFont="1" applyBorder="1" applyAlignment="1">
      <alignment vertical="center" wrapText="1"/>
    </xf>
    <xf numFmtId="0" fontId="95" fillId="10" borderId="26" xfId="46" applyFont="1" applyFill="1" applyBorder="1" applyAlignment="1">
      <alignment horizontal="center"/>
    </xf>
    <xf numFmtId="0" fontId="95" fillId="10" borderId="18" xfId="46" applyFont="1" applyFill="1" applyBorder="1" applyAlignment="1">
      <alignment horizontal="center"/>
    </xf>
    <xf numFmtId="0" fontId="95" fillId="10" borderId="66" xfId="46" applyFont="1" applyFill="1" applyBorder="1" applyAlignment="1">
      <alignment horizontal="center"/>
    </xf>
    <xf numFmtId="0" fontId="105" fillId="0" borderId="0" xfId="0" applyFont="1" applyAlignment="1">
      <alignment vertical="center" wrapText="1"/>
    </xf>
    <xf numFmtId="0" fontId="105" fillId="38" borderId="0" xfId="184" applyFont="1" applyFill="1">
      <alignment vertical="center"/>
    </xf>
    <xf numFmtId="0" fontId="105" fillId="14" borderId="0" xfId="184" applyFont="1" applyFill="1">
      <alignment vertical="center"/>
    </xf>
    <xf numFmtId="0" fontId="105" fillId="0" borderId="0" xfId="184" applyFont="1">
      <alignment vertical="center"/>
    </xf>
    <xf numFmtId="0" fontId="95" fillId="0" borderId="68" xfId="184" applyFont="1" applyBorder="1" applyAlignment="1" applyProtection="1">
      <alignment vertical="center" wrapText="1"/>
      <protection locked="0"/>
    </xf>
    <xf numFmtId="0" fontId="95" fillId="0" borderId="69" xfId="184" applyFont="1" applyBorder="1" applyAlignment="1" applyProtection="1">
      <alignment vertical="center" wrapText="1"/>
      <protection locked="0"/>
    </xf>
    <xf numFmtId="0" fontId="95" fillId="0" borderId="70" xfId="184" applyFont="1" applyBorder="1" applyAlignment="1" applyProtection="1">
      <alignment vertical="center" wrapText="1"/>
      <protection locked="0"/>
    </xf>
    <xf numFmtId="0" fontId="95" fillId="0" borderId="71" xfId="45" applyFont="1" applyBorder="1" applyAlignment="1" applyProtection="1">
      <alignment horizontal="center" vertical="center" wrapText="1"/>
      <protection locked="0"/>
    </xf>
    <xf numFmtId="0" fontId="95" fillId="0" borderId="67" xfId="45" applyFont="1" applyBorder="1" applyAlignment="1" applyProtection="1">
      <alignment horizontal="center" vertical="center" wrapText="1"/>
      <protection locked="0"/>
    </xf>
    <xf numFmtId="0" fontId="95" fillId="0" borderId="71" xfId="184" applyFont="1" applyBorder="1" applyAlignment="1">
      <alignment vertical="center" wrapText="1"/>
    </xf>
    <xf numFmtId="0" fontId="95" fillId="0" borderId="2" xfId="184" applyFont="1" applyBorder="1" applyAlignment="1">
      <alignment vertical="center" wrapText="1"/>
    </xf>
    <xf numFmtId="0" fontId="95" fillId="0" borderId="67" xfId="184" applyFont="1" applyBorder="1" applyAlignment="1">
      <alignment vertical="center" wrapText="1"/>
    </xf>
    <xf numFmtId="0" fontId="95" fillId="0" borderId="71" xfId="184" applyFont="1" applyBorder="1" applyAlignment="1">
      <alignment horizontal="left" vertical="center" wrapText="1"/>
    </xf>
    <xf numFmtId="0" fontId="95" fillId="0" borderId="2" xfId="184" applyFont="1" applyBorder="1" applyAlignment="1">
      <alignment horizontal="left" vertical="center" wrapText="1"/>
    </xf>
    <xf numFmtId="0" fontId="95" fillId="0" borderId="67" xfId="184" applyFont="1" applyBorder="1" applyAlignment="1">
      <alignment horizontal="left" vertical="center" wrapText="1"/>
    </xf>
    <xf numFmtId="0" fontId="95" fillId="0" borderId="10" xfId="184" applyFont="1" applyBorder="1" applyAlignment="1">
      <alignment horizontal="left" vertical="center" wrapText="1"/>
    </xf>
    <xf numFmtId="0" fontId="95" fillId="0" borderId="17" xfId="184" applyFont="1" applyBorder="1" applyAlignment="1">
      <alignment horizontal="left" vertical="center" wrapText="1"/>
    </xf>
    <xf numFmtId="0" fontId="95" fillId="0" borderId="78" xfId="184" applyFont="1" applyBorder="1" applyAlignment="1" applyProtection="1">
      <alignment vertical="center" wrapText="1"/>
      <protection locked="0"/>
    </xf>
    <xf numFmtId="0" fontId="105" fillId="0" borderId="10" xfId="184" applyFont="1" applyBorder="1">
      <alignment vertical="center"/>
    </xf>
    <xf numFmtId="0" fontId="105" fillId="0" borderId="2" xfId="184" applyFont="1" applyBorder="1">
      <alignment vertical="center"/>
    </xf>
    <xf numFmtId="0" fontId="105" fillId="0" borderId="17" xfId="184" applyFont="1" applyBorder="1">
      <alignment vertical="center"/>
    </xf>
    <xf numFmtId="0" fontId="95" fillId="38" borderId="0" xfId="184" applyFont="1" applyFill="1" applyProtection="1">
      <alignment vertical="center"/>
      <protection locked="0"/>
    </xf>
    <xf numFmtId="0" fontId="105" fillId="0" borderId="0" xfId="45" applyFont="1">
      <alignment vertical="center"/>
    </xf>
    <xf numFmtId="0" fontId="107" fillId="0" borderId="75" xfId="184" applyFont="1" applyBorder="1" applyAlignment="1">
      <alignment horizontal="left" vertical="center"/>
    </xf>
    <xf numFmtId="0" fontId="107" fillId="0" borderId="76" xfId="184" applyFont="1" applyBorder="1" applyAlignment="1">
      <alignment horizontal="left" vertical="center"/>
    </xf>
    <xf numFmtId="0" fontId="95" fillId="0" borderId="76" xfId="184" applyFont="1" applyBorder="1" applyAlignment="1">
      <alignment horizontal="left" vertical="center"/>
    </xf>
    <xf numFmtId="0" fontId="105" fillId="0" borderId="76" xfId="184" applyFont="1" applyBorder="1">
      <alignment vertical="center"/>
    </xf>
    <xf numFmtId="0" fontId="105" fillId="0" borderId="77" xfId="184" applyFont="1" applyBorder="1">
      <alignment vertical="center"/>
    </xf>
    <xf numFmtId="0" fontId="120" fillId="0" borderId="10" xfId="184" applyFont="1" applyBorder="1" applyProtection="1">
      <alignment vertical="center"/>
      <protection locked="0"/>
    </xf>
    <xf numFmtId="0" fontId="120" fillId="0" borderId="2" xfId="184" applyFont="1" applyBorder="1" applyProtection="1">
      <alignment vertical="center"/>
      <protection locked="0"/>
    </xf>
    <xf numFmtId="0" fontId="120" fillId="0" borderId="17" xfId="184" applyFont="1" applyBorder="1" applyProtection="1">
      <alignment vertical="center"/>
      <protection locked="0"/>
    </xf>
    <xf numFmtId="0" fontId="105" fillId="0" borderId="0" xfId="184" applyFont="1" applyProtection="1">
      <alignment vertical="center"/>
      <protection locked="0"/>
    </xf>
    <xf numFmtId="0" fontId="95" fillId="0" borderId="75" xfId="184" applyFont="1" applyBorder="1" applyAlignment="1">
      <alignment horizontal="left" vertical="center"/>
    </xf>
    <xf numFmtId="0" fontId="105" fillId="0" borderId="10" xfId="184" applyFont="1" applyBorder="1" applyProtection="1">
      <alignment vertical="center"/>
      <protection locked="0"/>
    </xf>
    <xf numFmtId="0" fontId="105" fillId="0" borderId="2" xfId="184" applyFont="1" applyBorder="1" applyProtection="1">
      <alignment vertical="center"/>
      <protection locked="0"/>
    </xf>
    <xf numFmtId="0" fontId="105" fillId="0" borderId="17" xfId="184" applyFont="1" applyBorder="1" applyProtection="1">
      <alignment vertical="center"/>
      <protection locked="0"/>
    </xf>
    <xf numFmtId="0" fontId="105" fillId="0" borderId="7" xfId="184" applyFont="1" applyBorder="1">
      <alignment vertical="center"/>
    </xf>
    <xf numFmtId="0" fontId="105" fillId="0" borderId="8" xfId="184" applyFont="1" applyBorder="1">
      <alignment vertical="center"/>
    </xf>
    <xf numFmtId="0" fontId="105" fillId="0" borderId="14" xfId="184" applyFont="1" applyBorder="1">
      <alignment vertical="center"/>
    </xf>
    <xf numFmtId="0" fontId="107" fillId="14" borderId="0" xfId="184" applyFont="1" applyFill="1">
      <alignment vertical="center"/>
    </xf>
    <xf numFmtId="0" fontId="122" fillId="14" borderId="0" xfId="184" applyFont="1" applyFill="1">
      <alignment vertical="center"/>
    </xf>
    <xf numFmtId="0" fontId="95" fillId="14" borderId="0" xfId="184" applyFont="1" applyFill="1" applyProtection="1">
      <alignment vertical="center"/>
      <protection locked="0"/>
    </xf>
    <xf numFmtId="0" fontId="105" fillId="14" borderId="0" xfId="184" applyFont="1" applyFill="1" applyAlignment="1">
      <alignment vertical="center" wrapText="1"/>
    </xf>
    <xf numFmtId="0" fontId="103" fillId="14" borderId="0" xfId="184" applyFont="1" applyFill="1" applyAlignment="1">
      <alignment vertical="center" wrapText="1"/>
    </xf>
    <xf numFmtId="0" fontId="95" fillId="14" borderId="0" xfId="184" applyFont="1" applyFill="1" applyAlignment="1">
      <alignment vertical="center" wrapText="1"/>
    </xf>
    <xf numFmtId="0" fontId="105" fillId="0" borderId="0" xfId="185" applyFont="1">
      <alignment vertical="center"/>
    </xf>
    <xf numFmtId="0" fontId="95" fillId="38" borderId="0" xfId="185" applyFont="1" applyFill="1">
      <alignment vertical="center"/>
    </xf>
    <xf numFmtId="0" fontId="99" fillId="0" borderId="10" xfId="185" applyFont="1" applyBorder="1">
      <alignment vertical="center"/>
    </xf>
    <xf numFmtId="0" fontId="99" fillId="0" borderId="2" xfId="185" applyFont="1" applyBorder="1">
      <alignment vertical="center"/>
    </xf>
    <xf numFmtId="0" fontId="95" fillId="0" borderId="2" xfId="185" applyFont="1" applyBorder="1">
      <alignment vertical="center"/>
    </xf>
    <xf numFmtId="0" fontId="95" fillId="0" borderId="17" xfId="185" applyFont="1" applyBorder="1">
      <alignment vertical="center"/>
    </xf>
    <xf numFmtId="0" fontId="117" fillId="0" borderId="0" xfId="161" quotePrefix="1" applyFont="1">
      <alignment vertical="center"/>
    </xf>
    <xf numFmtId="0" fontId="93" fillId="0" borderId="0" xfId="161" quotePrefix="1" applyFont="1">
      <alignment vertical="center"/>
    </xf>
    <xf numFmtId="0" fontId="114" fillId="0" borderId="0" xfId="0" applyFont="1">
      <alignment vertical="center"/>
    </xf>
    <xf numFmtId="0" fontId="95" fillId="10" borderId="85" xfId="46" applyFont="1" applyFill="1" applyBorder="1" applyAlignment="1">
      <alignment horizontal="center"/>
    </xf>
    <xf numFmtId="0" fontId="127" fillId="0" borderId="0" xfId="161" applyFont="1">
      <alignment vertical="center"/>
    </xf>
    <xf numFmtId="0" fontId="95" fillId="0" borderId="52" xfId="161" applyFont="1" applyBorder="1" applyAlignment="1">
      <alignment horizontal="centerContinuous" vertical="center"/>
    </xf>
    <xf numFmtId="0" fontId="106" fillId="0" borderId="52" xfId="161" applyFont="1" applyBorder="1" applyAlignment="1">
      <alignment horizontal="centerContinuous" vertical="center"/>
    </xf>
    <xf numFmtId="0" fontId="99" fillId="0" borderId="95" xfId="161" quotePrefix="1" applyFont="1" applyBorder="1">
      <alignment vertical="center"/>
    </xf>
    <xf numFmtId="0" fontId="99" fillId="0" borderId="96" xfId="161" applyFont="1" applyBorder="1">
      <alignment vertical="center"/>
    </xf>
    <xf numFmtId="0" fontId="99" fillId="14" borderId="97" xfId="161" applyFont="1" applyFill="1" applyBorder="1">
      <alignment vertical="center"/>
    </xf>
    <xf numFmtId="0" fontId="99" fillId="14" borderId="98" xfId="161" applyFont="1" applyFill="1" applyBorder="1">
      <alignment vertical="center"/>
    </xf>
    <xf numFmtId="0" fontId="95" fillId="0" borderId="97" xfId="161" applyFont="1" applyBorder="1">
      <alignment vertical="center"/>
    </xf>
    <xf numFmtId="0" fontId="95" fillId="0" borderId="98" xfId="161" applyFont="1" applyBorder="1">
      <alignment vertical="center"/>
    </xf>
    <xf numFmtId="0" fontId="106" fillId="0" borderId="52" xfId="161" quotePrefix="1" applyFont="1" applyBorder="1" applyAlignment="1">
      <alignment horizontal="center" vertical="center"/>
    </xf>
    <xf numFmtId="0" fontId="106" fillId="0" borderId="52" xfId="161" quotePrefix="1" applyFont="1" applyBorder="1" applyAlignment="1">
      <alignment horizontal="left" vertical="center"/>
    </xf>
    <xf numFmtId="0" fontId="128" fillId="0" borderId="52" xfId="161" quotePrefix="1" applyFont="1" applyBorder="1" applyAlignment="1">
      <alignment horizontal="center" vertical="center"/>
    </xf>
    <xf numFmtId="0" fontId="95" fillId="0" borderId="8" xfId="161" quotePrefix="1" applyFont="1" applyBorder="1">
      <alignment vertical="center"/>
    </xf>
    <xf numFmtId="0" fontId="117" fillId="0" borderId="8" xfId="161" quotePrefix="1" applyFont="1" applyBorder="1">
      <alignment vertical="center"/>
    </xf>
    <xf numFmtId="0" fontId="93" fillId="0" borderId="8" xfId="161" quotePrefix="1" applyFont="1" applyBorder="1">
      <alignment vertical="center"/>
    </xf>
    <xf numFmtId="0" fontId="95" fillId="0" borderId="7" xfId="161" quotePrefix="1" applyFont="1" applyBorder="1">
      <alignment vertical="center"/>
    </xf>
    <xf numFmtId="0" fontId="95" fillId="0" borderId="12" xfId="0" applyFont="1" applyBorder="1">
      <alignment vertical="center"/>
    </xf>
    <xf numFmtId="0" fontId="95" fillId="0" borderId="12" xfId="0" applyFont="1" applyBorder="1" applyAlignment="1">
      <alignment vertical="center" wrapText="1"/>
    </xf>
    <xf numFmtId="0" fontId="114" fillId="0" borderId="12" xfId="0" applyFont="1" applyBorder="1">
      <alignment vertical="center"/>
    </xf>
    <xf numFmtId="0" fontId="113" fillId="14" borderId="56" xfId="0" applyFont="1" applyFill="1" applyBorder="1" applyAlignment="1">
      <alignment horizontal="centerContinuous" vertical="center" wrapText="1"/>
    </xf>
    <xf numFmtId="0" fontId="113" fillId="0" borderId="56" xfId="0" applyFont="1" applyBorder="1" applyAlignment="1">
      <alignment horizontal="centerContinuous" vertical="center" wrapText="1"/>
    </xf>
    <xf numFmtId="14" fontId="80" fillId="14" borderId="0" xfId="48" applyNumberFormat="1" applyFont="1" applyFill="1" applyAlignment="1">
      <alignment horizontal="center" vertical="center"/>
    </xf>
    <xf numFmtId="0" fontId="80" fillId="14" borderId="0" xfId="48" applyFont="1" applyFill="1" applyAlignment="1">
      <alignment horizontal="center" vertical="center"/>
    </xf>
    <xf numFmtId="0" fontId="18" fillId="0" borderId="0" xfId="48" applyFont="1" applyAlignment="1">
      <alignment horizontal="center" vertical="center" wrapText="1"/>
    </xf>
    <xf numFmtId="0" fontId="14" fillId="0" borderId="3" xfId="48" applyFont="1" applyBorder="1" applyAlignment="1">
      <alignment horizontal="center"/>
    </xf>
    <xf numFmtId="0" fontId="14" fillId="14" borderId="0" xfId="48" applyFont="1" applyFill="1" applyAlignment="1">
      <alignment horizontal="center"/>
    </xf>
    <xf numFmtId="0" fontId="18" fillId="0" borderId="0" xfId="48" applyFont="1" applyAlignment="1">
      <alignment horizontal="center" vertical="center"/>
    </xf>
    <xf numFmtId="14" fontId="51" fillId="0" borderId="3" xfId="0" applyNumberFormat="1" applyFont="1" applyBorder="1" applyAlignment="1">
      <alignment horizontal="center" vertical="center"/>
    </xf>
    <xf numFmtId="0" fontId="51" fillId="0" borderId="3" xfId="0" applyFont="1" applyBorder="1" applyAlignment="1">
      <alignment horizontal="center" vertical="center"/>
    </xf>
    <xf numFmtId="0" fontId="51" fillId="0" borderId="3" xfId="0" applyFont="1" applyBorder="1">
      <alignment vertical="center"/>
    </xf>
    <xf numFmtId="0" fontId="51" fillId="0" borderId="3" xfId="0" applyFont="1" applyBorder="1" applyAlignment="1">
      <alignment vertical="center" wrapText="1"/>
    </xf>
    <xf numFmtId="0" fontId="51" fillId="0" borderId="23" xfId="0" applyFont="1" applyBorder="1">
      <alignment vertical="center"/>
    </xf>
    <xf numFmtId="0" fontId="0" fillId="0" borderId="3" xfId="0" applyBorder="1">
      <alignment vertical="center"/>
    </xf>
    <xf numFmtId="14" fontId="18" fillId="0" borderId="3" xfId="50" applyNumberFormat="1" applyFont="1" applyBorder="1" applyAlignment="1">
      <alignment horizontal="center" vertical="center"/>
    </xf>
    <xf numFmtId="0" fontId="18" fillId="0" borderId="3" xfId="50" applyFont="1" applyBorder="1" applyAlignment="1">
      <alignment horizontal="center" vertical="center"/>
    </xf>
    <xf numFmtId="14" fontId="18" fillId="0" borderId="10" xfId="50" applyNumberFormat="1" applyFont="1" applyBorder="1" applyAlignment="1">
      <alignment horizontal="center" vertical="center"/>
    </xf>
    <xf numFmtId="14" fontId="18" fillId="0" borderId="2" xfId="50" applyNumberFormat="1" applyFont="1" applyBorder="1" applyAlignment="1">
      <alignment horizontal="center" vertical="center"/>
    </xf>
    <xf numFmtId="14" fontId="18" fillId="0" borderId="17" xfId="50" applyNumberFormat="1" applyFont="1" applyBorder="1" applyAlignment="1">
      <alignment horizontal="center" vertical="center"/>
    </xf>
    <xf numFmtId="14" fontId="51" fillId="0" borderId="23" xfId="0" applyNumberFormat="1" applyFont="1" applyBorder="1" applyAlignment="1">
      <alignment horizontal="center" vertical="center"/>
    </xf>
    <xf numFmtId="0" fontId="51" fillId="0" borderId="23" xfId="0" applyFont="1" applyBorder="1" applyAlignment="1">
      <alignment horizontal="center" vertical="center"/>
    </xf>
    <xf numFmtId="0" fontId="51" fillId="0" borderId="10" xfId="0" applyFont="1" applyBorder="1" applyAlignment="1">
      <alignment vertical="center" wrapText="1"/>
    </xf>
    <xf numFmtId="0" fontId="51" fillId="0" borderId="2" xfId="0" applyFont="1" applyBorder="1">
      <alignment vertical="center"/>
    </xf>
    <xf numFmtId="0" fontId="51" fillId="0" borderId="17" xfId="0" applyFont="1" applyBorder="1">
      <alignment vertical="center"/>
    </xf>
    <xf numFmtId="0" fontId="51" fillId="0" borderId="15" xfId="0" applyFont="1" applyBorder="1" applyAlignment="1">
      <alignment horizontal="center" vertical="center"/>
    </xf>
    <xf numFmtId="0" fontId="51" fillId="0" borderId="1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7" fillId="12" borderId="10" xfId="48" applyFont="1" applyFill="1" applyBorder="1" applyAlignment="1">
      <alignment horizontal="left" vertical="center"/>
    </xf>
    <xf numFmtId="0" fontId="17" fillId="12" borderId="2" xfId="48" applyFont="1" applyFill="1" applyBorder="1" applyAlignment="1">
      <alignment horizontal="left" vertical="center"/>
    </xf>
    <xf numFmtId="0" fontId="17" fillId="12" borderId="17" xfId="48" applyFont="1" applyFill="1" applyBorder="1" applyAlignment="1">
      <alignment horizontal="left" vertical="center"/>
    </xf>
    <xf numFmtId="0" fontId="47" fillId="15" borderId="24" xfId="48" applyFont="1" applyFill="1" applyBorder="1" applyAlignment="1">
      <alignment vertical="center"/>
    </xf>
    <xf numFmtId="0" fontId="17" fillId="12" borderId="3" xfId="48" applyFont="1" applyFill="1" applyBorder="1" applyAlignment="1">
      <alignment vertical="center"/>
    </xf>
    <xf numFmtId="0" fontId="19" fillId="0" borderId="10" xfId="48" applyFont="1" applyBorder="1" applyAlignment="1">
      <alignment vertical="center"/>
    </xf>
    <xf numFmtId="0" fontId="19" fillId="0" borderId="2" xfId="48" applyFont="1" applyBorder="1" applyAlignment="1">
      <alignment vertical="center"/>
    </xf>
    <xf numFmtId="0" fontId="19" fillId="0" borderId="17" xfId="48" applyFont="1" applyBorder="1" applyAlignment="1">
      <alignment vertical="center"/>
    </xf>
    <xf numFmtId="0" fontId="17" fillId="12" borderId="3" xfId="48" applyFont="1" applyFill="1" applyBorder="1" applyAlignment="1">
      <alignment horizontal="left" vertical="center"/>
    </xf>
    <xf numFmtId="0" fontId="18" fillId="0" borderId="3" xfId="48" applyFont="1" applyBorder="1" applyAlignment="1">
      <alignment horizontal="left" vertical="center"/>
    </xf>
    <xf numFmtId="0" fontId="12" fillId="16" borderId="3" xfId="50" applyFill="1" applyBorder="1" applyAlignment="1">
      <alignment horizontal="left" vertical="center"/>
    </xf>
    <xf numFmtId="14" fontId="18" fillId="0" borderId="3" xfId="48" applyNumberFormat="1" applyFont="1" applyBorder="1" applyAlignment="1">
      <alignment horizontal="center" vertical="center"/>
    </xf>
    <xf numFmtId="0" fontId="51" fillId="14" borderId="15" xfId="0" applyFont="1" applyFill="1" applyBorder="1" applyAlignment="1">
      <alignment vertical="center" wrapText="1"/>
    </xf>
    <xf numFmtId="0" fontId="51" fillId="14" borderId="12" xfId="0" applyFont="1" applyFill="1" applyBorder="1" applyAlignment="1">
      <alignment vertical="center" wrapText="1"/>
    </xf>
    <xf numFmtId="0" fontId="51" fillId="14" borderId="13" xfId="0" applyFont="1" applyFill="1" applyBorder="1" applyAlignment="1">
      <alignment vertical="center" wrapText="1"/>
    </xf>
    <xf numFmtId="0" fontId="51" fillId="14" borderId="7" xfId="0" applyFont="1" applyFill="1" applyBorder="1" applyAlignment="1">
      <alignment vertical="center" wrapText="1"/>
    </xf>
    <xf numFmtId="0" fontId="51" fillId="14" borderId="8" xfId="0" applyFont="1" applyFill="1" applyBorder="1" applyAlignment="1">
      <alignment vertical="center" wrapText="1"/>
    </xf>
    <xf numFmtId="0" fontId="51" fillId="14" borderId="14" xfId="0" applyFont="1" applyFill="1" applyBorder="1" applyAlignment="1">
      <alignment vertical="center" wrapText="1"/>
    </xf>
    <xf numFmtId="0" fontId="17" fillId="15" borderId="25" xfId="48" applyFont="1" applyFill="1" applyBorder="1" applyAlignment="1">
      <alignment vertical="center"/>
    </xf>
    <xf numFmtId="0" fontId="18" fillId="0" borderId="3" xfId="48" applyFont="1" applyBorder="1" applyAlignment="1">
      <alignment vertical="center"/>
    </xf>
    <xf numFmtId="0" fontId="51" fillId="14" borderId="3" xfId="0" applyFont="1" applyFill="1" applyBorder="1">
      <alignment vertical="center"/>
    </xf>
    <xf numFmtId="0" fontId="16" fillId="15" borderId="23" xfId="48" applyFont="1" applyFill="1" applyBorder="1" applyAlignment="1">
      <alignment vertical="center"/>
    </xf>
    <xf numFmtId="0" fontId="53" fillId="17" borderId="8" xfId="0" applyFont="1" applyFill="1" applyBorder="1" applyAlignment="1">
      <alignment horizontal="center" vertical="center"/>
    </xf>
    <xf numFmtId="0" fontId="51" fillId="14" borderId="3" xfId="0" applyFont="1" applyFill="1" applyBorder="1" applyAlignment="1">
      <alignment vertical="center" wrapText="1"/>
    </xf>
    <xf numFmtId="0" fontId="18" fillId="0" borderId="3" xfId="48" applyFont="1" applyBorder="1" applyAlignment="1">
      <alignment horizontal="center" vertical="center"/>
    </xf>
    <xf numFmtId="0" fontId="12" fillId="16" borderId="10" xfId="50" applyFill="1" applyBorder="1" applyAlignment="1">
      <alignment horizontal="center" vertical="center"/>
    </xf>
    <xf numFmtId="0" fontId="12" fillId="16" borderId="17" xfId="50" applyFill="1" applyBorder="1" applyAlignment="1">
      <alignment horizontal="center" vertical="center"/>
    </xf>
    <xf numFmtId="0" fontId="95" fillId="0" borderId="59" xfId="0" applyFont="1" applyBorder="1" applyAlignment="1">
      <alignment horizontal="center" vertical="center" wrapText="1"/>
    </xf>
    <xf numFmtId="0" fontId="95" fillId="0" borderId="59" xfId="0" quotePrefix="1" applyFont="1" applyBorder="1" applyAlignment="1">
      <alignment horizontal="center" vertical="center" wrapText="1"/>
    </xf>
    <xf numFmtId="0" fontId="95" fillId="29" borderId="60" xfId="0" applyFont="1" applyFill="1" applyBorder="1" applyAlignment="1">
      <alignment horizontal="center" vertical="center" wrapText="1"/>
    </xf>
    <xf numFmtId="0" fontId="95" fillId="29" borderId="61" xfId="0" applyFont="1" applyFill="1" applyBorder="1" applyAlignment="1">
      <alignment horizontal="center" vertical="center" wrapText="1"/>
    </xf>
    <xf numFmtId="0" fontId="95" fillId="29" borderId="62" xfId="0" applyFont="1" applyFill="1" applyBorder="1" applyAlignment="1">
      <alignment horizontal="center" vertical="center" wrapText="1"/>
    </xf>
    <xf numFmtId="0" fontId="95" fillId="29" borderId="63" xfId="0" applyFont="1" applyFill="1" applyBorder="1" applyAlignment="1">
      <alignment horizontal="center" vertical="center" wrapText="1"/>
    </xf>
    <xf numFmtId="0" fontId="95" fillId="29" borderId="64" xfId="0" applyFont="1" applyFill="1" applyBorder="1" applyAlignment="1">
      <alignment horizontal="center" vertical="center" wrapText="1"/>
    </xf>
    <xf numFmtId="0" fontId="95" fillId="29" borderId="65" xfId="0" applyFont="1" applyFill="1" applyBorder="1" applyAlignment="1">
      <alignment horizontal="center" vertical="center" wrapText="1"/>
    </xf>
    <xf numFmtId="17" fontId="95" fillId="0" borderId="59" xfId="0" quotePrefix="1" applyNumberFormat="1" applyFont="1" applyBorder="1" applyAlignment="1">
      <alignment horizontal="center" vertical="center" wrapText="1"/>
    </xf>
    <xf numFmtId="0" fontId="95" fillId="29" borderId="59" xfId="0" applyFont="1" applyFill="1" applyBorder="1" applyAlignment="1">
      <alignment horizontal="center" vertical="center" wrapText="1"/>
    </xf>
    <xf numFmtId="0" fontId="19" fillId="0" borderId="3" xfId="48" applyFont="1" applyBorder="1" applyAlignment="1">
      <alignment vertical="center"/>
    </xf>
    <xf numFmtId="185" fontId="108" fillId="14" borderId="0" xfId="161" quotePrefix="1" applyNumberFormat="1" applyFont="1" applyFill="1" applyAlignment="1">
      <alignment horizontal="right" vertical="center"/>
    </xf>
    <xf numFmtId="0" fontId="49" fillId="13" borderId="10" xfId="49" applyFont="1" applyFill="1" applyBorder="1" applyAlignment="1">
      <alignment horizontal="center" vertical="center"/>
    </xf>
    <xf numFmtId="0" fontId="49" fillId="13" borderId="2" xfId="49" applyFont="1" applyFill="1" applyBorder="1" applyAlignment="1">
      <alignment horizontal="center" vertical="center"/>
    </xf>
    <xf numFmtId="0" fontId="49" fillId="13" borderId="17" xfId="49" applyFont="1" applyFill="1" applyBorder="1" applyAlignment="1">
      <alignment horizontal="center" vertical="center"/>
    </xf>
    <xf numFmtId="0" fontId="18" fillId="10" borderId="10" xfId="46" applyFont="1" applyFill="1" applyBorder="1" applyAlignment="1">
      <alignment horizontal="center"/>
    </xf>
    <xf numFmtId="0" fontId="18" fillId="10" borderId="17" xfId="46" applyFont="1" applyFill="1" applyBorder="1" applyAlignment="1">
      <alignment horizontal="center"/>
    </xf>
    <xf numFmtId="0" fontId="108" fillId="35" borderId="89" xfId="0" applyFont="1" applyFill="1" applyBorder="1" applyAlignment="1">
      <alignment horizontal="center" vertical="center" wrapText="1"/>
    </xf>
    <xf numFmtId="0" fontId="108" fillId="35" borderId="90" xfId="0" applyFont="1" applyFill="1" applyBorder="1" applyAlignment="1">
      <alignment horizontal="center" vertical="center"/>
    </xf>
    <xf numFmtId="0" fontId="108" fillId="35" borderId="91" xfId="0" applyFont="1" applyFill="1" applyBorder="1" applyAlignment="1">
      <alignment horizontal="center" vertical="center"/>
    </xf>
    <xf numFmtId="0" fontId="108" fillId="35" borderId="92" xfId="0" applyFont="1" applyFill="1" applyBorder="1" applyAlignment="1">
      <alignment horizontal="center" vertical="center"/>
    </xf>
    <xf numFmtId="0" fontId="108" fillId="35" borderId="93" xfId="0" applyFont="1" applyFill="1" applyBorder="1" applyAlignment="1">
      <alignment horizontal="center" vertical="center"/>
    </xf>
    <xf numFmtId="0" fontId="108" fillId="35" borderId="94" xfId="0" applyFont="1" applyFill="1" applyBorder="1" applyAlignment="1">
      <alignment horizontal="center" vertical="center"/>
    </xf>
    <xf numFmtId="185" fontId="108" fillId="35" borderId="89" xfId="161" quotePrefix="1" applyNumberFormat="1" applyFont="1" applyFill="1" applyBorder="1" applyAlignment="1">
      <alignment horizontal="center" vertical="center" wrapText="1"/>
    </xf>
    <xf numFmtId="185" fontId="108" fillId="35" borderId="90" xfId="161" quotePrefix="1" applyNumberFormat="1" applyFont="1" applyFill="1" applyBorder="1" applyAlignment="1">
      <alignment horizontal="center" vertical="center"/>
    </xf>
    <xf numFmtId="185" fontId="108" fillId="35" borderId="91" xfId="161" quotePrefix="1" applyNumberFormat="1" applyFont="1" applyFill="1" applyBorder="1" applyAlignment="1">
      <alignment horizontal="center" vertical="center"/>
    </xf>
    <xf numFmtId="185" fontId="108" fillId="35" borderId="92" xfId="161" quotePrefix="1" applyNumberFormat="1" applyFont="1" applyFill="1" applyBorder="1" applyAlignment="1">
      <alignment horizontal="center" vertical="center"/>
    </xf>
    <xf numFmtId="185" fontId="108" fillId="35" borderId="93" xfId="161" quotePrefix="1" applyNumberFormat="1" applyFont="1" applyFill="1" applyBorder="1" applyAlignment="1">
      <alignment horizontal="center" vertical="center"/>
    </xf>
    <xf numFmtId="185" fontId="108" fillId="35" borderId="94" xfId="161" quotePrefix="1" applyNumberFormat="1" applyFont="1" applyFill="1" applyBorder="1" applyAlignment="1">
      <alignment horizontal="center" vertical="center"/>
    </xf>
    <xf numFmtId="0" fontId="108" fillId="35" borderId="89" xfId="161" applyFont="1" applyFill="1" applyBorder="1" applyAlignment="1">
      <alignment horizontal="center" vertical="center" wrapText="1"/>
    </xf>
    <xf numFmtId="0" fontId="108" fillId="35" borderId="90" xfId="161" applyFont="1" applyFill="1" applyBorder="1" applyAlignment="1">
      <alignment horizontal="center" vertical="center"/>
    </xf>
    <xf numFmtId="0" fontId="108" fillId="35" borderId="91" xfId="161" applyFont="1" applyFill="1" applyBorder="1" applyAlignment="1">
      <alignment horizontal="center" vertical="center"/>
    </xf>
    <xf numFmtId="0" fontId="108" fillId="35" borderId="92" xfId="161" applyFont="1" applyFill="1" applyBorder="1" applyAlignment="1">
      <alignment horizontal="center" vertical="center"/>
    </xf>
    <xf numFmtId="0" fontId="108" fillId="35" borderId="93" xfId="161" applyFont="1" applyFill="1" applyBorder="1" applyAlignment="1">
      <alignment horizontal="center" vertical="center"/>
    </xf>
    <xf numFmtId="0" fontId="108" fillId="35" borderId="94" xfId="161" applyFont="1" applyFill="1" applyBorder="1" applyAlignment="1">
      <alignment horizontal="center" vertical="center"/>
    </xf>
    <xf numFmtId="0" fontId="108" fillId="19" borderId="0" xfId="0" applyFont="1" applyFill="1" applyAlignment="1">
      <alignment horizontal="left" vertical="center" wrapText="1"/>
    </xf>
    <xf numFmtId="0" fontId="108" fillId="19" borderId="0" xfId="0" applyFont="1" applyFill="1" applyAlignment="1">
      <alignment horizontal="left" vertical="center"/>
    </xf>
    <xf numFmtId="0" fontId="95" fillId="0" borderId="86" xfId="0" applyFont="1" applyBorder="1" applyAlignment="1">
      <alignment horizontal="center" vertical="center" wrapText="1"/>
    </xf>
    <xf numFmtId="0" fontId="95" fillId="0" borderId="87" xfId="0" applyFont="1" applyBorder="1" applyAlignment="1">
      <alignment horizontal="center" vertical="center" wrapText="1"/>
    </xf>
    <xf numFmtId="0" fontId="95" fillId="0" borderId="88" xfId="0" applyFont="1" applyBorder="1" applyAlignment="1">
      <alignment horizontal="center" vertical="center" wrapText="1"/>
    </xf>
    <xf numFmtId="0" fontId="95" fillId="0" borderId="86" xfId="0" quotePrefix="1" applyFont="1" applyBorder="1" applyAlignment="1">
      <alignment horizontal="center" vertical="center" wrapText="1"/>
    </xf>
    <xf numFmtId="0" fontId="95" fillId="0" borderId="87" xfId="0" quotePrefix="1" applyFont="1" applyBorder="1" applyAlignment="1">
      <alignment horizontal="center" vertical="center" wrapText="1"/>
    </xf>
    <xf numFmtId="0" fontId="95" fillId="0" borderId="88" xfId="0" quotePrefix="1" applyFont="1" applyBorder="1" applyAlignment="1">
      <alignment horizontal="center" vertical="center" wrapText="1"/>
    </xf>
    <xf numFmtId="0" fontId="95" fillId="0" borderId="10" xfId="184" applyFont="1" applyBorder="1" applyAlignment="1">
      <alignment horizontal="center" vertical="center" shrinkToFit="1"/>
    </xf>
    <xf numFmtId="0" fontId="95" fillId="0" borderId="2" xfId="184" applyFont="1" applyBorder="1" applyAlignment="1">
      <alignment horizontal="center" vertical="center" shrinkToFit="1"/>
    </xf>
    <xf numFmtId="0" fontId="95" fillId="0" borderId="17" xfId="184" applyFont="1" applyBorder="1" applyAlignment="1">
      <alignment horizontal="center" vertical="center" shrinkToFit="1"/>
    </xf>
    <xf numFmtId="0" fontId="95" fillId="14" borderId="3" xfId="184" applyFont="1" applyFill="1" applyBorder="1" applyAlignment="1">
      <alignment horizontal="left" vertical="center" wrapText="1"/>
    </xf>
    <xf numFmtId="0" fontId="95" fillId="0" borderId="10" xfId="45" applyFont="1" applyBorder="1" applyAlignment="1">
      <alignment horizontal="center" vertical="center" wrapText="1"/>
    </xf>
    <xf numFmtId="0" fontId="95" fillId="0" borderId="17" xfId="45" applyFont="1" applyBorder="1" applyAlignment="1">
      <alignment horizontal="center" vertical="center" wrapText="1"/>
    </xf>
    <xf numFmtId="0" fontId="95" fillId="0" borderId="71" xfId="184" applyFont="1" applyBorder="1" applyAlignment="1" applyProtection="1">
      <alignment vertical="center" wrapText="1"/>
      <protection locked="0"/>
    </xf>
    <xf numFmtId="0" fontId="95" fillId="0" borderId="2" xfId="184" applyFont="1" applyBorder="1" applyAlignment="1" applyProtection="1">
      <alignment vertical="center" wrapText="1"/>
      <protection locked="0"/>
    </xf>
    <xf numFmtId="0" fontId="95" fillId="0" borderId="67" xfId="184" applyFont="1" applyBorder="1" applyAlignment="1" applyProtection="1">
      <alignment vertical="center" wrapText="1"/>
      <protection locked="0"/>
    </xf>
    <xf numFmtId="0" fontId="95" fillId="0" borderId="68" xfId="184" applyFont="1" applyBorder="1" applyAlignment="1" applyProtection="1">
      <alignment vertical="center" wrapText="1"/>
      <protection locked="0"/>
    </xf>
    <xf numFmtId="0" fontId="95" fillId="0" borderId="69" xfId="184" applyFont="1" applyBorder="1" applyAlignment="1" applyProtection="1">
      <alignment vertical="center" wrapText="1"/>
      <protection locked="0"/>
    </xf>
    <xf numFmtId="0" fontId="95" fillId="0" borderId="70" xfId="184" applyFont="1" applyBorder="1" applyAlignment="1" applyProtection="1">
      <alignment vertical="center" wrapText="1"/>
      <protection locked="0"/>
    </xf>
    <xf numFmtId="0" fontId="95" fillId="0" borderId="10" xfId="184" applyFont="1" applyBorder="1" applyAlignment="1">
      <alignment horizontal="center" vertical="center" wrapText="1"/>
    </xf>
    <xf numFmtId="0" fontId="95" fillId="0" borderId="2" xfId="184" applyFont="1" applyBorder="1" applyAlignment="1">
      <alignment horizontal="center" vertical="center" wrapText="1"/>
    </xf>
    <xf numFmtId="0" fontId="95" fillId="0" borderId="67" xfId="184" applyFont="1" applyBorder="1" applyAlignment="1">
      <alignment horizontal="center" vertical="center" wrapText="1"/>
    </xf>
    <xf numFmtId="0" fontId="95" fillId="0" borderId="71" xfId="184" applyFont="1" applyBorder="1" applyAlignment="1">
      <alignment horizontal="center" vertical="center" wrapText="1"/>
    </xf>
    <xf numFmtId="0" fontId="95" fillId="0" borderId="17" xfId="184" applyFont="1" applyBorder="1" applyAlignment="1">
      <alignment horizontal="center" vertical="center" wrapText="1"/>
    </xf>
    <xf numFmtId="0" fontId="95" fillId="0" borderId="75" xfId="184" applyFont="1" applyBorder="1" applyAlignment="1" applyProtection="1">
      <alignment vertical="center" wrapText="1"/>
      <protection locked="0"/>
    </xf>
    <xf numFmtId="0" fontId="95" fillId="0" borderId="76" xfId="184" applyFont="1" applyBorder="1" applyAlignment="1" applyProtection="1">
      <alignment vertical="center" wrapText="1"/>
      <protection locked="0"/>
    </xf>
    <xf numFmtId="0" fontId="95" fillId="0" borderId="77" xfId="184" applyFont="1" applyBorder="1" applyAlignment="1" applyProtection="1">
      <alignment vertical="center" wrapText="1"/>
      <protection locked="0"/>
    </xf>
    <xf numFmtId="0" fontId="95" fillId="0" borderId="10" xfId="184" applyFont="1" applyBorder="1" applyAlignment="1">
      <alignment horizontal="left" vertical="center" wrapText="1" shrinkToFit="1"/>
    </xf>
    <xf numFmtId="0" fontId="95" fillId="0" borderId="2" xfId="184" applyFont="1" applyBorder="1" applyAlignment="1">
      <alignment horizontal="left" vertical="center" wrapText="1" shrinkToFit="1"/>
    </xf>
    <xf numFmtId="0" fontId="95" fillId="0" borderId="17" xfId="184" applyFont="1" applyBorder="1" applyAlignment="1">
      <alignment horizontal="left" vertical="center" wrapText="1" shrinkToFit="1"/>
    </xf>
    <xf numFmtId="0" fontId="95" fillId="14" borderId="3" xfId="184" quotePrefix="1" applyFont="1" applyFill="1" applyBorder="1" applyAlignment="1">
      <alignment horizontal="left" vertical="center" wrapText="1"/>
    </xf>
    <xf numFmtId="0" fontId="95" fillId="14" borderId="81" xfId="184" applyFont="1" applyFill="1" applyBorder="1" applyAlignment="1" applyProtection="1">
      <alignment horizontal="left" vertical="center" wrapText="1"/>
      <protection locked="0"/>
    </xf>
    <xf numFmtId="0" fontId="95" fillId="14" borderId="82" xfId="184" applyFont="1" applyFill="1" applyBorder="1" applyAlignment="1" applyProtection="1">
      <alignment horizontal="left" vertical="center" wrapText="1"/>
      <protection locked="0"/>
    </xf>
    <xf numFmtId="0" fontId="95" fillId="14" borderId="83" xfId="184" applyFont="1" applyFill="1" applyBorder="1" applyAlignment="1" applyProtection="1">
      <alignment horizontal="left" vertical="center" wrapText="1"/>
      <protection locked="0"/>
    </xf>
    <xf numFmtId="0" fontId="95" fillId="14" borderId="71" xfId="184" applyFont="1" applyFill="1" applyBorder="1" applyAlignment="1" applyProtection="1">
      <alignment horizontal="left" vertical="center" wrapText="1" shrinkToFit="1"/>
      <protection locked="0"/>
    </xf>
    <xf numFmtId="0" fontId="95" fillId="14" borderId="2" xfId="184" applyFont="1" applyFill="1" applyBorder="1" applyAlignment="1" applyProtection="1">
      <alignment horizontal="left" vertical="center" shrinkToFit="1"/>
      <protection locked="0"/>
    </xf>
    <xf numFmtId="0" fontId="95" fillId="14" borderId="17" xfId="184" applyFont="1" applyFill="1" applyBorder="1" applyAlignment="1" applyProtection="1">
      <alignment horizontal="left" vertical="center" shrinkToFit="1"/>
      <protection locked="0"/>
    </xf>
    <xf numFmtId="0" fontId="95" fillId="14" borderId="10" xfId="184" applyFont="1" applyFill="1" applyBorder="1" applyAlignment="1">
      <alignment horizontal="left" vertical="center" wrapText="1"/>
    </xf>
    <xf numFmtId="0" fontId="95" fillId="14" borderId="2" xfId="184" applyFont="1" applyFill="1" applyBorder="1" applyAlignment="1">
      <alignment horizontal="left" vertical="center" wrapText="1"/>
    </xf>
    <xf numFmtId="0" fontId="95" fillId="14" borderId="17" xfId="184" applyFont="1" applyFill="1" applyBorder="1" applyAlignment="1">
      <alignment horizontal="left" vertical="center" wrapText="1"/>
    </xf>
    <xf numFmtId="0" fontId="95" fillId="0" borderId="72" xfId="45" applyFont="1" applyBorder="1" applyAlignment="1" applyProtection="1">
      <alignment vertical="center" wrapText="1"/>
      <protection locked="0"/>
    </xf>
    <xf numFmtId="0" fontId="95" fillId="0" borderId="73" xfId="45" applyFont="1" applyBorder="1" applyAlignment="1" applyProtection="1">
      <alignment vertical="center" wrapText="1"/>
      <protection locked="0"/>
    </xf>
    <xf numFmtId="0" fontId="95" fillId="0" borderId="74" xfId="45" applyFont="1" applyBorder="1" applyAlignment="1" applyProtection="1">
      <alignment vertical="center" wrapText="1"/>
      <protection locked="0"/>
    </xf>
    <xf numFmtId="0" fontId="95" fillId="0" borderId="71" xfId="45" applyFont="1" applyBorder="1" applyAlignment="1" applyProtection="1">
      <alignment horizontal="left" vertical="center" shrinkToFit="1"/>
      <protection locked="0"/>
    </xf>
    <xf numFmtId="0" fontId="95" fillId="0" borderId="2" xfId="45" applyFont="1" applyBorder="1" applyAlignment="1" applyProtection="1">
      <alignment horizontal="left" vertical="center" shrinkToFit="1"/>
      <protection locked="0"/>
    </xf>
    <xf numFmtId="0" fontId="95" fillId="0" borderId="67" xfId="45" applyFont="1" applyBorder="1" applyAlignment="1" applyProtection="1">
      <alignment horizontal="left" vertical="center" shrinkToFit="1"/>
      <protection locked="0"/>
    </xf>
    <xf numFmtId="0" fontId="95" fillId="0" borderId="17" xfId="45" applyFont="1" applyBorder="1" applyAlignment="1" applyProtection="1">
      <alignment horizontal="left" vertical="center" shrinkToFit="1"/>
      <protection locked="0"/>
    </xf>
    <xf numFmtId="0" fontId="95" fillId="0" borderId="2" xfId="45" applyFont="1" applyBorder="1" applyAlignment="1">
      <alignment horizontal="center" vertical="center" wrapText="1"/>
    </xf>
    <xf numFmtId="0" fontId="95" fillId="0" borderId="67" xfId="45" applyFont="1" applyBorder="1" applyAlignment="1">
      <alignment horizontal="center" vertical="center" wrapText="1"/>
    </xf>
    <xf numFmtId="0" fontId="95" fillId="0" borderId="71" xfId="45" applyFont="1" applyBorder="1" applyAlignment="1">
      <alignment horizontal="center" vertical="center" wrapText="1"/>
    </xf>
    <xf numFmtId="0" fontId="95" fillId="0" borderId="10" xfId="45" applyFont="1" applyBorder="1" applyAlignment="1">
      <alignment horizontal="center" vertical="center" shrinkToFit="1"/>
    </xf>
    <xf numFmtId="0" fontId="95" fillId="0" borderId="2" xfId="45" applyFont="1" applyBorder="1" applyAlignment="1">
      <alignment horizontal="center" vertical="center" shrinkToFit="1"/>
    </xf>
    <xf numFmtId="0" fontId="95" fillId="0" borderId="17" xfId="45" applyFont="1" applyBorder="1" applyAlignment="1">
      <alignment horizontal="center" vertical="center" shrinkToFit="1"/>
    </xf>
    <xf numFmtId="0" fontId="95" fillId="0" borderId="10" xfId="45" applyFont="1" applyBorder="1" applyAlignment="1">
      <alignment horizontal="left" vertical="center" wrapText="1"/>
    </xf>
    <xf numFmtId="0" fontId="95" fillId="0" borderId="2" xfId="45" applyFont="1" applyBorder="1" applyAlignment="1">
      <alignment horizontal="left" vertical="center" wrapText="1"/>
    </xf>
    <xf numFmtId="0" fontId="95" fillId="0" borderId="17" xfId="45" applyFont="1" applyBorder="1" applyAlignment="1">
      <alignment horizontal="left" vertical="center" wrapText="1"/>
    </xf>
    <xf numFmtId="0" fontId="107" fillId="40" borderId="3" xfId="184" applyFont="1" applyFill="1" applyBorder="1" applyAlignment="1">
      <alignment horizontal="center" vertical="center"/>
    </xf>
    <xf numFmtId="0" fontId="122" fillId="39" borderId="15" xfId="184" applyFont="1" applyFill="1" applyBorder="1" applyAlignment="1">
      <alignment horizontal="center" vertical="center" wrapText="1"/>
    </xf>
    <xf numFmtId="0" fontId="122" fillId="39" borderId="13" xfId="184" applyFont="1" applyFill="1" applyBorder="1" applyAlignment="1">
      <alignment horizontal="center" vertical="center" wrapText="1"/>
    </xf>
    <xf numFmtId="0" fontId="122" fillId="39" borderId="7" xfId="184" applyFont="1" applyFill="1" applyBorder="1" applyAlignment="1">
      <alignment horizontal="center" vertical="center" wrapText="1"/>
    </xf>
    <xf numFmtId="0" fontId="122" fillId="39" borderId="14" xfId="184" applyFont="1" applyFill="1" applyBorder="1" applyAlignment="1">
      <alignment horizontal="center" vertical="center" wrapText="1"/>
    </xf>
    <xf numFmtId="0" fontId="107" fillId="39" borderId="15" xfId="184" applyFont="1" applyFill="1" applyBorder="1" applyAlignment="1" applyProtection="1">
      <alignment horizontal="center" vertical="center" wrapText="1"/>
      <protection locked="0"/>
    </xf>
    <xf numFmtId="0" fontId="107" fillId="39" borderId="12" xfId="184" applyFont="1" applyFill="1" applyBorder="1" applyAlignment="1" applyProtection="1">
      <alignment horizontal="center" vertical="center" wrapText="1"/>
      <protection locked="0"/>
    </xf>
    <xf numFmtId="0" fontId="107" fillId="39" borderId="7" xfId="184" applyFont="1" applyFill="1" applyBorder="1" applyAlignment="1" applyProtection="1">
      <alignment horizontal="center" vertical="center" wrapText="1"/>
      <protection locked="0"/>
    </xf>
    <xf numFmtId="0" fontId="107" fillId="39" borderId="8" xfId="184" applyFont="1" applyFill="1" applyBorder="1" applyAlignment="1" applyProtection="1">
      <alignment horizontal="center" vertical="center" wrapText="1"/>
      <protection locked="0"/>
    </xf>
    <xf numFmtId="0" fontId="107" fillId="39" borderId="15" xfId="184" applyFont="1" applyFill="1" applyBorder="1" applyAlignment="1">
      <alignment horizontal="center" vertical="center" wrapText="1"/>
    </xf>
    <xf numFmtId="0" fontId="107" fillId="39" borderId="12" xfId="184" applyFont="1" applyFill="1" applyBorder="1" applyAlignment="1">
      <alignment horizontal="center" vertical="center" wrapText="1"/>
    </xf>
    <xf numFmtId="0" fontId="107" fillId="39" borderId="13" xfId="184" applyFont="1" applyFill="1" applyBorder="1" applyAlignment="1">
      <alignment horizontal="center" vertical="center" wrapText="1"/>
    </xf>
    <xf numFmtId="0" fontId="107" fillId="39" borderId="7" xfId="184" applyFont="1" applyFill="1" applyBorder="1" applyAlignment="1">
      <alignment horizontal="center" vertical="center" wrapText="1"/>
    </xf>
    <xf numFmtId="0" fontId="107" fillId="39" borderId="8" xfId="184" applyFont="1" applyFill="1" applyBorder="1" applyAlignment="1">
      <alignment horizontal="center" vertical="center" wrapText="1"/>
    </xf>
    <xf numFmtId="0" fontId="107" fillId="39" borderId="14" xfId="184" applyFont="1" applyFill="1" applyBorder="1" applyAlignment="1">
      <alignment horizontal="center" vertical="center" wrapText="1"/>
    </xf>
    <xf numFmtId="0" fontId="122" fillId="39" borderId="12" xfId="184" applyFont="1" applyFill="1" applyBorder="1" applyAlignment="1">
      <alignment horizontal="center" vertical="center" wrapText="1"/>
    </xf>
    <xf numFmtId="0" fontId="122" fillId="39" borderId="8" xfId="184" applyFont="1" applyFill="1" applyBorder="1" applyAlignment="1">
      <alignment horizontal="center" vertical="center" wrapText="1"/>
    </xf>
    <xf numFmtId="0" fontId="95" fillId="0" borderId="71" xfId="45" applyFont="1" applyBorder="1" applyAlignment="1" applyProtection="1">
      <alignment horizontal="center" vertical="center" wrapText="1"/>
      <protection locked="0"/>
    </xf>
    <xf numFmtId="0" fontId="95" fillId="0" borderId="67" xfId="45" applyFont="1" applyBorder="1" applyAlignment="1" applyProtection="1">
      <alignment horizontal="center" vertical="center" wrapText="1"/>
      <protection locked="0"/>
    </xf>
    <xf numFmtId="0" fontId="95" fillId="0" borderId="71" xfId="184" applyFont="1" applyBorder="1" applyAlignment="1" applyProtection="1">
      <alignment horizontal="left" vertical="center" wrapText="1"/>
      <protection locked="0"/>
    </xf>
    <xf numFmtId="0" fontId="95" fillId="0" borderId="2" xfId="184" applyFont="1" applyBorder="1" applyAlignment="1" applyProtection="1">
      <alignment horizontal="left" vertical="center" wrapText="1"/>
      <protection locked="0"/>
    </xf>
    <xf numFmtId="0" fontId="95" fillId="0" borderId="10" xfId="184" applyFont="1" applyBorder="1" applyAlignment="1">
      <alignment horizontal="left" vertical="center" wrapText="1"/>
    </xf>
    <xf numFmtId="0" fontId="95" fillId="0" borderId="2" xfId="184" applyFont="1" applyBorder="1" applyAlignment="1">
      <alignment horizontal="left" vertical="center" wrapText="1"/>
    </xf>
    <xf numFmtId="0" fontId="95" fillId="0" borderId="17" xfId="184" applyFont="1" applyBorder="1" applyAlignment="1">
      <alignment horizontal="left" vertical="center" wrapText="1"/>
    </xf>
    <xf numFmtId="49" fontId="95" fillId="0" borderId="10" xfId="45" applyNumberFormat="1" applyFont="1" applyBorder="1" applyAlignment="1">
      <alignment horizontal="left" vertical="center" wrapText="1"/>
    </xf>
    <xf numFmtId="49" fontId="95" fillId="0" borderId="67" xfId="45" applyNumberFormat="1" applyFont="1" applyBorder="1" applyAlignment="1">
      <alignment horizontal="left" vertical="center" wrapText="1"/>
    </xf>
    <xf numFmtId="0" fontId="95" fillId="0" borderId="78" xfId="184" applyFont="1" applyBorder="1" applyAlignment="1" applyProtection="1">
      <alignment vertical="center" wrapText="1"/>
      <protection locked="0"/>
    </xf>
    <xf numFmtId="0" fontId="95" fillId="0" borderId="79" xfId="184" applyFont="1" applyBorder="1" applyAlignment="1" applyProtection="1">
      <alignment vertical="center" wrapText="1"/>
      <protection locked="0"/>
    </xf>
    <xf numFmtId="0" fontId="95" fillId="0" borderId="80" xfId="184" applyFont="1" applyBorder="1" applyAlignment="1" applyProtection="1">
      <alignment vertical="center" wrapText="1"/>
      <protection locked="0"/>
    </xf>
    <xf numFmtId="0" fontId="95" fillId="0" borderId="72" xfId="45" applyFont="1" applyBorder="1" applyAlignment="1">
      <alignment horizontal="center" vertical="center"/>
    </xf>
    <xf numFmtId="0" fontId="95" fillId="0" borderId="73" xfId="45" applyFont="1" applyBorder="1" applyAlignment="1">
      <alignment horizontal="center" vertical="center"/>
    </xf>
    <xf numFmtId="0" fontId="95" fillId="0" borderId="74" xfId="45" applyFont="1" applyBorder="1" applyAlignment="1">
      <alignment horizontal="center" vertical="center"/>
    </xf>
    <xf numFmtId="0" fontId="95" fillId="0" borderId="71" xfId="184" applyFont="1" applyBorder="1" applyAlignment="1">
      <alignment vertical="center" wrapText="1"/>
    </xf>
    <xf numFmtId="0" fontId="95" fillId="0" borderId="2" xfId="184" applyFont="1" applyBorder="1" applyAlignment="1">
      <alignment vertical="center" wrapText="1"/>
    </xf>
    <xf numFmtId="0" fontId="95" fillId="0" borderId="67" xfId="184" applyFont="1" applyBorder="1" applyAlignment="1">
      <alignment vertical="center" wrapText="1"/>
    </xf>
    <xf numFmtId="0" fontId="95" fillId="0" borderId="71" xfId="184" applyFont="1" applyBorder="1" applyAlignment="1">
      <alignment horizontal="left" vertical="center" wrapText="1"/>
    </xf>
    <xf numFmtId="0" fontId="95" fillId="0" borderId="67" xfId="184" applyFont="1" applyBorder="1" applyAlignment="1">
      <alignment horizontal="left" vertical="center" wrapText="1"/>
    </xf>
    <xf numFmtId="0" fontId="95" fillId="0" borderId="67" xfId="45" applyFont="1" applyBorder="1" applyAlignment="1">
      <alignment horizontal="left" vertical="center" wrapText="1"/>
    </xf>
    <xf numFmtId="0" fontId="95" fillId="0" borderId="79" xfId="184" applyFont="1" applyBorder="1" applyAlignment="1" applyProtection="1">
      <alignment horizontal="left" vertical="center" wrapText="1"/>
      <protection locked="0"/>
    </xf>
    <xf numFmtId="0" fontId="95" fillId="0" borderId="80" xfId="184" applyFont="1" applyBorder="1" applyAlignment="1" applyProtection="1">
      <alignment horizontal="left" vertical="center" wrapText="1"/>
      <protection locked="0"/>
    </xf>
    <xf numFmtId="0" fontId="95" fillId="0" borderId="78" xfId="45" applyFont="1" applyBorder="1" applyAlignment="1">
      <alignment horizontal="center" vertical="center"/>
    </xf>
    <xf numFmtId="0" fontId="95" fillId="0" borderId="79" xfId="45" applyFont="1" applyBorder="1" applyAlignment="1">
      <alignment horizontal="center" vertical="center"/>
    </xf>
    <xf numFmtId="0" fontId="95" fillId="0" borderId="80" xfId="45" applyFont="1" applyBorder="1" applyAlignment="1">
      <alignment horizontal="center" vertical="center"/>
    </xf>
    <xf numFmtId="0" fontId="95" fillId="0" borderId="72" xfId="184" applyFont="1" applyBorder="1" applyAlignment="1" applyProtection="1">
      <alignment vertical="center" wrapText="1"/>
      <protection locked="0"/>
    </xf>
    <xf numFmtId="0" fontId="95" fillId="0" borderId="73" xfId="184" applyFont="1" applyBorder="1" applyAlignment="1" applyProtection="1">
      <alignment vertical="center" wrapText="1"/>
      <protection locked="0"/>
    </xf>
    <xf numFmtId="0" fontId="95" fillId="0" borderId="74" xfId="184" applyFont="1" applyBorder="1" applyAlignment="1" applyProtection="1">
      <alignment vertical="center" wrapText="1"/>
      <protection locked="0"/>
    </xf>
    <xf numFmtId="0" fontId="95" fillId="0" borderId="10" xfId="184" applyFont="1" applyBorder="1" applyAlignment="1">
      <alignment horizontal="left" vertical="top" wrapText="1"/>
    </xf>
    <xf numFmtId="0" fontId="95" fillId="0" borderId="2" xfId="184" applyFont="1" applyBorder="1" applyAlignment="1">
      <alignment horizontal="left" vertical="top" wrapText="1"/>
    </xf>
    <xf numFmtId="0" fontId="95" fillId="0" borderId="17" xfId="184" applyFont="1" applyBorder="1" applyAlignment="1">
      <alignment horizontal="left" vertical="top" wrapText="1"/>
    </xf>
    <xf numFmtId="0" fontId="121" fillId="0" borderId="75" xfId="184" applyFont="1" applyBorder="1" applyAlignment="1" applyProtection="1">
      <alignment vertical="center" wrapText="1"/>
      <protection locked="0"/>
    </xf>
    <xf numFmtId="0" fontId="121" fillId="0" borderId="76" xfId="184" applyFont="1" applyBorder="1" applyAlignment="1" applyProtection="1">
      <alignment vertical="center" wrapText="1"/>
      <protection locked="0"/>
    </xf>
    <xf numFmtId="0" fontId="121" fillId="0" borderId="77" xfId="184" applyFont="1" applyBorder="1" applyAlignment="1" applyProtection="1">
      <alignment vertical="center" wrapText="1"/>
      <protection locked="0"/>
    </xf>
    <xf numFmtId="0" fontId="107" fillId="39" borderId="3" xfId="184" applyFont="1" applyFill="1" applyBorder="1" applyAlignment="1">
      <alignment horizontal="center" vertical="center" wrapText="1"/>
    </xf>
    <xf numFmtId="0" fontId="107" fillId="40" borderId="23" xfId="184" applyFont="1" applyFill="1" applyBorder="1" applyAlignment="1">
      <alignment horizontal="center" vertical="center"/>
    </xf>
    <xf numFmtId="0" fontId="107" fillId="41" borderId="3" xfId="184" applyFont="1" applyFill="1" applyBorder="1" applyAlignment="1">
      <alignment horizontal="center" vertical="center"/>
    </xf>
    <xf numFmtId="0" fontId="95" fillId="41" borderId="3" xfId="184" applyFont="1" applyFill="1" applyBorder="1" applyAlignment="1">
      <alignment horizontal="center" vertical="center"/>
    </xf>
    <xf numFmtId="0" fontId="107" fillId="39" borderId="3" xfId="184" applyFont="1" applyFill="1" applyBorder="1" applyAlignment="1">
      <alignment horizontal="center" vertical="center"/>
    </xf>
    <xf numFmtId="0" fontId="107" fillId="39" borderId="15" xfId="184" applyFont="1" applyFill="1" applyBorder="1" applyAlignment="1">
      <alignment horizontal="center" vertical="center"/>
    </xf>
    <xf numFmtId="0" fontId="107" fillId="39" borderId="13" xfId="184" applyFont="1" applyFill="1" applyBorder="1" applyAlignment="1">
      <alignment horizontal="center" vertical="center"/>
    </xf>
    <xf numFmtId="0" fontId="107" fillId="39" borderId="7" xfId="184" applyFont="1" applyFill="1" applyBorder="1" applyAlignment="1">
      <alignment horizontal="center" vertical="center"/>
    </xf>
    <xf numFmtId="0" fontId="107" fillId="39" borderId="14" xfId="184" applyFont="1" applyFill="1" applyBorder="1" applyAlignment="1">
      <alignment horizontal="center" vertical="center"/>
    </xf>
    <xf numFmtId="0" fontId="107" fillId="41" borderId="3" xfId="184" applyFont="1" applyFill="1" applyBorder="1" applyAlignment="1" applyProtection="1">
      <alignment horizontal="center" vertical="center" wrapText="1"/>
      <protection locked="0"/>
    </xf>
    <xf numFmtId="0" fontId="107" fillId="40" borderId="3" xfId="185" applyFont="1" applyFill="1" applyBorder="1" applyAlignment="1">
      <alignment horizontal="center" vertical="center"/>
    </xf>
    <xf numFmtId="0" fontId="107" fillId="42" borderId="3" xfId="185" applyFont="1" applyFill="1" applyBorder="1" applyAlignment="1">
      <alignment horizontal="center" vertical="center"/>
    </xf>
    <xf numFmtId="0" fontId="107" fillId="39" borderId="3" xfId="185" applyFont="1" applyFill="1" applyBorder="1" applyAlignment="1">
      <alignment horizontal="center" vertical="center" wrapText="1"/>
    </xf>
    <xf numFmtId="0" fontId="107" fillId="39" borderId="3" xfId="185" applyFont="1" applyFill="1" applyBorder="1" applyAlignment="1">
      <alignment horizontal="center" vertical="center"/>
    </xf>
    <xf numFmtId="0" fontId="107" fillId="39" borderId="10" xfId="185" applyFont="1" applyFill="1" applyBorder="1" applyAlignment="1">
      <alignment horizontal="center" vertical="center"/>
    </xf>
    <xf numFmtId="0" fontId="107" fillId="39" borderId="2" xfId="185" applyFont="1" applyFill="1" applyBorder="1" applyAlignment="1">
      <alignment horizontal="center" vertical="center"/>
    </xf>
    <xf numFmtId="0" fontId="107" fillId="39" borderId="17" xfId="185" applyFont="1" applyFill="1" applyBorder="1" applyAlignment="1">
      <alignment horizontal="center" vertical="center"/>
    </xf>
    <xf numFmtId="0" fontId="107" fillId="5" borderId="7" xfId="185" applyFont="1" applyFill="1" applyBorder="1" applyAlignment="1">
      <alignment horizontal="center" vertical="center" wrapText="1"/>
    </xf>
    <xf numFmtId="0" fontId="107" fillId="5" borderId="8" xfId="185" applyFont="1" applyFill="1" applyBorder="1" applyAlignment="1">
      <alignment horizontal="center" vertical="center" wrapText="1"/>
    </xf>
    <xf numFmtId="0" fontId="107" fillId="5" borderId="14" xfId="185" applyFont="1" applyFill="1" applyBorder="1" applyAlignment="1">
      <alignment horizontal="center" vertical="center" wrapText="1"/>
    </xf>
    <xf numFmtId="0" fontId="107" fillId="5" borderId="15" xfId="185" applyFont="1" applyFill="1" applyBorder="1" applyAlignment="1">
      <alignment horizontal="center" vertical="center" wrapText="1"/>
    </xf>
    <xf numFmtId="0" fontId="107" fillId="5" borderId="12" xfId="185" applyFont="1" applyFill="1" applyBorder="1" applyAlignment="1">
      <alignment horizontal="center" vertical="center" wrapText="1"/>
    </xf>
    <xf numFmtId="0" fontId="107" fillId="5" borderId="13" xfId="185" applyFont="1" applyFill="1" applyBorder="1" applyAlignment="1">
      <alignment horizontal="center" vertical="center" wrapText="1"/>
    </xf>
    <xf numFmtId="0" fontId="95" fillId="0" borderId="3" xfId="185" applyFont="1" applyBorder="1" applyAlignment="1">
      <alignment horizontal="center" vertical="center" wrapText="1"/>
    </xf>
    <xf numFmtId="0" fontId="107" fillId="5" borderId="10" xfId="185" applyFont="1" applyFill="1" applyBorder="1" applyAlignment="1">
      <alignment horizontal="center" vertical="center" wrapText="1"/>
    </xf>
    <xf numFmtId="0" fontId="107" fillId="5" borderId="17" xfId="185" applyFont="1" applyFill="1" applyBorder="1" applyAlignment="1">
      <alignment horizontal="center" vertical="center" wrapText="1"/>
    </xf>
    <xf numFmtId="0" fontId="107" fillId="5" borderId="2" xfId="185" applyFont="1" applyFill="1" applyBorder="1" applyAlignment="1">
      <alignment horizontal="center" vertical="center" wrapText="1"/>
    </xf>
    <xf numFmtId="0" fontId="99" fillId="0" borderId="10" xfId="185" applyFont="1" applyBorder="1" applyAlignment="1">
      <alignment horizontal="center" vertical="center"/>
    </xf>
    <xf numFmtId="0" fontId="95" fillId="0" borderId="17" xfId="185" applyFont="1" applyBorder="1" applyAlignment="1">
      <alignment horizontal="center" vertical="center"/>
    </xf>
    <xf numFmtId="0" fontId="99" fillId="0" borderId="10" xfId="185" applyFont="1" applyBorder="1">
      <alignment vertical="center"/>
    </xf>
    <xf numFmtId="0" fontId="99" fillId="0" borderId="2" xfId="185" applyFont="1" applyBorder="1">
      <alignment vertical="center"/>
    </xf>
    <xf numFmtId="0" fontId="95" fillId="0" borderId="2" xfId="185" applyFont="1" applyBorder="1">
      <alignment vertical="center"/>
    </xf>
    <xf numFmtId="0" fontId="95" fillId="0" borderId="17" xfId="185" applyFont="1" applyBorder="1">
      <alignment vertical="center"/>
    </xf>
    <xf numFmtId="0" fontId="95" fillId="0" borderId="3" xfId="185" applyFont="1" applyBorder="1" applyAlignment="1">
      <alignment vertical="center" wrapText="1"/>
    </xf>
    <xf numFmtId="0" fontId="95" fillId="0" borderId="10" xfId="45" applyFont="1" applyBorder="1" applyAlignment="1">
      <alignment horizontal="left" vertical="center" shrinkToFit="1"/>
    </xf>
    <xf numFmtId="0" fontId="95" fillId="0" borderId="67" xfId="45" applyFont="1" applyBorder="1" applyAlignment="1">
      <alignment horizontal="left" vertical="center" shrinkToFit="1"/>
    </xf>
    <xf numFmtId="0" fontId="95" fillId="0" borderId="68" xfId="185" applyFont="1" applyBorder="1" applyAlignment="1" applyProtection="1">
      <alignment vertical="top" wrapText="1"/>
      <protection locked="0"/>
    </xf>
    <xf numFmtId="0" fontId="95" fillId="0" borderId="69" xfId="185" applyFont="1" applyBorder="1" applyAlignment="1" applyProtection="1">
      <alignment vertical="top" wrapText="1"/>
      <protection locked="0"/>
    </xf>
    <xf numFmtId="0" fontId="95" fillId="0" borderId="70" xfId="185" applyFont="1" applyBorder="1" applyAlignment="1" applyProtection="1">
      <alignment vertical="top" wrapText="1"/>
      <protection locked="0"/>
    </xf>
    <xf numFmtId="0" fontId="95" fillId="0" borderId="71" xfId="185" applyFont="1" applyBorder="1" applyAlignment="1" applyProtection="1">
      <alignment vertical="top" wrapText="1"/>
      <protection locked="0"/>
    </xf>
    <xf numFmtId="0" fontId="95" fillId="0" borderId="2" xfId="185" applyFont="1" applyBorder="1" applyAlignment="1" applyProtection="1">
      <alignment vertical="top" wrapText="1"/>
      <protection locked="0"/>
    </xf>
    <xf numFmtId="0" fontId="95" fillId="0" borderId="67" xfId="185" applyFont="1" applyBorder="1" applyAlignment="1" applyProtection="1">
      <alignment vertical="top" wrapText="1"/>
      <protection locked="0"/>
    </xf>
    <xf numFmtId="14" fontId="99" fillId="0" borderId="10" xfId="185" applyNumberFormat="1" applyFont="1" applyBorder="1" applyAlignment="1">
      <alignment horizontal="center" vertical="center"/>
    </xf>
    <xf numFmtId="14" fontId="99" fillId="0" borderId="2" xfId="185" applyNumberFormat="1" applyFont="1" applyBorder="1" applyAlignment="1">
      <alignment horizontal="center" vertical="center"/>
    </xf>
    <xf numFmtId="0" fontId="95" fillId="0" borderId="2" xfId="185" applyFont="1" applyBorder="1" applyAlignment="1">
      <alignment horizontal="center" vertical="center"/>
    </xf>
    <xf numFmtId="0" fontId="95" fillId="0" borderId="75" xfId="45" applyFont="1" applyBorder="1" applyAlignment="1" applyProtection="1">
      <alignment vertical="top" wrapText="1"/>
      <protection locked="0"/>
    </xf>
    <xf numFmtId="0" fontId="95" fillId="0" borderId="76" xfId="45" applyFont="1" applyBorder="1" applyAlignment="1" applyProtection="1">
      <alignment vertical="top" wrapText="1"/>
      <protection locked="0"/>
    </xf>
    <xf numFmtId="0" fontId="95" fillId="0" borderId="84" xfId="45" applyFont="1" applyBorder="1" applyAlignment="1" applyProtection="1">
      <alignment vertical="top" wrapText="1"/>
      <protection locked="0"/>
    </xf>
    <xf numFmtId="0" fontId="95" fillId="0" borderId="75" xfId="185" applyFont="1" applyBorder="1" applyAlignment="1" applyProtection="1">
      <alignment vertical="top" wrapText="1"/>
      <protection locked="0"/>
    </xf>
    <xf numFmtId="0" fontId="95" fillId="0" borderId="76" xfId="185" applyFont="1" applyBorder="1" applyAlignment="1" applyProtection="1">
      <alignment vertical="top" wrapText="1"/>
      <protection locked="0"/>
    </xf>
    <xf numFmtId="0" fontId="95" fillId="0" borderId="77" xfId="185" applyFont="1" applyBorder="1" applyAlignment="1" applyProtection="1">
      <alignment vertical="top" wrapText="1"/>
      <protection locked="0"/>
    </xf>
    <xf numFmtId="0" fontId="121" fillId="0" borderId="75" xfId="45" applyFont="1" applyBorder="1" applyAlignment="1" applyProtection="1">
      <alignment vertical="top" wrapText="1"/>
      <protection locked="0"/>
    </xf>
    <xf numFmtId="0" fontId="121" fillId="0" borderId="76" xfId="45" applyFont="1" applyBorder="1" applyAlignment="1" applyProtection="1">
      <alignment vertical="top" wrapText="1"/>
      <protection locked="0"/>
    </xf>
    <xf numFmtId="0" fontId="121" fillId="0" borderId="84" xfId="45" applyFont="1" applyBorder="1" applyAlignment="1" applyProtection="1">
      <alignment vertical="top" wrapText="1"/>
      <protection locked="0"/>
    </xf>
    <xf numFmtId="0" fontId="95" fillId="0" borderId="78" xfId="185" applyFont="1" applyBorder="1" applyAlignment="1" applyProtection="1">
      <alignment vertical="top" wrapText="1"/>
      <protection locked="0"/>
    </xf>
    <xf numFmtId="0" fontId="95" fillId="0" borderId="79" xfId="185" applyFont="1" applyBorder="1" applyAlignment="1" applyProtection="1">
      <alignment vertical="top" wrapText="1"/>
      <protection locked="0"/>
    </xf>
    <xf numFmtId="0" fontId="95" fillId="0" borderId="80" xfId="185" applyFont="1" applyBorder="1" applyAlignment="1" applyProtection="1">
      <alignment vertical="top" wrapText="1"/>
      <protection locked="0"/>
    </xf>
    <xf numFmtId="0" fontId="95" fillId="0" borderId="72" xfId="185" applyFont="1" applyBorder="1" applyAlignment="1" applyProtection="1">
      <alignment vertical="top" wrapText="1"/>
      <protection locked="0"/>
    </xf>
    <xf numFmtId="0" fontId="95" fillId="0" borderId="73" xfId="185" applyFont="1" applyBorder="1" applyAlignment="1" applyProtection="1">
      <alignment vertical="top" wrapText="1"/>
      <protection locked="0"/>
    </xf>
    <xf numFmtId="0" fontId="95" fillId="0" borderId="74" xfId="185" applyFont="1" applyBorder="1" applyAlignment="1" applyProtection="1">
      <alignment vertical="top" wrapText="1"/>
      <protection locked="0"/>
    </xf>
    <xf numFmtId="0" fontId="95" fillId="0" borderId="72" xfId="185" applyFont="1" applyBorder="1" applyAlignment="1" applyProtection="1">
      <alignment vertical="center" wrapText="1"/>
      <protection locked="0"/>
    </xf>
    <xf numFmtId="0" fontId="95" fillId="0" borderId="73" xfId="185" applyFont="1" applyBorder="1" applyAlignment="1" applyProtection="1">
      <alignment vertical="center" wrapText="1"/>
      <protection locked="0"/>
    </xf>
    <xf numFmtId="0" fontId="95" fillId="0" borderId="74" xfId="185" applyFont="1" applyBorder="1" applyAlignment="1" applyProtection="1">
      <alignment vertical="center" wrapText="1"/>
      <protection locked="0"/>
    </xf>
    <xf numFmtId="0" fontId="95" fillId="0" borderId="71" xfId="185" applyFont="1" applyBorder="1" applyAlignment="1" applyProtection="1">
      <alignment vertical="center" wrapText="1"/>
      <protection locked="0"/>
    </xf>
    <xf numFmtId="0" fontId="95" fillId="0" borderId="2" xfId="185" applyFont="1" applyBorder="1" applyAlignment="1" applyProtection="1">
      <alignment vertical="center" wrapText="1"/>
      <protection locked="0"/>
    </xf>
    <xf numFmtId="0" fontId="95" fillId="0" borderId="67" xfId="185" applyFont="1" applyBorder="1" applyAlignment="1" applyProtection="1">
      <alignment vertical="center" wrapText="1"/>
      <protection locked="0"/>
    </xf>
    <xf numFmtId="0" fontId="95" fillId="0" borderId="3" xfId="185" applyFont="1" applyBorder="1" applyAlignment="1">
      <alignment vertical="center" shrinkToFit="1"/>
    </xf>
    <xf numFmtId="0" fontId="95" fillId="0" borderId="3" xfId="185" applyFont="1" applyBorder="1" applyAlignment="1" applyProtection="1">
      <alignment vertical="center" shrinkToFit="1"/>
      <protection locked="0"/>
    </xf>
    <xf numFmtId="0" fontId="107" fillId="0" borderId="3" xfId="185" applyFont="1" applyBorder="1" applyAlignment="1">
      <alignment horizontal="center" vertical="center" shrinkToFit="1"/>
    </xf>
    <xf numFmtId="0" fontId="107" fillId="0" borderId="3" xfId="185" applyFont="1" applyBorder="1" applyAlignment="1" applyProtection="1">
      <alignment horizontal="center" vertical="center" shrinkToFit="1"/>
      <protection locked="0"/>
    </xf>
    <xf numFmtId="185" fontId="108" fillId="19" borderId="0" xfId="161" quotePrefix="1" applyNumberFormat="1" applyFont="1" applyFill="1" applyAlignment="1">
      <alignment horizontal="right" vertical="center"/>
    </xf>
    <xf numFmtId="185" fontId="59" fillId="0" borderId="0" xfId="161" quotePrefix="1" applyNumberFormat="1" applyFont="1" applyAlignment="1">
      <alignment horizontal="right" vertical="center"/>
    </xf>
    <xf numFmtId="185" fontId="59" fillId="0" borderId="10" xfId="161" quotePrefix="1" applyNumberFormat="1" applyFont="1" applyBorder="1" applyAlignment="1">
      <alignment horizontal="right" vertical="center"/>
    </xf>
    <xf numFmtId="185" fontId="59" fillId="0" borderId="2" xfId="161" quotePrefix="1" applyNumberFormat="1" applyFont="1" applyBorder="1" applyAlignment="1">
      <alignment horizontal="right" vertical="center"/>
    </xf>
    <xf numFmtId="185" fontId="59" fillId="0" borderId="17" xfId="161" quotePrefix="1" applyNumberFormat="1" applyFont="1" applyBorder="1" applyAlignment="1">
      <alignment horizontal="right" vertical="center"/>
    </xf>
    <xf numFmtId="191" fontId="59" fillId="0" borderId="10" xfId="161" quotePrefix="1" applyNumberFormat="1" applyFont="1" applyBorder="1" applyAlignment="1">
      <alignment horizontal="right" vertical="center"/>
    </xf>
    <xf numFmtId="191" fontId="59" fillId="0" borderId="2" xfId="161" quotePrefix="1" applyNumberFormat="1" applyFont="1" applyBorder="1" applyAlignment="1">
      <alignment horizontal="right" vertical="center"/>
    </xf>
    <xf numFmtId="191" fontId="59" fillId="0" borderId="17" xfId="161" quotePrefix="1" applyNumberFormat="1" applyFont="1" applyBorder="1" applyAlignment="1">
      <alignment horizontal="right" vertical="center"/>
    </xf>
    <xf numFmtId="183" fontId="59" fillId="0" borderId="10" xfId="161" quotePrefix="1" applyNumberFormat="1" applyFont="1" applyBorder="1" applyAlignment="1">
      <alignment horizontal="right" vertical="center"/>
    </xf>
    <xf numFmtId="183" fontId="59" fillId="0" borderId="2" xfId="161" quotePrefix="1" applyNumberFormat="1" applyFont="1" applyBorder="1" applyAlignment="1">
      <alignment horizontal="right" vertical="center"/>
    </xf>
    <xf numFmtId="183" fontId="59" fillId="0" borderId="17" xfId="161" quotePrefix="1" applyNumberFormat="1" applyFont="1" applyBorder="1" applyAlignment="1">
      <alignment horizontal="right" vertical="center"/>
    </xf>
    <xf numFmtId="184" fontId="59" fillId="0" borderId="10" xfId="161" quotePrefix="1" applyNumberFormat="1" applyFont="1" applyBorder="1" applyAlignment="1">
      <alignment horizontal="center" vertical="center"/>
    </xf>
    <xf numFmtId="184" fontId="59" fillId="0" borderId="2" xfId="161" quotePrefix="1" applyNumberFormat="1" applyFont="1" applyBorder="1" applyAlignment="1">
      <alignment horizontal="center" vertical="center"/>
    </xf>
    <xf numFmtId="184" fontId="59" fillId="0" borderId="17" xfId="161" quotePrefix="1" applyNumberFormat="1" applyFont="1" applyBorder="1" applyAlignment="1">
      <alignment horizontal="center" vertical="center"/>
    </xf>
    <xf numFmtId="185" fontId="59" fillId="0" borderId="10" xfId="161" applyNumberFormat="1" applyFont="1" applyBorder="1" applyAlignment="1">
      <alignment horizontal="center" vertical="center"/>
    </xf>
    <xf numFmtId="185" fontId="59" fillId="0" borderId="2" xfId="161" applyNumberFormat="1" applyFont="1" applyBorder="1" applyAlignment="1">
      <alignment horizontal="center" vertical="center"/>
    </xf>
    <xf numFmtId="185" fontId="59" fillId="0" borderId="17" xfId="161" applyNumberFormat="1" applyFont="1" applyBorder="1" applyAlignment="1">
      <alignment horizontal="center" vertical="center"/>
    </xf>
    <xf numFmtId="180" fontId="59" fillId="0" borderId="10" xfId="161" quotePrefix="1" applyNumberFormat="1" applyFont="1" applyBorder="1" applyAlignment="1">
      <alignment horizontal="right" vertical="center"/>
    </xf>
    <xf numFmtId="180" fontId="59" fillId="0" borderId="2" xfId="161" quotePrefix="1" applyNumberFormat="1" applyFont="1" applyBorder="1" applyAlignment="1">
      <alignment horizontal="right" vertical="center"/>
    </xf>
    <xf numFmtId="180" fontId="59" fillId="0" borderId="17" xfId="161" quotePrefix="1" applyNumberFormat="1" applyFont="1" applyBorder="1" applyAlignment="1">
      <alignment horizontal="right" vertical="center"/>
    </xf>
    <xf numFmtId="179" fontId="59" fillId="0" borderId="10" xfId="161" quotePrefix="1" applyNumberFormat="1" applyFont="1" applyBorder="1" applyAlignment="1">
      <alignment horizontal="right" vertical="center"/>
    </xf>
    <xf numFmtId="0" fontId="59" fillId="0" borderId="2" xfId="161" quotePrefix="1" applyFont="1" applyBorder="1" applyAlignment="1">
      <alignment horizontal="right" vertical="center"/>
    </xf>
    <xf numFmtId="0" fontId="59" fillId="0" borderId="17" xfId="161" quotePrefix="1" applyFont="1" applyBorder="1" applyAlignment="1">
      <alignment horizontal="right" vertical="center"/>
    </xf>
    <xf numFmtId="184" fontId="59" fillId="0" borderId="10" xfId="161" applyNumberFormat="1" applyFont="1" applyBorder="1" applyAlignment="1">
      <alignment horizontal="center" vertical="center"/>
    </xf>
    <xf numFmtId="184" fontId="59" fillId="0" borderId="2" xfId="161" applyNumberFormat="1" applyFont="1" applyBorder="1" applyAlignment="1">
      <alignment horizontal="center" vertical="center"/>
    </xf>
    <xf numFmtId="184" fontId="59" fillId="0" borderId="17" xfId="161" applyNumberFormat="1" applyFont="1" applyBorder="1" applyAlignment="1">
      <alignment horizontal="center" vertical="center"/>
    </xf>
    <xf numFmtId="184" fontId="59" fillId="0" borderId="10" xfId="161" quotePrefix="1" applyNumberFormat="1" applyFont="1" applyBorder="1" applyAlignment="1">
      <alignment horizontal="right" vertical="center"/>
    </xf>
    <xf numFmtId="184" fontId="59" fillId="0" borderId="2" xfId="161" quotePrefix="1" applyNumberFormat="1" applyFont="1" applyBorder="1" applyAlignment="1">
      <alignment horizontal="right" vertical="center"/>
    </xf>
    <xf numFmtId="184" fontId="59" fillId="0" borderId="17" xfId="161" quotePrefix="1" applyNumberFormat="1" applyFont="1" applyBorder="1" applyAlignment="1">
      <alignment horizontal="right" vertical="center"/>
    </xf>
    <xf numFmtId="179" fontId="59" fillId="0" borderId="2" xfId="161" quotePrefix="1" applyNumberFormat="1" applyFont="1" applyBorder="1" applyAlignment="1">
      <alignment horizontal="right" vertical="center"/>
    </xf>
    <xf numFmtId="179" fontId="59" fillId="0" borderId="17" xfId="161" quotePrefix="1" applyNumberFormat="1" applyFont="1" applyBorder="1" applyAlignment="1">
      <alignment horizontal="right" vertical="center"/>
    </xf>
    <xf numFmtId="182" fontId="59" fillId="0" borderId="10" xfId="161" quotePrefix="1" applyNumberFormat="1" applyFont="1" applyBorder="1" applyAlignment="1">
      <alignment horizontal="right" vertical="center"/>
    </xf>
    <xf numFmtId="182" fontId="59" fillId="0" borderId="2" xfId="161" quotePrefix="1" applyNumberFormat="1" applyFont="1" applyBorder="1" applyAlignment="1">
      <alignment horizontal="right" vertical="center"/>
    </xf>
    <xf numFmtId="182" fontId="59" fillId="0" borderId="17" xfId="161" quotePrefix="1" applyNumberFormat="1" applyFont="1" applyBorder="1" applyAlignment="1">
      <alignment horizontal="right" vertical="center"/>
    </xf>
    <xf numFmtId="179" fontId="59" fillId="0" borderId="0" xfId="161" quotePrefix="1" applyNumberFormat="1" applyFont="1" applyAlignment="1">
      <alignment horizontal="right" vertical="center"/>
    </xf>
    <xf numFmtId="0" fontId="59" fillId="0" borderId="0" xfId="161" quotePrefix="1" applyFont="1" applyAlignment="1">
      <alignment horizontal="right" vertical="center"/>
    </xf>
    <xf numFmtId="183" fontId="59" fillId="0" borderId="0" xfId="161" quotePrefix="1" applyNumberFormat="1" applyFont="1" applyAlignment="1">
      <alignment horizontal="right" vertical="center"/>
    </xf>
    <xf numFmtId="183" fontId="59" fillId="0" borderId="10" xfId="161" quotePrefix="1" applyNumberFormat="1" applyFont="1" applyBorder="1" applyAlignment="1">
      <alignment horizontal="center" vertical="center"/>
    </xf>
    <xf numFmtId="183" fontId="59" fillId="0" borderId="2" xfId="161" quotePrefix="1" applyNumberFormat="1" applyFont="1" applyBorder="1" applyAlignment="1">
      <alignment horizontal="center" vertical="center"/>
    </xf>
    <xf numFmtId="183" fontId="59" fillId="0" borderId="17" xfId="161" quotePrefix="1" applyNumberFormat="1" applyFont="1" applyBorder="1" applyAlignment="1">
      <alignment horizontal="center" vertical="center"/>
    </xf>
    <xf numFmtId="185" fontId="59" fillId="0" borderId="31" xfId="161" quotePrefix="1" applyNumberFormat="1" applyFont="1" applyBorder="1" applyAlignment="1">
      <alignment horizontal="right" vertical="center"/>
    </xf>
    <xf numFmtId="3" fontId="59" fillId="0" borderId="10" xfId="161" quotePrefix="1" applyNumberFormat="1" applyFont="1" applyBorder="1" applyAlignment="1">
      <alignment horizontal="right" vertical="center"/>
    </xf>
    <xf numFmtId="3" fontId="59" fillId="0" borderId="2" xfId="161" quotePrefix="1" applyNumberFormat="1" applyFont="1" applyBorder="1" applyAlignment="1">
      <alignment horizontal="right" vertical="center"/>
    </xf>
    <xf numFmtId="3" fontId="59" fillId="0" borderId="17" xfId="161" quotePrefix="1" applyNumberFormat="1" applyFont="1" applyBorder="1" applyAlignment="1">
      <alignment horizontal="right" vertical="center"/>
    </xf>
    <xf numFmtId="185" fontId="59" fillId="0" borderId="0" xfId="161" applyNumberFormat="1" applyFont="1" applyAlignment="1">
      <alignment horizontal="right" vertical="center"/>
    </xf>
    <xf numFmtId="186" fontId="59" fillId="0" borderId="10" xfId="161" quotePrefix="1" applyNumberFormat="1" applyFont="1" applyBorder="1" applyAlignment="1">
      <alignment horizontal="right" vertical="center"/>
    </xf>
    <xf numFmtId="186" fontId="59" fillId="0" borderId="2" xfId="161" quotePrefix="1" applyNumberFormat="1" applyFont="1" applyBorder="1" applyAlignment="1">
      <alignment horizontal="right" vertical="center"/>
    </xf>
    <xf numFmtId="186" fontId="59" fillId="0" borderId="17" xfId="161" quotePrefix="1" applyNumberFormat="1" applyFont="1" applyBorder="1" applyAlignment="1">
      <alignment horizontal="right" vertical="center"/>
    </xf>
    <xf numFmtId="10" fontId="59" fillId="0" borderId="10" xfId="161" quotePrefix="1" applyNumberFormat="1" applyFont="1" applyBorder="1" applyAlignment="1">
      <alignment horizontal="right" vertical="center"/>
    </xf>
    <xf numFmtId="10" fontId="59" fillId="0" borderId="2" xfId="161" quotePrefix="1" applyNumberFormat="1" applyFont="1" applyBorder="1" applyAlignment="1">
      <alignment horizontal="right" vertical="center"/>
    </xf>
    <xf numFmtId="10" fontId="59" fillId="0" borderId="17" xfId="161" quotePrefix="1" applyNumberFormat="1" applyFont="1" applyBorder="1" applyAlignment="1">
      <alignment horizontal="right" vertical="center"/>
    </xf>
    <xf numFmtId="0" fontId="59" fillId="0" borderId="10" xfId="161" quotePrefix="1" applyFont="1" applyBorder="1" applyAlignment="1">
      <alignment horizontal="right" vertical="center"/>
    </xf>
    <xf numFmtId="9" fontId="59" fillId="0" borderId="10" xfId="161" quotePrefix="1" applyNumberFormat="1" applyFont="1" applyBorder="1" applyAlignment="1">
      <alignment horizontal="right" vertical="center"/>
    </xf>
    <xf numFmtId="9" fontId="59" fillId="0" borderId="2" xfId="161" quotePrefix="1" applyNumberFormat="1" applyFont="1" applyBorder="1" applyAlignment="1">
      <alignment horizontal="right" vertical="center"/>
    </xf>
    <xf numFmtId="9" fontId="59" fillId="0" borderId="17" xfId="161" quotePrefix="1" applyNumberFormat="1" applyFont="1" applyBorder="1" applyAlignment="1">
      <alignment horizontal="right" vertical="center"/>
    </xf>
    <xf numFmtId="49" fontId="59" fillId="0" borderId="10" xfId="161" quotePrefix="1" applyNumberFormat="1" applyFont="1" applyBorder="1" applyAlignment="1">
      <alignment horizontal="center" vertical="center"/>
    </xf>
    <xf numFmtId="49" fontId="59" fillId="0" borderId="2" xfId="161" quotePrefix="1" applyNumberFormat="1" applyFont="1" applyBorder="1" applyAlignment="1">
      <alignment horizontal="center" vertical="center"/>
    </xf>
    <xf numFmtId="49" fontId="59" fillId="0" borderId="17" xfId="161" quotePrefix="1" applyNumberFormat="1" applyFont="1" applyBorder="1" applyAlignment="1">
      <alignment horizontal="center" vertical="center"/>
    </xf>
    <xf numFmtId="181" fontId="59" fillId="0" borderId="10" xfId="161" quotePrefix="1" applyNumberFormat="1" applyFont="1" applyBorder="1" applyAlignment="1">
      <alignment horizontal="right" vertical="center"/>
    </xf>
    <xf numFmtId="181" fontId="59" fillId="0" borderId="2" xfId="161" quotePrefix="1" applyNumberFormat="1" applyFont="1" applyBorder="1" applyAlignment="1">
      <alignment horizontal="right" vertical="center"/>
    </xf>
    <xf numFmtId="181" fontId="59" fillId="0" borderId="17" xfId="161" quotePrefix="1" applyNumberFormat="1" applyFont="1" applyBorder="1" applyAlignment="1">
      <alignment horizontal="right" vertical="center"/>
    </xf>
    <xf numFmtId="187" fontId="59" fillId="0" borderId="10" xfId="161" quotePrefix="1" applyNumberFormat="1" applyFont="1" applyBorder="1" applyAlignment="1">
      <alignment horizontal="right" vertical="center"/>
    </xf>
    <xf numFmtId="187" fontId="59" fillId="0" borderId="2" xfId="161" quotePrefix="1" applyNumberFormat="1" applyFont="1" applyBorder="1" applyAlignment="1">
      <alignment horizontal="right" vertical="center"/>
    </xf>
    <xf numFmtId="187" fontId="59" fillId="0" borderId="17" xfId="161" quotePrefix="1" applyNumberFormat="1" applyFont="1" applyBorder="1" applyAlignment="1">
      <alignment horizontal="right" vertical="center"/>
    </xf>
    <xf numFmtId="188" fontId="59" fillId="0" borderId="10" xfId="161" quotePrefix="1" applyNumberFormat="1" applyFont="1" applyBorder="1" applyAlignment="1">
      <alignment horizontal="right" vertical="center"/>
    </xf>
    <xf numFmtId="188" fontId="59" fillId="0" borderId="2" xfId="161" quotePrefix="1" applyNumberFormat="1" applyFont="1" applyBorder="1" applyAlignment="1">
      <alignment horizontal="right" vertical="center"/>
    </xf>
    <xf numFmtId="188" fontId="59" fillId="0" borderId="17" xfId="161" quotePrefix="1" applyNumberFormat="1" applyFont="1" applyBorder="1" applyAlignment="1">
      <alignment horizontal="right" vertical="center"/>
    </xf>
    <xf numFmtId="182" fontId="59" fillId="0" borderId="10" xfId="161" quotePrefix="1" applyNumberFormat="1" applyFont="1" applyBorder="1" applyAlignment="1">
      <alignment horizontal="center" vertical="center"/>
    </xf>
    <xf numFmtId="182" fontId="59" fillId="0" borderId="2" xfId="161" quotePrefix="1" applyNumberFormat="1" applyFont="1" applyBorder="1" applyAlignment="1">
      <alignment horizontal="center" vertical="center"/>
    </xf>
    <xf numFmtId="182" fontId="59" fillId="0" borderId="17" xfId="161" quotePrefix="1" applyNumberFormat="1" applyFont="1" applyBorder="1" applyAlignment="1">
      <alignment horizontal="center" vertical="center"/>
    </xf>
    <xf numFmtId="185" fontId="59" fillId="0" borderId="10" xfId="161" applyNumberFormat="1" applyFont="1" applyBorder="1" applyAlignment="1">
      <alignment horizontal="right" vertical="center"/>
    </xf>
    <xf numFmtId="185" fontId="59" fillId="0" borderId="2" xfId="161" applyNumberFormat="1" applyFont="1" applyBorder="1" applyAlignment="1">
      <alignment horizontal="right" vertical="center"/>
    </xf>
    <xf numFmtId="185" fontId="59" fillId="0" borderId="17" xfId="161" applyNumberFormat="1" applyFont="1" applyBorder="1" applyAlignment="1">
      <alignment horizontal="right" vertical="center"/>
    </xf>
    <xf numFmtId="187" fontId="59" fillId="0" borderId="10" xfId="161" quotePrefix="1" applyNumberFormat="1" applyFont="1" applyBorder="1" applyAlignment="1">
      <alignment horizontal="right" vertical="center" indent="1"/>
    </xf>
    <xf numFmtId="187" fontId="59" fillId="0" borderId="2" xfId="161" quotePrefix="1" applyNumberFormat="1" applyFont="1" applyBorder="1" applyAlignment="1">
      <alignment horizontal="right" vertical="center" indent="1"/>
    </xf>
    <xf numFmtId="187" fontId="59" fillId="0" borderId="17" xfId="161" quotePrefix="1" applyNumberFormat="1" applyFont="1" applyBorder="1" applyAlignment="1">
      <alignment horizontal="right" vertical="center" indent="1"/>
    </xf>
    <xf numFmtId="182" fontId="59" fillId="0" borderId="28" xfId="161" quotePrefix="1" applyNumberFormat="1" applyFont="1" applyBorder="1" applyAlignment="1">
      <alignment horizontal="right" vertical="center"/>
    </xf>
    <xf numFmtId="182" fontId="59" fillId="24" borderId="10" xfId="161" quotePrefix="1" applyNumberFormat="1" applyFont="1" applyFill="1" applyBorder="1" applyAlignment="1">
      <alignment horizontal="right" vertical="center"/>
    </xf>
    <xf numFmtId="0" fontId="0" fillId="0" borderId="2" xfId="0" applyBorder="1" applyAlignment="1">
      <alignment horizontal="right" vertical="center"/>
    </xf>
    <xf numFmtId="0" fontId="0" fillId="0" borderId="17" xfId="0" applyBorder="1" applyAlignment="1">
      <alignment horizontal="right" vertical="center"/>
    </xf>
    <xf numFmtId="189" fontId="59" fillId="24" borderId="10" xfId="161" quotePrefix="1" applyNumberFormat="1" applyFont="1" applyFill="1" applyBorder="1" applyAlignment="1">
      <alignment horizontal="right" vertical="center"/>
    </xf>
    <xf numFmtId="189" fontId="59" fillId="24" borderId="2" xfId="161" quotePrefix="1" applyNumberFormat="1" applyFont="1" applyFill="1" applyBorder="1" applyAlignment="1">
      <alignment horizontal="right" vertical="center"/>
    </xf>
    <xf numFmtId="189" fontId="59" fillId="24" borderId="17" xfId="161" quotePrefix="1" applyNumberFormat="1" applyFont="1" applyFill="1" applyBorder="1" applyAlignment="1">
      <alignment horizontal="right" vertical="center"/>
    </xf>
    <xf numFmtId="182" fontId="59" fillId="21" borderId="10" xfId="161" quotePrefix="1" applyNumberFormat="1" applyFont="1" applyFill="1" applyBorder="1" applyAlignment="1">
      <alignment horizontal="right" vertical="center"/>
    </xf>
    <xf numFmtId="182" fontId="59" fillId="21" borderId="2" xfId="161" quotePrefix="1" applyNumberFormat="1" applyFont="1" applyFill="1" applyBorder="1" applyAlignment="1">
      <alignment horizontal="right" vertical="center"/>
    </xf>
    <xf numFmtId="182" fontId="59" fillId="21" borderId="17" xfId="161" quotePrefix="1" applyNumberFormat="1" applyFont="1" applyFill="1" applyBorder="1" applyAlignment="1">
      <alignment horizontal="right" vertical="center"/>
    </xf>
    <xf numFmtId="189" fontId="59" fillId="21" borderId="10" xfId="161" quotePrefix="1" applyNumberFormat="1" applyFont="1" applyFill="1" applyBorder="1" applyAlignment="1">
      <alignment horizontal="right" vertical="center"/>
    </xf>
    <xf numFmtId="189" fontId="59" fillId="21" borderId="2" xfId="161" quotePrefix="1" applyNumberFormat="1" applyFont="1" applyFill="1" applyBorder="1" applyAlignment="1">
      <alignment horizontal="right" vertical="center"/>
    </xf>
    <xf numFmtId="189" fontId="59" fillId="21" borderId="17" xfId="161" quotePrefix="1" applyNumberFormat="1" applyFont="1" applyFill="1" applyBorder="1" applyAlignment="1">
      <alignment horizontal="right" vertical="center"/>
    </xf>
    <xf numFmtId="182" fontId="51" fillId="14" borderId="0" xfId="0" applyNumberFormat="1" applyFont="1" applyFill="1" applyAlignment="1">
      <alignment horizontal="center" vertical="center"/>
    </xf>
    <xf numFmtId="184" fontId="85" fillId="0" borderId="10" xfId="161" quotePrefix="1" applyNumberFormat="1" applyFont="1" applyBorder="1" applyAlignment="1">
      <alignment horizontal="center" vertical="center"/>
    </xf>
    <xf numFmtId="184" fontId="85" fillId="0" borderId="2" xfId="161" quotePrefix="1" applyNumberFormat="1" applyFont="1" applyBorder="1" applyAlignment="1">
      <alignment horizontal="center" vertical="center"/>
    </xf>
    <xf numFmtId="184" fontId="85" fillId="0" borderId="17" xfId="161" quotePrefix="1" applyNumberFormat="1" applyFont="1" applyBorder="1" applyAlignment="1">
      <alignment horizontal="center" vertical="center"/>
    </xf>
    <xf numFmtId="181" fontId="59" fillId="0" borderId="10" xfId="161" quotePrefix="1" applyNumberFormat="1" applyFont="1" applyBorder="1" applyAlignment="1">
      <alignment horizontal="center" vertical="center"/>
    </xf>
    <xf numFmtId="181" fontId="59" fillId="0" borderId="2" xfId="161" quotePrefix="1" applyNumberFormat="1" applyFont="1" applyBorder="1" applyAlignment="1">
      <alignment horizontal="center" vertical="center"/>
    </xf>
    <xf numFmtId="181" fontId="59" fillId="0" borderId="17" xfId="161" quotePrefix="1" applyNumberFormat="1" applyFont="1" applyBorder="1" applyAlignment="1">
      <alignment horizontal="center" vertical="center"/>
    </xf>
    <xf numFmtId="179" fontId="59" fillId="0" borderId="10" xfId="161" applyNumberFormat="1" applyFont="1" applyBorder="1" applyAlignment="1">
      <alignment horizontal="right" vertical="center"/>
    </xf>
    <xf numFmtId="179" fontId="59" fillId="0" borderId="2" xfId="161" applyNumberFormat="1" applyFont="1" applyBorder="1" applyAlignment="1">
      <alignment horizontal="right" vertical="center"/>
    </xf>
    <xf numFmtId="179" fontId="59" fillId="0" borderId="17" xfId="161" applyNumberFormat="1" applyFont="1" applyBorder="1" applyAlignment="1">
      <alignment horizontal="right" vertical="center"/>
    </xf>
    <xf numFmtId="0" fontId="51" fillId="14" borderId="0" xfId="0" applyFont="1" applyFill="1" applyAlignment="1">
      <alignment horizontal="center" vertical="center"/>
    </xf>
    <xf numFmtId="190" fontId="51" fillId="14" borderId="15" xfId="0" applyNumberFormat="1" applyFont="1" applyFill="1" applyBorder="1" applyAlignment="1">
      <alignment horizontal="center" vertical="center"/>
    </xf>
    <xf numFmtId="190" fontId="51" fillId="14" borderId="12" xfId="0" applyNumberFormat="1" applyFont="1" applyFill="1" applyBorder="1" applyAlignment="1">
      <alignment horizontal="center" vertical="center"/>
    </xf>
    <xf numFmtId="179" fontId="59" fillId="0" borderId="10" xfId="161" quotePrefix="1" applyNumberFormat="1" applyFont="1" applyBorder="1" applyAlignment="1">
      <alignment horizontal="center" vertical="center"/>
    </xf>
    <xf numFmtId="179" fontId="59" fillId="0" borderId="2" xfId="161" quotePrefix="1" applyNumberFormat="1" applyFont="1" applyBorder="1" applyAlignment="1">
      <alignment horizontal="center" vertical="center"/>
    </xf>
    <xf numFmtId="179" fontId="59" fillId="0" borderId="17" xfId="161" quotePrefix="1" applyNumberFormat="1" applyFont="1" applyBorder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</cellXfs>
  <cellStyles count="186">
    <cellStyle name="0301" xfId="1" xr:uid="{00000000-0005-0000-0000-000000000000}"/>
    <cellStyle name="0_x0014_標準_F_02?P_Dd080301" xfId="2" xr:uid="{00000000-0005-0000-0000-000001000000}"/>
    <cellStyle name="Calc Currency (0)" xfId="3" xr:uid="{00000000-0005-0000-0000-000002000000}"/>
    <cellStyle name="ColumnAttributeAbovePrompt" xfId="4" xr:uid="{00000000-0005-0000-0000-000003000000}"/>
    <cellStyle name="ColumnAttributePrompt" xfId="5" xr:uid="{00000000-0005-0000-0000-000004000000}"/>
    <cellStyle name="ColumnAttributeValue" xfId="6" xr:uid="{00000000-0005-0000-0000-000005000000}"/>
    <cellStyle name="ColumnHeadingPrompt" xfId="7" xr:uid="{00000000-0005-0000-0000-000006000000}"/>
    <cellStyle name="ColumnHeadingValue" xfId="8" xr:uid="{00000000-0005-0000-0000-000007000000}"/>
    <cellStyle name="entry" xfId="9" xr:uid="{00000000-0005-0000-0000-000008000000}"/>
    <cellStyle name="Grey" xfId="10" xr:uid="{00000000-0005-0000-0000-000009000000}"/>
    <cellStyle name="Header1" xfId="11" xr:uid="{00000000-0005-0000-0000-00000A000000}"/>
    <cellStyle name="Header2" xfId="12" xr:uid="{00000000-0005-0000-0000-00000B000000}"/>
    <cellStyle name="Input [yellow]" xfId="13" xr:uid="{00000000-0005-0000-0000-00000C000000}"/>
    <cellStyle name="LineItemPrompt" xfId="14" xr:uid="{00000000-0005-0000-0000-00000D000000}"/>
    <cellStyle name="LineItemValue" xfId="15" xr:uid="{00000000-0005-0000-0000-00000E000000}"/>
    <cellStyle name="Normal - Style1" xfId="16" xr:uid="{00000000-0005-0000-0000-00000F000000}"/>
    <cellStyle name="Normal_#18-Internet" xfId="17" xr:uid="{00000000-0005-0000-0000-000010000000}"/>
    <cellStyle name="OUTPUT AMOUNTS" xfId="18" xr:uid="{00000000-0005-0000-0000-000011000000}"/>
    <cellStyle name="OUTPUT COLUMN HEADINGS" xfId="19" xr:uid="{00000000-0005-0000-0000-000012000000}"/>
    <cellStyle name="OUTPUT LINE ITEMS" xfId="20" xr:uid="{00000000-0005-0000-0000-000013000000}"/>
    <cellStyle name="OUTPUT REPORT HEADING" xfId="21" xr:uid="{00000000-0005-0000-0000-000014000000}"/>
    <cellStyle name="OUTPUT REPORT TITLE" xfId="22" xr:uid="{00000000-0005-0000-0000-000015000000}"/>
    <cellStyle name="Percent [2]" xfId="23" xr:uid="{00000000-0005-0000-0000-000016000000}"/>
    <cellStyle name="price" xfId="24" xr:uid="{00000000-0005-0000-0000-000017000000}"/>
    <cellStyle name="ReportTitlePrompt" xfId="25" xr:uid="{00000000-0005-0000-0000-000018000000}"/>
    <cellStyle name="ReportTitleValue" xfId="26" xr:uid="{00000000-0005-0000-0000-000019000000}"/>
    <cellStyle name="revised" xfId="27" xr:uid="{00000000-0005-0000-0000-00001A000000}"/>
    <cellStyle name="RowAcctAbovePrompt" xfId="28" xr:uid="{00000000-0005-0000-0000-00001B000000}"/>
    <cellStyle name="RowAcctSOBAbovePrompt" xfId="29" xr:uid="{00000000-0005-0000-0000-00001C000000}"/>
    <cellStyle name="RowAcctSOBValue" xfId="30" xr:uid="{00000000-0005-0000-0000-00001D000000}"/>
    <cellStyle name="RowAcctValue" xfId="31" xr:uid="{00000000-0005-0000-0000-00001E000000}"/>
    <cellStyle name="RowAttrAbovePrompt" xfId="32" xr:uid="{00000000-0005-0000-0000-00001F000000}"/>
    <cellStyle name="RowAttrValue" xfId="33" xr:uid="{00000000-0005-0000-0000-000020000000}"/>
    <cellStyle name="RowColSetAbovePrompt" xfId="34" xr:uid="{00000000-0005-0000-0000-000021000000}"/>
    <cellStyle name="RowColSetLeftPrompt" xfId="35" xr:uid="{00000000-0005-0000-0000-000022000000}"/>
    <cellStyle name="RowColSetValue" xfId="36" xr:uid="{00000000-0005-0000-0000-000023000000}"/>
    <cellStyle name="RowLeftPrompt" xfId="37" xr:uid="{00000000-0005-0000-0000-000024000000}"/>
    <cellStyle name="SampleUsingFormatMask" xfId="38" xr:uid="{00000000-0005-0000-0000-000025000000}"/>
    <cellStyle name="SampleWithNoFormatMask" xfId="39" xr:uid="{00000000-0005-0000-0000-000026000000}"/>
    <cellStyle name="section" xfId="40" xr:uid="{00000000-0005-0000-0000-000027000000}"/>
    <cellStyle name="subhead" xfId="41" xr:uid="{00000000-0005-0000-0000-000028000000}"/>
    <cellStyle name="title" xfId="42" xr:uid="{00000000-0005-0000-0000-000029000000}"/>
    <cellStyle name="UploadThisRowValue" xfId="43" xr:uid="{00000000-0005-0000-0000-00002A000000}"/>
    <cellStyle name="_x001d__x000c_K_x0014__x000d_&gt;V_x0001_&gt;_x0014_n_x001e__x0007__x0001__x0001_" xfId="44" xr:uid="{00000000-0005-0000-0000-00002B000000}"/>
    <cellStyle name="標準" xfId="0" builtinId="0"/>
    <cellStyle name="標準 10" xfId="184" xr:uid="{EA538841-B3F7-4189-AE1D-AD4B02F64DDE}"/>
    <cellStyle name="標準 11" xfId="185" xr:uid="{9A33E0B3-3601-4446-AF7C-40986B16F916}"/>
    <cellStyle name="標準 2" xfId="45" xr:uid="{00000000-0005-0000-0000-00002D000000}"/>
    <cellStyle name="標準 2 2" xfId="161" xr:uid="{00000000-0005-0000-0000-00002E000000}"/>
    <cellStyle name="標準 2 2 2 2" xfId="181" xr:uid="{00000000-0005-0000-0000-00002F000000}"/>
    <cellStyle name="標準 2 2 3 3" xfId="180" xr:uid="{00000000-0005-0000-0000-000030000000}"/>
    <cellStyle name="標準 2 2 3 3 2" xfId="183" xr:uid="{A9F8D5FD-FFE5-47DC-8F2A-256F756463B6}"/>
    <cellStyle name="標準 2 3" xfId="163" xr:uid="{00000000-0005-0000-0000-000031000000}"/>
    <cellStyle name="標準 3" xfId="46" xr:uid="{00000000-0005-0000-0000-000032000000}"/>
    <cellStyle name="標準 4" xfId="47" xr:uid="{00000000-0005-0000-0000-000033000000}"/>
    <cellStyle name="標準 5" xfId="52" xr:uid="{00000000-0005-0000-0000-000034000000}"/>
    <cellStyle name="標準 5 2" xfId="55" xr:uid="{00000000-0005-0000-0000-000035000000}"/>
    <cellStyle name="標準 5 2 2" xfId="61" xr:uid="{00000000-0005-0000-0000-000036000000}"/>
    <cellStyle name="標準 5 2 2 2" xfId="91" xr:uid="{00000000-0005-0000-0000-000037000000}"/>
    <cellStyle name="標準 5 2 2 2 2" xfId="137" xr:uid="{00000000-0005-0000-0000-000038000000}"/>
    <cellStyle name="標準 5 2 2 3" xfId="107" xr:uid="{00000000-0005-0000-0000-000039000000}"/>
    <cellStyle name="標準 5 2 2 3 2" xfId="153" xr:uid="{00000000-0005-0000-0000-00003A000000}"/>
    <cellStyle name="標準 5 2 2 4" xfId="81" xr:uid="{00000000-0005-0000-0000-00003B000000}"/>
    <cellStyle name="標準 5 2 2 4 2" xfId="177" xr:uid="{00000000-0005-0000-0000-00003C000000}"/>
    <cellStyle name="標準 5 2 2 5" xfId="127" xr:uid="{00000000-0005-0000-0000-00003D000000}"/>
    <cellStyle name="標準 5 2 3" xfId="65" xr:uid="{00000000-0005-0000-0000-00003E000000}"/>
    <cellStyle name="標準 5 2 3 2" xfId="95" xr:uid="{00000000-0005-0000-0000-00003F000000}"/>
    <cellStyle name="標準 5 2 3 2 2" xfId="141" xr:uid="{00000000-0005-0000-0000-000040000000}"/>
    <cellStyle name="標準 5 2 3 3" xfId="111" xr:uid="{00000000-0005-0000-0000-000041000000}"/>
    <cellStyle name="標準 5 2 3 3 2" xfId="157" xr:uid="{00000000-0005-0000-0000-000042000000}"/>
    <cellStyle name="標準 5 2 3 4" xfId="75" xr:uid="{00000000-0005-0000-0000-000043000000}"/>
    <cellStyle name="標準 5 2 3 4 2" xfId="171" xr:uid="{00000000-0005-0000-0000-000044000000}"/>
    <cellStyle name="標準 5 2 3 5" xfId="121" xr:uid="{00000000-0005-0000-0000-000045000000}"/>
    <cellStyle name="標準 5 2 4" xfId="85" xr:uid="{00000000-0005-0000-0000-000046000000}"/>
    <cellStyle name="標準 5 2 4 2" xfId="131" xr:uid="{00000000-0005-0000-0000-000047000000}"/>
    <cellStyle name="標準 5 2 5" xfId="101" xr:uid="{00000000-0005-0000-0000-000048000000}"/>
    <cellStyle name="標準 5 2 5 2" xfId="147" xr:uid="{00000000-0005-0000-0000-000049000000}"/>
    <cellStyle name="標準 5 2 6" xfId="71" xr:uid="{00000000-0005-0000-0000-00004A000000}"/>
    <cellStyle name="標準 5 2 6 2" xfId="167" xr:uid="{00000000-0005-0000-0000-00004B000000}"/>
    <cellStyle name="標準 5 2 7" xfId="117" xr:uid="{00000000-0005-0000-0000-00004C000000}"/>
    <cellStyle name="標準 5 3" xfId="58" xr:uid="{00000000-0005-0000-0000-00004D000000}"/>
    <cellStyle name="標準 5 3 2" xfId="88" xr:uid="{00000000-0005-0000-0000-00004E000000}"/>
    <cellStyle name="標準 5 3 2 2" xfId="134" xr:uid="{00000000-0005-0000-0000-00004F000000}"/>
    <cellStyle name="標準 5 3 3" xfId="104" xr:uid="{00000000-0005-0000-0000-000050000000}"/>
    <cellStyle name="標準 5 3 3 2" xfId="150" xr:uid="{00000000-0005-0000-0000-000051000000}"/>
    <cellStyle name="標準 5 3 4" xfId="78" xr:uid="{00000000-0005-0000-0000-000052000000}"/>
    <cellStyle name="標準 5 3 4 2" xfId="174" xr:uid="{00000000-0005-0000-0000-000053000000}"/>
    <cellStyle name="標準 5 3 5" xfId="124" xr:uid="{00000000-0005-0000-0000-000054000000}"/>
    <cellStyle name="標準 5 4" xfId="62" xr:uid="{00000000-0005-0000-0000-000055000000}"/>
    <cellStyle name="標準 5 4 2" xfId="92" xr:uid="{00000000-0005-0000-0000-000056000000}"/>
    <cellStyle name="標準 5 4 2 2" xfId="138" xr:uid="{00000000-0005-0000-0000-000057000000}"/>
    <cellStyle name="標準 5 4 3" xfId="108" xr:uid="{00000000-0005-0000-0000-000058000000}"/>
    <cellStyle name="標準 5 4 3 2" xfId="154" xr:uid="{00000000-0005-0000-0000-000059000000}"/>
    <cellStyle name="標準 5 4 4" xfId="72" xr:uid="{00000000-0005-0000-0000-00005A000000}"/>
    <cellStyle name="標準 5 4 4 2" xfId="168" xr:uid="{00000000-0005-0000-0000-00005B000000}"/>
    <cellStyle name="標準 5 4 5" xfId="118" xr:uid="{00000000-0005-0000-0000-00005C000000}"/>
    <cellStyle name="標準 5 5" xfId="82" xr:uid="{00000000-0005-0000-0000-00005D000000}"/>
    <cellStyle name="標準 5 5 2" xfId="128" xr:uid="{00000000-0005-0000-0000-00005E000000}"/>
    <cellStyle name="標準 5 6" xfId="98" xr:uid="{00000000-0005-0000-0000-00005F000000}"/>
    <cellStyle name="標準 5 6 2" xfId="144" xr:uid="{00000000-0005-0000-0000-000060000000}"/>
    <cellStyle name="標準 5 7" xfId="68" xr:uid="{00000000-0005-0000-0000-000061000000}"/>
    <cellStyle name="標準 5 7 2" xfId="164" xr:uid="{00000000-0005-0000-0000-000062000000}"/>
    <cellStyle name="標準 5 8" xfId="114" xr:uid="{00000000-0005-0000-0000-000063000000}"/>
    <cellStyle name="標準 6" xfId="53" xr:uid="{00000000-0005-0000-0000-000064000000}"/>
    <cellStyle name="標準 6 10" xfId="182" xr:uid="{00000000-0005-0000-0000-000065000000}"/>
    <cellStyle name="標準 6 2" xfId="56" xr:uid="{00000000-0005-0000-0000-000066000000}"/>
    <cellStyle name="標準 6 2 2" xfId="66" xr:uid="{00000000-0005-0000-0000-000067000000}"/>
    <cellStyle name="標準 6 2 2 2" xfId="112" xr:uid="{00000000-0005-0000-0000-000068000000}"/>
    <cellStyle name="標準 6 2 2 2 2" xfId="158" xr:uid="{00000000-0005-0000-0000-000069000000}"/>
    <cellStyle name="標準 6 2 2 3" xfId="96" xr:uid="{00000000-0005-0000-0000-00006A000000}"/>
    <cellStyle name="標準 6 2 2 3 2" xfId="178" xr:uid="{00000000-0005-0000-0000-00006B000000}"/>
    <cellStyle name="標準 6 2 2 4" xfId="142" xr:uid="{00000000-0005-0000-0000-00006C000000}"/>
    <cellStyle name="標準 6 2 3" xfId="86" xr:uid="{00000000-0005-0000-0000-00006D000000}"/>
    <cellStyle name="標準 6 2 3 2" xfId="132" xr:uid="{00000000-0005-0000-0000-00006E000000}"/>
    <cellStyle name="標準 6 2 4" xfId="102" xr:uid="{00000000-0005-0000-0000-00006F000000}"/>
    <cellStyle name="標準 6 2 4 2" xfId="148" xr:uid="{00000000-0005-0000-0000-000070000000}"/>
    <cellStyle name="標準 6 2 5" xfId="76" xr:uid="{00000000-0005-0000-0000-000071000000}"/>
    <cellStyle name="標準 6 2 5 2" xfId="172" xr:uid="{00000000-0005-0000-0000-000072000000}"/>
    <cellStyle name="標準 6 2 6" xfId="122" xr:uid="{00000000-0005-0000-0000-000073000000}"/>
    <cellStyle name="標準 6 3" xfId="59" xr:uid="{00000000-0005-0000-0000-000074000000}"/>
    <cellStyle name="標準 6 3 2" xfId="89" xr:uid="{00000000-0005-0000-0000-000075000000}"/>
    <cellStyle name="標準 6 3 2 2" xfId="135" xr:uid="{00000000-0005-0000-0000-000076000000}"/>
    <cellStyle name="標準 6 3 3" xfId="105" xr:uid="{00000000-0005-0000-0000-000077000000}"/>
    <cellStyle name="標準 6 3 3 2" xfId="151" xr:uid="{00000000-0005-0000-0000-000078000000}"/>
    <cellStyle name="標準 6 3 4" xfId="79" xr:uid="{00000000-0005-0000-0000-000079000000}"/>
    <cellStyle name="標準 6 3 4 2" xfId="175" xr:uid="{00000000-0005-0000-0000-00007A000000}"/>
    <cellStyle name="標準 6 3 5" xfId="125" xr:uid="{00000000-0005-0000-0000-00007B000000}"/>
    <cellStyle name="標準 6 4" xfId="63" xr:uid="{00000000-0005-0000-0000-00007C000000}"/>
    <cellStyle name="標準 6 4 2" xfId="93" xr:uid="{00000000-0005-0000-0000-00007D000000}"/>
    <cellStyle name="標準 6 4 2 2" xfId="139" xr:uid="{00000000-0005-0000-0000-00007E000000}"/>
    <cellStyle name="標準 6 4 3" xfId="109" xr:uid="{00000000-0005-0000-0000-00007F000000}"/>
    <cellStyle name="標準 6 4 3 2" xfId="155" xr:uid="{00000000-0005-0000-0000-000080000000}"/>
    <cellStyle name="標準 6 4 4" xfId="73" xr:uid="{00000000-0005-0000-0000-000081000000}"/>
    <cellStyle name="標準 6 4 4 2" xfId="169" xr:uid="{00000000-0005-0000-0000-000082000000}"/>
    <cellStyle name="標準 6 4 5" xfId="119" xr:uid="{00000000-0005-0000-0000-000083000000}"/>
    <cellStyle name="標準 6 5" xfId="83" xr:uid="{00000000-0005-0000-0000-000084000000}"/>
    <cellStyle name="標準 6 5 2" xfId="129" xr:uid="{00000000-0005-0000-0000-000085000000}"/>
    <cellStyle name="標準 6 6" xfId="99" xr:uid="{00000000-0005-0000-0000-000086000000}"/>
    <cellStyle name="標準 6 6 2" xfId="145" xr:uid="{00000000-0005-0000-0000-000087000000}"/>
    <cellStyle name="標準 6 7" xfId="69" xr:uid="{00000000-0005-0000-0000-000088000000}"/>
    <cellStyle name="標準 6 7 2" xfId="165" xr:uid="{00000000-0005-0000-0000-000089000000}"/>
    <cellStyle name="標準 6 8" xfId="115" xr:uid="{00000000-0005-0000-0000-00008A000000}"/>
    <cellStyle name="標準 7" xfId="54" xr:uid="{00000000-0005-0000-0000-00008B000000}"/>
    <cellStyle name="標準 7 2" xfId="57" xr:uid="{00000000-0005-0000-0000-00008C000000}"/>
    <cellStyle name="標準 7 2 2" xfId="67" xr:uid="{00000000-0005-0000-0000-00008D000000}"/>
    <cellStyle name="標準 7 2 2 2" xfId="113" xr:uid="{00000000-0005-0000-0000-00008E000000}"/>
    <cellStyle name="標準 7 2 2 2 2" xfId="159" xr:uid="{00000000-0005-0000-0000-00008F000000}"/>
    <cellStyle name="標準 7 2 2 3" xfId="97" xr:uid="{00000000-0005-0000-0000-000090000000}"/>
    <cellStyle name="標準 7 2 2 3 2" xfId="179" xr:uid="{00000000-0005-0000-0000-000091000000}"/>
    <cellStyle name="標準 7 2 2 4" xfId="143" xr:uid="{00000000-0005-0000-0000-000092000000}"/>
    <cellStyle name="標準 7 2 3" xfId="87" xr:uid="{00000000-0005-0000-0000-000093000000}"/>
    <cellStyle name="標準 7 2 3 2" xfId="133" xr:uid="{00000000-0005-0000-0000-000094000000}"/>
    <cellStyle name="標準 7 2 4" xfId="103" xr:uid="{00000000-0005-0000-0000-000095000000}"/>
    <cellStyle name="標準 7 2 4 2" xfId="149" xr:uid="{00000000-0005-0000-0000-000096000000}"/>
    <cellStyle name="標準 7 2 5" xfId="77" xr:uid="{00000000-0005-0000-0000-000097000000}"/>
    <cellStyle name="標準 7 2 5 2" xfId="173" xr:uid="{00000000-0005-0000-0000-000098000000}"/>
    <cellStyle name="標準 7 2 6" xfId="123" xr:uid="{00000000-0005-0000-0000-000099000000}"/>
    <cellStyle name="標準 7 3" xfId="60" xr:uid="{00000000-0005-0000-0000-00009A000000}"/>
    <cellStyle name="標準 7 3 2" xfId="90" xr:uid="{00000000-0005-0000-0000-00009B000000}"/>
    <cellStyle name="標準 7 3 2 2" xfId="136" xr:uid="{00000000-0005-0000-0000-00009C000000}"/>
    <cellStyle name="標準 7 3 3" xfId="106" xr:uid="{00000000-0005-0000-0000-00009D000000}"/>
    <cellStyle name="標準 7 3 3 2" xfId="152" xr:uid="{00000000-0005-0000-0000-00009E000000}"/>
    <cellStyle name="標準 7 3 4" xfId="80" xr:uid="{00000000-0005-0000-0000-00009F000000}"/>
    <cellStyle name="標準 7 3 4 2" xfId="176" xr:uid="{00000000-0005-0000-0000-0000A0000000}"/>
    <cellStyle name="標準 7 3 5" xfId="126" xr:uid="{00000000-0005-0000-0000-0000A1000000}"/>
    <cellStyle name="標準 7 4" xfId="64" xr:uid="{00000000-0005-0000-0000-0000A2000000}"/>
    <cellStyle name="標準 7 4 2" xfId="94" xr:uid="{00000000-0005-0000-0000-0000A3000000}"/>
    <cellStyle name="標準 7 4 2 2" xfId="140" xr:uid="{00000000-0005-0000-0000-0000A4000000}"/>
    <cellStyle name="標準 7 4 3" xfId="110" xr:uid="{00000000-0005-0000-0000-0000A5000000}"/>
    <cellStyle name="標準 7 4 3 2" xfId="156" xr:uid="{00000000-0005-0000-0000-0000A6000000}"/>
    <cellStyle name="標準 7 4 4" xfId="74" xr:uid="{00000000-0005-0000-0000-0000A7000000}"/>
    <cellStyle name="標準 7 4 4 2" xfId="170" xr:uid="{00000000-0005-0000-0000-0000A8000000}"/>
    <cellStyle name="標準 7 4 5" xfId="120" xr:uid="{00000000-0005-0000-0000-0000A9000000}"/>
    <cellStyle name="標準 7 5" xfId="84" xr:uid="{00000000-0005-0000-0000-0000AA000000}"/>
    <cellStyle name="標準 7 5 2" xfId="130" xr:uid="{00000000-0005-0000-0000-0000AB000000}"/>
    <cellStyle name="標準 7 6" xfId="100" xr:uid="{00000000-0005-0000-0000-0000AC000000}"/>
    <cellStyle name="標準 7 6 2" xfId="146" xr:uid="{00000000-0005-0000-0000-0000AD000000}"/>
    <cellStyle name="標準 7 7" xfId="70" xr:uid="{00000000-0005-0000-0000-0000AE000000}"/>
    <cellStyle name="標準 7 7 2" xfId="166" xr:uid="{00000000-0005-0000-0000-0000AF000000}"/>
    <cellStyle name="標準 7 8" xfId="116" xr:uid="{00000000-0005-0000-0000-0000B0000000}"/>
    <cellStyle name="標準 8" xfId="160" xr:uid="{00000000-0005-0000-0000-0000B1000000}"/>
    <cellStyle name="標準 9" xfId="162" xr:uid="{00000000-0005-0000-0000-0000B2000000}"/>
    <cellStyle name="標準_4システム概要" xfId="48" xr:uid="{00000000-0005-0000-0000-0000B3000000}"/>
    <cellStyle name="標準_SX-XXXX_HBP0010_詳細設計(sample)_1回打合せ完了" xfId="49" xr:uid="{00000000-0005-0000-0000-0000B5000000}"/>
    <cellStyle name="標準_要件ポイント説明書一覧_rd06_20060623" xfId="50" xr:uid="{00000000-0005-0000-0000-0000B6000000}"/>
    <cellStyle name="未定義" xfId="51" xr:uid="{00000000-0005-0000-0000-0000B7000000}"/>
  </cellStyles>
  <dxfs count="4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FFFFCC"/>
      <color rgb="FF339933"/>
      <color rgb="FF99FF99"/>
      <color rgb="FFFF9900"/>
      <color rgb="FF013284"/>
      <color rgb="FF004098"/>
      <color rgb="FF333399"/>
      <color rgb="FF000099"/>
      <color rgb="FF003399"/>
      <color rgb="FF00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4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tmp"/><Relationship Id="rId2" Type="http://schemas.openxmlformats.org/officeDocument/2006/relationships/image" Target="../media/image9.emf"/><Relationship Id="rId1" Type="http://schemas.openxmlformats.org/officeDocument/2006/relationships/image" Target="../media/image8.tmp"/><Relationship Id="rId4" Type="http://schemas.openxmlformats.org/officeDocument/2006/relationships/image" Target="../media/image11.tmp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tmp"/><Relationship Id="rId2" Type="http://schemas.openxmlformats.org/officeDocument/2006/relationships/image" Target="../media/image9.emf"/><Relationship Id="rId1" Type="http://schemas.openxmlformats.org/officeDocument/2006/relationships/image" Target="../media/image8.tmp"/><Relationship Id="rId4" Type="http://schemas.openxmlformats.org/officeDocument/2006/relationships/image" Target="../media/image11.tmp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tmp"/><Relationship Id="rId2" Type="http://schemas.openxmlformats.org/officeDocument/2006/relationships/image" Target="../media/image9.emf"/><Relationship Id="rId1" Type="http://schemas.openxmlformats.org/officeDocument/2006/relationships/image" Target="../media/image8.tmp"/><Relationship Id="rId4" Type="http://schemas.openxmlformats.org/officeDocument/2006/relationships/image" Target="../media/image11.tmp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tmp"/><Relationship Id="rId2" Type="http://schemas.openxmlformats.org/officeDocument/2006/relationships/image" Target="../media/image9.emf"/><Relationship Id="rId1" Type="http://schemas.openxmlformats.org/officeDocument/2006/relationships/image" Target="../media/image8.tmp"/><Relationship Id="rId4" Type="http://schemas.openxmlformats.org/officeDocument/2006/relationships/image" Target="../media/image11.tmp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tmp"/><Relationship Id="rId2" Type="http://schemas.openxmlformats.org/officeDocument/2006/relationships/image" Target="../media/image10.tmp"/><Relationship Id="rId1" Type="http://schemas.openxmlformats.org/officeDocument/2006/relationships/image" Target="../media/image8.tmp"/><Relationship Id="rId4" Type="http://schemas.openxmlformats.org/officeDocument/2006/relationships/image" Target="../media/image9.emf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tmp"/><Relationship Id="rId2" Type="http://schemas.openxmlformats.org/officeDocument/2006/relationships/image" Target="../media/image10.tmp"/><Relationship Id="rId1" Type="http://schemas.openxmlformats.org/officeDocument/2006/relationships/image" Target="../media/image8.tmp"/><Relationship Id="rId4" Type="http://schemas.openxmlformats.org/officeDocument/2006/relationships/image" Target="../media/image9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517797</xdr:colOff>
      <xdr:row>1</xdr:row>
      <xdr:rowOff>176893</xdr:rowOff>
    </xdr:from>
    <xdr:to>
      <xdr:col>8</xdr:col>
      <xdr:colOff>190137</xdr:colOff>
      <xdr:row>18</xdr:row>
      <xdr:rowOff>138806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 bwMode="auto">
        <a:xfrm>
          <a:off x="476250" y="349250"/>
          <a:ext cx="7366000" cy="29908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271792" dir="3155679" algn="ctr" rotWithShape="0">
            <a:srgbClr val="808080">
              <a:alpha val="50000"/>
            </a:srgbClr>
          </a:outerShdw>
        </a:effectLst>
      </xdr:spPr>
      <xdr:txBody>
        <a:bodyPr vertOverflow="clip" wrap="square" lIns="54864" tIns="32004" rIns="54864" bIns="32004" anchor="ctr" upright="1"/>
        <a:lstStyle/>
        <a:p>
          <a:pPr algn="ctr" rtl="0">
            <a:lnSpc>
              <a:spcPts val="3500"/>
            </a:lnSpc>
            <a:defRPr sz="1000"/>
          </a:pPr>
          <a:endParaRPr lang="ja-JP" altLang="en-US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ヒロセ電機株式会社様</a:t>
          </a:r>
          <a:endParaRPr lang="en-US" altLang="ja-JP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販売単価上申</a:t>
          </a:r>
          <a:endParaRPr lang="ja-JP" altLang="en-US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画面設計書</a:t>
          </a:r>
          <a:endParaRPr lang="en-US" altLang="ja-JP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+mn-ea"/>
            </a:rPr>
            <a:t>画面</a:t>
          </a:r>
        </a:p>
      </xdr:txBody>
    </xdr:sp>
    <xdr:clientData/>
  </xdr:twoCellAnchor>
  <xdr:twoCellAnchor editAs="oneCell">
    <xdr:from>
      <xdr:col>0</xdr:col>
      <xdr:colOff>638175</xdr:colOff>
      <xdr:row>2</xdr:row>
      <xdr:rowOff>114300</xdr:rowOff>
    </xdr:from>
    <xdr:to>
      <xdr:col>2</xdr:col>
      <xdr:colOff>781050</xdr:colOff>
      <xdr:row>5</xdr:row>
      <xdr:rowOff>133350</xdr:rowOff>
    </xdr:to>
    <xdr:pic>
      <xdr:nvPicPr>
        <xdr:cNvPr id="82435" name="Picture 2">
          <a:extLst>
            <a:ext uri="{FF2B5EF4-FFF2-40B4-BE49-F238E27FC236}">
              <a16:creationId xmlns:a16="http://schemas.microsoft.com/office/drawing/2014/main" id="{00000000-0008-0000-0000-000003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175" y="476250"/>
          <a:ext cx="1914525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493032</xdr:colOff>
      <xdr:row>22</xdr:row>
      <xdr:rowOff>101963</xdr:rowOff>
    </xdr:from>
    <xdr:to>
      <xdr:col>5</xdr:col>
      <xdr:colOff>590008</xdr:colOff>
      <xdr:row>24</xdr:row>
      <xdr:rowOff>306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/>
        </xdr:cNvSpPr>
      </xdr:nvSpPr>
      <xdr:spPr bwMode="auto">
        <a:xfrm>
          <a:off x="3100705" y="4008120"/>
          <a:ext cx="2070856" cy="25930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文書番号：</a:t>
          </a:r>
          <a:r>
            <a:rPr lang="en-US" altLang="ja-JP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IMWF</a:t>
          </a:r>
          <a:r>
            <a:rPr lang="en-US" altLang="ja-JP" sz="1200">
              <a:effectLst/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rPr>
            <a:t>-53</a:t>
          </a:r>
          <a:endParaRPr lang="en-US" altLang="ja-JP" sz="1200" b="0" i="0" strike="noStrike">
            <a:solidFill>
              <a:srgbClr val="000000"/>
            </a:solidFill>
            <a:latin typeface="ＭＳ Ｐゴシック" panose="020B0600070205080204" pitchFamily="50" charset="-128"/>
            <a:ea typeface="ＭＳ Ｐゴシック" panose="020B0600070205080204" pitchFamily="50" charset="-128"/>
          </a:endParaRPr>
        </a:p>
      </xdr:txBody>
    </xdr:sp>
    <xdr:clientData/>
  </xdr:twoCellAnchor>
  <xdr:twoCellAnchor editAs="oneCell">
    <xdr:from>
      <xdr:col>6</xdr:col>
      <xdr:colOff>266700</xdr:colOff>
      <xdr:row>34</xdr:row>
      <xdr:rowOff>114300</xdr:rowOff>
    </xdr:from>
    <xdr:to>
      <xdr:col>8</xdr:col>
      <xdr:colOff>933450</xdr:colOff>
      <xdr:row>36</xdr:row>
      <xdr:rowOff>114300</xdr:rowOff>
    </xdr:to>
    <xdr:pic>
      <xdr:nvPicPr>
        <xdr:cNvPr id="82438" name="Picture 40" descr="logo_eimei">
          <a:extLst>
            <a:ext uri="{FF2B5EF4-FFF2-40B4-BE49-F238E27FC236}">
              <a16:creationId xmlns:a16="http://schemas.microsoft.com/office/drawing/2014/main" id="{00000000-0008-0000-0000-000006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6457950"/>
          <a:ext cx="2857500" cy="552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981075</xdr:colOff>
      <xdr:row>9</xdr:row>
      <xdr:rowOff>161925</xdr:rowOff>
    </xdr:from>
    <xdr:to>
      <xdr:col>7</xdr:col>
      <xdr:colOff>864659</xdr:colOff>
      <xdr:row>12</xdr:row>
      <xdr:rowOff>74083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E1D44607-3FC6-46B6-9C7E-8F5A047EFC1E}"/>
            </a:ext>
          </a:extLst>
        </xdr:cNvPr>
        <xdr:cNvSpPr/>
      </xdr:nvSpPr>
      <xdr:spPr>
        <a:xfrm>
          <a:off x="6038850" y="1790700"/>
          <a:ext cx="2074334" cy="455083"/>
        </a:xfrm>
        <a:prstGeom prst="rect">
          <a:avLst/>
        </a:prstGeom>
        <a:ln/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販売単価上申？間違い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9525</xdr:colOff>
      <xdr:row>2</xdr:row>
      <xdr:rowOff>76200</xdr:rowOff>
    </xdr:from>
    <xdr:to>
      <xdr:col>39</xdr:col>
      <xdr:colOff>83609</xdr:colOff>
      <xdr:row>5</xdr:row>
      <xdr:rowOff>131233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7E019001-6926-44A6-B14C-89B854E10EC2}"/>
            </a:ext>
          </a:extLst>
        </xdr:cNvPr>
        <xdr:cNvSpPr/>
      </xdr:nvSpPr>
      <xdr:spPr>
        <a:xfrm>
          <a:off x="5810250" y="400050"/>
          <a:ext cx="2074334" cy="455083"/>
        </a:xfrm>
        <a:prstGeom prst="rect">
          <a:avLst/>
        </a:prstGeom>
        <a:ln/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システム名の間違い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25400</xdr:colOff>
      <xdr:row>21</xdr:row>
      <xdr:rowOff>34925</xdr:rowOff>
    </xdr:from>
    <xdr:to>
      <xdr:col>32</xdr:col>
      <xdr:colOff>38100</xdr:colOff>
      <xdr:row>23</xdr:row>
      <xdr:rowOff>19050</xdr:rowOff>
    </xdr:to>
    <xdr:sp macro="" textlink="">
      <xdr:nvSpPr>
        <xdr:cNvPr id="21" name="正方形/長方形 20">
          <a:extLst>
            <a:ext uri="{FF2B5EF4-FFF2-40B4-BE49-F238E27FC236}">
              <a16:creationId xmlns:a16="http://schemas.microsoft.com/office/drawing/2014/main" id="{45960649-1A43-4596-B894-82034E0C469A}"/>
            </a:ext>
          </a:extLst>
        </xdr:cNvPr>
        <xdr:cNvSpPr/>
      </xdr:nvSpPr>
      <xdr:spPr>
        <a:xfrm>
          <a:off x="3644900" y="8874125"/>
          <a:ext cx="2184400" cy="307975"/>
        </a:xfrm>
        <a:prstGeom prst="rect">
          <a:avLst/>
        </a:prstGeom>
        <a:solidFill>
          <a:srgbClr val="3366CC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ja-JP" altLang="en-US" sz="8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新規申請</a:t>
          </a:r>
        </a:p>
      </xdr:txBody>
    </xdr:sp>
    <xdr:clientData/>
  </xdr:twoCellAnchor>
  <xdr:twoCellAnchor>
    <xdr:from>
      <xdr:col>39</xdr:col>
      <xdr:colOff>123826</xdr:colOff>
      <xdr:row>28</xdr:row>
      <xdr:rowOff>25402</xdr:rowOff>
    </xdr:from>
    <xdr:to>
      <xdr:col>44</xdr:col>
      <xdr:colOff>53976</xdr:colOff>
      <xdr:row>28</xdr:row>
      <xdr:rowOff>190501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E244FAF2-4865-4493-8F74-4C00097F8269}"/>
            </a:ext>
          </a:extLst>
        </xdr:cNvPr>
        <xdr:cNvSpPr/>
      </xdr:nvSpPr>
      <xdr:spPr>
        <a:xfrm>
          <a:off x="7181851" y="10055227"/>
          <a:ext cx="835025" cy="165099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CSV Downroad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39</xdr:col>
      <xdr:colOff>123826</xdr:colOff>
      <xdr:row>28</xdr:row>
      <xdr:rowOff>25402</xdr:rowOff>
    </xdr:from>
    <xdr:to>
      <xdr:col>44</xdr:col>
      <xdr:colOff>57151</xdr:colOff>
      <xdr:row>28</xdr:row>
      <xdr:rowOff>187326</xdr:rowOff>
    </xdr:to>
    <xdr:sp macro="" textlink="">
      <xdr:nvSpPr>
        <xdr:cNvPr id="23" name="正方形/長方形 22">
          <a:extLst>
            <a:ext uri="{FF2B5EF4-FFF2-40B4-BE49-F238E27FC236}">
              <a16:creationId xmlns:a16="http://schemas.microsoft.com/office/drawing/2014/main" id="{9E3026A3-B91F-493E-AE28-09061F82C3B7}"/>
            </a:ext>
          </a:extLst>
        </xdr:cNvPr>
        <xdr:cNvSpPr/>
      </xdr:nvSpPr>
      <xdr:spPr>
        <a:xfrm>
          <a:off x="7181851" y="10055227"/>
          <a:ext cx="838200" cy="161924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CSV Download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39</xdr:col>
      <xdr:colOff>120650</xdr:colOff>
      <xdr:row>29</xdr:row>
      <xdr:rowOff>28575</xdr:rowOff>
    </xdr:from>
    <xdr:to>
      <xdr:col>44</xdr:col>
      <xdr:colOff>53975</xdr:colOff>
      <xdr:row>29</xdr:row>
      <xdr:rowOff>193674</xdr:rowOff>
    </xdr:to>
    <xdr:sp macro="" textlink="">
      <xdr:nvSpPr>
        <xdr:cNvPr id="25" name="正方形/長方形 24">
          <a:extLst>
            <a:ext uri="{FF2B5EF4-FFF2-40B4-BE49-F238E27FC236}">
              <a16:creationId xmlns:a16="http://schemas.microsoft.com/office/drawing/2014/main" id="{B4533736-DCB9-47C4-82DA-EF066A52F0F8}"/>
            </a:ext>
          </a:extLst>
        </xdr:cNvPr>
        <xdr:cNvSpPr/>
      </xdr:nvSpPr>
      <xdr:spPr>
        <a:xfrm>
          <a:off x="7178675" y="5838825"/>
          <a:ext cx="838200" cy="165099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CSV Download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39</xdr:col>
      <xdr:colOff>123825</xdr:colOff>
      <xdr:row>30</xdr:row>
      <xdr:rowOff>28575</xdr:rowOff>
    </xdr:from>
    <xdr:to>
      <xdr:col>44</xdr:col>
      <xdr:colOff>57150</xdr:colOff>
      <xdr:row>30</xdr:row>
      <xdr:rowOff>193674</xdr:rowOff>
    </xdr:to>
    <xdr:sp macro="" textlink="">
      <xdr:nvSpPr>
        <xdr:cNvPr id="26" name="正方形/長方形 25">
          <a:extLst>
            <a:ext uri="{FF2B5EF4-FFF2-40B4-BE49-F238E27FC236}">
              <a16:creationId xmlns:a16="http://schemas.microsoft.com/office/drawing/2014/main" id="{98C41780-5CC6-4CDF-A075-FC094E6FE12D}"/>
            </a:ext>
          </a:extLst>
        </xdr:cNvPr>
        <xdr:cNvSpPr/>
      </xdr:nvSpPr>
      <xdr:spPr>
        <a:xfrm>
          <a:off x="7181850" y="10477500"/>
          <a:ext cx="838200" cy="165099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CSV Download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34</xdr:col>
      <xdr:colOff>168275</xdr:colOff>
      <xdr:row>29</xdr:row>
      <xdr:rowOff>44450</xdr:rowOff>
    </xdr:from>
    <xdr:to>
      <xdr:col>37</xdr:col>
      <xdr:colOff>177800</xdr:colOff>
      <xdr:row>29</xdr:row>
      <xdr:rowOff>171450</xdr:rowOff>
    </xdr:to>
    <xdr:sp macro="" textlink="">
      <xdr:nvSpPr>
        <xdr:cNvPr id="39" name="正方形/長方形 38">
          <a:extLst>
            <a:ext uri="{FF2B5EF4-FFF2-40B4-BE49-F238E27FC236}">
              <a16:creationId xmlns:a16="http://schemas.microsoft.com/office/drawing/2014/main" id="{A36BAAD1-42CE-4646-A8A5-6321F7B15EBA}"/>
            </a:ext>
          </a:extLst>
        </xdr:cNvPr>
        <xdr:cNvSpPr/>
      </xdr:nvSpPr>
      <xdr:spPr>
        <a:xfrm>
          <a:off x="6321425" y="5854700"/>
          <a:ext cx="552450" cy="127000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Downlo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9</xdr:col>
      <xdr:colOff>57149</xdr:colOff>
      <xdr:row>6</xdr:row>
      <xdr:rowOff>38099</xdr:rowOff>
    </xdr:from>
    <xdr:to>
      <xdr:col>11</xdr:col>
      <xdr:colOff>76200</xdr:colOff>
      <xdr:row>7</xdr:row>
      <xdr:rowOff>28575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682C95B8-3F7A-4DAF-8268-80394F26F700}"/>
            </a:ext>
          </a:extLst>
        </xdr:cNvPr>
        <xdr:cNvSpPr/>
      </xdr:nvSpPr>
      <xdr:spPr>
        <a:xfrm>
          <a:off x="1685924" y="1952624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4</xdr:col>
      <xdr:colOff>38100</xdr:colOff>
      <xdr:row>7</xdr:row>
      <xdr:rowOff>101600</xdr:rowOff>
    </xdr:from>
    <xdr:to>
      <xdr:col>10</xdr:col>
      <xdr:colOff>142875</xdr:colOff>
      <xdr:row>8</xdr:row>
      <xdr:rowOff>238125</xdr:rowOff>
    </xdr:to>
    <xdr:sp macro="" textlink="">
      <xdr:nvSpPr>
        <xdr:cNvPr id="3" name="線吹き出し 1 (枠付き) 12">
          <a:extLst>
            <a:ext uri="{FF2B5EF4-FFF2-40B4-BE49-F238E27FC236}">
              <a16:creationId xmlns:a16="http://schemas.microsoft.com/office/drawing/2014/main" id="{FC62FF29-570F-4F9B-9C2F-47B0304FC114}"/>
            </a:ext>
          </a:extLst>
        </xdr:cNvPr>
        <xdr:cNvSpPr/>
      </xdr:nvSpPr>
      <xdr:spPr>
        <a:xfrm>
          <a:off x="762000" y="2263775"/>
          <a:ext cx="1190625" cy="298450"/>
        </a:xfrm>
        <a:prstGeom prst="borderCallout1">
          <a:avLst>
            <a:gd name="adj1" fmla="val -4247"/>
            <a:gd name="adj2" fmla="val 28737"/>
            <a:gd name="adj3" fmla="val -21310"/>
            <a:gd name="adj4" fmla="val 882"/>
          </a:avLst>
        </a:prstGeom>
        <a:solidFill>
          <a:schemeClr val="accent3">
            <a:lumMod val="40000"/>
            <a:lumOff val="60000"/>
          </a:schemeClr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．パンくずリストエリア</a:t>
          </a:r>
        </a:p>
      </xdr:txBody>
    </xdr:sp>
    <xdr:clientData/>
  </xdr:twoCellAnchor>
  <xdr:twoCellAnchor>
    <xdr:from>
      <xdr:col>6</xdr:col>
      <xdr:colOff>57150</xdr:colOff>
      <xdr:row>9</xdr:row>
      <xdr:rowOff>47626</xdr:rowOff>
    </xdr:from>
    <xdr:to>
      <xdr:col>45</xdr:col>
      <xdr:colOff>95251</xdr:colOff>
      <xdr:row>20</xdr:row>
      <xdr:rowOff>63501</xdr:rowOff>
    </xdr:to>
    <xdr:sp macro="" textlink="">
      <xdr:nvSpPr>
        <xdr:cNvPr id="4" name="角丸四角形 78">
          <a:extLst>
            <a:ext uri="{FF2B5EF4-FFF2-40B4-BE49-F238E27FC236}">
              <a16:creationId xmlns:a16="http://schemas.microsoft.com/office/drawing/2014/main" id="{AD7D8E7A-5358-4FF6-AC73-22AB784C8774}"/>
            </a:ext>
          </a:extLst>
        </xdr:cNvPr>
        <xdr:cNvSpPr/>
      </xdr:nvSpPr>
      <xdr:spPr>
        <a:xfrm>
          <a:off x="1143000" y="2676526"/>
          <a:ext cx="7096126" cy="1625600"/>
        </a:xfrm>
        <a:prstGeom prst="roundRect">
          <a:avLst/>
        </a:prstGeom>
        <a:noFill/>
        <a:ln w="63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82551</xdr:colOff>
      <xdr:row>10</xdr:row>
      <xdr:rowOff>136524</xdr:rowOff>
    </xdr:from>
    <xdr:to>
      <xdr:col>6</xdr:col>
      <xdr:colOff>9525</xdr:colOff>
      <xdr:row>12</xdr:row>
      <xdr:rowOff>88899</xdr:rowOff>
    </xdr:to>
    <xdr:sp macro="" textlink="">
      <xdr:nvSpPr>
        <xdr:cNvPr id="6" name="線吹き出し 1 (枠付き) 12">
          <a:extLst>
            <a:ext uri="{FF2B5EF4-FFF2-40B4-BE49-F238E27FC236}">
              <a16:creationId xmlns:a16="http://schemas.microsoft.com/office/drawing/2014/main" id="{069539BB-2449-420F-931B-F20666D103D2}"/>
            </a:ext>
          </a:extLst>
        </xdr:cNvPr>
        <xdr:cNvSpPr/>
      </xdr:nvSpPr>
      <xdr:spPr>
        <a:xfrm>
          <a:off x="82551" y="2917824"/>
          <a:ext cx="1012824" cy="276225"/>
        </a:xfrm>
        <a:prstGeom prst="borderCallout1">
          <a:avLst>
            <a:gd name="adj1" fmla="val 106098"/>
            <a:gd name="adj2" fmla="val 82511"/>
            <a:gd name="adj3" fmla="val 154552"/>
            <a:gd name="adj4" fmla="val 99628"/>
          </a:avLst>
        </a:prstGeom>
        <a:solidFill>
          <a:schemeClr val="accent3">
            <a:lumMod val="40000"/>
            <a:lumOff val="60000"/>
          </a:schemeClr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．お知らせエリア</a:t>
          </a:r>
        </a:p>
      </xdr:txBody>
    </xdr:sp>
    <xdr:clientData/>
  </xdr:twoCellAnchor>
  <xdr:twoCellAnchor>
    <xdr:from>
      <xdr:col>10</xdr:col>
      <xdr:colOff>152401</xdr:colOff>
      <xdr:row>9</xdr:row>
      <xdr:rowOff>19050</xdr:rowOff>
    </xdr:from>
    <xdr:to>
      <xdr:col>12</xdr:col>
      <xdr:colOff>171451</xdr:colOff>
      <xdr:row>10</xdr:row>
      <xdr:rowOff>114300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CC7EFC30-8103-490A-97C8-B319021AA3FA}"/>
            </a:ext>
          </a:extLst>
        </xdr:cNvPr>
        <xdr:cNvSpPr/>
      </xdr:nvSpPr>
      <xdr:spPr>
        <a:xfrm>
          <a:off x="1962151" y="2647950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5</xdr:col>
      <xdr:colOff>57150</xdr:colOff>
      <xdr:row>23</xdr:row>
      <xdr:rowOff>38100</xdr:rowOff>
    </xdr:from>
    <xdr:to>
      <xdr:col>7</xdr:col>
      <xdr:colOff>76200</xdr:colOff>
      <xdr:row>24</xdr:row>
      <xdr:rowOff>120650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06C09C63-7416-4DF5-9E9C-E2D40D8AEEC4}"/>
            </a:ext>
          </a:extLst>
        </xdr:cNvPr>
        <xdr:cNvSpPr/>
      </xdr:nvSpPr>
      <xdr:spPr>
        <a:xfrm>
          <a:off x="962025" y="4762500"/>
          <a:ext cx="381000" cy="2444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25</xdr:col>
      <xdr:colOff>28575</xdr:colOff>
      <xdr:row>25</xdr:row>
      <xdr:rowOff>63500</xdr:rowOff>
    </xdr:from>
    <xdr:to>
      <xdr:col>26</xdr:col>
      <xdr:colOff>158750</xdr:colOff>
      <xdr:row>26</xdr:row>
      <xdr:rowOff>76200</xdr:rowOff>
    </xdr:to>
    <xdr:grpSp>
      <xdr:nvGrpSpPr>
        <xdr:cNvPr id="13" name="グループ化 12">
          <a:extLst>
            <a:ext uri="{FF2B5EF4-FFF2-40B4-BE49-F238E27FC236}">
              <a16:creationId xmlns:a16="http://schemas.microsoft.com/office/drawing/2014/main" id="{38490A57-9572-98D8-0BEE-A66856CEB8A6}"/>
            </a:ext>
          </a:extLst>
        </xdr:cNvPr>
        <xdr:cNvGrpSpPr/>
      </xdr:nvGrpSpPr>
      <xdr:grpSpPr>
        <a:xfrm>
          <a:off x="5055658" y="4201583"/>
          <a:ext cx="331259" cy="160867"/>
          <a:chOff x="4552950" y="5273675"/>
          <a:chExt cx="311150" cy="174625"/>
        </a:xfrm>
      </xdr:grpSpPr>
      <xdr:sp macro="" textlink="">
        <xdr:nvSpPr>
          <xdr:cNvPr id="11" name="正方形/長方形 10">
            <a:extLst>
              <a:ext uri="{FF2B5EF4-FFF2-40B4-BE49-F238E27FC236}">
                <a16:creationId xmlns:a16="http://schemas.microsoft.com/office/drawing/2014/main" id="{8BD17010-2271-BD5B-940A-83128629A0FB}"/>
              </a:ext>
            </a:extLst>
          </xdr:cNvPr>
          <xdr:cNvSpPr/>
        </xdr:nvSpPr>
        <xdr:spPr>
          <a:xfrm>
            <a:off x="4552950" y="5273675"/>
            <a:ext cx="152400" cy="174625"/>
          </a:xfrm>
          <a:prstGeom prst="rect">
            <a:avLst/>
          </a:prstGeom>
          <a:solidFill>
            <a:schemeClr val="bg1">
              <a:lumMod val="95000"/>
            </a:schemeClr>
          </a:solidFill>
          <a:ln w="12700">
            <a:solidFill>
              <a:schemeClr val="bg1">
                <a:lumMod val="75000"/>
              </a:schemeClr>
            </a:solidFill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lIns="36000" tIns="36000" rIns="36000" bIns="36000" rtlCol="0" anchor="t"/>
          <a:lstStyle/>
          <a:p>
            <a:pPr algn="ctr">
              <a:lnSpc>
                <a:spcPts val="900"/>
              </a:lnSpc>
            </a:pPr>
            <a:r>
              <a:rPr kumimoji="1" lang="en-US" altLang="ja-JP" sz="700">
                <a:solidFill>
                  <a:schemeClr val="bg1">
                    <a:lumMod val="50000"/>
                  </a:schemeClr>
                </a:solidFill>
              </a:rPr>
              <a:t>1</a:t>
            </a:r>
            <a:endParaRPr kumimoji="1" lang="ja-JP" altLang="en-US" sz="800">
              <a:solidFill>
                <a:schemeClr val="bg1">
                  <a:lumMod val="50000"/>
                </a:schemeClr>
              </a:solidFill>
            </a:endParaRPr>
          </a:p>
        </xdr:txBody>
      </xdr:sp>
      <xdr:sp macro="" textlink="">
        <xdr:nvSpPr>
          <xdr:cNvPr id="12" name="正方形/長方形 11">
            <a:extLst>
              <a:ext uri="{FF2B5EF4-FFF2-40B4-BE49-F238E27FC236}">
                <a16:creationId xmlns:a16="http://schemas.microsoft.com/office/drawing/2014/main" id="{7E8B84D2-E273-4C04-8B59-70222FE6AF5C}"/>
              </a:ext>
            </a:extLst>
          </xdr:cNvPr>
          <xdr:cNvSpPr/>
        </xdr:nvSpPr>
        <xdr:spPr>
          <a:xfrm>
            <a:off x="4711700" y="5273675"/>
            <a:ext cx="152400" cy="171450"/>
          </a:xfrm>
          <a:prstGeom prst="rect">
            <a:avLst/>
          </a:prstGeom>
          <a:noFill/>
          <a:ln w="12700">
            <a:solidFill>
              <a:schemeClr val="bg1">
                <a:lumMod val="75000"/>
              </a:schemeClr>
            </a:solidFill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lIns="36000" tIns="36000" rIns="36000" bIns="36000" rtlCol="0" anchor="t"/>
          <a:lstStyle/>
          <a:p>
            <a:pPr algn="ctr">
              <a:lnSpc>
                <a:spcPts val="900"/>
              </a:lnSpc>
            </a:pPr>
            <a:r>
              <a:rPr kumimoji="1" lang="en-US" altLang="ja-JP" sz="700">
                <a:solidFill>
                  <a:srgbClr val="00B0F0"/>
                </a:solidFill>
              </a:rPr>
              <a:t>2</a:t>
            </a:r>
            <a:endParaRPr kumimoji="1" lang="ja-JP" altLang="en-US" sz="8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27</xdr:col>
      <xdr:colOff>44451</xdr:colOff>
      <xdr:row>25</xdr:row>
      <xdr:rowOff>111125</xdr:rowOff>
    </xdr:from>
    <xdr:to>
      <xdr:col>32</xdr:col>
      <xdr:colOff>66676</xdr:colOff>
      <xdr:row>26</xdr:row>
      <xdr:rowOff>44450</xdr:rowOff>
    </xdr:to>
    <xdr:sp macro="" textlink="">
      <xdr:nvSpPr>
        <xdr:cNvPr id="14" name="四角形: 角を丸くする 13">
          <a:extLst>
            <a:ext uri="{FF2B5EF4-FFF2-40B4-BE49-F238E27FC236}">
              <a16:creationId xmlns:a16="http://schemas.microsoft.com/office/drawing/2014/main" id="{23F5DFA7-7091-05A6-41F4-A9D11AD80470}"/>
            </a:ext>
          </a:extLst>
        </xdr:cNvPr>
        <xdr:cNvSpPr/>
      </xdr:nvSpPr>
      <xdr:spPr>
        <a:xfrm>
          <a:off x="4930776" y="5321300"/>
          <a:ext cx="927100" cy="95250"/>
        </a:xfrm>
        <a:prstGeom prst="roundRect">
          <a:avLst/>
        </a:prstGeom>
        <a:solidFill>
          <a:schemeClr val="bg1">
            <a:lumMod val="75000"/>
          </a:schemeClr>
        </a:solidFill>
        <a:ln w="12700">
          <a:noFill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800">
              <a:solidFill>
                <a:schemeClr val="bg1"/>
              </a:solidFill>
            </a:rPr>
            <a:t>104</a:t>
          </a:r>
          <a:r>
            <a:rPr kumimoji="1" lang="ja-JP" altLang="en-US" sz="800">
              <a:solidFill>
                <a:schemeClr val="bg1"/>
              </a:solidFill>
            </a:rPr>
            <a:t>件（</a:t>
          </a:r>
          <a:r>
            <a:rPr kumimoji="1" lang="en-US" altLang="ja-JP" sz="800">
              <a:solidFill>
                <a:schemeClr val="bg1"/>
              </a:solidFill>
            </a:rPr>
            <a:t>2</a:t>
          </a:r>
          <a:r>
            <a:rPr kumimoji="1" lang="ja-JP" altLang="en-US" sz="800">
              <a:solidFill>
                <a:schemeClr val="bg1"/>
              </a:solidFill>
            </a:rPr>
            <a:t>ページ）</a:t>
          </a:r>
        </a:p>
      </xdr:txBody>
    </xdr:sp>
    <xdr:clientData/>
  </xdr:twoCellAnchor>
  <xdr:twoCellAnchor>
    <xdr:from>
      <xdr:col>26</xdr:col>
      <xdr:colOff>161925</xdr:colOff>
      <xdr:row>24</xdr:row>
      <xdr:rowOff>161925</xdr:rowOff>
    </xdr:from>
    <xdr:to>
      <xdr:col>29</xdr:col>
      <xdr:colOff>0</xdr:colOff>
      <xdr:row>25</xdr:row>
      <xdr:rowOff>85725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AC9992FF-6008-46BC-BD6C-62BE302AD814}"/>
            </a:ext>
          </a:extLst>
        </xdr:cNvPr>
        <xdr:cNvSpPr/>
      </xdr:nvSpPr>
      <xdr:spPr>
        <a:xfrm>
          <a:off x="4867275" y="5048250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8</xdr:col>
      <xdr:colOff>66675</xdr:colOff>
      <xdr:row>25</xdr:row>
      <xdr:rowOff>76200</xdr:rowOff>
    </xdr:from>
    <xdr:to>
      <xdr:col>10</xdr:col>
      <xdr:colOff>92075</xdr:colOff>
      <xdr:row>26</xdr:row>
      <xdr:rowOff>158750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8941C2CE-BAA3-40AF-AE4F-B2749E5A2AAF}"/>
            </a:ext>
          </a:extLst>
        </xdr:cNvPr>
        <xdr:cNvSpPr/>
      </xdr:nvSpPr>
      <xdr:spPr>
        <a:xfrm>
          <a:off x="1514475" y="5286375"/>
          <a:ext cx="387350" cy="2444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</xdr:col>
      <xdr:colOff>152400</xdr:colOff>
      <xdr:row>26</xdr:row>
      <xdr:rowOff>85725</xdr:rowOff>
    </xdr:from>
    <xdr:to>
      <xdr:col>5</xdr:col>
      <xdr:colOff>177800</xdr:colOff>
      <xdr:row>27</xdr:row>
      <xdr:rowOff>168275</xdr:rowOff>
    </xdr:to>
    <xdr:sp macro="" textlink="">
      <xdr:nvSpPr>
        <xdr:cNvPr id="24" name="正方形/長方形 23">
          <a:extLst>
            <a:ext uri="{FF2B5EF4-FFF2-40B4-BE49-F238E27FC236}">
              <a16:creationId xmlns:a16="http://schemas.microsoft.com/office/drawing/2014/main" id="{5198CC00-66E3-468D-914A-A588DBA18BBF}"/>
            </a:ext>
          </a:extLst>
        </xdr:cNvPr>
        <xdr:cNvSpPr/>
      </xdr:nvSpPr>
      <xdr:spPr>
        <a:xfrm>
          <a:off x="695325" y="5457825"/>
          <a:ext cx="387350" cy="2444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25</xdr:col>
      <xdr:colOff>171450</xdr:colOff>
      <xdr:row>26</xdr:row>
      <xdr:rowOff>123825</xdr:rowOff>
    </xdr:from>
    <xdr:to>
      <xdr:col>28</xdr:col>
      <xdr:colOff>15875</xdr:colOff>
      <xdr:row>27</xdr:row>
      <xdr:rowOff>206375</xdr:rowOff>
    </xdr:to>
    <xdr:sp macro="" textlink="">
      <xdr:nvSpPr>
        <xdr:cNvPr id="27" name="正方形/長方形 26">
          <a:extLst>
            <a:ext uri="{FF2B5EF4-FFF2-40B4-BE49-F238E27FC236}">
              <a16:creationId xmlns:a16="http://schemas.microsoft.com/office/drawing/2014/main" id="{7F932BE3-50E2-41C6-A02B-2AC798F1607A}"/>
            </a:ext>
          </a:extLst>
        </xdr:cNvPr>
        <xdr:cNvSpPr/>
      </xdr:nvSpPr>
      <xdr:spPr>
        <a:xfrm>
          <a:off x="4695825" y="5495925"/>
          <a:ext cx="387350" cy="2444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3.8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22</xdr:col>
      <xdr:colOff>38100</xdr:colOff>
      <xdr:row>25</xdr:row>
      <xdr:rowOff>104775</xdr:rowOff>
    </xdr:from>
    <xdr:to>
      <xdr:col>24</xdr:col>
      <xdr:colOff>63500</xdr:colOff>
      <xdr:row>27</xdr:row>
      <xdr:rowOff>25400</xdr:rowOff>
    </xdr:to>
    <xdr:sp macro="" textlink="">
      <xdr:nvSpPr>
        <xdr:cNvPr id="28" name="正方形/長方形 27">
          <a:extLst>
            <a:ext uri="{FF2B5EF4-FFF2-40B4-BE49-F238E27FC236}">
              <a16:creationId xmlns:a16="http://schemas.microsoft.com/office/drawing/2014/main" id="{8B31666B-A14E-43C8-A49B-E9F2E813249D}"/>
            </a:ext>
          </a:extLst>
        </xdr:cNvPr>
        <xdr:cNvSpPr/>
      </xdr:nvSpPr>
      <xdr:spPr>
        <a:xfrm>
          <a:off x="4019550" y="5314950"/>
          <a:ext cx="387350" cy="2444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3.7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13</xdr:col>
      <xdr:colOff>28575</xdr:colOff>
      <xdr:row>25</xdr:row>
      <xdr:rowOff>95250</xdr:rowOff>
    </xdr:from>
    <xdr:to>
      <xdr:col>15</xdr:col>
      <xdr:colOff>53975</xdr:colOff>
      <xdr:row>27</xdr:row>
      <xdr:rowOff>15875</xdr:rowOff>
    </xdr:to>
    <xdr:sp macro="" textlink="">
      <xdr:nvSpPr>
        <xdr:cNvPr id="29" name="正方形/長方形 28">
          <a:extLst>
            <a:ext uri="{FF2B5EF4-FFF2-40B4-BE49-F238E27FC236}">
              <a16:creationId xmlns:a16="http://schemas.microsoft.com/office/drawing/2014/main" id="{036F528C-3FF1-4856-9B53-2FD09A2F72C7}"/>
            </a:ext>
          </a:extLst>
        </xdr:cNvPr>
        <xdr:cNvSpPr/>
      </xdr:nvSpPr>
      <xdr:spPr>
        <a:xfrm>
          <a:off x="2381250" y="5305425"/>
          <a:ext cx="387350" cy="2444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3.5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35</xdr:col>
      <xdr:colOff>34925</xdr:colOff>
      <xdr:row>25</xdr:row>
      <xdr:rowOff>130175</xdr:rowOff>
    </xdr:from>
    <xdr:to>
      <xdr:col>37</xdr:col>
      <xdr:colOff>120650</xdr:colOff>
      <xdr:row>27</xdr:row>
      <xdr:rowOff>53975</xdr:rowOff>
    </xdr:to>
    <xdr:sp macro="" textlink="">
      <xdr:nvSpPr>
        <xdr:cNvPr id="30" name="正方形/長方形 29">
          <a:extLst>
            <a:ext uri="{FF2B5EF4-FFF2-40B4-BE49-F238E27FC236}">
              <a16:creationId xmlns:a16="http://schemas.microsoft.com/office/drawing/2014/main" id="{A16D4BA5-45E3-42A8-AE60-842E988A453D}"/>
            </a:ext>
          </a:extLst>
        </xdr:cNvPr>
        <xdr:cNvSpPr/>
      </xdr:nvSpPr>
      <xdr:spPr>
        <a:xfrm>
          <a:off x="6369050" y="5340350"/>
          <a:ext cx="447675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3.10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31</xdr:col>
      <xdr:colOff>47625</xdr:colOff>
      <xdr:row>26</xdr:row>
      <xdr:rowOff>95250</xdr:rowOff>
    </xdr:from>
    <xdr:to>
      <xdr:col>33</xdr:col>
      <xdr:colOff>76200</xdr:colOff>
      <xdr:row>27</xdr:row>
      <xdr:rowOff>180975</xdr:rowOff>
    </xdr:to>
    <xdr:sp macro="" textlink="">
      <xdr:nvSpPr>
        <xdr:cNvPr id="32" name="正方形/長方形 31">
          <a:extLst>
            <a:ext uri="{FF2B5EF4-FFF2-40B4-BE49-F238E27FC236}">
              <a16:creationId xmlns:a16="http://schemas.microsoft.com/office/drawing/2014/main" id="{C5486853-0311-4E71-9617-C79F7F446811}"/>
            </a:ext>
          </a:extLst>
        </xdr:cNvPr>
        <xdr:cNvSpPr/>
      </xdr:nvSpPr>
      <xdr:spPr>
        <a:xfrm>
          <a:off x="5657850" y="5467350"/>
          <a:ext cx="390525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3.9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18</xdr:col>
      <xdr:colOff>47626</xdr:colOff>
      <xdr:row>25</xdr:row>
      <xdr:rowOff>123824</xdr:rowOff>
    </xdr:from>
    <xdr:to>
      <xdr:col>20</xdr:col>
      <xdr:colOff>66676</xdr:colOff>
      <xdr:row>27</xdr:row>
      <xdr:rowOff>19049</xdr:rowOff>
    </xdr:to>
    <xdr:sp macro="" textlink="">
      <xdr:nvSpPr>
        <xdr:cNvPr id="38" name="正方形/長方形 37">
          <a:extLst>
            <a:ext uri="{FF2B5EF4-FFF2-40B4-BE49-F238E27FC236}">
              <a16:creationId xmlns:a16="http://schemas.microsoft.com/office/drawing/2014/main" id="{2F3E1689-D4C4-48A4-8632-2202D1CCE2F5}"/>
            </a:ext>
          </a:extLst>
        </xdr:cNvPr>
        <xdr:cNvSpPr/>
      </xdr:nvSpPr>
      <xdr:spPr>
        <a:xfrm>
          <a:off x="3305176" y="5333999"/>
          <a:ext cx="381000" cy="2190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3.6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6</xdr:col>
      <xdr:colOff>76200</xdr:colOff>
      <xdr:row>26</xdr:row>
      <xdr:rowOff>123824</xdr:rowOff>
    </xdr:from>
    <xdr:to>
      <xdr:col>45</xdr:col>
      <xdr:colOff>130176</xdr:colOff>
      <xdr:row>31</xdr:row>
      <xdr:rowOff>38099</xdr:rowOff>
    </xdr:to>
    <xdr:sp macro="" textlink="">
      <xdr:nvSpPr>
        <xdr:cNvPr id="44" name="角丸四角形 78">
          <a:extLst>
            <a:ext uri="{FF2B5EF4-FFF2-40B4-BE49-F238E27FC236}">
              <a16:creationId xmlns:a16="http://schemas.microsoft.com/office/drawing/2014/main" id="{C3ECA2FB-FD21-49F7-80AF-AC2B264A8B31}"/>
            </a:ext>
          </a:extLst>
        </xdr:cNvPr>
        <xdr:cNvSpPr/>
      </xdr:nvSpPr>
      <xdr:spPr>
        <a:xfrm>
          <a:off x="1162050" y="5495924"/>
          <a:ext cx="7112001" cy="923925"/>
        </a:xfrm>
        <a:prstGeom prst="roundRect">
          <a:avLst/>
        </a:prstGeom>
        <a:noFill/>
        <a:ln w="63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40</xdr:col>
      <xdr:colOff>104775</xdr:colOff>
      <xdr:row>25</xdr:row>
      <xdr:rowOff>104775</xdr:rowOff>
    </xdr:from>
    <xdr:to>
      <xdr:col>43</xdr:col>
      <xdr:colOff>9525</xdr:colOff>
      <xdr:row>27</xdr:row>
      <xdr:rowOff>25400</xdr:rowOff>
    </xdr:to>
    <xdr:sp macro="" textlink="">
      <xdr:nvSpPr>
        <xdr:cNvPr id="45" name="正方形/長方形 44">
          <a:extLst>
            <a:ext uri="{FF2B5EF4-FFF2-40B4-BE49-F238E27FC236}">
              <a16:creationId xmlns:a16="http://schemas.microsoft.com/office/drawing/2014/main" id="{1FAB7DE3-0884-428B-8428-BD4F5041522D}"/>
            </a:ext>
          </a:extLst>
        </xdr:cNvPr>
        <xdr:cNvSpPr/>
      </xdr:nvSpPr>
      <xdr:spPr>
        <a:xfrm>
          <a:off x="7343775" y="5314950"/>
          <a:ext cx="447675" cy="2444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3.11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18</xdr:col>
      <xdr:colOff>85725</xdr:colOff>
      <xdr:row>21</xdr:row>
      <xdr:rowOff>9525</xdr:rowOff>
    </xdr:from>
    <xdr:to>
      <xdr:col>20</xdr:col>
      <xdr:colOff>168275</xdr:colOff>
      <xdr:row>22</xdr:row>
      <xdr:rowOff>95250</xdr:rowOff>
    </xdr:to>
    <xdr:sp macro="" textlink="">
      <xdr:nvSpPr>
        <xdr:cNvPr id="46" name="正方形/長方形 45">
          <a:extLst>
            <a:ext uri="{FF2B5EF4-FFF2-40B4-BE49-F238E27FC236}">
              <a16:creationId xmlns:a16="http://schemas.microsoft.com/office/drawing/2014/main" id="{E75D4296-E4B2-47BC-8503-198ED1F940CC}"/>
            </a:ext>
          </a:extLst>
        </xdr:cNvPr>
        <xdr:cNvSpPr/>
      </xdr:nvSpPr>
      <xdr:spPr>
        <a:xfrm>
          <a:off x="3343275" y="4410075"/>
          <a:ext cx="4445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3.12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0</xdr:col>
      <xdr:colOff>0</xdr:colOff>
      <xdr:row>34</xdr:row>
      <xdr:rowOff>85725</xdr:rowOff>
    </xdr:from>
    <xdr:to>
      <xdr:col>10</xdr:col>
      <xdr:colOff>19050</xdr:colOff>
      <xdr:row>35</xdr:row>
      <xdr:rowOff>171450</xdr:rowOff>
    </xdr:to>
    <xdr:sp macro="" textlink="">
      <xdr:nvSpPr>
        <xdr:cNvPr id="47" name="線吹き出し 1 (枠付き) 12">
          <a:extLst>
            <a:ext uri="{FF2B5EF4-FFF2-40B4-BE49-F238E27FC236}">
              <a16:creationId xmlns:a16="http://schemas.microsoft.com/office/drawing/2014/main" id="{885C00E9-63CB-41AA-AA59-B127A260CF72}"/>
            </a:ext>
          </a:extLst>
        </xdr:cNvPr>
        <xdr:cNvSpPr/>
      </xdr:nvSpPr>
      <xdr:spPr>
        <a:xfrm>
          <a:off x="0" y="8743950"/>
          <a:ext cx="1828800" cy="276225"/>
        </a:xfrm>
        <a:prstGeom prst="borderCallout1">
          <a:avLst>
            <a:gd name="adj1" fmla="val 112916"/>
            <a:gd name="adj2" fmla="val 7511"/>
            <a:gd name="adj3" fmla="val 161448"/>
            <a:gd name="adj4" fmla="val 8482"/>
          </a:avLst>
        </a:prstGeom>
        <a:solidFill>
          <a:schemeClr val="accent3">
            <a:lumMod val="40000"/>
            <a:lumOff val="60000"/>
          </a:schemeClr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．申請ドキュメント</a:t>
          </a:r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CSV(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イメージ</a:t>
          </a:r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)</a:t>
          </a:r>
          <a:endParaRPr kumimoji="1" lang="ja-JP" altLang="en-US" sz="9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21</xdr:col>
      <xdr:colOff>38099</xdr:colOff>
      <xdr:row>36</xdr:row>
      <xdr:rowOff>76198</xdr:rowOff>
    </xdr:from>
    <xdr:to>
      <xdr:col>48</xdr:col>
      <xdr:colOff>161924</xdr:colOff>
      <xdr:row>36</xdr:row>
      <xdr:rowOff>152399</xdr:rowOff>
    </xdr:to>
    <xdr:sp macro="" textlink="">
      <xdr:nvSpPr>
        <xdr:cNvPr id="48" name="右大かっこ 47">
          <a:extLst>
            <a:ext uri="{FF2B5EF4-FFF2-40B4-BE49-F238E27FC236}">
              <a16:creationId xmlns:a16="http://schemas.microsoft.com/office/drawing/2014/main" id="{5A7C186D-29E7-44AD-8A66-670896A91155}"/>
            </a:ext>
          </a:extLst>
        </xdr:cNvPr>
        <xdr:cNvSpPr/>
      </xdr:nvSpPr>
      <xdr:spPr>
        <a:xfrm rot="5400000" flipH="1">
          <a:off x="6305548" y="6648449"/>
          <a:ext cx="76201" cy="50101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endParaRPr lang="ja-JP" altLang="en-US"/>
        </a:p>
      </xdr:txBody>
    </xdr:sp>
    <xdr:clientData/>
  </xdr:twoCellAnchor>
  <xdr:twoCellAnchor>
    <xdr:from>
      <xdr:col>2</xdr:col>
      <xdr:colOff>57150</xdr:colOff>
      <xdr:row>36</xdr:row>
      <xdr:rowOff>66675</xdr:rowOff>
    </xdr:from>
    <xdr:to>
      <xdr:col>4</xdr:col>
      <xdr:colOff>114300</xdr:colOff>
      <xdr:row>37</xdr:row>
      <xdr:rowOff>104775</xdr:rowOff>
    </xdr:to>
    <xdr:sp macro="" textlink="">
      <xdr:nvSpPr>
        <xdr:cNvPr id="49" name="正方形/長方形 48">
          <a:extLst>
            <a:ext uri="{FF2B5EF4-FFF2-40B4-BE49-F238E27FC236}">
              <a16:creationId xmlns:a16="http://schemas.microsoft.com/office/drawing/2014/main" id="{D687D3FB-87ED-4377-BE7C-2352A8B26BAF}"/>
            </a:ext>
          </a:extLst>
        </xdr:cNvPr>
        <xdr:cNvSpPr/>
      </xdr:nvSpPr>
      <xdr:spPr>
        <a:xfrm>
          <a:off x="419100" y="9105900"/>
          <a:ext cx="419100" cy="2286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34</xdr:col>
      <xdr:colOff>0</xdr:colOff>
      <xdr:row>35</xdr:row>
      <xdr:rowOff>6350</xdr:rowOff>
    </xdr:from>
    <xdr:to>
      <xdr:col>36</xdr:col>
      <xdr:colOff>57150</xdr:colOff>
      <xdr:row>36</xdr:row>
      <xdr:rowOff>44450</xdr:rowOff>
    </xdr:to>
    <xdr:sp macro="" textlink="">
      <xdr:nvSpPr>
        <xdr:cNvPr id="50" name="正方形/長方形 49">
          <a:extLst>
            <a:ext uri="{FF2B5EF4-FFF2-40B4-BE49-F238E27FC236}">
              <a16:creationId xmlns:a16="http://schemas.microsoft.com/office/drawing/2014/main" id="{37898F72-FDB9-49A0-ACF1-60B51919F264}"/>
            </a:ext>
          </a:extLst>
        </xdr:cNvPr>
        <xdr:cNvSpPr/>
      </xdr:nvSpPr>
      <xdr:spPr>
        <a:xfrm>
          <a:off x="6153150" y="8855075"/>
          <a:ext cx="419100" cy="2286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4.6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17</xdr:col>
      <xdr:colOff>152400</xdr:colOff>
      <xdr:row>36</xdr:row>
      <xdr:rowOff>15875</xdr:rowOff>
    </xdr:from>
    <xdr:to>
      <xdr:col>20</xdr:col>
      <xdr:colOff>28575</xdr:colOff>
      <xdr:row>37</xdr:row>
      <xdr:rowOff>53975</xdr:rowOff>
    </xdr:to>
    <xdr:sp macro="" textlink="">
      <xdr:nvSpPr>
        <xdr:cNvPr id="51" name="正方形/長方形 50">
          <a:extLst>
            <a:ext uri="{FF2B5EF4-FFF2-40B4-BE49-F238E27FC236}">
              <a16:creationId xmlns:a16="http://schemas.microsoft.com/office/drawing/2014/main" id="{12AE1362-8925-4D33-8390-B55A79975C28}"/>
            </a:ext>
          </a:extLst>
        </xdr:cNvPr>
        <xdr:cNvSpPr/>
      </xdr:nvSpPr>
      <xdr:spPr>
        <a:xfrm>
          <a:off x="3228975" y="9055100"/>
          <a:ext cx="419100" cy="2286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4.5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13</xdr:col>
      <xdr:colOff>139700</xdr:colOff>
      <xdr:row>35</xdr:row>
      <xdr:rowOff>161925</xdr:rowOff>
    </xdr:from>
    <xdr:to>
      <xdr:col>16</xdr:col>
      <xdr:colOff>15875</xdr:colOff>
      <xdr:row>37</xdr:row>
      <xdr:rowOff>9525</xdr:rowOff>
    </xdr:to>
    <xdr:sp macro="" textlink="">
      <xdr:nvSpPr>
        <xdr:cNvPr id="52" name="正方形/長方形 51">
          <a:extLst>
            <a:ext uri="{FF2B5EF4-FFF2-40B4-BE49-F238E27FC236}">
              <a16:creationId xmlns:a16="http://schemas.microsoft.com/office/drawing/2014/main" id="{2D26DDA8-7D7D-4B39-B252-5F3C457B02C0}"/>
            </a:ext>
          </a:extLst>
        </xdr:cNvPr>
        <xdr:cNvSpPr/>
      </xdr:nvSpPr>
      <xdr:spPr>
        <a:xfrm>
          <a:off x="2492375" y="9010650"/>
          <a:ext cx="419100" cy="2286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9</xdr:col>
      <xdr:colOff>161925</xdr:colOff>
      <xdr:row>36</xdr:row>
      <xdr:rowOff>34925</xdr:rowOff>
    </xdr:from>
    <xdr:to>
      <xdr:col>12</xdr:col>
      <xdr:colOff>38100</xdr:colOff>
      <xdr:row>37</xdr:row>
      <xdr:rowOff>73025</xdr:rowOff>
    </xdr:to>
    <xdr:sp macro="" textlink="">
      <xdr:nvSpPr>
        <xdr:cNvPr id="53" name="正方形/長方形 52">
          <a:extLst>
            <a:ext uri="{FF2B5EF4-FFF2-40B4-BE49-F238E27FC236}">
              <a16:creationId xmlns:a16="http://schemas.microsoft.com/office/drawing/2014/main" id="{F9C2040D-4FCD-4FCE-A7A9-ABB5F0F4599F}"/>
            </a:ext>
          </a:extLst>
        </xdr:cNvPr>
        <xdr:cNvSpPr/>
      </xdr:nvSpPr>
      <xdr:spPr>
        <a:xfrm>
          <a:off x="1790700" y="9074150"/>
          <a:ext cx="419100" cy="2286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5</xdr:col>
      <xdr:colOff>152400</xdr:colOff>
      <xdr:row>36</xdr:row>
      <xdr:rowOff>63500</xdr:rowOff>
    </xdr:from>
    <xdr:to>
      <xdr:col>8</xdr:col>
      <xdr:colOff>28575</xdr:colOff>
      <xdr:row>37</xdr:row>
      <xdr:rowOff>101600</xdr:rowOff>
    </xdr:to>
    <xdr:sp macro="" textlink="">
      <xdr:nvSpPr>
        <xdr:cNvPr id="54" name="正方形/長方形 53">
          <a:extLst>
            <a:ext uri="{FF2B5EF4-FFF2-40B4-BE49-F238E27FC236}">
              <a16:creationId xmlns:a16="http://schemas.microsoft.com/office/drawing/2014/main" id="{F67B3924-112B-4739-A911-083C10B62497}"/>
            </a:ext>
          </a:extLst>
        </xdr:cNvPr>
        <xdr:cNvSpPr/>
      </xdr:nvSpPr>
      <xdr:spPr>
        <a:xfrm>
          <a:off x="1057275" y="9102725"/>
          <a:ext cx="419100" cy="2286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112183</xdr:rowOff>
    </xdr:from>
    <xdr:to>
      <xdr:col>45</xdr:col>
      <xdr:colOff>74083</xdr:colOff>
      <xdr:row>22</xdr:row>
      <xdr:rowOff>148166</xdr:rowOff>
    </xdr:to>
    <xdr:sp macro="" textlink="">
      <xdr:nvSpPr>
        <xdr:cNvPr id="24" name="角丸四角形 78">
          <a:extLst>
            <a:ext uri="{FF2B5EF4-FFF2-40B4-BE49-F238E27FC236}">
              <a16:creationId xmlns:a16="http://schemas.microsoft.com/office/drawing/2014/main" id="{747EFC12-FC88-47A2-8417-7A9DF59779CE}"/>
            </a:ext>
          </a:extLst>
        </xdr:cNvPr>
        <xdr:cNvSpPr/>
      </xdr:nvSpPr>
      <xdr:spPr>
        <a:xfrm>
          <a:off x="1079500" y="3435350"/>
          <a:ext cx="7090833" cy="353483"/>
        </a:xfrm>
        <a:prstGeom prst="round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92074</xdr:colOff>
      <xdr:row>20</xdr:row>
      <xdr:rowOff>119592</xdr:rowOff>
    </xdr:from>
    <xdr:to>
      <xdr:col>18</xdr:col>
      <xdr:colOff>101599</xdr:colOff>
      <xdr:row>22</xdr:row>
      <xdr:rowOff>103717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3842B307-9C38-4292-9A53-42465CD76591}"/>
            </a:ext>
          </a:extLst>
        </xdr:cNvPr>
        <xdr:cNvSpPr/>
      </xdr:nvSpPr>
      <xdr:spPr>
        <a:xfrm>
          <a:off x="1171574" y="3442759"/>
          <a:ext cx="2168525" cy="301625"/>
        </a:xfrm>
        <a:prstGeom prst="rect">
          <a:avLst/>
        </a:prstGeom>
        <a:solidFill>
          <a:srgbClr val="3366CC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ja-JP" altLang="en-US" sz="8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新規申請</a:t>
          </a:r>
        </a:p>
      </xdr:txBody>
    </xdr:sp>
    <xdr:clientData/>
  </xdr:twoCellAnchor>
  <xdr:twoCellAnchor>
    <xdr:from>
      <xdr:col>39</xdr:col>
      <xdr:colOff>123826</xdr:colOff>
      <xdr:row>29</xdr:row>
      <xdr:rowOff>25402</xdr:rowOff>
    </xdr:from>
    <xdr:to>
      <xdr:col>44</xdr:col>
      <xdr:colOff>53976</xdr:colOff>
      <xdr:row>29</xdr:row>
      <xdr:rowOff>190501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57ACC9B1-D8E1-4070-94AA-89C7E77B305D}"/>
            </a:ext>
          </a:extLst>
        </xdr:cNvPr>
        <xdr:cNvSpPr/>
      </xdr:nvSpPr>
      <xdr:spPr>
        <a:xfrm>
          <a:off x="7178676" y="4924427"/>
          <a:ext cx="838200" cy="161924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CSV Downroad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39</xdr:col>
      <xdr:colOff>123826</xdr:colOff>
      <xdr:row>29</xdr:row>
      <xdr:rowOff>25402</xdr:rowOff>
    </xdr:from>
    <xdr:to>
      <xdr:col>44</xdr:col>
      <xdr:colOff>57151</xdr:colOff>
      <xdr:row>29</xdr:row>
      <xdr:rowOff>187326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D7100436-F8CE-4DDB-AE7E-B5BB0C28CFD9}"/>
            </a:ext>
          </a:extLst>
        </xdr:cNvPr>
        <xdr:cNvSpPr/>
      </xdr:nvSpPr>
      <xdr:spPr>
        <a:xfrm>
          <a:off x="7178676" y="4924427"/>
          <a:ext cx="841375" cy="158749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CSV Download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39</xdr:col>
      <xdr:colOff>120650</xdr:colOff>
      <xdr:row>30</xdr:row>
      <xdr:rowOff>28575</xdr:rowOff>
    </xdr:from>
    <xdr:to>
      <xdr:col>44</xdr:col>
      <xdr:colOff>53975</xdr:colOff>
      <xdr:row>30</xdr:row>
      <xdr:rowOff>193674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0487AF2C-1BCE-4380-B976-445B9C943A5D}"/>
            </a:ext>
          </a:extLst>
        </xdr:cNvPr>
        <xdr:cNvSpPr/>
      </xdr:nvSpPr>
      <xdr:spPr>
        <a:xfrm>
          <a:off x="7181850" y="5130800"/>
          <a:ext cx="835025" cy="168274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CSV Download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39</xdr:col>
      <xdr:colOff>123825</xdr:colOff>
      <xdr:row>31</xdr:row>
      <xdr:rowOff>28575</xdr:rowOff>
    </xdr:from>
    <xdr:to>
      <xdr:col>44</xdr:col>
      <xdr:colOff>57150</xdr:colOff>
      <xdr:row>31</xdr:row>
      <xdr:rowOff>193674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D0E241B6-BD72-4C3C-9736-454D2BFE536B}"/>
            </a:ext>
          </a:extLst>
        </xdr:cNvPr>
        <xdr:cNvSpPr/>
      </xdr:nvSpPr>
      <xdr:spPr>
        <a:xfrm>
          <a:off x="7178675" y="5340350"/>
          <a:ext cx="841375" cy="168274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CSV Download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34</xdr:col>
      <xdr:colOff>168275</xdr:colOff>
      <xdr:row>30</xdr:row>
      <xdr:rowOff>44450</xdr:rowOff>
    </xdr:from>
    <xdr:to>
      <xdr:col>37</xdr:col>
      <xdr:colOff>177800</xdr:colOff>
      <xdr:row>30</xdr:row>
      <xdr:rowOff>171450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DC6FD7DA-F4F0-42D6-97DB-FEC668FDB0EB}"/>
            </a:ext>
          </a:extLst>
        </xdr:cNvPr>
        <xdr:cNvSpPr/>
      </xdr:nvSpPr>
      <xdr:spPr>
        <a:xfrm>
          <a:off x="6321425" y="5153025"/>
          <a:ext cx="555625" cy="123825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Downlo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9</xdr:col>
      <xdr:colOff>9536</xdr:colOff>
      <xdr:row>25</xdr:row>
      <xdr:rowOff>63500</xdr:rowOff>
    </xdr:from>
    <xdr:to>
      <xdr:col>16</xdr:col>
      <xdr:colOff>47636</xdr:colOff>
      <xdr:row>26</xdr:row>
      <xdr:rowOff>76200</xdr:rowOff>
    </xdr:to>
    <xdr:grpSp>
      <xdr:nvGrpSpPr>
        <xdr:cNvPr id="40" name="グループ化 39">
          <a:extLst>
            <a:ext uri="{FF2B5EF4-FFF2-40B4-BE49-F238E27FC236}">
              <a16:creationId xmlns:a16="http://schemas.microsoft.com/office/drawing/2014/main" id="{9FC08D43-45D2-7D56-E1F8-2D8B41B034C4}"/>
            </a:ext>
          </a:extLst>
        </xdr:cNvPr>
        <xdr:cNvGrpSpPr/>
      </xdr:nvGrpSpPr>
      <xdr:grpSpPr>
        <a:xfrm>
          <a:off x="1819286" y="4201583"/>
          <a:ext cx="1445683" cy="160867"/>
          <a:chOff x="4523317" y="4352925"/>
          <a:chExt cx="1297517" cy="168275"/>
        </a:xfrm>
      </xdr:grpSpPr>
      <xdr:grpSp>
        <xdr:nvGrpSpPr>
          <xdr:cNvPr id="10" name="グループ化 9">
            <a:extLst>
              <a:ext uri="{FF2B5EF4-FFF2-40B4-BE49-F238E27FC236}">
                <a16:creationId xmlns:a16="http://schemas.microsoft.com/office/drawing/2014/main" id="{7E2582AE-355F-44CE-AC6B-EB617D71D0E7}"/>
              </a:ext>
            </a:extLst>
          </xdr:cNvPr>
          <xdr:cNvGrpSpPr/>
        </xdr:nvGrpSpPr>
        <xdr:grpSpPr>
          <a:xfrm>
            <a:off x="4526492" y="4349750"/>
            <a:ext cx="310091" cy="171450"/>
            <a:chOff x="4552950" y="5273675"/>
            <a:chExt cx="311150" cy="174625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D940AB93-3EA1-C8C0-A306-322E823D2413}"/>
                </a:ext>
              </a:extLst>
            </xdr:cNvPr>
            <xdr:cNvSpPr/>
          </xdr:nvSpPr>
          <xdr:spPr>
            <a:xfrm>
              <a:off x="4552950" y="5273675"/>
              <a:ext cx="152400" cy="174625"/>
            </a:xfrm>
            <a:prstGeom prst="rect">
              <a:avLst/>
            </a:prstGeom>
            <a:solidFill>
              <a:schemeClr val="bg1">
                <a:lumMod val="95000"/>
              </a:schemeClr>
            </a:solidFill>
            <a:ln w="12700">
              <a:solidFill>
                <a:schemeClr val="bg1">
                  <a:lumMod val="75000"/>
                </a:schemeClr>
              </a:solidFill>
            </a:ln>
          </xdr:spPr>
          <xdr:style>
            <a:lnRef idx="2">
              <a:schemeClr val="accent1"/>
            </a:lnRef>
            <a:fillRef idx="1">
              <a:schemeClr val="lt1"/>
            </a:fillRef>
            <a:effectRef idx="0">
              <a:schemeClr val="accent1"/>
            </a:effectRef>
            <a:fontRef idx="minor">
              <a:schemeClr val="dk1"/>
            </a:fontRef>
          </xdr:style>
          <xdr:txBody>
            <a:bodyPr vertOverflow="clip" horzOverflow="clip" lIns="36000" tIns="36000" rIns="36000" bIns="36000" rtlCol="0" anchor="t"/>
            <a:lstStyle/>
            <a:p>
              <a:pPr algn="ctr">
                <a:lnSpc>
                  <a:spcPts val="900"/>
                </a:lnSpc>
              </a:pPr>
              <a:r>
                <a:rPr kumimoji="1" lang="en-US" altLang="ja-JP" sz="700">
                  <a:solidFill>
                    <a:schemeClr val="bg1">
                      <a:lumMod val="50000"/>
                    </a:schemeClr>
                  </a:solidFill>
                </a:rPr>
                <a:t>1</a:t>
              </a:r>
              <a:endParaRPr kumimoji="1" lang="ja-JP" altLang="en-US" sz="800">
                <a:solidFill>
                  <a:schemeClr val="bg1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12" name="正方形/長方形 11">
              <a:extLst>
                <a:ext uri="{FF2B5EF4-FFF2-40B4-BE49-F238E27FC236}">
                  <a16:creationId xmlns:a16="http://schemas.microsoft.com/office/drawing/2014/main" id="{F07FE17B-71D5-0A91-7464-1EB7F4502CE4}"/>
                </a:ext>
              </a:extLst>
            </xdr:cNvPr>
            <xdr:cNvSpPr/>
          </xdr:nvSpPr>
          <xdr:spPr>
            <a:xfrm>
              <a:off x="4711700" y="5273675"/>
              <a:ext cx="152400" cy="171450"/>
            </a:xfrm>
            <a:prstGeom prst="rect">
              <a:avLst/>
            </a:prstGeom>
            <a:noFill/>
            <a:ln w="12700">
              <a:solidFill>
                <a:schemeClr val="bg1">
                  <a:lumMod val="75000"/>
                </a:schemeClr>
              </a:solidFill>
            </a:ln>
          </xdr:spPr>
          <xdr:style>
            <a:lnRef idx="2">
              <a:schemeClr val="accent1"/>
            </a:lnRef>
            <a:fillRef idx="1">
              <a:schemeClr val="lt1"/>
            </a:fillRef>
            <a:effectRef idx="0">
              <a:schemeClr val="accent1"/>
            </a:effectRef>
            <a:fontRef idx="minor">
              <a:schemeClr val="dk1"/>
            </a:fontRef>
          </xdr:style>
          <xdr:txBody>
            <a:bodyPr vertOverflow="clip" horzOverflow="clip" lIns="36000" tIns="36000" rIns="36000" bIns="36000" rtlCol="0" anchor="t"/>
            <a:lstStyle/>
            <a:p>
              <a:pPr algn="ctr">
                <a:lnSpc>
                  <a:spcPts val="900"/>
                </a:lnSpc>
              </a:pPr>
              <a:r>
                <a:rPr kumimoji="1" lang="en-US" altLang="ja-JP" sz="700">
                  <a:solidFill>
                    <a:srgbClr val="00B0F0"/>
                  </a:solidFill>
                </a:rPr>
                <a:t>2</a:t>
              </a:r>
              <a:endParaRPr kumimoji="1" lang="ja-JP" altLang="en-US" sz="800">
                <a:solidFill>
                  <a:srgbClr val="00B0F0"/>
                </a:solidFill>
              </a:endParaRPr>
            </a:p>
          </xdr:txBody>
        </xdr:sp>
      </xdr:grpSp>
      <xdr:sp macro="" textlink="">
        <xdr:nvSpPr>
          <xdr:cNvPr id="13" name="四角形: 角を丸くする 12">
            <a:extLst>
              <a:ext uri="{FF2B5EF4-FFF2-40B4-BE49-F238E27FC236}">
                <a16:creationId xmlns:a16="http://schemas.microsoft.com/office/drawing/2014/main" id="{996EAAE0-71C0-4A61-9D3F-AE7246C77F16}"/>
              </a:ext>
            </a:extLst>
          </xdr:cNvPr>
          <xdr:cNvSpPr/>
        </xdr:nvSpPr>
        <xdr:spPr>
          <a:xfrm>
            <a:off x="4905376" y="4397375"/>
            <a:ext cx="915458" cy="95250"/>
          </a:xfrm>
          <a:prstGeom prst="roundRect">
            <a:avLst/>
          </a:prstGeom>
          <a:solidFill>
            <a:schemeClr val="bg1">
              <a:lumMod val="75000"/>
            </a:schemeClr>
          </a:solidFill>
          <a:ln w="12700"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lIns="36000" tIns="36000" rIns="36000" bIns="36000" rtlCol="0" anchor="ctr"/>
          <a:lstStyle/>
          <a:p>
            <a:pPr algn="ctr">
              <a:lnSpc>
                <a:spcPts val="900"/>
              </a:lnSpc>
            </a:pPr>
            <a:r>
              <a:rPr kumimoji="1" lang="en-US" altLang="ja-JP" sz="800">
                <a:solidFill>
                  <a:schemeClr val="bg1"/>
                </a:solidFill>
              </a:rPr>
              <a:t>104</a:t>
            </a:r>
            <a:r>
              <a:rPr kumimoji="1" lang="ja-JP" altLang="en-US" sz="800">
                <a:solidFill>
                  <a:schemeClr val="bg1"/>
                </a:solidFill>
              </a:rPr>
              <a:t>件（</a:t>
            </a:r>
            <a:r>
              <a:rPr kumimoji="1" lang="en-US" altLang="ja-JP" sz="800">
                <a:solidFill>
                  <a:schemeClr val="bg1"/>
                </a:solidFill>
              </a:rPr>
              <a:t>2</a:t>
            </a:r>
            <a:r>
              <a:rPr kumimoji="1" lang="ja-JP" altLang="en-US" sz="800">
                <a:solidFill>
                  <a:schemeClr val="bg1"/>
                </a:solidFill>
              </a:rPr>
              <a:t>ページ）</a:t>
            </a:r>
          </a:p>
        </xdr:txBody>
      </xdr:sp>
    </xdr:grpSp>
    <xdr:clientData/>
  </xdr:twoCellAnchor>
  <xdr:twoCellAnchor>
    <xdr:from>
      <xdr:col>21</xdr:col>
      <xdr:colOff>38099</xdr:colOff>
      <xdr:row>37</xdr:row>
      <xdr:rowOff>76198</xdr:rowOff>
    </xdr:from>
    <xdr:to>
      <xdr:col>48</xdr:col>
      <xdr:colOff>161924</xdr:colOff>
      <xdr:row>37</xdr:row>
      <xdr:rowOff>152399</xdr:rowOff>
    </xdr:to>
    <xdr:sp macro="" textlink="">
      <xdr:nvSpPr>
        <xdr:cNvPr id="27" name="右大かっこ 26">
          <a:extLst>
            <a:ext uri="{FF2B5EF4-FFF2-40B4-BE49-F238E27FC236}">
              <a16:creationId xmlns:a16="http://schemas.microsoft.com/office/drawing/2014/main" id="{4DFE7DD0-1FC2-4432-92FF-1DD314F8E721}"/>
            </a:ext>
          </a:extLst>
        </xdr:cNvPr>
        <xdr:cNvSpPr/>
      </xdr:nvSpPr>
      <xdr:spPr>
        <a:xfrm rot="5400000" flipH="1">
          <a:off x="6307136" y="4008436"/>
          <a:ext cx="76201" cy="5013325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endParaRPr lang="ja-JP" altLang="en-US"/>
        </a:p>
      </xdr:txBody>
    </xdr:sp>
    <xdr:clientData/>
  </xdr:twoCellAnchor>
  <xdr:twoCellAnchor>
    <xdr:from>
      <xdr:col>2</xdr:col>
      <xdr:colOff>57150</xdr:colOff>
      <xdr:row>37</xdr:row>
      <xdr:rowOff>66675</xdr:rowOff>
    </xdr:from>
    <xdr:to>
      <xdr:col>4</xdr:col>
      <xdr:colOff>114300</xdr:colOff>
      <xdr:row>38</xdr:row>
      <xdr:rowOff>104775</xdr:rowOff>
    </xdr:to>
    <xdr:sp macro="" textlink="">
      <xdr:nvSpPr>
        <xdr:cNvPr id="28" name="正方形/長方形 27">
          <a:extLst>
            <a:ext uri="{FF2B5EF4-FFF2-40B4-BE49-F238E27FC236}">
              <a16:creationId xmlns:a16="http://schemas.microsoft.com/office/drawing/2014/main" id="{01F63764-5353-4A77-9067-B6ACD853409A}"/>
            </a:ext>
          </a:extLst>
        </xdr:cNvPr>
        <xdr:cNvSpPr/>
      </xdr:nvSpPr>
      <xdr:spPr>
        <a:xfrm>
          <a:off x="419100" y="6464300"/>
          <a:ext cx="419100" cy="2286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34</xdr:col>
      <xdr:colOff>0</xdr:colOff>
      <xdr:row>36</xdr:row>
      <xdr:rowOff>6350</xdr:rowOff>
    </xdr:from>
    <xdr:to>
      <xdr:col>36</xdr:col>
      <xdr:colOff>57150</xdr:colOff>
      <xdr:row>37</xdr:row>
      <xdr:rowOff>44450</xdr:rowOff>
    </xdr:to>
    <xdr:sp macro="" textlink="">
      <xdr:nvSpPr>
        <xdr:cNvPr id="29" name="正方形/長方形 28">
          <a:extLst>
            <a:ext uri="{FF2B5EF4-FFF2-40B4-BE49-F238E27FC236}">
              <a16:creationId xmlns:a16="http://schemas.microsoft.com/office/drawing/2014/main" id="{F20B5B6C-DC88-401C-8A5E-416456D60DEE}"/>
            </a:ext>
          </a:extLst>
        </xdr:cNvPr>
        <xdr:cNvSpPr/>
      </xdr:nvSpPr>
      <xdr:spPr>
        <a:xfrm>
          <a:off x="6153150" y="6219825"/>
          <a:ext cx="419100" cy="2286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4.6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17</xdr:col>
      <xdr:colOff>152400</xdr:colOff>
      <xdr:row>37</xdr:row>
      <xdr:rowOff>15875</xdr:rowOff>
    </xdr:from>
    <xdr:to>
      <xdr:col>20</xdr:col>
      <xdr:colOff>28575</xdr:colOff>
      <xdr:row>38</xdr:row>
      <xdr:rowOff>53975</xdr:rowOff>
    </xdr:to>
    <xdr:sp macro="" textlink="">
      <xdr:nvSpPr>
        <xdr:cNvPr id="30" name="正方形/長方形 29">
          <a:extLst>
            <a:ext uri="{FF2B5EF4-FFF2-40B4-BE49-F238E27FC236}">
              <a16:creationId xmlns:a16="http://schemas.microsoft.com/office/drawing/2014/main" id="{5FC78B28-D731-4B6F-AB3D-97267CEC0F4C}"/>
            </a:ext>
          </a:extLst>
        </xdr:cNvPr>
        <xdr:cNvSpPr/>
      </xdr:nvSpPr>
      <xdr:spPr>
        <a:xfrm>
          <a:off x="3228975" y="6416675"/>
          <a:ext cx="415925" cy="2286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4.5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13</xdr:col>
      <xdr:colOff>139700</xdr:colOff>
      <xdr:row>36</xdr:row>
      <xdr:rowOff>161925</xdr:rowOff>
    </xdr:from>
    <xdr:to>
      <xdr:col>16</xdr:col>
      <xdr:colOff>15875</xdr:colOff>
      <xdr:row>38</xdr:row>
      <xdr:rowOff>9525</xdr:rowOff>
    </xdr:to>
    <xdr:sp macro="" textlink="">
      <xdr:nvSpPr>
        <xdr:cNvPr id="31" name="正方形/長方形 30">
          <a:extLst>
            <a:ext uri="{FF2B5EF4-FFF2-40B4-BE49-F238E27FC236}">
              <a16:creationId xmlns:a16="http://schemas.microsoft.com/office/drawing/2014/main" id="{B6BD307D-D583-4DB9-9B03-8B5766C8937E}"/>
            </a:ext>
          </a:extLst>
        </xdr:cNvPr>
        <xdr:cNvSpPr/>
      </xdr:nvSpPr>
      <xdr:spPr>
        <a:xfrm>
          <a:off x="2495550" y="6369050"/>
          <a:ext cx="415925" cy="2286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9</xdr:col>
      <xdr:colOff>161925</xdr:colOff>
      <xdr:row>37</xdr:row>
      <xdr:rowOff>34925</xdr:rowOff>
    </xdr:from>
    <xdr:to>
      <xdr:col>12</xdr:col>
      <xdr:colOff>38100</xdr:colOff>
      <xdr:row>38</xdr:row>
      <xdr:rowOff>73025</xdr:rowOff>
    </xdr:to>
    <xdr:sp macro="" textlink="">
      <xdr:nvSpPr>
        <xdr:cNvPr id="32" name="正方形/長方形 31">
          <a:extLst>
            <a:ext uri="{FF2B5EF4-FFF2-40B4-BE49-F238E27FC236}">
              <a16:creationId xmlns:a16="http://schemas.microsoft.com/office/drawing/2014/main" id="{6E028C2F-058D-4009-8827-DB291424A077}"/>
            </a:ext>
          </a:extLst>
        </xdr:cNvPr>
        <xdr:cNvSpPr/>
      </xdr:nvSpPr>
      <xdr:spPr>
        <a:xfrm>
          <a:off x="1787525" y="6435725"/>
          <a:ext cx="422275" cy="2286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5</xdr:col>
      <xdr:colOff>152400</xdr:colOff>
      <xdr:row>37</xdr:row>
      <xdr:rowOff>63500</xdr:rowOff>
    </xdr:from>
    <xdr:to>
      <xdr:col>8</xdr:col>
      <xdr:colOff>28575</xdr:colOff>
      <xdr:row>38</xdr:row>
      <xdr:rowOff>101600</xdr:rowOff>
    </xdr:to>
    <xdr:sp macro="" textlink="">
      <xdr:nvSpPr>
        <xdr:cNvPr id="33" name="正方形/長方形 32">
          <a:extLst>
            <a:ext uri="{FF2B5EF4-FFF2-40B4-BE49-F238E27FC236}">
              <a16:creationId xmlns:a16="http://schemas.microsoft.com/office/drawing/2014/main" id="{98A0CC4D-445E-44A7-A9DA-961EF5E0C1BD}"/>
            </a:ext>
          </a:extLst>
        </xdr:cNvPr>
        <xdr:cNvSpPr/>
      </xdr:nvSpPr>
      <xdr:spPr>
        <a:xfrm>
          <a:off x="1057275" y="6467475"/>
          <a:ext cx="415925" cy="2286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105834</xdr:colOff>
      <xdr:row>20</xdr:row>
      <xdr:rowOff>137583</xdr:rowOff>
    </xdr:from>
    <xdr:to>
      <xdr:col>44</xdr:col>
      <xdr:colOff>112184</xdr:colOff>
      <xdr:row>22</xdr:row>
      <xdr:rowOff>118533</xdr:rowOff>
    </xdr:to>
    <xdr:sp macro="" textlink="">
      <xdr:nvSpPr>
        <xdr:cNvPr id="34" name="正方形/長方形 33">
          <a:extLst>
            <a:ext uri="{FF2B5EF4-FFF2-40B4-BE49-F238E27FC236}">
              <a16:creationId xmlns:a16="http://schemas.microsoft.com/office/drawing/2014/main" id="{D5C2A342-EDC9-4F29-8C2E-A79B60BFEA8C}"/>
            </a:ext>
          </a:extLst>
        </xdr:cNvPr>
        <xdr:cNvSpPr/>
      </xdr:nvSpPr>
      <xdr:spPr>
        <a:xfrm>
          <a:off x="5863167" y="3460750"/>
          <a:ext cx="2165350" cy="298450"/>
        </a:xfrm>
        <a:prstGeom prst="rect">
          <a:avLst/>
        </a:prstGeom>
        <a:solidFill>
          <a:srgbClr val="3366CC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New</a:t>
          </a:r>
          <a:r>
            <a:rPr kumimoji="1" lang="en-US" altLang="ja-JP" sz="1100" baseline="0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 application</a:t>
          </a:r>
          <a:endParaRPr lang="ja-JP" altLang="ja-JP" sz="800">
            <a:solidFill>
              <a:schemeClr val="bg1"/>
            </a:solidFill>
            <a:effectLst/>
          </a:endParaRPr>
        </a:p>
      </xdr:txBody>
    </xdr:sp>
    <xdr:clientData/>
  </xdr:twoCellAnchor>
  <xdr:twoCellAnchor>
    <xdr:from>
      <xdr:col>33</xdr:col>
      <xdr:colOff>105833</xdr:colOff>
      <xdr:row>25</xdr:row>
      <xdr:rowOff>84667</xdr:rowOff>
    </xdr:from>
    <xdr:to>
      <xdr:col>42</xdr:col>
      <xdr:colOff>42333</xdr:colOff>
      <xdr:row>26</xdr:row>
      <xdr:rowOff>91017</xdr:rowOff>
    </xdr:to>
    <xdr:grpSp>
      <xdr:nvGrpSpPr>
        <xdr:cNvPr id="35" name="グループ化 34">
          <a:extLst>
            <a:ext uri="{FF2B5EF4-FFF2-40B4-BE49-F238E27FC236}">
              <a16:creationId xmlns:a16="http://schemas.microsoft.com/office/drawing/2014/main" id="{6016DFF8-48C7-4775-8474-6590896B51EB}"/>
            </a:ext>
          </a:extLst>
        </xdr:cNvPr>
        <xdr:cNvGrpSpPr/>
      </xdr:nvGrpSpPr>
      <xdr:grpSpPr>
        <a:xfrm>
          <a:off x="6741583" y="4222750"/>
          <a:ext cx="1746250" cy="154517"/>
          <a:chOff x="4526492" y="4349750"/>
          <a:chExt cx="1555750" cy="171450"/>
        </a:xfrm>
      </xdr:grpSpPr>
      <xdr:grpSp>
        <xdr:nvGrpSpPr>
          <xdr:cNvPr id="36" name="グループ化 35">
            <a:extLst>
              <a:ext uri="{FF2B5EF4-FFF2-40B4-BE49-F238E27FC236}">
                <a16:creationId xmlns:a16="http://schemas.microsoft.com/office/drawing/2014/main" id="{3151DFA1-303D-2517-4731-8527386E4372}"/>
              </a:ext>
            </a:extLst>
          </xdr:cNvPr>
          <xdr:cNvGrpSpPr/>
        </xdr:nvGrpSpPr>
        <xdr:grpSpPr>
          <a:xfrm>
            <a:off x="4523317" y="4352925"/>
            <a:ext cx="316441" cy="168275"/>
            <a:chOff x="4552950" y="5273675"/>
            <a:chExt cx="311150" cy="174625"/>
          </a:xfrm>
        </xdr:grpSpPr>
        <xdr:sp macro="" textlink="">
          <xdr:nvSpPr>
            <xdr:cNvPr id="38" name="正方形/長方形 37">
              <a:extLst>
                <a:ext uri="{FF2B5EF4-FFF2-40B4-BE49-F238E27FC236}">
                  <a16:creationId xmlns:a16="http://schemas.microsoft.com/office/drawing/2014/main" id="{45F8C23D-4482-5ABD-F9D8-47FF33EC7DD3}"/>
                </a:ext>
              </a:extLst>
            </xdr:cNvPr>
            <xdr:cNvSpPr/>
          </xdr:nvSpPr>
          <xdr:spPr>
            <a:xfrm>
              <a:off x="4552950" y="5273675"/>
              <a:ext cx="152400" cy="174625"/>
            </a:xfrm>
            <a:prstGeom prst="rect">
              <a:avLst/>
            </a:prstGeom>
            <a:solidFill>
              <a:schemeClr val="bg1">
                <a:lumMod val="95000"/>
              </a:schemeClr>
            </a:solidFill>
            <a:ln w="12700">
              <a:solidFill>
                <a:schemeClr val="bg1">
                  <a:lumMod val="75000"/>
                </a:schemeClr>
              </a:solidFill>
            </a:ln>
          </xdr:spPr>
          <xdr:style>
            <a:lnRef idx="2">
              <a:schemeClr val="accent1"/>
            </a:lnRef>
            <a:fillRef idx="1">
              <a:schemeClr val="lt1"/>
            </a:fillRef>
            <a:effectRef idx="0">
              <a:schemeClr val="accent1"/>
            </a:effectRef>
            <a:fontRef idx="minor">
              <a:schemeClr val="dk1"/>
            </a:fontRef>
          </xdr:style>
          <xdr:txBody>
            <a:bodyPr vertOverflow="clip" horzOverflow="clip" lIns="36000" tIns="36000" rIns="36000" bIns="36000" rtlCol="0" anchor="t"/>
            <a:lstStyle/>
            <a:p>
              <a:pPr algn="ctr">
                <a:lnSpc>
                  <a:spcPts val="900"/>
                </a:lnSpc>
              </a:pPr>
              <a:r>
                <a:rPr kumimoji="1" lang="en-US" altLang="ja-JP" sz="700">
                  <a:solidFill>
                    <a:schemeClr val="bg1">
                      <a:lumMod val="50000"/>
                    </a:schemeClr>
                  </a:solidFill>
                </a:rPr>
                <a:t>1</a:t>
              </a:r>
              <a:endParaRPr kumimoji="1" lang="ja-JP" altLang="en-US" sz="800">
                <a:solidFill>
                  <a:schemeClr val="bg1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39" name="正方形/長方形 38">
              <a:extLst>
                <a:ext uri="{FF2B5EF4-FFF2-40B4-BE49-F238E27FC236}">
                  <a16:creationId xmlns:a16="http://schemas.microsoft.com/office/drawing/2014/main" id="{35827600-E55B-5B8F-294F-31A3704F5643}"/>
                </a:ext>
              </a:extLst>
            </xdr:cNvPr>
            <xdr:cNvSpPr/>
          </xdr:nvSpPr>
          <xdr:spPr>
            <a:xfrm>
              <a:off x="4711700" y="5273675"/>
              <a:ext cx="152400" cy="171450"/>
            </a:xfrm>
            <a:prstGeom prst="rect">
              <a:avLst/>
            </a:prstGeom>
            <a:noFill/>
            <a:ln w="12700">
              <a:solidFill>
                <a:schemeClr val="bg1">
                  <a:lumMod val="75000"/>
                </a:schemeClr>
              </a:solidFill>
            </a:ln>
          </xdr:spPr>
          <xdr:style>
            <a:lnRef idx="2">
              <a:schemeClr val="accent1"/>
            </a:lnRef>
            <a:fillRef idx="1">
              <a:schemeClr val="lt1"/>
            </a:fillRef>
            <a:effectRef idx="0">
              <a:schemeClr val="accent1"/>
            </a:effectRef>
            <a:fontRef idx="minor">
              <a:schemeClr val="dk1"/>
            </a:fontRef>
          </xdr:style>
          <xdr:txBody>
            <a:bodyPr vertOverflow="clip" horzOverflow="clip" lIns="36000" tIns="36000" rIns="36000" bIns="36000" rtlCol="0" anchor="t"/>
            <a:lstStyle/>
            <a:p>
              <a:pPr algn="ctr">
                <a:lnSpc>
                  <a:spcPts val="900"/>
                </a:lnSpc>
              </a:pPr>
              <a:r>
                <a:rPr kumimoji="1" lang="en-US" altLang="ja-JP" sz="700">
                  <a:solidFill>
                    <a:srgbClr val="00B0F0"/>
                  </a:solidFill>
                </a:rPr>
                <a:t>2</a:t>
              </a:r>
              <a:endParaRPr kumimoji="1" lang="ja-JP" altLang="en-US" sz="800">
                <a:solidFill>
                  <a:srgbClr val="00B0F0"/>
                </a:solidFill>
              </a:endParaRPr>
            </a:p>
          </xdr:txBody>
        </xdr:sp>
      </xdr:grpSp>
      <xdr:sp macro="" textlink="">
        <xdr:nvSpPr>
          <xdr:cNvPr id="37" name="四角形: 角を丸くする 36">
            <a:extLst>
              <a:ext uri="{FF2B5EF4-FFF2-40B4-BE49-F238E27FC236}">
                <a16:creationId xmlns:a16="http://schemas.microsoft.com/office/drawing/2014/main" id="{596FE847-9AFC-2C96-E535-0583F6525CDE}"/>
              </a:ext>
            </a:extLst>
          </xdr:cNvPr>
          <xdr:cNvSpPr/>
        </xdr:nvSpPr>
        <xdr:spPr>
          <a:xfrm>
            <a:off x="4902200" y="4397375"/>
            <a:ext cx="1180042" cy="97367"/>
          </a:xfrm>
          <a:prstGeom prst="roundRect">
            <a:avLst/>
          </a:prstGeom>
          <a:solidFill>
            <a:schemeClr val="bg1">
              <a:lumMod val="75000"/>
            </a:schemeClr>
          </a:solidFill>
          <a:ln w="12700"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lIns="36000" tIns="36000" rIns="36000" bIns="36000" rtlCol="0" anchor="ctr"/>
          <a:lstStyle/>
          <a:p>
            <a:pPr algn="ctr">
              <a:lnSpc>
                <a:spcPts val="900"/>
              </a:lnSpc>
            </a:pPr>
            <a:r>
              <a:rPr kumimoji="1" lang="en-US" altLang="ja-JP" sz="800">
                <a:solidFill>
                  <a:schemeClr val="bg1"/>
                </a:solidFill>
              </a:rPr>
              <a:t>104</a:t>
            </a:r>
            <a:r>
              <a:rPr kumimoji="1" lang="ja-JP" altLang="en-US" sz="800" baseline="0">
                <a:solidFill>
                  <a:schemeClr val="bg1"/>
                </a:solidFill>
              </a:rPr>
              <a:t> </a:t>
            </a:r>
            <a:r>
              <a:rPr kumimoji="1" lang="en-US" altLang="ja-JP" sz="800" baseline="0">
                <a:solidFill>
                  <a:schemeClr val="bg1"/>
                </a:solidFill>
              </a:rPr>
              <a:t>results (2 of2 pages)</a:t>
            </a:r>
            <a:endParaRPr kumimoji="1" lang="ja-JP" altLang="en-US" sz="8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63499</xdr:colOff>
      <xdr:row>26</xdr:row>
      <xdr:rowOff>95250</xdr:rowOff>
    </xdr:from>
    <xdr:to>
      <xdr:col>45</xdr:col>
      <xdr:colOff>148166</xdr:colOff>
      <xdr:row>32</xdr:row>
      <xdr:rowOff>105833</xdr:rowOff>
    </xdr:to>
    <xdr:sp macro="" textlink="">
      <xdr:nvSpPr>
        <xdr:cNvPr id="41" name="正方形/長方形 40">
          <a:extLst>
            <a:ext uri="{FF2B5EF4-FFF2-40B4-BE49-F238E27FC236}">
              <a16:creationId xmlns:a16="http://schemas.microsoft.com/office/drawing/2014/main" id="{08C90766-2D02-FDBC-17E5-45BE9AE771FD}"/>
            </a:ext>
          </a:extLst>
        </xdr:cNvPr>
        <xdr:cNvSpPr/>
      </xdr:nvSpPr>
      <xdr:spPr>
        <a:xfrm>
          <a:off x="1142999" y="4540250"/>
          <a:ext cx="7101417" cy="1026583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9</xdr:col>
      <xdr:colOff>172507</xdr:colOff>
      <xdr:row>6</xdr:row>
      <xdr:rowOff>63500</xdr:rowOff>
    </xdr:from>
    <xdr:to>
      <xdr:col>12</xdr:col>
      <xdr:colOff>8466</xdr:colOff>
      <xdr:row>7</xdr:row>
      <xdr:rowOff>50801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187267D4-C3BA-439E-8091-3FC23C185E9F}"/>
            </a:ext>
          </a:extLst>
        </xdr:cNvPr>
        <xdr:cNvSpPr/>
      </xdr:nvSpPr>
      <xdr:spPr>
        <a:xfrm>
          <a:off x="1791757" y="920750"/>
          <a:ext cx="375709" cy="251884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</xdr:col>
      <xdr:colOff>105833</xdr:colOff>
      <xdr:row>9</xdr:row>
      <xdr:rowOff>63500</xdr:rowOff>
    </xdr:from>
    <xdr:to>
      <xdr:col>51</xdr:col>
      <xdr:colOff>21167</xdr:colOff>
      <xdr:row>20</xdr:row>
      <xdr:rowOff>28577</xdr:rowOff>
    </xdr:to>
    <xdr:sp macro="" textlink="">
      <xdr:nvSpPr>
        <xdr:cNvPr id="15" name="角丸四角形 78">
          <a:extLst>
            <a:ext uri="{FF2B5EF4-FFF2-40B4-BE49-F238E27FC236}">
              <a16:creationId xmlns:a16="http://schemas.microsoft.com/office/drawing/2014/main" id="{372DAABA-614F-48F7-924E-840A9DC03746}"/>
            </a:ext>
          </a:extLst>
        </xdr:cNvPr>
        <xdr:cNvSpPr/>
      </xdr:nvSpPr>
      <xdr:spPr>
        <a:xfrm>
          <a:off x="285750" y="1651000"/>
          <a:ext cx="8911167" cy="1700744"/>
        </a:xfrm>
        <a:prstGeom prst="roundRect">
          <a:avLst/>
        </a:prstGeom>
        <a:noFill/>
        <a:ln w="63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87842</xdr:colOff>
      <xdr:row>8</xdr:row>
      <xdr:rowOff>142876</xdr:rowOff>
    </xdr:from>
    <xdr:to>
      <xdr:col>3</xdr:col>
      <xdr:colOff>106892</xdr:colOff>
      <xdr:row>9</xdr:row>
      <xdr:rowOff>76201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07745305-6741-4BB3-B0CE-22EFA3F238E7}"/>
            </a:ext>
          </a:extLst>
        </xdr:cNvPr>
        <xdr:cNvSpPr/>
      </xdr:nvSpPr>
      <xdr:spPr>
        <a:xfrm>
          <a:off x="267759" y="1423459"/>
          <a:ext cx="378883" cy="240242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</xdr:col>
      <xdr:colOff>0</xdr:colOff>
      <xdr:row>22</xdr:row>
      <xdr:rowOff>0</xdr:rowOff>
    </xdr:from>
    <xdr:to>
      <xdr:col>3</xdr:col>
      <xdr:colOff>19051</xdr:colOff>
      <xdr:row>23</xdr:row>
      <xdr:rowOff>85725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34072C30-231F-4AEC-8735-24635E1F844A}"/>
            </a:ext>
          </a:extLst>
        </xdr:cNvPr>
        <xdr:cNvSpPr/>
      </xdr:nvSpPr>
      <xdr:spPr>
        <a:xfrm>
          <a:off x="179917" y="3640667"/>
          <a:ext cx="378884" cy="2444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</xdr:col>
      <xdr:colOff>105833</xdr:colOff>
      <xdr:row>23</xdr:row>
      <xdr:rowOff>98425</xdr:rowOff>
    </xdr:from>
    <xdr:to>
      <xdr:col>51</xdr:col>
      <xdr:colOff>30692</xdr:colOff>
      <xdr:row>25</xdr:row>
      <xdr:rowOff>21168</xdr:rowOff>
    </xdr:to>
    <xdr:sp macro="" textlink="">
      <xdr:nvSpPr>
        <xdr:cNvPr id="18" name="角丸四角形 78">
          <a:extLst>
            <a:ext uri="{FF2B5EF4-FFF2-40B4-BE49-F238E27FC236}">
              <a16:creationId xmlns:a16="http://schemas.microsoft.com/office/drawing/2014/main" id="{CCE1EA21-6D08-4245-803A-149E8B1E2B7A}"/>
            </a:ext>
          </a:extLst>
        </xdr:cNvPr>
        <xdr:cNvSpPr/>
      </xdr:nvSpPr>
      <xdr:spPr>
        <a:xfrm>
          <a:off x="285750" y="3897842"/>
          <a:ext cx="8920692" cy="409576"/>
        </a:xfrm>
        <a:prstGeom prst="round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116417</xdr:colOff>
      <xdr:row>25</xdr:row>
      <xdr:rowOff>42333</xdr:rowOff>
    </xdr:from>
    <xdr:to>
      <xdr:col>42</xdr:col>
      <xdr:colOff>74084</xdr:colOff>
      <xdr:row>26</xdr:row>
      <xdr:rowOff>66675</xdr:rowOff>
    </xdr:to>
    <xdr:sp macro="" textlink="">
      <xdr:nvSpPr>
        <xdr:cNvPr id="19" name="角丸四角形 78">
          <a:extLst>
            <a:ext uri="{FF2B5EF4-FFF2-40B4-BE49-F238E27FC236}">
              <a16:creationId xmlns:a16="http://schemas.microsoft.com/office/drawing/2014/main" id="{F74DB8D0-9303-4382-87FA-FEBDFA0C58A6}"/>
            </a:ext>
          </a:extLst>
        </xdr:cNvPr>
        <xdr:cNvSpPr/>
      </xdr:nvSpPr>
      <xdr:spPr>
        <a:xfrm>
          <a:off x="1555750" y="4328583"/>
          <a:ext cx="6074834" cy="183092"/>
        </a:xfrm>
        <a:prstGeom prst="roundRect">
          <a:avLst/>
        </a:prstGeom>
        <a:noFill/>
        <a:ln w="28575">
          <a:solidFill>
            <a:srgbClr val="0070C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171450</xdr:colOff>
      <xdr:row>24</xdr:row>
      <xdr:rowOff>268816</xdr:rowOff>
    </xdr:from>
    <xdr:to>
      <xdr:col>9</xdr:col>
      <xdr:colOff>12700</xdr:colOff>
      <xdr:row>26</xdr:row>
      <xdr:rowOff>37041</xdr:rowOff>
    </xdr:to>
    <xdr:sp macro="" textlink="">
      <xdr:nvSpPr>
        <xdr:cNvPr id="21" name="正方形/長方形 20">
          <a:extLst>
            <a:ext uri="{FF2B5EF4-FFF2-40B4-BE49-F238E27FC236}">
              <a16:creationId xmlns:a16="http://schemas.microsoft.com/office/drawing/2014/main" id="{A2C8B7C1-B405-48B8-A232-C539E27D51B5}"/>
            </a:ext>
          </a:extLst>
        </xdr:cNvPr>
        <xdr:cNvSpPr/>
      </xdr:nvSpPr>
      <xdr:spPr>
        <a:xfrm>
          <a:off x="1250950" y="4226983"/>
          <a:ext cx="381000" cy="255058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5</xdr:col>
      <xdr:colOff>10584</xdr:colOff>
      <xdr:row>20</xdr:row>
      <xdr:rowOff>63500</xdr:rowOff>
    </xdr:from>
    <xdr:to>
      <xdr:col>7</xdr:col>
      <xdr:colOff>93133</xdr:colOff>
      <xdr:row>21</xdr:row>
      <xdr:rowOff>152400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CC067F9F-EAF0-4920-8516-FEB14A81DDD5}"/>
            </a:ext>
          </a:extLst>
        </xdr:cNvPr>
        <xdr:cNvSpPr/>
      </xdr:nvSpPr>
      <xdr:spPr>
        <a:xfrm>
          <a:off x="910167" y="3386667"/>
          <a:ext cx="442383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3.12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31</xdr:col>
      <xdr:colOff>0</xdr:colOff>
      <xdr:row>20</xdr:row>
      <xdr:rowOff>42334</xdr:rowOff>
    </xdr:from>
    <xdr:to>
      <xdr:col>33</xdr:col>
      <xdr:colOff>82550</xdr:colOff>
      <xdr:row>21</xdr:row>
      <xdr:rowOff>124884</xdr:rowOff>
    </xdr:to>
    <xdr:sp macro="" textlink="">
      <xdr:nvSpPr>
        <xdr:cNvPr id="23" name="正方形/長方形 22">
          <a:extLst>
            <a:ext uri="{FF2B5EF4-FFF2-40B4-BE49-F238E27FC236}">
              <a16:creationId xmlns:a16="http://schemas.microsoft.com/office/drawing/2014/main" id="{D69C7338-8BF2-4F17-886C-250ACBF401CF}"/>
            </a:ext>
          </a:extLst>
        </xdr:cNvPr>
        <xdr:cNvSpPr/>
      </xdr:nvSpPr>
      <xdr:spPr>
        <a:xfrm>
          <a:off x="5577417" y="3365501"/>
          <a:ext cx="442383" cy="2413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3.12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4</xdr:col>
      <xdr:colOff>10583</xdr:colOff>
      <xdr:row>27</xdr:row>
      <xdr:rowOff>0</xdr:rowOff>
    </xdr:from>
    <xdr:to>
      <xdr:col>6</xdr:col>
      <xdr:colOff>35983</xdr:colOff>
      <xdr:row>28</xdr:row>
      <xdr:rowOff>22225</xdr:rowOff>
    </xdr:to>
    <xdr:sp macro="" textlink="">
      <xdr:nvSpPr>
        <xdr:cNvPr id="25" name="正方形/長方形 24">
          <a:extLst>
            <a:ext uri="{FF2B5EF4-FFF2-40B4-BE49-F238E27FC236}">
              <a16:creationId xmlns:a16="http://schemas.microsoft.com/office/drawing/2014/main" id="{01467AAC-6398-4BC5-ACD9-BBDA433958D5}"/>
            </a:ext>
          </a:extLst>
        </xdr:cNvPr>
        <xdr:cNvSpPr/>
      </xdr:nvSpPr>
      <xdr:spPr>
        <a:xfrm>
          <a:off x="730250" y="4603750"/>
          <a:ext cx="385233" cy="2444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8</xdr:col>
      <xdr:colOff>148168</xdr:colOff>
      <xdr:row>32</xdr:row>
      <xdr:rowOff>137583</xdr:rowOff>
    </xdr:from>
    <xdr:to>
      <xdr:col>10</xdr:col>
      <xdr:colOff>173568</xdr:colOff>
      <xdr:row>34</xdr:row>
      <xdr:rowOff>64558</xdr:rowOff>
    </xdr:to>
    <xdr:sp macro="" textlink="">
      <xdr:nvSpPr>
        <xdr:cNvPr id="43" name="正方形/長方形 42">
          <a:extLst>
            <a:ext uri="{FF2B5EF4-FFF2-40B4-BE49-F238E27FC236}">
              <a16:creationId xmlns:a16="http://schemas.microsoft.com/office/drawing/2014/main" id="{31086FCB-C8F2-4631-8DE2-3038233CA5DE}"/>
            </a:ext>
          </a:extLst>
        </xdr:cNvPr>
        <xdr:cNvSpPr/>
      </xdr:nvSpPr>
      <xdr:spPr>
        <a:xfrm>
          <a:off x="1587501" y="5820833"/>
          <a:ext cx="385234" cy="2444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26</xdr:col>
      <xdr:colOff>178860</xdr:colOff>
      <xdr:row>33</xdr:row>
      <xdr:rowOff>30692</xdr:rowOff>
    </xdr:from>
    <xdr:to>
      <xdr:col>29</xdr:col>
      <xdr:colOff>29635</xdr:colOff>
      <xdr:row>34</xdr:row>
      <xdr:rowOff>116417</xdr:rowOff>
    </xdr:to>
    <xdr:sp macro="" textlink="">
      <xdr:nvSpPr>
        <xdr:cNvPr id="44" name="正方形/長方形 43">
          <a:extLst>
            <a:ext uri="{FF2B5EF4-FFF2-40B4-BE49-F238E27FC236}">
              <a16:creationId xmlns:a16="http://schemas.microsoft.com/office/drawing/2014/main" id="{07DB3596-A1D4-4C81-90D1-5AFFE976B882}"/>
            </a:ext>
          </a:extLst>
        </xdr:cNvPr>
        <xdr:cNvSpPr/>
      </xdr:nvSpPr>
      <xdr:spPr>
        <a:xfrm>
          <a:off x="4856693" y="5872692"/>
          <a:ext cx="390525" cy="2444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3.8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22</xdr:col>
      <xdr:colOff>122768</xdr:colOff>
      <xdr:row>33</xdr:row>
      <xdr:rowOff>7408</xdr:rowOff>
    </xdr:from>
    <xdr:to>
      <xdr:col>24</xdr:col>
      <xdr:colOff>154518</xdr:colOff>
      <xdr:row>34</xdr:row>
      <xdr:rowOff>93133</xdr:rowOff>
    </xdr:to>
    <xdr:sp macro="" textlink="">
      <xdr:nvSpPr>
        <xdr:cNvPr id="45" name="正方形/長方形 44">
          <a:extLst>
            <a:ext uri="{FF2B5EF4-FFF2-40B4-BE49-F238E27FC236}">
              <a16:creationId xmlns:a16="http://schemas.microsoft.com/office/drawing/2014/main" id="{D558EE15-998C-4671-9DFE-C34326639B7C}"/>
            </a:ext>
          </a:extLst>
        </xdr:cNvPr>
        <xdr:cNvSpPr/>
      </xdr:nvSpPr>
      <xdr:spPr>
        <a:xfrm>
          <a:off x="4080935" y="5849408"/>
          <a:ext cx="391583" cy="2444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3.7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13</xdr:col>
      <xdr:colOff>113243</xdr:colOff>
      <xdr:row>32</xdr:row>
      <xdr:rowOff>156633</xdr:rowOff>
    </xdr:from>
    <xdr:to>
      <xdr:col>15</xdr:col>
      <xdr:colOff>138643</xdr:colOff>
      <xdr:row>34</xdr:row>
      <xdr:rowOff>74083</xdr:rowOff>
    </xdr:to>
    <xdr:sp macro="" textlink="">
      <xdr:nvSpPr>
        <xdr:cNvPr id="46" name="正方形/長方形 45">
          <a:extLst>
            <a:ext uri="{FF2B5EF4-FFF2-40B4-BE49-F238E27FC236}">
              <a16:creationId xmlns:a16="http://schemas.microsoft.com/office/drawing/2014/main" id="{25C10048-15FA-4CDF-8DE6-97C22A404F39}"/>
            </a:ext>
          </a:extLst>
        </xdr:cNvPr>
        <xdr:cNvSpPr/>
      </xdr:nvSpPr>
      <xdr:spPr>
        <a:xfrm>
          <a:off x="2452160" y="5839883"/>
          <a:ext cx="385233" cy="2349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3.5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35</xdr:col>
      <xdr:colOff>119593</xdr:colOff>
      <xdr:row>33</xdr:row>
      <xdr:rowOff>32808</xdr:rowOff>
    </xdr:from>
    <xdr:to>
      <xdr:col>38</xdr:col>
      <xdr:colOff>31752</xdr:colOff>
      <xdr:row>34</xdr:row>
      <xdr:rowOff>112183</xdr:rowOff>
    </xdr:to>
    <xdr:sp macro="" textlink="">
      <xdr:nvSpPr>
        <xdr:cNvPr id="47" name="正方形/長方形 46">
          <a:extLst>
            <a:ext uri="{FF2B5EF4-FFF2-40B4-BE49-F238E27FC236}">
              <a16:creationId xmlns:a16="http://schemas.microsoft.com/office/drawing/2014/main" id="{67F47A58-BB2B-426D-AF61-7CBC21418E50}"/>
            </a:ext>
          </a:extLst>
        </xdr:cNvPr>
        <xdr:cNvSpPr/>
      </xdr:nvSpPr>
      <xdr:spPr>
        <a:xfrm>
          <a:off x="6416676" y="5874808"/>
          <a:ext cx="451909" cy="23812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3.10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30</xdr:col>
      <xdr:colOff>164043</xdr:colOff>
      <xdr:row>33</xdr:row>
      <xdr:rowOff>43391</xdr:rowOff>
    </xdr:from>
    <xdr:to>
      <xdr:col>33</xdr:col>
      <xdr:colOff>12701</xdr:colOff>
      <xdr:row>34</xdr:row>
      <xdr:rowOff>119591</xdr:rowOff>
    </xdr:to>
    <xdr:sp macro="" textlink="">
      <xdr:nvSpPr>
        <xdr:cNvPr id="48" name="正方形/長方形 47">
          <a:extLst>
            <a:ext uri="{FF2B5EF4-FFF2-40B4-BE49-F238E27FC236}">
              <a16:creationId xmlns:a16="http://schemas.microsoft.com/office/drawing/2014/main" id="{888223A6-99E8-4E4E-B632-5F2C158236AA}"/>
            </a:ext>
          </a:extLst>
        </xdr:cNvPr>
        <xdr:cNvSpPr/>
      </xdr:nvSpPr>
      <xdr:spPr>
        <a:xfrm>
          <a:off x="5561543" y="5885391"/>
          <a:ext cx="388408" cy="2349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3.9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18</xdr:col>
      <xdr:colOff>132294</xdr:colOff>
      <xdr:row>33</xdr:row>
      <xdr:rowOff>26457</xdr:rowOff>
    </xdr:from>
    <xdr:to>
      <xdr:col>20</xdr:col>
      <xdr:colOff>148169</xdr:colOff>
      <xdr:row>34</xdr:row>
      <xdr:rowOff>77257</xdr:rowOff>
    </xdr:to>
    <xdr:sp macro="" textlink="">
      <xdr:nvSpPr>
        <xdr:cNvPr id="49" name="正方形/長方形 48">
          <a:extLst>
            <a:ext uri="{FF2B5EF4-FFF2-40B4-BE49-F238E27FC236}">
              <a16:creationId xmlns:a16="http://schemas.microsoft.com/office/drawing/2014/main" id="{8B413C27-8F3A-469A-976D-1A4A573E37A4}"/>
            </a:ext>
          </a:extLst>
        </xdr:cNvPr>
        <xdr:cNvSpPr/>
      </xdr:nvSpPr>
      <xdr:spPr>
        <a:xfrm>
          <a:off x="3370794" y="5868457"/>
          <a:ext cx="375708" cy="2095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3.6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41</xdr:col>
      <xdr:colOff>6352</xdr:colOff>
      <xdr:row>33</xdr:row>
      <xdr:rowOff>7408</xdr:rowOff>
    </xdr:from>
    <xdr:to>
      <xdr:col>43</xdr:col>
      <xdr:colOff>94193</xdr:colOff>
      <xdr:row>34</xdr:row>
      <xdr:rowOff>93133</xdr:rowOff>
    </xdr:to>
    <xdr:sp macro="" textlink="">
      <xdr:nvSpPr>
        <xdr:cNvPr id="50" name="正方形/長方形 49">
          <a:extLst>
            <a:ext uri="{FF2B5EF4-FFF2-40B4-BE49-F238E27FC236}">
              <a16:creationId xmlns:a16="http://schemas.microsoft.com/office/drawing/2014/main" id="{12EBC4D0-3BC1-4D15-987E-D7A9224CFB13}"/>
            </a:ext>
          </a:extLst>
        </xdr:cNvPr>
        <xdr:cNvSpPr/>
      </xdr:nvSpPr>
      <xdr:spPr>
        <a:xfrm>
          <a:off x="7382935" y="5849408"/>
          <a:ext cx="447675" cy="2444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3.11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28575</xdr:colOff>
      <xdr:row>20</xdr:row>
      <xdr:rowOff>95251</xdr:rowOff>
    </xdr:from>
    <xdr:to>
      <xdr:col>32</xdr:col>
      <xdr:colOff>38100</xdr:colOff>
      <xdr:row>23</xdr:row>
      <xdr:rowOff>19051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8C71FAD8-4596-453B-B7D3-C6F6B965E217}"/>
            </a:ext>
          </a:extLst>
        </xdr:cNvPr>
        <xdr:cNvSpPr/>
      </xdr:nvSpPr>
      <xdr:spPr>
        <a:xfrm>
          <a:off x="3626908" y="3418418"/>
          <a:ext cx="2168525" cy="400050"/>
        </a:xfrm>
        <a:prstGeom prst="rect">
          <a:avLst/>
        </a:prstGeom>
        <a:solidFill>
          <a:srgbClr val="3366CC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marL="0" marR="0" lvl="0" indent="0" algn="ctr" defTabSz="914400" eaLnBrk="1" fontAlgn="auto" latinLnBrk="0" hangingPunct="1">
            <a:lnSpc>
              <a:spcPts val="9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000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新規申請</a:t>
          </a:r>
          <a:endParaRPr kumimoji="1" lang="en-US" altLang="ja-JP" sz="8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>
            <a:lnSpc>
              <a:spcPts val="900"/>
            </a:lnSpc>
          </a:pPr>
          <a:r>
            <a:rPr kumimoji="1" lang="en-US" altLang="ja-JP" sz="8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New</a:t>
          </a:r>
          <a:r>
            <a:rPr kumimoji="1" lang="en-US" altLang="ja-JP" sz="800" baseline="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 application</a:t>
          </a:r>
          <a:endParaRPr kumimoji="1" lang="ja-JP" altLang="en-US" sz="8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39</xdr:col>
      <xdr:colOff>123826</xdr:colOff>
      <xdr:row>30</xdr:row>
      <xdr:rowOff>25402</xdr:rowOff>
    </xdr:from>
    <xdr:to>
      <xdr:col>44</xdr:col>
      <xdr:colOff>53976</xdr:colOff>
      <xdr:row>30</xdr:row>
      <xdr:rowOff>190501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7A92A804-86EA-40BD-AD8C-829417A59D24}"/>
            </a:ext>
          </a:extLst>
        </xdr:cNvPr>
        <xdr:cNvSpPr/>
      </xdr:nvSpPr>
      <xdr:spPr>
        <a:xfrm>
          <a:off x="7178676" y="5143502"/>
          <a:ext cx="838200" cy="161924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CSV Downroad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39</xdr:col>
      <xdr:colOff>123826</xdr:colOff>
      <xdr:row>30</xdr:row>
      <xdr:rowOff>25402</xdr:rowOff>
    </xdr:from>
    <xdr:to>
      <xdr:col>44</xdr:col>
      <xdr:colOff>57151</xdr:colOff>
      <xdr:row>30</xdr:row>
      <xdr:rowOff>187326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AABB37EC-8E71-42FF-9690-67F95C8E8D79}"/>
            </a:ext>
          </a:extLst>
        </xdr:cNvPr>
        <xdr:cNvSpPr/>
      </xdr:nvSpPr>
      <xdr:spPr>
        <a:xfrm>
          <a:off x="7178676" y="5143502"/>
          <a:ext cx="841375" cy="158749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CSV Download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39</xdr:col>
      <xdr:colOff>120650</xdr:colOff>
      <xdr:row>31</xdr:row>
      <xdr:rowOff>28575</xdr:rowOff>
    </xdr:from>
    <xdr:to>
      <xdr:col>44</xdr:col>
      <xdr:colOff>53975</xdr:colOff>
      <xdr:row>31</xdr:row>
      <xdr:rowOff>193674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03F3DE7E-5C18-4052-BCCD-A7E929CEA396}"/>
            </a:ext>
          </a:extLst>
        </xdr:cNvPr>
        <xdr:cNvSpPr/>
      </xdr:nvSpPr>
      <xdr:spPr>
        <a:xfrm>
          <a:off x="7181850" y="5349875"/>
          <a:ext cx="835025" cy="168274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CSV Download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39</xdr:col>
      <xdr:colOff>123825</xdr:colOff>
      <xdr:row>32</xdr:row>
      <xdr:rowOff>28575</xdr:rowOff>
    </xdr:from>
    <xdr:to>
      <xdr:col>44</xdr:col>
      <xdr:colOff>57150</xdr:colOff>
      <xdr:row>32</xdr:row>
      <xdr:rowOff>193674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7E3B5D07-F277-4685-9C98-239FD5F54C40}"/>
            </a:ext>
          </a:extLst>
        </xdr:cNvPr>
        <xdr:cNvSpPr/>
      </xdr:nvSpPr>
      <xdr:spPr>
        <a:xfrm>
          <a:off x="7178675" y="5559425"/>
          <a:ext cx="841375" cy="168274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CSV Download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34</xdr:col>
      <xdr:colOff>168275</xdr:colOff>
      <xdr:row>31</xdr:row>
      <xdr:rowOff>44450</xdr:rowOff>
    </xdr:from>
    <xdr:to>
      <xdr:col>37</xdr:col>
      <xdr:colOff>177800</xdr:colOff>
      <xdr:row>31</xdr:row>
      <xdr:rowOff>171450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C1738CAF-E96C-4648-8547-6BACAA23AFBF}"/>
            </a:ext>
          </a:extLst>
        </xdr:cNvPr>
        <xdr:cNvSpPr/>
      </xdr:nvSpPr>
      <xdr:spPr>
        <a:xfrm>
          <a:off x="6321425" y="5372100"/>
          <a:ext cx="555625" cy="123825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Downlo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10</xdr:col>
      <xdr:colOff>152401</xdr:colOff>
      <xdr:row>9</xdr:row>
      <xdr:rowOff>19050</xdr:rowOff>
    </xdr:from>
    <xdr:to>
      <xdr:col>12</xdr:col>
      <xdr:colOff>171451</xdr:colOff>
      <xdr:row>10</xdr:row>
      <xdr:rowOff>114300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589A95FE-F896-41BC-A9BE-E08F49504AB1}"/>
            </a:ext>
          </a:extLst>
        </xdr:cNvPr>
        <xdr:cNvSpPr/>
      </xdr:nvSpPr>
      <xdr:spPr>
        <a:xfrm>
          <a:off x="1962151" y="1628775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5</xdr:col>
      <xdr:colOff>57150</xdr:colOff>
      <xdr:row>23</xdr:row>
      <xdr:rowOff>38100</xdr:rowOff>
    </xdr:from>
    <xdr:to>
      <xdr:col>7</xdr:col>
      <xdr:colOff>76200</xdr:colOff>
      <xdr:row>24</xdr:row>
      <xdr:rowOff>120650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CD807AE1-8AC8-4101-A194-69318C222936}"/>
            </a:ext>
          </a:extLst>
        </xdr:cNvPr>
        <xdr:cNvSpPr/>
      </xdr:nvSpPr>
      <xdr:spPr>
        <a:xfrm>
          <a:off x="962025" y="3905250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25</xdr:col>
      <xdr:colOff>25400</xdr:colOff>
      <xdr:row>26</xdr:row>
      <xdr:rowOff>66675</xdr:rowOff>
    </xdr:from>
    <xdr:to>
      <xdr:col>33</xdr:col>
      <xdr:colOff>141817</xdr:colOff>
      <xdr:row>27</xdr:row>
      <xdr:rowOff>76200</xdr:rowOff>
    </xdr:to>
    <xdr:grpSp>
      <xdr:nvGrpSpPr>
        <xdr:cNvPr id="10" name="グループ化 9">
          <a:extLst>
            <a:ext uri="{FF2B5EF4-FFF2-40B4-BE49-F238E27FC236}">
              <a16:creationId xmlns:a16="http://schemas.microsoft.com/office/drawing/2014/main" id="{64C8A02E-155D-4823-8CE3-89CB16E911E8}"/>
            </a:ext>
          </a:extLst>
        </xdr:cNvPr>
        <xdr:cNvGrpSpPr/>
      </xdr:nvGrpSpPr>
      <xdr:grpSpPr>
        <a:xfrm>
          <a:off x="5052483" y="4257675"/>
          <a:ext cx="1725084" cy="157692"/>
          <a:chOff x="4526492" y="4349750"/>
          <a:chExt cx="1555750" cy="171450"/>
        </a:xfrm>
      </xdr:grpSpPr>
      <xdr:grpSp>
        <xdr:nvGrpSpPr>
          <xdr:cNvPr id="11" name="グループ化 10">
            <a:extLst>
              <a:ext uri="{FF2B5EF4-FFF2-40B4-BE49-F238E27FC236}">
                <a16:creationId xmlns:a16="http://schemas.microsoft.com/office/drawing/2014/main" id="{159AB6D4-7C13-850B-09CE-B1C82A6B44C8}"/>
              </a:ext>
            </a:extLst>
          </xdr:cNvPr>
          <xdr:cNvGrpSpPr/>
        </xdr:nvGrpSpPr>
        <xdr:grpSpPr>
          <a:xfrm>
            <a:off x="4523317" y="4352925"/>
            <a:ext cx="316441" cy="168275"/>
            <a:chOff x="4552950" y="5273675"/>
            <a:chExt cx="311150" cy="174625"/>
          </a:xfrm>
        </xdr:grpSpPr>
        <xdr:sp macro="" textlink="">
          <xdr:nvSpPr>
            <xdr:cNvPr id="13" name="正方形/長方形 12">
              <a:extLst>
                <a:ext uri="{FF2B5EF4-FFF2-40B4-BE49-F238E27FC236}">
                  <a16:creationId xmlns:a16="http://schemas.microsoft.com/office/drawing/2014/main" id="{A5C447CD-B7E6-D45C-1284-5ED1024E5692}"/>
                </a:ext>
              </a:extLst>
            </xdr:cNvPr>
            <xdr:cNvSpPr/>
          </xdr:nvSpPr>
          <xdr:spPr>
            <a:xfrm>
              <a:off x="4552950" y="5273675"/>
              <a:ext cx="152400" cy="174625"/>
            </a:xfrm>
            <a:prstGeom prst="rect">
              <a:avLst/>
            </a:prstGeom>
            <a:solidFill>
              <a:schemeClr val="bg1">
                <a:lumMod val="95000"/>
              </a:schemeClr>
            </a:solidFill>
            <a:ln w="12700">
              <a:solidFill>
                <a:schemeClr val="bg1">
                  <a:lumMod val="75000"/>
                </a:schemeClr>
              </a:solidFill>
            </a:ln>
          </xdr:spPr>
          <xdr:style>
            <a:lnRef idx="2">
              <a:schemeClr val="accent1"/>
            </a:lnRef>
            <a:fillRef idx="1">
              <a:schemeClr val="lt1"/>
            </a:fillRef>
            <a:effectRef idx="0">
              <a:schemeClr val="accent1"/>
            </a:effectRef>
            <a:fontRef idx="minor">
              <a:schemeClr val="dk1"/>
            </a:fontRef>
          </xdr:style>
          <xdr:txBody>
            <a:bodyPr vertOverflow="clip" horzOverflow="clip" lIns="36000" tIns="36000" rIns="36000" bIns="36000" rtlCol="0" anchor="t"/>
            <a:lstStyle/>
            <a:p>
              <a:pPr algn="ctr">
                <a:lnSpc>
                  <a:spcPts val="900"/>
                </a:lnSpc>
              </a:pPr>
              <a:r>
                <a:rPr kumimoji="1" lang="en-US" altLang="ja-JP" sz="700">
                  <a:solidFill>
                    <a:schemeClr val="bg1">
                      <a:lumMod val="50000"/>
                    </a:schemeClr>
                  </a:solidFill>
                </a:rPr>
                <a:t>1</a:t>
              </a:r>
              <a:endParaRPr kumimoji="1" lang="ja-JP" altLang="en-US" sz="800">
                <a:solidFill>
                  <a:schemeClr val="bg1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14" name="正方形/長方形 13">
              <a:extLst>
                <a:ext uri="{FF2B5EF4-FFF2-40B4-BE49-F238E27FC236}">
                  <a16:creationId xmlns:a16="http://schemas.microsoft.com/office/drawing/2014/main" id="{854B9735-52EA-CA8D-1674-48597E68D797}"/>
                </a:ext>
              </a:extLst>
            </xdr:cNvPr>
            <xdr:cNvSpPr/>
          </xdr:nvSpPr>
          <xdr:spPr>
            <a:xfrm>
              <a:off x="4711700" y="5273675"/>
              <a:ext cx="152400" cy="171450"/>
            </a:xfrm>
            <a:prstGeom prst="rect">
              <a:avLst/>
            </a:prstGeom>
            <a:noFill/>
            <a:ln w="12700">
              <a:solidFill>
                <a:schemeClr val="bg1">
                  <a:lumMod val="75000"/>
                </a:schemeClr>
              </a:solidFill>
            </a:ln>
          </xdr:spPr>
          <xdr:style>
            <a:lnRef idx="2">
              <a:schemeClr val="accent1"/>
            </a:lnRef>
            <a:fillRef idx="1">
              <a:schemeClr val="lt1"/>
            </a:fillRef>
            <a:effectRef idx="0">
              <a:schemeClr val="accent1"/>
            </a:effectRef>
            <a:fontRef idx="minor">
              <a:schemeClr val="dk1"/>
            </a:fontRef>
          </xdr:style>
          <xdr:txBody>
            <a:bodyPr vertOverflow="clip" horzOverflow="clip" lIns="36000" tIns="36000" rIns="36000" bIns="36000" rtlCol="0" anchor="t"/>
            <a:lstStyle/>
            <a:p>
              <a:pPr algn="ctr">
                <a:lnSpc>
                  <a:spcPts val="900"/>
                </a:lnSpc>
              </a:pPr>
              <a:r>
                <a:rPr kumimoji="1" lang="en-US" altLang="ja-JP" sz="700">
                  <a:solidFill>
                    <a:srgbClr val="00B0F0"/>
                  </a:solidFill>
                </a:rPr>
                <a:t>2</a:t>
              </a:r>
              <a:endParaRPr kumimoji="1" lang="ja-JP" altLang="en-US" sz="800">
                <a:solidFill>
                  <a:srgbClr val="00B0F0"/>
                </a:solidFill>
              </a:endParaRPr>
            </a:p>
          </xdr:txBody>
        </xdr:sp>
      </xdr:grpSp>
      <xdr:sp macro="" textlink="">
        <xdr:nvSpPr>
          <xdr:cNvPr id="12" name="四角形: 角を丸くする 11">
            <a:extLst>
              <a:ext uri="{FF2B5EF4-FFF2-40B4-BE49-F238E27FC236}">
                <a16:creationId xmlns:a16="http://schemas.microsoft.com/office/drawing/2014/main" id="{BA228B3F-57DD-B8F9-9641-647F630B5F9C}"/>
              </a:ext>
            </a:extLst>
          </xdr:cNvPr>
          <xdr:cNvSpPr/>
        </xdr:nvSpPr>
        <xdr:spPr>
          <a:xfrm>
            <a:off x="4902200" y="4397375"/>
            <a:ext cx="1180042" cy="97367"/>
          </a:xfrm>
          <a:prstGeom prst="roundRect">
            <a:avLst/>
          </a:prstGeom>
          <a:solidFill>
            <a:schemeClr val="bg1">
              <a:lumMod val="75000"/>
            </a:schemeClr>
          </a:solidFill>
          <a:ln w="12700"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lIns="36000" tIns="36000" rIns="36000" bIns="36000" rtlCol="0" anchor="ctr"/>
          <a:lstStyle/>
          <a:p>
            <a:pPr algn="ctr">
              <a:lnSpc>
                <a:spcPts val="900"/>
              </a:lnSpc>
            </a:pPr>
            <a:r>
              <a:rPr kumimoji="1" lang="en-US" altLang="ja-JP" sz="800">
                <a:solidFill>
                  <a:schemeClr val="bg1"/>
                </a:solidFill>
              </a:rPr>
              <a:t>104</a:t>
            </a:r>
            <a:r>
              <a:rPr kumimoji="1" lang="ja-JP" altLang="en-US" sz="800" baseline="0">
                <a:solidFill>
                  <a:schemeClr val="bg1"/>
                </a:solidFill>
              </a:rPr>
              <a:t> </a:t>
            </a:r>
            <a:r>
              <a:rPr kumimoji="1" lang="en-US" altLang="ja-JP" sz="800" baseline="0">
                <a:solidFill>
                  <a:schemeClr val="bg1"/>
                </a:solidFill>
              </a:rPr>
              <a:t>results (2 of2 pages)</a:t>
            </a:r>
            <a:endParaRPr kumimoji="1" lang="ja-JP" altLang="en-US" sz="8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26</xdr:col>
      <xdr:colOff>161925</xdr:colOff>
      <xdr:row>24</xdr:row>
      <xdr:rowOff>161925</xdr:rowOff>
    </xdr:from>
    <xdr:to>
      <xdr:col>29</xdr:col>
      <xdr:colOff>0</xdr:colOff>
      <xdr:row>26</xdr:row>
      <xdr:rowOff>85725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1DFEB044-059C-4A76-9A77-42556C7D0542}"/>
            </a:ext>
          </a:extLst>
        </xdr:cNvPr>
        <xdr:cNvSpPr/>
      </xdr:nvSpPr>
      <xdr:spPr>
        <a:xfrm>
          <a:off x="4864100" y="4187825"/>
          <a:ext cx="384175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8</xdr:col>
      <xdr:colOff>66675</xdr:colOff>
      <xdr:row>26</xdr:row>
      <xdr:rowOff>76200</xdr:rowOff>
    </xdr:from>
    <xdr:to>
      <xdr:col>10</xdr:col>
      <xdr:colOff>92075</xdr:colOff>
      <xdr:row>27</xdr:row>
      <xdr:rowOff>158750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89E2BF9C-B287-4F26-9799-40DEBD7E3508}"/>
            </a:ext>
          </a:extLst>
        </xdr:cNvPr>
        <xdr:cNvSpPr/>
      </xdr:nvSpPr>
      <xdr:spPr>
        <a:xfrm>
          <a:off x="1511300" y="4429125"/>
          <a:ext cx="390525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</xdr:col>
      <xdr:colOff>152400</xdr:colOff>
      <xdr:row>27</xdr:row>
      <xdr:rowOff>85725</xdr:rowOff>
    </xdr:from>
    <xdr:to>
      <xdr:col>5</xdr:col>
      <xdr:colOff>177800</xdr:colOff>
      <xdr:row>28</xdr:row>
      <xdr:rowOff>168275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E23CEE48-1CE3-4F8C-8A30-E7B0C1FDBE31}"/>
            </a:ext>
          </a:extLst>
        </xdr:cNvPr>
        <xdr:cNvSpPr/>
      </xdr:nvSpPr>
      <xdr:spPr>
        <a:xfrm>
          <a:off x="695325" y="4597400"/>
          <a:ext cx="390525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25</xdr:col>
      <xdr:colOff>171450</xdr:colOff>
      <xdr:row>27</xdr:row>
      <xdr:rowOff>123825</xdr:rowOff>
    </xdr:from>
    <xdr:to>
      <xdr:col>28</xdr:col>
      <xdr:colOff>15875</xdr:colOff>
      <xdr:row>28</xdr:row>
      <xdr:rowOff>206375</xdr:rowOff>
    </xdr:to>
    <xdr:sp macro="" textlink="">
      <xdr:nvSpPr>
        <xdr:cNvPr id="18" name="正方形/長方形 17">
          <a:extLst>
            <a:ext uri="{FF2B5EF4-FFF2-40B4-BE49-F238E27FC236}">
              <a16:creationId xmlns:a16="http://schemas.microsoft.com/office/drawing/2014/main" id="{7EC6D3A4-3D1A-4A77-B736-3EA19EE42C79}"/>
            </a:ext>
          </a:extLst>
        </xdr:cNvPr>
        <xdr:cNvSpPr/>
      </xdr:nvSpPr>
      <xdr:spPr>
        <a:xfrm>
          <a:off x="4695825" y="4635500"/>
          <a:ext cx="38735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3.8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22</xdr:col>
      <xdr:colOff>38100</xdr:colOff>
      <xdr:row>26</xdr:row>
      <xdr:rowOff>104775</xdr:rowOff>
    </xdr:from>
    <xdr:to>
      <xdr:col>24</xdr:col>
      <xdr:colOff>63500</xdr:colOff>
      <xdr:row>28</xdr:row>
      <xdr:rowOff>25400</xdr:rowOff>
    </xdr:to>
    <xdr:sp macro="" textlink="">
      <xdr:nvSpPr>
        <xdr:cNvPr id="19" name="正方形/長方形 18">
          <a:extLst>
            <a:ext uri="{FF2B5EF4-FFF2-40B4-BE49-F238E27FC236}">
              <a16:creationId xmlns:a16="http://schemas.microsoft.com/office/drawing/2014/main" id="{14669DD9-EF99-4DCA-B211-AC4D233C8CCE}"/>
            </a:ext>
          </a:extLst>
        </xdr:cNvPr>
        <xdr:cNvSpPr/>
      </xdr:nvSpPr>
      <xdr:spPr>
        <a:xfrm>
          <a:off x="4019550" y="4454525"/>
          <a:ext cx="390525" cy="25082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3.7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13</xdr:col>
      <xdr:colOff>28575</xdr:colOff>
      <xdr:row>26</xdr:row>
      <xdr:rowOff>95250</xdr:rowOff>
    </xdr:from>
    <xdr:to>
      <xdr:col>15</xdr:col>
      <xdr:colOff>53975</xdr:colOff>
      <xdr:row>28</xdr:row>
      <xdr:rowOff>15875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98D9C524-AFCC-4545-84F0-20896637E77D}"/>
            </a:ext>
          </a:extLst>
        </xdr:cNvPr>
        <xdr:cNvSpPr/>
      </xdr:nvSpPr>
      <xdr:spPr>
        <a:xfrm>
          <a:off x="2378075" y="4448175"/>
          <a:ext cx="390525" cy="2444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3.5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35</xdr:col>
      <xdr:colOff>34925</xdr:colOff>
      <xdr:row>26</xdr:row>
      <xdr:rowOff>130175</xdr:rowOff>
    </xdr:from>
    <xdr:to>
      <xdr:col>37</xdr:col>
      <xdr:colOff>120650</xdr:colOff>
      <xdr:row>28</xdr:row>
      <xdr:rowOff>53975</xdr:rowOff>
    </xdr:to>
    <xdr:sp macro="" textlink="">
      <xdr:nvSpPr>
        <xdr:cNvPr id="21" name="正方形/長方形 20">
          <a:extLst>
            <a:ext uri="{FF2B5EF4-FFF2-40B4-BE49-F238E27FC236}">
              <a16:creationId xmlns:a16="http://schemas.microsoft.com/office/drawing/2014/main" id="{EABA4CE0-7012-4096-8222-D3D2C96F821D}"/>
            </a:ext>
          </a:extLst>
        </xdr:cNvPr>
        <xdr:cNvSpPr/>
      </xdr:nvSpPr>
      <xdr:spPr>
        <a:xfrm>
          <a:off x="6369050" y="4483100"/>
          <a:ext cx="45085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3.10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31</xdr:col>
      <xdr:colOff>47625</xdr:colOff>
      <xdr:row>27</xdr:row>
      <xdr:rowOff>95250</xdr:rowOff>
    </xdr:from>
    <xdr:to>
      <xdr:col>33</xdr:col>
      <xdr:colOff>76200</xdr:colOff>
      <xdr:row>28</xdr:row>
      <xdr:rowOff>180975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9BF02A47-82AA-4B41-9825-323458BDCD2F}"/>
            </a:ext>
          </a:extLst>
        </xdr:cNvPr>
        <xdr:cNvSpPr/>
      </xdr:nvSpPr>
      <xdr:spPr>
        <a:xfrm>
          <a:off x="5654675" y="4610100"/>
          <a:ext cx="393700" cy="2444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3.9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18</xdr:col>
      <xdr:colOff>47626</xdr:colOff>
      <xdr:row>26</xdr:row>
      <xdr:rowOff>123824</xdr:rowOff>
    </xdr:from>
    <xdr:to>
      <xdr:col>20</xdr:col>
      <xdr:colOff>66676</xdr:colOff>
      <xdr:row>28</xdr:row>
      <xdr:rowOff>19049</xdr:rowOff>
    </xdr:to>
    <xdr:sp macro="" textlink="">
      <xdr:nvSpPr>
        <xdr:cNvPr id="23" name="正方形/長方形 22">
          <a:extLst>
            <a:ext uri="{FF2B5EF4-FFF2-40B4-BE49-F238E27FC236}">
              <a16:creationId xmlns:a16="http://schemas.microsoft.com/office/drawing/2014/main" id="{178FAE26-526D-4CA2-8A08-1D892979D95F}"/>
            </a:ext>
          </a:extLst>
        </xdr:cNvPr>
        <xdr:cNvSpPr/>
      </xdr:nvSpPr>
      <xdr:spPr>
        <a:xfrm>
          <a:off x="3302001" y="4479924"/>
          <a:ext cx="381000" cy="2159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3.6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6</xdr:col>
      <xdr:colOff>76200</xdr:colOff>
      <xdr:row>27</xdr:row>
      <xdr:rowOff>123824</xdr:rowOff>
    </xdr:from>
    <xdr:to>
      <xdr:col>45</xdr:col>
      <xdr:colOff>130176</xdr:colOff>
      <xdr:row>33</xdr:row>
      <xdr:rowOff>38099</xdr:rowOff>
    </xdr:to>
    <xdr:sp macro="" textlink="">
      <xdr:nvSpPr>
        <xdr:cNvPr id="24" name="角丸四角形 78">
          <a:extLst>
            <a:ext uri="{FF2B5EF4-FFF2-40B4-BE49-F238E27FC236}">
              <a16:creationId xmlns:a16="http://schemas.microsoft.com/office/drawing/2014/main" id="{C4444F6F-ADEB-4194-9D0A-90257BF70A30}"/>
            </a:ext>
          </a:extLst>
        </xdr:cNvPr>
        <xdr:cNvSpPr/>
      </xdr:nvSpPr>
      <xdr:spPr>
        <a:xfrm>
          <a:off x="1162050" y="4641849"/>
          <a:ext cx="7112001" cy="1139825"/>
        </a:xfrm>
        <a:prstGeom prst="roundRect">
          <a:avLst/>
        </a:prstGeom>
        <a:noFill/>
        <a:ln w="63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40</xdr:col>
      <xdr:colOff>104775</xdr:colOff>
      <xdr:row>26</xdr:row>
      <xdr:rowOff>104775</xdr:rowOff>
    </xdr:from>
    <xdr:to>
      <xdr:col>43</xdr:col>
      <xdr:colOff>9525</xdr:colOff>
      <xdr:row>28</xdr:row>
      <xdr:rowOff>25400</xdr:rowOff>
    </xdr:to>
    <xdr:sp macro="" textlink="">
      <xdr:nvSpPr>
        <xdr:cNvPr id="25" name="正方形/長方形 24">
          <a:extLst>
            <a:ext uri="{FF2B5EF4-FFF2-40B4-BE49-F238E27FC236}">
              <a16:creationId xmlns:a16="http://schemas.microsoft.com/office/drawing/2014/main" id="{6F52CF76-7823-4B40-8F22-1D93FB83CA93}"/>
            </a:ext>
          </a:extLst>
        </xdr:cNvPr>
        <xdr:cNvSpPr/>
      </xdr:nvSpPr>
      <xdr:spPr>
        <a:xfrm>
          <a:off x="7340600" y="4454525"/>
          <a:ext cx="447675" cy="25082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3.11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16</xdr:col>
      <xdr:colOff>114300</xdr:colOff>
      <xdr:row>20</xdr:row>
      <xdr:rowOff>59266</xdr:rowOff>
    </xdr:from>
    <xdr:to>
      <xdr:col>19</xdr:col>
      <xdr:colOff>20108</xdr:colOff>
      <xdr:row>21</xdr:row>
      <xdr:rowOff>148166</xdr:rowOff>
    </xdr:to>
    <xdr:sp macro="" textlink="">
      <xdr:nvSpPr>
        <xdr:cNvPr id="26" name="正方形/長方形 25">
          <a:extLst>
            <a:ext uri="{FF2B5EF4-FFF2-40B4-BE49-F238E27FC236}">
              <a16:creationId xmlns:a16="http://schemas.microsoft.com/office/drawing/2014/main" id="{5BBCFEEB-B826-4895-8F6C-AD7EC06998DE}"/>
            </a:ext>
          </a:extLst>
        </xdr:cNvPr>
        <xdr:cNvSpPr/>
      </xdr:nvSpPr>
      <xdr:spPr>
        <a:xfrm>
          <a:off x="2992967" y="3382433"/>
          <a:ext cx="445558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3.12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9</xdr:col>
      <xdr:colOff>127001</xdr:colOff>
      <xdr:row>6</xdr:row>
      <xdr:rowOff>45508</xdr:rowOff>
    </xdr:from>
    <xdr:to>
      <xdr:col>11</xdr:col>
      <xdr:colOff>146052</xdr:colOff>
      <xdr:row>7</xdr:row>
      <xdr:rowOff>26459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BE36935B-ED84-44AC-89ED-E47D62951693}"/>
            </a:ext>
          </a:extLst>
        </xdr:cNvPr>
        <xdr:cNvSpPr/>
      </xdr:nvSpPr>
      <xdr:spPr>
        <a:xfrm>
          <a:off x="1746251" y="902758"/>
          <a:ext cx="378884" cy="245534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0</xdr:col>
      <xdr:colOff>0</xdr:colOff>
      <xdr:row>36</xdr:row>
      <xdr:rowOff>85725</xdr:rowOff>
    </xdr:from>
    <xdr:to>
      <xdr:col>10</xdr:col>
      <xdr:colOff>19050</xdr:colOff>
      <xdr:row>37</xdr:row>
      <xdr:rowOff>171450</xdr:rowOff>
    </xdr:to>
    <xdr:sp macro="" textlink="">
      <xdr:nvSpPr>
        <xdr:cNvPr id="27" name="線吹き出し 1 (枠付き) 12">
          <a:extLst>
            <a:ext uri="{FF2B5EF4-FFF2-40B4-BE49-F238E27FC236}">
              <a16:creationId xmlns:a16="http://schemas.microsoft.com/office/drawing/2014/main" id="{41E8B6E0-F020-44BC-90D9-04990363B089}"/>
            </a:ext>
          </a:extLst>
        </xdr:cNvPr>
        <xdr:cNvSpPr/>
      </xdr:nvSpPr>
      <xdr:spPr>
        <a:xfrm>
          <a:off x="0" y="6102350"/>
          <a:ext cx="1828800" cy="279400"/>
        </a:xfrm>
        <a:prstGeom prst="borderCallout1">
          <a:avLst>
            <a:gd name="adj1" fmla="val 112916"/>
            <a:gd name="adj2" fmla="val 7511"/>
            <a:gd name="adj3" fmla="val 161448"/>
            <a:gd name="adj4" fmla="val 8482"/>
          </a:avLst>
        </a:prstGeom>
        <a:solidFill>
          <a:schemeClr val="accent3">
            <a:lumMod val="40000"/>
            <a:lumOff val="60000"/>
          </a:schemeClr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．申請ドキュメント</a:t>
          </a:r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CSV(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イメージ</a:t>
          </a:r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)</a:t>
          </a:r>
          <a:endParaRPr kumimoji="1" lang="ja-JP" altLang="en-US" sz="9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21</xdr:col>
      <xdr:colOff>38099</xdr:colOff>
      <xdr:row>38</xdr:row>
      <xdr:rowOff>76198</xdr:rowOff>
    </xdr:from>
    <xdr:to>
      <xdr:col>48</xdr:col>
      <xdr:colOff>161924</xdr:colOff>
      <xdr:row>38</xdr:row>
      <xdr:rowOff>152399</xdr:rowOff>
    </xdr:to>
    <xdr:sp macro="" textlink="">
      <xdr:nvSpPr>
        <xdr:cNvPr id="28" name="右大かっこ 27">
          <a:extLst>
            <a:ext uri="{FF2B5EF4-FFF2-40B4-BE49-F238E27FC236}">
              <a16:creationId xmlns:a16="http://schemas.microsoft.com/office/drawing/2014/main" id="{84FEB974-09D2-486D-BFC5-66CE6ADF4D51}"/>
            </a:ext>
          </a:extLst>
        </xdr:cNvPr>
        <xdr:cNvSpPr/>
      </xdr:nvSpPr>
      <xdr:spPr>
        <a:xfrm rot="5400000" flipH="1">
          <a:off x="6307136" y="4008436"/>
          <a:ext cx="76201" cy="5013325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endParaRPr lang="ja-JP" altLang="en-US"/>
        </a:p>
      </xdr:txBody>
    </xdr:sp>
    <xdr:clientData/>
  </xdr:twoCellAnchor>
  <xdr:twoCellAnchor>
    <xdr:from>
      <xdr:col>2</xdr:col>
      <xdr:colOff>57150</xdr:colOff>
      <xdr:row>38</xdr:row>
      <xdr:rowOff>66675</xdr:rowOff>
    </xdr:from>
    <xdr:to>
      <xdr:col>4</xdr:col>
      <xdr:colOff>114300</xdr:colOff>
      <xdr:row>39</xdr:row>
      <xdr:rowOff>104775</xdr:rowOff>
    </xdr:to>
    <xdr:sp macro="" textlink="">
      <xdr:nvSpPr>
        <xdr:cNvPr id="29" name="正方形/長方形 28">
          <a:extLst>
            <a:ext uri="{FF2B5EF4-FFF2-40B4-BE49-F238E27FC236}">
              <a16:creationId xmlns:a16="http://schemas.microsoft.com/office/drawing/2014/main" id="{F7C9DFF6-A6AD-4038-914D-AC10282B7C13}"/>
            </a:ext>
          </a:extLst>
        </xdr:cNvPr>
        <xdr:cNvSpPr/>
      </xdr:nvSpPr>
      <xdr:spPr>
        <a:xfrm>
          <a:off x="419100" y="6464300"/>
          <a:ext cx="419100" cy="2286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34</xdr:col>
      <xdr:colOff>0</xdr:colOff>
      <xdr:row>37</xdr:row>
      <xdr:rowOff>6350</xdr:rowOff>
    </xdr:from>
    <xdr:to>
      <xdr:col>36</xdr:col>
      <xdr:colOff>57150</xdr:colOff>
      <xdr:row>38</xdr:row>
      <xdr:rowOff>44450</xdr:rowOff>
    </xdr:to>
    <xdr:sp macro="" textlink="">
      <xdr:nvSpPr>
        <xdr:cNvPr id="30" name="正方形/長方形 29">
          <a:extLst>
            <a:ext uri="{FF2B5EF4-FFF2-40B4-BE49-F238E27FC236}">
              <a16:creationId xmlns:a16="http://schemas.microsoft.com/office/drawing/2014/main" id="{DB642E6B-DB0E-42FB-A28F-71D531BDC048}"/>
            </a:ext>
          </a:extLst>
        </xdr:cNvPr>
        <xdr:cNvSpPr/>
      </xdr:nvSpPr>
      <xdr:spPr>
        <a:xfrm>
          <a:off x="6153150" y="6219825"/>
          <a:ext cx="419100" cy="2286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4.6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17</xdr:col>
      <xdr:colOff>152400</xdr:colOff>
      <xdr:row>38</xdr:row>
      <xdr:rowOff>15875</xdr:rowOff>
    </xdr:from>
    <xdr:to>
      <xdr:col>20</xdr:col>
      <xdr:colOff>28575</xdr:colOff>
      <xdr:row>39</xdr:row>
      <xdr:rowOff>53975</xdr:rowOff>
    </xdr:to>
    <xdr:sp macro="" textlink="">
      <xdr:nvSpPr>
        <xdr:cNvPr id="31" name="正方形/長方形 30">
          <a:extLst>
            <a:ext uri="{FF2B5EF4-FFF2-40B4-BE49-F238E27FC236}">
              <a16:creationId xmlns:a16="http://schemas.microsoft.com/office/drawing/2014/main" id="{339ACD2A-832A-4E33-B713-6AFD6F8A06CA}"/>
            </a:ext>
          </a:extLst>
        </xdr:cNvPr>
        <xdr:cNvSpPr/>
      </xdr:nvSpPr>
      <xdr:spPr>
        <a:xfrm>
          <a:off x="3228975" y="6416675"/>
          <a:ext cx="415925" cy="2286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4.5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13</xdr:col>
      <xdr:colOff>139700</xdr:colOff>
      <xdr:row>37</xdr:row>
      <xdr:rowOff>161925</xdr:rowOff>
    </xdr:from>
    <xdr:to>
      <xdr:col>16</xdr:col>
      <xdr:colOff>15875</xdr:colOff>
      <xdr:row>39</xdr:row>
      <xdr:rowOff>9525</xdr:rowOff>
    </xdr:to>
    <xdr:sp macro="" textlink="">
      <xdr:nvSpPr>
        <xdr:cNvPr id="32" name="正方形/長方形 31">
          <a:extLst>
            <a:ext uri="{FF2B5EF4-FFF2-40B4-BE49-F238E27FC236}">
              <a16:creationId xmlns:a16="http://schemas.microsoft.com/office/drawing/2014/main" id="{2196D2FE-31DF-4B02-812D-AC21C33E76BD}"/>
            </a:ext>
          </a:extLst>
        </xdr:cNvPr>
        <xdr:cNvSpPr/>
      </xdr:nvSpPr>
      <xdr:spPr>
        <a:xfrm>
          <a:off x="2495550" y="6369050"/>
          <a:ext cx="415925" cy="2286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9</xdr:col>
      <xdr:colOff>161925</xdr:colOff>
      <xdr:row>38</xdr:row>
      <xdr:rowOff>34925</xdr:rowOff>
    </xdr:from>
    <xdr:to>
      <xdr:col>12</xdr:col>
      <xdr:colOff>38100</xdr:colOff>
      <xdr:row>39</xdr:row>
      <xdr:rowOff>73025</xdr:rowOff>
    </xdr:to>
    <xdr:sp macro="" textlink="">
      <xdr:nvSpPr>
        <xdr:cNvPr id="33" name="正方形/長方形 32">
          <a:extLst>
            <a:ext uri="{FF2B5EF4-FFF2-40B4-BE49-F238E27FC236}">
              <a16:creationId xmlns:a16="http://schemas.microsoft.com/office/drawing/2014/main" id="{711ECB34-D7D2-4627-B9BE-566A865F0BA5}"/>
            </a:ext>
          </a:extLst>
        </xdr:cNvPr>
        <xdr:cNvSpPr/>
      </xdr:nvSpPr>
      <xdr:spPr>
        <a:xfrm>
          <a:off x="1787525" y="6435725"/>
          <a:ext cx="422275" cy="2286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5</xdr:col>
      <xdr:colOff>152400</xdr:colOff>
      <xdr:row>38</xdr:row>
      <xdr:rowOff>63500</xdr:rowOff>
    </xdr:from>
    <xdr:to>
      <xdr:col>8</xdr:col>
      <xdr:colOff>28575</xdr:colOff>
      <xdr:row>39</xdr:row>
      <xdr:rowOff>101600</xdr:rowOff>
    </xdr:to>
    <xdr:sp macro="" textlink="">
      <xdr:nvSpPr>
        <xdr:cNvPr id="34" name="正方形/長方形 33">
          <a:extLst>
            <a:ext uri="{FF2B5EF4-FFF2-40B4-BE49-F238E27FC236}">
              <a16:creationId xmlns:a16="http://schemas.microsoft.com/office/drawing/2014/main" id="{261251B0-0D73-498F-A419-7BCD29408ECB}"/>
            </a:ext>
          </a:extLst>
        </xdr:cNvPr>
        <xdr:cNvSpPr/>
      </xdr:nvSpPr>
      <xdr:spPr>
        <a:xfrm>
          <a:off x="1057275" y="6467475"/>
          <a:ext cx="415925" cy="2286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38</xdr:col>
      <xdr:colOff>105833</xdr:colOff>
      <xdr:row>8</xdr:row>
      <xdr:rowOff>74083</xdr:rowOff>
    </xdr:from>
    <xdr:to>
      <xdr:col>47</xdr:col>
      <xdr:colOff>190500</xdr:colOff>
      <xdr:row>10</xdr:row>
      <xdr:rowOff>116416</xdr:rowOff>
    </xdr:to>
    <xdr:sp macro="" textlink="">
      <xdr:nvSpPr>
        <xdr:cNvPr id="36" name="正方形/長方形 35">
          <a:extLst>
            <a:ext uri="{FF2B5EF4-FFF2-40B4-BE49-F238E27FC236}">
              <a16:creationId xmlns:a16="http://schemas.microsoft.com/office/drawing/2014/main" id="{49D4EA38-B117-87E1-26D6-B072096331E0}"/>
            </a:ext>
          </a:extLst>
        </xdr:cNvPr>
        <xdr:cNvSpPr/>
      </xdr:nvSpPr>
      <xdr:spPr>
        <a:xfrm>
          <a:off x="7747000" y="1354666"/>
          <a:ext cx="1894417" cy="497417"/>
        </a:xfrm>
        <a:prstGeom prst="rect">
          <a:avLst/>
        </a:prstGeom>
        <a:ln/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ログインに関する記載が無い。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テーブル構成は？要</a:t>
          </a:r>
          <a:r>
            <a:rPr kumimoji="1" lang="en-US" altLang="ja-JP" sz="800">
              <a:solidFill>
                <a:sysClr val="windowText" lastClr="000000"/>
              </a:solidFill>
            </a:rPr>
            <a:t>ER</a:t>
          </a:r>
          <a:r>
            <a:rPr kumimoji="1" lang="ja-JP" altLang="en-US" sz="800">
              <a:solidFill>
                <a:sysClr val="windowText" lastClr="000000"/>
              </a:solidFill>
            </a:rPr>
            <a:t>図作成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日英併記と切替を確定すること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73</xdr:col>
      <xdr:colOff>84667</xdr:colOff>
      <xdr:row>13</xdr:row>
      <xdr:rowOff>52916</xdr:rowOff>
    </xdr:from>
    <xdr:to>
      <xdr:col>83</xdr:col>
      <xdr:colOff>148167</xdr:colOff>
      <xdr:row>17</xdr:row>
      <xdr:rowOff>0</xdr:rowOff>
    </xdr:to>
    <xdr:sp macro="" textlink="">
      <xdr:nvSpPr>
        <xdr:cNvPr id="37" name="正方形/長方形 36">
          <a:extLst>
            <a:ext uri="{FF2B5EF4-FFF2-40B4-BE49-F238E27FC236}">
              <a16:creationId xmlns:a16="http://schemas.microsoft.com/office/drawing/2014/main" id="{C233C403-974A-CF61-0F52-0A5977C7227D}"/>
            </a:ext>
          </a:extLst>
        </xdr:cNvPr>
        <xdr:cNvSpPr/>
      </xdr:nvSpPr>
      <xdr:spPr>
        <a:xfrm>
          <a:off x="14763750" y="2233083"/>
          <a:ext cx="2074334" cy="539750"/>
        </a:xfrm>
        <a:prstGeom prst="rect">
          <a:avLst/>
        </a:prstGeom>
        <a:ln/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要①の詳細説明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SmartEdit</a:t>
          </a:r>
          <a:r>
            <a:rPr kumimoji="1" lang="ja-JP" altLang="en-US" sz="800">
              <a:solidFill>
                <a:sysClr val="windowText" lastClr="000000"/>
              </a:solidFill>
            </a:rPr>
            <a:t>はシステムに関係あるのか？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運用に関する補足なら注記とする。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72</xdr:col>
      <xdr:colOff>169333</xdr:colOff>
      <xdr:row>27</xdr:row>
      <xdr:rowOff>127000</xdr:rowOff>
    </xdr:from>
    <xdr:to>
      <xdr:col>83</xdr:col>
      <xdr:colOff>31750</xdr:colOff>
      <xdr:row>31</xdr:row>
      <xdr:rowOff>105834</xdr:rowOff>
    </xdr:to>
    <xdr:sp macro="" textlink="">
      <xdr:nvSpPr>
        <xdr:cNvPr id="39" name="正方形/長方形 38">
          <a:extLst>
            <a:ext uri="{FF2B5EF4-FFF2-40B4-BE49-F238E27FC236}">
              <a16:creationId xmlns:a16="http://schemas.microsoft.com/office/drawing/2014/main" id="{6CF72178-8144-47DC-9071-7F55720BC730}"/>
            </a:ext>
          </a:extLst>
        </xdr:cNvPr>
        <xdr:cNvSpPr/>
      </xdr:nvSpPr>
      <xdr:spPr>
        <a:xfrm>
          <a:off x="14647333" y="4466167"/>
          <a:ext cx="2074334" cy="762000"/>
        </a:xfrm>
        <a:prstGeom prst="rect">
          <a:avLst/>
        </a:prstGeom>
        <a:ln/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検索のトリガは？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受付最新とはテーブルに受付日があると思うが</a:t>
          </a:r>
          <a:r>
            <a:rPr kumimoji="1" lang="en-US" altLang="ja-JP" sz="800">
              <a:solidFill>
                <a:sysClr val="windowText" lastClr="000000"/>
              </a:solidFill>
            </a:rPr>
            <a:t>ER</a:t>
          </a:r>
          <a:r>
            <a:rPr kumimoji="1" lang="ja-JP" altLang="en-US" sz="800">
              <a:solidFill>
                <a:sysClr val="windowText" lastClr="000000"/>
              </a:solidFill>
            </a:rPr>
            <a:t>図が無いと分からない。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2018</a:t>
          </a:r>
          <a:r>
            <a:rPr kumimoji="1" lang="ja-JP" altLang="en-US" sz="800">
              <a:solidFill>
                <a:sysClr val="windowText" lastClr="000000"/>
              </a:solidFill>
            </a:rPr>
            <a:t>年の採番ルールについては今回のシステムとは関係ないと思うので、その旨を記載してください</a:t>
          </a:r>
        </a:p>
      </xdr:txBody>
    </xdr:sp>
    <xdr:clientData/>
  </xdr:twoCellAnchor>
  <xdr:twoCellAnchor>
    <xdr:from>
      <xdr:col>72</xdr:col>
      <xdr:colOff>42333</xdr:colOff>
      <xdr:row>42</xdr:row>
      <xdr:rowOff>42333</xdr:rowOff>
    </xdr:from>
    <xdr:to>
      <xdr:col>82</xdr:col>
      <xdr:colOff>105834</xdr:colOff>
      <xdr:row>45</xdr:row>
      <xdr:rowOff>52917</xdr:rowOff>
    </xdr:to>
    <xdr:sp macro="" textlink="">
      <xdr:nvSpPr>
        <xdr:cNvPr id="41" name="正方形/長方形 40">
          <a:extLst>
            <a:ext uri="{FF2B5EF4-FFF2-40B4-BE49-F238E27FC236}">
              <a16:creationId xmlns:a16="http://schemas.microsoft.com/office/drawing/2014/main" id="{D6A4BB8E-B80A-532A-637D-FBF10D6B45B0}"/>
            </a:ext>
          </a:extLst>
        </xdr:cNvPr>
        <xdr:cNvSpPr/>
      </xdr:nvSpPr>
      <xdr:spPr>
        <a:xfrm>
          <a:off x="14520333" y="7270750"/>
          <a:ext cx="2074334" cy="613834"/>
        </a:xfrm>
        <a:prstGeom prst="rect">
          <a:avLst/>
        </a:prstGeom>
        <a:ln/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画面項目に記載しているのであればここに細かい定義の記載不要。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「処理中」の場合は</a:t>
          </a:r>
          <a:r>
            <a:rPr kumimoji="1" lang="en-US" altLang="ja-JP" sz="800">
              <a:solidFill>
                <a:sysClr val="windowText" lastClr="000000"/>
              </a:solidFill>
            </a:rPr>
            <a:t>NULL</a:t>
          </a:r>
          <a:r>
            <a:rPr kumimoji="1" lang="ja-JP" altLang="en-US" sz="800">
              <a:solidFill>
                <a:sysClr val="windowText" lastClr="000000"/>
              </a:solidFill>
            </a:rPr>
            <a:t>なども画面項目に記載すること</a:t>
          </a:r>
        </a:p>
      </xdr:txBody>
    </xdr:sp>
    <xdr:clientData/>
  </xdr:twoCellAnchor>
  <xdr:twoCellAnchor>
    <xdr:from>
      <xdr:col>72</xdr:col>
      <xdr:colOff>169333</xdr:colOff>
      <xdr:row>53</xdr:row>
      <xdr:rowOff>148167</xdr:rowOff>
    </xdr:from>
    <xdr:to>
      <xdr:col>83</xdr:col>
      <xdr:colOff>31750</xdr:colOff>
      <xdr:row>56</xdr:row>
      <xdr:rowOff>169334</xdr:rowOff>
    </xdr:to>
    <xdr:sp macro="" textlink="">
      <xdr:nvSpPr>
        <xdr:cNvPr id="43" name="正方形/長方形 42">
          <a:extLst>
            <a:ext uri="{FF2B5EF4-FFF2-40B4-BE49-F238E27FC236}">
              <a16:creationId xmlns:a16="http://schemas.microsoft.com/office/drawing/2014/main" id="{2A902B3D-6B50-4153-93BF-0DF05AA6A420}"/>
            </a:ext>
          </a:extLst>
        </xdr:cNvPr>
        <xdr:cNvSpPr/>
      </xdr:nvSpPr>
      <xdr:spPr>
        <a:xfrm>
          <a:off x="14647333" y="9588500"/>
          <a:ext cx="2074334" cy="613834"/>
        </a:xfrm>
        <a:prstGeom prst="rect">
          <a:avLst/>
        </a:prstGeom>
        <a:ln/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証明書ファイルの完成日はテーブルに持っているのか？この項目の更新要領はどこかに記載されている？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73</xdr:col>
      <xdr:colOff>42334</xdr:colOff>
      <xdr:row>63</xdr:row>
      <xdr:rowOff>0</xdr:rowOff>
    </xdr:from>
    <xdr:to>
      <xdr:col>83</xdr:col>
      <xdr:colOff>105834</xdr:colOff>
      <xdr:row>65</xdr:row>
      <xdr:rowOff>63500</xdr:rowOff>
    </xdr:to>
    <xdr:sp macro="" textlink="">
      <xdr:nvSpPr>
        <xdr:cNvPr id="44" name="正方形/長方形 43">
          <a:extLst>
            <a:ext uri="{FF2B5EF4-FFF2-40B4-BE49-F238E27FC236}">
              <a16:creationId xmlns:a16="http://schemas.microsoft.com/office/drawing/2014/main" id="{B0036CB3-3AEE-45DE-BC14-345BA54178A6}"/>
            </a:ext>
          </a:extLst>
        </xdr:cNvPr>
        <xdr:cNvSpPr/>
      </xdr:nvSpPr>
      <xdr:spPr>
        <a:xfrm>
          <a:off x="14721417" y="11398250"/>
          <a:ext cx="2074334" cy="455083"/>
        </a:xfrm>
        <a:prstGeom prst="rect">
          <a:avLst/>
        </a:prstGeom>
        <a:ln/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画面構成４とはどこを指している？</a:t>
          </a:r>
        </a:p>
      </xdr:txBody>
    </xdr:sp>
    <xdr:clientData/>
  </xdr:twoCellAnchor>
  <xdr:twoCellAnchor>
    <xdr:from>
      <xdr:col>73</xdr:col>
      <xdr:colOff>95251</xdr:colOff>
      <xdr:row>67</xdr:row>
      <xdr:rowOff>137583</xdr:rowOff>
    </xdr:from>
    <xdr:to>
      <xdr:col>83</xdr:col>
      <xdr:colOff>158751</xdr:colOff>
      <xdr:row>69</xdr:row>
      <xdr:rowOff>190499</xdr:rowOff>
    </xdr:to>
    <xdr:sp macro="" textlink="">
      <xdr:nvSpPr>
        <xdr:cNvPr id="45" name="正方形/長方形 44">
          <a:extLst>
            <a:ext uri="{FF2B5EF4-FFF2-40B4-BE49-F238E27FC236}">
              <a16:creationId xmlns:a16="http://schemas.microsoft.com/office/drawing/2014/main" id="{6D47DCE3-1655-4095-96BA-3BB39A5897A0}"/>
            </a:ext>
          </a:extLst>
        </xdr:cNvPr>
        <xdr:cNvSpPr/>
      </xdr:nvSpPr>
      <xdr:spPr>
        <a:xfrm>
          <a:off x="14774334" y="12329583"/>
          <a:ext cx="2074334" cy="455083"/>
        </a:xfrm>
        <a:prstGeom prst="rect">
          <a:avLst/>
        </a:prstGeom>
        <a:ln/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新規申請情報作成用画面という設計書は無い。</a:t>
          </a:r>
        </a:p>
      </xdr:txBody>
    </xdr:sp>
    <xdr:clientData/>
  </xdr:twoCellAnchor>
  <xdr:twoCellAnchor>
    <xdr:from>
      <xdr:col>73</xdr:col>
      <xdr:colOff>84667</xdr:colOff>
      <xdr:row>72</xdr:row>
      <xdr:rowOff>21167</xdr:rowOff>
    </xdr:from>
    <xdr:to>
      <xdr:col>83</xdr:col>
      <xdr:colOff>148167</xdr:colOff>
      <xdr:row>74</xdr:row>
      <xdr:rowOff>42333</xdr:rowOff>
    </xdr:to>
    <xdr:sp macro="" textlink="">
      <xdr:nvSpPr>
        <xdr:cNvPr id="46" name="正方形/長方形 45">
          <a:extLst>
            <a:ext uri="{FF2B5EF4-FFF2-40B4-BE49-F238E27FC236}">
              <a16:creationId xmlns:a16="http://schemas.microsoft.com/office/drawing/2014/main" id="{DCC07F23-D098-436A-A7BA-6CE3F2B5F32B}"/>
            </a:ext>
          </a:extLst>
        </xdr:cNvPr>
        <xdr:cNvSpPr/>
      </xdr:nvSpPr>
      <xdr:spPr>
        <a:xfrm>
          <a:off x="14763750" y="13197417"/>
          <a:ext cx="2074334" cy="455083"/>
        </a:xfrm>
        <a:prstGeom prst="rect">
          <a:avLst/>
        </a:prstGeom>
        <a:ln/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CSV</a:t>
          </a:r>
          <a:r>
            <a:rPr kumimoji="1" lang="ja-JP" altLang="en-US" sz="800">
              <a:solidFill>
                <a:sysClr val="windowText" lastClr="000000"/>
              </a:solidFill>
            </a:rPr>
            <a:t>イメージ？イメージをクリックする？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要説明</a:t>
          </a:r>
        </a:p>
      </xdr:txBody>
    </xdr:sp>
    <xdr:clientData/>
  </xdr:twoCellAnchor>
  <xdr:twoCellAnchor>
    <xdr:from>
      <xdr:col>73</xdr:col>
      <xdr:colOff>116417</xdr:colOff>
      <xdr:row>77</xdr:row>
      <xdr:rowOff>0</xdr:rowOff>
    </xdr:from>
    <xdr:to>
      <xdr:col>83</xdr:col>
      <xdr:colOff>179917</xdr:colOff>
      <xdr:row>78</xdr:row>
      <xdr:rowOff>21167</xdr:rowOff>
    </xdr:to>
    <xdr:sp macro="" textlink="">
      <xdr:nvSpPr>
        <xdr:cNvPr id="47" name="正方形/長方形 46">
          <a:extLst>
            <a:ext uri="{FF2B5EF4-FFF2-40B4-BE49-F238E27FC236}">
              <a16:creationId xmlns:a16="http://schemas.microsoft.com/office/drawing/2014/main" id="{BFE6BB8F-8B9F-4566-B6C0-826BF1725868}"/>
            </a:ext>
          </a:extLst>
        </xdr:cNvPr>
        <xdr:cNvSpPr/>
      </xdr:nvSpPr>
      <xdr:spPr>
        <a:xfrm>
          <a:off x="14795500" y="14467417"/>
          <a:ext cx="2074334" cy="455083"/>
        </a:xfrm>
        <a:prstGeom prst="rect">
          <a:avLst/>
        </a:prstGeom>
        <a:ln/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申請ありなしはどう判定する？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25400</xdr:colOff>
      <xdr:row>21</xdr:row>
      <xdr:rowOff>34925</xdr:rowOff>
    </xdr:from>
    <xdr:to>
      <xdr:col>32</xdr:col>
      <xdr:colOff>38100</xdr:colOff>
      <xdr:row>23</xdr:row>
      <xdr:rowOff>19050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5EA2306D-EA63-4EF2-B73F-48E4492CE73E}"/>
            </a:ext>
          </a:extLst>
        </xdr:cNvPr>
        <xdr:cNvSpPr/>
      </xdr:nvSpPr>
      <xdr:spPr>
        <a:xfrm>
          <a:off x="3648075" y="3416300"/>
          <a:ext cx="2181225" cy="307975"/>
        </a:xfrm>
        <a:prstGeom prst="rect">
          <a:avLst/>
        </a:prstGeom>
        <a:solidFill>
          <a:srgbClr val="3366CC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8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New</a:t>
          </a:r>
          <a:r>
            <a:rPr kumimoji="1" lang="en-US" altLang="ja-JP" sz="800" baseline="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 application</a:t>
          </a:r>
          <a:endParaRPr kumimoji="1" lang="ja-JP" altLang="en-US" sz="8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39</xdr:col>
      <xdr:colOff>123826</xdr:colOff>
      <xdr:row>29</xdr:row>
      <xdr:rowOff>25402</xdr:rowOff>
    </xdr:from>
    <xdr:to>
      <xdr:col>44</xdr:col>
      <xdr:colOff>53976</xdr:colOff>
      <xdr:row>29</xdr:row>
      <xdr:rowOff>190501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C4545E2F-5FBB-4357-8B98-7FB920B19640}"/>
            </a:ext>
          </a:extLst>
        </xdr:cNvPr>
        <xdr:cNvSpPr/>
      </xdr:nvSpPr>
      <xdr:spPr>
        <a:xfrm>
          <a:off x="7178676" y="4762502"/>
          <a:ext cx="838200" cy="161924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CSV Downroad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39</xdr:col>
      <xdr:colOff>123826</xdr:colOff>
      <xdr:row>29</xdr:row>
      <xdr:rowOff>25402</xdr:rowOff>
    </xdr:from>
    <xdr:to>
      <xdr:col>44</xdr:col>
      <xdr:colOff>57151</xdr:colOff>
      <xdr:row>29</xdr:row>
      <xdr:rowOff>187326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6EE56735-E0E1-429F-BEF4-9D1E13B031AF}"/>
            </a:ext>
          </a:extLst>
        </xdr:cNvPr>
        <xdr:cNvSpPr/>
      </xdr:nvSpPr>
      <xdr:spPr>
        <a:xfrm>
          <a:off x="7178676" y="4762502"/>
          <a:ext cx="841375" cy="158749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CSV Download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39</xdr:col>
      <xdr:colOff>120650</xdr:colOff>
      <xdr:row>30</xdr:row>
      <xdr:rowOff>28575</xdr:rowOff>
    </xdr:from>
    <xdr:to>
      <xdr:col>44</xdr:col>
      <xdr:colOff>53975</xdr:colOff>
      <xdr:row>30</xdr:row>
      <xdr:rowOff>193674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796637A3-A497-4932-8B4F-540554B2EF55}"/>
            </a:ext>
          </a:extLst>
        </xdr:cNvPr>
        <xdr:cNvSpPr/>
      </xdr:nvSpPr>
      <xdr:spPr>
        <a:xfrm>
          <a:off x="7181850" y="4968875"/>
          <a:ext cx="835025" cy="168274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CSV Download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39</xdr:col>
      <xdr:colOff>123825</xdr:colOff>
      <xdr:row>31</xdr:row>
      <xdr:rowOff>28575</xdr:rowOff>
    </xdr:from>
    <xdr:to>
      <xdr:col>44</xdr:col>
      <xdr:colOff>57150</xdr:colOff>
      <xdr:row>31</xdr:row>
      <xdr:rowOff>193674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E3730E82-C1DB-491B-B7C9-BBCAA78D5227}"/>
            </a:ext>
          </a:extLst>
        </xdr:cNvPr>
        <xdr:cNvSpPr/>
      </xdr:nvSpPr>
      <xdr:spPr>
        <a:xfrm>
          <a:off x="7178675" y="5178425"/>
          <a:ext cx="841375" cy="168274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CSV Download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34</xdr:col>
      <xdr:colOff>168275</xdr:colOff>
      <xdr:row>30</xdr:row>
      <xdr:rowOff>44450</xdr:rowOff>
    </xdr:from>
    <xdr:to>
      <xdr:col>37</xdr:col>
      <xdr:colOff>177800</xdr:colOff>
      <xdr:row>30</xdr:row>
      <xdr:rowOff>171450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14FE91D8-7A66-4AC3-A93A-E8747A7B0A7D}"/>
            </a:ext>
          </a:extLst>
        </xdr:cNvPr>
        <xdr:cNvSpPr/>
      </xdr:nvSpPr>
      <xdr:spPr>
        <a:xfrm>
          <a:off x="6321425" y="4991100"/>
          <a:ext cx="555625" cy="123825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Downlo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10</xdr:col>
      <xdr:colOff>152401</xdr:colOff>
      <xdr:row>9</xdr:row>
      <xdr:rowOff>19050</xdr:rowOff>
    </xdr:from>
    <xdr:to>
      <xdr:col>12</xdr:col>
      <xdr:colOff>171451</xdr:colOff>
      <xdr:row>10</xdr:row>
      <xdr:rowOff>114300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C86FC60D-B559-47EC-8CF1-C33D2450920E}"/>
            </a:ext>
          </a:extLst>
        </xdr:cNvPr>
        <xdr:cNvSpPr/>
      </xdr:nvSpPr>
      <xdr:spPr>
        <a:xfrm>
          <a:off x="1962151" y="1628775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5</xdr:col>
      <xdr:colOff>57150</xdr:colOff>
      <xdr:row>23</xdr:row>
      <xdr:rowOff>38100</xdr:rowOff>
    </xdr:from>
    <xdr:to>
      <xdr:col>7</xdr:col>
      <xdr:colOff>76200</xdr:colOff>
      <xdr:row>24</xdr:row>
      <xdr:rowOff>120650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FD8FE7D8-4FD3-4CEC-88E5-8FB0AC7469A5}"/>
            </a:ext>
          </a:extLst>
        </xdr:cNvPr>
        <xdr:cNvSpPr/>
      </xdr:nvSpPr>
      <xdr:spPr>
        <a:xfrm>
          <a:off x="962025" y="3743325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25</xdr:col>
      <xdr:colOff>28575</xdr:colOff>
      <xdr:row>25</xdr:row>
      <xdr:rowOff>63500</xdr:rowOff>
    </xdr:from>
    <xdr:to>
      <xdr:col>33</xdr:col>
      <xdr:colOff>144992</xdr:colOff>
      <xdr:row>26</xdr:row>
      <xdr:rowOff>76200</xdr:rowOff>
    </xdr:to>
    <xdr:grpSp>
      <xdr:nvGrpSpPr>
        <xdr:cNvPr id="54" name="グループ化 53">
          <a:extLst>
            <a:ext uri="{FF2B5EF4-FFF2-40B4-BE49-F238E27FC236}">
              <a16:creationId xmlns:a16="http://schemas.microsoft.com/office/drawing/2014/main" id="{313DDC5F-FE39-3656-6463-504E7A95BC0A}"/>
            </a:ext>
          </a:extLst>
        </xdr:cNvPr>
        <xdr:cNvGrpSpPr/>
      </xdr:nvGrpSpPr>
      <xdr:grpSpPr>
        <a:xfrm>
          <a:off x="5055658" y="4201583"/>
          <a:ext cx="1725084" cy="160867"/>
          <a:chOff x="4526492" y="4349750"/>
          <a:chExt cx="1555750" cy="171450"/>
        </a:xfrm>
      </xdr:grpSpPr>
      <xdr:grpSp>
        <xdr:nvGrpSpPr>
          <xdr:cNvPr id="14" name="グループ化 13">
            <a:extLst>
              <a:ext uri="{FF2B5EF4-FFF2-40B4-BE49-F238E27FC236}">
                <a16:creationId xmlns:a16="http://schemas.microsoft.com/office/drawing/2014/main" id="{78E88D33-CE2F-4BA4-82DC-70F99705B0BC}"/>
              </a:ext>
            </a:extLst>
          </xdr:cNvPr>
          <xdr:cNvGrpSpPr/>
        </xdr:nvGrpSpPr>
        <xdr:grpSpPr>
          <a:xfrm>
            <a:off x="4523317" y="4352925"/>
            <a:ext cx="316441" cy="168275"/>
            <a:chOff x="4552950" y="5273675"/>
            <a:chExt cx="311150" cy="174625"/>
          </a:xfrm>
        </xdr:grpSpPr>
        <xdr:sp macro="" textlink="">
          <xdr:nvSpPr>
            <xdr:cNvPr id="15" name="正方形/長方形 14">
              <a:extLst>
                <a:ext uri="{FF2B5EF4-FFF2-40B4-BE49-F238E27FC236}">
                  <a16:creationId xmlns:a16="http://schemas.microsoft.com/office/drawing/2014/main" id="{188CADC2-4D04-0A3C-E6AA-AD4723DE15D1}"/>
                </a:ext>
              </a:extLst>
            </xdr:cNvPr>
            <xdr:cNvSpPr/>
          </xdr:nvSpPr>
          <xdr:spPr>
            <a:xfrm>
              <a:off x="4552950" y="5273675"/>
              <a:ext cx="152400" cy="174625"/>
            </a:xfrm>
            <a:prstGeom prst="rect">
              <a:avLst/>
            </a:prstGeom>
            <a:solidFill>
              <a:schemeClr val="bg1">
                <a:lumMod val="95000"/>
              </a:schemeClr>
            </a:solidFill>
            <a:ln w="12700">
              <a:solidFill>
                <a:schemeClr val="bg1">
                  <a:lumMod val="75000"/>
                </a:schemeClr>
              </a:solidFill>
            </a:ln>
          </xdr:spPr>
          <xdr:style>
            <a:lnRef idx="2">
              <a:schemeClr val="accent1"/>
            </a:lnRef>
            <a:fillRef idx="1">
              <a:schemeClr val="lt1"/>
            </a:fillRef>
            <a:effectRef idx="0">
              <a:schemeClr val="accent1"/>
            </a:effectRef>
            <a:fontRef idx="minor">
              <a:schemeClr val="dk1"/>
            </a:fontRef>
          </xdr:style>
          <xdr:txBody>
            <a:bodyPr vertOverflow="clip" horzOverflow="clip" lIns="36000" tIns="36000" rIns="36000" bIns="36000" rtlCol="0" anchor="t"/>
            <a:lstStyle/>
            <a:p>
              <a:pPr algn="ctr">
                <a:lnSpc>
                  <a:spcPts val="900"/>
                </a:lnSpc>
              </a:pPr>
              <a:r>
                <a:rPr kumimoji="1" lang="en-US" altLang="ja-JP" sz="700">
                  <a:solidFill>
                    <a:schemeClr val="bg1">
                      <a:lumMod val="50000"/>
                    </a:schemeClr>
                  </a:solidFill>
                </a:rPr>
                <a:t>1</a:t>
              </a:r>
              <a:endParaRPr kumimoji="1" lang="ja-JP" altLang="en-US" sz="800">
                <a:solidFill>
                  <a:schemeClr val="bg1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16" name="正方形/長方形 15">
              <a:extLst>
                <a:ext uri="{FF2B5EF4-FFF2-40B4-BE49-F238E27FC236}">
                  <a16:creationId xmlns:a16="http://schemas.microsoft.com/office/drawing/2014/main" id="{7D9EEC32-3796-592E-89A7-AE42325F0FCB}"/>
                </a:ext>
              </a:extLst>
            </xdr:cNvPr>
            <xdr:cNvSpPr/>
          </xdr:nvSpPr>
          <xdr:spPr>
            <a:xfrm>
              <a:off x="4711700" y="5273675"/>
              <a:ext cx="152400" cy="171450"/>
            </a:xfrm>
            <a:prstGeom prst="rect">
              <a:avLst/>
            </a:prstGeom>
            <a:noFill/>
            <a:ln w="12700">
              <a:solidFill>
                <a:schemeClr val="bg1">
                  <a:lumMod val="75000"/>
                </a:schemeClr>
              </a:solidFill>
            </a:ln>
          </xdr:spPr>
          <xdr:style>
            <a:lnRef idx="2">
              <a:schemeClr val="accent1"/>
            </a:lnRef>
            <a:fillRef idx="1">
              <a:schemeClr val="lt1"/>
            </a:fillRef>
            <a:effectRef idx="0">
              <a:schemeClr val="accent1"/>
            </a:effectRef>
            <a:fontRef idx="minor">
              <a:schemeClr val="dk1"/>
            </a:fontRef>
          </xdr:style>
          <xdr:txBody>
            <a:bodyPr vertOverflow="clip" horzOverflow="clip" lIns="36000" tIns="36000" rIns="36000" bIns="36000" rtlCol="0" anchor="t"/>
            <a:lstStyle/>
            <a:p>
              <a:pPr algn="ctr">
                <a:lnSpc>
                  <a:spcPts val="900"/>
                </a:lnSpc>
              </a:pPr>
              <a:r>
                <a:rPr kumimoji="1" lang="en-US" altLang="ja-JP" sz="700">
                  <a:solidFill>
                    <a:srgbClr val="00B0F0"/>
                  </a:solidFill>
                </a:rPr>
                <a:t>2</a:t>
              </a:r>
              <a:endParaRPr kumimoji="1" lang="ja-JP" altLang="en-US" sz="800">
                <a:solidFill>
                  <a:srgbClr val="00B0F0"/>
                </a:solidFill>
              </a:endParaRPr>
            </a:p>
          </xdr:txBody>
        </xdr:sp>
      </xdr:grpSp>
      <xdr:sp macro="" textlink="">
        <xdr:nvSpPr>
          <xdr:cNvPr id="17" name="四角形: 角を丸くする 16">
            <a:extLst>
              <a:ext uri="{FF2B5EF4-FFF2-40B4-BE49-F238E27FC236}">
                <a16:creationId xmlns:a16="http://schemas.microsoft.com/office/drawing/2014/main" id="{6326B53F-7FC0-4DF4-950D-211F560582C6}"/>
              </a:ext>
            </a:extLst>
          </xdr:cNvPr>
          <xdr:cNvSpPr/>
        </xdr:nvSpPr>
        <xdr:spPr>
          <a:xfrm>
            <a:off x="4902200" y="4397375"/>
            <a:ext cx="1180042" cy="97367"/>
          </a:xfrm>
          <a:prstGeom prst="roundRect">
            <a:avLst/>
          </a:prstGeom>
          <a:solidFill>
            <a:schemeClr val="bg1">
              <a:lumMod val="75000"/>
            </a:schemeClr>
          </a:solidFill>
          <a:ln w="12700"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lIns="36000" tIns="36000" rIns="36000" bIns="36000" rtlCol="0" anchor="ctr"/>
          <a:lstStyle/>
          <a:p>
            <a:pPr algn="ctr">
              <a:lnSpc>
                <a:spcPts val="900"/>
              </a:lnSpc>
            </a:pPr>
            <a:r>
              <a:rPr kumimoji="1" lang="en-US" altLang="ja-JP" sz="800">
                <a:solidFill>
                  <a:schemeClr val="bg1"/>
                </a:solidFill>
              </a:rPr>
              <a:t>104</a:t>
            </a:r>
            <a:r>
              <a:rPr kumimoji="1" lang="ja-JP" altLang="en-US" sz="800" baseline="0">
                <a:solidFill>
                  <a:schemeClr val="bg1"/>
                </a:solidFill>
              </a:rPr>
              <a:t> </a:t>
            </a:r>
            <a:r>
              <a:rPr kumimoji="1" lang="en-US" altLang="ja-JP" sz="800" baseline="0">
                <a:solidFill>
                  <a:schemeClr val="bg1"/>
                </a:solidFill>
              </a:rPr>
              <a:t>results (2 of2 pages)</a:t>
            </a:r>
            <a:endParaRPr kumimoji="1" lang="ja-JP" altLang="en-US" sz="8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26</xdr:col>
      <xdr:colOff>161925</xdr:colOff>
      <xdr:row>24</xdr:row>
      <xdr:rowOff>161925</xdr:rowOff>
    </xdr:from>
    <xdr:to>
      <xdr:col>29</xdr:col>
      <xdr:colOff>0</xdr:colOff>
      <xdr:row>25</xdr:row>
      <xdr:rowOff>85725</xdr:rowOff>
    </xdr:to>
    <xdr:sp macro="" textlink="">
      <xdr:nvSpPr>
        <xdr:cNvPr id="18" name="正方形/長方形 17">
          <a:extLst>
            <a:ext uri="{FF2B5EF4-FFF2-40B4-BE49-F238E27FC236}">
              <a16:creationId xmlns:a16="http://schemas.microsoft.com/office/drawing/2014/main" id="{1681057D-C1ED-4977-ABB6-FD60B0B675FD}"/>
            </a:ext>
          </a:extLst>
        </xdr:cNvPr>
        <xdr:cNvSpPr/>
      </xdr:nvSpPr>
      <xdr:spPr>
        <a:xfrm>
          <a:off x="4864100" y="4025900"/>
          <a:ext cx="384175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8</xdr:col>
      <xdr:colOff>66675</xdr:colOff>
      <xdr:row>25</xdr:row>
      <xdr:rowOff>76200</xdr:rowOff>
    </xdr:from>
    <xdr:to>
      <xdr:col>10</xdr:col>
      <xdr:colOff>92075</xdr:colOff>
      <xdr:row>26</xdr:row>
      <xdr:rowOff>158750</xdr:rowOff>
    </xdr:to>
    <xdr:sp macro="" textlink="">
      <xdr:nvSpPr>
        <xdr:cNvPr id="19" name="正方形/長方形 18">
          <a:extLst>
            <a:ext uri="{FF2B5EF4-FFF2-40B4-BE49-F238E27FC236}">
              <a16:creationId xmlns:a16="http://schemas.microsoft.com/office/drawing/2014/main" id="{ED0B01CF-1287-40EF-A6C0-073DB661F9CF}"/>
            </a:ext>
          </a:extLst>
        </xdr:cNvPr>
        <xdr:cNvSpPr/>
      </xdr:nvSpPr>
      <xdr:spPr>
        <a:xfrm>
          <a:off x="1511300" y="4267200"/>
          <a:ext cx="390525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</xdr:col>
      <xdr:colOff>152400</xdr:colOff>
      <xdr:row>26</xdr:row>
      <xdr:rowOff>85725</xdr:rowOff>
    </xdr:from>
    <xdr:to>
      <xdr:col>5</xdr:col>
      <xdr:colOff>177800</xdr:colOff>
      <xdr:row>27</xdr:row>
      <xdr:rowOff>168275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26BCC97F-7CAC-4FCF-9FBE-6C3D5A10CFB1}"/>
            </a:ext>
          </a:extLst>
        </xdr:cNvPr>
        <xdr:cNvSpPr/>
      </xdr:nvSpPr>
      <xdr:spPr>
        <a:xfrm>
          <a:off x="695325" y="4435475"/>
          <a:ext cx="390525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25</xdr:col>
      <xdr:colOff>171450</xdr:colOff>
      <xdr:row>26</xdr:row>
      <xdr:rowOff>123825</xdr:rowOff>
    </xdr:from>
    <xdr:to>
      <xdr:col>28</xdr:col>
      <xdr:colOff>15875</xdr:colOff>
      <xdr:row>27</xdr:row>
      <xdr:rowOff>206375</xdr:rowOff>
    </xdr:to>
    <xdr:sp macro="" textlink="">
      <xdr:nvSpPr>
        <xdr:cNvPr id="21" name="正方形/長方形 20">
          <a:extLst>
            <a:ext uri="{FF2B5EF4-FFF2-40B4-BE49-F238E27FC236}">
              <a16:creationId xmlns:a16="http://schemas.microsoft.com/office/drawing/2014/main" id="{E74B173E-0E7F-4452-9658-D77EDD98B83B}"/>
            </a:ext>
          </a:extLst>
        </xdr:cNvPr>
        <xdr:cNvSpPr/>
      </xdr:nvSpPr>
      <xdr:spPr>
        <a:xfrm>
          <a:off x="4695825" y="4473575"/>
          <a:ext cx="38735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3.8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22</xdr:col>
      <xdr:colOff>38100</xdr:colOff>
      <xdr:row>25</xdr:row>
      <xdr:rowOff>104775</xdr:rowOff>
    </xdr:from>
    <xdr:to>
      <xdr:col>24</xdr:col>
      <xdr:colOff>63500</xdr:colOff>
      <xdr:row>27</xdr:row>
      <xdr:rowOff>25400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64D9CE69-89B2-415B-8DF6-E14D104B217F}"/>
            </a:ext>
          </a:extLst>
        </xdr:cNvPr>
        <xdr:cNvSpPr/>
      </xdr:nvSpPr>
      <xdr:spPr>
        <a:xfrm>
          <a:off x="4019550" y="4292600"/>
          <a:ext cx="390525" cy="25082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3.7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13</xdr:col>
      <xdr:colOff>28575</xdr:colOff>
      <xdr:row>25</xdr:row>
      <xdr:rowOff>95250</xdr:rowOff>
    </xdr:from>
    <xdr:to>
      <xdr:col>15</xdr:col>
      <xdr:colOff>53975</xdr:colOff>
      <xdr:row>27</xdr:row>
      <xdr:rowOff>15875</xdr:rowOff>
    </xdr:to>
    <xdr:sp macro="" textlink="">
      <xdr:nvSpPr>
        <xdr:cNvPr id="23" name="正方形/長方形 22">
          <a:extLst>
            <a:ext uri="{FF2B5EF4-FFF2-40B4-BE49-F238E27FC236}">
              <a16:creationId xmlns:a16="http://schemas.microsoft.com/office/drawing/2014/main" id="{08591D57-2510-41B2-ADD5-321862C23803}"/>
            </a:ext>
          </a:extLst>
        </xdr:cNvPr>
        <xdr:cNvSpPr/>
      </xdr:nvSpPr>
      <xdr:spPr>
        <a:xfrm>
          <a:off x="2378075" y="4286250"/>
          <a:ext cx="390525" cy="2444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3.5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35</xdr:col>
      <xdr:colOff>34925</xdr:colOff>
      <xdr:row>25</xdr:row>
      <xdr:rowOff>130175</xdr:rowOff>
    </xdr:from>
    <xdr:to>
      <xdr:col>37</xdr:col>
      <xdr:colOff>120650</xdr:colOff>
      <xdr:row>27</xdr:row>
      <xdr:rowOff>53975</xdr:rowOff>
    </xdr:to>
    <xdr:sp macro="" textlink="">
      <xdr:nvSpPr>
        <xdr:cNvPr id="24" name="正方形/長方形 23">
          <a:extLst>
            <a:ext uri="{FF2B5EF4-FFF2-40B4-BE49-F238E27FC236}">
              <a16:creationId xmlns:a16="http://schemas.microsoft.com/office/drawing/2014/main" id="{7F4ADA06-7E40-4EDA-A941-69D98AD3C6C1}"/>
            </a:ext>
          </a:extLst>
        </xdr:cNvPr>
        <xdr:cNvSpPr/>
      </xdr:nvSpPr>
      <xdr:spPr>
        <a:xfrm>
          <a:off x="6369050" y="4321175"/>
          <a:ext cx="45085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3.10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31</xdr:col>
      <xdr:colOff>47625</xdr:colOff>
      <xdr:row>26</xdr:row>
      <xdr:rowOff>95250</xdr:rowOff>
    </xdr:from>
    <xdr:to>
      <xdr:col>33</xdr:col>
      <xdr:colOff>76200</xdr:colOff>
      <xdr:row>27</xdr:row>
      <xdr:rowOff>180975</xdr:rowOff>
    </xdr:to>
    <xdr:sp macro="" textlink="">
      <xdr:nvSpPr>
        <xdr:cNvPr id="25" name="正方形/長方形 24">
          <a:extLst>
            <a:ext uri="{FF2B5EF4-FFF2-40B4-BE49-F238E27FC236}">
              <a16:creationId xmlns:a16="http://schemas.microsoft.com/office/drawing/2014/main" id="{D618C127-27C3-4B65-8AF0-C19700DD386C}"/>
            </a:ext>
          </a:extLst>
        </xdr:cNvPr>
        <xdr:cNvSpPr/>
      </xdr:nvSpPr>
      <xdr:spPr>
        <a:xfrm>
          <a:off x="5654675" y="4448175"/>
          <a:ext cx="393700" cy="2444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3.9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18</xdr:col>
      <xdr:colOff>47626</xdr:colOff>
      <xdr:row>25</xdr:row>
      <xdr:rowOff>123824</xdr:rowOff>
    </xdr:from>
    <xdr:to>
      <xdr:col>20</xdr:col>
      <xdr:colOff>66676</xdr:colOff>
      <xdr:row>27</xdr:row>
      <xdr:rowOff>19049</xdr:rowOff>
    </xdr:to>
    <xdr:sp macro="" textlink="">
      <xdr:nvSpPr>
        <xdr:cNvPr id="26" name="正方形/長方形 25">
          <a:extLst>
            <a:ext uri="{FF2B5EF4-FFF2-40B4-BE49-F238E27FC236}">
              <a16:creationId xmlns:a16="http://schemas.microsoft.com/office/drawing/2014/main" id="{17271A15-AB7E-4072-AF8A-97EBF12FCA09}"/>
            </a:ext>
          </a:extLst>
        </xdr:cNvPr>
        <xdr:cNvSpPr/>
      </xdr:nvSpPr>
      <xdr:spPr>
        <a:xfrm>
          <a:off x="3302001" y="4317999"/>
          <a:ext cx="381000" cy="2159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3.6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6</xdr:col>
      <xdr:colOff>76200</xdr:colOff>
      <xdr:row>26</xdr:row>
      <xdr:rowOff>123824</xdr:rowOff>
    </xdr:from>
    <xdr:to>
      <xdr:col>45</xdr:col>
      <xdr:colOff>130176</xdr:colOff>
      <xdr:row>32</xdr:row>
      <xdr:rowOff>38099</xdr:rowOff>
    </xdr:to>
    <xdr:sp macro="" textlink="">
      <xdr:nvSpPr>
        <xdr:cNvPr id="27" name="角丸四角形 78">
          <a:extLst>
            <a:ext uri="{FF2B5EF4-FFF2-40B4-BE49-F238E27FC236}">
              <a16:creationId xmlns:a16="http://schemas.microsoft.com/office/drawing/2014/main" id="{EF3C3FA9-60E4-4BAC-884D-168B9BA5CEA9}"/>
            </a:ext>
          </a:extLst>
        </xdr:cNvPr>
        <xdr:cNvSpPr/>
      </xdr:nvSpPr>
      <xdr:spPr>
        <a:xfrm>
          <a:off x="1162050" y="4479924"/>
          <a:ext cx="7112001" cy="920750"/>
        </a:xfrm>
        <a:prstGeom prst="roundRect">
          <a:avLst/>
        </a:prstGeom>
        <a:noFill/>
        <a:ln w="63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40</xdr:col>
      <xdr:colOff>104775</xdr:colOff>
      <xdr:row>25</xdr:row>
      <xdr:rowOff>104775</xdr:rowOff>
    </xdr:from>
    <xdr:to>
      <xdr:col>43</xdr:col>
      <xdr:colOff>9525</xdr:colOff>
      <xdr:row>27</xdr:row>
      <xdr:rowOff>25400</xdr:rowOff>
    </xdr:to>
    <xdr:sp macro="" textlink="">
      <xdr:nvSpPr>
        <xdr:cNvPr id="28" name="正方形/長方形 27">
          <a:extLst>
            <a:ext uri="{FF2B5EF4-FFF2-40B4-BE49-F238E27FC236}">
              <a16:creationId xmlns:a16="http://schemas.microsoft.com/office/drawing/2014/main" id="{0403EF9C-F8E9-4DBD-95E3-C0D6929D106E}"/>
            </a:ext>
          </a:extLst>
        </xdr:cNvPr>
        <xdr:cNvSpPr/>
      </xdr:nvSpPr>
      <xdr:spPr>
        <a:xfrm>
          <a:off x="7340600" y="4292600"/>
          <a:ext cx="447675" cy="25082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3.11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18</xdr:col>
      <xdr:colOff>85725</xdr:colOff>
      <xdr:row>21</xdr:row>
      <xdr:rowOff>9525</xdr:rowOff>
    </xdr:from>
    <xdr:to>
      <xdr:col>20</xdr:col>
      <xdr:colOff>168275</xdr:colOff>
      <xdr:row>22</xdr:row>
      <xdr:rowOff>95250</xdr:rowOff>
    </xdr:to>
    <xdr:sp macro="" textlink="">
      <xdr:nvSpPr>
        <xdr:cNvPr id="29" name="正方形/長方形 28">
          <a:extLst>
            <a:ext uri="{FF2B5EF4-FFF2-40B4-BE49-F238E27FC236}">
              <a16:creationId xmlns:a16="http://schemas.microsoft.com/office/drawing/2014/main" id="{8FAB20B0-6E08-461D-A021-B3FF5C225517}"/>
            </a:ext>
          </a:extLst>
        </xdr:cNvPr>
        <xdr:cNvSpPr/>
      </xdr:nvSpPr>
      <xdr:spPr>
        <a:xfrm>
          <a:off x="3340100" y="3387725"/>
          <a:ext cx="447675" cy="25082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3.12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0</xdr:col>
      <xdr:colOff>0</xdr:colOff>
      <xdr:row>35</xdr:row>
      <xdr:rowOff>85725</xdr:rowOff>
    </xdr:from>
    <xdr:to>
      <xdr:col>10</xdr:col>
      <xdr:colOff>19050</xdr:colOff>
      <xdr:row>36</xdr:row>
      <xdr:rowOff>171450</xdr:rowOff>
    </xdr:to>
    <xdr:sp macro="" textlink="">
      <xdr:nvSpPr>
        <xdr:cNvPr id="30" name="線吹き出し 1 (枠付き) 12">
          <a:extLst>
            <a:ext uri="{FF2B5EF4-FFF2-40B4-BE49-F238E27FC236}">
              <a16:creationId xmlns:a16="http://schemas.microsoft.com/office/drawing/2014/main" id="{6625E3CC-C02F-4512-808C-29F344A5B4D4}"/>
            </a:ext>
          </a:extLst>
        </xdr:cNvPr>
        <xdr:cNvSpPr/>
      </xdr:nvSpPr>
      <xdr:spPr>
        <a:xfrm>
          <a:off x="0" y="5940425"/>
          <a:ext cx="1828800" cy="279400"/>
        </a:xfrm>
        <a:prstGeom prst="borderCallout1">
          <a:avLst>
            <a:gd name="adj1" fmla="val 112916"/>
            <a:gd name="adj2" fmla="val 7511"/>
            <a:gd name="adj3" fmla="val 161448"/>
            <a:gd name="adj4" fmla="val 8482"/>
          </a:avLst>
        </a:prstGeom>
        <a:solidFill>
          <a:schemeClr val="accent3">
            <a:lumMod val="40000"/>
            <a:lumOff val="60000"/>
          </a:schemeClr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．申請ドキュメント</a:t>
          </a:r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CSV(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イメージ</a:t>
          </a:r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)</a:t>
          </a:r>
          <a:endParaRPr kumimoji="1" lang="ja-JP" altLang="en-US" sz="9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21</xdr:col>
      <xdr:colOff>38099</xdr:colOff>
      <xdr:row>37</xdr:row>
      <xdr:rowOff>76198</xdr:rowOff>
    </xdr:from>
    <xdr:to>
      <xdr:col>48</xdr:col>
      <xdr:colOff>161924</xdr:colOff>
      <xdr:row>37</xdr:row>
      <xdr:rowOff>152399</xdr:rowOff>
    </xdr:to>
    <xdr:sp macro="" textlink="">
      <xdr:nvSpPr>
        <xdr:cNvPr id="31" name="右大かっこ 30">
          <a:extLst>
            <a:ext uri="{FF2B5EF4-FFF2-40B4-BE49-F238E27FC236}">
              <a16:creationId xmlns:a16="http://schemas.microsoft.com/office/drawing/2014/main" id="{FAACF43F-FF0E-4B8B-8565-0520B8F13CCE}"/>
            </a:ext>
          </a:extLst>
        </xdr:cNvPr>
        <xdr:cNvSpPr/>
      </xdr:nvSpPr>
      <xdr:spPr>
        <a:xfrm rot="5400000" flipH="1">
          <a:off x="6307136" y="3846511"/>
          <a:ext cx="76201" cy="5013325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endParaRPr lang="ja-JP" altLang="en-US"/>
        </a:p>
      </xdr:txBody>
    </xdr:sp>
    <xdr:clientData/>
  </xdr:twoCellAnchor>
  <xdr:twoCellAnchor>
    <xdr:from>
      <xdr:col>2</xdr:col>
      <xdr:colOff>57150</xdr:colOff>
      <xdr:row>37</xdr:row>
      <xdr:rowOff>66675</xdr:rowOff>
    </xdr:from>
    <xdr:to>
      <xdr:col>4</xdr:col>
      <xdr:colOff>114300</xdr:colOff>
      <xdr:row>38</xdr:row>
      <xdr:rowOff>104775</xdr:rowOff>
    </xdr:to>
    <xdr:sp macro="" textlink="">
      <xdr:nvSpPr>
        <xdr:cNvPr id="32" name="正方形/長方形 31">
          <a:extLst>
            <a:ext uri="{FF2B5EF4-FFF2-40B4-BE49-F238E27FC236}">
              <a16:creationId xmlns:a16="http://schemas.microsoft.com/office/drawing/2014/main" id="{08C61B3F-BA9E-4393-9938-42A2F3992451}"/>
            </a:ext>
          </a:extLst>
        </xdr:cNvPr>
        <xdr:cNvSpPr/>
      </xdr:nvSpPr>
      <xdr:spPr>
        <a:xfrm>
          <a:off x="419100" y="6302375"/>
          <a:ext cx="419100" cy="2286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34</xdr:col>
      <xdr:colOff>0</xdr:colOff>
      <xdr:row>36</xdr:row>
      <xdr:rowOff>6350</xdr:rowOff>
    </xdr:from>
    <xdr:to>
      <xdr:col>36</xdr:col>
      <xdr:colOff>57150</xdr:colOff>
      <xdr:row>37</xdr:row>
      <xdr:rowOff>44450</xdr:rowOff>
    </xdr:to>
    <xdr:sp macro="" textlink="">
      <xdr:nvSpPr>
        <xdr:cNvPr id="33" name="正方形/長方形 32">
          <a:extLst>
            <a:ext uri="{FF2B5EF4-FFF2-40B4-BE49-F238E27FC236}">
              <a16:creationId xmlns:a16="http://schemas.microsoft.com/office/drawing/2014/main" id="{002E942B-3838-48FC-A3B3-311FD2EED76E}"/>
            </a:ext>
          </a:extLst>
        </xdr:cNvPr>
        <xdr:cNvSpPr/>
      </xdr:nvSpPr>
      <xdr:spPr>
        <a:xfrm>
          <a:off x="6153150" y="6057900"/>
          <a:ext cx="419100" cy="2286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4.6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17</xdr:col>
      <xdr:colOff>152400</xdr:colOff>
      <xdr:row>37</xdr:row>
      <xdr:rowOff>15875</xdr:rowOff>
    </xdr:from>
    <xdr:to>
      <xdr:col>20</xdr:col>
      <xdr:colOff>28575</xdr:colOff>
      <xdr:row>38</xdr:row>
      <xdr:rowOff>53975</xdr:rowOff>
    </xdr:to>
    <xdr:sp macro="" textlink="">
      <xdr:nvSpPr>
        <xdr:cNvPr id="34" name="正方形/長方形 33">
          <a:extLst>
            <a:ext uri="{FF2B5EF4-FFF2-40B4-BE49-F238E27FC236}">
              <a16:creationId xmlns:a16="http://schemas.microsoft.com/office/drawing/2014/main" id="{7056D5F2-410C-4072-9EDD-343A24BFC0EA}"/>
            </a:ext>
          </a:extLst>
        </xdr:cNvPr>
        <xdr:cNvSpPr/>
      </xdr:nvSpPr>
      <xdr:spPr>
        <a:xfrm>
          <a:off x="3228975" y="6254750"/>
          <a:ext cx="415925" cy="2286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4.5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13</xdr:col>
      <xdr:colOff>139700</xdr:colOff>
      <xdr:row>36</xdr:row>
      <xdr:rowOff>161925</xdr:rowOff>
    </xdr:from>
    <xdr:to>
      <xdr:col>16</xdr:col>
      <xdr:colOff>15875</xdr:colOff>
      <xdr:row>38</xdr:row>
      <xdr:rowOff>9525</xdr:rowOff>
    </xdr:to>
    <xdr:sp macro="" textlink="">
      <xdr:nvSpPr>
        <xdr:cNvPr id="35" name="正方形/長方形 34">
          <a:extLst>
            <a:ext uri="{FF2B5EF4-FFF2-40B4-BE49-F238E27FC236}">
              <a16:creationId xmlns:a16="http://schemas.microsoft.com/office/drawing/2014/main" id="{BEFFF0C3-A85E-487E-A7AF-72800ACF5EB0}"/>
            </a:ext>
          </a:extLst>
        </xdr:cNvPr>
        <xdr:cNvSpPr/>
      </xdr:nvSpPr>
      <xdr:spPr>
        <a:xfrm>
          <a:off x="2495550" y="6207125"/>
          <a:ext cx="415925" cy="2286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9</xdr:col>
      <xdr:colOff>161925</xdr:colOff>
      <xdr:row>37</xdr:row>
      <xdr:rowOff>34925</xdr:rowOff>
    </xdr:from>
    <xdr:to>
      <xdr:col>12</xdr:col>
      <xdr:colOff>38100</xdr:colOff>
      <xdr:row>38</xdr:row>
      <xdr:rowOff>73025</xdr:rowOff>
    </xdr:to>
    <xdr:sp macro="" textlink="">
      <xdr:nvSpPr>
        <xdr:cNvPr id="36" name="正方形/長方形 35">
          <a:extLst>
            <a:ext uri="{FF2B5EF4-FFF2-40B4-BE49-F238E27FC236}">
              <a16:creationId xmlns:a16="http://schemas.microsoft.com/office/drawing/2014/main" id="{2706EBA2-B1F7-45B5-8893-1C6E124CA360}"/>
            </a:ext>
          </a:extLst>
        </xdr:cNvPr>
        <xdr:cNvSpPr/>
      </xdr:nvSpPr>
      <xdr:spPr>
        <a:xfrm>
          <a:off x="1787525" y="6273800"/>
          <a:ext cx="422275" cy="2286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5</xdr:col>
      <xdr:colOff>152400</xdr:colOff>
      <xdr:row>37</xdr:row>
      <xdr:rowOff>63500</xdr:rowOff>
    </xdr:from>
    <xdr:to>
      <xdr:col>8</xdr:col>
      <xdr:colOff>28575</xdr:colOff>
      <xdr:row>38</xdr:row>
      <xdr:rowOff>101600</xdr:rowOff>
    </xdr:to>
    <xdr:sp macro="" textlink="">
      <xdr:nvSpPr>
        <xdr:cNvPr id="37" name="正方形/長方形 36">
          <a:extLst>
            <a:ext uri="{FF2B5EF4-FFF2-40B4-BE49-F238E27FC236}">
              <a16:creationId xmlns:a16="http://schemas.microsoft.com/office/drawing/2014/main" id="{A0D15DFB-45BD-4A4A-974E-D3760211AEDC}"/>
            </a:ext>
          </a:extLst>
        </xdr:cNvPr>
        <xdr:cNvSpPr/>
      </xdr:nvSpPr>
      <xdr:spPr>
        <a:xfrm>
          <a:off x="1057275" y="6305550"/>
          <a:ext cx="415925" cy="2286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39</xdr:col>
      <xdr:colOff>17992</xdr:colOff>
      <xdr:row>10</xdr:row>
      <xdr:rowOff>28575</xdr:rowOff>
    </xdr:from>
    <xdr:to>
      <xdr:col>44</xdr:col>
      <xdr:colOff>16934</xdr:colOff>
      <xdr:row>11</xdr:row>
      <xdr:rowOff>144993</xdr:rowOff>
    </xdr:to>
    <xdr:grpSp>
      <xdr:nvGrpSpPr>
        <xdr:cNvPr id="51" name="グループ化 50">
          <a:extLst>
            <a:ext uri="{FF2B5EF4-FFF2-40B4-BE49-F238E27FC236}">
              <a16:creationId xmlns:a16="http://schemas.microsoft.com/office/drawing/2014/main" id="{8B609303-1A43-798D-799D-52ED4864A0D5}"/>
            </a:ext>
          </a:extLst>
        </xdr:cNvPr>
        <xdr:cNvGrpSpPr/>
      </xdr:nvGrpSpPr>
      <xdr:grpSpPr>
        <a:xfrm>
          <a:off x="7860242" y="1764242"/>
          <a:ext cx="1004359" cy="264584"/>
          <a:chOff x="13567834" y="4773083"/>
          <a:chExt cx="898525" cy="275168"/>
        </a:xfrm>
      </xdr:grpSpPr>
      <xdr:grpSp>
        <xdr:nvGrpSpPr>
          <xdr:cNvPr id="50" name="グループ化 49">
            <a:extLst>
              <a:ext uri="{FF2B5EF4-FFF2-40B4-BE49-F238E27FC236}">
                <a16:creationId xmlns:a16="http://schemas.microsoft.com/office/drawing/2014/main" id="{75A786A6-2688-1523-1B13-052FEAF719A4}"/>
              </a:ext>
            </a:extLst>
          </xdr:cNvPr>
          <xdr:cNvGrpSpPr/>
        </xdr:nvGrpSpPr>
        <xdr:grpSpPr>
          <a:xfrm>
            <a:off x="13567834" y="4773083"/>
            <a:ext cx="898525" cy="275168"/>
            <a:chOff x="13712825" y="4519083"/>
            <a:chExt cx="898525" cy="275168"/>
          </a:xfrm>
        </xdr:grpSpPr>
        <xdr:sp macro="" textlink="">
          <xdr:nvSpPr>
            <xdr:cNvPr id="49" name="四角形: 角を丸くする 48">
              <a:extLst>
                <a:ext uri="{FF2B5EF4-FFF2-40B4-BE49-F238E27FC236}">
                  <a16:creationId xmlns:a16="http://schemas.microsoft.com/office/drawing/2014/main" id="{6B409D5F-52FE-418D-8B09-B56384328D6D}"/>
                </a:ext>
              </a:extLst>
            </xdr:cNvPr>
            <xdr:cNvSpPr/>
          </xdr:nvSpPr>
          <xdr:spPr>
            <a:xfrm>
              <a:off x="13712825" y="4519083"/>
              <a:ext cx="898525" cy="275168"/>
            </a:xfrm>
            <a:prstGeom prst="roundRect">
              <a:avLst/>
            </a:prstGeom>
            <a:solidFill>
              <a:schemeClr val="bg1"/>
            </a:solidFill>
            <a:ln w="19050">
              <a:solidFill>
                <a:schemeClr val="bg1">
                  <a:lumMod val="65000"/>
                </a:schemeClr>
              </a:solidFill>
            </a:ln>
          </xdr:spPr>
          <xdr:style>
            <a:lnRef idx="2">
              <a:schemeClr val="accent1"/>
            </a:lnRef>
            <a:fillRef idx="1">
              <a:schemeClr val="lt1"/>
            </a:fillRef>
            <a:effectRef idx="0">
              <a:schemeClr val="accent1"/>
            </a:effectRef>
            <a:fontRef idx="minor">
              <a:schemeClr val="dk1"/>
            </a:fontRef>
          </xdr:style>
          <xdr:txBody>
            <a:bodyPr vertOverflow="clip" horzOverflow="clip" lIns="36000" tIns="36000" rIns="36000" bIns="36000" rtlCol="0" anchor="ctr"/>
            <a:lstStyle/>
            <a:p>
              <a:pPr algn="ctr">
                <a:lnSpc>
                  <a:spcPts val="900"/>
                </a:lnSpc>
              </a:pPr>
              <a:endParaRPr kumimoji="1" lang="ja-JP" altLang="en-US" sz="1200" b="1">
                <a:solidFill>
                  <a:schemeClr val="tx2"/>
                </a:solidFill>
              </a:endParaRPr>
            </a:p>
          </xdr:txBody>
        </xdr:sp>
        <xdr:sp macro="" textlink="">
          <xdr:nvSpPr>
            <xdr:cNvPr id="46" name="四角形: 角を丸くする 45">
              <a:extLst>
                <a:ext uri="{FF2B5EF4-FFF2-40B4-BE49-F238E27FC236}">
                  <a16:creationId xmlns:a16="http://schemas.microsoft.com/office/drawing/2014/main" id="{EDB9A500-4B4D-1CEF-F52F-5B608A42F5AD}"/>
                </a:ext>
              </a:extLst>
            </xdr:cNvPr>
            <xdr:cNvSpPr/>
          </xdr:nvSpPr>
          <xdr:spPr>
            <a:xfrm>
              <a:off x="13740340" y="4561419"/>
              <a:ext cx="433917" cy="205316"/>
            </a:xfrm>
            <a:prstGeom prst="roundRect">
              <a:avLst/>
            </a:prstGeom>
            <a:ln w="12700">
              <a:noFill/>
            </a:ln>
          </xdr:spPr>
          <xdr:style>
            <a:lnRef idx="2">
              <a:schemeClr val="accent1"/>
            </a:lnRef>
            <a:fillRef idx="1">
              <a:schemeClr val="lt1"/>
            </a:fillRef>
            <a:effectRef idx="0">
              <a:schemeClr val="accent1"/>
            </a:effectRef>
            <a:fontRef idx="minor">
              <a:schemeClr val="dk1"/>
            </a:fontRef>
          </xdr:style>
          <xdr:txBody>
            <a:bodyPr vertOverflow="clip" horzOverflow="clip" lIns="36000" tIns="36000" rIns="36000" bIns="36000" rtlCol="0" anchor="ctr"/>
            <a:lstStyle/>
            <a:p>
              <a:pPr algn="ctr">
                <a:lnSpc>
                  <a:spcPts val="900"/>
                </a:lnSpc>
              </a:pPr>
              <a:r>
                <a:rPr kumimoji="1" lang="en-US" altLang="ja-JP" sz="1200" b="1">
                  <a:solidFill>
                    <a:schemeClr val="tx2"/>
                  </a:solidFill>
                </a:rPr>
                <a:t>JPN</a:t>
              </a:r>
              <a:endParaRPr kumimoji="1" lang="ja-JP" altLang="en-US" sz="1200" b="1">
                <a:solidFill>
                  <a:schemeClr val="tx2"/>
                </a:solidFill>
              </a:endParaRPr>
            </a:p>
          </xdr:txBody>
        </xdr:sp>
      </xdr:grpSp>
      <xdr:sp macro="" textlink="">
        <xdr:nvSpPr>
          <xdr:cNvPr id="47" name="四角形: 角を丸くする 46">
            <a:extLst>
              <a:ext uri="{FF2B5EF4-FFF2-40B4-BE49-F238E27FC236}">
                <a16:creationId xmlns:a16="http://schemas.microsoft.com/office/drawing/2014/main" id="{0E0AA2F7-7B16-481C-B9E0-58131BE466B0}"/>
              </a:ext>
            </a:extLst>
          </xdr:cNvPr>
          <xdr:cNvSpPr/>
        </xdr:nvSpPr>
        <xdr:spPr>
          <a:xfrm>
            <a:off x="14013392" y="4784726"/>
            <a:ext cx="439209" cy="258233"/>
          </a:xfrm>
          <a:prstGeom prst="roundRect">
            <a:avLst/>
          </a:prstGeom>
          <a:solidFill>
            <a:schemeClr val="tx2"/>
          </a:solidFill>
          <a:ln w="19050"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lIns="36000" tIns="36000" rIns="36000" bIns="36000" rtlCol="0" anchor="ctr"/>
          <a:lstStyle/>
          <a:p>
            <a:pPr algn="ctr">
              <a:lnSpc>
                <a:spcPts val="900"/>
              </a:lnSpc>
            </a:pPr>
            <a:r>
              <a:rPr kumimoji="1" lang="en-US" altLang="ja-JP" sz="1200" b="1">
                <a:solidFill>
                  <a:schemeClr val="bg1"/>
                </a:solidFill>
              </a:rPr>
              <a:t>ENG</a:t>
            </a:r>
            <a:endParaRPr kumimoji="1" lang="ja-JP" altLang="en-US" sz="1200" b="1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37</xdr:col>
      <xdr:colOff>127000</xdr:colOff>
      <xdr:row>8</xdr:row>
      <xdr:rowOff>211666</xdr:rowOff>
    </xdr:from>
    <xdr:to>
      <xdr:col>39</xdr:col>
      <xdr:colOff>146050</xdr:colOff>
      <xdr:row>9</xdr:row>
      <xdr:rowOff>144991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33CEE3AF-C464-4D3A-A5A6-4C02D1DB356A}"/>
            </a:ext>
          </a:extLst>
        </xdr:cNvPr>
        <xdr:cNvSpPr/>
      </xdr:nvSpPr>
      <xdr:spPr>
        <a:xfrm>
          <a:off x="6783917" y="1492249"/>
          <a:ext cx="378883" cy="240242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52</xdr:col>
      <xdr:colOff>136075</xdr:colOff>
      <xdr:row>16</xdr:row>
      <xdr:rowOff>340179</xdr:rowOff>
    </xdr:from>
    <xdr:to>
      <xdr:col>56</xdr:col>
      <xdr:colOff>3</xdr:colOff>
      <xdr:row>16</xdr:row>
      <xdr:rowOff>656318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DECAFAD5-3809-48BF-8ECA-5544A1EE8B2E}"/>
            </a:ext>
          </a:extLst>
        </xdr:cNvPr>
        <xdr:cNvGrpSpPr/>
      </xdr:nvGrpSpPr>
      <xdr:grpSpPr>
        <a:xfrm>
          <a:off x="10399263" y="6376648"/>
          <a:ext cx="625928" cy="316139"/>
          <a:chOff x="8931542" y="11352484"/>
          <a:chExt cx="668543" cy="278702"/>
        </a:xfrm>
      </xdr:grpSpPr>
      <xdr:pic>
        <xdr:nvPicPr>
          <xdr:cNvPr id="3" name="図 2">
            <a:extLst>
              <a:ext uri="{FF2B5EF4-FFF2-40B4-BE49-F238E27FC236}">
                <a16:creationId xmlns:a16="http://schemas.microsoft.com/office/drawing/2014/main" id="{9956B9AA-3601-1CB9-811C-AFED339C695C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8931550" y="11352484"/>
            <a:ext cx="660534" cy="255557"/>
          </a:xfrm>
          <a:prstGeom prst="rect">
            <a:avLst/>
          </a:prstGeom>
          <a:solidFill>
            <a:srgbClr val="FF0000"/>
          </a:solidFill>
        </xdr:spPr>
      </xdr:pic>
      <xdr:sp macro="" textlink="">
        <xdr:nvSpPr>
          <xdr:cNvPr id="4" name="正方形/長方形 3">
            <a:extLst>
              <a:ext uri="{FF2B5EF4-FFF2-40B4-BE49-F238E27FC236}">
                <a16:creationId xmlns:a16="http://schemas.microsoft.com/office/drawing/2014/main" id="{36B61F46-26C8-C7D2-FBE1-268CB82D152C}"/>
              </a:ext>
            </a:extLst>
          </xdr:cNvPr>
          <xdr:cNvSpPr/>
        </xdr:nvSpPr>
        <xdr:spPr>
          <a:xfrm>
            <a:off x="8931542" y="11371527"/>
            <a:ext cx="668543" cy="259659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en-US" altLang="ja-JP" sz="900"/>
              <a:t>Download</a:t>
            </a:r>
            <a:endParaRPr kumimoji="1" lang="ja-JP" altLang="en-US" sz="900"/>
          </a:p>
        </xdr:txBody>
      </xdr:sp>
    </xdr:grpSp>
    <xdr:clientData/>
  </xdr:twoCellAnchor>
  <xdr:twoCellAnchor>
    <xdr:from>
      <xdr:col>48</xdr:col>
      <xdr:colOff>114463</xdr:colOff>
      <xdr:row>27</xdr:row>
      <xdr:rowOff>36028</xdr:rowOff>
    </xdr:from>
    <xdr:to>
      <xdr:col>51</xdr:col>
      <xdr:colOff>178383</xdr:colOff>
      <xdr:row>27</xdr:row>
      <xdr:rowOff>307484</xdr:rowOff>
    </xdr:to>
    <xdr:grpSp>
      <xdr:nvGrpSpPr>
        <xdr:cNvPr id="5" name="グループ化 4">
          <a:extLst>
            <a:ext uri="{FF2B5EF4-FFF2-40B4-BE49-F238E27FC236}">
              <a16:creationId xmlns:a16="http://schemas.microsoft.com/office/drawing/2014/main" id="{C849AEE8-8ADD-48F1-B615-29C0F485DC44}"/>
            </a:ext>
          </a:extLst>
        </xdr:cNvPr>
        <xdr:cNvGrpSpPr/>
      </xdr:nvGrpSpPr>
      <xdr:grpSpPr>
        <a:xfrm>
          <a:off x="9615651" y="10894528"/>
          <a:ext cx="635420" cy="271456"/>
          <a:chOff x="8931547" y="11352484"/>
          <a:chExt cx="668543" cy="278708"/>
        </a:xfrm>
      </xdr:grpSpPr>
      <xdr:pic>
        <xdr:nvPicPr>
          <xdr:cNvPr id="6" name="図 5">
            <a:extLst>
              <a:ext uri="{FF2B5EF4-FFF2-40B4-BE49-F238E27FC236}">
                <a16:creationId xmlns:a16="http://schemas.microsoft.com/office/drawing/2014/main" id="{C327D647-6CE5-45E5-7EEA-45578E2FD745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8931550" y="11352484"/>
            <a:ext cx="660534" cy="255557"/>
          </a:xfrm>
          <a:prstGeom prst="rect">
            <a:avLst/>
          </a:prstGeom>
          <a:solidFill>
            <a:srgbClr val="FF0000"/>
          </a:solidFill>
        </xdr:spPr>
      </xdr:pic>
      <xdr:sp macro="" textlink="">
        <xdr:nvSpPr>
          <xdr:cNvPr id="7" name="正方形/長方形 6">
            <a:extLst>
              <a:ext uri="{FF2B5EF4-FFF2-40B4-BE49-F238E27FC236}">
                <a16:creationId xmlns:a16="http://schemas.microsoft.com/office/drawing/2014/main" id="{31E28D5F-DD4F-3343-512A-341FAD24D790}"/>
              </a:ext>
            </a:extLst>
          </xdr:cNvPr>
          <xdr:cNvSpPr/>
        </xdr:nvSpPr>
        <xdr:spPr>
          <a:xfrm>
            <a:off x="8931547" y="11371532"/>
            <a:ext cx="668543" cy="259660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en-US" altLang="ja-JP" sz="900"/>
              <a:t>Download</a:t>
            </a:r>
            <a:endParaRPr kumimoji="1" lang="ja-JP" altLang="en-US" sz="900"/>
          </a:p>
        </xdr:txBody>
      </xdr:sp>
    </xdr:grpSp>
    <xdr:clientData/>
  </xdr:twoCellAnchor>
  <xdr:twoCellAnchor>
    <xdr:from>
      <xdr:col>16</xdr:col>
      <xdr:colOff>81643</xdr:colOff>
      <xdr:row>28</xdr:row>
      <xdr:rowOff>207310</xdr:rowOff>
    </xdr:from>
    <xdr:to>
      <xdr:col>19</xdr:col>
      <xdr:colOff>197051</xdr:colOff>
      <xdr:row>28</xdr:row>
      <xdr:rowOff>409612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5B488823-0C1E-4767-A380-4A7149346DB5}"/>
            </a:ext>
          </a:extLst>
        </xdr:cNvPr>
        <xdr:cNvSpPr/>
      </xdr:nvSpPr>
      <xdr:spPr bwMode="auto">
        <a:xfrm>
          <a:off x="3231243" y="14742460"/>
          <a:ext cx="629758" cy="202302"/>
        </a:xfrm>
        <a:prstGeom prst="rect">
          <a:avLst/>
        </a:prstGeom>
        <a:solidFill>
          <a:srgbClr val="002879"/>
        </a:solidFill>
        <a:ln w="6350" cap="flat" cmpd="sng" algn="ctr">
          <a:solidFill>
            <a:schemeClr val="bg1">
              <a:lumMod val="7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="horz" wrap="square" lIns="91440" tIns="45720" rIns="91440" bIns="45720" numCol="1" rtlCol="0" anchor="ctr" anchorCtr="0" compatLnSpc="1">
          <a:prstTxWarp prst="textNoShape">
            <a:avLst/>
          </a:prstTxWarp>
        </a:bodyPr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9pPr>
        </a:lstStyle>
        <a:p>
          <a:pPr marL="0" marR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500" b="1" i="0" u="none" strike="noStrike" kern="1200" cap="none" normalizeH="0" baseline="0">
              <a:ln>
                <a:noFill/>
              </a:ln>
              <a:solidFill>
                <a:schemeClr val="bg1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rPr>
            <a:t>CSV Download</a:t>
          </a:r>
          <a:endParaRPr kumimoji="1" lang="ja-JP" altLang="ja-JP" sz="500" b="1" i="0" u="none" strike="noStrike" kern="1200" cap="none" normalizeH="0" baseline="0">
            <a:ln>
              <a:noFill/>
            </a:ln>
            <a:solidFill>
              <a:schemeClr val="bg1"/>
            </a:solidFill>
            <a:effectLst/>
            <a:latin typeface="メイリオ" panose="020B0604030504040204" pitchFamily="50" charset="-128"/>
            <a:ea typeface="メイリオ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52</xdr:col>
      <xdr:colOff>95250</xdr:colOff>
      <xdr:row>17</xdr:row>
      <xdr:rowOff>54429</xdr:rowOff>
    </xdr:from>
    <xdr:to>
      <xdr:col>56</xdr:col>
      <xdr:colOff>6550</xdr:colOff>
      <xdr:row>17</xdr:row>
      <xdr:rowOff>256731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671980EF-E650-4FB4-A370-5226F4040192}"/>
            </a:ext>
          </a:extLst>
        </xdr:cNvPr>
        <xdr:cNvSpPr/>
      </xdr:nvSpPr>
      <xdr:spPr bwMode="auto">
        <a:xfrm>
          <a:off x="11423650" y="10074729"/>
          <a:ext cx="622500" cy="202302"/>
        </a:xfrm>
        <a:prstGeom prst="rect">
          <a:avLst/>
        </a:prstGeom>
        <a:solidFill>
          <a:srgbClr val="002879"/>
        </a:solidFill>
        <a:ln w="6350" cap="flat" cmpd="sng" algn="ctr">
          <a:solidFill>
            <a:schemeClr val="bg1">
              <a:lumMod val="7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="horz" wrap="square" lIns="91440" tIns="45720" rIns="91440" bIns="45720" numCol="1" rtlCol="0" anchor="ctr" anchorCtr="0" compatLnSpc="1">
          <a:prstTxWarp prst="textNoShape">
            <a:avLst/>
          </a:prstTxWarp>
        </a:bodyPr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9pPr>
        </a:lstStyle>
        <a:p>
          <a:pPr marL="0" marR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500" b="1" i="0" u="none" strike="noStrike" kern="1200" cap="none" normalizeH="0" baseline="0">
              <a:ln>
                <a:noFill/>
              </a:ln>
              <a:solidFill>
                <a:schemeClr val="bg1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rPr>
            <a:t>CSV Download</a:t>
          </a:r>
          <a:endParaRPr kumimoji="1" lang="ja-JP" altLang="ja-JP" sz="500" b="1" i="0" u="none" strike="noStrike" kern="1200" cap="none" normalizeH="0" baseline="0">
            <a:ln>
              <a:noFill/>
            </a:ln>
            <a:solidFill>
              <a:schemeClr val="bg1"/>
            </a:solidFill>
            <a:effectLst/>
            <a:latin typeface="メイリオ" panose="020B0604030504040204" pitchFamily="50" charset="-128"/>
            <a:ea typeface="メイリオ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48</xdr:col>
      <xdr:colOff>156934</xdr:colOff>
      <xdr:row>28</xdr:row>
      <xdr:rowOff>200703</xdr:rowOff>
    </xdr:from>
    <xdr:to>
      <xdr:col>52</xdr:col>
      <xdr:colOff>0</xdr:colOff>
      <xdr:row>28</xdr:row>
      <xdr:rowOff>390305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887DF74A-4BF2-4F35-AC77-16294A21C249}"/>
            </a:ext>
          </a:extLst>
        </xdr:cNvPr>
        <xdr:cNvSpPr/>
      </xdr:nvSpPr>
      <xdr:spPr bwMode="auto">
        <a:xfrm>
          <a:off x="9015184" y="11773578"/>
          <a:ext cx="654363" cy="189602"/>
        </a:xfrm>
        <a:prstGeom prst="rect">
          <a:avLst/>
        </a:prstGeom>
        <a:solidFill>
          <a:srgbClr val="002879"/>
        </a:solidFill>
        <a:ln w="6350" cap="flat" cmpd="sng" algn="ctr">
          <a:solidFill>
            <a:schemeClr val="bg1">
              <a:lumMod val="7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="horz" wrap="square" lIns="91440" tIns="45720" rIns="91440" bIns="45720" numCol="1" rtlCol="0" anchor="ctr" anchorCtr="0" compatLnSpc="1">
          <a:prstTxWarp prst="textNoShape">
            <a:avLst/>
          </a:prstTxWarp>
        </a:bodyPr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9pPr>
        </a:lstStyle>
        <a:p>
          <a:pPr marL="0" marR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500" b="1" i="0" u="none" strike="noStrike" kern="1200" cap="none" normalizeH="0" baseline="0">
              <a:ln>
                <a:noFill/>
              </a:ln>
              <a:solidFill>
                <a:schemeClr val="bg1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rPr>
            <a:t>CSV Download</a:t>
          </a:r>
          <a:endParaRPr kumimoji="1" lang="ja-JP" altLang="ja-JP" sz="500" b="1" i="0" u="none" strike="noStrike" kern="1200" cap="none" normalizeH="0" baseline="0">
            <a:ln>
              <a:noFill/>
            </a:ln>
            <a:solidFill>
              <a:schemeClr val="bg1"/>
            </a:solidFill>
            <a:effectLst/>
            <a:latin typeface="メイリオ" panose="020B0604030504040204" pitchFamily="50" charset="-128"/>
            <a:ea typeface="メイリオ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16</xdr:col>
      <xdr:colOff>126441</xdr:colOff>
      <xdr:row>27</xdr:row>
      <xdr:rowOff>254561</xdr:rowOff>
    </xdr:from>
    <xdr:to>
      <xdr:col>19</xdr:col>
      <xdr:colOff>180835</xdr:colOff>
      <xdr:row>27</xdr:row>
      <xdr:rowOff>526017</xdr:rowOff>
    </xdr:to>
    <xdr:grpSp>
      <xdr:nvGrpSpPr>
        <xdr:cNvPr id="11" name="グループ化 10">
          <a:extLst>
            <a:ext uri="{FF2B5EF4-FFF2-40B4-BE49-F238E27FC236}">
              <a16:creationId xmlns:a16="http://schemas.microsoft.com/office/drawing/2014/main" id="{D573E8B1-7377-4419-9CF7-BAA861AD5982}"/>
            </a:ext>
          </a:extLst>
        </xdr:cNvPr>
        <xdr:cNvGrpSpPr/>
      </xdr:nvGrpSpPr>
      <xdr:grpSpPr>
        <a:xfrm>
          <a:off x="3531629" y="11113061"/>
          <a:ext cx="625894" cy="271456"/>
          <a:chOff x="8931547" y="11352484"/>
          <a:chExt cx="668543" cy="278708"/>
        </a:xfrm>
      </xdr:grpSpPr>
      <xdr:pic>
        <xdr:nvPicPr>
          <xdr:cNvPr id="12" name="図 11">
            <a:extLst>
              <a:ext uri="{FF2B5EF4-FFF2-40B4-BE49-F238E27FC236}">
                <a16:creationId xmlns:a16="http://schemas.microsoft.com/office/drawing/2014/main" id="{2E33704F-BA76-0D28-86CB-ADD5418BDFB6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8931550" y="11352484"/>
            <a:ext cx="660534" cy="255557"/>
          </a:xfrm>
          <a:prstGeom prst="rect">
            <a:avLst/>
          </a:prstGeom>
          <a:solidFill>
            <a:srgbClr val="FF0000"/>
          </a:solidFill>
        </xdr:spPr>
      </xdr:pic>
      <xdr:sp macro="" textlink="">
        <xdr:nvSpPr>
          <xdr:cNvPr id="13" name="正方形/長方形 12">
            <a:extLst>
              <a:ext uri="{FF2B5EF4-FFF2-40B4-BE49-F238E27FC236}">
                <a16:creationId xmlns:a16="http://schemas.microsoft.com/office/drawing/2014/main" id="{C44E25EA-EEDE-0F89-CE6F-C264FBE68E05}"/>
              </a:ext>
            </a:extLst>
          </xdr:cNvPr>
          <xdr:cNvSpPr/>
        </xdr:nvSpPr>
        <xdr:spPr>
          <a:xfrm>
            <a:off x="8931547" y="11371532"/>
            <a:ext cx="668543" cy="259660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en-US" altLang="ja-JP" sz="900"/>
              <a:t>Download</a:t>
            </a:r>
            <a:endParaRPr kumimoji="1" lang="ja-JP" altLang="en-US" sz="900"/>
          </a:p>
        </xdr:txBody>
      </xdr:sp>
    </xdr:grp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54</xdr:col>
      <xdr:colOff>26981</xdr:colOff>
      <xdr:row>15</xdr:row>
      <xdr:rowOff>226224</xdr:rowOff>
    </xdr:from>
    <xdr:to>
      <xdr:col>58</xdr:col>
      <xdr:colOff>794</xdr:colOff>
      <xdr:row>15</xdr:row>
      <xdr:rowOff>544512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9D7EF84A-FF17-4DAF-BAFE-D4FDF108850F}"/>
            </a:ext>
          </a:extLst>
        </xdr:cNvPr>
        <xdr:cNvGrpSpPr/>
      </xdr:nvGrpSpPr>
      <xdr:grpSpPr>
        <a:xfrm>
          <a:off x="10671169" y="3119443"/>
          <a:ext cx="735813" cy="318288"/>
          <a:chOff x="8931541" y="11352484"/>
          <a:chExt cx="726374" cy="255557"/>
        </a:xfrm>
      </xdr:grpSpPr>
      <xdr:pic>
        <xdr:nvPicPr>
          <xdr:cNvPr id="3" name="図 2">
            <a:extLst>
              <a:ext uri="{FF2B5EF4-FFF2-40B4-BE49-F238E27FC236}">
                <a16:creationId xmlns:a16="http://schemas.microsoft.com/office/drawing/2014/main" id="{87AFF410-E25B-C3DE-3B8E-3A7BB29BDA8F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8931550" y="11352484"/>
            <a:ext cx="660534" cy="255557"/>
          </a:xfrm>
          <a:prstGeom prst="rect">
            <a:avLst/>
          </a:prstGeom>
          <a:solidFill>
            <a:srgbClr val="FF0000"/>
          </a:solidFill>
        </xdr:spPr>
      </xdr:pic>
      <xdr:sp macro="" textlink="">
        <xdr:nvSpPr>
          <xdr:cNvPr id="4" name="正方形/長方形 3">
            <a:extLst>
              <a:ext uri="{FF2B5EF4-FFF2-40B4-BE49-F238E27FC236}">
                <a16:creationId xmlns:a16="http://schemas.microsoft.com/office/drawing/2014/main" id="{583743B8-7CEC-7DAA-FB54-E30B6A7C3499}"/>
              </a:ext>
            </a:extLst>
          </xdr:cNvPr>
          <xdr:cNvSpPr/>
        </xdr:nvSpPr>
        <xdr:spPr>
          <a:xfrm>
            <a:off x="8931541" y="11371527"/>
            <a:ext cx="726374" cy="135796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en-US" altLang="ja-JP" sz="900"/>
              <a:t>Download</a:t>
            </a:r>
            <a:endParaRPr kumimoji="1" lang="ja-JP" altLang="en-US" sz="900"/>
          </a:p>
        </xdr:txBody>
      </xdr:sp>
    </xdr:grpSp>
    <xdr:clientData/>
  </xdr:twoCellAnchor>
  <xdr:twoCellAnchor>
    <xdr:from>
      <xdr:col>50</xdr:col>
      <xdr:colOff>59530</xdr:colOff>
      <xdr:row>16</xdr:row>
      <xdr:rowOff>59530</xdr:rowOff>
    </xdr:from>
    <xdr:to>
      <xdr:col>54</xdr:col>
      <xdr:colOff>59529</xdr:colOff>
      <xdr:row>16</xdr:row>
      <xdr:rowOff>321468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ED490DB9-865B-437D-9F6E-4B120DBD2455}"/>
            </a:ext>
          </a:extLst>
        </xdr:cNvPr>
        <xdr:cNvSpPr/>
      </xdr:nvSpPr>
      <xdr:spPr bwMode="auto">
        <a:xfrm>
          <a:off x="9254330" y="5818980"/>
          <a:ext cx="711199" cy="261938"/>
        </a:xfrm>
        <a:prstGeom prst="rect">
          <a:avLst/>
        </a:prstGeom>
        <a:solidFill>
          <a:srgbClr val="002879"/>
        </a:solidFill>
        <a:ln w="6350" cap="flat" cmpd="sng" algn="ctr">
          <a:solidFill>
            <a:schemeClr val="bg1">
              <a:lumMod val="7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="horz" wrap="square" lIns="91440" tIns="45720" rIns="91440" bIns="45720" numCol="1" rtlCol="0" anchor="ctr" anchorCtr="0" compatLnSpc="1">
          <a:prstTxWarp prst="textNoShape">
            <a:avLst/>
          </a:prstTxWarp>
        </a:bodyPr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9pPr>
        </a:lstStyle>
        <a:p>
          <a:pPr marL="0" marR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500" b="1" i="0" u="none" strike="noStrike" kern="1200" cap="none" normalizeH="0" baseline="0">
              <a:ln>
                <a:noFill/>
              </a:ln>
              <a:solidFill>
                <a:schemeClr val="bg1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rPr>
            <a:t>CSV Download</a:t>
          </a:r>
          <a:endParaRPr kumimoji="1" lang="ja-JP" altLang="ja-JP" sz="500" b="1" i="0" u="none" strike="noStrike" kern="1200" cap="none" normalizeH="0" baseline="0">
            <a:ln>
              <a:noFill/>
            </a:ln>
            <a:solidFill>
              <a:schemeClr val="bg1"/>
            </a:solidFill>
            <a:effectLst/>
            <a:latin typeface="メイリオ" panose="020B0604030504040204" pitchFamily="50" charset="-128"/>
            <a:ea typeface="メイリオ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82551</xdr:colOff>
      <xdr:row>6</xdr:row>
      <xdr:rowOff>121071</xdr:rowOff>
    </xdr:from>
    <xdr:to>
      <xdr:col>8</xdr:col>
      <xdr:colOff>85726</xdr:colOff>
      <xdr:row>6</xdr:row>
      <xdr:rowOff>465160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35657275-6217-4F63-B2E7-28C0142CBF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6701" y="1000546"/>
          <a:ext cx="1263650" cy="344089"/>
        </a:xfrm>
        <a:prstGeom prst="rect">
          <a:avLst/>
        </a:prstGeom>
      </xdr:spPr>
    </xdr:pic>
    <xdr:clientData/>
  </xdr:twoCellAnchor>
  <xdr:twoCellAnchor editAs="oneCell">
    <xdr:from>
      <xdr:col>34</xdr:col>
      <xdr:colOff>53975</xdr:colOff>
      <xdr:row>6</xdr:row>
      <xdr:rowOff>47625</xdr:rowOff>
    </xdr:from>
    <xdr:to>
      <xdr:col>36</xdr:col>
      <xdr:colOff>133350</xdr:colOff>
      <xdr:row>6</xdr:row>
      <xdr:rowOff>427773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16384AC6-EE4E-4DAB-9C87-016FF7B268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207125" y="920750"/>
          <a:ext cx="441325" cy="386498"/>
        </a:xfrm>
        <a:prstGeom prst="rect">
          <a:avLst/>
        </a:prstGeom>
      </xdr:spPr>
    </xdr:pic>
    <xdr:clientData/>
  </xdr:twoCellAnchor>
  <xdr:twoCellAnchor>
    <xdr:from>
      <xdr:col>16</xdr:col>
      <xdr:colOff>41274</xdr:colOff>
      <xdr:row>6</xdr:row>
      <xdr:rowOff>149226</xdr:rowOff>
    </xdr:from>
    <xdr:to>
      <xdr:col>32</xdr:col>
      <xdr:colOff>28575</xdr:colOff>
      <xdr:row>6</xdr:row>
      <xdr:rowOff>368966</xdr:rowOff>
    </xdr:to>
    <xdr:grpSp>
      <xdr:nvGrpSpPr>
        <xdr:cNvPr id="4" name="グループ化 3">
          <a:extLst>
            <a:ext uri="{FF2B5EF4-FFF2-40B4-BE49-F238E27FC236}">
              <a16:creationId xmlns:a16="http://schemas.microsoft.com/office/drawing/2014/main" id="{CBE0A48A-2A8D-4DA2-BC20-88B21FC2C474}"/>
            </a:ext>
          </a:extLst>
        </xdr:cNvPr>
        <xdr:cNvGrpSpPr/>
      </xdr:nvGrpSpPr>
      <xdr:grpSpPr>
        <a:xfrm>
          <a:off x="3241674" y="1035051"/>
          <a:ext cx="3187701" cy="219740"/>
          <a:chOff x="3203574" y="1047751"/>
          <a:chExt cx="2879726" cy="219740"/>
        </a:xfrm>
      </xdr:grpSpPr>
      <xdr:sp macro="" textlink="">
        <xdr:nvSpPr>
          <xdr:cNvPr id="5" name="正方形/長方形 4">
            <a:extLst>
              <a:ext uri="{FF2B5EF4-FFF2-40B4-BE49-F238E27FC236}">
                <a16:creationId xmlns:a16="http://schemas.microsoft.com/office/drawing/2014/main" id="{6946C6FF-9332-A80B-1E01-DDE3EC893988}"/>
              </a:ext>
            </a:extLst>
          </xdr:cNvPr>
          <xdr:cNvSpPr/>
        </xdr:nvSpPr>
        <xdr:spPr>
          <a:xfrm>
            <a:off x="5111750" y="1054100"/>
            <a:ext cx="971550" cy="209550"/>
          </a:xfrm>
          <a:prstGeom prst="rect">
            <a:avLst/>
          </a:prstGeom>
          <a:solidFill>
            <a:srgbClr val="003399"/>
          </a:solidFill>
          <a:ln w="12700"/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lIns="36000" tIns="36000" rIns="36000" bIns="36000" rtlCol="0" anchor="ctr"/>
          <a:lstStyle/>
          <a:p>
            <a:pPr algn="ctr">
              <a:lnSpc>
                <a:spcPts val="900"/>
              </a:lnSpc>
            </a:pPr>
            <a:r>
              <a:rPr kumimoji="1" lang="ja-JP" altLang="en-US" sz="800">
                <a:solidFill>
                  <a:schemeClr val="bg1"/>
                </a:solidFill>
              </a:rPr>
              <a:t>検索</a:t>
            </a:r>
          </a:p>
        </xdr:txBody>
      </xdr:sp>
      <xdr:sp macro="" textlink="">
        <xdr:nvSpPr>
          <xdr:cNvPr id="6" name="正方形/長方形 5">
            <a:extLst>
              <a:ext uri="{FF2B5EF4-FFF2-40B4-BE49-F238E27FC236}">
                <a16:creationId xmlns:a16="http://schemas.microsoft.com/office/drawing/2014/main" id="{3C2AA907-0C58-272F-1AF7-D55BA7A7518F}"/>
              </a:ext>
            </a:extLst>
          </xdr:cNvPr>
          <xdr:cNvSpPr/>
        </xdr:nvSpPr>
        <xdr:spPr>
          <a:xfrm>
            <a:off x="3203574" y="1047751"/>
            <a:ext cx="1939925" cy="219740"/>
          </a:xfrm>
          <a:prstGeom prst="rect">
            <a:avLst/>
          </a:prstGeom>
          <a:solidFill>
            <a:schemeClr val="bg1"/>
          </a:solidFill>
          <a:ln w="12700">
            <a:solidFill>
              <a:schemeClr val="bg1"/>
            </a:solidFill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lIns="36000" tIns="36000" rIns="36000" bIns="36000" rtlCol="0" anchor="b"/>
          <a:lstStyle/>
          <a:p>
            <a:pPr algn="l">
              <a:lnSpc>
                <a:spcPts val="900"/>
              </a:lnSpc>
            </a:pPr>
            <a:r>
              <a:rPr kumimoji="1" lang="ja-JP" altLang="en-US" sz="800">
                <a:solidFill>
                  <a:schemeClr val="bg1">
                    <a:lumMod val="50000"/>
                  </a:schemeClr>
                </a:solidFill>
              </a:rPr>
              <a:t>製品名・シリーズ・キーワードを入力</a:t>
            </a:r>
            <a:endParaRPr kumimoji="1" lang="en-US" altLang="ja-JP" sz="800">
              <a:solidFill>
                <a:schemeClr val="bg1">
                  <a:lumMod val="50000"/>
                </a:schemeClr>
              </a:solidFill>
            </a:endParaRPr>
          </a:p>
        </xdr:txBody>
      </xdr:sp>
    </xdr:grpSp>
    <xdr:clientData/>
  </xdr:twoCellAnchor>
  <xdr:twoCellAnchor>
    <xdr:from>
      <xdr:col>38</xdr:col>
      <xdr:colOff>171450</xdr:colOff>
      <xdr:row>6</xdr:row>
      <xdr:rowOff>184149</xdr:rowOff>
    </xdr:from>
    <xdr:to>
      <xdr:col>44</xdr:col>
      <xdr:colOff>171450</xdr:colOff>
      <xdr:row>6</xdr:row>
      <xdr:rowOff>403224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15057F24-B689-4A0B-999F-6B2BEE74C5C3}"/>
            </a:ext>
          </a:extLst>
        </xdr:cNvPr>
        <xdr:cNvSpPr/>
      </xdr:nvSpPr>
      <xdr:spPr>
        <a:xfrm>
          <a:off x="7048500" y="1057274"/>
          <a:ext cx="1085850" cy="222250"/>
        </a:xfrm>
        <a:prstGeom prst="rect">
          <a:avLst/>
        </a:prstGeom>
        <a:solidFill>
          <a:srgbClr val="008000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ja-JP" altLang="en-US" sz="800">
              <a:solidFill>
                <a:schemeClr val="bg1"/>
              </a:solidFill>
            </a:rPr>
            <a:t>マイページ</a:t>
          </a:r>
        </a:p>
      </xdr:txBody>
    </xdr:sp>
    <xdr:clientData/>
  </xdr:twoCellAnchor>
  <xdr:twoCellAnchor>
    <xdr:from>
      <xdr:col>20</xdr:col>
      <xdr:colOff>25400</xdr:colOff>
      <xdr:row>53</xdr:row>
      <xdr:rowOff>34925</xdr:rowOff>
    </xdr:from>
    <xdr:to>
      <xdr:col>32</xdr:col>
      <xdr:colOff>38100</xdr:colOff>
      <xdr:row>55</xdr:row>
      <xdr:rowOff>19050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7A9A2FA3-D082-435A-B608-92FAF1C75652}"/>
            </a:ext>
          </a:extLst>
        </xdr:cNvPr>
        <xdr:cNvSpPr/>
      </xdr:nvSpPr>
      <xdr:spPr>
        <a:xfrm>
          <a:off x="3648075" y="9302750"/>
          <a:ext cx="2181225" cy="307975"/>
        </a:xfrm>
        <a:prstGeom prst="rect">
          <a:avLst/>
        </a:prstGeom>
        <a:solidFill>
          <a:srgbClr val="3366CC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ja-JP" altLang="en-US" sz="8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新規申請</a:t>
          </a:r>
        </a:p>
      </xdr:txBody>
    </xdr:sp>
    <xdr:clientData/>
  </xdr:twoCellAnchor>
  <xdr:twoCellAnchor>
    <xdr:from>
      <xdr:col>39</xdr:col>
      <xdr:colOff>123826</xdr:colOff>
      <xdr:row>59</xdr:row>
      <xdr:rowOff>25402</xdr:rowOff>
    </xdr:from>
    <xdr:to>
      <xdr:col>44</xdr:col>
      <xdr:colOff>53976</xdr:colOff>
      <xdr:row>59</xdr:row>
      <xdr:rowOff>190501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5A311517-AA93-4D35-8F09-83A871942FD5}"/>
            </a:ext>
          </a:extLst>
        </xdr:cNvPr>
        <xdr:cNvSpPr/>
      </xdr:nvSpPr>
      <xdr:spPr>
        <a:xfrm>
          <a:off x="7178676" y="10487027"/>
          <a:ext cx="838200" cy="161924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CSV Downroad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39</xdr:col>
      <xdr:colOff>123826</xdr:colOff>
      <xdr:row>59</xdr:row>
      <xdr:rowOff>25402</xdr:rowOff>
    </xdr:from>
    <xdr:to>
      <xdr:col>44</xdr:col>
      <xdr:colOff>57151</xdr:colOff>
      <xdr:row>59</xdr:row>
      <xdr:rowOff>187326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F3B25212-0DE7-40F7-8EF7-7E07E470F06A}"/>
            </a:ext>
          </a:extLst>
        </xdr:cNvPr>
        <xdr:cNvSpPr/>
      </xdr:nvSpPr>
      <xdr:spPr>
        <a:xfrm>
          <a:off x="7178676" y="10487027"/>
          <a:ext cx="841375" cy="158749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CSV Downroad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39</xdr:col>
      <xdr:colOff>123825</xdr:colOff>
      <xdr:row>60</xdr:row>
      <xdr:rowOff>25400</xdr:rowOff>
    </xdr:from>
    <xdr:to>
      <xdr:col>44</xdr:col>
      <xdr:colOff>53975</xdr:colOff>
      <xdr:row>60</xdr:row>
      <xdr:rowOff>193674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0AF569B4-B502-4AEC-9F0B-4C9EFBD0852A}"/>
            </a:ext>
          </a:extLst>
        </xdr:cNvPr>
        <xdr:cNvSpPr/>
      </xdr:nvSpPr>
      <xdr:spPr>
        <a:xfrm>
          <a:off x="7178675" y="10696575"/>
          <a:ext cx="838200" cy="165099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CSV Downroad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39</xdr:col>
      <xdr:colOff>123825</xdr:colOff>
      <xdr:row>61</xdr:row>
      <xdr:rowOff>28575</xdr:rowOff>
    </xdr:from>
    <xdr:to>
      <xdr:col>44</xdr:col>
      <xdr:colOff>57150</xdr:colOff>
      <xdr:row>61</xdr:row>
      <xdr:rowOff>193674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9E2E7DDA-6800-48D6-BF70-3F960725A705}"/>
            </a:ext>
          </a:extLst>
        </xdr:cNvPr>
        <xdr:cNvSpPr/>
      </xdr:nvSpPr>
      <xdr:spPr>
        <a:xfrm>
          <a:off x="7178675" y="10902950"/>
          <a:ext cx="841375" cy="168274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CSV Downroad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39</xdr:col>
      <xdr:colOff>123825</xdr:colOff>
      <xdr:row>62</xdr:row>
      <xdr:rowOff>25400</xdr:rowOff>
    </xdr:from>
    <xdr:to>
      <xdr:col>44</xdr:col>
      <xdr:colOff>53975</xdr:colOff>
      <xdr:row>62</xdr:row>
      <xdr:rowOff>193674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10425A1C-DF6B-4F32-8552-1301B63BB8FE}"/>
            </a:ext>
          </a:extLst>
        </xdr:cNvPr>
        <xdr:cNvSpPr/>
      </xdr:nvSpPr>
      <xdr:spPr>
        <a:xfrm>
          <a:off x="7178675" y="11115675"/>
          <a:ext cx="838200" cy="165099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CSV Downroad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39</xdr:col>
      <xdr:colOff>120650</xdr:colOff>
      <xdr:row>63</xdr:row>
      <xdr:rowOff>19050</xdr:rowOff>
    </xdr:from>
    <xdr:to>
      <xdr:col>44</xdr:col>
      <xdr:colOff>57150</xdr:colOff>
      <xdr:row>63</xdr:row>
      <xdr:rowOff>180974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90D09BA2-9F54-4397-98EB-D1652F64592D}"/>
            </a:ext>
          </a:extLst>
        </xdr:cNvPr>
        <xdr:cNvSpPr/>
      </xdr:nvSpPr>
      <xdr:spPr>
        <a:xfrm>
          <a:off x="7181850" y="11315700"/>
          <a:ext cx="838200" cy="165099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CSV Downroad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 editAs="oneCell">
    <xdr:from>
      <xdr:col>5</xdr:col>
      <xdr:colOff>152400</xdr:colOff>
      <xdr:row>68</xdr:row>
      <xdr:rowOff>114300</xdr:rowOff>
    </xdr:from>
    <xdr:to>
      <xdr:col>9</xdr:col>
      <xdr:colOff>142875</xdr:colOff>
      <xdr:row>71</xdr:row>
      <xdr:rowOff>114368</xdr:rowOff>
    </xdr:to>
    <xdr:pic>
      <xdr:nvPicPr>
        <xdr:cNvPr id="15" name="図 14">
          <a:extLst>
            <a:ext uri="{FF2B5EF4-FFF2-40B4-BE49-F238E27FC236}">
              <a16:creationId xmlns:a16="http://schemas.microsoft.com/office/drawing/2014/main" id="{2A106216-5ED9-4A5A-BF10-EC2F7C952DF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r="23219"/>
        <a:stretch>
          <a:fillRect/>
        </a:stretch>
      </xdr:blipFill>
      <xdr:spPr>
        <a:xfrm>
          <a:off x="1057275" y="12268200"/>
          <a:ext cx="711200" cy="485843"/>
        </a:xfrm>
        <a:prstGeom prst="rect">
          <a:avLst/>
        </a:prstGeom>
      </xdr:spPr>
    </xdr:pic>
    <xdr:clientData/>
  </xdr:twoCellAnchor>
  <xdr:twoCellAnchor>
    <xdr:from>
      <xdr:col>32</xdr:col>
      <xdr:colOff>168276</xdr:colOff>
      <xdr:row>69</xdr:row>
      <xdr:rowOff>130175</xdr:rowOff>
    </xdr:from>
    <xdr:to>
      <xdr:col>38</xdr:col>
      <xdr:colOff>168276</xdr:colOff>
      <xdr:row>71</xdr:row>
      <xdr:rowOff>44450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B33B00F0-440E-42A6-8202-17D716CDD0E0}"/>
            </a:ext>
          </a:extLst>
        </xdr:cNvPr>
        <xdr:cNvSpPr/>
      </xdr:nvSpPr>
      <xdr:spPr>
        <a:xfrm>
          <a:off x="5959476" y="12446000"/>
          <a:ext cx="1085850" cy="241300"/>
        </a:xfrm>
        <a:prstGeom prst="rect">
          <a:avLst/>
        </a:prstGeom>
        <a:solidFill>
          <a:schemeClr val="bg1"/>
        </a:solidFill>
        <a:ln w="12700">
          <a:noFill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800">
              <a:solidFill>
                <a:srgbClr val="013284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FAQ</a:t>
          </a:r>
          <a:endParaRPr kumimoji="1" lang="ja-JP" altLang="en-US" sz="800">
            <a:solidFill>
              <a:srgbClr val="013284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39</xdr:col>
      <xdr:colOff>66675</xdr:colOff>
      <xdr:row>69</xdr:row>
      <xdr:rowOff>120650</xdr:rowOff>
    </xdr:from>
    <xdr:to>
      <xdr:col>45</xdr:col>
      <xdr:colOff>104775</xdr:colOff>
      <xdr:row>71</xdr:row>
      <xdr:rowOff>47625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9BCCC206-B6D9-406F-9A55-6A3510EC8307}"/>
            </a:ext>
          </a:extLst>
        </xdr:cNvPr>
        <xdr:cNvSpPr/>
      </xdr:nvSpPr>
      <xdr:spPr>
        <a:xfrm>
          <a:off x="7121525" y="12439650"/>
          <a:ext cx="1123950" cy="244475"/>
        </a:xfrm>
        <a:prstGeom prst="rect">
          <a:avLst/>
        </a:prstGeom>
        <a:solidFill>
          <a:schemeClr val="bg1"/>
        </a:solidFill>
        <a:ln w="12700">
          <a:noFill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ja-JP" altLang="en-US" sz="800">
              <a:solidFill>
                <a:srgbClr val="013284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お問い合わせ</a:t>
          </a:r>
        </a:p>
      </xdr:txBody>
    </xdr:sp>
    <xdr:clientData/>
  </xdr:twoCellAnchor>
  <xdr:twoCellAnchor editAs="oneCell">
    <xdr:from>
      <xdr:col>23</xdr:col>
      <xdr:colOff>63500</xdr:colOff>
      <xdr:row>77</xdr:row>
      <xdr:rowOff>37164</xdr:rowOff>
    </xdr:from>
    <xdr:to>
      <xdr:col>24</xdr:col>
      <xdr:colOff>64206</xdr:colOff>
      <xdr:row>77</xdr:row>
      <xdr:rowOff>152399</xdr:rowOff>
    </xdr:to>
    <xdr:pic>
      <xdr:nvPicPr>
        <xdr:cNvPr id="18" name="図 17">
          <a:extLst>
            <a:ext uri="{FF2B5EF4-FFF2-40B4-BE49-F238E27FC236}">
              <a16:creationId xmlns:a16="http://schemas.microsoft.com/office/drawing/2014/main" id="{60B969D5-50C5-47D6-A4BB-7F3922E63DF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4587" t="31130" r="11447" b="11479"/>
        <a:stretch>
          <a:fillRect/>
        </a:stretch>
      </xdr:blipFill>
      <xdr:spPr>
        <a:xfrm>
          <a:off x="4229100" y="13648389"/>
          <a:ext cx="181681" cy="11523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D26CB18A-19CB-40D6-BAA9-D3FCE408C9F5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22</xdr:col>
      <xdr:colOff>190500</xdr:colOff>
      <xdr:row>20</xdr:row>
      <xdr:rowOff>19051</xdr:rowOff>
    </xdr:from>
    <xdr:to>
      <xdr:col>29</xdr:col>
      <xdr:colOff>104775</xdr:colOff>
      <xdr:row>23</xdr:row>
      <xdr:rowOff>9525</xdr:rowOff>
    </xdr:to>
    <xdr:sp macro="" textlink="">
      <xdr:nvSpPr>
        <xdr:cNvPr id="26" name="四角形吹き出し 11">
          <a:extLst>
            <a:ext uri="{FF2B5EF4-FFF2-40B4-BE49-F238E27FC236}">
              <a16:creationId xmlns:a16="http://schemas.microsoft.com/office/drawing/2014/main" id="{81C88106-4EC8-483E-9968-510063037A38}"/>
            </a:ext>
          </a:extLst>
        </xdr:cNvPr>
        <xdr:cNvSpPr/>
      </xdr:nvSpPr>
      <xdr:spPr>
        <a:xfrm>
          <a:off x="4591050" y="3200401"/>
          <a:ext cx="1314450" cy="390524"/>
        </a:xfrm>
        <a:prstGeom prst="wedgeRectCallout">
          <a:avLst>
            <a:gd name="adj1" fmla="val -80873"/>
            <a:gd name="adj2" fmla="val -60775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各ステップは前段選択後に表示する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13</xdr:col>
      <xdr:colOff>152400</xdr:colOff>
      <xdr:row>26</xdr:row>
      <xdr:rowOff>152400</xdr:rowOff>
    </xdr:from>
    <xdr:to>
      <xdr:col>20</xdr:col>
      <xdr:colOff>152400</xdr:colOff>
      <xdr:row>28</xdr:row>
      <xdr:rowOff>152400</xdr:rowOff>
    </xdr:to>
    <xdr:sp macro="" textlink="">
      <xdr:nvSpPr>
        <xdr:cNvPr id="27" name="正方形/長方形 26">
          <a:extLst>
            <a:ext uri="{FF2B5EF4-FFF2-40B4-BE49-F238E27FC236}">
              <a16:creationId xmlns:a16="http://schemas.microsoft.com/office/drawing/2014/main" id="{6E3D40A0-E374-436F-BA84-3727C262AF44}"/>
            </a:ext>
          </a:extLst>
        </xdr:cNvPr>
        <xdr:cNvSpPr/>
      </xdr:nvSpPr>
      <xdr:spPr>
        <a:xfrm>
          <a:off x="2752725" y="424815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次へ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102</xdr:row>
      <xdr:rowOff>0</xdr:rowOff>
    </xdr:from>
    <xdr:to>
      <xdr:col>24</xdr:col>
      <xdr:colOff>0</xdr:colOff>
      <xdr:row>104</xdr:row>
      <xdr:rowOff>0</xdr:rowOff>
    </xdr:to>
    <xdr:sp macro="" textlink="">
      <xdr:nvSpPr>
        <xdr:cNvPr id="84" name="正方形/長方形 83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SpPr/>
      </xdr:nvSpPr>
      <xdr:spPr>
        <a:xfrm>
          <a:off x="3400425" y="154400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25</xdr:col>
      <xdr:colOff>0</xdr:colOff>
      <xdr:row>102</xdr:row>
      <xdr:rowOff>0</xdr:rowOff>
    </xdr:from>
    <xdr:to>
      <xdr:col>32</xdr:col>
      <xdr:colOff>0</xdr:colOff>
      <xdr:row>104</xdr:row>
      <xdr:rowOff>0</xdr:rowOff>
    </xdr:to>
    <xdr:sp macro="" textlink="">
      <xdr:nvSpPr>
        <xdr:cNvPr id="85" name="正方形/長方形 84">
          <a:extLst>
            <a:ext uri="{FF2B5EF4-FFF2-40B4-BE49-F238E27FC236}">
              <a16:creationId xmlns:a16="http://schemas.microsoft.com/office/drawing/2014/main" id="{00000000-0008-0000-0300-000055000000}"/>
            </a:ext>
          </a:extLst>
        </xdr:cNvPr>
        <xdr:cNvSpPr/>
      </xdr:nvSpPr>
      <xdr:spPr>
        <a:xfrm>
          <a:off x="5000625" y="154400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33</xdr:col>
      <xdr:colOff>0</xdr:colOff>
      <xdr:row>102</xdr:row>
      <xdr:rowOff>0</xdr:rowOff>
    </xdr:from>
    <xdr:to>
      <xdr:col>40</xdr:col>
      <xdr:colOff>0</xdr:colOff>
      <xdr:row>104</xdr:row>
      <xdr:rowOff>0</xdr:rowOff>
    </xdr:to>
    <xdr:sp macro="" textlink="">
      <xdr:nvSpPr>
        <xdr:cNvPr id="56" name="正方形/長方形 55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SpPr/>
      </xdr:nvSpPr>
      <xdr:spPr>
        <a:xfrm>
          <a:off x="6600825" y="154400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2" name="矢印: 左 1">
          <a:extLst>
            <a:ext uri="{FF2B5EF4-FFF2-40B4-BE49-F238E27FC236}">
              <a16:creationId xmlns:a16="http://schemas.microsoft.com/office/drawing/2014/main" id="{02F19CD5-F025-357A-9AF1-A54B8D2A21E2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13C7BF72-F229-478D-9413-D7F97FE3724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57925" y="27432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0</xdr:colOff>
      <xdr:row>50</xdr:row>
      <xdr:rowOff>57150</xdr:rowOff>
    </xdr:from>
    <xdr:to>
      <xdr:col>6</xdr:col>
      <xdr:colOff>190500</xdr:colOff>
      <xdr:row>51</xdr:row>
      <xdr:rowOff>142875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9B7E654F-B988-43B6-741A-CAEB004A0A31}"/>
            </a:ext>
          </a:extLst>
        </xdr:cNvPr>
        <xdr:cNvSpPr/>
      </xdr:nvSpPr>
      <xdr:spPr>
        <a:xfrm>
          <a:off x="600075" y="80676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twoCellAnchor>
    <xdr:from>
      <xdr:col>12</xdr:col>
      <xdr:colOff>171450</xdr:colOff>
      <xdr:row>12</xdr:row>
      <xdr:rowOff>152401</xdr:rowOff>
    </xdr:from>
    <xdr:to>
      <xdr:col>19</xdr:col>
      <xdr:colOff>85725</xdr:colOff>
      <xdr:row>15</xdr:row>
      <xdr:rowOff>57150</xdr:rowOff>
    </xdr:to>
    <xdr:sp macro="" textlink="">
      <xdr:nvSpPr>
        <xdr:cNvPr id="23" name="四角形吹き出し 11">
          <a:extLst>
            <a:ext uri="{FF2B5EF4-FFF2-40B4-BE49-F238E27FC236}">
              <a16:creationId xmlns:a16="http://schemas.microsoft.com/office/drawing/2014/main" id="{614D56F4-D37B-3CC5-470F-2F3A76831225}"/>
            </a:ext>
          </a:extLst>
        </xdr:cNvPr>
        <xdr:cNvSpPr/>
      </xdr:nvSpPr>
      <xdr:spPr>
        <a:xfrm>
          <a:off x="2571750" y="2190751"/>
          <a:ext cx="1314450" cy="304799"/>
        </a:xfrm>
        <a:prstGeom prst="wedgeRectCallout">
          <a:avLst>
            <a:gd name="adj1" fmla="val -77975"/>
            <a:gd name="adj2" fmla="val 49210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現状は単価上申区分のみ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41</xdr:col>
      <xdr:colOff>114300</xdr:colOff>
      <xdr:row>20</xdr:row>
      <xdr:rowOff>9525</xdr:rowOff>
    </xdr:from>
    <xdr:to>
      <xdr:col>47</xdr:col>
      <xdr:colOff>85725</xdr:colOff>
      <xdr:row>22</xdr:row>
      <xdr:rowOff>19049</xdr:rowOff>
    </xdr:to>
    <xdr:sp macro="" textlink="">
      <xdr:nvSpPr>
        <xdr:cNvPr id="25" name="四角形吹き出し 11">
          <a:extLst>
            <a:ext uri="{FF2B5EF4-FFF2-40B4-BE49-F238E27FC236}">
              <a16:creationId xmlns:a16="http://schemas.microsoft.com/office/drawing/2014/main" id="{3A35B3E3-9053-14F4-BE0E-F7E6DEB6839F}"/>
            </a:ext>
          </a:extLst>
        </xdr:cNvPr>
        <xdr:cNvSpPr/>
      </xdr:nvSpPr>
      <xdr:spPr>
        <a:xfrm>
          <a:off x="8315325" y="3305175"/>
          <a:ext cx="1171575" cy="238124"/>
        </a:xfrm>
        <a:prstGeom prst="wedgeRectCallout">
          <a:avLst>
            <a:gd name="adj1" fmla="val -22903"/>
            <a:gd name="adj2" fmla="val 12159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工事金額</a:t>
          </a:r>
          <a:r>
            <a:rPr kumimoji="1" lang="en-US" altLang="ja-JP" sz="800">
              <a:solidFill>
                <a:sysClr val="windowText" lastClr="000000"/>
              </a:solidFill>
            </a:rPr>
            <a:t>x</a:t>
          </a:r>
          <a:r>
            <a:rPr kumimoji="1" lang="ja-JP" altLang="en-US" sz="800">
              <a:solidFill>
                <a:sysClr val="windowText" lastClr="000000"/>
              </a:solidFill>
            </a:rPr>
            <a:t>継続期間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49</xdr:col>
      <xdr:colOff>0</xdr:colOff>
      <xdr:row>26</xdr:row>
      <xdr:rowOff>0</xdr:rowOff>
    </xdr:from>
    <xdr:ext cx="201083" cy="171450"/>
    <xdr:pic>
      <xdr:nvPicPr>
        <xdr:cNvPr id="26" name="図 25">
          <a:extLst>
            <a:ext uri="{FF2B5EF4-FFF2-40B4-BE49-F238E27FC236}">
              <a16:creationId xmlns:a16="http://schemas.microsoft.com/office/drawing/2014/main" id="{88F1C993-150D-49BC-9732-3469C83DFC9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01200" y="80105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27" name="図 26">
          <a:extLst>
            <a:ext uri="{FF2B5EF4-FFF2-40B4-BE49-F238E27FC236}">
              <a16:creationId xmlns:a16="http://schemas.microsoft.com/office/drawing/2014/main" id="{A5D2811B-4ED1-4C10-8D81-4B51280EC37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80105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51</xdr:col>
      <xdr:colOff>85725</xdr:colOff>
      <xdr:row>22</xdr:row>
      <xdr:rowOff>114300</xdr:rowOff>
    </xdr:from>
    <xdr:to>
      <xdr:col>58</xdr:col>
      <xdr:colOff>0</xdr:colOff>
      <xdr:row>25</xdr:row>
      <xdr:rowOff>76199</xdr:rowOff>
    </xdr:to>
    <xdr:sp macro="" textlink="">
      <xdr:nvSpPr>
        <xdr:cNvPr id="28" name="四角形吹き出し 11">
          <a:extLst>
            <a:ext uri="{FF2B5EF4-FFF2-40B4-BE49-F238E27FC236}">
              <a16:creationId xmlns:a16="http://schemas.microsoft.com/office/drawing/2014/main" id="{0451F537-F4C8-D7CA-9156-D8DAC133BEC7}"/>
            </a:ext>
          </a:extLst>
        </xdr:cNvPr>
        <xdr:cNvSpPr/>
      </xdr:nvSpPr>
      <xdr:spPr>
        <a:xfrm>
          <a:off x="10287000" y="3695700"/>
          <a:ext cx="1314450" cy="304799"/>
        </a:xfrm>
        <a:prstGeom prst="wedgeRectCallout">
          <a:avLst>
            <a:gd name="adj1" fmla="val -68555"/>
            <a:gd name="adj2" fmla="val 10284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分類の大中小は連携。クレーム</a:t>
          </a:r>
          <a:r>
            <a:rPr kumimoji="1" lang="en-US" altLang="ja-JP" sz="800">
              <a:solidFill>
                <a:sysClr val="windowText" lastClr="000000"/>
              </a:solidFill>
            </a:rPr>
            <a:t>DB</a:t>
          </a:r>
          <a:r>
            <a:rPr kumimoji="1" lang="ja-JP" altLang="en-US" sz="800">
              <a:solidFill>
                <a:sysClr val="windowText" lastClr="000000"/>
              </a:solidFill>
            </a:rPr>
            <a:t>参照。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</xdr:col>
      <xdr:colOff>9525</xdr:colOff>
      <xdr:row>66</xdr:row>
      <xdr:rowOff>85725</xdr:rowOff>
    </xdr:from>
    <xdr:to>
      <xdr:col>7</xdr:col>
      <xdr:colOff>0</xdr:colOff>
      <xdr:row>68</xdr:row>
      <xdr:rowOff>0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F1D5EF3E-643F-48E4-11E0-336061442327}"/>
            </a:ext>
          </a:extLst>
        </xdr:cNvPr>
        <xdr:cNvSpPr/>
      </xdr:nvSpPr>
      <xdr:spPr>
        <a:xfrm>
          <a:off x="609600" y="102679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72</xdr:row>
      <xdr:rowOff>0</xdr:rowOff>
    </xdr:from>
    <xdr:to>
      <xdr:col>8</xdr:col>
      <xdr:colOff>43669</xdr:colOff>
      <xdr:row>73</xdr:row>
      <xdr:rowOff>0</xdr:rowOff>
    </xdr:to>
    <xdr:sp macro="" textlink="">
      <xdr:nvSpPr>
        <xdr:cNvPr id="21" name="正方形/長方形 20">
          <a:extLst>
            <a:ext uri="{FF2B5EF4-FFF2-40B4-BE49-F238E27FC236}">
              <a16:creationId xmlns:a16="http://schemas.microsoft.com/office/drawing/2014/main" id="{0BA3729D-5A88-49C6-AF0B-9FFA0ACE8B7E}"/>
            </a:ext>
          </a:extLst>
        </xdr:cNvPr>
        <xdr:cNvSpPr/>
      </xdr:nvSpPr>
      <xdr:spPr>
        <a:xfrm>
          <a:off x="600075" y="10982325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72</xdr:row>
      <xdr:rowOff>0</xdr:rowOff>
    </xdr:from>
    <xdr:to>
      <xdr:col>12</xdr:col>
      <xdr:colOff>0</xdr:colOff>
      <xdr:row>73</xdr:row>
      <xdr:rowOff>0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09DD92F9-247A-43A9-9FC8-B34505BF08A9}"/>
            </a:ext>
          </a:extLst>
        </xdr:cNvPr>
        <xdr:cNvSpPr/>
      </xdr:nvSpPr>
      <xdr:spPr>
        <a:xfrm>
          <a:off x="1756556" y="10982325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5715</xdr:colOff>
      <xdr:row>74</xdr:row>
      <xdr:rowOff>9502</xdr:rowOff>
    </xdr:from>
    <xdr:ext cx="219106" cy="161948"/>
    <xdr:pic>
      <xdr:nvPicPr>
        <xdr:cNvPr id="24" name="図 23" descr="画面の領域">
          <a:extLst>
            <a:ext uri="{FF2B5EF4-FFF2-40B4-BE49-F238E27FC236}">
              <a16:creationId xmlns:a16="http://schemas.microsoft.com/office/drawing/2014/main" id="{532796EB-5A3D-4D10-8744-DE85F80F5C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6265" y="11677627"/>
          <a:ext cx="219106" cy="161948"/>
        </a:xfrm>
        <a:prstGeom prst="rect">
          <a:avLst/>
        </a:prstGeom>
      </xdr:spPr>
    </xdr:pic>
    <xdr:clientData/>
  </xdr:oneCellAnchor>
  <xdr:twoCellAnchor>
    <xdr:from>
      <xdr:col>12</xdr:col>
      <xdr:colOff>123825</xdr:colOff>
      <xdr:row>21</xdr:row>
      <xdr:rowOff>66676</xdr:rowOff>
    </xdr:from>
    <xdr:to>
      <xdr:col>20</xdr:col>
      <xdr:colOff>85725</xdr:colOff>
      <xdr:row>24</xdr:row>
      <xdr:rowOff>9526</xdr:rowOff>
    </xdr:to>
    <xdr:sp macro="" textlink="">
      <xdr:nvSpPr>
        <xdr:cNvPr id="10" name="四角形吹き出し 11">
          <a:extLst>
            <a:ext uri="{FF2B5EF4-FFF2-40B4-BE49-F238E27FC236}">
              <a16:creationId xmlns:a16="http://schemas.microsoft.com/office/drawing/2014/main" id="{EC1251DB-A5C5-956B-7537-2E3212B9D52E}"/>
            </a:ext>
          </a:extLst>
        </xdr:cNvPr>
        <xdr:cNvSpPr/>
      </xdr:nvSpPr>
      <xdr:spPr>
        <a:xfrm>
          <a:off x="2524125" y="3419476"/>
          <a:ext cx="1562100" cy="342900"/>
        </a:xfrm>
        <a:prstGeom prst="wedgeRectCallout">
          <a:avLst>
            <a:gd name="adj1" fmla="val -49605"/>
            <a:gd name="adj2" fmla="val -82175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口銭率は円販売でも表示する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0</xdr:colOff>
      <xdr:row>87</xdr:row>
      <xdr:rowOff>0</xdr:rowOff>
    </xdr:from>
    <xdr:ext cx="201083" cy="171450"/>
    <xdr:pic>
      <xdr:nvPicPr>
        <xdr:cNvPr id="19" name="図 18">
          <a:extLst>
            <a:ext uri="{FF2B5EF4-FFF2-40B4-BE49-F238E27FC236}">
              <a16:creationId xmlns:a16="http://schemas.microsoft.com/office/drawing/2014/main" id="{6B4324E6-6753-49E8-AC60-70EC5452ACA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17824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2</xdr:col>
      <xdr:colOff>0</xdr:colOff>
      <xdr:row>77</xdr:row>
      <xdr:rowOff>152400</xdr:rowOff>
    </xdr:from>
    <xdr:to>
      <xdr:col>3</xdr:col>
      <xdr:colOff>28</xdr:colOff>
      <xdr:row>79</xdr:row>
      <xdr:rowOff>15269</xdr:rowOff>
    </xdr:to>
    <xdr:pic>
      <xdr:nvPicPr>
        <xdr:cNvPr id="30" name="図 29" descr="画面の領域">
          <a:extLst>
            <a:ext uri="{FF2B5EF4-FFF2-40B4-BE49-F238E27FC236}">
              <a16:creationId xmlns:a16="http://schemas.microsoft.com/office/drawing/2014/main" id="{58F31C2A-A6A6-405E-8D8A-2EDD6CBF3B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77675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97</xdr:row>
      <xdr:rowOff>9502</xdr:rowOff>
    </xdr:from>
    <xdr:ext cx="219106" cy="161948"/>
    <xdr:pic>
      <xdr:nvPicPr>
        <xdr:cNvPr id="31" name="図 30" descr="画面の領域">
          <a:extLst>
            <a:ext uri="{FF2B5EF4-FFF2-40B4-BE49-F238E27FC236}">
              <a16:creationId xmlns:a16="http://schemas.microsoft.com/office/drawing/2014/main" id="{678B2EA0-2138-4B82-8D87-2176D17B0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133472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98</xdr:row>
      <xdr:rowOff>9502</xdr:rowOff>
    </xdr:from>
    <xdr:ext cx="219106" cy="161948"/>
    <xdr:pic>
      <xdr:nvPicPr>
        <xdr:cNvPr id="32" name="図 31" descr="画面の領域">
          <a:extLst>
            <a:ext uri="{FF2B5EF4-FFF2-40B4-BE49-F238E27FC236}">
              <a16:creationId xmlns:a16="http://schemas.microsoft.com/office/drawing/2014/main" id="{1E1824F7-A21D-4396-BBC6-5F152A3F1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02077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99</xdr:row>
      <xdr:rowOff>9502</xdr:rowOff>
    </xdr:from>
    <xdr:ext cx="219106" cy="161948"/>
    <xdr:pic>
      <xdr:nvPicPr>
        <xdr:cNvPr id="33" name="図 32" descr="画面の領域">
          <a:extLst>
            <a:ext uri="{FF2B5EF4-FFF2-40B4-BE49-F238E27FC236}">
              <a16:creationId xmlns:a16="http://schemas.microsoft.com/office/drawing/2014/main" id="{0E50A762-839F-4E8E-B377-3F87C2E908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92227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95</xdr:row>
      <xdr:rowOff>0</xdr:rowOff>
    </xdr:from>
    <xdr:ext cx="201083" cy="171450"/>
    <xdr:pic>
      <xdr:nvPicPr>
        <xdr:cNvPr id="34" name="図 33">
          <a:extLst>
            <a:ext uri="{FF2B5EF4-FFF2-40B4-BE49-F238E27FC236}">
              <a16:creationId xmlns:a16="http://schemas.microsoft.com/office/drawing/2014/main" id="{91FC4B96-76C6-14CF-F9B3-3201D9BA455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683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43</xdr:col>
      <xdr:colOff>38100</xdr:colOff>
      <xdr:row>92</xdr:row>
      <xdr:rowOff>15240</xdr:rowOff>
    </xdr:from>
    <xdr:to>
      <xdr:col>58</xdr:col>
      <xdr:colOff>76201</xdr:colOff>
      <xdr:row>96</xdr:row>
      <xdr:rowOff>91440</xdr:rowOff>
    </xdr:to>
    <xdr:sp macro="" textlink="">
      <xdr:nvSpPr>
        <xdr:cNvPr id="35" name="テキスト ボックス 34">
          <a:extLst>
            <a:ext uri="{FF2B5EF4-FFF2-40B4-BE49-F238E27FC236}">
              <a16:creationId xmlns:a16="http://schemas.microsoft.com/office/drawing/2014/main" id="{41C9DB2C-D907-7AE6-DC0A-B01D00E66CE7}"/>
            </a:ext>
          </a:extLst>
        </xdr:cNvPr>
        <xdr:cNvSpPr txBox="1"/>
      </xdr:nvSpPr>
      <xdr:spPr>
        <a:xfrm>
          <a:off x="8557260" y="13944600"/>
          <a:ext cx="3009901" cy="662940"/>
        </a:xfrm>
        <a:prstGeom prst="rect">
          <a:avLst/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900">
              <a:solidFill>
                <a:sysClr val="windowText" lastClr="000000"/>
              </a:solidFill>
            </a:rPr>
            <a:t>WF</a:t>
          </a:r>
          <a:r>
            <a:rPr kumimoji="1" lang="ja-JP" altLang="en-US" sz="900">
              <a:solidFill>
                <a:sysClr val="windowText" lastClr="000000"/>
              </a:solidFill>
            </a:rPr>
            <a:t>関連は汎用上申同等とする。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承認者は最大</a:t>
          </a:r>
          <a:r>
            <a:rPr kumimoji="1" lang="en-US" altLang="ja-JP" sz="900">
              <a:solidFill>
                <a:sysClr val="windowText" lastClr="000000"/>
              </a:solidFill>
            </a:rPr>
            <a:t>30</a:t>
          </a:r>
          <a:r>
            <a:rPr kumimoji="1" lang="ja-JP" altLang="en-US" sz="900">
              <a:solidFill>
                <a:sysClr val="windowText" lastClr="000000"/>
              </a:solidFill>
            </a:rPr>
            <a:t>ノードまで、確認者数上限は無し。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処理者には組織も指定可能</a:t>
          </a:r>
          <a:endParaRPr kumimoji="1" lang="en-US" altLang="ja-JP" sz="9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66675</xdr:colOff>
      <xdr:row>45</xdr:row>
      <xdr:rowOff>19050</xdr:rowOff>
    </xdr:from>
    <xdr:to>
      <xdr:col>37</xdr:col>
      <xdr:colOff>161925</xdr:colOff>
      <xdr:row>47</xdr:row>
      <xdr:rowOff>19050</xdr:rowOff>
    </xdr:to>
    <xdr:sp macro="" textlink="">
      <xdr:nvSpPr>
        <xdr:cNvPr id="38" name="テキスト ボックス 37">
          <a:extLst>
            <a:ext uri="{FF2B5EF4-FFF2-40B4-BE49-F238E27FC236}">
              <a16:creationId xmlns:a16="http://schemas.microsoft.com/office/drawing/2014/main" id="{B9228494-C759-48D4-BF67-B4F182F12F0C}"/>
            </a:ext>
          </a:extLst>
        </xdr:cNvPr>
        <xdr:cNvSpPr txBox="1"/>
      </xdr:nvSpPr>
      <xdr:spPr>
        <a:xfrm>
          <a:off x="4667250" y="6972300"/>
          <a:ext cx="2895600" cy="371475"/>
        </a:xfrm>
        <a:prstGeom prst="rect">
          <a:avLst/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900">
              <a:solidFill>
                <a:sysClr val="windowText" lastClr="000000"/>
              </a:solidFill>
            </a:rPr>
            <a:t>カスタム品の場合については外貨販売シートを参照</a:t>
          </a:r>
          <a:endParaRPr kumimoji="1" lang="en-US" altLang="ja-JP" sz="9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42</xdr:col>
      <xdr:colOff>89535</xdr:colOff>
      <xdr:row>96</xdr:row>
      <xdr:rowOff>83820</xdr:rowOff>
    </xdr:from>
    <xdr:to>
      <xdr:col>51</xdr:col>
      <xdr:colOff>152400</xdr:colOff>
      <xdr:row>99</xdr:row>
      <xdr:rowOff>19050</xdr:rowOff>
    </xdr:to>
    <xdr:sp macro="" textlink="">
      <xdr:nvSpPr>
        <xdr:cNvPr id="12" name="四角形吹き出し 11">
          <a:extLst>
            <a:ext uri="{FF2B5EF4-FFF2-40B4-BE49-F238E27FC236}">
              <a16:creationId xmlns:a16="http://schemas.microsoft.com/office/drawing/2014/main" id="{5BDFAB28-19E6-0223-3C6B-7A6DA64CCDBD}"/>
            </a:ext>
          </a:extLst>
        </xdr:cNvPr>
        <xdr:cNvSpPr/>
      </xdr:nvSpPr>
      <xdr:spPr>
        <a:xfrm>
          <a:off x="8490585" y="13752195"/>
          <a:ext cx="1863090" cy="449580"/>
        </a:xfrm>
        <a:prstGeom prst="wedgeRectCallout">
          <a:avLst>
            <a:gd name="adj1" fmla="val -72459"/>
            <a:gd name="adj2" fmla="val 241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汎用上申では確認者は完了案件を参照出来るが同じ仕様とする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9525</xdr:colOff>
      <xdr:row>17</xdr:row>
      <xdr:rowOff>9525</xdr:rowOff>
    </xdr:from>
    <xdr:ext cx="201083" cy="171450"/>
    <xdr:pic>
      <xdr:nvPicPr>
        <xdr:cNvPr id="15" name="図 14">
          <a:extLst>
            <a:ext uri="{FF2B5EF4-FFF2-40B4-BE49-F238E27FC236}">
              <a16:creationId xmlns:a16="http://schemas.microsoft.com/office/drawing/2014/main" id="{047C44BF-A15F-CAF8-215B-9B58407085D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27908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23</xdr:col>
      <xdr:colOff>146684</xdr:colOff>
      <xdr:row>65</xdr:row>
      <xdr:rowOff>133349</xdr:rowOff>
    </xdr:from>
    <xdr:to>
      <xdr:col>44</xdr:col>
      <xdr:colOff>158115</xdr:colOff>
      <xdr:row>80</xdr:row>
      <xdr:rowOff>19050</xdr:rowOff>
    </xdr:to>
    <xdr:sp macro="" textlink="">
      <xdr:nvSpPr>
        <xdr:cNvPr id="17" name="テキスト ボックス 16">
          <a:extLst>
            <a:ext uri="{FF2B5EF4-FFF2-40B4-BE49-F238E27FC236}">
              <a16:creationId xmlns:a16="http://schemas.microsoft.com/office/drawing/2014/main" id="{727A13FC-9FE2-8287-0574-D9E060535063}"/>
            </a:ext>
          </a:extLst>
        </xdr:cNvPr>
        <xdr:cNvSpPr txBox="1"/>
      </xdr:nvSpPr>
      <xdr:spPr>
        <a:xfrm>
          <a:off x="4747259" y="10487024"/>
          <a:ext cx="4211956" cy="2114551"/>
        </a:xfrm>
        <a:prstGeom prst="rect">
          <a:avLst/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900">
              <a:solidFill>
                <a:sysClr val="windowText" lastClr="000000"/>
              </a:solidFill>
            </a:rPr>
            <a:t>・明細欄の数値項目の仕様</a:t>
          </a:r>
        </a:p>
        <a:p>
          <a:r>
            <a:rPr kumimoji="1" lang="ja-JP" altLang="en-US" sz="900">
              <a:solidFill>
                <a:sysClr val="windowText" lastClr="000000"/>
              </a:solidFill>
            </a:rPr>
            <a:t>→金額欄は四捨五入して小数点第四位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en-US" altLang="ja-JP" sz="900">
              <a:solidFill>
                <a:sysClr val="windowText" lastClr="000000"/>
              </a:solidFill>
            </a:rPr>
            <a:t>%</a:t>
          </a:r>
          <a:r>
            <a:rPr kumimoji="1" lang="ja-JP" altLang="en-US" sz="900">
              <a:solidFill>
                <a:sysClr val="windowText" lastClr="000000"/>
              </a:solidFill>
            </a:rPr>
            <a:t>は小数点第一位、数量は整数</a:t>
          </a:r>
        </a:p>
        <a:p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・小計、合計欄の数値項目の仕様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 b="0">
              <a:solidFill>
                <a:sysClr val="windowText" lastClr="000000"/>
              </a:solidFill>
            </a:rPr>
            <a:t>→円販売の金額欄は四捨五入して整数。外貨は小数点第二位。</a:t>
          </a:r>
          <a:endParaRPr kumimoji="1" lang="en-US" altLang="ja-JP" sz="900" b="0">
            <a:solidFill>
              <a:sysClr val="windowText" lastClr="000000"/>
            </a:solidFill>
          </a:endParaRPr>
        </a:p>
        <a:p>
          <a:r>
            <a:rPr kumimoji="1" lang="en-US" altLang="ja-JP" sz="900" b="0">
              <a:solidFill>
                <a:sysClr val="windowText" lastClr="000000"/>
              </a:solidFill>
            </a:rPr>
            <a:t>%</a:t>
          </a:r>
          <a:r>
            <a:rPr kumimoji="1" lang="ja-JP" altLang="en-US" sz="900" b="0">
              <a:solidFill>
                <a:sysClr val="windowText" lastClr="000000"/>
              </a:solidFill>
            </a:rPr>
            <a:t>は小数点第一位、数量は整数</a:t>
          </a:r>
          <a:endParaRPr kumimoji="1" lang="en-US" altLang="ja-JP" sz="900" b="0">
            <a:solidFill>
              <a:sysClr val="windowText" lastClr="000000"/>
            </a:solidFill>
          </a:endParaRPr>
        </a:p>
        <a:p>
          <a:endParaRPr kumimoji="1" lang="en-US" altLang="ja-JP" sz="900">
            <a:solidFill>
              <a:srgbClr val="FF0000"/>
            </a:solidFill>
          </a:endParaRPr>
        </a:p>
        <a:p>
          <a:r>
            <a:rPr kumimoji="1" lang="en-US" altLang="ja-JP" sz="900">
              <a:solidFill>
                <a:sysClr val="windowText" lastClr="000000"/>
              </a:solidFill>
            </a:rPr>
            <a:t>【</a:t>
          </a:r>
          <a:r>
            <a:rPr kumimoji="1" lang="ja-JP" altLang="en-US" sz="900">
              <a:solidFill>
                <a:sysClr val="windowText" lastClr="000000"/>
              </a:solidFill>
            </a:rPr>
            <a:t>承認者確認用欄の色付け仕様</a:t>
          </a:r>
          <a:r>
            <a:rPr kumimoji="1" lang="en-US" altLang="ja-JP" sz="900">
              <a:solidFill>
                <a:sysClr val="windowText" lastClr="000000"/>
              </a:solidFill>
            </a:rPr>
            <a:t>】</a:t>
          </a:r>
        </a:p>
        <a:p>
          <a:r>
            <a:rPr kumimoji="1" lang="ja-JP" altLang="en-US" sz="900">
              <a:solidFill>
                <a:sysClr val="windowText" lastClr="000000"/>
              </a:solidFill>
            </a:rPr>
            <a:t>・貢献率、</a:t>
          </a:r>
          <a:r>
            <a:rPr kumimoji="1" lang="ja-JP" altLang="en-US" sz="900">
              <a:solidFill>
                <a:srgbClr val="FF0000"/>
              </a:solidFill>
            </a:rPr>
            <a:t>国内収益性、連結収益性</a:t>
          </a:r>
          <a:r>
            <a:rPr kumimoji="1" lang="ja-JP" altLang="en-US" sz="900">
              <a:solidFill>
                <a:sysClr val="windowText" lastClr="000000"/>
              </a:solidFill>
            </a:rPr>
            <a:t>：</a:t>
          </a:r>
          <a:r>
            <a:rPr kumimoji="1" lang="en-US" altLang="ja-JP" sz="900">
              <a:solidFill>
                <a:sysClr val="windowText" lastClr="000000"/>
              </a:solidFill>
            </a:rPr>
            <a:t>30%</a:t>
          </a:r>
          <a:r>
            <a:rPr kumimoji="1" lang="ja-JP" altLang="en-US" sz="900">
              <a:solidFill>
                <a:sysClr val="windowText" lastClr="000000"/>
              </a:solidFill>
            </a:rPr>
            <a:t>未満赤字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・貢献率以外の</a:t>
          </a:r>
          <a:r>
            <a:rPr kumimoji="1" lang="en-US" altLang="ja-JP" sz="900">
              <a:solidFill>
                <a:sysClr val="windowText" lastClr="000000"/>
              </a:solidFill>
            </a:rPr>
            <a:t>%</a:t>
          </a:r>
          <a:r>
            <a:rPr kumimoji="1" lang="ja-JP" altLang="en-US" sz="900">
              <a:solidFill>
                <a:sysClr val="windowText" lastClr="000000"/>
              </a:solidFill>
            </a:rPr>
            <a:t>表示項目は、マイナスの場合赤字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・数値項目はマイナスの場合赤字</a:t>
          </a:r>
          <a:endParaRPr kumimoji="1" lang="en-US" altLang="ja-JP" sz="900" b="1">
            <a:solidFill>
              <a:sysClr val="windowText" lastClr="000000"/>
            </a:solidFill>
          </a:endParaRPr>
        </a:p>
        <a:p>
          <a:endParaRPr kumimoji="1" lang="en-US" altLang="ja-JP" sz="900">
            <a:solidFill>
              <a:srgbClr val="FF0000"/>
            </a:solidFill>
          </a:endParaRPr>
        </a:p>
        <a:p>
          <a:endParaRPr kumimoji="1" lang="en-US" altLang="ja-JP" sz="900">
            <a:solidFill>
              <a:srgbClr val="FF0000"/>
            </a:solidFill>
          </a:endParaRPr>
        </a:p>
      </xdr:txBody>
    </xdr:sp>
    <xdr:clientData/>
  </xdr:twoCellAnchor>
  <xdr:twoCellAnchor>
    <xdr:from>
      <xdr:col>20</xdr:col>
      <xdr:colOff>171450</xdr:colOff>
      <xdr:row>35</xdr:row>
      <xdr:rowOff>85725</xdr:rowOff>
    </xdr:from>
    <xdr:to>
      <xdr:col>27</xdr:col>
      <xdr:colOff>85725</xdr:colOff>
      <xdr:row>36</xdr:row>
      <xdr:rowOff>161924</xdr:rowOff>
    </xdr:to>
    <xdr:sp macro="" textlink="">
      <xdr:nvSpPr>
        <xdr:cNvPr id="4" name="四角形吹き出し 11">
          <a:extLst>
            <a:ext uri="{FF2B5EF4-FFF2-40B4-BE49-F238E27FC236}">
              <a16:creationId xmlns:a16="http://schemas.microsoft.com/office/drawing/2014/main" id="{B42CFB17-CB6A-412B-C957-3DAAB6EB37F0}"/>
            </a:ext>
          </a:extLst>
        </xdr:cNvPr>
        <xdr:cNvSpPr/>
      </xdr:nvSpPr>
      <xdr:spPr>
        <a:xfrm>
          <a:off x="4171950" y="5610225"/>
          <a:ext cx="1314450" cy="247649"/>
        </a:xfrm>
        <a:prstGeom prst="wedgeRectCallout">
          <a:avLst>
            <a:gd name="adj1" fmla="val -68555"/>
            <a:gd name="adj2" fmla="val 10284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エラーメッセージ。現行まま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0</xdr:colOff>
      <xdr:row>80</xdr:row>
      <xdr:rowOff>47625</xdr:rowOff>
    </xdr:from>
    <xdr:ext cx="201083" cy="171450"/>
    <xdr:pic>
      <xdr:nvPicPr>
        <xdr:cNvPr id="3" name="図 2">
          <a:extLst>
            <a:ext uri="{FF2B5EF4-FFF2-40B4-BE49-F238E27FC236}">
              <a16:creationId xmlns:a16="http://schemas.microsoft.com/office/drawing/2014/main" id="{DF77AD2F-2B58-DA2B-4B3F-69DC6E59544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26301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123825</xdr:colOff>
      <xdr:row>50</xdr:row>
      <xdr:rowOff>57150</xdr:rowOff>
    </xdr:from>
    <xdr:to>
      <xdr:col>11</xdr:col>
      <xdr:colOff>114300</xdr:colOff>
      <xdr:row>51</xdr:row>
      <xdr:rowOff>142875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91C22224-25D3-4FD6-8F05-999701825B5C}"/>
            </a:ext>
          </a:extLst>
        </xdr:cNvPr>
        <xdr:cNvSpPr/>
      </xdr:nvSpPr>
      <xdr:spPr>
        <a:xfrm>
          <a:off x="1524000" y="80676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9</xdr:col>
      <xdr:colOff>0</xdr:colOff>
      <xdr:row>102</xdr:row>
      <xdr:rowOff>0</xdr:rowOff>
    </xdr:from>
    <xdr:to>
      <xdr:col>16</xdr:col>
      <xdr:colOff>0</xdr:colOff>
      <xdr:row>104</xdr:row>
      <xdr:rowOff>0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2112D696-CB67-FBAA-D0E5-C4F2AB24B2BB}"/>
            </a:ext>
          </a:extLst>
        </xdr:cNvPr>
        <xdr:cNvSpPr/>
      </xdr:nvSpPr>
      <xdr:spPr>
        <a:xfrm>
          <a:off x="1800225" y="154400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印刷</a:t>
          </a:r>
        </a:p>
      </xdr:txBody>
    </xdr:sp>
    <xdr:clientData/>
  </xdr:twoCellAnchor>
  <xdr:twoCellAnchor>
    <xdr:from>
      <xdr:col>9</xdr:col>
      <xdr:colOff>80010</xdr:colOff>
      <xdr:row>105</xdr:row>
      <xdr:rowOff>83820</xdr:rowOff>
    </xdr:from>
    <xdr:to>
      <xdr:col>18</xdr:col>
      <xdr:colOff>142875</xdr:colOff>
      <xdr:row>108</xdr:row>
      <xdr:rowOff>19050</xdr:rowOff>
    </xdr:to>
    <xdr:sp macro="" textlink="">
      <xdr:nvSpPr>
        <xdr:cNvPr id="11" name="四角形吹き出し 11">
          <a:extLst>
            <a:ext uri="{FF2B5EF4-FFF2-40B4-BE49-F238E27FC236}">
              <a16:creationId xmlns:a16="http://schemas.microsoft.com/office/drawing/2014/main" id="{588652E2-2A48-FB82-9577-7F8DEFD36776}"/>
            </a:ext>
          </a:extLst>
        </xdr:cNvPr>
        <xdr:cNvSpPr/>
      </xdr:nvSpPr>
      <xdr:spPr>
        <a:xfrm>
          <a:off x="1880235" y="16038195"/>
          <a:ext cx="1863090" cy="449580"/>
        </a:xfrm>
        <a:prstGeom prst="wedgeRectCallout">
          <a:avLst>
            <a:gd name="adj1" fmla="val -41784"/>
            <a:gd name="adj2" fmla="val -99335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rgbClr val="FF0000"/>
              </a:solidFill>
            </a:rPr>
            <a:t>申請、承認グリッド除いた全体を</a:t>
          </a:r>
          <a:r>
            <a:rPr kumimoji="1" lang="en-US" altLang="ja-JP" sz="800">
              <a:solidFill>
                <a:srgbClr val="FF0000"/>
              </a:solidFill>
            </a:rPr>
            <a:t>A4</a:t>
          </a:r>
          <a:r>
            <a:rPr kumimoji="1" lang="ja-JP" altLang="en-US" sz="800">
              <a:solidFill>
                <a:srgbClr val="FF0000"/>
              </a:solidFill>
            </a:rPr>
            <a:t>、</a:t>
          </a:r>
          <a:endParaRPr kumimoji="1" lang="en-US" altLang="ja-JP" sz="80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r>
            <a:rPr kumimoji="1" lang="ja-JP" altLang="en-US" sz="800">
              <a:solidFill>
                <a:srgbClr val="FF0000"/>
              </a:solidFill>
            </a:rPr>
            <a:t>承認グリッドを</a:t>
          </a:r>
          <a:r>
            <a:rPr kumimoji="1" lang="en-US" altLang="ja-JP" sz="800">
              <a:solidFill>
                <a:srgbClr val="FF0000"/>
              </a:solidFill>
            </a:rPr>
            <a:t>A3</a:t>
          </a:r>
          <a:r>
            <a:rPr kumimoji="1" lang="ja-JP" altLang="en-US" sz="800">
              <a:solidFill>
                <a:srgbClr val="FF0000"/>
              </a:solidFill>
            </a:rPr>
            <a:t>横で出力する。</a:t>
          </a:r>
          <a:endParaRPr kumimoji="1" lang="en-US" altLang="ja-JP" sz="800">
            <a:solidFill>
              <a:srgbClr val="FF0000"/>
            </a:solidFill>
          </a:endParaRP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102</xdr:row>
      <xdr:rowOff>0</xdr:rowOff>
    </xdr:from>
    <xdr:to>
      <xdr:col>22</xdr:col>
      <xdr:colOff>0</xdr:colOff>
      <xdr:row>104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8150C595-2F30-4EDC-80DA-4F6018BE7CAA}"/>
            </a:ext>
          </a:extLst>
        </xdr:cNvPr>
        <xdr:cNvSpPr/>
      </xdr:nvSpPr>
      <xdr:spPr>
        <a:xfrm>
          <a:off x="3000375" y="1206817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102</xdr:row>
      <xdr:rowOff>0</xdr:rowOff>
    </xdr:from>
    <xdr:to>
      <xdr:col>30</xdr:col>
      <xdr:colOff>0</xdr:colOff>
      <xdr:row>104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7E5FE1E6-EB77-4569-945E-0396D3B350EB}"/>
            </a:ext>
          </a:extLst>
        </xdr:cNvPr>
        <xdr:cNvSpPr/>
      </xdr:nvSpPr>
      <xdr:spPr>
        <a:xfrm>
          <a:off x="4600575" y="1206817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102</xdr:row>
      <xdr:rowOff>0</xdr:rowOff>
    </xdr:from>
    <xdr:to>
      <xdr:col>38</xdr:col>
      <xdr:colOff>0</xdr:colOff>
      <xdr:row>104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8CBAB78A-0063-4052-89DA-BB397818DDCC}"/>
            </a:ext>
          </a:extLst>
        </xdr:cNvPr>
        <xdr:cNvSpPr/>
      </xdr:nvSpPr>
      <xdr:spPr>
        <a:xfrm>
          <a:off x="6200775" y="1206817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E8039612-52F5-4FB1-8A57-6795F1BD806E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35F1C2D6-84E9-43A4-A829-2027ED86B1D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49</xdr:row>
      <xdr:rowOff>85725</xdr:rowOff>
    </xdr:from>
    <xdr:to>
      <xdr:col>7</xdr:col>
      <xdr:colOff>0</xdr:colOff>
      <xdr:row>51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AD4C4C06-75EE-4A05-8D0B-E01FF3CBDF2C}"/>
            </a:ext>
          </a:extLst>
        </xdr:cNvPr>
        <xdr:cNvSpPr/>
      </xdr:nvSpPr>
      <xdr:spPr>
        <a:xfrm>
          <a:off x="609600" y="80962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oneCellAnchor>
    <xdr:from>
      <xdr:col>49</xdr:col>
      <xdr:colOff>0</xdr:colOff>
      <xdr:row>26</xdr:row>
      <xdr:rowOff>0</xdr:rowOff>
    </xdr:from>
    <xdr:ext cx="201083" cy="171450"/>
    <xdr:pic>
      <xdr:nvPicPr>
        <xdr:cNvPr id="17" name="図 16">
          <a:extLst>
            <a:ext uri="{FF2B5EF4-FFF2-40B4-BE49-F238E27FC236}">
              <a16:creationId xmlns:a16="http://schemas.microsoft.com/office/drawing/2014/main" id="{657A8C20-A58D-4511-BC67-AA7DB2B5A7A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01225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18" name="図 17">
          <a:extLst>
            <a:ext uri="{FF2B5EF4-FFF2-40B4-BE49-F238E27FC236}">
              <a16:creationId xmlns:a16="http://schemas.microsoft.com/office/drawing/2014/main" id="{06D9E62F-BD12-4A50-8412-FD88973F689C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</xdr:col>
      <xdr:colOff>9525</xdr:colOff>
      <xdr:row>66</xdr:row>
      <xdr:rowOff>85725</xdr:rowOff>
    </xdr:from>
    <xdr:to>
      <xdr:col>7</xdr:col>
      <xdr:colOff>0</xdr:colOff>
      <xdr:row>68</xdr:row>
      <xdr:rowOff>0</xdr:rowOff>
    </xdr:to>
    <xdr:sp macro="" textlink="">
      <xdr:nvSpPr>
        <xdr:cNvPr id="21" name="正方形/長方形 20">
          <a:extLst>
            <a:ext uri="{FF2B5EF4-FFF2-40B4-BE49-F238E27FC236}">
              <a16:creationId xmlns:a16="http://schemas.microsoft.com/office/drawing/2014/main" id="{5DBC6DD7-7DC1-4AC5-8D6E-3B75CEA2FF30}"/>
            </a:ext>
          </a:extLst>
        </xdr:cNvPr>
        <xdr:cNvSpPr/>
      </xdr:nvSpPr>
      <xdr:spPr>
        <a:xfrm>
          <a:off x="609600" y="102679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72</xdr:row>
      <xdr:rowOff>0</xdr:rowOff>
    </xdr:from>
    <xdr:to>
      <xdr:col>8</xdr:col>
      <xdr:colOff>43669</xdr:colOff>
      <xdr:row>73</xdr:row>
      <xdr:rowOff>0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6FA3065E-AF76-4BB7-BDA4-8AF60DE73DEF}"/>
            </a:ext>
          </a:extLst>
        </xdr:cNvPr>
        <xdr:cNvSpPr/>
      </xdr:nvSpPr>
      <xdr:spPr>
        <a:xfrm>
          <a:off x="600075" y="10982325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72</xdr:row>
      <xdr:rowOff>0</xdr:rowOff>
    </xdr:from>
    <xdr:to>
      <xdr:col>12</xdr:col>
      <xdr:colOff>0</xdr:colOff>
      <xdr:row>73</xdr:row>
      <xdr:rowOff>0</xdr:rowOff>
    </xdr:to>
    <xdr:sp macro="" textlink="">
      <xdr:nvSpPr>
        <xdr:cNvPr id="23" name="正方形/長方形 22">
          <a:extLst>
            <a:ext uri="{FF2B5EF4-FFF2-40B4-BE49-F238E27FC236}">
              <a16:creationId xmlns:a16="http://schemas.microsoft.com/office/drawing/2014/main" id="{6775DC0F-A953-45CD-88AF-A6C03976D035}"/>
            </a:ext>
          </a:extLst>
        </xdr:cNvPr>
        <xdr:cNvSpPr/>
      </xdr:nvSpPr>
      <xdr:spPr>
        <a:xfrm>
          <a:off x="1756556" y="10982325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74</xdr:row>
      <xdr:rowOff>9502</xdr:rowOff>
    </xdr:from>
    <xdr:ext cx="219106" cy="161948"/>
    <xdr:pic>
      <xdr:nvPicPr>
        <xdr:cNvPr id="24" name="図 23" descr="画面の領域">
          <a:extLst>
            <a:ext uri="{FF2B5EF4-FFF2-40B4-BE49-F238E27FC236}">
              <a16:creationId xmlns:a16="http://schemas.microsoft.com/office/drawing/2014/main" id="{56E36ABB-B079-4A5F-9E83-22C14CE7D6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00525" y="11334727"/>
          <a:ext cx="219106" cy="161948"/>
        </a:xfrm>
        <a:prstGeom prst="rect">
          <a:avLst/>
        </a:prstGeom>
      </xdr:spPr>
    </xdr:pic>
    <xdr:clientData/>
  </xdr:oneCellAnchor>
  <xdr:twoCellAnchor editAs="oneCell">
    <xdr:from>
      <xdr:col>2</xdr:col>
      <xdr:colOff>0</xdr:colOff>
      <xdr:row>77</xdr:row>
      <xdr:rowOff>152400</xdr:rowOff>
    </xdr:from>
    <xdr:to>
      <xdr:col>2</xdr:col>
      <xdr:colOff>198148</xdr:colOff>
      <xdr:row>79</xdr:row>
      <xdr:rowOff>15269</xdr:rowOff>
    </xdr:to>
    <xdr:pic>
      <xdr:nvPicPr>
        <xdr:cNvPr id="11" name="図 10" descr="画面の領域">
          <a:extLst>
            <a:ext uri="{FF2B5EF4-FFF2-40B4-BE49-F238E27FC236}">
              <a16:creationId xmlns:a16="http://schemas.microsoft.com/office/drawing/2014/main" id="{DDF5E072-3E1B-4D2B-8060-2E52615377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77675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97</xdr:row>
      <xdr:rowOff>9502</xdr:rowOff>
    </xdr:from>
    <xdr:ext cx="219106" cy="161948"/>
    <xdr:pic>
      <xdr:nvPicPr>
        <xdr:cNvPr id="12" name="図 11" descr="画面の領域">
          <a:extLst>
            <a:ext uri="{FF2B5EF4-FFF2-40B4-BE49-F238E27FC236}">
              <a16:creationId xmlns:a16="http://schemas.microsoft.com/office/drawing/2014/main" id="{BA00205C-7BC4-4A5A-B31C-0B4A7FA043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02077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98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0BF6693D-FB2C-4C9B-AE95-B213233FF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9222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99</xdr:row>
      <xdr:rowOff>9502</xdr:rowOff>
    </xdr:from>
    <xdr:ext cx="219106" cy="161948"/>
    <xdr:pic>
      <xdr:nvPicPr>
        <xdr:cNvPr id="14" name="図 13" descr="画面の領域">
          <a:extLst>
            <a:ext uri="{FF2B5EF4-FFF2-40B4-BE49-F238E27FC236}">
              <a16:creationId xmlns:a16="http://schemas.microsoft.com/office/drawing/2014/main" id="{68BAB11D-C04D-454C-859F-DB31F9D958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63677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95</xdr:row>
      <xdr:rowOff>0</xdr:rowOff>
    </xdr:from>
    <xdr:ext cx="201083" cy="171450"/>
    <xdr:pic>
      <xdr:nvPicPr>
        <xdr:cNvPr id="15" name="図 14">
          <a:extLst>
            <a:ext uri="{FF2B5EF4-FFF2-40B4-BE49-F238E27FC236}">
              <a16:creationId xmlns:a16="http://schemas.microsoft.com/office/drawing/2014/main" id="{020EA3C4-7F6B-477B-9F03-EB8E87085CC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683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9525</xdr:colOff>
      <xdr:row>17</xdr:row>
      <xdr:rowOff>0</xdr:rowOff>
    </xdr:from>
    <xdr:ext cx="201083" cy="171450"/>
    <xdr:pic>
      <xdr:nvPicPr>
        <xdr:cNvPr id="10" name="図 9">
          <a:extLst>
            <a:ext uri="{FF2B5EF4-FFF2-40B4-BE49-F238E27FC236}">
              <a16:creationId xmlns:a16="http://schemas.microsoft.com/office/drawing/2014/main" id="{4D1FC5A6-DB48-4A0B-BDFC-07A466ED2C1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87</xdr:row>
      <xdr:rowOff>0</xdr:rowOff>
    </xdr:from>
    <xdr:ext cx="201083" cy="171450"/>
    <xdr:pic>
      <xdr:nvPicPr>
        <xdr:cNvPr id="19" name="図 18">
          <a:extLst>
            <a:ext uri="{FF2B5EF4-FFF2-40B4-BE49-F238E27FC236}">
              <a16:creationId xmlns:a16="http://schemas.microsoft.com/office/drawing/2014/main" id="{AF8A48F3-3BEF-4AD8-B46E-5F2303F4E99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3254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81</xdr:row>
      <xdr:rowOff>19050</xdr:rowOff>
    </xdr:from>
    <xdr:ext cx="201083" cy="171450"/>
    <xdr:pic>
      <xdr:nvPicPr>
        <xdr:cNvPr id="20" name="図 19">
          <a:extLst>
            <a:ext uri="{FF2B5EF4-FFF2-40B4-BE49-F238E27FC236}">
              <a16:creationId xmlns:a16="http://schemas.microsoft.com/office/drawing/2014/main" id="{C1FE2133-43C9-D717-D70A-F6002ECCB91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26587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95250</xdr:colOff>
      <xdr:row>49</xdr:row>
      <xdr:rowOff>95250</xdr:rowOff>
    </xdr:from>
    <xdr:to>
      <xdr:col>11</xdr:col>
      <xdr:colOff>85725</xdr:colOff>
      <xdr:row>51</xdr:row>
      <xdr:rowOff>9525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20B53DD6-3696-47AD-8CC3-5D5BF0B569C4}"/>
            </a:ext>
          </a:extLst>
        </xdr:cNvPr>
        <xdr:cNvSpPr/>
      </xdr:nvSpPr>
      <xdr:spPr>
        <a:xfrm>
          <a:off x="1495425" y="793432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112</xdr:row>
      <xdr:rowOff>0</xdr:rowOff>
    </xdr:from>
    <xdr:to>
      <xdr:col>22</xdr:col>
      <xdr:colOff>0</xdr:colOff>
      <xdr:row>114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2A00E30D-0DC8-4BD1-9728-EE0E386DE2AA}"/>
            </a:ext>
          </a:extLst>
        </xdr:cNvPr>
        <xdr:cNvSpPr/>
      </xdr:nvSpPr>
      <xdr:spPr>
        <a:xfrm>
          <a:off x="30003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112</xdr:row>
      <xdr:rowOff>0</xdr:rowOff>
    </xdr:from>
    <xdr:to>
      <xdr:col>30</xdr:col>
      <xdr:colOff>0</xdr:colOff>
      <xdr:row>114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E0221C57-125E-4629-AF91-EBA5CD92E756}"/>
            </a:ext>
          </a:extLst>
        </xdr:cNvPr>
        <xdr:cNvSpPr/>
      </xdr:nvSpPr>
      <xdr:spPr>
        <a:xfrm>
          <a:off x="46005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112</xdr:row>
      <xdr:rowOff>0</xdr:rowOff>
    </xdr:from>
    <xdr:to>
      <xdr:col>38</xdr:col>
      <xdr:colOff>0</xdr:colOff>
      <xdr:row>114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2F3F7596-EB19-49F2-9C36-E0D3F5BC74E7}"/>
            </a:ext>
          </a:extLst>
        </xdr:cNvPr>
        <xdr:cNvSpPr/>
      </xdr:nvSpPr>
      <xdr:spPr>
        <a:xfrm>
          <a:off x="62007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9DFD6481-CF0F-40D4-B990-9400740E44C8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7EFBD6D3-E51E-47E4-B087-D10B4C8DD18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57</xdr:row>
      <xdr:rowOff>85725</xdr:rowOff>
    </xdr:from>
    <xdr:to>
      <xdr:col>7</xdr:col>
      <xdr:colOff>0</xdr:colOff>
      <xdr:row>59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98FB9266-BCED-49BF-B7B8-2073567FACC0}"/>
            </a:ext>
          </a:extLst>
        </xdr:cNvPr>
        <xdr:cNvSpPr/>
      </xdr:nvSpPr>
      <xdr:spPr>
        <a:xfrm>
          <a:off x="609600" y="80962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oneCellAnchor>
    <xdr:from>
      <xdr:col>49</xdr:col>
      <xdr:colOff>0</xdr:colOff>
      <xdr:row>26</xdr:row>
      <xdr:rowOff>0</xdr:rowOff>
    </xdr:from>
    <xdr:ext cx="201083" cy="171450"/>
    <xdr:pic>
      <xdr:nvPicPr>
        <xdr:cNvPr id="8" name="図 7">
          <a:extLst>
            <a:ext uri="{FF2B5EF4-FFF2-40B4-BE49-F238E27FC236}">
              <a16:creationId xmlns:a16="http://schemas.microsoft.com/office/drawing/2014/main" id="{6F31A2A4-7A42-4052-81FE-50EE00C2173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01225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9" name="図 8">
          <a:extLst>
            <a:ext uri="{FF2B5EF4-FFF2-40B4-BE49-F238E27FC236}">
              <a16:creationId xmlns:a16="http://schemas.microsoft.com/office/drawing/2014/main" id="{80191F83-C95E-4388-9141-12847AC82EA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</xdr:col>
      <xdr:colOff>9525</xdr:colOff>
      <xdr:row>76</xdr:row>
      <xdr:rowOff>85725</xdr:rowOff>
    </xdr:from>
    <xdr:to>
      <xdr:col>7</xdr:col>
      <xdr:colOff>0</xdr:colOff>
      <xdr:row>78</xdr:row>
      <xdr:rowOff>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5864711D-6326-429B-BE55-1DF3825F8620}"/>
            </a:ext>
          </a:extLst>
        </xdr:cNvPr>
        <xdr:cNvSpPr/>
      </xdr:nvSpPr>
      <xdr:spPr>
        <a:xfrm>
          <a:off x="609600" y="102679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82</xdr:row>
      <xdr:rowOff>0</xdr:rowOff>
    </xdr:from>
    <xdr:to>
      <xdr:col>8</xdr:col>
      <xdr:colOff>43669</xdr:colOff>
      <xdr:row>83</xdr:row>
      <xdr:rowOff>0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0AE12088-3648-4D6C-A124-B41AF0FBCFD7}"/>
            </a:ext>
          </a:extLst>
        </xdr:cNvPr>
        <xdr:cNvSpPr/>
      </xdr:nvSpPr>
      <xdr:spPr>
        <a:xfrm>
          <a:off x="600075" y="10982325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82</xdr:row>
      <xdr:rowOff>0</xdr:rowOff>
    </xdr:from>
    <xdr:to>
      <xdr:col>12</xdr:col>
      <xdr:colOff>0</xdr:colOff>
      <xdr:row>83</xdr:row>
      <xdr:rowOff>0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735E9687-7654-4A26-9C8E-39D1FA00248C}"/>
            </a:ext>
          </a:extLst>
        </xdr:cNvPr>
        <xdr:cNvSpPr/>
      </xdr:nvSpPr>
      <xdr:spPr>
        <a:xfrm>
          <a:off x="1756556" y="10982325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84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5CEED9FC-A38A-4A37-B875-E3B2393AF9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1334727"/>
          <a:ext cx="219106" cy="161948"/>
        </a:xfrm>
        <a:prstGeom prst="rect">
          <a:avLst/>
        </a:prstGeom>
      </xdr:spPr>
    </xdr:pic>
    <xdr:clientData/>
  </xdr:oneCellAnchor>
  <xdr:oneCellAnchor>
    <xdr:from>
      <xdr:col>15</xdr:col>
      <xdr:colOff>0</xdr:colOff>
      <xdr:row>91</xdr:row>
      <xdr:rowOff>0</xdr:rowOff>
    </xdr:from>
    <xdr:ext cx="201083" cy="171450"/>
    <xdr:pic>
      <xdr:nvPicPr>
        <xdr:cNvPr id="15" name="図 14">
          <a:extLst>
            <a:ext uri="{FF2B5EF4-FFF2-40B4-BE49-F238E27FC236}">
              <a16:creationId xmlns:a16="http://schemas.microsoft.com/office/drawing/2014/main" id="{E1179C3C-0719-4A18-B532-3C49D87B052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22967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2</xdr:col>
      <xdr:colOff>0</xdr:colOff>
      <xdr:row>87</xdr:row>
      <xdr:rowOff>152400</xdr:rowOff>
    </xdr:from>
    <xdr:to>
      <xdr:col>3</xdr:col>
      <xdr:colOff>28</xdr:colOff>
      <xdr:row>89</xdr:row>
      <xdr:rowOff>15269</xdr:rowOff>
    </xdr:to>
    <xdr:pic>
      <xdr:nvPicPr>
        <xdr:cNvPr id="25" name="図 24" descr="画面の領域">
          <a:extLst>
            <a:ext uri="{FF2B5EF4-FFF2-40B4-BE49-F238E27FC236}">
              <a16:creationId xmlns:a16="http://schemas.microsoft.com/office/drawing/2014/main" id="{37975B50-946B-4855-A4C8-ECBF2E06ED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77675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107</xdr:row>
      <xdr:rowOff>9502</xdr:rowOff>
    </xdr:from>
    <xdr:ext cx="219106" cy="161948"/>
    <xdr:pic>
      <xdr:nvPicPr>
        <xdr:cNvPr id="26" name="図 25" descr="画面の領域">
          <a:extLst>
            <a:ext uri="{FF2B5EF4-FFF2-40B4-BE49-F238E27FC236}">
              <a16:creationId xmlns:a16="http://schemas.microsoft.com/office/drawing/2014/main" id="{C50667CC-2C84-455E-A48A-18E36B0735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02077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108</xdr:row>
      <xdr:rowOff>9502</xdr:rowOff>
    </xdr:from>
    <xdr:ext cx="219106" cy="161948"/>
    <xdr:pic>
      <xdr:nvPicPr>
        <xdr:cNvPr id="27" name="図 26" descr="画面の領域">
          <a:extLst>
            <a:ext uri="{FF2B5EF4-FFF2-40B4-BE49-F238E27FC236}">
              <a16:creationId xmlns:a16="http://schemas.microsoft.com/office/drawing/2014/main" id="{907381F4-238E-4701-A406-853019611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9222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109</xdr:row>
      <xdr:rowOff>9502</xdr:rowOff>
    </xdr:from>
    <xdr:ext cx="219106" cy="161948"/>
    <xdr:pic>
      <xdr:nvPicPr>
        <xdr:cNvPr id="28" name="図 27" descr="画面の領域">
          <a:extLst>
            <a:ext uri="{FF2B5EF4-FFF2-40B4-BE49-F238E27FC236}">
              <a16:creationId xmlns:a16="http://schemas.microsoft.com/office/drawing/2014/main" id="{C4D27BA7-115E-460B-9C0F-33EC1A051F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63677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105</xdr:row>
      <xdr:rowOff>0</xdr:rowOff>
    </xdr:from>
    <xdr:ext cx="201083" cy="171450"/>
    <xdr:pic>
      <xdr:nvPicPr>
        <xdr:cNvPr id="29" name="図 28">
          <a:extLst>
            <a:ext uri="{FF2B5EF4-FFF2-40B4-BE49-F238E27FC236}">
              <a16:creationId xmlns:a16="http://schemas.microsoft.com/office/drawing/2014/main" id="{4745E74B-D755-4018-A22F-D44E9FF4045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683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14" name="図 13">
          <a:extLst>
            <a:ext uri="{FF2B5EF4-FFF2-40B4-BE49-F238E27FC236}">
              <a16:creationId xmlns:a16="http://schemas.microsoft.com/office/drawing/2014/main" id="{AB0CB4AD-C494-417F-9C46-063BBE0B2D1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97</xdr:row>
      <xdr:rowOff>0</xdr:rowOff>
    </xdr:from>
    <xdr:ext cx="201083" cy="171450"/>
    <xdr:pic>
      <xdr:nvPicPr>
        <xdr:cNvPr id="16" name="図 15">
          <a:extLst>
            <a:ext uri="{FF2B5EF4-FFF2-40B4-BE49-F238E27FC236}">
              <a16:creationId xmlns:a16="http://schemas.microsoft.com/office/drawing/2014/main" id="{6F22A786-8988-4266-9438-1ADF2618DE3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3254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95250</xdr:colOff>
      <xdr:row>57</xdr:row>
      <xdr:rowOff>85725</xdr:rowOff>
    </xdr:from>
    <xdr:to>
      <xdr:col>11</xdr:col>
      <xdr:colOff>85725</xdr:colOff>
      <xdr:row>59</xdr:row>
      <xdr:rowOff>0</xdr:rowOff>
    </xdr:to>
    <xdr:sp macro="" textlink="">
      <xdr:nvSpPr>
        <xdr:cNvPr id="18" name="正方形/長方形 17">
          <a:extLst>
            <a:ext uri="{FF2B5EF4-FFF2-40B4-BE49-F238E27FC236}">
              <a16:creationId xmlns:a16="http://schemas.microsoft.com/office/drawing/2014/main" id="{E7EF44D0-D1E8-4A05-BD29-A6FA1D7AE22D}"/>
            </a:ext>
          </a:extLst>
        </xdr:cNvPr>
        <xdr:cNvSpPr/>
      </xdr:nvSpPr>
      <xdr:spPr>
        <a:xfrm>
          <a:off x="1495425" y="792480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10</xdr:col>
      <xdr:colOff>38100</xdr:colOff>
      <xdr:row>69</xdr:row>
      <xdr:rowOff>0</xdr:rowOff>
    </xdr:from>
    <xdr:to>
      <xdr:col>17</xdr:col>
      <xdr:colOff>76200</xdr:colOff>
      <xdr:row>70</xdr:row>
      <xdr:rowOff>161925</xdr:rowOff>
    </xdr:to>
    <xdr:sp macro="" textlink="">
      <xdr:nvSpPr>
        <xdr:cNvPr id="17" name="四角形吹き出し 11">
          <a:extLst>
            <a:ext uri="{FF2B5EF4-FFF2-40B4-BE49-F238E27FC236}">
              <a16:creationId xmlns:a16="http://schemas.microsoft.com/office/drawing/2014/main" id="{D99D49E3-FEE8-437D-B0AE-047D4E6AC5F4}"/>
            </a:ext>
          </a:extLst>
        </xdr:cNvPr>
        <xdr:cNvSpPr/>
      </xdr:nvSpPr>
      <xdr:spPr>
        <a:xfrm>
          <a:off x="2038350" y="9667875"/>
          <a:ext cx="1438275" cy="333375"/>
        </a:xfrm>
        <a:prstGeom prst="wedgeRectCallout">
          <a:avLst>
            <a:gd name="adj1" fmla="val -59700"/>
            <a:gd name="adj2" fmla="val -3865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rgbClr val="FF0000"/>
              </a:solidFill>
            </a:rPr>
            <a:t>1</a:t>
          </a:r>
          <a:r>
            <a:rPr kumimoji="1" lang="ja-JP" altLang="en-US" sz="800">
              <a:solidFill>
                <a:srgbClr val="FF0000"/>
              </a:solidFill>
            </a:rPr>
            <a:t>行目は申請通貨</a:t>
          </a:r>
          <a:endParaRPr kumimoji="1" lang="en-US" altLang="ja-JP" sz="80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rgbClr val="FF0000"/>
              </a:solidFill>
            </a:rPr>
            <a:t>2</a:t>
          </a:r>
          <a:r>
            <a:rPr kumimoji="1" lang="ja-JP" altLang="en-US" sz="800">
              <a:solidFill>
                <a:srgbClr val="FF0000"/>
              </a:solidFill>
            </a:rPr>
            <a:t>行目は</a:t>
          </a:r>
          <a:r>
            <a:rPr kumimoji="1" lang="en-US" altLang="ja-JP" sz="800">
              <a:solidFill>
                <a:srgbClr val="FF0000"/>
              </a:solidFill>
            </a:rPr>
            <a:t>JPY</a:t>
          </a:r>
          <a:r>
            <a:rPr kumimoji="1" lang="ja-JP" altLang="en-US" sz="800">
              <a:solidFill>
                <a:srgbClr val="FF0000"/>
              </a:solidFill>
            </a:rPr>
            <a:t>の表示</a:t>
          </a:r>
          <a:endParaRPr kumimoji="1" lang="en-US" altLang="ja-JP" sz="800">
            <a:solidFill>
              <a:srgbClr val="FF0000"/>
            </a:solidFill>
          </a:endParaRPr>
        </a:p>
      </xdr:txBody>
    </xdr:sp>
    <xdr:clientData/>
  </xdr:twoCellAnchor>
  <xdr:twoCellAnchor>
    <xdr:from>
      <xdr:col>23</xdr:col>
      <xdr:colOff>171450</xdr:colOff>
      <xdr:row>52</xdr:row>
      <xdr:rowOff>123825</xdr:rowOff>
    </xdr:from>
    <xdr:to>
      <xdr:col>33</xdr:col>
      <xdr:colOff>161925</xdr:colOff>
      <xdr:row>54</xdr:row>
      <xdr:rowOff>66675</xdr:rowOff>
    </xdr:to>
    <xdr:sp macro="" textlink="">
      <xdr:nvSpPr>
        <xdr:cNvPr id="19" name="四角形吹き出し 11">
          <a:extLst>
            <a:ext uri="{FF2B5EF4-FFF2-40B4-BE49-F238E27FC236}">
              <a16:creationId xmlns:a16="http://schemas.microsoft.com/office/drawing/2014/main" id="{90B5EA0D-AE79-4F81-9C0D-6F1773EFDA00}"/>
            </a:ext>
          </a:extLst>
        </xdr:cNvPr>
        <xdr:cNvSpPr/>
      </xdr:nvSpPr>
      <xdr:spPr>
        <a:xfrm>
          <a:off x="4772025" y="7077075"/>
          <a:ext cx="1990725" cy="314325"/>
        </a:xfrm>
        <a:prstGeom prst="wedgeRectCallout">
          <a:avLst>
            <a:gd name="adj1" fmla="val -34820"/>
            <a:gd name="adj2" fmla="val -108349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原計通貨、申請通貨は同一チェック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78518</xdr:colOff>
      <xdr:row>35</xdr:row>
      <xdr:rowOff>144285</xdr:rowOff>
    </xdr:from>
    <xdr:to>
      <xdr:col>34</xdr:col>
      <xdr:colOff>161511</xdr:colOff>
      <xdr:row>39</xdr:row>
      <xdr:rowOff>47626</xdr:rowOff>
    </xdr:to>
    <xdr:sp macro="" textlink="">
      <xdr:nvSpPr>
        <xdr:cNvPr id="20" name="四角形吹き出し 11">
          <a:extLst>
            <a:ext uri="{FF2B5EF4-FFF2-40B4-BE49-F238E27FC236}">
              <a16:creationId xmlns:a16="http://schemas.microsoft.com/office/drawing/2014/main" id="{9FD2D9A4-861E-494C-BE22-82E23507556D}"/>
            </a:ext>
          </a:extLst>
        </xdr:cNvPr>
        <xdr:cNvSpPr/>
      </xdr:nvSpPr>
      <xdr:spPr>
        <a:xfrm>
          <a:off x="4679093" y="6468885"/>
          <a:ext cx="2283268" cy="474841"/>
        </a:xfrm>
        <a:prstGeom prst="wedgeRectCallout">
          <a:avLst>
            <a:gd name="adj1" fmla="val -66240"/>
            <a:gd name="adj2" fmla="val 31880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default</a:t>
          </a:r>
          <a:r>
            <a:rPr kumimoji="1" lang="ja-JP" altLang="en-US" sz="800">
              <a:solidFill>
                <a:sysClr val="windowText" lastClr="000000"/>
              </a:solidFill>
            </a:rPr>
            <a:t>は経営計画レートですが、変更できるように。客先によってはその会社のレートで変換することが求められる。（日系企業の場合）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80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800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62865</xdr:colOff>
      <xdr:row>39</xdr:row>
      <xdr:rowOff>156211</xdr:rowOff>
    </xdr:from>
    <xdr:to>
      <xdr:col>22</xdr:col>
      <xdr:colOff>32716</xdr:colOff>
      <xdr:row>42</xdr:row>
      <xdr:rowOff>26670</xdr:rowOff>
    </xdr:to>
    <xdr:sp macro="" textlink="">
      <xdr:nvSpPr>
        <xdr:cNvPr id="21" name="四角形吹き出し 11">
          <a:extLst>
            <a:ext uri="{FF2B5EF4-FFF2-40B4-BE49-F238E27FC236}">
              <a16:creationId xmlns:a16="http://schemas.microsoft.com/office/drawing/2014/main" id="{06E8ED9B-0212-494B-9BA1-0A2254FC35C0}"/>
            </a:ext>
          </a:extLst>
        </xdr:cNvPr>
        <xdr:cNvSpPr/>
      </xdr:nvSpPr>
      <xdr:spPr>
        <a:xfrm>
          <a:off x="2663190" y="7052311"/>
          <a:ext cx="1770076" cy="384809"/>
        </a:xfrm>
        <a:prstGeom prst="wedgeRectCallout">
          <a:avLst>
            <a:gd name="adj1" fmla="val -43457"/>
            <a:gd name="adj2" fmla="val -8485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経営計画レート選択時は自動表示。</a:t>
          </a:r>
          <a:br>
            <a:rPr kumimoji="1" lang="en-US" altLang="ja-JP" sz="800">
              <a:solidFill>
                <a:sysClr val="windowText" lastClr="000000"/>
              </a:solidFill>
            </a:rPr>
          </a:br>
          <a:r>
            <a:rPr kumimoji="1" lang="ja-JP" altLang="en-US" sz="800">
              <a:solidFill>
                <a:sysClr val="windowText" lastClr="000000"/>
              </a:solidFill>
            </a:rPr>
            <a:t>そのれ外は手入力。必須項目とする。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22</xdr:col>
      <xdr:colOff>161925</xdr:colOff>
      <xdr:row>41</xdr:row>
      <xdr:rowOff>152400</xdr:rowOff>
    </xdr:from>
    <xdr:to>
      <xdr:col>32</xdr:col>
      <xdr:colOff>0</xdr:colOff>
      <xdr:row>44</xdr:row>
      <xdr:rowOff>66675</xdr:rowOff>
    </xdr:to>
    <xdr:sp macro="" textlink="">
      <xdr:nvSpPr>
        <xdr:cNvPr id="24" name="四角形吹き出し 11">
          <a:extLst>
            <a:ext uri="{FF2B5EF4-FFF2-40B4-BE49-F238E27FC236}">
              <a16:creationId xmlns:a16="http://schemas.microsoft.com/office/drawing/2014/main" id="{4432433F-FE68-42A8-BA06-9C563588A722}"/>
            </a:ext>
          </a:extLst>
        </xdr:cNvPr>
        <xdr:cNvSpPr/>
      </xdr:nvSpPr>
      <xdr:spPr>
        <a:xfrm>
          <a:off x="4562475" y="7391400"/>
          <a:ext cx="1838325" cy="314325"/>
        </a:xfrm>
        <a:prstGeom prst="wedgeRectCallout">
          <a:avLst>
            <a:gd name="adj1" fmla="val 5977"/>
            <a:gd name="adj2" fmla="val 13710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この列まで原計通貨に応じた小数点桁数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33</xdr:col>
      <xdr:colOff>85725</xdr:colOff>
      <xdr:row>41</xdr:row>
      <xdr:rowOff>152400</xdr:rowOff>
    </xdr:from>
    <xdr:to>
      <xdr:col>40</xdr:col>
      <xdr:colOff>142875</xdr:colOff>
      <xdr:row>44</xdr:row>
      <xdr:rowOff>66675</xdr:rowOff>
    </xdr:to>
    <xdr:sp macro="" textlink="">
      <xdr:nvSpPr>
        <xdr:cNvPr id="30" name="四角形吹き出し 11">
          <a:extLst>
            <a:ext uri="{FF2B5EF4-FFF2-40B4-BE49-F238E27FC236}">
              <a16:creationId xmlns:a16="http://schemas.microsoft.com/office/drawing/2014/main" id="{6167572C-4B41-477B-B7B0-AA9CB3AF80A2}"/>
            </a:ext>
          </a:extLst>
        </xdr:cNvPr>
        <xdr:cNvSpPr/>
      </xdr:nvSpPr>
      <xdr:spPr>
        <a:xfrm>
          <a:off x="6686550" y="7391400"/>
          <a:ext cx="1457325" cy="314325"/>
        </a:xfrm>
        <a:prstGeom prst="wedgeRectCallout">
          <a:avLst>
            <a:gd name="adj1" fmla="val -35474"/>
            <a:gd name="adj2" fmla="val 149227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146</xdr:row>
      <xdr:rowOff>0</xdr:rowOff>
    </xdr:from>
    <xdr:to>
      <xdr:col>22</xdr:col>
      <xdr:colOff>0</xdr:colOff>
      <xdr:row>148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8361D997-6EAE-42F9-B985-B71430A588B5}"/>
            </a:ext>
          </a:extLst>
        </xdr:cNvPr>
        <xdr:cNvSpPr/>
      </xdr:nvSpPr>
      <xdr:spPr>
        <a:xfrm>
          <a:off x="30003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146</xdr:row>
      <xdr:rowOff>0</xdr:rowOff>
    </xdr:from>
    <xdr:to>
      <xdr:col>30</xdr:col>
      <xdr:colOff>0</xdr:colOff>
      <xdr:row>148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E4F3B550-C178-4BC5-AEBE-A28DBF4C7030}"/>
            </a:ext>
          </a:extLst>
        </xdr:cNvPr>
        <xdr:cNvSpPr/>
      </xdr:nvSpPr>
      <xdr:spPr>
        <a:xfrm>
          <a:off x="46005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146</xdr:row>
      <xdr:rowOff>0</xdr:rowOff>
    </xdr:from>
    <xdr:to>
      <xdr:col>38</xdr:col>
      <xdr:colOff>0</xdr:colOff>
      <xdr:row>148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94872B9A-46CE-4CD6-A5AB-C6D5C647EDB9}"/>
            </a:ext>
          </a:extLst>
        </xdr:cNvPr>
        <xdr:cNvSpPr/>
      </xdr:nvSpPr>
      <xdr:spPr>
        <a:xfrm>
          <a:off x="62007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468B21AA-B832-4D15-B8F6-64E6D0394E75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476B491E-9D63-46E3-ABB6-14F2EE3D135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72</xdr:row>
      <xdr:rowOff>85725</xdr:rowOff>
    </xdr:from>
    <xdr:to>
      <xdr:col>7</xdr:col>
      <xdr:colOff>0</xdr:colOff>
      <xdr:row>74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D3588E5B-9AF1-4F97-9890-865763A04A77}"/>
            </a:ext>
          </a:extLst>
        </xdr:cNvPr>
        <xdr:cNvSpPr/>
      </xdr:nvSpPr>
      <xdr:spPr>
        <a:xfrm>
          <a:off x="609600" y="8181975"/>
          <a:ext cx="790575" cy="42862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18" name="図 17">
          <a:extLst>
            <a:ext uri="{FF2B5EF4-FFF2-40B4-BE49-F238E27FC236}">
              <a16:creationId xmlns:a16="http://schemas.microsoft.com/office/drawing/2014/main" id="{FE3F6E15-B708-4689-80BC-ECA49AAFE686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</xdr:col>
      <xdr:colOff>0</xdr:colOff>
      <xdr:row>110</xdr:row>
      <xdr:rowOff>85725</xdr:rowOff>
    </xdr:from>
    <xdr:to>
      <xdr:col>6</xdr:col>
      <xdr:colOff>190500</xdr:colOff>
      <xdr:row>112</xdr:row>
      <xdr:rowOff>0</xdr:rowOff>
    </xdr:to>
    <xdr:sp macro="" textlink="">
      <xdr:nvSpPr>
        <xdr:cNvPr id="21" name="正方形/長方形 20">
          <a:extLst>
            <a:ext uri="{FF2B5EF4-FFF2-40B4-BE49-F238E27FC236}">
              <a16:creationId xmlns:a16="http://schemas.microsoft.com/office/drawing/2014/main" id="{D2475BCC-3D57-4CD1-9FEF-D333B39F0691}"/>
            </a:ext>
          </a:extLst>
        </xdr:cNvPr>
        <xdr:cNvSpPr/>
      </xdr:nvSpPr>
      <xdr:spPr>
        <a:xfrm>
          <a:off x="600075" y="1498282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116</xdr:row>
      <xdr:rowOff>0</xdr:rowOff>
    </xdr:from>
    <xdr:to>
      <xdr:col>8</xdr:col>
      <xdr:colOff>43669</xdr:colOff>
      <xdr:row>117</xdr:row>
      <xdr:rowOff>0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C1230DC3-E851-4531-BCE4-4F138045FFE8}"/>
            </a:ext>
          </a:extLst>
        </xdr:cNvPr>
        <xdr:cNvSpPr/>
      </xdr:nvSpPr>
      <xdr:spPr>
        <a:xfrm>
          <a:off x="600075" y="10982325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116</xdr:row>
      <xdr:rowOff>0</xdr:rowOff>
    </xdr:from>
    <xdr:to>
      <xdr:col>12</xdr:col>
      <xdr:colOff>0</xdr:colOff>
      <xdr:row>117</xdr:row>
      <xdr:rowOff>0</xdr:rowOff>
    </xdr:to>
    <xdr:sp macro="" textlink="">
      <xdr:nvSpPr>
        <xdr:cNvPr id="23" name="正方形/長方形 22">
          <a:extLst>
            <a:ext uri="{FF2B5EF4-FFF2-40B4-BE49-F238E27FC236}">
              <a16:creationId xmlns:a16="http://schemas.microsoft.com/office/drawing/2014/main" id="{C9D7C6F0-5ED9-4FAA-87B9-13055FC85842}"/>
            </a:ext>
          </a:extLst>
        </xdr:cNvPr>
        <xdr:cNvSpPr/>
      </xdr:nvSpPr>
      <xdr:spPr>
        <a:xfrm>
          <a:off x="1756556" y="10982325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118</xdr:row>
      <xdr:rowOff>9502</xdr:rowOff>
    </xdr:from>
    <xdr:ext cx="219106" cy="161948"/>
    <xdr:pic>
      <xdr:nvPicPr>
        <xdr:cNvPr id="24" name="図 23" descr="画面の領域">
          <a:extLst>
            <a:ext uri="{FF2B5EF4-FFF2-40B4-BE49-F238E27FC236}">
              <a16:creationId xmlns:a16="http://schemas.microsoft.com/office/drawing/2014/main" id="{7DEB14A4-965E-4BE1-BADB-BD506618C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1334727"/>
          <a:ext cx="219106" cy="161948"/>
        </a:xfrm>
        <a:prstGeom prst="rect">
          <a:avLst/>
        </a:prstGeom>
      </xdr:spPr>
    </xdr:pic>
    <xdr:clientData/>
  </xdr:oneCellAnchor>
  <xdr:twoCellAnchor>
    <xdr:from>
      <xdr:col>21</xdr:col>
      <xdr:colOff>123824</xdr:colOff>
      <xdr:row>105</xdr:row>
      <xdr:rowOff>104775</xdr:rowOff>
    </xdr:from>
    <xdr:to>
      <xdr:col>31</xdr:col>
      <xdr:colOff>65209</xdr:colOff>
      <xdr:row>107</xdr:row>
      <xdr:rowOff>95250</xdr:rowOff>
    </xdr:to>
    <xdr:sp macro="" textlink="">
      <xdr:nvSpPr>
        <xdr:cNvPr id="30" name="四角形吹き出し 11">
          <a:extLst>
            <a:ext uri="{FF2B5EF4-FFF2-40B4-BE49-F238E27FC236}">
              <a16:creationId xmlns:a16="http://schemas.microsoft.com/office/drawing/2014/main" id="{6DBDD004-6A4C-447C-BD6E-85D79B99D0DE}"/>
            </a:ext>
          </a:extLst>
        </xdr:cNvPr>
        <xdr:cNvSpPr/>
      </xdr:nvSpPr>
      <xdr:spPr>
        <a:xfrm>
          <a:off x="4324349" y="16659225"/>
          <a:ext cx="1941635" cy="333375"/>
        </a:xfrm>
        <a:prstGeom prst="wedgeRectCallout">
          <a:avLst>
            <a:gd name="adj1" fmla="val -77253"/>
            <a:gd name="adj2" fmla="val -5944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金型、治工具で無償が選択されている場合のみ表示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78518</xdr:colOff>
      <xdr:row>41</xdr:row>
      <xdr:rowOff>144285</xdr:rowOff>
    </xdr:from>
    <xdr:to>
      <xdr:col>34</xdr:col>
      <xdr:colOff>161511</xdr:colOff>
      <xdr:row>45</xdr:row>
      <xdr:rowOff>47626</xdr:rowOff>
    </xdr:to>
    <xdr:sp macro="" textlink="">
      <xdr:nvSpPr>
        <xdr:cNvPr id="34" name="四角形吹き出し 11">
          <a:extLst>
            <a:ext uri="{FF2B5EF4-FFF2-40B4-BE49-F238E27FC236}">
              <a16:creationId xmlns:a16="http://schemas.microsoft.com/office/drawing/2014/main" id="{1E401332-252C-4473-8358-725C40A6F247}"/>
            </a:ext>
          </a:extLst>
        </xdr:cNvPr>
        <xdr:cNvSpPr/>
      </xdr:nvSpPr>
      <xdr:spPr>
        <a:xfrm>
          <a:off x="4679093" y="6468885"/>
          <a:ext cx="2283268" cy="474841"/>
        </a:xfrm>
        <a:prstGeom prst="wedgeRectCallout">
          <a:avLst>
            <a:gd name="adj1" fmla="val -66240"/>
            <a:gd name="adj2" fmla="val 31880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default</a:t>
          </a:r>
          <a:r>
            <a:rPr kumimoji="1" lang="ja-JP" altLang="en-US" sz="800">
              <a:solidFill>
                <a:sysClr val="windowText" lastClr="000000"/>
              </a:solidFill>
            </a:rPr>
            <a:t>は経営計画レートですが、変更できるように。客先によってはその会社のレートで変換することが求められる。（日系企業の場合）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80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800">
            <a:solidFill>
              <a:srgbClr val="FF0000"/>
            </a:solidFill>
          </a:endParaRPr>
        </a:p>
      </xdr:txBody>
    </xdr:sp>
    <xdr:clientData/>
  </xdr:twoCellAnchor>
  <xdr:twoCellAnchor>
    <xdr:from>
      <xdr:col>51</xdr:col>
      <xdr:colOff>85725</xdr:colOff>
      <xdr:row>37</xdr:row>
      <xdr:rowOff>57150</xdr:rowOff>
    </xdr:from>
    <xdr:to>
      <xdr:col>56</xdr:col>
      <xdr:colOff>85725</xdr:colOff>
      <xdr:row>41</xdr:row>
      <xdr:rowOff>0</xdr:rowOff>
    </xdr:to>
    <xdr:sp macro="" textlink="">
      <xdr:nvSpPr>
        <xdr:cNvPr id="8" name="四角形吹き出し 11">
          <a:extLst>
            <a:ext uri="{FF2B5EF4-FFF2-40B4-BE49-F238E27FC236}">
              <a16:creationId xmlns:a16="http://schemas.microsoft.com/office/drawing/2014/main" id="{824F86EF-C5D4-4BF1-A3B6-910E3426CAFF}"/>
            </a:ext>
          </a:extLst>
        </xdr:cNvPr>
        <xdr:cNvSpPr/>
      </xdr:nvSpPr>
      <xdr:spPr>
        <a:xfrm>
          <a:off x="10287000" y="5410200"/>
          <a:ext cx="1000125" cy="400050"/>
        </a:xfrm>
        <a:prstGeom prst="wedgeRectCallout">
          <a:avLst>
            <a:gd name="adj1" fmla="val -73695"/>
            <a:gd name="adj2" fmla="val 1326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カスタム品の場合のみ表示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2</xdr:col>
      <xdr:colOff>0</xdr:colOff>
      <xdr:row>121</xdr:row>
      <xdr:rowOff>152400</xdr:rowOff>
    </xdr:from>
    <xdr:to>
      <xdr:col>3</xdr:col>
      <xdr:colOff>28</xdr:colOff>
      <xdr:row>123</xdr:row>
      <xdr:rowOff>19079</xdr:rowOff>
    </xdr:to>
    <xdr:pic>
      <xdr:nvPicPr>
        <xdr:cNvPr id="19" name="図 18" descr="画面の領域">
          <a:extLst>
            <a:ext uri="{FF2B5EF4-FFF2-40B4-BE49-F238E27FC236}">
              <a16:creationId xmlns:a16="http://schemas.microsoft.com/office/drawing/2014/main" id="{2449DCE9-78E4-4DCE-AB20-E6512B30D5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77675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141</xdr:row>
      <xdr:rowOff>9502</xdr:rowOff>
    </xdr:from>
    <xdr:ext cx="219106" cy="161948"/>
    <xdr:pic>
      <xdr:nvPicPr>
        <xdr:cNvPr id="20" name="図 19" descr="画面の領域">
          <a:extLst>
            <a:ext uri="{FF2B5EF4-FFF2-40B4-BE49-F238E27FC236}">
              <a16:creationId xmlns:a16="http://schemas.microsoft.com/office/drawing/2014/main" id="{89C1E70A-13C7-4E47-9642-40FBE04169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02077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142</xdr:row>
      <xdr:rowOff>9502</xdr:rowOff>
    </xdr:from>
    <xdr:ext cx="219106" cy="161948"/>
    <xdr:pic>
      <xdr:nvPicPr>
        <xdr:cNvPr id="25" name="図 24" descr="画面の領域">
          <a:extLst>
            <a:ext uri="{FF2B5EF4-FFF2-40B4-BE49-F238E27FC236}">
              <a16:creationId xmlns:a16="http://schemas.microsoft.com/office/drawing/2014/main" id="{CBF22942-B607-42CA-9598-00234BDA1A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9222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143</xdr:row>
      <xdr:rowOff>9502</xdr:rowOff>
    </xdr:from>
    <xdr:ext cx="219106" cy="161948"/>
    <xdr:pic>
      <xdr:nvPicPr>
        <xdr:cNvPr id="26" name="図 25" descr="画面の領域">
          <a:extLst>
            <a:ext uri="{FF2B5EF4-FFF2-40B4-BE49-F238E27FC236}">
              <a16:creationId xmlns:a16="http://schemas.microsoft.com/office/drawing/2014/main" id="{8D1DBED1-D842-4236-91FF-4852415D44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63677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139</xdr:row>
      <xdr:rowOff>0</xdr:rowOff>
    </xdr:from>
    <xdr:ext cx="201083" cy="171450"/>
    <xdr:pic>
      <xdr:nvPicPr>
        <xdr:cNvPr id="27" name="図 26">
          <a:extLst>
            <a:ext uri="{FF2B5EF4-FFF2-40B4-BE49-F238E27FC236}">
              <a16:creationId xmlns:a16="http://schemas.microsoft.com/office/drawing/2014/main" id="{AA36BFAE-6738-4629-95AF-EA57B35F9D2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683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17</xdr:col>
      <xdr:colOff>47625</xdr:colOff>
      <xdr:row>102</xdr:row>
      <xdr:rowOff>104776</xdr:rowOff>
    </xdr:from>
    <xdr:to>
      <xdr:col>18</xdr:col>
      <xdr:colOff>123825</xdr:colOff>
      <xdr:row>106</xdr:row>
      <xdr:rowOff>152400</xdr:rowOff>
    </xdr:to>
    <xdr:sp macro="" textlink="">
      <xdr:nvSpPr>
        <xdr:cNvPr id="29" name="右中かっこ 28">
          <a:extLst>
            <a:ext uri="{FF2B5EF4-FFF2-40B4-BE49-F238E27FC236}">
              <a16:creationId xmlns:a16="http://schemas.microsoft.com/office/drawing/2014/main" id="{36014197-6238-267E-9450-40B3DEA98669}"/>
            </a:ext>
          </a:extLst>
        </xdr:cNvPr>
        <xdr:cNvSpPr/>
      </xdr:nvSpPr>
      <xdr:spPr>
        <a:xfrm>
          <a:off x="3448050" y="14316076"/>
          <a:ext cx="276225" cy="904874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62865</xdr:colOff>
      <xdr:row>45</xdr:row>
      <xdr:rowOff>156211</xdr:rowOff>
    </xdr:from>
    <xdr:to>
      <xdr:col>22</xdr:col>
      <xdr:colOff>32716</xdr:colOff>
      <xdr:row>48</xdr:row>
      <xdr:rowOff>26670</xdr:rowOff>
    </xdr:to>
    <xdr:sp macro="" textlink="">
      <xdr:nvSpPr>
        <xdr:cNvPr id="13" name="四角形吹き出し 11">
          <a:extLst>
            <a:ext uri="{FF2B5EF4-FFF2-40B4-BE49-F238E27FC236}">
              <a16:creationId xmlns:a16="http://schemas.microsoft.com/office/drawing/2014/main" id="{09343CE1-3B6D-414F-87BA-C37AC3352E2F}"/>
            </a:ext>
          </a:extLst>
        </xdr:cNvPr>
        <xdr:cNvSpPr/>
      </xdr:nvSpPr>
      <xdr:spPr>
        <a:xfrm>
          <a:off x="2663190" y="7052311"/>
          <a:ext cx="1770076" cy="384809"/>
        </a:xfrm>
        <a:prstGeom prst="wedgeRectCallout">
          <a:avLst>
            <a:gd name="adj1" fmla="val -43457"/>
            <a:gd name="adj2" fmla="val -8485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経営計画レート選択時は自動表示。</a:t>
          </a:r>
          <a:br>
            <a:rPr kumimoji="1" lang="en-US" altLang="ja-JP" sz="800">
              <a:solidFill>
                <a:sysClr val="windowText" lastClr="000000"/>
              </a:solidFill>
            </a:rPr>
          </a:br>
          <a:r>
            <a:rPr kumimoji="1" lang="ja-JP" altLang="en-US" sz="800">
              <a:solidFill>
                <a:sysClr val="windowText" lastClr="000000"/>
              </a:solidFill>
            </a:rPr>
            <a:t>そのれ外は手入力。必須項目とする。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8</xdr:col>
      <xdr:colOff>74734</xdr:colOff>
      <xdr:row>107</xdr:row>
      <xdr:rowOff>104042</xdr:rowOff>
    </xdr:from>
    <xdr:to>
      <xdr:col>15</xdr:col>
      <xdr:colOff>190500</xdr:colOff>
      <xdr:row>109</xdr:row>
      <xdr:rowOff>9525</xdr:rowOff>
    </xdr:to>
    <xdr:sp macro="" textlink="">
      <xdr:nvSpPr>
        <xdr:cNvPr id="35" name="四角形吹き出し 11">
          <a:extLst>
            <a:ext uri="{FF2B5EF4-FFF2-40B4-BE49-F238E27FC236}">
              <a16:creationId xmlns:a16="http://schemas.microsoft.com/office/drawing/2014/main" id="{F6D553A7-CF88-40EA-BB6F-FDDD945CC47F}"/>
            </a:ext>
          </a:extLst>
        </xdr:cNvPr>
        <xdr:cNvSpPr/>
      </xdr:nvSpPr>
      <xdr:spPr>
        <a:xfrm>
          <a:off x="1674934" y="16658492"/>
          <a:ext cx="1515941" cy="248383"/>
        </a:xfrm>
        <a:prstGeom prst="wedgeRectCallout">
          <a:avLst>
            <a:gd name="adj1" fmla="val -44935"/>
            <a:gd name="adj2" fmla="val -146504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「有」を選択した場合、赤字で表示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47</xdr:col>
      <xdr:colOff>191222</xdr:colOff>
      <xdr:row>70</xdr:row>
      <xdr:rowOff>76200</xdr:rowOff>
    </xdr:from>
    <xdr:to>
      <xdr:col>57</xdr:col>
      <xdr:colOff>9000</xdr:colOff>
      <xdr:row>74</xdr:row>
      <xdr:rowOff>25572</xdr:rowOff>
    </xdr:to>
    <xdr:sp macro="" textlink="">
      <xdr:nvSpPr>
        <xdr:cNvPr id="41" name="四角形吹き出し 11">
          <a:extLst>
            <a:ext uri="{FF2B5EF4-FFF2-40B4-BE49-F238E27FC236}">
              <a16:creationId xmlns:a16="http://schemas.microsoft.com/office/drawing/2014/main" id="{6C8A2732-B5D6-42CC-8140-A5AEC8D7E6AA}"/>
            </a:ext>
          </a:extLst>
        </xdr:cNvPr>
        <xdr:cNvSpPr/>
      </xdr:nvSpPr>
      <xdr:spPr>
        <a:xfrm>
          <a:off x="9592397" y="11372850"/>
          <a:ext cx="1818028" cy="635172"/>
        </a:xfrm>
        <a:prstGeom prst="wedgeRectCallout">
          <a:avLst>
            <a:gd name="adj1" fmla="val -33736"/>
            <a:gd name="adj2" fmla="val 111310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FOB</a:t>
          </a:r>
          <a:r>
            <a:rPr kumimoji="1" lang="ja-JP" altLang="en-US" sz="800">
              <a:solidFill>
                <a:sysClr val="windowText" lastClr="000000"/>
              </a:solidFill>
            </a:rPr>
            <a:t>価格</a:t>
          </a:r>
          <a:r>
            <a:rPr kumimoji="1" lang="en-US" altLang="ja-JP" sz="800">
              <a:solidFill>
                <a:sysClr val="windowText" lastClr="000000"/>
              </a:solidFill>
            </a:rPr>
            <a:t>/(1-</a:t>
          </a:r>
          <a:r>
            <a:rPr kumimoji="1" lang="ja-JP" altLang="en-US" sz="800">
              <a:solidFill>
                <a:sysClr val="windowText" lastClr="000000"/>
              </a:solidFill>
            </a:rPr>
            <a:t>物流コスト率）</a:t>
          </a:r>
          <a:r>
            <a:rPr kumimoji="1" lang="en-US" altLang="ja-JP" sz="800">
              <a:solidFill>
                <a:sysClr val="windowText" lastClr="000000"/>
              </a:solidFill>
            </a:rPr>
            <a:t>×</a:t>
          </a:r>
          <a:r>
            <a:rPr kumimoji="1" lang="ja-JP" altLang="en-US" sz="800">
              <a:solidFill>
                <a:sysClr val="windowText" lastClr="000000"/>
              </a:solidFill>
            </a:rPr>
            <a:t>口銭率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改修前の計算式も確認し設定する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2022.10.20</a:t>
          </a:r>
          <a:r>
            <a:rPr kumimoji="1" lang="en-US" altLang="ja-JP" sz="800" baseline="0">
              <a:solidFill>
                <a:sysClr val="windowText" lastClr="000000"/>
              </a:solidFill>
            </a:rPr>
            <a:t> </a:t>
          </a:r>
          <a:r>
            <a:rPr kumimoji="1" lang="ja-JP" altLang="en-US" sz="800" baseline="0">
              <a:solidFill>
                <a:sysClr val="windowText" lastClr="000000"/>
              </a:solidFill>
            </a:rPr>
            <a:t> </a:t>
          </a:r>
          <a:r>
            <a:rPr kumimoji="1" lang="en-US" altLang="ja-JP" sz="800" baseline="0">
              <a:solidFill>
                <a:sysClr val="windowText" lastClr="000000"/>
              </a:solidFill>
            </a:rPr>
            <a:t>AA</a:t>
          </a: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FOB</a:t>
          </a:r>
          <a:r>
            <a:rPr kumimoji="1" lang="ja-JP" altLang="en-US" sz="800">
              <a:solidFill>
                <a:sysClr val="windowText" lastClr="000000"/>
              </a:solidFill>
            </a:rPr>
            <a:t>価格 </a:t>
          </a:r>
          <a:r>
            <a:rPr kumimoji="1" lang="en-US" altLang="ja-JP" sz="800">
              <a:solidFill>
                <a:sysClr val="windowText" lastClr="000000"/>
              </a:solidFill>
            </a:rPr>
            <a:t>- (CIF</a:t>
          </a:r>
          <a:r>
            <a:rPr kumimoji="1" lang="ja-JP" altLang="en-US" sz="800">
              <a:solidFill>
                <a:sysClr val="windowText" lastClr="000000"/>
              </a:solidFill>
            </a:rPr>
            <a:t>価格 * 口銭率</a:t>
          </a:r>
          <a:r>
            <a:rPr kumimoji="1" lang="en-US" altLang="ja-JP" sz="800">
              <a:solidFill>
                <a:sysClr val="windowText" lastClr="000000"/>
              </a:solidFill>
            </a:rPr>
            <a:t>)</a:t>
          </a:r>
        </a:p>
      </xdr:txBody>
    </xdr:sp>
    <xdr:clientData/>
  </xdr:two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14" name="図 13">
          <a:extLst>
            <a:ext uri="{FF2B5EF4-FFF2-40B4-BE49-F238E27FC236}">
              <a16:creationId xmlns:a16="http://schemas.microsoft.com/office/drawing/2014/main" id="{932E8A4B-5411-43CC-A7A3-8FD6FC33F81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55</xdr:col>
      <xdr:colOff>28575</xdr:colOff>
      <xdr:row>61</xdr:row>
      <xdr:rowOff>123825</xdr:rowOff>
    </xdr:from>
    <xdr:to>
      <xdr:col>57</xdr:col>
      <xdr:colOff>16566</xdr:colOff>
      <xdr:row>72</xdr:row>
      <xdr:rowOff>108502</xdr:rowOff>
    </xdr:to>
    <xdr:sp macro="" textlink="">
      <xdr:nvSpPr>
        <xdr:cNvPr id="28" name="右中かっこ 27">
          <a:extLst>
            <a:ext uri="{FF2B5EF4-FFF2-40B4-BE49-F238E27FC236}">
              <a16:creationId xmlns:a16="http://schemas.microsoft.com/office/drawing/2014/main" id="{50F61282-584E-4720-8D28-AEE0CA23D9AB}"/>
            </a:ext>
          </a:extLst>
        </xdr:cNvPr>
        <xdr:cNvSpPr/>
      </xdr:nvSpPr>
      <xdr:spPr>
        <a:xfrm>
          <a:off x="11029950" y="9534525"/>
          <a:ext cx="388041" cy="2213527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59</xdr:col>
      <xdr:colOff>47625</xdr:colOff>
      <xdr:row>65</xdr:row>
      <xdr:rowOff>57150</xdr:rowOff>
    </xdr:from>
    <xdr:to>
      <xdr:col>64</xdr:col>
      <xdr:colOff>47625</xdr:colOff>
      <xdr:row>67</xdr:row>
      <xdr:rowOff>114300</xdr:rowOff>
    </xdr:to>
    <xdr:sp macro="" textlink="">
      <xdr:nvSpPr>
        <xdr:cNvPr id="31" name="四角形吹き出し 11">
          <a:extLst>
            <a:ext uri="{FF2B5EF4-FFF2-40B4-BE49-F238E27FC236}">
              <a16:creationId xmlns:a16="http://schemas.microsoft.com/office/drawing/2014/main" id="{C3F3AEAE-0BBD-A89A-F2B0-490592C3C803}"/>
            </a:ext>
          </a:extLst>
        </xdr:cNvPr>
        <xdr:cNvSpPr/>
      </xdr:nvSpPr>
      <xdr:spPr>
        <a:xfrm>
          <a:off x="11849100" y="10325100"/>
          <a:ext cx="1000125" cy="400050"/>
        </a:xfrm>
        <a:prstGeom prst="wedgeRectCallout">
          <a:avLst>
            <a:gd name="adj1" fmla="val -73695"/>
            <a:gd name="adj2" fmla="val 1326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カスタム品の場合のみ表示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51</xdr:col>
      <xdr:colOff>171450</xdr:colOff>
      <xdr:row>93</xdr:row>
      <xdr:rowOff>0</xdr:rowOff>
    </xdr:from>
    <xdr:to>
      <xdr:col>53</xdr:col>
      <xdr:colOff>159441</xdr:colOff>
      <xdr:row>109</xdr:row>
      <xdr:rowOff>19049</xdr:rowOff>
    </xdr:to>
    <xdr:sp macro="" textlink="">
      <xdr:nvSpPr>
        <xdr:cNvPr id="32" name="右中かっこ 31">
          <a:extLst>
            <a:ext uri="{FF2B5EF4-FFF2-40B4-BE49-F238E27FC236}">
              <a16:creationId xmlns:a16="http://schemas.microsoft.com/office/drawing/2014/main" id="{BF7D5D2E-2909-4DE2-9AAE-1B91892AA461}"/>
            </a:ext>
          </a:extLst>
        </xdr:cNvPr>
        <xdr:cNvSpPr/>
      </xdr:nvSpPr>
      <xdr:spPr>
        <a:xfrm>
          <a:off x="10372725" y="14668500"/>
          <a:ext cx="388041" cy="2590799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55</xdr:col>
      <xdr:colOff>161925</xdr:colOff>
      <xdr:row>99</xdr:row>
      <xdr:rowOff>161925</xdr:rowOff>
    </xdr:from>
    <xdr:to>
      <xdr:col>61</xdr:col>
      <xdr:colOff>38100</xdr:colOff>
      <xdr:row>103</xdr:row>
      <xdr:rowOff>0</xdr:rowOff>
    </xdr:to>
    <xdr:sp macro="" textlink="">
      <xdr:nvSpPr>
        <xdr:cNvPr id="33" name="四角形吹き出し 11">
          <a:extLst>
            <a:ext uri="{FF2B5EF4-FFF2-40B4-BE49-F238E27FC236}">
              <a16:creationId xmlns:a16="http://schemas.microsoft.com/office/drawing/2014/main" id="{D5D125FB-160D-4637-B97B-37DC7CB0DC9C}"/>
            </a:ext>
          </a:extLst>
        </xdr:cNvPr>
        <xdr:cNvSpPr/>
      </xdr:nvSpPr>
      <xdr:spPr>
        <a:xfrm>
          <a:off x="11163300" y="15687675"/>
          <a:ext cx="1076325" cy="352425"/>
        </a:xfrm>
        <a:prstGeom prst="wedgeRectCallout">
          <a:avLst>
            <a:gd name="adj1" fmla="val -73695"/>
            <a:gd name="adj2" fmla="val 1326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カスタム品の場合のみ表示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22</xdr:col>
      <xdr:colOff>161925</xdr:colOff>
      <xdr:row>47</xdr:row>
      <xdr:rowOff>152400</xdr:rowOff>
    </xdr:from>
    <xdr:to>
      <xdr:col>32</xdr:col>
      <xdr:colOff>0</xdr:colOff>
      <xdr:row>50</xdr:row>
      <xdr:rowOff>66675</xdr:rowOff>
    </xdr:to>
    <xdr:sp macro="" textlink="">
      <xdr:nvSpPr>
        <xdr:cNvPr id="9" name="四角形吹き出し 11">
          <a:extLst>
            <a:ext uri="{FF2B5EF4-FFF2-40B4-BE49-F238E27FC236}">
              <a16:creationId xmlns:a16="http://schemas.microsoft.com/office/drawing/2014/main" id="{67428259-F5D2-BA5C-6C9A-63677372AD40}"/>
            </a:ext>
          </a:extLst>
        </xdr:cNvPr>
        <xdr:cNvSpPr/>
      </xdr:nvSpPr>
      <xdr:spPr>
        <a:xfrm>
          <a:off x="4562475" y="7391400"/>
          <a:ext cx="1838325" cy="314325"/>
        </a:xfrm>
        <a:prstGeom prst="wedgeRectCallout">
          <a:avLst>
            <a:gd name="adj1" fmla="val 5977"/>
            <a:gd name="adj2" fmla="val 13710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この列まで原計通貨に応じた小数点桁数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33</xdr:col>
      <xdr:colOff>85725</xdr:colOff>
      <xdr:row>47</xdr:row>
      <xdr:rowOff>152400</xdr:rowOff>
    </xdr:from>
    <xdr:to>
      <xdr:col>40</xdr:col>
      <xdr:colOff>142875</xdr:colOff>
      <xdr:row>50</xdr:row>
      <xdr:rowOff>66675</xdr:rowOff>
    </xdr:to>
    <xdr:sp macro="" textlink="">
      <xdr:nvSpPr>
        <xdr:cNvPr id="10" name="四角形吹き出し 11">
          <a:extLst>
            <a:ext uri="{FF2B5EF4-FFF2-40B4-BE49-F238E27FC236}">
              <a16:creationId xmlns:a16="http://schemas.microsoft.com/office/drawing/2014/main" id="{13BF6904-352E-C04C-6044-0A69DD29AF83}"/>
            </a:ext>
          </a:extLst>
        </xdr:cNvPr>
        <xdr:cNvSpPr/>
      </xdr:nvSpPr>
      <xdr:spPr>
        <a:xfrm>
          <a:off x="6686550" y="7391400"/>
          <a:ext cx="1457325" cy="314325"/>
        </a:xfrm>
        <a:prstGeom prst="wedgeRectCallout">
          <a:avLst>
            <a:gd name="adj1" fmla="val -35474"/>
            <a:gd name="adj2" fmla="val 149227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0</xdr:colOff>
      <xdr:row>125</xdr:row>
      <xdr:rowOff>0</xdr:rowOff>
    </xdr:from>
    <xdr:ext cx="201083" cy="171450"/>
    <xdr:pic>
      <xdr:nvPicPr>
        <xdr:cNvPr id="12" name="図 11">
          <a:extLst>
            <a:ext uri="{FF2B5EF4-FFF2-40B4-BE49-F238E27FC236}">
              <a16:creationId xmlns:a16="http://schemas.microsoft.com/office/drawing/2014/main" id="{DB824C79-9639-406E-A53F-41BB8BF5BDE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26396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131</xdr:row>
      <xdr:rowOff>0</xdr:rowOff>
    </xdr:from>
    <xdr:ext cx="201083" cy="171450"/>
    <xdr:pic>
      <xdr:nvPicPr>
        <xdr:cNvPr id="36" name="図 35">
          <a:extLst>
            <a:ext uri="{FF2B5EF4-FFF2-40B4-BE49-F238E27FC236}">
              <a16:creationId xmlns:a16="http://schemas.microsoft.com/office/drawing/2014/main" id="{EBC9784F-BFDC-4BFC-B613-59E3557E9EF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3254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85725</xdr:colOff>
      <xdr:row>72</xdr:row>
      <xdr:rowOff>85725</xdr:rowOff>
    </xdr:from>
    <xdr:to>
      <xdr:col>11</xdr:col>
      <xdr:colOff>76200</xdr:colOff>
      <xdr:row>74</xdr:row>
      <xdr:rowOff>0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F39EBE78-F1A3-45C6-ABBB-2ABD08BEF1EF}"/>
            </a:ext>
          </a:extLst>
        </xdr:cNvPr>
        <xdr:cNvSpPr/>
      </xdr:nvSpPr>
      <xdr:spPr>
        <a:xfrm>
          <a:off x="1485900" y="11725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24</xdr:col>
      <xdr:colOff>180975</xdr:colOff>
      <xdr:row>58</xdr:row>
      <xdr:rowOff>123825</xdr:rowOff>
    </xdr:from>
    <xdr:to>
      <xdr:col>34</xdr:col>
      <xdr:colOff>171450</xdr:colOff>
      <xdr:row>60</xdr:row>
      <xdr:rowOff>95250</xdr:rowOff>
    </xdr:to>
    <xdr:sp macro="" textlink="">
      <xdr:nvSpPr>
        <xdr:cNvPr id="16" name="四角形吹き出し 11">
          <a:extLst>
            <a:ext uri="{FF2B5EF4-FFF2-40B4-BE49-F238E27FC236}">
              <a16:creationId xmlns:a16="http://schemas.microsoft.com/office/drawing/2014/main" id="{F4BBB47B-B91F-7E63-B0E4-93060FC378BF}"/>
            </a:ext>
          </a:extLst>
        </xdr:cNvPr>
        <xdr:cNvSpPr/>
      </xdr:nvSpPr>
      <xdr:spPr>
        <a:xfrm>
          <a:off x="4981575" y="9020175"/>
          <a:ext cx="1990725" cy="314325"/>
        </a:xfrm>
        <a:prstGeom prst="wedgeRectCallout">
          <a:avLst>
            <a:gd name="adj1" fmla="val -34820"/>
            <a:gd name="adj2" fmla="val -108349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原計通貨、申請通貨は同一チェック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9</xdr:col>
      <xdr:colOff>123825</xdr:colOff>
      <xdr:row>85</xdr:row>
      <xdr:rowOff>28575</xdr:rowOff>
    </xdr:from>
    <xdr:to>
      <xdr:col>16</xdr:col>
      <xdr:colOff>161925</xdr:colOff>
      <xdr:row>87</xdr:row>
      <xdr:rowOff>161925</xdr:rowOff>
    </xdr:to>
    <xdr:sp macro="" textlink="">
      <xdr:nvSpPr>
        <xdr:cNvPr id="38" name="四角形吹き出し 11">
          <a:extLst>
            <a:ext uri="{FF2B5EF4-FFF2-40B4-BE49-F238E27FC236}">
              <a16:creationId xmlns:a16="http://schemas.microsoft.com/office/drawing/2014/main" id="{D9065EE2-9C76-7AAE-F863-76B7526CDA89}"/>
            </a:ext>
          </a:extLst>
        </xdr:cNvPr>
        <xdr:cNvSpPr/>
      </xdr:nvSpPr>
      <xdr:spPr>
        <a:xfrm>
          <a:off x="1924050" y="13325475"/>
          <a:ext cx="1438275" cy="476250"/>
        </a:xfrm>
        <a:prstGeom prst="wedgeRectCallout">
          <a:avLst>
            <a:gd name="adj1" fmla="val -59700"/>
            <a:gd name="adj2" fmla="val -3865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1</a:t>
          </a:r>
          <a:r>
            <a:rPr kumimoji="1" lang="ja-JP" altLang="en-US" sz="800">
              <a:solidFill>
                <a:sysClr val="windowText" lastClr="000000"/>
              </a:solidFill>
            </a:rPr>
            <a:t>行目は申請通貨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2</a:t>
          </a:r>
          <a:r>
            <a:rPr kumimoji="1" lang="ja-JP" altLang="en-US" sz="800">
              <a:solidFill>
                <a:sysClr val="windowText" lastClr="000000"/>
              </a:solidFill>
            </a:rPr>
            <a:t>行目は</a:t>
          </a:r>
          <a:r>
            <a:rPr kumimoji="1" lang="en-US" altLang="ja-JP" sz="800">
              <a:solidFill>
                <a:sysClr val="windowText" lastClr="000000"/>
              </a:solidFill>
            </a:rPr>
            <a:t>JPY</a:t>
          </a:r>
          <a:r>
            <a:rPr kumimoji="1" lang="ja-JP" altLang="en-US" sz="800">
              <a:solidFill>
                <a:sysClr val="windowText" lastClr="000000"/>
              </a:solidFill>
            </a:rPr>
            <a:t>の表示。ただし申請通貨</a:t>
          </a:r>
          <a:r>
            <a:rPr kumimoji="1" lang="en-US" altLang="ja-JP" sz="800">
              <a:solidFill>
                <a:sysClr val="windowText" lastClr="000000"/>
              </a:solidFill>
            </a:rPr>
            <a:t>=JPY</a:t>
          </a:r>
          <a:r>
            <a:rPr kumimoji="1" lang="ja-JP" altLang="en-US" sz="800">
              <a:solidFill>
                <a:sysClr val="windowText" lastClr="000000"/>
              </a:solidFill>
            </a:rPr>
            <a:t>の場合は表示不要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30</xdr:col>
      <xdr:colOff>28576</xdr:colOff>
      <xdr:row>95</xdr:row>
      <xdr:rowOff>152400</xdr:rowOff>
    </xdr:from>
    <xdr:to>
      <xdr:col>33</xdr:col>
      <xdr:colOff>152401</xdr:colOff>
      <xdr:row>96</xdr:row>
      <xdr:rowOff>171449</xdr:rowOff>
    </xdr:to>
    <xdr:sp macro="" textlink="">
      <xdr:nvSpPr>
        <xdr:cNvPr id="39" name="四角形吹き出し 11">
          <a:extLst>
            <a:ext uri="{FF2B5EF4-FFF2-40B4-BE49-F238E27FC236}">
              <a16:creationId xmlns:a16="http://schemas.microsoft.com/office/drawing/2014/main" id="{8EE65368-F519-8B05-BBFE-0280271ACD50}"/>
            </a:ext>
          </a:extLst>
        </xdr:cNvPr>
        <xdr:cNvSpPr/>
      </xdr:nvSpPr>
      <xdr:spPr>
        <a:xfrm>
          <a:off x="6029326" y="15506700"/>
          <a:ext cx="723900" cy="190499"/>
        </a:xfrm>
        <a:prstGeom prst="wedgeRectCallout">
          <a:avLst>
            <a:gd name="adj1" fmla="val -67028"/>
            <a:gd name="adj2" fmla="val 619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小計欄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30</xdr:col>
      <xdr:colOff>28576</xdr:colOff>
      <xdr:row>100</xdr:row>
      <xdr:rowOff>142875</xdr:rowOff>
    </xdr:from>
    <xdr:to>
      <xdr:col>33</xdr:col>
      <xdr:colOff>152401</xdr:colOff>
      <xdr:row>101</xdr:row>
      <xdr:rowOff>161924</xdr:rowOff>
    </xdr:to>
    <xdr:sp macro="" textlink="">
      <xdr:nvSpPr>
        <xdr:cNvPr id="40" name="四角形吹き出し 11">
          <a:extLst>
            <a:ext uri="{FF2B5EF4-FFF2-40B4-BE49-F238E27FC236}">
              <a16:creationId xmlns:a16="http://schemas.microsoft.com/office/drawing/2014/main" id="{82D9EA37-D135-5844-3263-8A8612F265FB}"/>
            </a:ext>
          </a:extLst>
        </xdr:cNvPr>
        <xdr:cNvSpPr/>
      </xdr:nvSpPr>
      <xdr:spPr>
        <a:xfrm>
          <a:off x="6029326" y="16011525"/>
          <a:ext cx="723900" cy="190499"/>
        </a:xfrm>
        <a:prstGeom prst="wedgeRectCallout">
          <a:avLst>
            <a:gd name="adj1" fmla="val -67028"/>
            <a:gd name="adj2" fmla="val 619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小計欄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113</xdr:row>
      <xdr:rowOff>0</xdr:rowOff>
    </xdr:from>
    <xdr:to>
      <xdr:col>22</xdr:col>
      <xdr:colOff>0</xdr:colOff>
      <xdr:row>115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5B42A3FF-4E4E-4FC3-A78C-C565F515A49D}"/>
            </a:ext>
          </a:extLst>
        </xdr:cNvPr>
        <xdr:cNvSpPr/>
      </xdr:nvSpPr>
      <xdr:spPr>
        <a:xfrm>
          <a:off x="3000375" y="1678305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113</xdr:row>
      <xdr:rowOff>0</xdr:rowOff>
    </xdr:from>
    <xdr:to>
      <xdr:col>30</xdr:col>
      <xdr:colOff>0</xdr:colOff>
      <xdr:row>115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313834E4-2DFF-48F4-81A8-668ACC7A1DD0}"/>
            </a:ext>
          </a:extLst>
        </xdr:cNvPr>
        <xdr:cNvSpPr/>
      </xdr:nvSpPr>
      <xdr:spPr>
        <a:xfrm>
          <a:off x="4600575" y="1678305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113</xdr:row>
      <xdr:rowOff>0</xdr:rowOff>
    </xdr:from>
    <xdr:to>
      <xdr:col>38</xdr:col>
      <xdr:colOff>0</xdr:colOff>
      <xdr:row>115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BCDF2590-7BB4-48CA-B44C-445935AAC85C}"/>
            </a:ext>
          </a:extLst>
        </xdr:cNvPr>
        <xdr:cNvSpPr/>
      </xdr:nvSpPr>
      <xdr:spPr>
        <a:xfrm>
          <a:off x="6200775" y="1678305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7D1D9B35-E5EA-4994-A54C-11D3B9CF66A9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C36B6AAB-4BC6-4B53-B374-0618A29B6BC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56</xdr:row>
      <xdr:rowOff>85725</xdr:rowOff>
    </xdr:from>
    <xdr:to>
      <xdr:col>7</xdr:col>
      <xdr:colOff>0</xdr:colOff>
      <xdr:row>58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C1D8B0A4-0269-4A32-8B95-01CA2FC8A5EB}"/>
            </a:ext>
          </a:extLst>
        </xdr:cNvPr>
        <xdr:cNvSpPr/>
      </xdr:nvSpPr>
      <xdr:spPr>
        <a:xfrm>
          <a:off x="609600" y="10582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twoCellAnchor>
    <xdr:from>
      <xdr:col>3</xdr:col>
      <xdr:colOff>0</xdr:colOff>
      <xdr:row>77</xdr:row>
      <xdr:rowOff>85725</xdr:rowOff>
    </xdr:from>
    <xdr:to>
      <xdr:col>6</xdr:col>
      <xdr:colOff>190500</xdr:colOff>
      <xdr:row>79</xdr:row>
      <xdr:rowOff>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9EE9A3C6-FF56-464A-9041-72B117D1FC13}"/>
            </a:ext>
          </a:extLst>
        </xdr:cNvPr>
        <xdr:cNvSpPr/>
      </xdr:nvSpPr>
      <xdr:spPr>
        <a:xfrm>
          <a:off x="600075" y="15154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83</xdr:row>
      <xdr:rowOff>0</xdr:rowOff>
    </xdr:from>
    <xdr:to>
      <xdr:col>8</xdr:col>
      <xdr:colOff>43669</xdr:colOff>
      <xdr:row>84</xdr:row>
      <xdr:rowOff>0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1A3C0415-354B-4296-A859-04E9E86492BA}"/>
            </a:ext>
          </a:extLst>
        </xdr:cNvPr>
        <xdr:cNvSpPr/>
      </xdr:nvSpPr>
      <xdr:spPr>
        <a:xfrm>
          <a:off x="600075" y="15868650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83</xdr:row>
      <xdr:rowOff>0</xdr:rowOff>
    </xdr:from>
    <xdr:to>
      <xdr:col>12</xdr:col>
      <xdr:colOff>0</xdr:colOff>
      <xdr:row>84</xdr:row>
      <xdr:rowOff>0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AA5F1555-F76A-4DB1-8925-42D5DD13FA85}"/>
            </a:ext>
          </a:extLst>
        </xdr:cNvPr>
        <xdr:cNvSpPr/>
      </xdr:nvSpPr>
      <xdr:spPr>
        <a:xfrm>
          <a:off x="1756556" y="15868650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85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684F93F2-830E-4D07-A99E-39D4445834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6221052"/>
          <a:ext cx="219106" cy="161948"/>
        </a:xfrm>
        <a:prstGeom prst="rect">
          <a:avLst/>
        </a:prstGeom>
      </xdr:spPr>
    </xdr:pic>
    <xdr:clientData/>
  </xdr:oneCellAnchor>
  <xdr:twoCellAnchor editAs="oneCell">
    <xdr:from>
      <xdr:col>2</xdr:col>
      <xdr:colOff>0</xdr:colOff>
      <xdr:row>88</xdr:row>
      <xdr:rowOff>152400</xdr:rowOff>
    </xdr:from>
    <xdr:to>
      <xdr:col>2</xdr:col>
      <xdr:colOff>198148</xdr:colOff>
      <xdr:row>90</xdr:row>
      <xdr:rowOff>15269</xdr:rowOff>
    </xdr:to>
    <xdr:pic>
      <xdr:nvPicPr>
        <xdr:cNvPr id="25" name="図 24" descr="画面の領域">
          <a:extLst>
            <a:ext uri="{FF2B5EF4-FFF2-40B4-BE49-F238E27FC236}">
              <a16:creationId xmlns:a16="http://schemas.microsoft.com/office/drawing/2014/main" id="{876C42EE-F3E7-4A4D-9000-6E410CF8ED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7621250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108</xdr:row>
      <xdr:rowOff>9502</xdr:rowOff>
    </xdr:from>
    <xdr:ext cx="219106" cy="161948"/>
    <xdr:pic>
      <xdr:nvPicPr>
        <xdr:cNvPr id="26" name="図 25" descr="画面の領域">
          <a:extLst>
            <a:ext uri="{FF2B5EF4-FFF2-40B4-BE49-F238E27FC236}">
              <a16:creationId xmlns:a16="http://schemas.microsoft.com/office/drawing/2014/main" id="{4572524F-BBA1-4DDC-85DE-D2BCAE8D5D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976435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109</xdr:row>
      <xdr:rowOff>9502</xdr:rowOff>
    </xdr:from>
    <xdr:ext cx="219106" cy="161948"/>
    <xdr:pic>
      <xdr:nvPicPr>
        <xdr:cNvPr id="27" name="図 26" descr="画面の領域">
          <a:extLst>
            <a:ext uri="{FF2B5EF4-FFF2-40B4-BE49-F238E27FC236}">
              <a16:creationId xmlns:a16="http://schemas.microsoft.com/office/drawing/2014/main" id="{47DB8A0C-72C1-4646-9EB4-7604F53117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993580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110</xdr:row>
      <xdr:rowOff>9502</xdr:rowOff>
    </xdr:from>
    <xdr:ext cx="219106" cy="161948"/>
    <xdr:pic>
      <xdr:nvPicPr>
        <xdr:cNvPr id="28" name="図 27" descr="画面の領域">
          <a:extLst>
            <a:ext uri="{FF2B5EF4-FFF2-40B4-BE49-F238E27FC236}">
              <a16:creationId xmlns:a16="http://schemas.microsoft.com/office/drawing/2014/main" id="{2085A4C6-C3BC-4187-8ADA-68F9A8516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20107252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106</xdr:row>
      <xdr:rowOff>0</xdr:rowOff>
    </xdr:from>
    <xdr:ext cx="201083" cy="171450"/>
    <xdr:pic>
      <xdr:nvPicPr>
        <xdr:cNvPr id="29" name="図 28">
          <a:extLst>
            <a:ext uri="{FF2B5EF4-FFF2-40B4-BE49-F238E27FC236}">
              <a16:creationId xmlns:a16="http://schemas.microsoft.com/office/drawing/2014/main" id="{35F77A82-BFCB-4541-93AA-4C1931940DA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94119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15" name="図 14">
          <a:extLst>
            <a:ext uri="{FF2B5EF4-FFF2-40B4-BE49-F238E27FC236}">
              <a16:creationId xmlns:a16="http://schemas.microsoft.com/office/drawing/2014/main" id="{5FE21EFA-D30A-438D-B2C9-D15A82C7BDA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17" name="図 16">
          <a:extLst>
            <a:ext uri="{FF2B5EF4-FFF2-40B4-BE49-F238E27FC236}">
              <a16:creationId xmlns:a16="http://schemas.microsoft.com/office/drawing/2014/main" id="{3FEE4D7F-5264-41E6-B10F-1BCAD12F8B1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33" name="図 32">
          <a:extLst>
            <a:ext uri="{FF2B5EF4-FFF2-40B4-BE49-F238E27FC236}">
              <a16:creationId xmlns:a16="http://schemas.microsoft.com/office/drawing/2014/main" id="{35CB49F6-BB1F-41FE-8F80-A96B694B2A3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31</xdr:col>
      <xdr:colOff>9525</xdr:colOff>
      <xdr:row>43</xdr:row>
      <xdr:rowOff>38100</xdr:rowOff>
    </xdr:from>
    <xdr:to>
      <xdr:col>40</xdr:col>
      <xdr:colOff>47625</xdr:colOff>
      <xdr:row>45</xdr:row>
      <xdr:rowOff>123825</xdr:rowOff>
    </xdr:to>
    <xdr:sp macro="" textlink="">
      <xdr:nvSpPr>
        <xdr:cNvPr id="8" name="四角形吹き出し 11">
          <a:extLst>
            <a:ext uri="{FF2B5EF4-FFF2-40B4-BE49-F238E27FC236}">
              <a16:creationId xmlns:a16="http://schemas.microsoft.com/office/drawing/2014/main" id="{DB21661E-C8BA-46E4-8AAE-AC8C3E11DFF0}"/>
            </a:ext>
          </a:extLst>
        </xdr:cNvPr>
        <xdr:cNvSpPr/>
      </xdr:nvSpPr>
      <xdr:spPr>
        <a:xfrm>
          <a:off x="6210300" y="6819900"/>
          <a:ext cx="1838325" cy="314325"/>
        </a:xfrm>
        <a:prstGeom prst="wedgeRectCallout">
          <a:avLst>
            <a:gd name="adj1" fmla="val 5977"/>
            <a:gd name="adj2" fmla="val 13710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この列まで原計通貨に応じた小数点桁数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41</xdr:col>
      <xdr:colOff>133350</xdr:colOff>
      <xdr:row>43</xdr:row>
      <xdr:rowOff>38100</xdr:rowOff>
    </xdr:from>
    <xdr:to>
      <xdr:col>48</xdr:col>
      <xdr:colOff>190500</xdr:colOff>
      <xdr:row>45</xdr:row>
      <xdr:rowOff>123825</xdr:rowOff>
    </xdr:to>
    <xdr:sp macro="" textlink="">
      <xdr:nvSpPr>
        <xdr:cNvPr id="14" name="四角形吹き出し 11">
          <a:extLst>
            <a:ext uri="{FF2B5EF4-FFF2-40B4-BE49-F238E27FC236}">
              <a16:creationId xmlns:a16="http://schemas.microsoft.com/office/drawing/2014/main" id="{DF844AA9-7447-49F6-8E97-40FE027A355A}"/>
            </a:ext>
          </a:extLst>
        </xdr:cNvPr>
        <xdr:cNvSpPr/>
      </xdr:nvSpPr>
      <xdr:spPr>
        <a:xfrm>
          <a:off x="8334375" y="6819900"/>
          <a:ext cx="1457325" cy="314325"/>
        </a:xfrm>
        <a:prstGeom prst="wedgeRectCallout">
          <a:avLst>
            <a:gd name="adj1" fmla="val -46585"/>
            <a:gd name="adj2" fmla="val 128015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0</xdr:colOff>
      <xdr:row>92</xdr:row>
      <xdr:rowOff>0</xdr:rowOff>
    </xdr:from>
    <xdr:ext cx="201083" cy="171450"/>
    <xdr:pic>
      <xdr:nvPicPr>
        <xdr:cNvPr id="16" name="図 15">
          <a:extLst>
            <a:ext uri="{FF2B5EF4-FFF2-40B4-BE49-F238E27FC236}">
              <a16:creationId xmlns:a16="http://schemas.microsoft.com/office/drawing/2014/main" id="{B5705EBF-FF38-44FC-82F8-AD03FFCCC25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93548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98</xdr:row>
      <xdr:rowOff>0</xdr:rowOff>
    </xdr:from>
    <xdr:ext cx="201083" cy="171450"/>
    <xdr:pic>
      <xdr:nvPicPr>
        <xdr:cNvPr id="18" name="図 17">
          <a:extLst>
            <a:ext uri="{FF2B5EF4-FFF2-40B4-BE49-F238E27FC236}">
              <a16:creationId xmlns:a16="http://schemas.microsoft.com/office/drawing/2014/main" id="{2D8C2CA8-AF2D-4A2F-AA30-6AB3F953648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00406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85725</xdr:colOff>
      <xdr:row>56</xdr:row>
      <xdr:rowOff>85725</xdr:rowOff>
    </xdr:from>
    <xdr:to>
      <xdr:col>11</xdr:col>
      <xdr:colOff>76200</xdr:colOff>
      <xdr:row>58</xdr:row>
      <xdr:rowOff>0</xdr:rowOff>
    </xdr:to>
    <xdr:sp macro="" textlink="">
      <xdr:nvSpPr>
        <xdr:cNvPr id="19" name="正方形/長方形 18">
          <a:extLst>
            <a:ext uri="{FF2B5EF4-FFF2-40B4-BE49-F238E27FC236}">
              <a16:creationId xmlns:a16="http://schemas.microsoft.com/office/drawing/2014/main" id="{0FE392E0-0A80-43C5-A1CC-E3653371AD3A}"/>
            </a:ext>
          </a:extLst>
        </xdr:cNvPr>
        <xdr:cNvSpPr/>
      </xdr:nvSpPr>
      <xdr:spPr>
        <a:xfrm>
          <a:off x="1485900" y="88677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109</xdr:row>
      <xdr:rowOff>0</xdr:rowOff>
    </xdr:from>
    <xdr:to>
      <xdr:col>22</xdr:col>
      <xdr:colOff>0</xdr:colOff>
      <xdr:row>111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A2175C6-7F03-4E61-8A76-3C36014DFC92}"/>
            </a:ext>
          </a:extLst>
        </xdr:cNvPr>
        <xdr:cNvSpPr/>
      </xdr:nvSpPr>
      <xdr:spPr>
        <a:xfrm>
          <a:off x="30003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109</xdr:row>
      <xdr:rowOff>0</xdr:rowOff>
    </xdr:from>
    <xdr:to>
      <xdr:col>30</xdr:col>
      <xdr:colOff>0</xdr:colOff>
      <xdr:row>111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C8BA7484-FB42-4FCF-9FFB-67708C27D0D9}"/>
            </a:ext>
          </a:extLst>
        </xdr:cNvPr>
        <xdr:cNvSpPr/>
      </xdr:nvSpPr>
      <xdr:spPr>
        <a:xfrm>
          <a:off x="46005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109</xdr:row>
      <xdr:rowOff>0</xdr:rowOff>
    </xdr:from>
    <xdr:to>
      <xdr:col>38</xdr:col>
      <xdr:colOff>0</xdr:colOff>
      <xdr:row>111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92615D9C-857B-4744-A6D7-A452763794BC}"/>
            </a:ext>
          </a:extLst>
        </xdr:cNvPr>
        <xdr:cNvSpPr/>
      </xdr:nvSpPr>
      <xdr:spPr>
        <a:xfrm>
          <a:off x="62007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EE679313-AA01-4378-BFE0-52E86C603938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180DFBDD-5FDC-439E-9F46-AEF523A2612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56</xdr:row>
      <xdr:rowOff>85725</xdr:rowOff>
    </xdr:from>
    <xdr:to>
      <xdr:col>7</xdr:col>
      <xdr:colOff>0</xdr:colOff>
      <xdr:row>58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BAEC1DF1-B2C4-4B33-84E5-D2B3604AB064}"/>
            </a:ext>
          </a:extLst>
        </xdr:cNvPr>
        <xdr:cNvSpPr/>
      </xdr:nvSpPr>
      <xdr:spPr>
        <a:xfrm>
          <a:off x="609600" y="10582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twoCellAnchor>
    <xdr:from>
      <xdr:col>3</xdr:col>
      <xdr:colOff>0</xdr:colOff>
      <xdr:row>73</xdr:row>
      <xdr:rowOff>85725</xdr:rowOff>
    </xdr:from>
    <xdr:to>
      <xdr:col>6</xdr:col>
      <xdr:colOff>190500</xdr:colOff>
      <xdr:row>75</xdr:row>
      <xdr:rowOff>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8399818F-5F0A-43FC-AAFC-D18B112A98C6}"/>
            </a:ext>
          </a:extLst>
        </xdr:cNvPr>
        <xdr:cNvSpPr/>
      </xdr:nvSpPr>
      <xdr:spPr>
        <a:xfrm>
          <a:off x="600075" y="1532572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79</xdr:row>
      <xdr:rowOff>0</xdr:rowOff>
    </xdr:from>
    <xdr:to>
      <xdr:col>8</xdr:col>
      <xdr:colOff>43669</xdr:colOff>
      <xdr:row>80</xdr:row>
      <xdr:rowOff>0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C1A87268-0949-40FC-B032-F9F28562860A}"/>
            </a:ext>
          </a:extLst>
        </xdr:cNvPr>
        <xdr:cNvSpPr/>
      </xdr:nvSpPr>
      <xdr:spPr>
        <a:xfrm>
          <a:off x="600075" y="16040100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79</xdr:row>
      <xdr:rowOff>0</xdr:rowOff>
    </xdr:from>
    <xdr:to>
      <xdr:col>12</xdr:col>
      <xdr:colOff>0</xdr:colOff>
      <xdr:row>80</xdr:row>
      <xdr:rowOff>0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32F3DE82-4C82-422B-91F1-31FB8447F575}"/>
            </a:ext>
          </a:extLst>
        </xdr:cNvPr>
        <xdr:cNvSpPr/>
      </xdr:nvSpPr>
      <xdr:spPr>
        <a:xfrm>
          <a:off x="1756556" y="16040100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81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37DE3216-9508-47E8-8E92-4EA1590DE7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6392502"/>
          <a:ext cx="219106" cy="161948"/>
        </a:xfrm>
        <a:prstGeom prst="rect">
          <a:avLst/>
        </a:prstGeom>
      </xdr:spPr>
    </xdr:pic>
    <xdr:clientData/>
  </xdr:oneCellAnchor>
  <xdr:twoCellAnchor>
    <xdr:from>
      <xdr:col>45</xdr:col>
      <xdr:colOff>76200</xdr:colOff>
      <xdr:row>56</xdr:row>
      <xdr:rowOff>0</xdr:rowOff>
    </xdr:from>
    <xdr:to>
      <xdr:col>53</xdr:col>
      <xdr:colOff>66675</xdr:colOff>
      <xdr:row>59</xdr:row>
      <xdr:rowOff>66676</xdr:rowOff>
    </xdr:to>
    <xdr:sp macro="" textlink="">
      <xdr:nvSpPr>
        <xdr:cNvPr id="23" name="四角形吹き出し 11">
          <a:extLst>
            <a:ext uri="{FF2B5EF4-FFF2-40B4-BE49-F238E27FC236}">
              <a16:creationId xmlns:a16="http://schemas.microsoft.com/office/drawing/2014/main" id="{A2056365-3806-B7C9-F686-6612E6E03C17}"/>
            </a:ext>
          </a:extLst>
        </xdr:cNvPr>
        <xdr:cNvSpPr/>
      </xdr:nvSpPr>
      <xdr:spPr>
        <a:xfrm>
          <a:off x="9077325" y="11582399"/>
          <a:ext cx="1590675" cy="523877"/>
        </a:xfrm>
        <a:prstGeom prst="wedgeRectCallout">
          <a:avLst>
            <a:gd name="adj1" fmla="val 14928"/>
            <a:gd name="adj2" fmla="val 104761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申請価格の計算式を確認する</a:t>
          </a:r>
          <a:r>
            <a:rPr kumimoji="1" lang="en-US" altLang="ja-JP" sz="800">
              <a:solidFill>
                <a:sysClr val="windowText" lastClr="000000"/>
              </a:solidFill>
            </a:rPr>
            <a:t>2022.10.20  AA</a:t>
          </a: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FOB</a:t>
          </a:r>
          <a:r>
            <a:rPr kumimoji="1" lang="ja-JP" altLang="en-US" sz="800">
              <a:solidFill>
                <a:sysClr val="windowText" lastClr="000000"/>
              </a:solidFill>
            </a:rPr>
            <a:t>価格 </a:t>
          </a:r>
          <a:r>
            <a:rPr kumimoji="1" lang="en-US" altLang="ja-JP" sz="800">
              <a:solidFill>
                <a:sysClr val="windowText" lastClr="000000"/>
              </a:solidFill>
            </a:rPr>
            <a:t>- (CIF</a:t>
          </a:r>
          <a:r>
            <a:rPr kumimoji="1" lang="ja-JP" altLang="en-US" sz="800">
              <a:solidFill>
                <a:sysClr val="windowText" lastClr="000000"/>
              </a:solidFill>
            </a:rPr>
            <a:t>価格 * 口銭率</a:t>
          </a:r>
          <a:r>
            <a:rPr kumimoji="1" lang="en-US" altLang="ja-JP" sz="800">
              <a:solidFill>
                <a:sysClr val="windowText" lastClr="000000"/>
              </a:solidFill>
            </a:rPr>
            <a:t>)</a:t>
          </a:r>
        </a:p>
        <a:p>
          <a:pPr algn="l">
            <a:lnSpc>
              <a:spcPts val="900"/>
            </a:lnSpc>
          </a:pP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2</xdr:col>
      <xdr:colOff>0</xdr:colOff>
      <xdr:row>84</xdr:row>
      <xdr:rowOff>152400</xdr:rowOff>
    </xdr:from>
    <xdr:to>
      <xdr:col>3</xdr:col>
      <xdr:colOff>28</xdr:colOff>
      <xdr:row>86</xdr:row>
      <xdr:rowOff>19079</xdr:rowOff>
    </xdr:to>
    <xdr:pic>
      <xdr:nvPicPr>
        <xdr:cNvPr id="16" name="図 15" descr="画面の領域">
          <a:extLst>
            <a:ext uri="{FF2B5EF4-FFF2-40B4-BE49-F238E27FC236}">
              <a16:creationId xmlns:a16="http://schemas.microsoft.com/office/drawing/2014/main" id="{3B5E84CC-F78F-43BF-8F6C-9833420E55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49100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104</xdr:row>
      <xdr:rowOff>9502</xdr:rowOff>
    </xdr:from>
    <xdr:ext cx="219106" cy="161948"/>
    <xdr:pic>
      <xdr:nvPicPr>
        <xdr:cNvPr id="17" name="図 16" descr="画面の領域">
          <a:extLst>
            <a:ext uri="{FF2B5EF4-FFF2-40B4-BE49-F238E27FC236}">
              <a16:creationId xmlns:a16="http://schemas.microsoft.com/office/drawing/2014/main" id="{5D13003C-2616-4106-89D2-6F8DBD4A82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399220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105</xdr:row>
      <xdr:rowOff>9502</xdr:rowOff>
    </xdr:from>
    <xdr:ext cx="219106" cy="161948"/>
    <xdr:pic>
      <xdr:nvPicPr>
        <xdr:cNvPr id="18" name="図 17" descr="画面の領域">
          <a:extLst>
            <a:ext uri="{FF2B5EF4-FFF2-40B4-BE49-F238E27FC236}">
              <a16:creationId xmlns:a16="http://schemas.microsoft.com/office/drawing/2014/main" id="{856CBFCD-43ED-4526-91B6-2D2321C09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6365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106</xdr:row>
      <xdr:rowOff>9502</xdr:rowOff>
    </xdr:from>
    <xdr:ext cx="219106" cy="161948"/>
    <xdr:pic>
      <xdr:nvPicPr>
        <xdr:cNvPr id="19" name="図 18" descr="画面の領域">
          <a:extLst>
            <a:ext uri="{FF2B5EF4-FFF2-40B4-BE49-F238E27FC236}">
              <a16:creationId xmlns:a16="http://schemas.microsoft.com/office/drawing/2014/main" id="{0CB3E6E8-03EB-46A0-B28B-973242E684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35102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102</xdr:row>
      <xdr:rowOff>0</xdr:rowOff>
    </xdr:from>
    <xdr:ext cx="201083" cy="171450"/>
    <xdr:pic>
      <xdr:nvPicPr>
        <xdr:cNvPr id="20" name="図 19">
          <a:extLst>
            <a:ext uri="{FF2B5EF4-FFF2-40B4-BE49-F238E27FC236}">
              <a16:creationId xmlns:a16="http://schemas.microsoft.com/office/drawing/2014/main" id="{F27D5283-CCDF-4824-BA1A-C299DEE5159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398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22" name="図 21">
          <a:extLst>
            <a:ext uri="{FF2B5EF4-FFF2-40B4-BE49-F238E27FC236}">
              <a16:creationId xmlns:a16="http://schemas.microsoft.com/office/drawing/2014/main" id="{D8FA51ED-F86D-4D96-B7C0-0D32F27B115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26" name="図 25">
          <a:extLst>
            <a:ext uri="{FF2B5EF4-FFF2-40B4-BE49-F238E27FC236}">
              <a16:creationId xmlns:a16="http://schemas.microsoft.com/office/drawing/2014/main" id="{901EE48C-3B75-4389-8C13-C56CBCA9B1E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8" name="図 7">
          <a:extLst>
            <a:ext uri="{FF2B5EF4-FFF2-40B4-BE49-F238E27FC236}">
              <a16:creationId xmlns:a16="http://schemas.microsoft.com/office/drawing/2014/main" id="{CE2250BB-491C-4103-B119-BA7B62BF15B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88</xdr:row>
      <xdr:rowOff>0</xdr:rowOff>
    </xdr:from>
    <xdr:ext cx="201083" cy="171450"/>
    <xdr:pic>
      <xdr:nvPicPr>
        <xdr:cNvPr id="9" name="図 8">
          <a:extLst>
            <a:ext uri="{FF2B5EF4-FFF2-40B4-BE49-F238E27FC236}">
              <a16:creationId xmlns:a16="http://schemas.microsoft.com/office/drawing/2014/main" id="{BEE88940-0833-4D65-93A1-A1776DA5D46B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9255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94</xdr:row>
      <xdr:rowOff>0</xdr:rowOff>
    </xdr:from>
    <xdr:ext cx="201083" cy="171450"/>
    <xdr:pic>
      <xdr:nvPicPr>
        <xdr:cNvPr id="21" name="図 20">
          <a:extLst>
            <a:ext uri="{FF2B5EF4-FFF2-40B4-BE49-F238E27FC236}">
              <a16:creationId xmlns:a16="http://schemas.microsoft.com/office/drawing/2014/main" id="{1041A5B3-8B90-4609-BCD5-C2F7B8C5415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46113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123825</xdr:colOff>
      <xdr:row>56</xdr:row>
      <xdr:rowOff>85725</xdr:rowOff>
    </xdr:from>
    <xdr:to>
      <xdr:col>11</xdr:col>
      <xdr:colOff>114300</xdr:colOff>
      <xdr:row>58</xdr:row>
      <xdr:rowOff>0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8F4C95BB-93EA-4D0A-AC5D-31D2945DC518}"/>
            </a:ext>
          </a:extLst>
        </xdr:cNvPr>
        <xdr:cNvSpPr/>
      </xdr:nvSpPr>
      <xdr:spPr>
        <a:xfrm>
          <a:off x="1524000" y="88677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ln w="12700"/>
      </a:spPr>
      <a:bodyPr vertOverflow="clip" horzOverflow="clip" lIns="36000" tIns="36000" rIns="36000" bIns="36000" rtlCol="0" anchor="t"/>
      <a:lstStyle>
        <a:defPPr algn="l">
          <a:lnSpc>
            <a:spcPts val="900"/>
          </a:lnSpc>
          <a:defRPr kumimoji="1" sz="800">
            <a:solidFill>
              <a:sysClr val="windowText" lastClr="000000"/>
            </a:solidFill>
          </a:defRPr>
        </a:defPPr>
      </a:lstStyle>
      <a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a:style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3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5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Relationship Id="rId4" Type="http://schemas.openxmlformats.org/officeDocument/2006/relationships/comments" Target="../comments6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Relationship Id="rId4" Type="http://schemas.openxmlformats.org/officeDocument/2006/relationships/comments" Target="../comments7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Relationship Id="rId4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1:T123"/>
  <sheetViews>
    <sheetView showGridLines="0" view="pageBreakPreview" zoomScaleNormal="80" zoomScaleSheetLayoutView="100" workbookViewId="0">
      <selection activeCell="K22" sqref="K22"/>
    </sheetView>
  </sheetViews>
  <sheetFormatPr defaultColWidth="8" defaultRowHeight="13.5"/>
  <cols>
    <col min="1" max="1" width="8.875" style="1" customWidth="1"/>
    <col min="2" max="8" width="14.375" style="1" customWidth="1"/>
    <col min="9" max="9" width="13.625" style="1" customWidth="1"/>
    <col min="10" max="10" width="3.375" style="1" customWidth="1"/>
    <col min="11" max="11" width="23.75" style="1" customWidth="1"/>
    <col min="12" max="12" width="10" style="1" customWidth="1"/>
    <col min="13" max="13" width="23.375" style="1" customWidth="1"/>
    <col min="14" max="14" width="9.125" style="1" customWidth="1"/>
    <col min="15" max="15" width="19.875" style="1" customWidth="1"/>
    <col min="16" max="16" width="6.75" style="1" customWidth="1"/>
    <col min="17" max="17" width="7.375" style="1" customWidth="1"/>
    <col min="18" max="18" width="6.75" style="1" customWidth="1"/>
    <col min="19" max="19" width="11" style="1" customWidth="1"/>
    <col min="20" max="20" width="9.875" style="1" customWidth="1"/>
    <col min="21" max="21" width="8" style="1" customWidth="1"/>
    <col min="22" max="22" width="11.625" style="1" customWidth="1"/>
    <col min="23" max="16384" width="8" style="1"/>
  </cols>
  <sheetData>
    <row r="1" spans="12:12" ht="14.25" customHeight="1"/>
    <row r="2" spans="12:12" ht="14.25" customHeight="1"/>
    <row r="3" spans="12:12" ht="14.25" customHeight="1"/>
    <row r="4" spans="12:12" ht="14.25" customHeight="1"/>
    <row r="5" spans="12:12" ht="14.25" customHeight="1"/>
    <row r="6" spans="12:12" ht="14.25" customHeight="1"/>
    <row r="7" spans="12:12" ht="14.25" customHeight="1"/>
    <row r="8" spans="12:12" ht="14.25" customHeight="1"/>
    <row r="9" spans="12:12" ht="14.25" customHeight="1"/>
    <row r="10" spans="12:12" ht="14.25" customHeight="1">
      <c r="L10" s="2"/>
    </row>
    <row r="11" spans="12:12" ht="14.25" customHeight="1"/>
    <row r="12" spans="12:12" ht="14.25" customHeight="1"/>
    <row r="13" spans="12:12" ht="14.25" customHeight="1"/>
    <row r="14" spans="12:12" ht="14.25" customHeight="1"/>
    <row r="15" spans="12:12" ht="14.25" customHeight="1"/>
    <row r="16" spans="12:12" ht="14.25" customHeight="1"/>
    <row r="17" spans="2:8" ht="14.25" customHeight="1"/>
    <row r="18" spans="2:8" ht="14.25" customHeight="1"/>
    <row r="19" spans="2:8" ht="14.25" customHeight="1"/>
    <row r="20" spans="2:8" ht="14.25" customHeight="1"/>
    <row r="21" spans="2:8" ht="14.25" customHeight="1"/>
    <row r="22" spans="2:8" ht="14.25" customHeight="1">
      <c r="B22" s="800" t="str">
        <f ca="1">TEXT(変更来歴!AT2,"yyyy年 mm月 dd日") &amp; " " &amp; 変更来歴!AT3</f>
        <v>2026年 04月 22日 r1.1</v>
      </c>
      <c r="C22" s="801"/>
      <c r="D22" s="801"/>
      <c r="E22" s="801"/>
      <c r="F22" s="801"/>
      <c r="G22" s="801"/>
      <c r="H22" s="801"/>
    </row>
    <row r="23" spans="2:8" ht="14.25" customHeight="1"/>
    <row r="24" spans="2:8" ht="14.25" customHeight="1"/>
    <row r="25" spans="2:8" ht="14.25" customHeight="1"/>
    <row r="26" spans="2:8" ht="14.25" customHeight="1"/>
    <row r="27" spans="2:8" ht="14.25" customHeight="1"/>
    <row r="28" spans="2:8" ht="14.25" customHeight="1">
      <c r="C28" s="803" t="s">
        <v>28</v>
      </c>
      <c r="D28" s="803"/>
      <c r="E28" s="803"/>
      <c r="F28" s="803" t="s">
        <v>0</v>
      </c>
      <c r="G28" s="803"/>
    </row>
    <row r="29" spans="2:8" ht="14.25" customHeight="1">
      <c r="C29" s="3" t="s">
        <v>1</v>
      </c>
      <c r="D29" s="3" t="s">
        <v>2</v>
      </c>
      <c r="E29" s="3" t="s">
        <v>3</v>
      </c>
      <c r="F29" s="3" t="s">
        <v>2</v>
      </c>
      <c r="G29" s="3" t="s">
        <v>3</v>
      </c>
    </row>
    <row r="30" spans="2:8" ht="14.25" customHeight="1">
      <c r="C30" s="4"/>
      <c r="D30" s="4"/>
      <c r="E30" s="4"/>
      <c r="F30" s="5"/>
      <c r="G30" s="5"/>
    </row>
    <row r="31" spans="2:8" ht="29.25" customHeight="1">
      <c r="C31" s="6"/>
      <c r="D31" s="6"/>
      <c r="E31" s="6"/>
      <c r="F31" s="6"/>
      <c r="G31" s="6"/>
    </row>
    <row r="32" spans="2:8" ht="14.25" customHeight="1"/>
    <row r="33" spans="3:20" ht="14.25" customHeight="1">
      <c r="C33" s="804"/>
      <c r="D33" s="804"/>
      <c r="E33" s="804"/>
      <c r="F33" s="804"/>
      <c r="G33" s="804"/>
      <c r="H33" s="7"/>
      <c r="I33" s="7"/>
    </row>
    <row r="34" spans="3:20" ht="14.25" customHeight="1">
      <c r="C34" s="9"/>
      <c r="D34" s="9"/>
      <c r="E34" s="9"/>
      <c r="F34" s="9"/>
      <c r="G34" s="9"/>
    </row>
    <row r="35" spans="3:20" ht="14.25" customHeight="1">
      <c r="C35" s="10"/>
      <c r="D35" s="10"/>
      <c r="E35" s="10"/>
      <c r="F35" s="9"/>
      <c r="G35" s="9"/>
    </row>
    <row r="36" spans="3:20" ht="29.25" customHeight="1">
      <c r="C36" s="9"/>
      <c r="D36" s="9"/>
      <c r="E36" s="9"/>
      <c r="F36" s="9"/>
      <c r="G36" s="9"/>
    </row>
    <row r="37" spans="3:20" ht="14.25" customHeight="1">
      <c r="K37" s="11"/>
      <c r="L37" s="12"/>
      <c r="M37" s="8"/>
      <c r="N37" s="12"/>
      <c r="O37" s="8"/>
      <c r="P37" s="14"/>
      <c r="Q37" s="15"/>
      <c r="R37" s="14"/>
      <c r="S37" s="16"/>
      <c r="T37" s="14"/>
    </row>
    <row r="38" spans="3:20" ht="14.25" customHeight="1">
      <c r="K38" s="17"/>
      <c r="L38" s="12"/>
      <c r="M38" s="18"/>
      <c r="N38" s="12"/>
      <c r="O38" s="8"/>
      <c r="P38" s="14"/>
      <c r="Q38" s="15"/>
      <c r="R38" s="14"/>
      <c r="S38" s="16"/>
      <c r="T38" s="802"/>
    </row>
    <row r="39" spans="3:20" ht="14.25" customHeight="1">
      <c r="K39" s="17"/>
      <c r="L39" s="12"/>
      <c r="M39" s="8"/>
      <c r="N39" s="12"/>
      <c r="O39" s="8"/>
      <c r="P39" s="8"/>
      <c r="Q39" s="8"/>
      <c r="R39" s="14"/>
      <c r="S39" s="19"/>
      <c r="T39" s="805"/>
    </row>
    <row r="40" spans="3:20" ht="14.25" customHeight="1"/>
    <row r="41" spans="3:20" ht="14.25" customHeight="1">
      <c r="K41" s="11"/>
      <c r="L41" s="12"/>
      <c r="M41" s="8"/>
      <c r="N41" s="12"/>
      <c r="O41" s="13"/>
      <c r="P41" s="14"/>
      <c r="Q41" s="15"/>
      <c r="R41" s="14"/>
      <c r="S41" s="16"/>
      <c r="T41" s="14"/>
    </row>
    <row r="42" spans="3:20" s="8" customFormat="1" ht="14.25" customHeight="1">
      <c r="K42" s="17"/>
      <c r="L42" s="12"/>
      <c r="M42" s="18"/>
      <c r="N42" s="12"/>
      <c r="P42" s="14"/>
      <c r="Q42" s="15"/>
      <c r="R42" s="14"/>
      <c r="S42" s="16"/>
      <c r="T42" s="802"/>
    </row>
    <row r="43" spans="3:20" s="8" customFormat="1" ht="14.25" customHeight="1">
      <c r="K43" s="17"/>
      <c r="L43" s="12"/>
      <c r="N43" s="12"/>
      <c r="R43" s="14"/>
      <c r="S43" s="19"/>
      <c r="T43" s="802"/>
    </row>
    <row r="44" spans="3:20" s="8" customFormat="1" ht="14.25" customHeight="1"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3:20" ht="14.25" customHeight="1">
      <c r="K45" s="11"/>
      <c r="L45" s="12"/>
      <c r="M45" s="8"/>
      <c r="N45" s="12"/>
      <c r="O45" s="13"/>
      <c r="P45" s="14"/>
      <c r="Q45" s="15"/>
      <c r="R45" s="14"/>
      <c r="S45" s="16"/>
      <c r="T45" s="14"/>
    </row>
    <row r="46" spans="3:20" ht="14.25" customHeight="1">
      <c r="K46" s="17"/>
      <c r="L46" s="12"/>
      <c r="M46" s="18"/>
      <c r="N46" s="12"/>
      <c r="O46" s="8"/>
      <c r="P46" s="14"/>
      <c r="Q46" s="15"/>
      <c r="R46" s="14"/>
      <c r="S46" s="16"/>
      <c r="T46" s="802"/>
    </row>
    <row r="47" spans="3:20" ht="14.25" customHeight="1">
      <c r="K47" s="17"/>
      <c r="L47" s="12"/>
      <c r="M47" s="8"/>
      <c r="N47" s="12"/>
      <c r="O47" s="8"/>
      <c r="P47" s="8"/>
      <c r="Q47" s="8"/>
      <c r="R47" s="14"/>
      <c r="S47" s="19"/>
      <c r="T47" s="802"/>
    </row>
    <row r="48" spans="3:20" ht="14.25" customHeight="1"/>
    <row r="49" spans="11:20" ht="14.25" customHeight="1">
      <c r="K49" s="11"/>
      <c r="L49" s="12"/>
      <c r="M49" s="8"/>
      <c r="N49" s="12"/>
      <c r="O49" s="13"/>
      <c r="P49" s="14"/>
      <c r="Q49" s="15"/>
      <c r="R49" s="14"/>
      <c r="S49" s="16"/>
      <c r="T49" s="14"/>
    </row>
    <row r="50" spans="11:20" ht="14.25" customHeight="1">
      <c r="K50" s="17"/>
      <c r="L50" s="12"/>
      <c r="M50" s="18"/>
      <c r="N50" s="12"/>
      <c r="O50" s="8"/>
      <c r="P50" s="14"/>
      <c r="Q50" s="15"/>
      <c r="R50" s="14"/>
      <c r="S50" s="16"/>
      <c r="T50" s="802"/>
    </row>
    <row r="51" spans="11:20" ht="14.25" customHeight="1">
      <c r="K51" s="17"/>
      <c r="L51" s="12"/>
      <c r="M51" s="8"/>
      <c r="N51" s="12"/>
      <c r="O51" s="8"/>
      <c r="P51" s="8"/>
      <c r="Q51" s="8"/>
      <c r="R51" s="14"/>
      <c r="S51" s="19"/>
      <c r="T51" s="802"/>
    </row>
    <row r="52" spans="11:20" ht="14.25" customHeight="1"/>
    <row r="53" spans="11:20" ht="14.25" customHeight="1">
      <c r="K53" s="11"/>
      <c r="L53" s="12"/>
      <c r="M53" s="8"/>
      <c r="N53" s="12"/>
      <c r="O53" s="13"/>
      <c r="P53" s="14"/>
      <c r="Q53" s="15"/>
      <c r="R53" s="14"/>
      <c r="S53" s="16"/>
      <c r="T53" s="14"/>
    </row>
    <row r="54" spans="11:20">
      <c r="K54" s="17"/>
      <c r="L54" s="12"/>
      <c r="M54" s="18"/>
      <c r="N54" s="12"/>
      <c r="O54" s="8"/>
      <c r="P54" s="14"/>
      <c r="Q54" s="15"/>
      <c r="R54" s="14"/>
      <c r="S54" s="16"/>
      <c r="T54" s="802"/>
    </row>
    <row r="55" spans="11:20">
      <c r="K55" s="17"/>
      <c r="L55" s="12"/>
      <c r="M55" s="8"/>
      <c r="N55" s="12"/>
      <c r="O55" s="8"/>
      <c r="P55" s="8"/>
      <c r="Q55" s="8"/>
      <c r="R55" s="14"/>
      <c r="S55" s="19"/>
      <c r="T55" s="805"/>
    </row>
    <row r="57" spans="11:20">
      <c r="K57" s="11"/>
      <c r="L57" s="12"/>
      <c r="M57" s="8"/>
      <c r="N57" s="12"/>
      <c r="O57" s="13"/>
      <c r="P57" s="14"/>
      <c r="Q57" s="15"/>
      <c r="R57" s="14"/>
      <c r="S57" s="16"/>
      <c r="T57" s="14"/>
    </row>
    <row r="58" spans="11:20">
      <c r="K58" s="17"/>
      <c r="L58" s="12"/>
      <c r="M58" s="18"/>
      <c r="N58" s="12"/>
      <c r="O58" s="8"/>
      <c r="P58" s="14"/>
      <c r="Q58" s="15"/>
      <c r="R58" s="14"/>
      <c r="S58" s="16"/>
      <c r="T58" s="802"/>
    </row>
    <row r="59" spans="11:20">
      <c r="K59" s="17"/>
      <c r="L59" s="12"/>
      <c r="M59" s="8"/>
      <c r="N59" s="12"/>
      <c r="O59" s="8"/>
      <c r="P59" s="8"/>
      <c r="Q59" s="8"/>
      <c r="R59" s="14"/>
      <c r="S59" s="19"/>
      <c r="T59" s="805"/>
    </row>
    <row r="61" spans="11:20">
      <c r="K61" s="11"/>
      <c r="L61" s="12"/>
      <c r="M61" s="8"/>
      <c r="N61" s="12"/>
      <c r="O61" s="13"/>
      <c r="P61" s="14"/>
      <c r="Q61" s="15"/>
      <c r="R61" s="14"/>
      <c r="S61" s="16"/>
      <c r="T61" s="14"/>
    </row>
    <row r="62" spans="11:20">
      <c r="K62" s="17"/>
      <c r="L62" s="12"/>
      <c r="M62" s="18"/>
      <c r="N62" s="12"/>
      <c r="O62" s="8"/>
      <c r="P62" s="14"/>
      <c r="Q62" s="15"/>
      <c r="R62" s="14"/>
      <c r="S62" s="16"/>
      <c r="T62" s="802"/>
    </row>
    <row r="63" spans="11:20">
      <c r="K63" s="17"/>
      <c r="L63" s="12"/>
      <c r="M63" s="8"/>
      <c r="N63" s="12"/>
      <c r="O63" s="8"/>
      <c r="P63" s="8"/>
      <c r="Q63" s="8"/>
      <c r="R63" s="14"/>
      <c r="S63" s="19"/>
      <c r="T63" s="805"/>
    </row>
    <row r="65" spans="11:20">
      <c r="K65" s="11"/>
      <c r="L65" s="12"/>
      <c r="M65" s="8"/>
      <c r="N65" s="12"/>
      <c r="O65" s="13"/>
      <c r="P65" s="14"/>
      <c r="Q65" s="15"/>
      <c r="R65" s="14"/>
      <c r="S65" s="16"/>
      <c r="T65" s="14"/>
    </row>
    <row r="66" spans="11:20">
      <c r="K66" s="17"/>
      <c r="L66" s="12"/>
      <c r="M66" s="18"/>
      <c r="N66" s="12"/>
      <c r="O66" s="8"/>
      <c r="P66" s="14"/>
      <c r="Q66" s="15"/>
      <c r="R66" s="14"/>
      <c r="S66" s="16"/>
      <c r="T66" s="802"/>
    </row>
    <row r="67" spans="11:20">
      <c r="K67" s="17"/>
      <c r="L67" s="12"/>
      <c r="M67" s="8"/>
      <c r="N67" s="12"/>
      <c r="O67" s="8"/>
      <c r="P67" s="8"/>
      <c r="Q67" s="8"/>
      <c r="R67" s="14"/>
      <c r="S67" s="19"/>
      <c r="T67" s="805"/>
    </row>
    <row r="69" spans="11:20">
      <c r="K69" s="11"/>
      <c r="L69" s="12"/>
      <c r="M69" s="8"/>
      <c r="N69" s="12"/>
      <c r="O69" s="13"/>
      <c r="P69" s="14"/>
      <c r="Q69" s="15"/>
      <c r="R69" s="14"/>
      <c r="S69" s="16"/>
      <c r="T69" s="14"/>
    </row>
    <row r="70" spans="11:20">
      <c r="K70" s="17"/>
      <c r="L70" s="12"/>
      <c r="M70" s="18"/>
      <c r="N70" s="12"/>
      <c r="O70" s="8"/>
      <c r="P70" s="14"/>
      <c r="Q70" s="15"/>
      <c r="R70" s="14"/>
      <c r="S70" s="16"/>
      <c r="T70" s="802"/>
    </row>
    <row r="71" spans="11:20">
      <c r="K71" s="17"/>
      <c r="L71" s="12"/>
      <c r="M71" s="20"/>
      <c r="N71" s="12"/>
      <c r="O71" s="8"/>
      <c r="P71" s="8"/>
      <c r="Q71" s="8"/>
      <c r="R71" s="14"/>
      <c r="S71" s="19"/>
      <c r="T71" s="805"/>
    </row>
    <row r="73" spans="11:20">
      <c r="K73" s="11"/>
      <c r="L73" s="12"/>
      <c r="M73" s="8"/>
      <c r="N73" s="12"/>
      <c r="O73" s="13"/>
      <c r="P73" s="14"/>
      <c r="Q73" s="15"/>
      <c r="R73" s="14"/>
      <c r="S73" s="16"/>
      <c r="T73" s="14"/>
    </row>
    <row r="74" spans="11:20">
      <c r="K74" s="17"/>
      <c r="L74" s="12"/>
      <c r="M74" s="18"/>
      <c r="N74" s="12"/>
      <c r="O74" s="8"/>
      <c r="P74" s="14"/>
      <c r="Q74" s="15"/>
      <c r="R74" s="14"/>
      <c r="S74" s="16"/>
      <c r="T74" s="802"/>
    </row>
    <row r="75" spans="11:20">
      <c r="K75" s="17"/>
      <c r="L75" s="12"/>
      <c r="M75" s="8"/>
      <c r="N75" s="12"/>
      <c r="O75" s="8"/>
      <c r="P75" s="8"/>
      <c r="Q75" s="8"/>
      <c r="R75" s="14"/>
      <c r="S75" s="19"/>
      <c r="T75" s="805"/>
    </row>
    <row r="77" spans="11:20">
      <c r="K77" s="11"/>
      <c r="L77" s="12"/>
      <c r="M77" s="8"/>
      <c r="N77" s="12"/>
      <c r="O77" s="13"/>
      <c r="P77" s="14"/>
      <c r="Q77" s="15"/>
      <c r="R77" s="14"/>
      <c r="S77" s="16"/>
      <c r="T77" s="14"/>
    </row>
    <row r="78" spans="11:20">
      <c r="K78" s="17"/>
      <c r="L78" s="12"/>
      <c r="M78" s="18"/>
      <c r="N78" s="12"/>
      <c r="O78" s="8"/>
      <c r="P78" s="14"/>
      <c r="Q78" s="15"/>
      <c r="R78" s="14"/>
      <c r="S78" s="16"/>
      <c r="T78" s="802"/>
    </row>
    <row r="79" spans="11:20">
      <c r="K79" s="17"/>
      <c r="L79" s="12"/>
      <c r="M79" s="20"/>
      <c r="N79" s="12"/>
      <c r="O79" s="8"/>
      <c r="P79" s="8"/>
      <c r="Q79" s="8"/>
      <c r="R79" s="14"/>
      <c r="S79" s="19"/>
      <c r="T79" s="805"/>
    </row>
    <row r="81" spans="11:20">
      <c r="K81" s="11"/>
      <c r="L81" s="12"/>
      <c r="M81" s="8"/>
      <c r="N81" s="12"/>
      <c r="O81" s="13"/>
      <c r="P81" s="14"/>
      <c r="Q81" s="15"/>
      <c r="R81" s="14"/>
      <c r="S81" s="16"/>
      <c r="T81" s="14"/>
    </row>
    <row r="82" spans="11:20">
      <c r="K82" s="17"/>
      <c r="L82" s="12"/>
      <c r="M82" s="18"/>
      <c r="N82" s="12"/>
      <c r="O82" s="8"/>
      <c r="P82" s="14"/>
      <c r="Q82" s="15"/>
      <c r="R82" s="14"/>
      <c r="S82" s="16"/>
      <c r="T82" s="802"/>
    </row>
    <row r="83" spans="11:20">
      <c r="K83" s="17"/>
      <c r="L83" s="12"/>
      <c r="M83" s="8"/>
      <c r="N83" s="12"/>
      <c r="O83" s="8"/>
      <c r="P83" s="8"/>
      <c r="Q83" s="8"/>
      <c r="R83" s="14"/>
      <c r="S83" s="19"/>
      <c r="T83" s="805"/>
    </row>
    <row r="85" spans="11:20">
      <c r="K85" s="11"/>
      <c r="L85" s="12"/>
      <c r="M85" s="8"/>
      <c r="N85" s="12"/>
      <c r="O85" s="13"/>
      <c r="P85" s="14"/>
      <c r="Q85" s="15"/>
      <c r="R85" s="14"/>
      <c r="S85" s="16"/>
      <c r="T85" s="14"/>
    </row>
    <row r="86" spans="11:20">
      <c r="K86" s="17"/>
      <c r="L86" s="12"/>
      <c r="M86" s="18"/>
      <c r="N86" s="12"/>
      <c r="O86" s="8"/>
      <c r="P86" s="14"/>
      <c r="Q86" s="15"/>
      <c r="R86" s="14"/>
      <c r="S86" s="16"/>
      <c r="T86" s="802"/>
    </row>
    <row r="87" spans="11:20">
      <c r="K87" s="17"/>
      <c r="L87" s="12"/>
      <c r="M87" s="8"/>
      <c r="N87" s="12"/>
      <c r="O87" s="8"/>
      <c r="P87" s="8"/>
      <c r="Q87" s="8"/>
      <c r="R87" s="14"/>
      <c r="S87" s="19"/>
      <c r="T87" s="805"/>
    </row>
    <row r="89" spans="11:20">
      <c r="K89" s="11"/>
      <c r="L89" s="12"/>
      <c r="M89" s="8"/>
      <c r="N89" s="12"/>
      <c r="O89" s="13"/>
      <c r="P89" s="14"/>
      <c r="Q89" s="15"/>
      <c r="R89" s="14"/>
      <c r="S89" s="16"/>
      <c r="T89" s="14"/>
    </row>
    <row r="90" spans="11:20">
      <c r="K90" s="17"/>
      <c r="L90" s="12"/>
      <c r="M90" s="18"/>
      <c r="N90" s="12"/>
      <c r="O90" s="8"/>
      <c r="P90" s="14"/>
      <c r="Q90" s="15"/>
      <c r="R90" s="14"/>
      <c r="S90" s="16"/>
      <c r="T90" s="802"/>
    </row>
    <row r="91" spans="11:20">
      <c r="K91" s="17"/>
      <c r="L91" s="12"/>
      <c r="M91" s="18"/>
      <c r="N91" s="12"/>
      <c r="O91" s="8"/>
      <c r="P91" s="8"/>
      <c r="Q91" s="8"/>
      <c r="R91" s="14"/>
      <c r="S91" s="19"/>
      <c r="T91" s="805"/>
    </row>
    <row r="93" spans="11:20">
      <c r="K93" s="11"/>
      <c r="L93" s="12"/>
      <c r="M93" s="8"/>
      <c r="N93" s="12"/>
      <c r="O93" s="13"/>
      <c r="P93" s="14"/>
      <c r="Q93" s="15"/>
      <c r="R93" s="14"/>
      <c r="S93" s="16"/>
      <c r="T93" s="14"/>
    </row>
    <row r="94" spans="11:20">
      <c r="K94" s="17"/>
      <c r="L94" s="12"/>
      <c r="M94" s="18"/>
      <c r="N94" s="12"/>
      <c r="O94" s="8"/>
      <c r="P94" s="14"/>
      <c r="Q94" s="15"/>
      <c r="R94" s="14"/>
      <c r="S94" s="16"/>
      <c r="T94" s="802"/>
    </row>
    <row r="95" spans="11:20">
      <c r="K95" s="17"/>
      <c r="L95" s="12"/>
      <c r="M95" s="20"/>
      <c r="N95" s="12"/>
      <c r="O95" s="8"/>
      <c r="P95" s="8"/>
      <c r="Q95" s="8"/>
      <c r="R95" s="14"/>
      <c r="S95" s="19"/>
      <c r="T95" s="805"/>
    </row>
    <row r="97" spans="11:20">
      <c r="K97" s="11"/>
      <c r="L97" s="12"/>
      <c r="M97" s="8"/>
      <c r="N97" s="12"/>
      <c r="O97" s="13"/>
      <c r="P97" s="14"/>
      <c r="Q97" s="15"/>
      <c r="R97" s="14"/>
      <c r="S97" s="16"/>
      <c r="T97" s="14"/>
    </row>
    <row r="98" spans="11:20">
      <c r="K98" s="17"/>
      <c r="L98" s="12"/>
      <c r="M98" s="18"/>
      <c r="N98" s="12"/>
      <c r="O98" s="8"/>
      <c r="P98" s="14"/>
      <c r="Q98" s="15"/>
      <c r="R98" s="14"/>
      <c r="S98" s="16"/>
      <c r="T98" s="802"/>
    </row>
    <row r="99" spans="11:20">
      <c r="K99" s="17"/>
      <c r="L99" s="12"/>
      <c r="M99" s="20"/>
      <c r="N99" s="12"/>
      <c r="O99" s="8"/>
      <c r="P99" s="8"/>
      <c r="Q99" s="8"/>
      <c r="R99" s="14"/>
      <c r="S99" s="19"/>
      <c r="T99" s="805"/>
    </row>
    <row r="101" spans="11:20">
      <c r="K101" s="11"/>
      <c r="L101" s="12"/>
      <c r="M101" s="8"/>
      <c r="N101" s="12"/>
      <c r="O101" s="13"/>
      <c r="P101" s="14"/>
      <c r="Q101" s="15"/>
      <c r="R101" s="14"/>
      <c r="S101" s="16"/>
      <c r="T101" s="14"/>
    </row>
    <row r="102" spans="11:20">
      <c r="K102" s="17"/>
      <c r="L102" s="12"/>
      <c r="M102" s="18"/>
      <c r="N102" s="12"/>
      <c r="O102" s="8"/>
      <c r="P102" s="14"/>
      <c r="Q102" s="15"/>
      <c r="R102" s="14"/>
      <c r="S102" s="16"/>
      <c r="T102" s="802"/>
    </row>
    <row r="103" spans="11:20">
      <c r="K103" s="17"/>
      <c r="L103" s="12"/>
      <c r="M103" s="8"/>
      <c r="N103" s="12"/>
      <c r="O103" s="8"/>
      <c r="P103" s="8"/>
      <c r="Q103" s="8"/>
      <c r="R103" s="14"/>
      <c r="S103" s="19"/>
      <c r="T103" s="805"/>
    </row>
    <row r="105" spans="11:20">
      <c r="K105" s="11"/>
      <c r="L105" s="12"/>
      <c r="M105" s="8"/>
      <c r="N105" s="12"/>
      <c r="O105" s="13"/>
      <c r="P105" s="14"/>
      <c r="Q105" s="15"/>
      <c r="R105" s="14"/>
      <c r="S105" s="16"/>
      <c r="T105" s="14"/>
    </row>
    <row r="106" spans="11:20">
      <c r="K106" s="17"/>
      <c r="L106" s="12"/>
      <c r="M106" s="18"/>
      <c r="N106" s="12"/>
      <c r="O106" s="8"/>
      <c r="P106" s="14"/>
      <c r="Q106" s="15"/>
      <c r="R106" s="14"/>
      <c r="S106" s="16"/>
      <c r="T106" s="802"/>
    </row>
    <row r="107" spans="11:20">
      <c r="K107" s="17"/>
      <c r="L107" s="12"/>
      <c r="M107" s="8"/>
      <c r="N107" s="12"/>
      <c r="O107" s="8"/>
      <c r="P107" s="8"/>
      <c r="Q107" s="8"/>
      <c r="R107" s="14"/>
      <c r="S107" s="19"/>
      <c r="T107" s="805"/>
    </row>
    <row r="109" spans="11:20">
      <c r="K109" s="11"/>
      <c r="L109" s="12"/>
      <c r="M109" s="8"/>
      <c r="N109" s="12"/>
      <c r="O109" s="13"/>
      <c r="P109" s="14"/>
      <c r="Q109" s="15"/>
      <c r="R109" s="14"/>
      <c r="S109" s="16"/>
      <c r="T109" s="14"/>
    </row>
    <row r="110" spans="11:20">
      <c r="K110" s="17"/>
      <c r="L110" s="12"/>
      <c r="M110" s="18"/>
      <c r="N110" s="12"/>
      <c r="O110" s="8"/>
      <c r="P110" s="14"/>
      <c r="Q110" s="15"/>
      <c r="R110" s="14"/>
      <c r="S110" s="16"/>
      <c r="T110" s="802"/>
    </row>
    <row r="111" spans="11:20">
      <c r="K111" s="17"/>
      <c r="L111" s="12"/>
      <c r="M111" s="8"/>
      <c r="N111" s="12"/>
      <c r="O111" s="8"/>
      <c r="P111" s="8"/>
      <c r="Q111" s="8"/>
      <c r="R111" s="14"/>
      <c r="S111" s="19"/>
      <c r="T111" s="805"/>
    </row>
    <row r="113" spans="11:20">
      <c r="K113" s="11"/>
      <c r="L113" s="12"/>
      <c r="M113" s="8"/>
      <c r="N113" s="12"/>
      <c r="O113" s="13"/>
      <c r="P113" s="14"/>
      <c r="Q113" s="15"/>
      <c r="R113" s="14"/>
      <c r="S113" s="16"/>
      <c r="T113" s="14"/>
    </row>
    <row r="114" spans="11:20">
      <c r="K114" s="17"/>
      <c r="L114" s="12"/>
      <c r="M114" s="18"/>
      <c r="N114" s="12"/>
      <c r="O114" s="8"/>
      <c r="P114" s="14"/>
      <c r="Q114" s="15"/>
      <c r="R114" s="14"/>
      <c r="S114" s="16"/>
      <c r="T114" s="802"/>
    </row>
    <row r="115" spans="11:20">
      <c r="K115" s="17"/>
      <c r="L115" s="12"/>
      <c r="M115" s="8"/>
      <c r="N115" s="12"/>
      <c r="O115" s="8"/>
      <c r="P115" s="8"/>
      <c r="Q115" s="8"/>
      <c r="R115" s="14"/>
      <c r="S115" s="19"/>
      <c r="T115" s="805"/>
    </row>
    <row r="117" spans="11:20">
      <c r="K117" s="11"/>
      <c r="L117" s="12"/>
      <c r="M117" s="8"/>
      <c r="N117" s="12"/>
      <c r="O117" s="13"/>
      <c r="P117" s="14"/>
      <c r="Q117" s="15"/>
      <c r="R117" s="14"/>
      <c r="S117" s="16"/>
      <c r="T117" s="14"/>
    </row>
    <row r="118" spans="11:20">
      <c r="K118" s="17"/>
      <c r="L118" s="12"/>
      <c r="M118" s="18"/>
      <c r="N118" s="12"/>
      <c r="O118" s="8"/>
      <c r="P118" s="14"/>
      <c r="Q118" s="15"/>
      <c r="R118" s="14"/>
      <c r="S118" s="16"/>
      <c r="T118" s="802"/>
    </row>
    <row r="119" spans="11:20">
      <c r="K119" s="17"/>
      <c r="L119" s="12"/>
      <c r="M119" s="8"/>
      <c r="N119" s="12"/>
      <c r="O119" s="8"/>
      <c r="P119" s="8"/>
      <c r="Q119" s="8"/>
      <c r="R119" s="14"/>
      <c r="S119" s="19"/>
      <c r="T119" s="805"/>
    </row>
    <row r="121" spans="11:20">
      <c r="K121" s="11"/>
      <c r="L121" s="12"/>
      <c r="M121" s="8"/>
      <c r="N121" s="12"/>
      <c r="O121" s="13"/>
      <c r="P121" s="14"/>
      <c r="Q121" s="15"/>
      <c r="R121" s="14"/>
      <c r="S121" s="16"/>
      <c r="T121" s="14"/>
    </row>
    <row r="122" spans="11:20">
      <c r="K122" s="17"/>
      <c r="L122" s="12"/>
      <c r="M122" s="18"/>
      <c r="N122" s="12"/>
      <c r="O122" s="8"/>
      <c r="P122" s="14"/>
      <c r="Q122" s="15"/>
      <c r="R122" s="14"/>
      <c r="S122" s="16"/>
      <c r="T122" s="802"/>
    </row>
    <row r="123" spans="11:20">
      <c r="K123" s="17"/>
      <c r="L123" s="12"/>
      <c r="M123" s="8"/>
      <c r="N123" s="12"/>
      <c r="O123" s="8"/>
      <c r="P123" s="8"/>
      <c r="Q123" s="8"/>
      <c r="R123" s="14"/>
      <c r="S123" s="19"/>
      <c r="T123" s="805"/>
    </row>
  </sheetData>
  <mergeCells count="27">
    <mergeCell ref="T118:T119"/>
    <mergeCell ref="T122:T123"/>
    <mergeCell ref="T94:T95"/>
    <mergeCell ref="T98:T99"/>
    <mergeCell ref="T102:T103"/>
    <mergeCell ref="T106:T107"/>
    <mergeCell ref="T110:T111"/>
    <mergeCell ref="T114:T115"/>
    <mergeCell ref="T90:T91"/>
    <mergeCell ref="T46:T47"/>
    <mergeCell ref="T50:T51"/>
    <mergeCell ref="T54:T55"/>
    <mergeCell ref="T58:T59"/>
    <mergeCell ref="T62:T63"/>
    <mergeCell ref="T66:T67"/>
    <mergeCell ref="T70:T71"/>
    <mergeCell ref="T74:T75"/>
    <mergeCell ref="T78:T79"/>
    <mergeCell ref="T82:T83"/>
    <mergeCell ref="T86:T87"/>
    <mergeCell ref="B22:H22"/>
    <mergeCell ref="T42:T43"/>
    <mergeCell ref="C28:E28"/>
    <mergeCell ref="F28:G28"/>
    <mergeCell ref="C33:E33"/>
    <mergeCell ref="F33:G33"/>
    <mergeCell ref="T38:T39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BA34"/>
  <sheetViews>
    <sheetView view="pageBreakPreview" zoomScaleNormal="100" zoomScaleSheetLayoutView="100" workbookViewId="0">
      <selection activeCell="Q10" sqref="Q10:AK10"/>
    </sheetView>
  </sheetViews>
  <sheetFormatPr defaultRowHeight="13.5"/>
  <cols>
    <col min="1" max="64" width="2.625" customWidth="1"/>
  </cols>
  <sheetData>
    <row r="1" spans="1:53" ht="12" customHeight="1">
      <c r="A1" s="846" t="s">
        <v>4</v>
      </c>
      <c r="B1" s="846"/>
      <c r="C1" s="846"/>
      <c r="D1" s="846"/>
      <c r="E1" s="846"/>
      <c r="F1" s="846"/>
      <c r="G1" s="846"/>
      <c r="H1" s="846"/>
      <c r="I1" s="829" t="s">
        <v>5</v>
      </c>
      <c r="J1" s="829"/>
      <c r="K1" s="829"/>
      <c r="L1" s="829"/>
      <c r="M1" s="844" t="s">
        <v>6</v>
      </c>
      <c r="N1" s="844"/>
      <c r="O1" s="844"/>
      <c r="P1" s="844"/>
      <c r="Q1" s="844"/>
      <c r="R1" s="844"/>
      <c r="S1" s="844"/>
      <c r="T1" s="844"/>
      <c r="U1" s="844"/>
      <c r="V1" s="844"/>
      <c r="W1" s="844"/>
      <c r="X1" s="829" t="s">
        <v>7</v>
      </c>
      <c r="Y1" s="829"/>
      <c r="Z1" s="829"/>
      <c r="AA1" s="848" t="s">
        <v>44</v>
      </c>
      <c r="AB1" s="848"/>
      <c r="AC1" s="848"/>
      <c r="AD1" s="848"/>
      <c r="AE1" s="848"/>
      <c r="AF1" s="848"/>
      <c r="AG1" s="848"/>
      <c r="AH1" s="848"/>
      <c r="AI1" s="848"/>
      <c r="AJ1" s="848"/>
      <c r="AK1" s="833" t="s">
        <v>8</v>
      </c>
      <c r="AL1" s="833"/>
      <c r="AM1" s="833"/>
      <c r="AN1" s="834" t="s">
        <v>300</v>
      </c>
      <c r="AO1" s="834"/>
      <c r="AP1" s="834"/>
      <c r="AQ1" s="833" t="s">
        <v>9</v>
      </c>
      <c r="AR1" s="833"/>
      <c r="AS1" s="833"/>
      <c r="AT1" s="836">
        <f>AL7</f>
        <v>46125</v>
      </c>
      <c r="AU1" s="836"/>
      <c r="AV1" s="836"/>
      <c r="AW1" s="836"/>
      <c r="AX1" s="825" t="s">
        <v>10</v>
      </c>
      <c r="AY1" s="826"/>
      <c r="AZ1" s="826"/>
      <c r="BA1" s="827"/>
    </row>
    <row r="2" spans="1:53">
      <c r="A2" s="828" t="s">
        <v>16</v>
      </c>
      <c r="B2" s="828"/>
      <c r="C2" s="828"/>
      <c r="D2" s="828"/>
      <c r="E2" s="828"/>
      <c r="F2" s="828"/>
      <c r="G2" s="828"/>
      <c r="H2" s="828"/>
      <c r="I2" s="829" t="s">
        <v>11</v>
      </c>
      <c r="J2" s="829"/>
      <c r="K2" s="829"/>
      <c r="L2" s="829"/>
      <c r="M2" s="830" t="s">
        <v>29</v>
      </c>
      <c r="N2" s="831"/>
      <c r="O2" s="831"/>
      <c r="P2" s="831"/>
      <c r="Q2" s="831"/>
      <c r="R2" s="831"/>
      <c r="S2" s="831"/>
      <c r="T2" s="831"/>
      <c r="U2" s="831"/>
      <c r="V2" s="831"/>
      <c r="W2" s="832"/>
      <c r="X2" s="829"/>
      <c r="Y2" s="829"/>
      <c r="Z2" s="829"/>
      <c r="AA2" s="848"/>
      <c r="AB2" s="848"/>
      <c r="AC2" s="848"/>
      <c r="AD2" s="848"/>
      <c r="AE2" s="848"/>
      <c r="AF2" s="848"/>
      <c r="AG2" s="848"/>
      <c r="AH2" s="848"/>
      <c r="AI2" s="848"/>
      <c r="AJ2" s="848"/>
      <c r="AK2" s="833" t="s">
        <v>12</v>
      </c>
      <c r="AL2" s="833"/>
      <c r="AM2" s="833"/>
      <c r="AN2" s="834" t="s">
        <v>300</v>
      </c>
      <c r="AO2" s="834"/>
      <c r="AP2" s="834"/>
      <c r="AQ2" s="833" t="s">
        <v>13</v>
      </c>
      <c r="AR2" s="833"/>
      <c r="AS2" s="833"/>
      <c r="AT2" s="836">
        <v>46134</v>
      </c>
      <c r="AU2" s="836"/>
      <c r="AV2" s="836"/>
      <c r="AW2" s="836"/>
      <c r="AX2" s="837" t="s">
        <v>31</v>
      </c>
      <c r="AY2" s="838"/>
      <c r="AZ2" s="838"/>
      <c r="BA2" s="839"/>
    </row>
    <row r="3" spans="1:53" ht="12" customHeight="1">
      <c r="A3" s="843" t="s">
        <v>26</v>
      </c>
      <c r="B3" s="843"/>
      <c r="C3" s="843"/>
      <c r="D3" s="843"/>
      <c r="E3" s="843"/>
      <c r="F3" s="843"/>
      <c r="G3" s="843"/>
      <c r="H3" s="843"/>
      <c r="I3" s="829" t="s">
        <v>14</v>
      </c>
      <c r="J3" s="829"/>
      <c r="K3" s="829"/>
      <c r="L3" s="829"/>
      <c r="M3" s="844"/>
      <c r="N3" s="844"/>
      <c r="O3" s="844"/>
      <c r="P3" s="844"/>
      <c r="Q3" s="844"/>
      <c r="R3" s="844"/>
      <c r="S3" s="844"/>
      <c r="T3" s="844"/>
      <c r="U3" s="844"/>
      <c r="V3" s="844"/>
      <c r="W3" s="844"/>
      <c r="X3" s="829" t="s">
        <v>27</v>
      </c>
      <c r="Y3" s="829"/>
      <c r="Z3" s="829"/>
      <c r="AA3" s="845" t="s">
        <v>260</v>
      </c>
      <c r="AB3" s="845"/>
      <c r="AC3" s="845"/>
      <c r="AD3" s="845"/>
      <c r="AE3" s="845"/>
      <c r="AF3" s="845"/>
      <c r="AG3" s="845"/>
      <c r="AH3" s="845"/>
      <c r="AI3" s="845"/>
      <c r="AJ3" s="845"/>
      <c r="AK3" s="845"/>
      <c r="AL3" s="845"/>
      <c r="AM3" s="845"/>
      <c r="AN3" s="845"/>
      <c r="AO3" s="845"/>
      <c r="AP3" s="845"/>
      <c r="AQ3" s="833" t="s">
        <v>15</v>
      </c>
      <c r="AR3" s="833"/>
      <c r="AS3" s="833"/>
      <c r="AT3" s="849" t="str">
        <f ca="1">INDIRECT("A" &amp; COUNTA(A7:A39) + 6)</f>
        <v>r1.1</v>
      </c>
      <c r="AU3" s="849"/>
      <c r="AV3" s="849"/>
      <c r="AW3" s="849"/>
      <c r="AX3" s="840"/>
      <c r="AY3" s="841"/>
      <c r="AZ3" s="841"/>
      <c r="BA3" s="842"/>
    </row>
    <row r="4" spans="1:53" ht="5.85" customHeight="1"/>
    <row r="5" spans="1:53" ht="14.25">
      <c r="A5" s="847" t="s">
        <v>25</v>
      </c>
      <c r="B5" s="847"/>
      <c r="C5" s="847"/>
      <c r="D5" s="847"/>
      <c r="E5" s="847"/>
      <c r="F5" s="847"/>
      <c r="G5" s="847"/>
      <c r="H5" s="847"/>
      <c r="I5" s="847"/>
      <c r="J5" s="847"/>
      <c r="K5" s="847"/>
      <c r="L5" s="847"/>
      <c r="M5" s="847"/>
      <c r="N5" s="847"/>
      <c r="O5" s="847"/>
      <c r="P5" s="847"/>
      <c r="Q5" s="847"/>
      <c r="R5" s="847"/>
      <c r="S5" s="847"/>
      <c r="T5" s="847"/>
      <c r="U5" s="847"/>
      <c r="V5" s="847"/>
      <c r="W5" s="847"/>
      <c r="X5" s="847"/>
      <c r="Y5" s="847"/>
      <c r="Z5" s="847"/>
      <c r="AA5" s="847"/>
      <c r="AB5" s="847"/>
      <c r="AC5" s="847"/>
      <c r="AD5" s="847"/>
      <c r="AE5" s="847"/>
      <c r="AF5" s="847"/>
      <c r="AG5" s="847"/>
      <c r="AH5" s="847"/>
      <c r="AI5" s="847"/>
      <c r="AJ5" s="847"/>
      <c r="AK5" s="847"/>
      <c r="AL5" s="847"/>
      <c r="AM5" s="847"/>
      <c r="AN5" s="847"/>
      <c r="AO5" s="847"/>
      <c r="AP5" s="847"/>
      <c r="AQ5" s="847"/>
      <c r="AR5" s="847"/>
      <c r="AS5" s="847"/>
      <c r="AT5" s="847"/>
      <c r="AU5" s="847"/>
      <c r="AV5" s="847"/>
      <c r="AW5" s="847"/>
      <c r="AX5" s="847"/>
      <c r="AY5" s="847"/>
      <c r="AZ5" s="847"/>
      <c r="BA5" s="847"/>
    </row>
    <row r="6" spans="1:53">
      <c r="A6" s="850" t="s">
        <v>24</v>
      </c>
      <c r="B6" s="851"/>
      <c r="C6" s="835" t="s">
        <v>17</v>
      </c>
      <c r="D6" s="835"/>
      <c r="E6" s="835"/>
      <c r="F6" s="835"/>
      <c r="G6" s="835"/>
      <c r="H6" s="835"/>
      <c r="I6" s="835"/>
      <c r="J6" s="835"/>
      <c r="K6" s="835"/>
      <c r="L6" s="835"/>
      <c r="M6" s="835"/>
      <c r="N6" s="835"/>
      <c r="O6" s="835"/>
      <c r="P6" s="835"/>
      <c r="Q6" s="835" t="s">
        <v>18</v>
      </c>
      <c r="R6" s="835"/>
      <c r="S6" s="835"/>
      <c r="T6" s="835"/>
      <c r="U6" s="835"/>
      <c r="V6" s="835"/>
      <c r="W6" s="835"/>
      <c r="X6" s="835"/>
      <c r="Y6" s="835"/>
      <c r="Z6" s="835"/>
      <c r="AA6" s="835"/>
      <c r="AB6" s="835"/>
      <c r="AC6" s="835"/>
      <c r="AD6" s="835"/>
      <c r="AE6" s="835"/>
      <c r="AF6" s="835"/>
      <c r="AG6" s="835"/>
      <c r="AH6" s="835"/>
      <c r="AI6" s="835"/>
      <c r="AJ6" s="835"/>
      <c r="AK6" s="835"/>
      <c r="AL6" s="835" t="s">
        <v>19</v>
      </c>
      <c r="AM6" s="835"/>
      <c r="AN6" s="835"/>
      <c r="AO6" s="835"/>
      <c r="AP6" s="835" t="s">
        <v>20</v>
      </c>
      <c r="AQ6" s="835"/>
      <c r="AR6" s="835"/>
      <c r="AS6" s="835" t="s">
        <v>21</v>
      </c>
      <c r="AT6" s="835"/>
      <c r="AU6" s="835"/>
      <c r="AV6" s="835" t="s">
        <v>22</v>
      </c>
      <c r="AW6" s="835"/>
      <c r="AX6" s="835"/>
      <c r="AY6" s="835"/>
      <c r="AZ6" s="835"/>
      <c r="BA6" s="835"/>
    </row>
    <row r="7" spans="1:53">
      <c r="A7" s="807" t="s">
        <v>259</v>
      </c>
      <c r="B7" s="807"/>
      <c r="C7" s="808" t="s">
        <v>23</v>
      </c>
      <c r="D7" s="808"/>
      <c r="E7" s="808"/>
      <c r="F7" s="808"/>
      <c r="G7" s="808"/>
      <c r="H7" s="808"/>
      <c r="I7" s="808"/>
      <c r="J7" s="808"/>
      <c r="K7" s="808"/>
      <c r="L7" s="808"/>
      <c r="M7" s="808"/>
      <c r="N7" s="808"/>
      <c r="O7" s="808"/>
      <c r="P7" s="808"/>
      <c r="Q7" s="808"/>
      <c r="R7" s="808"/>
      <c r="S7" s="808"/>
      <c r="T7" s="808"/>
      <c r="U7" s="808"/>
      <c r="V7" s="808"/>
      <c r="W7" s="808"/>
      <c r="X7" s="808"/>
      <c r="Y7" s="808"/>
      <c r="Z7" s="808"/>
      <c r="AA7" s="808"/>
      <c r="AB7" s="808"/>
      <c r="AC7" s="808"/>
      <c r="AD7" s="808"/>
      <c r="AE7" s="808"/>
      <c r="AF7" s="808"/>
      <c r="AG7" s="808"/>
      <c r="AH7" s="808"/>
      <c r="AI7" s="808"/>
      <c r="AJ7" s="808"/>
      <c r="AK7" s="808"/>
      <c r="AL7" s="812">
        <v>46125</v>
      </c>
      <c r="AM7" s="813"/>
      <c r="AN7" s="813"/>
      <c r="AO7" s="813"/>
      <c r="AP7" s="808" t="s">
        <v>300</v>
      </c>
      <c r="AQ7" s="808"/>
      <c r="AR7" s="808"/>
      <c r="AS7" s="808"/>
      <c r="AT7" s="808"/>
      <c r="AU7" s="808"/>
      <c r="AV7" s="808"/>
      <c r="AW7" s="808"/>
      <c r="AX7" s="808"/>
      <c r="AY7" s="808"/>
      <c r="AZ7" s="808"/>
      <c r="BA7" s="808"/>
    </row>
    <row r="8" spans="1:53" ht="26.45" customHeight="1">
      <c r="A8" s="822" t="s">
        <v>695</v>
      </c>
      <c r="B8" s="823"/>
      <c r="C8" s="809" t="s">
        <v>697</v>
      </c>
      <c r="D8" s="809"/>
      <c r="E8" s="809"/>
      <c r="F8" s="809"/>
      <c r="G8" s="809"/>
      <c r="H8" s="809"/>
      <c r="I8" s="809"/>
      <c r="J8" s="809"/>
      <c r="K8" s="809"/>
      <c r="L8" s="809"/>
      <c r="M8" s="809"/>
      <c r="N8" s="809"/>
      <c r="O8" s="809"/>
      <c r="P8" s="809"/>
      <c r="Q8" s="819" t="s">
        <v>696</v>
      </c>
      <c r="R8" s="820"/>
      <c r="S8" s="820"/>
      <c r="T8" s="820"/>
      <c r="U8" s="820"/>
      <c r="V8" s="820"/>
      <c r="W8" s="820"/>
      <c r="X8" s="820"/>
      <c r="Y8" s="820"/>
      <c r="Z8" s="820"/>
      <c r="AA8" s="820"/>
      <c r="AB8" s="820"/>
      <c r="AC8" s="820"/>
      <c r="AD8" s="820"/>
      <c r="AE8" s="820"/>
      <c r="AF8" s="820"/>
      <c r="AG8" s="820"/>
      <c r="AH8" s="820"/>
      <c r="AI8" s="820"/>
      <c r="AJ8" s="820"/>
      <c r="AK8" s="821"/>
      <c r="AL8" s="814">
        <v>46134</v>
      </c>
      <c r="AM8" s="815"/>
      <c r="AN8" s="815"/>
      <c r="AO8" s="816"/>
      <c r="AP8" s="808" t="s">
        <v>300</v>
      </c>
      <c r="AQ8" s="808"/>
      <c r="AR8" s="808"/>
      <c r="AS8" s="808"/>
      <c r="AT8" s="808"/>
      <c r="AU8" s="808"/>
      <c r="AV8" s="808"/>
      <c r="AW8" s="808"/>
      <c r="AX8" s="808"/>
      <c r="AY8" s="808"/>
      <c r="AZ8" s="808"/>
      <c r="BA8" s="808"/>
    </row>
    <row r="9" spans="1:53">
      <c r="A9" s="822"/>
      <c r="B9" s="823"/>
      <c r="C9" s="808"/>
      <c r="D9" s="808"/>
      <c r="E9" s="808"/>
      <c r="F9" s="808"/>
      <c r="G9" s="808"/>
      <c r="H9" s="808"/>
      <c r="I9" s="808"/>
      <c r="J9" s="808"/>
      <c r="K9" s="808"/>
      <c r="L9" s="808"/>
      <c r="M9" s="808"/>
      <c r="N9" s="808"/>
      <c r="O9" s="808"/>
      <c r="P9" s="808"/>
      <c r="Q9" s="819"/>
      <c r="R9" s="820"/>
      <c r="S9" s="820"/>
      <c r="T9" s="820"/>
      <c r="U9" s="820"/>
      <c r="V9" s="820"/>
      <c r="W9" s="820"/>
      <c r="X9" s="820"/>
      <c r="Y9" s="820"/>
      <c r="Z9" s="820"/>
      <c r="AA9" s="820"/>
      <c r="AB9" s="820"/>
      <c r="AC9" s="820"/>
      <c r="AD9" s="820"/>
      <c r="AE9" s="820"/>
      <c r="AF9" s="820"/>
      <c r="AG9" s="820"/>
      <c r="AH9" s="820"/>
      <c r="AI9" s="820"/>
      <c r="AJ9" s="820"/>
      <c r="AK9" s="821"/>
      <c r="AL9" s="814"/>
      <c r="AM9" s="815"/>
      <c r="AN9" s="815"/>
      <c r="AO9" s="816"/>
      <c r="AP9" s="808"/>
      <c r="AQ9" s="808"/>
      <c r="AR9" s="808"/>
      <c r="AS9" s="808"/>
      <c r="AT9" s="808"/>
      <c r="AU9" s="808"/>
      <c r="AV9" s="808"/>
      <c r="AW9" s="808"/>
      <c r="AX9" s="808"/>
      <c r="AY9" s="808"/>
      <c r="AZ9" s="808"/>
      <c r="BA9" s="808"/>
    </row>
    <row r="10" spans="1:53">
      <c r="A10" s="807"/>
      <c r="B10" s="807"/>
      <c r="C10" s="808"/>
      <c r="D10" s="808"/>
      <c r="E10" s="808"/>
      <c r="F10" s="808"/>
      <c r="G10" s="808"/>
      <c r="H10" s="808"/>
      <c r="I10" s="808"/>
      <c r="J10" s="808"/>
      <c r="K10" s="808"/>
      <c r="L10" s="808"/>
      <c r="M10" s="808"/>
      <c r="N10" s="808"/>
      <c r="O10" s="808"/>
      <c r="P10" s="808"/>
      <c r="Q10" s="809"/>
      <c r="R10" s="808"/>
      <c r="S10" s="808"/>
      <c r="T10" s="808"/>
      <c r="U10" s="808"/>
      <c r="V10" s="808"/>
      <c r="W10" s="808"/>
      <c r="X10" s="808"/>
      <c r="Y10" s="808"/>
      <c r="Z10" s="808"/>
      <c r="AA10" s="808"/>
      <c r="AB10" s="808"/>
      <c r="AC10" s="808"/>
      <c r="AD10" s="808"/>
      <c r="AE10" s="808"/>
      <c r="AF10" s="808"/>
      <c r="AG10" s="808"/>
      <c r="AH10" s="808"/>
      <c r="AI10" s="808"/>
      <c r="AJ10" s="808"/>
      <c r="AK10" s="808"/>
      <c r="AL10" s="806"/>
      <c r="AM10" s="807"/>
      <c r="AN10" s="807"/>
      <c r="AO10" s="807"/>
      <c r="AP10" s="808"/>
      <c r="AQ10" s="808"/>
      <c r="AR10" s="808"/>
      <c r="AS10" s="808"/>
      <c r="AT10" s="808"/>
      <c r="AU10" s="808"/>
      <c r="AV10" s="808"/>
      <c r="AW10" s="808"/>
      <c r="AX10" s="808"/>
      <c r="AY10" s="808"/>
      <c r="AZ10" s="808"/>
      <c r="BA10" s="808"/>
    </row>
    <row r="11" spans="1:53">
      <c r="A11" s="807"/>
      <c r="B11" s="807"/>
      <c r="C11" s="809"/>
      <c r="D11" s="808"/>
      <c r="E11" s="808"/>
      <c r="F11" s="808"/>
      <c r="G11" s="808"/>
      <c r="H11" s="808"/>
      <c r="I11" s="808"/>
      <c r="J11" s="808"/>
      <c r="K11" s="808"/>
      <c r="L11" s="808"/>
      <c r="M11" s="808"/>
      <c r="N11" s="808"/>
      <c r="O11" s="808"/>
      <c r="P11" s="808"/>
      <c r="Q11" s="809"/>
      <c r="R11" s="808"/>
      <c r="S11" s="808"/>
      <c r="T11" s="808"/>
      <c r="U11" s="808"/>
      <c r="V11" s="808"/>
      <c r="W11" s="808"/>
      <c r="X11" s="808"/>
      <c r="Y11" s="808"/>
      <c r="Z11" s="808"/>
      <c r="AA11" s="808"/>
      <c r="AB11" s="808"/>
      <c r="AC11" s="808"/>
      <c r="AD11" s="808"/>
      <c r="AE11" s="808"/>
      <c r="AF11" s="808"/>
      <c r="AG11" s="808"/>
      <c r="AH11" s="808"/>
      <c r="AI11" s="808"/>
      <c r="AJ11" s="808"/>
      <c r="AK11" s="808"/>
      <c r="AL11" s="806"/>
      <c r="AM11" s="807"/>
      <c r="AN11" s="807"/>
      <c r="AO11" s="807"/>
      <c r="AP11" s="808"/>
      <c r="AQ11" s="808"/>
      <c r="AR11" s="808"/>
      <c r="AS11" s="808"/>
      <c r="AT11" s="808"/>
      <c r="AU11" s="808"/>
      <c r="AV11" s="808"/>
      <c r="AW11" s="808"/>
      <c r="AX11" s="808"/>
      <c r="AY11" s="808"/>
      <c r="AZ11" s="808"/>
      <c r="BA11" s="808"/>
    </row>
    <row r="12" spans="1:53">
      <c r="A12" s="807"/>
      <c r="B12" s="807"/>
      <c r="C12" s="808"/>
      <c r="D12" s="808"/>
      <c r="E12" s="808"/>
      <c r="F12" s="808"/>
      <c r="G12" s="808"/>
      <c r="H12" s="808"/>
      <c r="I12" s="808"/>
      <c r="J12" s="808"/>
      <c r="K12" s="808"/>
      <c r="L12" s="808"/>
      <c r="M12" s="808"/>
      <c r="N12" s="808"/>
      <c r="O12" s="808"/>
      <c r="P12" s="808"/>
      <c r="Q12" s="808"/>
      <c r="R12" s="808"/>
      <c r="S12" s="808"/>
      <c r="T12" s="808"/>
      <c r="U12" s="808"/>
      <c r="V12" s="808"/>
      <c r="W12" s="808"/>
      <c r="X12" s="808"/>
      <c r="Y12" s="808"/>
      <c r="Z12" s="808"/>
      <c r="AA12" s="808"/>
      <c r="AB12" s="808"/>
      <c r="AC12" s="808"/>
      <c r="AD12" s="808"/>
      <c r="AE12" s="808"/>
      <c r="AF12" s="808"/>
      <c r="AG12" s="808"/>
      <c r="AH12" s="808"/>
      <c r="AI12" s="808"/>
      <c r="AJ12" s="808"/>
      <c r="AK12" s="808"/>
      <c r="AL12" s="806"/>
      <c r="AM12" s="807"/>
      <c r="AN12" s="807"/>
      <c r="AO12" s="807"/>
      <c r="AP12" s="808"/>
      <c r="AQ12" s="808"/>
      <c r="AR12" s="808"/>
      <c r="AS12" s="808"/>
      <c r="AT12" s="808"/>
      <c r="AU12" s="808"/>
      <c r="AV12" s="808"/>
      <c r="AW12" s="808"/>
      <c r="AX12" s="808"/>
      <c r="AY12" s="808"/>
      <c r="AZ12" s="808"/>
      <c r="BA12" s="808"/>
    </row>
    <row r="13" spans="1:53">
      <c r="A13" s="818"/>
      <c r="B13" s="818"/>
      <c r="C13" s="810"/>
      <c r="D13" s="810"/>
      <c r="E13" s="810"/>
      <c r="F13" s="810"/>
      <c r="G13" s="810"/>
      <c r="H13" s="810"/>
      <c r="I13" s="810"/>
      <c r="J13" s="810"/>
      <c r="K13" s="810"/>
      <c r="L13" s="810"/>
      <c r="M13" s="810"/>
      <c r="N13" s="810"/>
      <c r="O13" s="810"/>
      <c r="P13" s="810"/>
      <c r="Q13" s="809"/>
      <c r="R13" s="808"/>
      <c r="S13" s="808"/>
      <c r="T13" s="808"/>
      <c r="U13" s="808"/>
      <c r="V13" s="808"/>
      <c r="W13" s="808"/>
      <c r="X13" s="808"/>
      <c r="Y13" s="808"/>
      <c r="Z13" s="808"/>
      <c r="AA13" s="808"/>
      <c r="AB13" s="808"/>
      <c r="AC13" s="808"/>
      <c r="AD13" s="808"/>
      <c r="AE13" s="808"/>
      <c r="AF13" s="808"/>
      <c r="AG13" s="808"/>
      <c r="AH13" s="808"/>
      <c r="AI13" s="808"/>
      <c r="AJ13" s="808"/>
      <c r="AK13" s="808"/>
      <c r="AL13" s="817"/>
      <c r="AM13" s="818"/>
      <c r="AN13" s="818"/>
      <c r="AO13" s="818"/>
      <c r="AP13" s="808"/>
      <c r="AQ13" s="808"/>
      <c r="AR13" s="808"/>
      <c r="AS13" s="810"/>
      <c r="AT13" s="810"/>
      <c r="AU13" s="810"/>
      <c r="AV13" s="810"/>
      <c r="AW13" s="810"/>
      <c r="AX13" s="810"/>
      <c r="AY13" s="810"/>
      <c r="AZ13" s="810"/>
      <c r="BA13" s="810"/>
    </row>
    <row r="14" spans="1:53">
      <c r="A14" s="807"/>
      <c r="B14" s="807"/>
      <c r="C14" s="808"/>
      <c r="D14" s="808"/>
      <c r="E14" s="808"/>
      <c r="F14" s="808"/>
      <c r="G14" s="808"/>
      <c r="H14" s="808"/>
      <c r="I14" s="808"/>
      <c r="J14" s="808"/>
      <c r="K14" s="808"/>
      <c r="L14" s="808"/>
      <c r="M14" s="808"/>
      <c r="N14" s="808"/>
      <c r="O14" s="808"/>
      <c r="P14" s="808"/>
      <c r="Q14" s="809"/>
      <c r="R14" s="808"/>
      <c r="S14" s="808"/>
      <c r="T14" s="808"/>
      <c r="U14" s="808"/>
      <c r="V14" s="808"/>
      <c r="W14" s="808"/>
      <c r="X14" s="808"/>
      <c r="Y14" s="808"/>
      <c r="Z14" s="808"/>
      <c r="AA14" s="808"/>
      <c r="AB14" s="808"/>
      <c r="AC14" s="808"/>
      <c r="AD14" s="808"/>
      <c r="AE14" s="808"/>
      <c r="AF14" s="808"/>
      <c r="AG14" s="808"/>
      <c r="AH14" s="808"/>
      <c r="AI14" s="808"/>
      <c r="AJ14" s="808"/>
      <c r="AK14" s="808"/>
      <c r="AL14" s="806"/>
      <c r="AM14" s="807"/>
      <c r="AN14" s="807"/>
      <c r="AO14" s="807"/>
      <c r="AP14" s="808"/>
      <c r="AQ14" s="808"/>
      <c r="AR14" s="808"/>
      <c r="AS14" s="808"/>
      <c r="AT14" s="808"/>
      <c r="AU14" s="808"/>
      <c r="AV14" s="808"/>
      <c r="AW14" s="808"/>
      <c r="AX14" s="808"/>
      <c r="AY14" s="808"/>
      <c r="AZ14" s="808"/>
      <c r="BA14" s="808"/>
    </row>
    <row r="15" spans="1:53">
      <c r="A15" s="807"/>
      <c r="B15" s="807"/>
      <c r="C15" s="808"/>
      <c r="D15" s="808"/>
      <c r="E15" s="808"/>
      <c r="F15" s="808"/>
      <c r="G15" s="808"/>
      <c r="H15" s="808"/>
      <c r="I15" s="808"/>
      <c r="J15" s="808"/>
      <c r="K15" s="808"/>
      <c r="L15" s="808"/>
      <c r="M15" s="808"/>
      <c r="N15" s="808"/>
      <c r="O15" s="808"/>
      <c r="P15" s="808"/>
      <c r="Q15" s="809"/>
      <c r="R15" s="808"/>
      <c r="S15" s="808"/>
      <c r="T15" s="808"/>
      <c r="U15" s="808"/>
      <c r="V15" s="808"/>
      <c r="W15" s="808"/>
      <c r="X15" s="808"/>
      <c r="Y15" s="808"/>
      <c r="Z15" s="808"/>
      <c r="AA15" s="808"/>
      <c r="AB15" s="808"/>
      <c r="AC15" s="808"/>
      <c r="AD15" s="808"/>
      <c r="AE15" s="808"/>
      <c r="AF15" s="808"/>
      <c r="AG15" s="808"/>
      <c r="AH15" s="808"/>
      <c r="AI15" s="808"/>
      <c r="AJ15" s="808"/>
      <c r="AK15" s="808"/>
      <c r="AL15" s="806"/>
      <c r="AM15" s="807"/>
      <c r="AN15" s="807"/>
      <c r="AO15" s="807"/>
      <c r="AP15" s="808"/>
      <c r="AQ15" s="808"/>
      <c r="AR15" s="808"/>
      <c r="AS15" s="808"/>
      <c r="AT15" s="808"/>
      <c r="AU15" s="808"/>
      <c r="AV15" s="808"/>
      <c r="AW15" s="808"/>
      <c r="AX15" s="808"/>
      <c r="AY15" s="808"/>
      <c r="AZ15" s="808"/>
      <c r="BA15" s="808"/>
    </row>
    <row r="16" spans="1:53">
      <c r="A16" s="807"/>
      <c r="B16" s="807"/>
      <c r="C16" s="808"/>
      <c r="D16" s="808"/>
      <c r="E16" s="808"/>
      <c r="F16" s="808"/>
      <c r="G16" s="808"/>
      <c r="H16" s="808"/>
      <c r="I16" s="808"/>
      <c r="J16" s="808"/>
      <c r="K16" s="808"/>
      <c r="L16" s="808"/>
      <c r="M16" s="808"/>
      <c r="N16" s="808"/>
      <c r="O16" s="808"/>
      <c r="P16" s="808"/>
      <c r="Q16" s="809"/>
      <c r="R16" s="808"/>
      <c r="S16" s="808"/>
      <c r="T16" s="808"/>
      <c r="U16" s="808"/>
      <c r="V16" s="808"/>
      <c r="W16" s="808"/>
      <c r="X16" s="808"/>
      <c r="Y16" s="808"/>
      <c r="Z16" s="808"/>
      <c r="AA16" s="808"/>
      <c r="AB16" s="808"/>
      <c r="AC16" s="808"/>
      <c r="AD16" s="808"/>
      <c r="AE16" s="808"/>
      <c r="AF16" s="808"/>
      <c r="AG16" s="808"/>
      <c r="AH16" s="808"/>
      <c r="AI16" s="808"/>
      <c r="AJ16" s="808"/>
      <c r="AK16" s="808"/>
      <c r="AL16" s="806"/>
      <c r="AM16" s="807"/>
      <c r="AN16" s="807"/>
      <c r="AO16" s="807"/>
      <c r="AP16" s="808"/>
      <c r="AQ16" s="808"/>
      <c r="AR16" s="808"/>
      <c r="AS16" s="808"/>
      <c r="AT16" s="808"/>
      <c r="AU16" s="808"/>
      <c r="AV16" s="808"/>
      <c r="AW16" s="808"/>
      <c r="AX16" s="808"/>
      <c r="AY16" s="808"/>
      <c r="AZ16" s="808"/>
      <c r="BA16" s="808"/>
    </row>
    <row r="17" spans="1:53">
      <c r="A17" s="824"/>
      <c r="B17" s="824"/>
      <c r="C17" s="808"/>
      <c r="D17" s="808"/>
      <c r="E17" s="808"/>
      <c r="F17" s="808"/>
      <c r="G17" s="808"/>
      <c r="H17" s="808"/>
      <c r="I17" s="808"/>
      <c r="J17" s="808"/>
      <c r="K17" s="808"/>
      <c r="L17" s="808"/>
      <c r="M17" s="808"/>
      <c r="N17" s="808"/>
      <c r="O17" s="808"/>
      <c r="P17" s="808"/>
      <c r="Q17" s="808"/>
      <c r="R17" s="811"/>
      <c r="S17" s="811"/>
      <c r="T17" s="811"/>
      <c r="U17" s="811"/>
      <c r="V17" s="811"/>
      <c r="W17" s="811"/>
      <c r="X17" s="811"/>
      <c r="Y17" s="811"/>
      <c r="Z17" s="811"/>
      <c r="AA17" s="811"/>
      <c r="AB17" s="811"/>
      <c r="AC17" s="811"/>
      <c r="AD17" s="811"/>
      <c r="AE17" s="811"/>
      <c r="AF17" s="811"/>
      <c r="AG17" s="811"/>
      <c r="AH17" s="811"/>
      <c r="AI17" s="811"/>
      <c r="AJ17" s="811"/>
      <c r="AK17" s="811"/>
      <c r="AL17" s="806"/>
      <c r="AM17" s="807"/>
      <c r="AN17" s="807"/>
      <c r="AO17" s="807"/>
      <c r="AP17" s="808"/>
      <c r="AQ17" s="811"/>
      <c r="AR17" s="811"/>
      <c r="AS17" s="811"/>
      <c r="AT17" s="811"/>
      <c r="AU17" s="811"/>
      <c r="AV17" s="811"/>
      <c r="AW17" s="811"/>
      <c r="AX17" s="811"/>
      <c r="AY17" s="811"/>
      <c r="AZ17" s="811"/>
      <c r="BA17" s="811"/>
    </row>
    <row r="18" spans="1:53">
      <c r="A18" s="824"/>
      <c r="B18" s="824"/>
      <c r="C18" s="808"/>
      <c r="D18" s="808"/>
      <c r="E18" s="808"/>
      <c r="F18" s="808"/>
      <c r="G18" s="808"/>
      <c r="H18" s="808"/>
      <c r="I18" s="808"/>
      <c r="J18" s="808"/>
      <c r="K18" s="808"/>
      <c r="L18" s="808"/>
      <c r="M18" s="808"/>
      <c r="N18" s="808"/>
      <c r="O18" s="808"/>
      <c r="P18" s="808"/>
      <c r="Q18" s="808"/>
      <c r="R18" s="811"/>
      <c r="S18" s="811"/>
      <c r="T18" s="811"/>
      <c r="U18" s="811"/>
      <c r="V18" s="811"/>
      <c r="W18" s="811"/>
      <c r="X18" s="811"/>
      <c r="Y18" s="811"/>
      <c r="Z18" s="811"/>
      <c r="AA18" s="811"/>
      <c r="AB18" s="811"/>
      <c r="AC18" s="811"/>
      <c r="AD18" s="811"/>
      <c r="AE18" s="811"/>
      <c r="AF18" s="811"/>
      <c r="AG18" s="811"/>
      <c r="AH18" s="811"/>
      <c r="AI18" s="811"/>
      <c r="AJ18" s="811"/>
      <c r="AK18" s="811"/>
      <c r="AL18" s="806"/>
      <c r="AM18" s="807"/>
      <c r="AN18" s="807"/>
      <c r="AO18" s="807"/>
      <c r="AP18" s="808"/>
      <c r="AQ18" s="811"/>
      <c r="AR18" s="811"/>
      <c r="AS18" s="811"/>
      <c r="AT18" s="811"/>
      <c r="AU18" s="811"/>
      <c r="AV18" s="811"/>
      <c r="AW18" s="811"/>
      <c r="AX18" s="811"/>
      <c r="AY18" s="811"/>
      <c r="AZ18" s="811"/>
      <c r="BA18" s="811"/>
    </row>
    <row r="19" spans="1:53">
      <c r="A19" s="807"/>
      <c r="B19" s="807"/>
      <c r="C19" s="808"/>
      <c r="D19" s="808"/>
      <c r="E19" s="808"/>
      <c r="F19" s="808"/>
      <c r="G19" s="808"/>
      <c r="H19" s="808"/>
      <c r="I19" s="808"/>
      <c r="J19" s="808"/>
      <c r="K19" s="808"/>
      <c r="L19" s="808"/>
      <c r="M19" s="808"/>
      <c r="N19" s="808"/>
      <c r="O19" s="808"/>
      <c r="P19" s="808"/>
      <c r="Q19" s="808"/>
      <c r="R19" s="808"/>
      <c r="S19" s="808"/>
      <c r="T19" s="808"/>
      <c r="U19" s="808"/>
      <c r="V19" s="808"/>
      <c r="W19" s="808"/>
      <c r="X19" s="808"/>
      <c r="Y19" s="808"/>
      <c r="Z19" s="808"/>
      <c r="AA19" s="808"/>
      <c r="AB19" s="808"/>
      <c r="AC19" s="808"/>
      <c r="AD19" s="808"/>
      <c r="AE19" s="808"/>
      <c r="AF19" s="808"/>
      <c r="AG19" s="808"/>
      <c r="AH19" s="808"/>
      <c r="AI19" s="808"/>
      <c r="AJ19" s="808"/>
      <c r="AK19" s="808"/>
      <c r="AL19" s="806"/>
      <c r="AM19" s="806"/>
      <c r="AN19" s="806"/>
      <c r="AO19" s="806"/>
      <c r="AP19" s="808"/>
      <c r="AQ19" s="808"/>
      <c r="AR19" s="808"/>
      <c r="AS19" s="808"/>
      <c r="AT19" s="808"/>
      <c r="AU19" s="808"/>
      <c r="AV19" s="808"/>
      <c r="AW19" s="808"/>
      <c r="AX19" s="808"/>
      <c r="AY19" s="808"/>
      <c r="AZ19" s="808"/>
      <c r="BA19" s="808"/>
    </row>
    <row r="20" spans="1:53">
      <c r="A20" s="807"/>
      <c r="B20" s="807"/>
      <c r="C20" s="808"/>
      <c r="D20" s="808"/>
      <c r="E20" s="808"/>
      <c r="F20" s="808"/>
      <c r="G20" s="808"/>
      <c r="H20" s="808"/>
      <c r="I20" s="808"/>
      <c r="J20" s="808"/>
      <c r="K20" s="808"/>
      <c r="L20" s="808"/>
      <c r="M20" s="808"/>
      <c r="N20" s="808"/>
      <c r="O20" s="808"/>
      <c r="P20" s="808"/>
      <c r="Q20" s="808"/>
      <c r="R20" s="808"/>
      <c r="S20" s="808"/>
      <c r="T20" s="808"/>
      <c r="U20" s="808"/>
      <c r="V20" s="808"/>
      <c r="W20" s="808"/>
      <c r="X20" s="808"/>
      <c r="Y20" s="808"/>
      <c r="Z20" s="808"/>
      <c r="AA20" s="808"/>
      <c r="AB20" s="808"/>
      <c r="AC20" s="808"/>
      <c r="AD20" s="808"/>
      <c r="AE20" s="808"/>
      <c r="AF20" s="808"/>
      <c r="AG20" s="808"/>
      <c r="AH20" s="808"/>
      <c r="AI20" s="808"/>
      <c r="AJ20" s="808"/>
      <c r="AK20" s="808"/>
      <c r="AL20" s="806"/>
      <c r="AM20" s="806"/>
      <c r="AN20" s="806"/>
      <c r="AO20" s="806"/>
      <c r="AP20" s="808"/>
      <c r="AQ20" s="808"/>
      <c r="AR20" s="808"/>
      <c r="AS20" s="808"/>
      <c r="AT20" s="808"/>
      <c r="AU20" s="808"/>
      <c r="AV20" s="808"/>
      <c r="AW20" s="808"/>
      <c r="AX20" s="808"/>
      <c r="AY20" s="808"/>
      <c r="AZ20" s="808"/>
      <c r="BA20" s="808"/>
    </row>
    <row r="21" spans="1:53" ht="13.5" customHeight="1">
      <c r="A21" s="807"/>
      <c r="B21" s="807"/>
      <c r="C21" s="808"/>
      <c r="D21" s="808"/>
      <c r="E21" s="808"/>
      <c r="F21" s="808"/>
      <c r="G21" s="808"/>
      <c r="H21" s="808"/>
      <c r="I21" s="808"/>
      <c r="J21" s="808"/>
      <c r="K21" s="808"/>
      <c r="L21" s="808"/>
      <c r="M21" s="808"/>
      <c r="N21" s="808"/>
      <c r="O21" s="808"/>
      <c r="P21" s="808"/>
      <c r="Q21" s="808"/>
      <c r="R21" s="811"/>
      <c r="S21" s="811"/>
      <c r="T21" s="811"/>
      <c r="U21" s="811"/>
      <c r="V21" s="811"/>
      <c r="W21" s="811"/>
      <c r="X21" s="811"/>
      <c r="Y21" s="811"/>
      <c r="Z21" s="811"/>
      <c r="AA21" s="811"/>
      <c r="AB21" s="811"/>
      <c r="AC21" s="811"/>
      <c r="AD21" s="811"/>
      <c r="AE21" s="811"/>
      <c r="AF21" s="811"/>
      <c r="AG21" s="811"/>
      <c r="AH21" s="811"/>
      <c r="AI21" s="811"/>
      <c r="AJ21" s="811"/>
      <c r="AK21" s="811"/>
      <c r="AL21" s="806"/>
      <c r="AM21" s="806"/>
      <c r="AN21" s="806"/>
      <c r="AO21" s="806"/>
      <c r="AP21" s="808"/>
      <c r="AQ21" s="808"/>
      <c r="AR21" s="808"/>
      <c r="AS21" s="808"/>
      <c r="AT21" s="808"/>
      <c r="AU21" s="808"/>
      <c r="AV21" s="808"/>
      <c r="AW21" s="808"/>
      <c r="AX21" s="808"/>
      <c r="AY21" s="808"/>
      <c r="AZ21" s="808"/>
      <c r="BA21" s="808"/>
    </row>
    <row r="22" spans="1:53">
      <c r="A22" s="807"/>
      <c r="B22" s="807"/>
      <c r="C22" s="808"/>
      <c r="D22" s="808"/>
      <c r="E22" s="808"/>
      <c r="F22" s="808"/>
      <c r="G22" s="808"/>
      <c r="H22" s="808"/>
      <c r="I22" s="808"/>
      <c r="J22" s="808"/>
      <c r="K22" s="808"/>
      <c r="L22" s="808"/>
      <c r="M22" s="808"/>
      <c r="N22" s="808"/>
      <c r="O22" s="808"/>
      <c r="P22" s="808"/>
      <c r="Q22" s="808"/>
      <c r="R22" s="808"/>
      <c r="S22" s="808"/>
      <c r="T22" s="808"/>
      <c r="U22" s="808"/>
      <c r="V22" s="808"/>
      <c r="W22" s="808"/>
      <c r="X22" s="808"/>
      <c r="Y22" s="808"/>
      <c r="Z22" s="808"/>
      <c r="AA22" s="808"/>
      <c r="AB22" s="808"/>
      <c r="AC22" s="808"/>
      <c r="AD22" s="808"/>
      <c r="AE22" s="808"/>
      <c r="AF22" s="808"/>
      <c r="AG22" s="808"/>
      <c r="AH22" s="808"/>
      <c r="AI22" s="808"/>
      <c r="AJ22" s="808"/>
      <c r="AK22" s="808"/>
      <c r="AL22" s="806"/>
      <c r="AM22" s="806"/>
      <c r="AN22" s="806"/>
      <c r="AO22" s="806"/>
      <c r="AP22" s="808"/>
      <c r="AQ22" s="808"/>
      <c r="AR22" s="808"/>
      <c r="AS22" s="808"/>
      <c r="AT22" s="808"/>
      <c r="AU22" s="808"/>
      <c r="AV22" s="808"/>
      <c r="AW22" s="808"/>
      <c r="AX22" s="808"/>
      <c r="AY22" s="808"/>
      <c r="AZ22" s="808"/>
      <c r="BA22" s="808"/>
    </row>
    <row r="23" spans="1:53">
      <c r="A23" s="807"/>
      <c r="B23" s="807"/>
      <c r="C23" s="808"/>
      <c r="D23" s="808"/>
      <c r="E23" s="808"/>
      <c r="F23" s="808"/>
      <c r="G23" s="808"/>
      <c r="H23" s="808"/>
      <c r="I23" s="808"/>
      <c r="J23" s="808"/>
      <c r="K23" s="808"/>
      <c r="L23" s="808"/>
      <c r="M23" s="808"/>
      <c r="N23" s="808"/>
      <c r="O23" s="808"/>
      <c r="P23" s="808"/>
      <c r="Q23" s="808"/>
      <c r="R23" s="811"/>
      <c r="S23" s="811"/>
      <c r="T23" s="811"/>
      <c r="U23" s="811"/>
      <c r="V23" s="811"/>
      <c r="W23" s="811"/>
      <c r="X23" s="811"/>
      <c r="Y23" s="811"/>
      <c r="Z23" s="811"/>
      <c r="AA23" s="811"/>
      <c r="AB23" s="811"/>
      <c r="AC23" s="811"/>
      <c r="AD23" s="811"/>
      <c r="AE23" s="811"/>
      <c r="AF23" s="811"/>
      <c r="AG23" s="811"/>
      <c r="AH23" s="811"/>
      <c r="AI23" s="811"/>
      <c r="AJ23" s="811"/>
      <c r="AK23" s="811"/>
      <c r="AL23" s="806"/>
      <c r="AM23" s="806"/>
      <c r="AN23" s="806"/>
      <c r="AO23" s="806"/>
      <c r="AP23" s="808"/>
      <c r="AQ23" s="808"/>
      <c r="AR23" s="808"/>
      <c r="AS23" s="808"/>
      <c r="AT23" s="808"/>
      <c r="AU23" s="808"/>
      <c r="AV23" s="808"/>
      <c r="AW23" s="808"/>
      <c r="AX23" s="808"/>
      <c r="AY23" s="808"/>
      <c r="AZ23" s="808"/>
      <c r="BA23" s="808"/>
    </row>
    <row r="24" spans="1:53">
      <c r="A24" s="807"/>
      <c r="B24" s="807"/>
      <c r="C24" s="808"/>
      <c r="D24" s="808"/>
      <c r="E24" s="808"/>
      <c r="F24" s="808"/>
      <c r="G24" s="808"/>
      <c r="H24" s="808"/>
      <c r="I24" s="808"/>
      <c r="J24" s="808"/>
      <c r="K24" s="808"/>
      <c r="L24" s="808"/>
      <c r="M24" s="808"/>
      <c r="N24" s="808"/>
      <c r="O24" s="808"/>
      <c r="P24" s="808"/>
      <c r="Q24" s="808"/>
      <c r="R24" s="808"/>
      <c r="S24" s="808"/>
      <c r="T24" s="808"/>
      <c r="U24" s="808"/>
      <c r="V24" s="808"/>
      <c r="W24" s="808"/>
      <c r="X24" s="808"/>
      <c r="Y24" s="808"/>
      <c r="Z24" s="808"/>
      <c r="AA24" s="808"/>
      <c r="AB24" s="808"/>
      <c r="AC24" s="808"/>
      <c r="AD24" s="808"/>
      <c r="AE24" s="808"/>
      <c r="AF24" s="808"/>
      <c r="AG24" s="808"/>
      <c r="AH24" s="808"/>
      <c r="AI24" s="808"/>
      <c r="AJ24" s="808"/>
      <c r="AK24" s="808"/>
      <c r="AL24" s="806"/>
      <c r="AM24" s="806"/>
      <c r="AN24" s="806"/>
      <c r="AO24" s="806"/>
      <c r="AP24" s="808"/>
      <c r="AQ24" s="808"/>
      <c r="AR24" s="808"/>
      <c r="AS24" s="808"/>
      <c r="AT24" s="808"/>
      <c r="AU24" s="808"/>
      <c r="AV24" s="808"/>
      <c r="AW24" s="808"/>
      <c r="AX24" s="808"/>
      <c r="AY24" s="808"/>
      <c r="AZ24" s="808"/>
      <c r="BA24" s="808"/>
    </row>
    <row r="25" spans="1:53">
      <c r="A25" s="807"/>
      <c r="B25" s="807"/>
      <c r="C25" s="808"/>
      <c r="D25" s="808"/>
      <c r="E25" s="808"/>
      <c r="F25" s="808"/>
      <c r="G25" s="808"/>
      <c r="H25" s="808"/>
      <c r="I25" s="808"/>
      <c r="J25" s="808"/>
      <c r="K25" s="808"/>
      <c r="L25" s="808"/>
      <c r="M25" s="808"/>
      <c r="N25" s="808"/>
      <c r="O25" s="808"/>
      <c r="P25" s="808"/>
      <c r="Q25" s="808"/>
      <c r="R25" s="808"/>
      <c r="S25" s="808"/>
      <c r="T25" s="808"/>
      <c r="U25" s="808"/>
      <c r="V25" s="808"/>
      <c r="W25" s="808"/>
      <c r="X25" s="808"/>
      <c r="Y25" s="808"/>
      <c r="Z25" s="808"/>
      <c r="AA25" s="808"/>
      <c r="AB25" s="808"/>
      <c r="AC25" s="808"/>
      <c r="AD25" s="808"/>
      <c r="AE25" s="808"/>
      <c r="AF25" s="808"/>
      <c r="AG25" s="808"/>
      <c r="AH25" s="808"/>
      <c r="AI25" s="808"/>
      <c r="AJ25" s="808"/>
      <c r="AK25" s="808"/>
      <c r="AL25" s="806"/>
      <c r="AM25" s="807"/>
      <c r="AN25" s="807"/>
      <c r="AO25" s="807"/>
      <c r="AP25" s="808"/>
      <c r="AQ25" s="808"/>
      <c r="AR25" s="808"/>
      <c r="AS25" s="808"/>
      <c r="AT25" s="808"/>
      <c r="AU25" s="808"/>
      <c r="AV25" s="808"/>
      <c r="AW25" s="808"/>
      <c r="AX25" s="808"/>
      <c r="AY25" s="808"/>
      <c r="AZ25" s="808"/>
      <c r="BA25" s="808"/>
    </row>
    <row r="26" spans="1:53">
      <c r="A26" s="807"/>
      <c r="B26" s="807"/>
      <c r="C26" s="808"/>
      <c r="D26" s="808"/>
      <c r="E26" s="808"/>
      <c r="F26" s="808"/>
      <c r="G26" s="808"/>
      <c r="H26" s="808"/>
      <c r="I26" s="808"/>
      <c r="J26" s="808"/>
      <c r="K26" s="808"/>
      <c r="L26" s="808"/>
      <c r="M26" s="808"/>
      <c r="N26" s="808"/>
      <c r="O26" s="808"/>
      <c r="P26" s="808"/>
      <c r="Q26" s="808"/>
      <c r="R26" s="808"/>
      <c r="S26" s="808"/>
      <c r="T26" s="808"/>
      <c r="U26" s="808"/>
      <c r="V26" s="808"/>
      <c r="W26" s="808"/>
      <c r="X26" s="808"/>
      <c r="Y26" s="808"/>
      <c r="Z26" s="808"/>
      <c r="AA26" s="808"/>
      <c r="AB26" s="808"/>
      <c r="AC26" s="808"/>
      <c r="AD26" s="808"/>
      <c r="AE26" s="808"/>
      <c r="AF26" s="808"/>
      <c r="AG26" s="808"/>
      <c r="AH26" s="808"/>
      <c r="AI26" s="808"/>
      <c r="AJ26" s="808"/>
      <c r="AK26" s="808"/>
      <c r="AL26" s="806"/>
      <c r="AM26" s="807"/>
      <c r="AN26" s="807"/>
      <c r="AO26" s="807"/>
      <c r="AP26" s="808"/>
      <c r="AQ26" s="808"/>
      <c r="AR26" s="808"/>
      <c r="AS26" s="808"/>
      <c r="AT26" s="808"/>
      <c r="AU26" s="808"/>
      <c r="AV26" s="808"/>
      <c r="AW26" s="808"/>
      <c r="AX26" s="808"/>
      <c r="AY26" s="808"/>
      <c r="AZ26" s="808"/>
      <c r="BA26" s="808"/>
    </row>
    <row r="27" spans="1:53">
      <c r="A27" s="807"/>
      <c r="B27" s="807"/>
      <c r="C27" s="808"/>
      <c r="D27" s="808"/>
      <c r="E27" s="808"/>
      <c r="F27" s="808"/>
      <c r="G27" s="808"/>
      <c r="H27" s="808"/>
      <c r="I27" s="808"/>
      <c r="J27" s="808"/>
      <c r="K27" s="808"/>
      <c r="L27" s="808"/>
      <c r="M27" s="808"/>
      <c r="N27" s="808"/>
      <c r="O27" s="808"/>
      <c r="P27" s="808"/>
      <c r="Q27" s="808"/>
      <c r="R27" s="808"/>
      <c r="S27" s="808"/>
      <c r="T27" s="808"/>
      <c r="U27" s="808"/>
      <c r="V27" s="808"/>
      <c r="W27" s="808"/>
      <c r="X27" s="808"/>
      <c r="Y27" s="808"/>
      <c r="Z27" s="808"/>
      <c r="AA27" s="808"/>
      <c r="AB27" s="808"/>
      <c r="AC27" s="808"/>
      <c r="AD27" s="808"/>
      <c r="AE27" s="808"/>
      <c r="AF27" s="808"/>
      <c r="AG27" s="808"/>
      <c r="AH27" s="808"/>
      <c r="AI27" s="808"/>
      <c r="AJ27" s="808"/>
      <c r="AK27" s="808"/>
      <c r="AL27" s="806"/>
      <c r="AM27" s="807"/>
      <c r="AN27" s="807"/>
      <c r="AO27" s="807"/>
      <c r="AP27" s="808"/>
      <c r="AQ27" s="808"/>
      <c r="AR27" s="808"/>
      <c r="AS27" s="808"/>
      <c r="AT27" s="808"/>
      <c r="AU27" s="808"/>
      <c r="AV27" s="808"/>
      <c r="AW27" s="808"/>
      <c r="AX27" s="808"/>
      <c r="AY27" s="808"/>
      <c r="AZ27" s="808"/>
      <c r="BA27" s="808"/>
    </row>
    <row r="28" spans="1:53">
      <c r="A28" s="807"/>
      <c r="B28" s="807"/>
      <c r="C28" s="808"/>
      <c r="D28" s="808"/>
      <c r="E28" s="808"/>
      <c r="F28" s="808"/>
      <c r="G28" s="808"/>
      <c r="H28" s="808"/>
      <c r="I28" s="808"/>
      <c r="J28" s="808"/>
      <c r="K28" s="808"/>
      <c r="L28" s="808"/>
      <c r="M28" s="808"/>
      <c r="N28" s="808"/>
      <c r="O28" s="808"/>
      <c r="P28" s="808"/>
      <c r="Q28" s="808"/>
      <c r="R28" s="808"/>
      <c r="S28" s="808"/>
      <c r="T28" s="808"/>
      <c r="U28" s="808"/>
      <c r="V28" s="808"/>
      <c r="W28" s="808"/>
      <c r="X28" s="808"/>
      <c r="Y28" s="808"/>
      <c r="Z28" s="808"/>
      <c r="AA28" s="808"/>
      <c r="AB28" s="808"/>
      <c r="AC28" s="808"/>
      <c r="AD28" s="808"/>
      <c r="AE28" s="808"/>
      <c r="AF28" s="808"/>
      <c r="AG28" s="808"/>
      <c r="AH28" s="808"/>
      <c r="AI28" s="808"/>
      <c r="AJ28" s="808"/>
      <c r="AK28" s="808"/>
      <c r="AL28" s="806"/>
      <c r="AM28" s="807"/>
      <c r="AN28" s="807"/>
      <c r="AO28" s="807"/>
      <c r="AP28" s="808"/>
      <c r="AQ28" s="808"/>
      <c r="AR28" s="808"/>
      <c r="AS28" s="808"/>
      <c r="AT28" s="808"/>
      <c r="AU28" s="808"/>
      <c r="AV28" s="808"/>
      <c r="AW28" s="808"/>
      <c r="AX28" s="808"/>
      <c r="AY28" s="808"/>
      <c r="AZ28" s="808"/>
      <c r="BA28" s="808"/>
    </row>
    <row r="29" spans="1:53">
      <c r="A29" s="807"/>
      <c r="B29" s="807"/>
      <c r="C29" s="808"/>
      <c r="D29" s="808"/>
      <c r="E29" s="808"/>
      <c r="F29" s="808"/>
      <c r="G29" s="808"/>
      <c r="H29" s="808"/>
      <c r="I29" s="808"/>
      <c r="J29" s="808"/>
      <c r="K29" s="808"/>
      <c r="L29" s="808"/>
      <c r="M29" s="808"/>
      <c r="N29" s="808"/>
      <c r="O29" s="808"/>
      <c r="P29" s="808"/>
      <c r="Q29" s="808"/>
      <c r="R29" s="808"/>
      <c r="S29" s="808"/>
      <c r="T29" s="808"/>
      <c r="U29" s="808"/>
      <c r="V29" s="808"/>
      <c r="W29" s="808"/>
      <c r="X29" s="808"/>
      <c r="Y29" s="808"/>
      <c r="Z29" s="808"/>
      <c r="AA29" s="808"/>
      <c r="AB29" s="808"/>
      <c r="AC29" s="808"/>
      <c r="AD29" s="808"/>
      <c r="AE29" s="808"/>
      <c r="AF29" s="808"/>
      <c r="AG29" s="808"/>
      <c r="AH29" s="808"/>
      <c r="AI29" s="808"/>
      <c r="AJ29" s="808"/>
      <c r="AK29" s="808"/>
      <c r="AL29" s="806"/>
      <c r="AM29" s="807"/>
      <c r="AN29" s="807"/>
      <c r="AO29" s="807"/>
      <c r="AP29" s="808"/>
      <c r="AQ29" s="808"/>
      <c r="AR29" s="808"/>
      <c r="AS29" s="808"/>
      <c r="AT29" s="808"/>
      <c r="AU29" s="808"/>
      <c r="AV29" s="808"/>
      <c r="AW29" s="808"/>
      <c r="AX29" s="808"/>
      <c r="AY29" s="808"/>
      <c r="AZ29" s="808"/>
      <c r="BA29" s="808"/>
    </row>
    <row r="30" spans="1:53">
      <c r="A30" s="807"/>
      <c r="B30" s="807"/>
      <c r="C30" s="808"/>
      <c r="D30" s="808"/>
      <c r="E30" s="808"/>
      <c r="F30" s="808"/>
      <c r="G30" s="808"/>
      <c r="H30" s="808"/>
      <c r="I30" s="808"/>
      <c r="J30" s="808"/>
      <c r="K30" s="808"/>
      <c r="L30" s="808"/>
      <c r="M30" s="808"/>
      <c r="N30" s="808"/>
      <c r="O30" s="808"/>
      <c r="P30" s="808"/>
      <c r="Q30" s="808"/>
      <c r="R30" s="808"/>
      <c r="S30" s="808"/>
      <c r="T30" s="808"/>
      <c r="U30" s="808"/>
      <c r="V30" s="808"/>
      <c r="W30" s="808"/>
      <c r="X30" s="808"/>
      <c r="Y30" s="808"/>
      <c r="Z30" s="808"/>
      <c r="AA30" s="808"/>
      <c r="AB30" s="808"/>
      <c r="AC30" s="808"/>
      <c r="AD30" s="808"/>
      <c r="AE30" s="808"/>
      <c r="AF30" s="808"/>
      <c r="AG30" s="808"/>
      <c r="AH30" s="808"/>
      <c r="AI30" s="808"/>
      <c r="AJ30" s="808"/>
      <c r="AK30" s="808"/>
      <c r="AL30" s="807"/>
      <c r="AM30" s="807"/>
      <c r="AN30" s="807"/>
      <c r="AO30" s="807"/>
      <c r="AP30" s="808"/>
      <c r="AQ30" s="808"/>
      <c r="AR30" s="808"/>
      <c r="AS30" s="808"/>
      <c r="AT30" s="808"/>
      <c r="AU30" s="808"/>
      <c r="AV30" s="808"/>
      <c r="AW30" s="808"/>
      <c r="AX30" s="808"/>
      <c r="AY30" s="808"/>
      <c r="AZ30" s="808"/>
      <c r="BA30" s="808"/>
    </row>
    <row r="31" spans="1:53">
      <c r="A31" s="807"/>
      <c r="B31" s="807"/>
      <c r="C31" s="808"/>
      <c r="D31" s="808"/>
      <c r="E31" s="808"/>
      <c r="F31" s="808"/>
      <c r="G31" s="808"/>
      <c r="H31" s="808"/>
      <c r="I31" s="808"/>
      <c r="J31" s="808"/>
      <c r="K31" s="808"/>
      <c r="L31" s="808"/>
      <c r="M31" s="808"/>
      <c r="N31" s="808"/>
      <c r="O31" s="808"/>
      <c r="P31" s="808"/>
      <c r="Q31" s="808"/>
      <c r="R31" s="808"/>
      <c r="S31" s="808"/>
      <c r="T31" s="808"/>
      <c r="U31" s="808"/>
      <c r="V31" s="808"/>
      <c r="W31" s="808"/>
      <c r="X31" s="808"/>
      <c r="Y31" s="808"/>
      <c r="Z31" s="808"/>
      <c r="AA31" s="808"/>
      <c r="AB31" s="808"/>
      <c r="AC31" s="808"/>
      <c r="AD31" s="808"/>
      <c r="AE31" s="808"/>
      <c r="AF31" s="808"/>
      <c r="AG31" s="808"/>
      <c r="AH31" s="808"/>
      <c r="AI31" s="808"/>
      <c r="AJ31" s="808"/>
      <c r="AK31" s="808"/>
      <c r="AL31" s="807"/>
      <c r="AM31" s="807"/>
      <c r="AN31" s="807"/>
      <c r="AO31" s="807"/>
      <c r="AP31" s="808"/>
      <c r="AQ31" s="808"/>
      <c r="AR31" s="808"/>
      <c r="AS31" s="808"/>
      <c r="AT31" s="808"/>
      <c r="AU31" s="808"/>
      <c r="AV31" s="808"/>
      <c r="AW31" s="808"/>
      <c r="AX31" s="808"/>
      <c r="AY31" s="808"/>
      <c r="AZ31" s="808"/>
      <c r="BA31" s="808"/>
    </row>
    <row r="32" spans="1:53">
      <c r="A32" s="807"/>
      <c r="B32" s="807"/>
      <c r="C32" s="808"/>
      <c r="D32" s="808"/>
      <c r="E32" s="808"/>
      <c r="F32" s="808"/>
      <c r="G32" s="808"/>
      <c r="H32" s="808"/>
      <c r="I32" s="808"/>
      <c r="J32" s="808"/>
      <c r="K32" s="808"/>
      <c r="L32" s="808"/>
      <c r="M32" s="808"/>
      <c r="N32" s="808"/>
      <c r="O32" s="808"/>
      <c r="P32" s="808"/>
      <c r="Q32" s="808"/>
      <c r="R32" s="808"/>
      <c r="S32" s="808"/>
      <c r="T32" s="808"/>
      <c r="U32" s="808"/>
      <c r="V32" s="808"/>
      <c r="W32" s="808"/>
      <c r="X32" s="808"/>
      <c r="Y32" s="808"/>
      <c r="Z32" s="808"/>
      <c r="AA32" s="808"/>
      <c r="AB32" s="808"/>
      <c r="AC32" s="808"/>
      <c r="AD32" s="808"/>
      <c r="AE32" s="808"/>
      <c r="AF32" s="808"/>
      <c r="AG32" s="808"/>
      <c r="AH32" s="808"/>
      <c r="AI32" s="808"/>
      <c r="AJ32" s="808"/>
      <c r="AK32" s="808"/>
      <c r="AL32" s="807"/>
      <c r="AM32" s="807"/>
      <c r="AN32" s="807"/>
      <c r="AO32" s="807"/>
      <c r="AP32" s="808"/>
      <c r="AQ32" s="808"/>
      <c r="AR32" s="808"/>
      <c r="AS32" s="808"/>
      <c r="AT32" s="808"/>
      <c r="AU32" s="808"/>
      <c r="AV32" s="808"/>
      <c r="AW32" s="808"/>
      <c r="AX32" s="808"/>
      <c r="AY32" s="808"/>
      <c r="AZ32" s="808"/>
      <c r="BA32" s="808"/>
    </row>
    <row r="33" spans="1:53">
      <c r="A33" s="807"/>
      <c r="B33" s="807"/>
      <c r="C33" s="808"/>
      <c r="D33" s="808"/>
      <c r="E33" s="808"/>
      <c r="F33" s="808"/>
      <c r="G33" s="808"/>
      <c r="H33" s="808"/>
      <c r="I33" s="808"/>
      <c r="J33" s="808"/>
      <c r="K33" s="808"/>
      <c r="L33" s="808"/>
      <c r="M33" s="808"/>
      <c r="N33" s="808"/>
      <c r="O33" s="808"/>
      <c r="P33" s="808"/>
      <c r="Q33" s="808"/>
      <c r="R33" s="808"/>
      <c r="S33" s="808"/>
      <c r="T33" s="808"/>
      <c r="U33" s="808"/>
      <c r="V33" s="808"/>
      <c r="W33" s="808"/>
      <c r="X33" s="808"/>
      <c r="Y33" s="808"/>
      <c r="Z33" s="808"/>
      <c r="AA33" s="808"/>
      <c r="AB33" s="808"/>
      <c r="AC33" s="808"/>
      <c r="AD33" s="808"/>
      <c r="AE33" s="808"/>
      <c r="AF33" s="808"/>
      <c r="AG33" s="808"/>
      <c r="AH33" s="808"/>
      <c r="AI33" s="808"/>
      <c r="AJ33" s="808"/>
      <c r="AK33" s="808"/>
      <c r="AL33" s="807"/>
      <c r="AM33" s="807"/>
      <c r="AN33" s="807"/>
      <c r="AO33" s="807"/>
      <c r="AP33" s="808"/>
      <c r="AQ33" s="808"/>
      <c r="AR33" s="808"/>
      <c r="AS33" s="808"/>
      <c r="AT33" s="808"/>
      <c r="AU33" s="808"/>
      <c r="AV33" s="808"/>
      <c r="AW33" s="808"/>
      <c r="AX33" s="808"/>
      <c r="AY33" s="808"/>
      <c r="AZ33" s="808"/>
      <c r="BA33" s="808"/>
    </row>
    <row r="34" spans="1:53">
      <c r="A34" s="807"/>
      <c r="B34" s="807"/>
      <c r="C34" s="808"/>
      <c r="D34" s="808"/>
      <c r="E34" s="808"/>
      <c r="F34" s="808"/>
      <c r="G34" s="808"/>
      <c r="H34" s="808"/>
      <c r="I34" s="808"/>
      <c r="J34" s="808"/>
      <c r="K34" s="808"/>
      <c r="L34" s="808"/>
      <c r="M34" s="808"/>
      <c r="N34" s="808"/>
      <c r="O34" s="808"/>
      <c r="P34" s="808"/>
      <c r="Q34" s="808"/>
      <c r="R34" s="808"/>
      <c r="S34" s="808"/>
      <c r="T34" s="808"/>
      <c r="U34" s="808"/>
      <c r="V34" s="808"/>
      <c r="W34" s="808"/>
      <c r="X34" s="808"/>
      <c r="Y34" s="808"/>
      <c r="Z34" s="808"/>
      <c r="AA34" s="808"/>
      <c r="AB34" s="808"/>
      <c r="AC34" s="808"/>
      <c r="AD34" s="808"/>
      <c r="AE34" s="808"/>
      <c r="AF34" s="808"/>
      <c r="AG34" s="808"/>
      <c r="AH34" s="808"/>
      <c r="AI34" s="808"/>
      <c r="AJ34" s="808"/>
      <c r="AK34" s="808"/>
      <c r="AL34" s="807"/>
      <c r="AM34" s="807"/>
      <c r="AN34" s="807"/>
      <c r="AO34" s="807"/>
      <c r="AP34" s="808"/>
      <c r="AQ34" s="808"/>
      <c r="AR34" s="808"/>
      <c r="AS34" s="808"/>
      <c r="AT34" s="808"/>
      <c r="AU34" s="808"/>
      <c r="AV34" s="808"/>
      <c r="AW34" s="808"/>
      <c r="AX34" s="808"/>
      <c r="AY34" s="808"/>
      <c r="AZ34" s="808"/>
      <c r="BA34" s="808"/>
    </row>
  </sheetData>
  <mergeCells count="229">
    <mergeCell ref="AK1:AM1"/>
    <mergeCell ref="AT3:AW3"/>
    <mergeCell ref="AN1:AP1"/>
    <mergeCell ref="AQ1:AS1"/>
    <mergeCell ref="AT1:AW1"/>
    <mergeCell ref="A6:B6"/>
    <mergeCell ref="C6:P6"/>
    <mergeCell ref="Q6:AK6"/>
    <mergeCell ref="AL6:AO6"/>
    <mergeCell ref="AX1:BA1"/>
    <mergeCell ref="A2:H2"/>
    <mergeCell ref="I2:L2"/>
    <mergeCell ref="M2:W2"/>
    <mergeCell ref="AK2:AM2"/>
    <mergeCell ref="AN2:AP2"/>
    <mergeCell ref="AP6:AR6"/>
    <mergeCell ref="AS6:AU6"/>
    <mergeCell ref="AT2:AW2"/>
    <mergeCell ref="AX2:BA3"/>
    <mergeCell ref="A3:H3"/>
    <mergeCell ref="I3:L3"/>
    <mergeCell ref="M3:W3"/>
    <mergeCell ref="X3:Z3"/>
    <mergeCell ref="AA3:AP3"/>
    <mergeCell ref="AQ3:AS3"/>
    <mergeCell ref="AV6:BA6"/>
    <mergeCell ref="AQ2:AS2"/>
    <mergeCell ref="A1:H1"/>
    <mergeCell ref="I1:L1"/>
    <mergeCell ref="A5:BA5"/>
    <mergeCell ref="M1:W1"/>
    <mergeCell ref="X1:Z2"/>
    <mergeCell ref="AA1:AJ2"/>
    <mergeCell ref="A8:B8"/>
    <mergeCell ref="A14:B14"/>
    <mergeCell ref="A34:B34"/>
    <mergeCell ref="A20:B20"/>
    <mergeCell ref="A21:B21"/>
    <mergeCell ref="A22:B22"/>
    <mergeCell ref="A29:B29"/>
    <mergeCell ref="A30:B30"/>
    <mergeCell ref="A31:B31"/>
    <mergeCell ref="A27:B27"/>
    <mergeCell ref="A28:B28"/>
    <mergeCell ref="A32:B32"/>
    <mergeCell ref="A33:B33"/>
    <mergeCell ref="A15:B15"/>
    <mergeCell ref="A16:B16"/>
    <mergeCell ref="A17:B17"/>
    <mergeCell ref="A18:B18"/>
    <mergeCell ref="A19:B19"/>
    <mergeCell ref="A23:B23"/>
    <mergeCell ref="A24:B24"/>
    <mergeCell ref="A25:B25"/>
    <mergeCell ref="A26:B26"/>
    <mergeCell ref="A9:B9"/>
    <mergeCell ref="A10:B10"/>
    <mergeCell ref="A11:B11"/>
    <mergeCell ref="A12:B12"/>
    <mergeCell ref="A13:B13"/>
    <mergeCell ref="A7:B7"/>
    <mergeCell ref="C33:P33"/>
    <mergeCell ref="C27:P27"/>
    <mergeCell ref="C28:P28"/>
    <mergeCell ref="C24:P24"/>
    <mergeCell ref="C25:P25"/>
    <mergeCell ref="C26:P26"/>
    <mergeCell ref="C29:P29"/>
    <mergeCell ref="C22:P22"/>
    <mergeCell ref="C23:P23"/>
    <mergeCell ref="C7:P7"/>
    <mergeCell ref="C8:P8"/>
    <mergeCell ref="C9:P9"/>
    <mergeCell ref="C10:P10"/>
    <mergeCell ref="C18:P18"/>
    <mergeCell ref="C19:P19"/>
    <mergeCell ref="C20:P20"/>
    <mergeCell ref="C21:P21"/>
    <mergeCell ref="C11:P11"/>
    <mergeCell ref="C12:P12"/>
    <mergeCell ref="C13:P13"/>
    <mergeCell ref="C34:P34"/>
    <mergeCell ref="Q7:AK7"/>
    <mergeCell ref="Q8:AK8"/>
    <mergeCell ref="Q9:AK9"/>
    <mergeCell ref="Q10:AK10"/>
    <mergeCell ref="Q11:AK11"/>
    <mergeCell ref="Q12:AK12"/>
    <mergeCell ref="Q19:AK19"/>
    <mergeCell ref="Q20:AK20"/>
    <mergeCell ref="Q21:AK21"/>
    <mergeCell ref="Q13:AK13"/>
    <mergeCell ref="Q34:AK34"/>
    <mergeCell ref="Q30:AK30"/>
    <mergeCell ref="Q31:AK31"/>
    <mergeCell ref="Q32:AK32"/>
    <mergeCell ref="Q33:AK33"/>
    <mergeCell ref="Q23:AK23"/>
    <mergeCell ref="C17:P17"/>
    <mergeCell ref="C14:P14"/>
    <mergeCell ref="C15:P15"/>
    <mergeCell ref="C16:P16"/>
    <mergeCell ref="C30:P30"/>
    <mergeCell ref="C31:P31"/>
    <mergeCell ref="C32:P32"/>
    <mergeCell ref="AL29:AO29"/>
    <mergeCell ref="AL27:AO27"/>
    <mergeCell ref="AL28:AO28"/>
    <mergeCell ref="Q29:AK29"/>
    <mergeCell ref="Q27:AK27"/>
    <mergeCell ref="Q28:AK28"/>
    <mergeCell ref="AL7:AO7"/>
    <mergeCell ref="AL8:AO8"/>
    <mergeCell ref="AL17:AO17"/>
    <mergeCell ref="AL18:AO18"/>
    <mergeCell ref="AL19:AO19"/>
    <mergeCell ref="AL9:AO9"/>
    <mergeCell ref="AL10:AO10"/>
    <mergeCell ref="AL11:AO11"/>
    <mergeCell ref="AL12:AO12"/>
    <mergeCell ref="AL13:AO13"/>
    <mergeCell ref="AL21:AO21"/>
    <mergeCell ref="Q17:AK17"/>
    <mergeCell ref="Q18:AK18"/>
    <mergeCell ref="Q22:AK22"/>
    <mergeCell ref="Q14:AK14"/>
    <mergeCell ref="AL14:AO14"/>
    <mergeCell ref="Q15:AK15"/>
    <mergeCell ref="AL15:AO15"/>
    <mergeCell ref="AL32:AO32"/>
    <mergeCell ref="AL33:AO33"/>
    <mergeCell ref="AL34:AO34"/>
    <mergeCell ref="AP7:AR7"/>
    <mergeCell ref="AP8:AR8"/>
    <mergeCell ref="AP9:AR9"/>
    <mergeCell ref="AP10:AR10"/>
    <mergeCell ref="AP18:AR18"/>
    <mergeCell ref="AP19:AR19"/>
    <mergeCell ref="AP20:AR20"/>
    <mergeCell ref="AP21:AR21"/>
    <mergeCell ref="AP11:AR11"/>
    <mergeCell ref="AP12:AR12"/>
    <mergeCell ref="AP13:AR13"/>
    <mergeCell ref="AP17:AR17"/>
    <mergeCell ref="AP22:AR22"/>
    <mergeCell ref="AP23:AR23"/>
    <mergeCell ref="AL30:AO30"/>
    <mergeCell ref="AL31:AO31"/>
    <mergeCell ref="AL20:AO20"/>
    <mergeCell ref="AP26:AR26"/>
    <mergeCell ref="AP29:AR29"/>
    <mergeCell ref="AP30:AR30"/>
    <mergeCell ref="AP33:AR33"/>
    <mergeCell ref="AS34:AU34"/>
    <mergeCell ref="AP34:AR34"/>
    <mergeCell ref="AS7:AU7"/>
    <mergeCell ref="AS8:AU8"/>
    <mergeCell ref="AS9:AU9"/>
    <mergeCell ref="AS10:AU10"/>
    <mergeCell ref="AS11:AU11"/>
    <mergeCell ref="AS12:AU12"/>
    <mergeCell ref="AS19:AU19"/>
    <mergeCell ref="AS20:AU20"/>
    <mergeCell ref="AS21:AU21"/>
    <mergeCell ref="AS13:AU13"/>
    <mergeCell ref="AS17:AU17"/>
    <mergeCell ref="AS18:AU18"/>
    <mergeCell ref="AS22:AU22"/>
    <mergeCell ref="AS23:AU23"/>
    <mergeCell ref="AS24:AU24"/>
    <mergeCell ref="AS29:AU29"/>
    <mergeCell ref="AS27:AU27"/>
    <mergeCell ref="AS32:AU32"/>
    <mergeCell ref="AS33:AU33"/>
    <mergeCell ref="AP24:AR24"/>
    <mergeCell ref="AP25:AR25"/>
    <mergeCell ref="AP32:AR32"/>
    <mergeCell ref="AV7:BA7"/>
    <mergeCell ref="AV8:BA8"/>
    <mergeCell ref="AV9:BA9"/>
    <mergeCell ref="AV10:BA10"/>
    <mergeCell ref="AV11:BA11"/>
    <mergeCell ref="AV12:BA12"/>
    <mergeCell ref="AV34:BA34"/>
    <mergeCell ref="AV24:BA24"/>
    <mergeCell ref="AV25:BA25"/>
    <mergeCell ref="AV26:BA26"/>
    <mergeCell ref="AV29:BA29"/>
    <mergeCell ref="AV30:BA30"/>
    <mergeCell ref="AV31:BA31"/>
    <mergeCell ref="AV27:BA27"/>
    <mergeCell ref="AV28:BA28"/>
    <mergeCell ref="AV32:BA32"/>
    <mergeCell ref="AV33:BA33"/>
    <mergeCell ref="AV13:BA13"/>
    <mergeCell ref="AV22:BA22"/>
    <mergeCell ref="AV23:BA23"/>
    <mergeCell ref="AV17:BA17"/>
    <mergeCell ref="AV18:BA18"/>
    <mergeCell ref="AV19:BA19"/>
    <mergeCell ref="AV16:BA16"/>
    <mergeCell ref="AV20:BA20"/>
    <mergeCell ref="AV21:BA21"/>
    <mergeCell ref="AV14:BA14"/>
    <mergeCell ref="AV15:BA15"/>
    <mergeCell ref="AS28:AU28"/>
    <mergeCell ref="AS30:AU30"/>
    <mergeCell ref="AS31:AU31"/>
    <mergeCell ref="AS25:AU25"/>
    <mergeCell ref="AP31:AR31"/>
    <mergeCell ref="AP27:AR27"/>
    <mergeCell ref="AP28:AR28"/>
    <mergeCell ref="AS16:AU16"/>
    <mergeCell ref="AP15:AR15"/>
    <mergeCell ref="AS26:AU26"/>
    <mergeCell ref="AS14:AU14"/>
    <mergeCell ref="AS15:AU15"/>
    <mergeCell ref="AL22:AO22"/>
    <mergeCell ref="AL23:AO23"/>
    <mergeCell ref="AL24:AO24"/>
    <mergeCell ref="AL25:AO25"/>
    <mergeCell ref="AL26:AO26"/>
    <mergeCell ref="Q24:AK24"/>
    <mergeCell ref="Q25:AK25"/>
    <mergeCell ref="Q26:AK26"/>
    <mergeCell ref="AP14:AR14"/>
    <mergeCell ref="Q16:AK16"/>
    <mergeCell ref="AL16:AO16"/>
    <mergeCell ref="AP16:AR16"/>
  </mergeCells>
  <phoneticPr fontId="48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>
    <oddFooter>&amp;L&amp;"-,太字"&amp;12©2016 Amazing-Activity Corporation All Rights Reserved&amp;C- &amp;P &amp; -&amp;R&amp;F_&amp;A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B1A54-81B2-48BE-B1DB-4F5E02549265}">
  <dimension ref="A1:DX214"/>
  <sheetViews>
    <sheetView showGridLines="0" topLeftCell="A5" zoomScale="90" zoomScaleNormal="90" zoomScaleSheetLayoutView="100" workbookViewId="0">
      <pane ySplit="2" topLeftCell="A55" activePane="bottomLeft" state="frozen"/>
      <selection activeCell="A5" sqref="A5"/>
      <selection pane="bottomLeft" activeCell="AA91" sqref="AA91"/>
    </sheetView>
  </sheetViews>
  <sheetFormatPr defaultColWidth="9" defaultRowHeight="13.5"/>
  <cols>
    <col min="1" max="18" width="2.625" style="35" customWidth="1"/>
    <col min="19" max="22" width="2.625" style="25" customWidth="1"/>
    <col min="23" max="24" width="2.625" style="35" customWidth="1"/>
    <col min="25" max="26" width="2.625" style="25" customWidth="1"/>
    <col min="27" max="29" width="2.625" style="35" customWidth="1"/>
    <col min="30" max="55" width="2.625" style="25" customWidth="1"/>
    <col min="56" max="56" width="2.625" style="81" customWidth="1"/>
    <col min="57" max="128" width="2.625" style="709" customWidth="1"/>
    <col min="129" max="16384" width="9" style="35"/>
  </cols>
  <sheetData>
    <row r="1" spans="1:72" ht="12" customHeight="1">
      <c r="A1" s="846" t="s">
        <v>4</v>
      </c>
      <c r="B1" s="846"/>
      <c r="C1" s="846"/>
      <c r="D1" s="846"/>
      <c r="E1" s="846"/>
      <c r="F1" s="846"/>
      <c r="G1" s="846"/>
      <c r="H1" s="846"/>
      <c r="I1" s="829" t="s">
        <v>5</v>
      </c>
      <c r="J1" s="829"/>
      <c r="K1" s="829"/>
      <c r="L1" s="829"/>
      <c r="M1" s="844" t="str">
        <f>変更来歴!M1</f>
        <v>ヒロセ電機株式会社</v>
      </c>
      <c r="N1" s="844"/>
      <c r="O1" s="844"/>
      <c r="P1" s="844"/>
      <c r="Q1" s="844"/>
      <c r="R1" s="844"/>
      <c r="S1" s="844"/>
      <c r="T1" s="844"/>
      <c r="U1" s="844"/>
      <c r="V1" s="844"/>
      <c r="W1" s="844"/>
      <c r="X1" s="829" t="s">
        <v>7</v>
      </c>
      <c r="Y1" s="829"/>
      <c r="Z1" s="829"/>
      <c r="AA1" s="848" t="str">
        <f>変更来歴!AA1</f>
        <v>契約書DB</v>
      </c>
      <c r="AB1" s="848"/>
      <c r="AC1" s="848"/>
      <c r="AD1" s="848"/>
      <c r="AE1" s="848"/>
      <c r="AF1" s="848"/>
      <c r="AG1" s="848"/>
      <c r="AH1" s="848"/>
      <c r="AI1" s="848"/>
      <c r="AJ1" s="848"/>
      <c r="AK1" s="833" t="s">
        <v>8</v>
      </c>
      <c r="AL1" s="833"/>
      <c r="AM1" s="833"/>
      <c r="AN1" s="834" t="str">
        <f>変更来歴!AP7</f>
        <v>古竹</v>
      </c>
      <c r="AO1" s="834"/>
      <c r="AP1" s="834"/>
      <c r="AQ1" s="834"/>
      <c r="AR1" s="834"/>
      <c r="AS1" s="833" t="s">
        <v>9</v>
      </c>
      <c r="AT1" s="833"/>
      <c r="AU1" s="833"/>
      <c r="AV1" s="836">
        <f>変更来歴!AL7</f>
        <v>46125</v>
      </c>
      <c r="AW1" s="849"/>
      <c r="AX1" s="849"/>
      <c r="AY1" s="849"/>
      <c r="AZ1" s="825" t="s">
        <v>10</v>
      </c>
      <c r="BA1" s="826"/>
      <c r="BB1" s="826"/>
      <c r="BC1" s="827"/>
    </row>
    <row r="2" spans="1:72">
      <c r="A2" s="828" t="s">
        <v>16</v>
      </c>
      <c r="B2" s="828"/>
      <c r="C2" s="828"/>
      <c r="D2" s="828"/>
      <c r="E2" s="828"/>
      <c r="F2" s="828"/>
      <c r="G2" s="828"/>
      <c r="H2" s="828"/>
      <c r="I2" s="829" t="s">
        <v>11</v>
      </c>
      <c r="J2" s="829"/>
      <c r="K2" s="829"/>
      <c r="L2" s="829"/>
      <c r="M2" s="862" t="str">
        <f>変更来歴!M2</f>
        <v>　</v>
      </c>
      <c r="N2" s="862"/>
      <c r="O2" s="862"/>
      <c r="P2" s="862"/>
      <c r="Q2" s="862"/>
      <c r="R2" s="862"/>
      <c r="S2" s="862"/>
      <c r="T2" s="862"/>
      <c r="U2" s="862"/>
      <c r="V2" s="862"/>
      <c r="W2" s="862"/>
      <c r="X2" s="829"/>
      <c r="Y2" s="829"/>
      <c r="Z2" s="829"/>
      <c r="AA2" s="848"/>
      <c r="AB2" s="848"/>
      <c r="AC2" s="848"/>
      <c r="AD2" s="848"/>
      <c r="AE2" s="848"/>
      <c r="AF2" s="848"/>
      <c r="AG2" s="848"/>
      <c r="AH2" s="848"/>
      <c r="AI2" s="848"/>
      <c r="AJ2" s="848"/>
      <c r="AK2" s="833" t="s">
        <v>12</v>
      </c>
      <c r="AL2" s="833"/>
      <c r="AM2" s="833"/>
      <c r="AN2" s="834" t="str">
        <f ca="1">INDIRECT("変更来歴!AP" &amp; COUNTA(変更来歴!AP7:'変更来歴'!AP39) + 6)</f>
        <v>古竹</v>
      </c>
      <c r="AO2" s="834"/>
      <c r="AP2" s="834"/>
      <c r="AQ2" s="834"/>
      <c r="AR2" s="834"/>
      <c r="AS2" s="833" t="s">
        <v>13</v>
      </c>
      <c r="AT2" s="833"/>
      <c r="AU2" s="833"/>
      <c r="AV2" s="836">
        <f ca="1">INDIRECT("変更来歴!AL" &amp; COUNTA(変更来歴!AL7:'変更来歴'!AL39) + 6)</f>
        <v>46134</v>
      </c>
      <c r="AW2" s="849"/>
      <c r="AX2" s="849"/>
      <c r="AY2" s="849"/>
      <c r="AZ2" s="837" t="str">
        <f>変更来歴!AX2</f>
        <v>IMWF-53</v>
      </c>
      <c r="BA2" s="838"/>
      <c r="BB2" s="838"/>
      <c r="BC2" s="839"/>
    </row>
    <row r="3" spans="1:72" ht="12" customHeight="1">
      <c r="A3" s="843" t="str">
        <f>変更来歴!A3</f>
        <v>画面設計書</v>
      </c>
      <c r="B3" s="843"/>
      <c r="C3" s="843"/>
      <c r="D3" s="843"/>
      <c r="E3" s="843"/>
      <c r="F3" s="843"/>
      <c r="G3" s="843"/>
      <c r="H3" s="843"/>
      <c r="I3" s="829" t="s">
        <v>14</v>
      </c>
      <c r="J3" s="829"/>
      <c r="K3" s="829"/>
      <c r="L3" s="829"/>
      <c r="M3" s="844" t="str">
        <f ca="1">RIGHT(CELL("filename",A1),LEN(CELL("filename",A1))-FIND("]",CELL("filename",A1)))</f>
        <v>化学物質データ画面（日本語表記）</v>
      </c>
      <c r="N3" s="844"/>
      <c r="O3" s="844"/>
      <c r="P3" s="844"/>
      <c r="Q3" s="844"/>
      <c r="R3" s="844"/>
      <c r="S3" s="844"/>
      <c r="T3" s="844"/>
      <c r="U3" s="844"/>
      <c r="V3" s="844"/>
      <c r="W3" s="844"/>
      <c r="X3" s="829" t="s">
        <v>27</v>
      </c>
      <c r="Y3" s="829"/>
      <c r="Z3" s="829"/>
      <c r="AA3" s="845" t="str">
        <f ca="1">MID(CELL("filename"),FIND("]",CELL("filename"))+1,LEN(CELL("filename"))) &amp; "画面"</f>
        <v>化学物質データ画面(日英併記)画面</v>
      </c>
      <c r="AB3" s="845"/>
      <c r="AC3" s="845"/>
      <c r="AD3" s="845"/>
      <c r="AE3" s="845"/>
      <c r="AF3" s="845"/>
      <c r="AG3" s="845"/>
      <c r="AH3" s="845"/>
      <c r="AI3" s="845"/>
      <c r="AJ3" s="845"/>
      <c r="AK3" s="845"/>
      <c r="AL3" s="845"/>
      <c r="AM3" s="845"/>
      <c r="AN3" s="845"/>
      <c r="AO3" s="845"/>
      <c r="AP3" s="845"/>
      <c r="AQ3" s="845"/>
      <c r="AR3" s="845"/>
      <c r="AS3" s="833" t="s">
        <v>15</v>
      </c>
      <c r="AT3" s="833"/>
      <c r="AU3" s="833"/>
      <c r="AV3" s="849" t="str">
        <f ca="1">INDIRECT("変更来歴!A" &amp; COUNTA(変更来歴!A7:'変更来歴'!A39) + 6)</f>
        <v>r1.1</v>
      </c>
      <c r="AW3" s="849"/>
      <c r="AX3" s="849"/>
      <c r="AY3" s="849"/>
      <c r="AZ3" s="840"/>
      <c r="BA3" s="841"/>
      <c r="BB3" s="841"/>
      <c r="BC3" s="842"/>
    </row>
    <row r="4" spans="1:72" ht="5.85" customHeight="1"/>
    <row r="5" spans="1:72" ht="13.5" customHeight="1">
      <c r="A5" s="864" t="str">
        <f ca="1">"画面レイアウト"&amp;"("&amp;MID(CELL("filename"),FIND("]",CELL("filename"))+1,LEN(CELL("filename")))&amp;")"</f>
        <v>画面レイアウト(化学物質データ画面(日英併記))</v>
      </c>
      <c r="B5" s="865"/>
      <c r="C5" s="865"/>
      <c r="D5" s="865"/>
      <c r="E5" s="865"/>
      <c r="F5" s="865"/>
      <c r="G5" s="865"/>
      <c r="H5" s="865"/>
      <c r="I5" s="865"/>
      <c r="J5" s="865"/>
      <c r="K5" s="865"/>
      <c r="L5" s="865"/>
      <c r="M5" s="865"/>
      <c r="N5" s="865"/>
      <c r="O5" s="865"/>
      <c r="P5" s="865"/>
      <c r="Q5" s="865"/>
      <c r="R5" s="865"/>
      <c r="S5" s="865"/>
      <c r="T5" s="865"/>
      <c r="U5" s="865"/>
      <c r="V5" s="865"/>
      <c r="W5" s="865"/>
      <c r="X5" s="865"/>
      <c r="Y5" s="865"/>
      <c r="Z5" s="865"/>
      <c r="AA5" s="865"/>
      <c r="AB5" s="865"/>
      <c r="AC5" s="865"/>
      <c r="AD5" s="865"/>
      <c r="AE5" s="865"/>
      <c r="AF5" s="865"/>
      <c r="AG5" s="865"/>
      <c r="AH5" s="865"/>
      <c r="AI5" s="865"/>
      <c r="AJ5" s="865"/>
      <c r="AK5" s="865"/>
      <c r="AL5" s="865"/>
      <c r="AM5" s="865"/>
      <c r="AN5" s="865"/>
      <c r="AO5" s="865"/>
      <c r="AP5" s="865"/>
      <c r="AQ5" s="865"/>
      <c r="AR5" s="865"/>
      <c r="AS5" s="865"/>
      <c r="AT5" s="865"/>
      <c r="AU5" s="865"/>
      <c r="AV5" s="865"/>
      <c r="AW5" s="865"/>
      <c r="AX5" s="865"/>
      <c r="AY5" s="865"/>
      <c r="AZ5" s="865"/>
      <c r="BA5" s="866"/>
      <c r="BB5" s="867" t="s">
        <v>24</v>
      </c>
      <c r="BC5" s="868"/>
      <c r="BD5" s="28"/>
    </row>
    <row r="6" spans="1:72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72" ht="21" customHeight="1">
      <c r="A7" s="556"/>
      <c r="B7" s="701"/>
      <c r="C7" s="706" t="s">
        <v>375</v>
      </c>
      <c r="D7" s="702"/>
      <c r="E7" s="703"/>
      <c r="F7" s="703"/>
      <c r="G7" s="703"/>
      <c r="H7" s="659"/>
      <c r="I7" s="659"/>
      <c r="J7" s="660"/>
      <c r="K7" s="660"/>
      <c r="L7" s="660"/>
      <c r="M7" s="660"/>
      <c r="N7" s="664"/>
      <c r="O7" s="662"/>
      <c r="P7" s="664"/>
      <c r="Q7" s="659"/>
      <c r="R7" s="659"/>
      <c r="S7" s="659"/>
      <c r="T7" s="661"/>
      <c r="U7" s="661"/>
      <c r="V7" s="661"/>
      <c r="W7" s="661"/>
      <c r="X7" s="661"/>
      <c r="Y7" s="662"/>
      <c r="Z7" s="661"/>
      <c r="AA7" s="659"/>
      <c r="AB7" s="662"/>
      <c r="AC7" s="661"/>
      <c r="AD7" s="659"/>
      <c r="AE7" s="662"/>
      <c r="AF7" s="659"/>
      <c r="AG7" s="659"/>
      <c r="AH7" s="662"/>
      <c r="AI7" s="659"/>
      <c r="AJ7" s="659"/>
      <c r="AK7" s="704"/>
      <c r="AL7" s="659"/>
      <c r="AM7" s="659"/>
      <c r="AN7" s="659"/>
      <c r="AO7" s="659"/>
      <c r="AP7" s="659"/>
      <c r="AQ7" s="659"/>
      <c r="AR7" s="659"/>
      <c r="AS7" s="659"/>
      <c r="AT7" s="703"/>
      <c r="AU7" s="703"/>
      <c r="AV7" s="703"/>
      <c r="AW7" s="703"/>
      <c r="AX7" s="703"/>
      <c r="AY7" s="703"/>
      <c r="AZ7" s="705"/>
      <c r="BA7" s="604"/>
      <c r="BB7" s="570"/>
      <c r="BC7" s="571"/>
      <c r="BD7" s="544"/>
      <c r="BE7" s="710" t="s">
        <v>384</v>
      </c>
      <c r="BF7" s="710"/>
      <c r="BG7" s="710"/>
      <c r="BH7" s="710"/>
      <c r="BI7" s="710"/>
      <c r="BJ7" s="710"/>
      <c r="BK7" s="710"/>
      <c r="BL7" s="710"/>
      <c r="BM7" s="710"/>
      <c r="BN7" s="710"/>
      <c r="BO7" s="710"/>
      <c r="BP7" s="710"/>
      <c r="BQ7" s="710"/>
      <c r="BR7" s="710"/>
      <c r="BS7" s="710"/>
      <c r="BT7" s="710"/>
    </row>
    <row r="8" spans="1:72" ht="12.6" customHeight="1">
      <c r="A8" s="556"/>
      <c r="B8" s="600"/>
      <c r="C8" s="614"/>
      <c r="D8" s="615"/>
      <c r="E8" s="603"/>
      <c r="F8" s="603"/>
      <c r="G8" s="603"/>
      <c r="H8" s="653"/>
      <c r="I8" s="653"/>
      <c r="J8" s="653"/>
      <c r="K8" s="653"/>
      <c r="L8" s="653"/>
      <c r="M8" s="653"/>
      <c r="N8" s="653"/>
      <c r="O8" s="653"/>
      <c r="P8" s="653"/>
      <c r="Q8" s="653"/>
      <c r="R8" s="653"/>
      <c r="S8" s="653"/>
      <c r="T8" s="653"/>
      <c r="U8" s="653"/>
      <c r="V8" s="653"/>
      <c r="W8" s="653"/>
      <c r="X8" s="653"/>
      <c r="Y8" s="653"/>
      <c r="Z8" s="653"/>
      <c r="AA8" s="653"/>
      <c r="AB8" s="653"/>
      <c r="AC8" s="653"/>
      <c r="AD8" s="653"/>
      <c r="AE8" s="653"/>
      <c r="AF8" s="653"/>
      <c r="AG8" s="653"/>
      <c r="AH8" s="653"/>
      <c r="AI8" s="653"/>
      <c r="AJ8" s="653"/>
      <c r="AK8" s="653"/>
      <c r="AL8" s="653"/>
      <c r="AM8" s="653"/>
      <c r="AN8" s="653"/>
      <c r="AO8" s="653"/>
      <c r="AP8" s="653"/>
      <c r="AQ8" s="653"/>
      <c r="AR8" s="653"/>
      <c r="AS8" s="655"/>
      <c r="AT8" s="616"/>
      <c r="AU8" s="616"/>
      <c r="AV8" s="616"/>
      <c r="AW8" s="616"/>
      <c r="AX8" s="616"/>
      <c r="AY8" s="616"/>
      <c r="AZ8" s="604"/>
      <c r="BA8" s="604"/>
      <c r="BB8" s="570"/>
      <c r="BC8" s="571"/>
      <c r="BD8" s="544"/>
      <c r="BE8" s="615" t="s">
        <v>385</v>
      </c>
      <c r="BF8" s="615"/>
      <c r="BG8" s="711"/>
      <c r="BH8" s="711"/>
      <c r="BI8" s="711"/>
      <c r="BJ8" s="711"/>
      <c r="BK8" s="711"/>
      <c r="BL8" s="711"/>
      <c r="BM8" s="711"/>
      <c r="BN8" s="711"/>
      <c r="BO8" s="711"/>
      <c r="BP8" s="711"/>
      <c r="BQ8" s="711"/>
      <c r="BR8" s="711"/>
      <c r="BS8" s="710"/>
      <c r="BT8" s="710"/>
    </row>
    <row r="9" spans="1:72" ht="24" customHeight="1">
      <c r="A9" s="556"/>
      <c r="B9" s="557"/>
      <c r="C9" s="560"/>
      <c r="D9" s="560"/>
      <c r="E9" s="560"/>
      <c r="F9" s="558"/>
      <c r="G9" s="558"/>
      <c r="H9" s="591"/>
      <c r="I9" s="592"/>
      <c r="J9" s="592"/>
      <c r="K9" s="592"/>
      <c r="L9" s="592"/>
      <c r="M9" s="592"/>
      <c r="N9" s="592"/>
      <c r="O9" s="592"/>
      <c r="P9" s="592"/>
      <c r="Q9" s="592"/>
      <c r="R9" s="592"/>
      <c r="S9" s="592"/>
      <c r="T9" s="593"/>
      <c r="U9" s="593"/>
      <c r="V9" s="593"/>
      <c r="W9" s="591" t="s">
        <v>374</v>
      </c>
      <c r="X9" s="591"/>
      <c r="Y9" s="591"/>
      <c r="Z9" s="593"/>
      <c r="AA9" s="593"/>
      <c r="AB9" s="595"/>
      <c r="AC9" s="593"/>
      <c r="AD9" s="596"/>
      <c r="AE9" s="596"/>
      <c r="AF9" s="596"/>
      <c r="AG9" s="596"/>
      <c r="AH9" s="596"/>
      <c r="AI9" s="592"/>
      <c r="AJ9" s="593"/>
      <c r="AK9" s="593"/>
      <c r="AL9" s="593"/>
      <c r="AM9" s="593"/>
      <c r="AN9" s="597"/>
      <c r="AO9" s="594"/>
      <c r="AP9" s="594"/>
      <c r="AQ9" s="593"/>
      <c r="AR9" s="593"/>
      <c r="AS9" s="593"/>
      <c r="AT9" s="563"/>
      <c r="AU9" s="561"/>
      <c r="AV9" s="564"/>
      <c r="AW9" s="564"/>
      <c r="AX9" s="564"/>
      <c r="AY9" s="558"/>
      <c r="AZ9" s="559"/>
      <c r="BA9" s="559"/>
      <c r="BB9" s="542"/>
      <c r="BC9" s="543"/>
      <c r="BD9" s="544"/>
      <c r="BE9" s="711"/>
      <c r="BF9" s="615" t="s">
        <v>386</v>
      </c>
      <c r="BG9" s="615"/>
      <c r="BH9" s="615"/>
      <c r="BI9" s="711"/>
      <c r="BJ9" s="711"/>
      <c r="BK9" s="711"/>
      <c r="BL9" s="711"/>
      <c r="BM9" s="711"/>
      <c r="BN9" s="711"/>
      <c r="BO9" s="711"/>
      <c r="BP9" s="711"/>
      <c r="BQ9" s="711"/>
      <c r="BR9" s="711"/>
      <c r="BS9" s="710"/>
      <c r="BT9" s="710"/>
    </row>
    <row r="10" spans="1:72" ht="12" customHeight="1">
      <c r="A10" s="556"/>
      <c r="B10" s="565"/>
      <c r="C10" s="566"/>
      <c r="D10" s="544"/>
      <c r="E10" s="544"/>
      <c r="F10" s="544"/>
      <c r="G10" s="544"/>
      <c r="H10" s="567"/>
      <c r="I10" s="562"/>
      <c r="J10" s="561"/>
      <c r="K10" s="562"/>
      <c r="L10" s="561"/>
      <c r="M10" s="568"/>
      <c r="N10" s="568"/>
      <c r="O10" s="564"/>
      <c r="P10" s="568"/>
      <c r="Q10" s="564"/>
      <c r="R10" s="568"/>
      <c r="S10" s="545"/>
      <c r="T10" s="544"/>
      <c r="U10" s="544"/>
      <c r="V10" s="544"/>
      <c r="W10" s="544"/>
      <c r="X10" s="544"/>
      <c r="Y10" s="567"/>
      <c r="Z10" s="562"/>
      <c r="AA10" s="561"/>
      <c r="AB10" s="562"/>
      <c r="AC10" s="561"/>
      <c r="AD10" s="568"/>
      <c r="AE10" s="568"/>
      <c r="AF10" s="564"/>
      <c r="AG10" s="568"/>
      <c r="AH10" s="568"/>
      <c r="AI10" s="563"/>
      <c r="AJ10" s="568"/>
      <c r="AK10" s="564"/>
      <c r="AL10" s="544"/>
      <c r="AM10" s="544"/>
      <c r="AN10" s="544"/>
      <c r="AO10" s="544"/>
      <c r="AP10" s="544"/>
      <c r="AQ10" s="544"/>
      <c r="AR10" s="544"/>
      <c r="AS10" s="561"/>
      <c r="AT10" s="563"/>
      <c r="AU10" s="561"/>
      <c r="AV10" s="564"/>
      <c r="AW10" s="564"/>
      <c r="AX10" s="564"/>
      <c r="AY10" s="558"/>
      <c r="AZ10" s="559"/>
      <c r="BA10" s="559"/>
      <c r="BB10" s="542"/>
      <c r="BC10" s="543"/>
      <c r="BD10" s="544"/>
      <c r="BE10" s="615"/>
      <c r="BF10" s="615"/>
      <c r="BG10" s="615" t="s">
        <v>387</v>
      </c>
      <c r="BH10" s="712"/>
      <c r="BI10" s="711"/>
      <c r="BJ10" s="711"/>
      <c r="BK10" s="711"/>
      <c r="BL10" s="711"/>
      <c r="BM10" s="711"/>
      <c r="BN10" s="711"/>
      <c r="BO10" s="711"/>
      <c r="BP10" s="711"/>
      <c r="BQ10" s="711"/>
      <c r="BR10" s="711"/>
      <c r="BS10" s="710"/>
      <c r="BT10" s="710"/>
    </row>
    <row r="11" spans="1:72" ht="12.6" customHeight="1">
      <c r="A11" s="556"/>
      <c r="B11" s="557"/>
      <c r="C11" s="544"/>
      <c r="D11" s="544"/>
      <c r="E11" s="544"/>
      <c r="F11" s="545"/>
      <c r="G11" s="560"/>
      <c r="H11" s="621"/>
      <c r="I11" s="621"/>
      <c r="J11" s="621"/>
      <c r="K11" s="621"/>
      <c r="L11" s="621"/>
      <c r="M11" s="621"/>
      <c r="N11" s="621"/>
      <c r="O11" s="621"/>
      <c r="P11" s="621"/>
      <c r="Q11" s="621"/>
      <c r="R11" s="621"/>
      <c r="S11" s="621"/>
      <c r="T11" s="622"/>
      <c r="U11" s="622"/>
      <c r="V11" s="622"/>
      <c r="W11" s="622"/>
      <c r="X11" s="623"/>
      <c r="Y11" s="622"/>
      <c r="Z11" s="622"/>
      <c r="AA11" s="622"/>
      <c r="AB11" s="624"/>
      <c r="AC11" s="622"/>
      <c r="AD11" s="625"/>
      <c r="AE11" s="625"/>
      <c r="AF11" s="625"/>
      <c r="AG11" s="625"/>
      <c r="AH11" s="625"/>
      <c r="AI11" s="621"/>
      <c r="AJ11" s="622"/>
      <c r="AK11" s="622"/>
      <c r="AL11" s="622"/>
      <c r="AM11" s="622"/>
      <c r="AN11" s="626"/>
      <c r="AO11" s="623"/>
      <c r="AP11" s="623"/>
      <c r="AQ11" s="622"/>
      <c r="AR11" s="622"/>
      <c r="AS11" s="622"/>
      <c r="AT11" s="563"/>
      <c r="AU11" s="561"/>
      <c r="AV11" s="564"/>
      <c r="AW11" s="564"/>
      <c r="AX11" s="564"/>
      <c r="AY11" s="558"/>
      <c r="AZ11" s="559"/>
      <c r="BA11" s="559"/>
      <c r="BB11" s="542"/>
      <c r="BC11" s="543"/>
      <c r="BD11" s="544"/>
      <c r="BE11" s="615"/>
      <c r="BF11" s="615"/>
      <c r="BG11" s="615" t="s">
        <v>388</v>
      </c>
      <c r="BH11" s="712"/>
      <c r="BI11" s="615"/>
      <c r="BJ11" s="711"/>
      <c r="BK11" s="711"/>
      <c r="BL11" s="711"/>
      <c r="BM11" s="711"/>
      <c r="BN11" s="711"/>
      <c r="BO11" s="711"/>
      <c r="BP11" s="711"/>
      <c r="BQ11" s="711"/>
      <c r="BR11" s="711"/>
      <c r="BS11" s="710"/>
      <c r="BT11" s="710"/>
    </row>
    <row r="12" spans="1:72" ht="12.6" customHeight="1">
      <c r="A12" s="556"/>
      <c r="B12" s="600"/>
      <c r="C12" s="598"/>
      <c r="D12" s="601"/>
      <c r="E12" s="601"/>
      <c r="F12" s="601"/>
      <c r="G12" s="598"/>
      <c r="H12" s="621"/>
      <c r="I12" s="621" t="s">
        <v>311</v>
      </c>
      <c r="J12" s="621"/>
      <c r="K12" s="621"/>
      <c r="L12" s="621"/>
      <c r="M12" s="621"/>
      <c r="N12" s="621"/>
      <c r="O12" s="621"/>
      <c r="P12" s="621"/>
      <c r="Q12" s="621"/>
      <c r="R12" s="621"/>
      <c r="S12" s="621"/>
      <c r="T12" s="622"/>
      <c r="U12" s="622"/>
      <c r="V12" s="622"/>
      <c r="W12" s="622"/>
      <c r="X12" s="623"/>
      <c r="Y12" s="622"/>
      <c r="Z12" s="621"/>
      <c r="AA12" s="621"/>
      <c r="AB12" s="621"/>
      <c r="AC12" s="621"/>
      <c r="AD12" s="621"/>
      <c r="AE12" s="621"/>
      <c r="AF12" s="621"/>
      <c r="AG12" s="621"/>
      <c r="AH12" s="621"/>
      <c r="AI12" s="621"/>
      <c r="AJ12" s="621"/>
      <c r="AK12" s="621"/>
      <c r="AL12" s="621"/>
      <c r="AM12" s="621"/>
      <c r="AN12" s="621"/>
      <c r="AO12" s="621"/>
      <c r="AP12" s="621"/>
      <c r="AQ12" s="621"/>
      <c r="AR12" s="621"/>
      <c r="AS12" s="621"/>
      <c r="AT12" s="598"/>
      <c r="AU12" s="598"/>
      <c r="AV12" s="598"/>
      <c r="AW12" s="598"/>
      <c r="AX12" s="603"/>
      <c r="AY12" s="598"/>
      <c r="AZ12" s="604"/>
      <c r="BA12" s="604"/>
      <c r="BB12" s="542"/>
      <c r="BC12" s="543"/>
      <c r="BD12" s="544"/>
      <c r="BE12" s="710"/>
      <c r="BF12" s="710"/>
      <c r="BG12" s="713"/>
      <c r="BH12" s="710"/>
      <c r="BI12" s="710"/>
      <c r="BJ12" s="710"/>
      <c r="BK12" s="710"/>
      <c r="BL12" s="710"/>
      <c r="BM12" s="710"/>
      <c r="BN12" s="710"/>
      <c r="BO12" s="710"/>
      <c r="BP12" s="710"/>
      <c r="BQ12" s="710"/>
      <c r="BR12" s="710"/>
      <c r="BS12" s="710"/>
      <c r="BT12" s="710"/>
    </row>
    <row r="13" spans="1:72" ht="12.6" customHeight="1">
      <c r="A13" s="556"/>
      <c r="B13" s="600"/>
      <c r="C13" s="605"/>
      <c r="D13" s="601"/>
      <c r="E13" s="601"/>
      <c r="F13" s="601"/>
      <c r="G13" s="603"/>
      <c r="H13" s="621"/>
      <c r="I13" s="627" t="s">
        <v>652</v>
      </c>
      <c r="J13" s="628"/>
      <c r="K13" s="627"/>
      <c r="L13" s="627"/>
      <c r="M13" s="627"/>
      <c r="N13" s="627"/>
      <c r="O13" s="627"/>
      <c r="P13" s="627"/>
      <c r="Q13" s="627"/>
      <c r="R13" s="627"/>
      <c r="S13" s="627"/>
      <c r="T13" s="627"/>
      <c r="U13" s="627"/>
      <c r="V13" s="627"/>
      <c r="W13" s="627"/>
      <c r="X13" s="629"/>
      <c r="Y13" s="621"/>
      <c r="Z13" s="621"/>
      <c r="AA13" s="630"/>
      <c r="AB13" s="621"/>
      <c r="AC13" s="631"/>
      <c r="AD13" s="631"/>
      <c r="AE13" s="632"/>
      <c r="AF13" s="631"/>
      <c r="AG13" s="632"/>
      <c r="AH13" s="631"/>
      <c r="AI13" s="633"/>
      <c r="AJ13" s="631"/>
      <c r="AK13" s="632"/>
      <c r="AL13" s="632"/>
      <c r="AM13" s="632"/>
      <c r="AN13" s="632"/>
      <c r="AO13" s="632"/>
      <c r="AP13" s="632"/>
      <c r="AQ13" s="632"/>
      <c r="AR13" s="632"/>
      <c r="AS13" s="632"/>
      <c r="AT13" s="603"/>
      <c r="AU13" s="603"/>
      <c r="AV13" s="603"/>
      <c r="AW13" s="603"/>
      <c r="AX13" s="603"/>
      <c r="AY13" s="598"/>
      <c r="AZ13" s="604"/>
      <c r="BA13" s="604"/>
      <c r="BB13" s="542"/>
      <c r="BC13" s="543"/>
      <c r="BD13" s="544"/>
      <c r="BE13" s="615" t="s">
        <v>389</v>
      </c>
      <c r="BF13" s="710"/>
      <c r="BG13" s="710"/>
      <c r="BH13" s="710"/>
      <c r="BI13" s="710"/>
      <c r="BJ13" s="710"/>
      <c r="BK13" s="710"/>
      <c r="BL13" s="710"/>
      <c r="BM13" s="710"/>
      <c r="BN13" s="710"/>
      <c r="BO13" s="710"/>
      <c r="BP13" s="710"/>
      <c r="BQ13" s="710"/>
      <c r="BR13" s="710"/>
      <c r="BS13" s="710"/>
      <c r="BT13" s="710"/>
    </row>
    <row r="14" spans="1:72" ht="12.6" customHeight="1">
      <c r="A14" s="556"/>
      <c r="B14" s="600"/>
      <c r="C14" s="608"/>
      <c r="D14" s="603"/>
      <c r="E14" s="603"/>
      <c r="F14" s="603"/>
      <c r="G14" s="603"/>
      <c r="H14" s="634"/>
      <c r="I14" s="629"/>
      <c r="J14" s="627"/>
      <c r="K14" s="629"/>
      <c r="L14" s="627"/>
      <c r="M14" s="627"/>
      <c r="N14" s="627"/>
      <c r="O14" s="627"/>
      <c r="P14" s="627"/>
      <c r="Q14" s="627"/>
      <c r="R14" s="627"/>
      <c r="S14" s="627"/>
      <c r="T14" s="627"/>
      <c r="U14" s="627"/>
      <c r="V14" s="627"/>
      <c r="W14" s="627"/>
      <c r="X14" s="629"/>
      <c r="Y14" s="621"/>
      <c r="Z14" s="630"/>
      <c r="AA14" s="621"/>
      <c r="AB14" s="630"/>
      <c r="AC14" s="621"/>
      <c r="AD14" s="631"/>
      <c r="AE14" s="631"/>
      <c r="AF14" s="632"/>
      <c r="AG14" s="631"/>
      <c r="AH14" s="631"/>
      <c r="AI14" s="633"/>
      <c r="AJ14" s="631"/>
      <c r="AK14" s="632"/>
      <c r="AL14" s="632"/>
      <c r="AM14" s="632"/>
      <c r="AN14" s="632"/>
      <c r="AO14" s="632"/>
      <c r="AP14" s="632"/>
      <c r="AQ14" s="632"/>
      <c r="AR14" s="632"/>
      <c r="AS14" s="621"/>
      <c r="AT14" s="607"/>
      <c r="AU14" s="598"/>
      <c r="AV14" s="603"/>
      <c r="AW14" s="603"/>
      <c r="AX14" s="603"/>
      <c r="AY14" s="598"/>
      <c r="AZ14" s="604"/>
      <c r="BA14" s="604"/>
      <c r="BB14" s="542"/>
      <c r="BC14" s="543"/>
      <c r="BD14" s="544"/>
      <c r="BE14" s="710"/>
      <c r="BF14" s="615" t="s">
        <v>390</v>
      </c>
      <c r="BG14" s="615"/>
      <c r="BH14" s="710"/>
      <c r="BI14" s="710"/>
      <c r="BJ14" s="710"/>
      <c r="BK14" s="710"/>
      <c r="BL14" s="710"/>
      <c r="BM14" s="710"/>
      <c r="BN14" s="710"/>
      <c r="BO14" s="710"/>
      <c r="BP14" s="710"/>
      <c r="BQ14" s="710"/>
      <c r="BR14" s="710"/>
      <c r="BS14" s="710"/>
      <c r="BT14" s="710"/>
    </row>
    <row r="15" spans="1:72" ht="12.6" customHeight="1">
      <c r="A15" s="556"/>
      <c r="B15" s="600"/>
      <c r="C15" s="598"/>
      <c r="D15" s="603"/>
      <c r="E15" s="603"/>
      <c r="F15" s="603"/>
      <c r="G15" s="603"/>
      <c r="H15" s="634"/>
      <c r="I15" s="627" t="s">
        <v>312</v>
      </c>
      <c r="J15" s="628" t="s">
        <v>313</v>
      </c>
      <c r="K15" s="627"/>
      <c r="L15" s="627"/>
      <c r="M15" s="627"/>
      <c r="N15" s="627"/>
      <c r="O15" s="627" t="s">
        <v>649</v>
      </c>
      <c r="P15" s="627"/>
      <c r="Q15" s="627"/>
      <c r="R15" s="627"/>
      <c r="S15" s="627"/>
      <c r="T15" s="627"/>
      <c r="U15" s="627"/>
      <c r="V15" s="627"/>
      <c r="W15" s="627"/>
      <c r="X15" s="629"/>
      <c r="Y15" s="621"/>
      <c r="Z15" s="632"/>
      <c r="AA15" s="632"/>
      <c r="AB15" s="632"/>
      <c r="AC15" s="632"/>
      <c r="AD15" s="632"/>
      <c r="AE15" s="632"/>
      <c r="AF15" s="632"/>
      <c r="AG15" s="632"/>
      <c r="AH15" s="632"/>
      <c r="AI15" s="632"/>
      <c r="AJ15" s="632"/>
      <c r="AK15" s="632"/>
      <c r="AL15" s="632"/>
      <c r="AM15" s="621"/>
      <c r="AN15" s="621"/>
      <c r="AO15" s="621"/>
      <c r="AP15" s="621"/>
      <c r="AQ15" s="621"/>
      <c r="AR15" s="621"/>
      <c r="AS15" s="621"/>
      <c r="AT15" s="598"/>
      <c r="AU15" s="598"/>
      <c r="AV15" s="598"/>
      <c r="AW15" s="598"/>
      <c r="AX15" s="603"/>
      <c r="AY15" s="598"/>
      <c r="AZ15" s="604"/>
      <c r="BA15" s="604"/>
      <c r="BB15" s="542"/>
      <c r="BC15" s="543"/>
      <c r="BD15" s="544"/>
      <c r="BE15" s="710"/>
      <c r="BF15" s="615"/>
      <c r="BG15" s="615" t="s">
        <v>391</v>
      </c>
      <c r="BH15" s="710"/>
      <c r="BI15" s="710"/>
      <c r="BJ15" s="710"/>
      <c r="BK15" s="710"/>
      <c r="BL15" s="710"/>
      <c r="BM15" s="710"/>
      <c r="BN15" s="710"/>
      <c r="BO15" s="710"/>
      <c r="BP15" s="710"/>
      <c r="BQ15" s="710"/>
      <c r="BR15" s="710"/>
      <c r="BS15" s="710"/>
      <c r="BT15" s="710"/>
    </row>
    <row r="16" spans="1:72" ht="12.6" customHeight="1">
      <c r="A16" s="556"/>
      <c r="B16" s="600"/>
      <c r="C16" s="598"/>
      <c r="D16" s="598"/>
      <c r="E16" s="598"/>
      <c r="F16" s="598"/>
      <c r="G16" s="598"/>
      <c r="H16" s="630"/>
      <c r="I16" s="629"/>
      <c r="J16" s="627"/>
      <c r="K16" s="629"/>
      <c r="L16" s="627"/>
      <c r="M16" s="627"/>
      <c r="N16" s="627"/>
      <c r="O16" s="627" t="s">
        <v>648</v>
      </c>
      <c r="P16" s="627"/>
      <c r="Q16" s="627"/>
      <c r="R16" s="627"/>
      <c r="S16" s="627"/>
      <c r="T16" s="627"/>
      <c r="U16" s="627"/>
      <c r="V16" s="627"/>
      <c r="W16" s="627"/>
      <c r="X16" s="629"/>
      <c r="Y16" s="621"/>
      <c r="Z16" s="621"/>
      <c r="AA16" s="621"/>
      <c r="AB16" s="633"/>
      <c r="AC16" s="621"/>
      <c r="AD16" s="632"/>
      <c r="AE16" s="632"/>
      <c r="AF16" s="632"/>
      <c r="AG16" s="632"/>
      <c r="AH16" s="632"/>
      <c r="AI16" s="621"/>
      <c r="AJ16" s="621"/>
      <c r="AK16" s="621"/>
      <c r="AL16" s="621"/>
      <c r="AM16" s="621"/>
      <c r="AN16" s="635"/>
      <c r="AO16" s="630"/>
      <c r="AP16" s="630"/>
      <c r="AQ16" s="636"/>
      <c r="AR16" s="621"/>
      <c r="AS16" s="621"/>
      <c r="AT16" s="607"/>
      <c r="AU16" s="598"/>
      <c r="AV16" s="603"/>
      <c r="AW16" s="603"/>
      <c r="AX16" s="603"/>
      <c r="AY16" s="598"/>
      <c r="AZ16" s="604"/>
      <c r="BA16" s="604"/>
      <c r="BB16" s="542"/>
      <c r="BC16" s="543"/>
      <c r="BD16" s="544"/>
      <c r="BE16" s="713"/>
      <c r="BF16" s="615"/>
      <c r="BG16" s="615" t="s">
        <v>392</v>
      </c>
      <c r="BH16" s="710"/>
      <c r="BI16" s="710"/>
      <c r="BJ16" s="710"/>
      <c r="BK16" s="710"/>
      <c r="BL16" s="710"/>
      <c r="BM16" s="710"/>
      <c r="BN16" s="710"/>
      <c r="BO16" s="710"/>
      <c r="BP16" s="710"/>
      <c r="BQ16" s="710"/>
      <c r="BR16" s="710"/>
      <c r="BS16" s="710"/>
      <c r="BT16" s="710"/>
    </row>
    <row r="17" spans="1:72" ht="12.6" customHeight="1">
      <c r="A17" s="556"/>
      <c r="B17" s="600"/>
      <c r="C17" s="598"/>
      <c r="D17" s="598"/>
      <c r="E17" s="598"/>
      <c r="F17" s="598"/>
      <c r="G17" s="598"/>
      <c r="H17" s="630"/>
      <c r="I17" s="629"/>
      <c r="J17" s="627"/>
      <c r="K17" s="629"/>
      <c r="L17" s="627"/>
      <c r="M17" s="627"/>
      <c r="N17" s="627"/>
      <c r="O17" s="627"/>
      <c r="P17" s="627"/>
      <c r="Q17" s="627"/>
      <c r="R17" s="627"/>
      <c r="S17" s="627"/>
      <c r="T17" s="627"/>
      <c r="U17" s="627"/>
      <c r="V17" s="627"/>
      <c r="W17" s="627"/>
      <c r="X17" s="629"/>
      <c r="Y17" s="621"/>
      <c r="Z17" s="621"/>
      <c r="AA17" s="621"/>
      <c r="AB17" s="621"/>
      <c r="AC17" s="633"/>
      <c r="AD17" s="621"/>
      <c r="AE17" s="632"/>
      <c r="AF17" s="632"/>
      <c r="AG17" s="632"/>
      <c r="AH17" s="632"/>
      <c r="AI17" s="621"/>
      <c r="AJ17" s="621"/>
      <c r="AK17" s="621"/>
      <c r="AL17" s="621"/>
      <c r="AM17" s="621"/>
      <c r="AN17" s="621"/>
      <c r="AO17" s="621"/>
      <c r="AP17" s="630"/>
      <c r="AQ17" s="621"/>
      <c r="AR17" s="621"/>
      <c r="AS17" s="621"/>
      <c r="AT17" s="607"/>
      <c r="AU17" s="598"/>
      <c r="AV17" s="603"/>
      <c r="AW17" s="603"/>
      <c r="AX17" s="603"/>
      <c r="AY17" s="598"/>
      <c r="AZ17" s="604"/>
      <c r="BA17" s="604"/>
      <c r="BB17" s="542"/>
      <c r="BC17" s="543"/>
      <c r="BD17" s="544"/>
      <c r="BE17" s="710"/>
      <c r="BF17" s="710"/>
      <c r="BG17" s="710"/>
      <c r="BH17" s="710"/>
      <c r="BI17" s="710"/>
      <c r="BJ17" s="710"/>
      <c r="BK17" s="710"/>
      <c r="BL17" s="710"/>
      <c r="BM17" s="710"/>
      <c r="BN17" s="710"/>
      <c r="BO17" s="710"/>
      <c r="BP17" s="710"/>
      <c r="BQ17" s="710"/>
      <c r="BR17" s="710"/>
      <c r="BS17" s="710"/>
      <c r="BT17" s="710"/>
    </row>
    <row r="18" spans="1:72" ht="12.6" customHeight="1">
      <c r="A18" s="556"/>
      <c r="B18" s="600"/>
      <c r="C18" s="598"/>
      <c r="D18" s="598"/>
      <c r="E18" s="598"/>
      <c r="F18" s="598"/>
      <c r="G18" s="598"/>
      <c r="H18" s="630"/>
      <c r="I18" s="627" t="s">
        <v>312</v>
      </c>
      <c r="J18" s="628" t="s">
        <v>316</v>
      </c>
      <c r="K18" s="627"/>
      <c r="L18" s="627"/>
      <c r="M18" s="627"/>
      <c r="N18" s="627"/>
      <c r="O18" s="627" t="s">
        <v>650</v>
      </c>
      <c r="P18" s="627"/>
      <c r="Q18" s="627"/>
      <c r="R18" s="627"/>
      <c r="S18" s="627"/>
      <c r="T18" s="627"/>
      <c r="U18" s="627"/>
      <c r="V18" s="627"/>
      <c r="W18" s="627"/>
      <c r="X18" s="629"/>
      <c r="Y18" s="621"/>
      <c r="Z18" s="621"/>
      <c r="AA18" s="621"/>
      <c r="AB18" s="621"/>
      <c r="AC18" s="633"/>
      <c r="AD18" s="621"/>
      <c r="AE18" s="632"/>
      <c r="AF18" s="632"/>
      <c r="AG18" s="632"/>
      <c r="AH18" s="632"/>
      <c r="AI18" s="621"/>
      <c r="AJ18" s="621"/>
      <c r="AK18" s="621"/>
      <c r="AL18" s="621"/>
      <c r="AM18" s="621"/>
      <c r="AN18" s="635"/>
      <c r="AO18" s="630"/>
      <c r="AP18" s="630"/>
      <c r="AQ18" s="621"/>
      <c r="AR18" s="621"/>
      <c r="AS18" s="621"/>
      <c r="AT18" s="607"/>
      <c r="AU18" s="598"/>
      <c r="AV18" s="603"/>
      <c r="AW18" s="603"/>
      <c r="AX18" s="603"/>
      <c r="AY18" s="598"/>
      <c r="AZ18" s="604"/>
      <c r="BA18" s="604"/>
      <c r="BB18" s="542"/>
      <c r="BC18" s="543"/>
      <c r="BD18" s="544"/>
      <c r="BE18" s="710" t="s">
        <v>394</v>
      </c>
      <c r="BF18" s="710"/>
      <c r="BG18" s="710"/>
      <c r="BH18" s="710"/>
      <c r="BI18" s="710"/>
      <c r="BJ18" s="710"/>
      <c r="BK18" s="710"/>
      <c r="BL18" s="710"/>
      <c r="BM18" s="710"/>
      <c r="BN18" s="710"/>
      <c r="BO18" s="710"/>
      <c r="BP18" s="710"/>
      <c r="BQ18" s="710"/>
      <c r="BR18" s="710"/>
      <c r="BS18" s="710"/>
      <c r="BT18" s="710"/>
    </row>
    <row r="19" spans="1:72" ht="12.6" customHeight="1">
      <c r="A19" s="556"/>
      <c r="B19" s="600"/>
      <c r="C19" s="605"/>
      <c r="D19" s="598"/>
      <c r="E19" s="598"/>
      <c r="F19" s="598"/>
      <c r="G19" s="598"/>
      <c r="H19" s="630"/>
      <c r="I19" s="629"/>
      <c r="J19" s="627"/>
      <c r="K19" s="627"/>
      <c r="L19" s="627"/>
      <c r="M19" s="627"/>
      <c r="N19" s="627"/>
      <c r="O19" s="627" t="s">
        <v>651</v>
      </c>
      <c r="P19" s="627"/>
      <c r="Q19" s="621"/>
      <c r="R19" s="621"/>
      <c r="S19" s="621"/>
      <c r="T19" s="621"/>
      <c r="U19" s="621"/>
      <c r="V19" s="621"/>
      <c r="W19" s="621"/>
      <c r="X19" s="630"/>
      <c r="Y19" s="621"/>
      <c r="Z19" s="621"/>
      <c r="AA19" s="621"/>
      <c r="AB19" s="621"/>
      <c r="AC19" s="633"/>
      <c r="AD19" s="621"/>
      <c r="AE19" s="632"/>
      <c r="AF19" s="632"/>
      <c r="AG19" s="632"/>
      <c r="AH19" s="632"/>
      <c r="AI19" s="621"/>
      <c r="AJ19" s="621"/>
      <c r="AK19" s="621"/>
      <c r="AL19" s="621"/>
      <c r="AM19" s="621"/>
      <c r="AN19" s="635"/>
      <c r="AO19" s="630"/>
      <c r="AP19" s="630"/>
      <c r="AQ19" s="621"/>
      <c r="AR19" s="621"/>
      <c r="AS19" s="621"/>
      <c r="AT19" s="607"/>
      <c r="AU19" s="598"/>
      <c r="AV19" s="603"/>
      <c r="AW19" s="603"/>
      <c r="AX19" s="603"/>
      <c r="AY19" s="598"/>
      <c r="AZ19" s="604"/>
      <c r="BA19" s="604"/>
      <c r="BB19" s="542"/>
      <c r="BC19" s="543"/>
      <c r="BD19" s="544"/>
      <c r="BE19" s="710"/>
      <c r="BF19" s="710" t="s">
        <v>395</v>
      </c>
      <c r="BG19" s="710"/>
      <c r="BH19" s="710"/>
      <c r="BI19" s="710"/>
      <c r="BJ19" s="710"/>
      <c r="BK19" s="710"/>
      <c r="BL19" s="710"/>
      <c r="BM19" s="710"/>
      <c r="BN19" s="710"/>
      <c r="BO19" s="710"/>
      <c r="BP19" s="710"/>
      <c r="BQ19" s="710"/>
      <c r="BR19" s="710"/>
      <c r="BS19" s="710"/>
      <c r="BT19" s="710"/>
    </row>
    <row r="20" spans="1:72" ht="12.6" customHeight="1">
      <c r="A20" s="556"/>
      <c r="B20" s="600"/>
      <c r="C20" s="598"/>
      <c r="D20" s="598"/>
      <c r="E20" s="598"/>
      <c r="F20" s="598"/>
      <c r="G20" s="598"/>
      <c r="H20" s="630"/>
      <c r="I20" s="629"/>
      <c r="J20" s="627"/>
      <c r="K20" s="629"/>
      <c r="L20" s="627"/>
      <c r="M20" s="627"/>
      <c r="N20" s="627"/>
      <c r="O20" s="627"/>
      <c r="P20" s="627"/>
      <c r="Q20" s="627"/>
      <c r="R20" s="627"/>
      <c r="S20" s="627"/>
      <c r="T20" s="627"/>
      <c r="U20" s="627"/>
      <c r="V20" s="627"/>
      <c r="W20" s="627"/>
      <c r="X20" s="629"/>
      <c r="Y20" s="621"/>
      <c r="Z20" s="621"/>
      <c r="AA20" s="621"/>
      <c r="AB20" s="621"/>
      <c r="AC20" s="633"/>
      <c r="AD20" s="621"/>
      <c r="AE20" s="632"/>
      <c r="AF20" s="632"/>
      <c r="AG20" s="632"/>
      <c r="AH20" s="632"/>
      <c r="AI20" s="621"/>
      <c r="AJ20" s="621"/>
      <c r="AK20" s="621"/>
      <c r="AL20" s="621"/>
      <c r="AM20" s="621"/>
      <c r="AN20" s="621"/>
      <c r="AO20" s="621"/>
      <c r="AP20" s="630"/>
      <c r="AQ20" s="621"/>
      <c r="AR20" s="621"/>
      <c r="AS20" s="621"/>
      <c r="AT20" s="607"/>
      <c r="AU20" s="598"/>
      <c r="AV20" s="603"/>
      <c r="AW20" s="603"/>
      <c r="AX20" s="603"/>
      <c r="AY20" s="598"/>
      <c r="AZ20" s="604"/>
      <c r="BA20" s="604"/>
      <c r="BB20" s="542"/>
      <c r="BC20" s="543"/>
      <c r="BD20" s="544"/>
      <c r="BE20" s="710"/>
      <c r="BF20" s="710"/>
      <c r="BG20" s="710"/>
      <c r="BH20" s="710"/>
      <c r="BI20" s="710"/>
      <c r="BJ20" s="710"/>
      <c r="BK20" s="710"/>
      <c r="BL20" s="710"/>
      <c r="BM20" s="710"/>
      <c r="BN20" s="710"/>
      <c r="BO20" s="710"/>
      <c r="BP20" s="710"/>
      <c r="BQ20" s="710"/>
      <c r="BR20" s="710"/>
      <c r="BS20" s="710"/>
      <c r="BT20" s="710"/>
    </row>
    <row r="21" spans="1:72" ht="12.6" customHeight="1">
      <c r="A21" s="556"/>
      <c r="B21" s="600"/>
      <c r="C21" s="598"/>
      <c r="D21" s="598"/>
      <c r="E21" s="598"/>
      <c r="F21" s="598"/>
      <c r="G21" s="598"/>
      <c r="H21" s="653"/>
      <c r="I21" s="653"/>
      <c r="J21" s="653"/>
      <c r="K21" s="653"/>
      <c r="L21" s="653"/>
      <c r="M21" s="653"/>
      <c r="N21" s="653"/>
      <c r="O21" s="653"/>
      <c r="P21" s="653"/>
      <c r="Q21" s="653"/>
      <c r="R21" s="653"/>
      <c r="S21" s="653"/>
      <c r="T21" s="653"/>
      <c r="U21" s="653"/>
      <c r="V21" s="653"/>
      <c r="W21" s="653"/>
      <c r="X21" s="653"/>
      <c r="Y21" s="653"/>
      <c r="Z21" s="653"/>
      <c r="AA21" s="653"/>
      <c r="AB21" s="653"/>
      <c r="AC21" s="653"/>
      <c r="AD21" s="653"/>
      <c r="AE21" s="653"/>
      <c r="AF21" s="653"/>
      <c r="AG21" s="653"/>
      <c r="AH21" s="653"/>
      <c r="AI21" s="653"/>
      <c r="AJ21" s="653"/>
      <c r="AK21" s="653"/>
      <c r="AL21" s="653"/>
      <c r="AM21" s="653"/>
      <c r="AN21" s="653"/>
      <c r="AO21" s="653"/>
      <c r="AP21" s="653"/>
      <c r="AQ21" s="653"/>
      <c r="AR21" s="653"/>
      <c r="AS21" s="654"/>
      <c r="AT21" s="607"/>
      <c r="AU21" s="598"/>
      <c r="AV21" s="603"/>
      <c r="AW21" s="603"/>
      <c r="AX21" s="603"/>
      <c r="AY21" s="598"/>
      <c r="AZ21" s="604"/>
      <c r="BA21" s="604"/>
      <c r="BB21" s="542"/>
      <c r="BC21" s="543"/>
      <c r="BD21" s="545"/>
      <c r="BE21" s="710"/>
      <c r="BF21" s="710"/>
      <c r="BG21" s="710" t="s">
        <v>396</v>
      </c>
      <c r="BH21" s="710"/>
      <c r="BI21" s="710"/>
      <c r="BJ21" s="710"/>
      <c r="BK21" s="710"/>
      <c r="BL21" s="710"/>
      <c r="BM21" s="710"/>
      <c r="BN21" s="710"/>
      <c r="BO21" s="710"/>
      <c r="BP21" s="710"/>
      <c r="BQ21" s="710"/>
      <c r="BR21" s="710"/>
      <c r="BS21" s="710"/>
      <c r="BT21" s="710"/>
    </row>
    <row r="22" spans="1:72" ht="12.6" customHeight="1">
      <c r="A22" s="556"/>
      <c r="B22" s="600"/>
      <c r="C22" s="614"/>
      <c r="D22" s="615"/>
      <c r="E22" s="603"/>
      <c r="F22" s="603"/>
      <c r="G22" s="603"/>
      <c r="H22" s="653"/>
      <c r="I22" s="653"/>
      <c r="J22" s="653"/>
      <c r="K22" s="653"/>
      <c r="L22" s="653"/>
      <c r="M22" s="653"/>
      <c r="N22" s="653"/>
      <c r="O22" s="653"/>
      <c r="P22" s="653"/>
      <c r="Q22" s="653"/>
      <c r="R22" s="653"/>
      <c r="S22" s="653"/>
      <c r="T22" s="653"/>
      <c r="U22" s="653"/>
      <c r="V22" s="653"/>
      <c r="W22" s="653"/>
      <c r="X22" s="653"/>
      <c r="Y22" s="653"/>
      <c r="Z22" s="653"/>
      <c r="AA22" s="653"/>
      <c r="AB22" s="653"/>
      <c r="AC22" s="653"/>
      <c r="AD22" s="653"/>
      <c r="AE22" s="653"/>
      <c r="AF22" s="653"/>
      <c r="AG22" s="653"/>
      <c r="AH22" s="653"/>
      <c r="AI22" s="653"/>
      <c r="AJ22" s="653"/>
      <c r="AK22" s="653"/>
      <c r="AL22" s="653"/>
      <c r="AM22" s="653"/>
      <c r="AN22" s="653"/>
      <c r="AO22" s="653"/>
      <c r="AP22" s="653"/>
      <c r="AQ22" s="653"/>
      <c r="AR22" s="653"/>
      <c r="AS22" s="653"/>
      <c r="AT22" s="609"/>
      <c r="AU22" s="603"/>
      <c r="AV22" s="603"/>
      <c r="AW22" s="603"/>
      <c r="AX22" s="603"/>
      <c r="AY22" s="603"/>
      <c r="AZ22" s="604"/>
      <c r="BA22" s="604"/>
      <c r="BB22" s="570"/>
      <c r="BC22" s="571"/>
      <c r="BD22" s="544"/>
      <c r="BE22" s="710"/>
      <c r="BF22" s="710"/>
      <c r="BG22" s="710"/>
      <c r="BH22" s="710"/>
      <c r="BI22" s="710"/>
      <c r="BJ22" s="710"/>
      <c r="BK22" s="710"/>
      <c r="BL22" s="710"/>
      <c r="BM22" s="710"/>
      <c r="BN22" s="710"/>
      <c r="BO22" s="710"/>
      <c r="BP22" s="710"/>
      <c r="BQ22" s="710"/>
      <c r="BR22" s="710"/>
      <c r="BS22" s="710"/>
      <c r="BT22" s="710"/>
    </row>
    <row r="23" spans="1:72" ht="12.6" customHeight="1">
      <c r="A23" s="556"/>
      <c r="B23" s="600"/>
      <c r="C23" s="614"/>
      <c r="D23" s="615"/>
      <c r="E23" s="603"/>
      <c r="F23" s="603"/>
      <c r="G23" s="603"/>
      <c r="H23" s="653"/>
      <c r="I23" s="653"/>
      <c r="J23" s="653"/>
      <c r="K23" s="653"/>
      <c r="L23" s="653"/>
      <c r="M23" s="653"/>
      <c r="N23" s="653"/>
      <c r="O23" s="653"/>
      <c r="P23" s="653"/>
      <c r="Q23" s="653"/>
      <c r="R23" s="653"/>
      <c r="S23" s="653"/>
      <c r="T23" s="653"/>
      <c r="U23" s="653"/>
      <c r="V23" s="653"/>
      <c r="W23" s="653"/>
      <c r="X23" s="653"/>
      <c r="Y23" s="653"/>
      <c r="Z23" s="653"/>
      <c r="AA23" s="653"/>
      <c r="AB23" s="653"/>
      <c r="AC23" s="653"/>
      <c r="AD23" s="653"/>
      <c r="AE23" s="653"/>
      <c r="AF23" s="653"/>
      <c r="AG23" s="653"/>
      <c r="AH23" s="653"/>
      <c r="AI23" s="653"/>
      <c r="AJ23" s="653"/>
      <c r="AK23" s="653"/>
      <c r="AL23" s="653"/>
      <c r="AM23" s="653"/>
      <c r="AN23" s="653"/>
      <c r="AO23" s="653"/>
      <c r="AP23" s="653"/>
      <c r="AQ23" s="653"/>
      <c r="AR23" s="653"/>
      <c r="AS23" s="655"/>
      <c r="AT23" s="616"/>
      <c r="AU23" s="616"/>
      <c r="AV23" s="616"/>
      <c r="AW23" s="616"/>
      <c r="AX23" s="616"/>
      <c r="AY23" s="616"/>
      <c r="AZ23" s="604"/>
      <c r="BA23" s="604"/>
      <c r="BB23" s="570"/>
      <c r="BC23" s="571"/>
      <c r="BD23" s="544"/>
      <c r="BE23" s="710"/>
      <c r="BF23" s="710" t="s">
        <v>397</v>
      </c>
      <c r="BG23" s="710"/>
      <c r="BH23" s="710"/>
      <c r="BI23" s="710"/>
      <c r="BJ23" s="710"/>
      <c r="BK23" s="710"/>
      <c r="BL23" s="710"/>
      <c r="BM23" s="710"/>
      <c r="BN23" s="710"/>
      <c r="BO23" s="710"/>
      <c r="BP23" s="710"/>
      <c r="BQ23" s="710"/>
      <c r="BR23" s="710"/>
      <c r="BS23" s="710"/>
      <c r="BT23" s="710"/>
    </row>
    <row r="24" spans="1:72" ht="12.6" customHeight="1">
      <c r="A24" s="556"/>
      <c r="B24" s="600"/>
      <c r="C24" s="614"/>
      <c r="D24" s="615"/>
      <c r="E24" s="603"/>
      <c r="F24" s="603"/>
      <c r="G24" s="603"/>
      <c r="H24" s="653"/>
      <c r="I24" s="653"/>
      <c r="J24" s="863"/>
      <c r="K24" s="863"/>
      <c r="L24" s="863"/>
      <c r="M24" s="863"/>
      <c r="N24" s="656"/>
      <c r="O24" s="657"/>
      <c r="P24" s="656"/>
      <c r="Q24" s="653"/>
      <c r="R24" s="653"/>
      <c r="S24" s="653"/>
      <c r="T24" s="654"/>
      <c r="U24" s="654"/>
      <c r="V24" s="654"/>
      <c r="W24" s="654"/>
      <c r="X24" s="654"/>
      <c r="Y24" s="657"/>
      <c r="Z24" s="654"/>
      <c r="AA24" s="653"/>
      <c r="AB24" s="657"/>
      <c r="AC24" s="654"/>
      <c r="AD24" s="653"/>
      <c r="AE24" s="657"/>
      <c r="AF24" s="653"/>
      <c r="AG24" s="653"/>
      <c r="AH24" s="657"/>
      <c r="AI24" s="653"/>
      <c r="AJ24" s="653"/>
      <c r="AK24" s="658"/>
      <c r="AL24" s="653"/>
      <c r="AM24" s="653"/>
      <c r="AN24" s="653"/>
      <c r="AO24" s="653"/>
      <c r="AP24" s="653"/>
      <c r="AQ24" s="653"/>
      <c r="AR24" s="653"/>
      <c r="AS24" s="653"/>
      <c r="AT24" s="603"/>
      <c r="AU24" s="603"/>
      <c r="AV24" s="603"/>
      <c r="AW24" s="603"/>
      <c r="AX24" s="603"/>
      <c r="AY24" s="603"/>
      <c r="AZ24" s="604"/>
      <c r="BA24" s="604"/>
      <c r="BB24" s="570"/>
      <c r="BC24" s="571"/>
      <c r="BD24" s="544"/>
      <c r="BE24" s="710"/>
      <c r="BF24" s="710"/>
      <c r="BG24" s="710" t="s">
        <v>398</v>
      </c>
      <c r="BH24" s="710"/>
      <c r="BI24" s="710"/>
      <c r="BJ24" s="710"/>
      <c r="BK24" s="710"/>
      <c r="BL24" s="710"/>
      <c r="BM24" s="710"/>
      <c r="BN24" s="710"/>
      <c r="BO24" s="710"/>
      <c r="BP24" s="710"/>
      <c r="BQ24" s="710"/>
      <c r="BR24" s="710"/>
      <c r="BS24" s="710"/>
      <c r="BT24" s="710"/>
    </row>
    <row r="25" spans="1:72" ht="25.5" customHeight="1">
      <c r="A25" s="556"/>
      <c r="B25" s="610"/>
      <c r="C25" s="606"/>
      <c r="D25" s="606"/>
      <c r="E25" s="606"/>
      <c r="F25" s="606"/>
      <c r="G25" s="606"/>
      <c r="H25" s="659"/>
      <c r="I25" s="659" t="s">
        <v>393</v>
      </c>
      <c r="J25" s="660"/>
      <c r="K25" s="660"/>
      <c r="L25" s="660"/>
      <c r="M25" s="660"/>
      <c r="N25" s="661"/>
      <c r="O25" s="659"/>
      <c r="P25" s="659"/>
      <c r="Q25" s="659"/>
      <c r="R25" s="659"/>
      <c r="S25" s="659"/>
      <c r="T25" s="661"/>
      <c r="U25" s="661"/>
      <c r="V25" s="661"/>
      <c r="W25" s="661"/>
      <c r="X25" s="661"/>
      <c r="Y25" s="662"/>
      <c r="Z25" s="661"/>
      <c r="AA25" s="659"/>
      <c r="AB25" s="662"/>
      <c r="AC25" s="661"/>
      <c r="AD25" s="659"/>
      <c r="AE25" s="662"/>
      <c r="AF25" s="659"/>
      <c r="AG25" s="663"/>
      <c r="AH25" s="664"/>
      <c r="AI25" s="663"/>
      <c r="AJ25" s="663"/>
      <c r="AK25" s="663"/>
      <c r="AL25" s="663"/>
      <c r="AM25" s="663"/>
      <c r="AN25" s="663"/>
      <c r="AO25" s="663"/>
      <c r="AP25" s="663"/>
      <c r="AQ25" s="663"/>
      <c r="AR25" s="663"/>
      <c r="AS25" s="663"/>
      <c r="AT25" s="603"/>
      <c r="AU25" s="603"/>
      <c r="AV25" s="603"/>
      <c r="AW25" s="603"/>
      <c r="AX25" s="607"/>
      <c r="AY25" s="598"/>
      <c r="AZ25" s="604"/>
      <c r="BA25" s="604"/>
      <c r="BB25" s="542"/>
      <c r="BC25" s="543"/>
      <c r="BD25" s="544"/>
      <c r="BE25" s="710"/>
      <c r="BF25" s="710"/>
      <c r="BG25" s="710" t="s">
        <v>399</v>
      </c>
      <c r="BH25" s="710"/>
      <c r="BI25" s="710"/>
      <c r="BJ25" s="710"/>
      <c r="BK25" s="710"/>
      <c r="BL25" s="710"/>
      <c r="BM25" s="710"/>
      <c r="BN25" s="710"/>
      <c r="BO25" s="710"/>
      <c r="BP25" s="710"/>
      <c r="BQ25" s="710"/>
      <c r="BR25" s="710"/>
      <c r="BS25" s="710"/>
      <c r="BT25" s="710"/>
    </row>
    <row r="26" spans="1:72" ht="12.6" customHeight="1">
      <c r="A26" s="556"/>
      <c r="B26" s="600"/>
      <c r="C26" s="602"/>
      <c r="D26" s="602"/>
      <c r="E26" s="602"/>
      <c r="F26" s="602"/>
      <c r="G26" s="602"/>
      <c r="H26" s="602"/>
      <c r="I26" s="602"/>
      <c r="J26" s="602"/>
      <c r="K26" s="602"/>
      <c r="L26" s="602"/>
      <c r="M26" s="602"/>
      <c r="N26" s="602"/>
      <c r="O26" s="602"/>
      <c r="P26" s="602"/>
      <c r="Q26" s="602"/>
      <c r="R26" s="602"/>
      <c r="S26" s="602"/>
      <c r="T26" s="602"/>
      <c r="U26" s="602"/>
      <c r="V26" s="602"/>
      <c r="W26" s="602"/>
      <c r="X26" s="602"/>
      <c r="Y26" s="602"/>
      <c r="Z26" s="602"/>
      <c r="AA26" s="602"/>
      <c r="AB26" s="602"/>
      <c r="AC26" s="602"/>
      <c r="AD26" s="602"/>
      <c r="AE26" s="602"/>
      <c r="AF26" s="602"/>
      <c r="AG26" s="602"/>
      <c r="AH26" s="602"/>
      <c r="AI26" s="602"/>
      <c r="AJ26" s="602"/>
      <c r="AK26" s="602"/>
      <c r="AL26" s="602"/>
      <c r="AM26" s="602"/>
      <c r="AN26" s="602"/>
      <c r="AO26" s="602"/>
      <c r="AP26" s="602"/>
      <c r="AQ26" s="602"/>
      <c r="AR26" s="602"/>
      <c r="AS26" s="602"/>
      <c r="AT26" s="602"/>
      <c r="AU26" s="602"/>
      <c r="AV26" s="602"/>
      <c r="AW26" s="602"/>
      <c r="AX26" s="602"/>
      <c r="AY26" s="602"/>
      <c r="AZ26" s="604"/>
      <c r="BA26" s="604"/>
      <c r="BB26" s="570"/>
      <c r="BC26" s="571"/>
      <c r="BD26" s="544"/>
      <c r="BE26" s="710"/>
      <c r="BF26" s="710"/>
      <c r="BG26" s="713" t="s">
        <v>400</v>
      </c>
      <c r="BH26" s="710"/>
      <c r="BI26" s="710"/>
      <c r="BJ26" s="710"/>
      <c r="BK26" s="710"/>
      <c r="BL26" s="710"/>
      <c r="BM26" s="710"/>
      <c r="BN26" s="710"/>
      <c r="BO26" s="710"/>
      <c r="BP26" s="710"/>
      <c r="BQ26" s="710"/>
      <c r="BR26" s="710"/>
      <c r="BS26" s="710"/>
      <c r="BT26" s="710"/>
    </row>
    <row r="27" spans="1:72" ht="12.6" customHeight="1">
      <c r="A27" s="556"/>
      <c r="B27" s="600"/>
      <c r="C27" s="602"/>
      <c r="D27" s="602"/>
      <c r="E27" s="602"/>
      <c r="F27" s="602"/>
      <c r="G27" s="602"/>
      <c r="H27" s="602"/>
      <c r="I27" s="602"/>
      <c r="J27" s="602"/>
      <c r="K27" s="602"/>
      <c r="L27" s="602"/>
      <c r="M27" s="602"/>
      <c r="N27" s="602"/>
      <c r="O27" s="602"/>
      <c r="P27" s="602"/>
      <c r="Q27" s="602"/>
      <c r="R27" s="602"/>
      <c r="S27" s="602"/>
      <c r="T27" s="602"/>
      <c r="U27" s="602"/>
      <c r="V27" s="602"/>
      <c r="W27" s="602"/>
      <c r="X27" s="602"/>
      <c r="Y27" s="602"/>
      <c r="Z27" s="602"/>
      <c r="AA27" s="602"/>
      <c r="AB27" s="602"/>
      <c r="AC27" s="602"/>
      <c r="AD27" s="602"/>
      <c r="AE27" s="602"/>
      <c r="AF27" s="602"/>
      <c r="AG27" s="602"/>
      <c r="AH27" s="602"/>
      <c r="AI27" s="602"/>
      <c r="AJ27" s="602"/>
      <c r="AK27" s="602"/>
      <c r="AL27" s="602"/>
      <c r="AM27" s="602"/>
      <c r="AN27" s="602"/>
      <c r="AO27" s="602"/>
      <c r="AP27" s="602"/>
      <c r="AQ27" s="602"/>
      <c r="AR27" s="602"/>
      <c r="AS27" s="602"/>
      <c r="AT27" s="602"/>
      <c r="AU27" s="602"/>
      <c r="AV27" s="602"/>
      <c r="AW27" s="602"/>
      <c r="AX27" s="602"/>
      <c r="AY27" s="602"/>
      <c r="AZ27" s="604"/>
      <c r="BA27" s="604"/>
      <c r="BB27" s="570"/>
      <c r="BC27" s="571"/>
      <c r="BD27" s="544"/>
      <c r="BE27" s="710"/>
      <c r="BF27" s="710"/>
      <c r="BG27" s="713"/>
      <c r="BH27" s="710"/>
      <c r="BI27" s="710"/>
      <c r="BJ27" s="710"/>
      <c r="BK27" s="710"/>
      <c r="BL27" s="710"/>
      <c r="BM27" s="710"/>
      <c r="BN27" s="710"/>
      <c r="BO27" s="710"/>
      <c r="BP27" s="710"/>
      <c r="BQ27" s="710"/>
      <c r="BR27" s="710"/>
      <c r="BS27" s="710"/>
      <c r="BT27" s="710"/>
    </row>
    <row r="28" spans="1:72" ht="17.100000000000001" customHeight="1">
      <c r="A28" s="556"/>
      <c r="B28" s="600"/>
      <c r="C28" s="598"/>
      <c r="D28" s="598"/>
      <c r="E28" s="598"/>
      <c r="F28" s="598"/>
      <c r="G28" s="598"/>
      <c r="H28" s="665" t="s">
        <v>336</v>
      </c>
      <c r="I28" s="666"/>
      <c r="J28" s="667"/>
      <c r="K28" s="667"/>
      <c r="L28" s="668"/>
      <c r="M28" s="669" t="s">
        <v>337</v>
      </c>
      <c r="N28" s="670"/>
      <c r="O28" s="666"/>
      <c r="P28" s="666"/>
      <c r="Q28" s="671"/>
      <c r="R28" s="665" t="s">
        <v>339</v>
      </c>
      <c r="S28" s="666"/>
      <c r="T28" s="670"/>
      <c r="U28" s="670"/>
      <c r="V28" s="672"/>
      <c r="W28" s="673" t="s">
        <v>338</v>
      </c>
      <c r="X28" s="670"/>
      <c r="Y28" s="672"/>
      <c r="Z28" s="673"/>
      <c r="AA28" s="673" t="s">
        <v>340</v>
      </c>
      <c r="AB28" s="666"/>
      <c r="AC28" s="670"/>
      <c r="AD28" s="672"/>
      <c r="AE28" s="665" t="s">
        <v>341</v>
      </c>
      <c r="AF28" s="666"/>
      <c r="AG28" s="666"/>
      <c r="AH28" s="672"/>
      <c r="AI28" s="665" t="s">
        <v>342</v>
      </c>
      <c r="AJ28" s="666"/>
      <c r="AK28" s="666"/>
      <c r="AL28" s="666"/>
      <c r="AM28" s="671"/>
      <c r="AN28" s="665" t="s">
        <v>343</v>
      </c>
      <c r="AO28" s="666"/>
      <c r="AP28" s="666"/>
      <c r="AQ28" s="666"/>
      <c r="AR28" s="666"/>
      <c r="AS28" s="671"/>
      <c r="AT28" s="607"/>
      <c r="AU28" s="598"/>
      <c r="AV28" s="603"/>
      <c r="AW28" s="603"/>
      <c r="AX28" s="603"/>
      <c r="AY28" s="598"/>
      <c r="AZ28" s="604"/>
      <c r="BA28" s="604"/>
      <c r="BB28" s="542"/>
      <c r="BC28" s="543"/>
      <c r="BD28" s="545"/>
      <c r="BE28" s="710"/>
      <c r="BF28" s="710" t="s">
        <v>401</v>
      </c>
      <c r="BG28" s="713"/>
      <c r="BH28" s="710"/>
      <c r="BI28" s="710"/>
      <c r="BJ28" s="710"/>
      <c r="BK28" s="710"/>
      <c r="BL28" s="710"/>
      <c r="BM28" s="710"/>
      <c r="BN28" s="710"/>
      <c r="BO28" s="710"/>
      <c r="BP28" s="710"/>
      <c r="BQ28" s="710"/>
      <c r="BR28" s="710"/>
      <c r="BS28" s="710"/>
      <c r="BT28" s="710"/>
    </row>
    <row r="29" spans="1:72" ht="16.5" customHeight="1">
      <c r="A29" s="556"/>
      <c r="B29" s="600"/>
      <c r="C29" s="614"/>
      <c r="D29" s="615"/>
      <c r="E29" s="603"/>
      <c r="F29" s="603"/>
      <c r="G29" s="603"/>
      <c r="H29" s="674" t="s">
        <v>346</v>
      </c>
      <c r="I29" s="675"/>
      <c r="J29" s="675"/>
      <c r="K29" s="675"/>
      <c r="L29" s="676"/>
      <c r="M29" s="674" t="s">
        <v>377</v>
      </c>
      <c r="N29" s="675"/>
      <c r="O29" s="675"/>
      <c r="P29" s="675"/>
      <c r="Q29" s="676"/>
      <c r="R29" s="677" t="s">
        <v>377</v>
      </c>
      <c r="S29" s="678"/>
      <c r="T29" s="679"/>
      <c r="U29" s="679"/>
      <c r="V29" s="680"/>
      <c r="W29" s="707" t="s">
        <v>381</v>
      </c>
      <c r="X29" s="679"/>
      <c r="Y29" s="680"/>
      <c r="Z29" s="681"/>
      <c r="AA29" s="688" t="s">
        <v>380</v>
      </c>
      <c r="AB29" s="678"/>
      <c r="AC29" s="679"/>
      <c r="AD29" s="680"/>
      <c r="AE29" s="681" t="s">
        <v>382</v>
      </c>
      <c r="AF29" s="678"/>
      <c r="AG29" s="678"/>
      <c r="AH29" s="685"/>
      <c r="AI29" s="677" t="s">
        <v>376</v>
      </c>
      <c r="AJ29" s="678"/>
      <c r="AK29" s="678"/>
      <c r="AL29" s="678"/>
      <c r="AM29" s="685"/>
      <c r="AN29" s="689"/>
      <c r="AO29" s="678"/>
      <c r="AP29" s="678"/>
      <c r="AQ29" s="678"/>
      <c r="AR29" s="678"/>
      <c r="AS29" s="686"/>
      <c r="AT29" s="609"/>
      <c r="AU29" s="603"/>
      <c r="AV29" s="603"/>
      <c r="AW29" s="603"/>
      <c r="AX29" s="603"/>
      <c r="AY29" s="603"/>
      <c r="AZ29" s="604"/>
      <c r="BA29" s="604"/>
      <c r="BB29" s="570"/>
      <c r="BC29" s="571"/>
      <c r="BD29" s="544"/>
      <c r="BE29" s="710"/>
      <c r="BF29" s="710"/>
      <c r="BG29" s="710" t="s">
        <v>402</v>
      </c>
      <c r="BH29" s="710"/>
      <c r="BI29" s="710"/>
      <c r="BJ29" s="710"/>
      <c r="BK29" s="710"/>
      <c r="BL29" s="710"/>
      <c r="BM29" s="710"/>
      <c r="BN29" s="710"/>
      <c r="BO29" s="710"/>
      <c r="BP29" s="710"/>
      <c r="BQ29" s="710"/>
      <c r="BR29" s="710"/>
      <c r="BS29" s="710"/>
      <c r="BT29" s="710"/>
    </row>
    <row r="30" spans="1:72" ht="16.5" customHeight="1">
      <c r="A30" s="556"/>
      <c r="B30" s="600"/>
      <c r="C30" s="614"/>
      <c r="D30" s="615"/>
      <c r="E30" s="603"/>
      <c r="F30" s="603"/>
      <c r="G30" s="603"/>
      <c r="H30" s="674" t="s">
        <v>347</v>
      </c>
      <c r="I30" s="675"/>
      <c r="J30" s="675"/>
      <c r="K30" s="675"/>
      <c r="L30" s="676"/>
      <c r="M30" s="674" t="s">
        <v>378</v>
      </c>
      <c r="N30" s="675"/>
      <c r="O30" s="675"/>
      <c r="P30" s="675"/>
      <c r="Q30" s="676"/>
      <c r="R30" s="677" t="s">
        <v>378</v>
      </c>
      <c r="S30" s="678"/>
      <c r="T30" s="679"/>
      <c r="U30" s="679"/>
      <c r="V30" s="680"/>
      <c r="W30" s="707" t="s">
        <v>381</v>
      </c>
      <c r="X30" s="679"/>
      <c r="Y30" s="680"/>
      <c r="Z30" s="681"/>
      <c r="AA30" s="688" t="s">
        <v>380</v>
      </c>
      <c r="AB30" s="678"/>
      <c r="AC30" s="679"/>
      <c r="AD30" s="680"/>
      <c r="AE30" s="681" t="s">
        <v>383</v>
      </c>
      <c r="AF30" s="678"/>
      <c r="AG30" s="678"/>
      <c r="AH30" s="685"/>
      <c r="AI30" s="677" t="s">
        <v>352</v>
      </c>
      <c r="AJ30" s="678"/>
      <c r="AK30" s="678"/>
      <c r="AL30" s="678"/>
      <c r="AM30" s="685"/>
      <c r="AN30" s="689"/>
      <c r="AO30" s="678"/>
      <c r="AP30" s="678"/>
      <c r="AQ30" s="678"/>
      <c r="AR30" s="678"/>
      <c r="AS30" s="686"/>
      <c r="AT30" s="616"/>
      <c r="AU30" s="616"/>
      <c r="AV30" s="616"/>
      <c r="AW30" s="616"/>
      <c r="AX30" s="616"/>
      <c r="AY30" s="616"/>
      <c r="AZ30" s="604"/>
      <c r="BA30" s="604"/>
      <c r="BB30" s="570"/>
      <c r="BC30" s="571"/>
      <c r="BD30" s="544"/>
      <c r="BE30" s="710"/>
      <c r="BF30" s="710"/>
      <c r="BG30" s="713" t="s">
        <v>403</v>
      </c>
      <c r="BH30" s="710"/>
      <c r="BI30" s="710"/>
      <c r="BJ30" s="710"/>
      <c r="BK30" s="710"/>
      <c r="BL30" s="710"/>
      <c r="BM30" s="710"/>
      <c r="BN30" s="710"/>
      <c r="BO30" s="710"/>
      <c r="BP30" s="710"/>
      <c r="BQ30" s="710"/>
      <c r="BR30" s="710"/>
      <c r="BS30" s="710"/>
      <c r="BT30" s="710"/>
    </row>
    <row r="31" spans="1:72" ht="16.5" customHeight="1">
      <c r="A31" s="556"/>
      <c r="B31" s="600"/>
      <c r="C31" s="602"/>
      <c r="D31" s="602"/>
      <c r="E31" s="602"/>
      <c r="F31" s="602"/>
      <c r="G31" s="602"/>
      <c r="H31" s="674" t="s">
        <v>348</v>
      </c>
      <c r="I31" s="675"/>
      <c r="J31" s="675"/>
      <c r="K31" s="675"/>
      <c r="L31" s="676"/>
      <c r="M31" s="674" t="s">
        <v>379</v>
      </c>
      <c r="N31" s="675"/>
      <c r="O31" s="675"/>
      <c r="P31" s="675"/>
      <c r="Q31" s="676"/>
      <c r="R31" s="677" t="s">
        <v>379</v>
      </c>
      <c r="S31" s="678"/>
      <c r="T31" s="679"/>
      <c r="U31" s="679"/>
      <c r="V31" s="680"/>
      <c r="W31" s="707" t="s">
        <v>381</v>
      </c>
      <c r="X31" s="679"/>
      <c r="Y31" s="680"/>
      <c r="Z31" s="681"/>
      <c r="AA31" s="688" t="s">
        <v>380</v>
      </c>
      <c r="AB31" s="678"/>
      <c r="AC31" s="679"/>
      <c r="AD31" s="680"/>
      <c r="AE31" s="681" t="s">
        <v>382</v>
      </c>
      <c r="AF31" s="678"/>
      <c r="AG31" s="678"/>
      <c r="AH31" s="685"/>
      <c r="AI31" s="677" t="s">
        <v>345</v>
      </c>
      <c r="AJ31" s="678"/>
      <c r="AK31" s="678"/>
      <c r="AL31" s="678"/>
      <c r="AM31" s="685"/>
      <c r="AN31" s="689"/>
      <c r="AO31" s="678"/>
      <c r="AP31" s="678"/>
      <c r="AQ31" s="678"/>
      <c r="AR31" s="678"/>
      <c r="AS31" s="686"/>
      <c r="AT31" s="602"/>
      <c r="AU31" s="602"/>
      <c r="AV31" s="602"/>
      <c r="AW31" s="602"/>
      <c r="AX31" s="602"/>
      <c r="AY31" s="602"/>
      <c r="AZ31" s="604"/>
      <c r="BA31" s="604"/>
      <c r="BB31" s="570"/>
      <c r="BC31" s="571"/>
      <c r="BD31" s="544"/>
      <c r="BE31" s="710"/>
      <c r="BF31" s="710"/>
      <c r="BG31" s="710" t="s">
        <v>404</v>
      </c>
      <c r="BH31" s="710"/>
      <c r="BI31" s="710"/>
      <c r="BJ31" s="710"/>
      <c r="BK31" s="710"/>
      <c r="BL31" s="710"/>
      <c r="BM31" s="710"/>
      <c r="BN31" s="710"/>
      <c r="BO31" s="710"/>
      <c r="BP31" s="710"/>
      <c r="BQ31" s="710"/>
      <c r="BR31" s="710"/>
      <c r="BS31" s="710"/>
      <c r="BT31" s="710"/>
    </row>
    <row r="32" spans="1:72" ht="12.6" customHeight="1">
      <c r="A32" s="556"/>
      <c r="B32" s="600"/>
      <c r="C32" s="602"/>
      <c r="D32" s="602"/>
      <c r="E32" s="602"/>
      <c r="F32" s="602"/>
      <c r="G32" s="602"/>
      <c r="H32" s="602"/>
      <c r="I32" s="602"/>
      <c r="J32" s="602"/>
      <c r="K32" s="602"/>
      <c r="L32" s="602"/>
      <c r="M32" s="602"/>
      <c r="N32" s="602"/>
      <c r="O32" s="602"/>
      <c r="P32" s="602"/>
      <c r="Q32" s="602"/>
      <c r="R32" s="602"/>
      <c r="S32" s="602"/>
      <c r="T32" s="602"/>
      <c r="U32" s="602"/>
      <c r="V32" s="602"/>
      <c r="W32" s="602"/>
      <c r="X32" s="602"/>
      <c r="Y32" s="602"/>
      <c r="Z32" s="602"/>
      <c r="AA32" s="602"/>
      <c r="AB32" s="602"/>
      <c r="AC32" s="602"/>
      <c r="AD32" s="602"/>
      <c r="AE32" s="602"/>
      <c r="AF32" s="602"/>
      <c r="AG32" s="602"/>
      <c r="AH32" s="602"/>
      <c r="AI32" s="602"/>
      <c r="AJ32" s="602"/>
      <c r="AK32" s="602"/>
      <c r="AL32" s="602"/>
      <c r="AM32" s="602"/>
      <c r="AN32" s="602"/>
      <c r="AO32" s="602"/>
      <c r="AP32" s="602"/>
      <c r="AQ32" s="602"/>
      <c r="AR32" s="602"/>
      <c r="AS32" s="602"/>
      <c r="AT32" s="602"/>
      <c r="AU32" s="602"/>
      <c r="AV32" s="602"/>
      <c r="AW32" s="602"/>
      <c r="AX32" s="602"/>
      <c r="AY32" s="602"/>
      <c r="AZ32" s="604"/>
      <c r="BA32" s="604"/>
      <c r="BB32" s="570"/>
      <c r="BC32" s="571"/>
      <c r="BD32" s="544"/>
      <c r="BE32" s="710"/>
      <c r="BF32" s="710"/>
      <c r="BG32" s="713" t="s">
        <v>405</v>
      </c>
      <c r="BH32" s="710"/>
      <c r="BI32" s="710"/>
      <c r="BJ32" s="710"/>
      <c r="BK32" s="710"/>
      <c r="BL32" s="710"/>
      <c r="BM32" s="710"/>
      <c r="BN32" s="710"/>
      <c r="BO32" s="710"/>
      <c r="BP32" s="710"/>
      <c r="BQ32" s="710"/>
      <c r="BR32" s="710"/>
      <c r="BS32" s="710"/>
      <c r="BT32" s="710"/>
    </row>
    <row r="33" spans="1:72" ht="12.6" customHeight="1">
      <c r="A33" s="556"/>
      <c r="B33" s="600"/>
      <c r="C33" s="602"/>
      <c r="D33" s="602"/>
      <c r="E33" s="602"/>
      <c r="F33" s="602"/>
      <c r="G33" s="602"/>
      <c r="H33" s="602"/>
      <c r="I33" s="602"/>
      <c r="J33" s="602"/>
      <c r="K33" s="602"/>
      <c r="L33" s="602"/>
      <c r="M33" s="602"/>
      <c r="N33" s="602"/>
      <c r="O33" s="775"/>
      <c r="P33" s="775"/>
      <c r="Q33" s="775"/>
      <c r="R33" s="775"/>
      <c r="S33" s="775"/>
      <c r="T33" s="775"/>
      <c r="U33" s="775"/>
      <c r="V33" s="775"/>
      <c r="W33" s="775"/>
      <c r="X33" s="775"/>
      <c r="Y33" s="775"/>
      <c r="Z33" s="775"/>
      <c r="AA33" s="775"/>
      <c r="AB33" s="775"/>
      <c r="AC33" s="775"/>
      <c r="AD33" s="775"/>
      <c r="AE33" s="776"/>
      <c r="AF33" s="776"/>
      <c r="AG33" s="602"/>
      <c r="AH33" s="602"/>
      <c r="AI33" s="602"/>
      <c r="AJ33" s="602"/>
      <c r="AK33" s="602"/>
      <c r="AL33" s="602"/>
      <c r="AM33" s="602"/>
      <c r="AN33" s="602"/>
      <c r="AO33" s="602"/>
      <c r="AP33" s="602"/>
      <c r="AQ33" s="602"/>
      <c r="AR33" s="602"/>
      <c r="AS33" s="602"/>
      <c r="AT33" s="602"/>
      <c r="AU33" s="602"/>
      <c r="AV33" s="602"/>
      <c r="AW33" s="602"/>
      <c r="AX33" s="602"/>
      <c r="AY33" s="602"/>
      <c r="AZ33" s="604"/>
      <c r="BA33" s="604"/>
      <c r="BB33" s="542"/>
      <c r="BC33" s="543"/>
      <c r="BD33" s="545"/>
      <c r="BE33" s="710"/>
      <c r="BF33" s="710"/>
      <c r="BG33" s="713" t="s">
        <v>406</v>
      </c>
      <c r="BH33" s="710"/>
      <c r="BI33" s="710"/>
      <c r="BJ33" s="710"/>
      <c r="BK33" s="710"/>
      <c r="BL33" s="710"/>
      <c r="BM33" s="710"/>
      <c r="BN33" s="710"/>
      <c r="BO33" s="710"/>
      <c r="BP33" s="710"/>
      <c r="BQ33" s="710"/>
      <c r="BR33" s="710"/>
      <c r="BS33" s="710"/>
      <c r="BT33" s="710"/>
    </row>
    <row r="34" spans="1:72" ht="14.25">
      <c r="A34" s="556"/>
      <c r="B34" s="610"/>
      <c r="C34" s="603"/>
      <c r="D34" s="603"/>
      <c r="E34" s="603"/>
      <c r="F34" s="603"/>
      <c r="G34" s="603"/>
      <c r="H34" s="603"/>
      <c r="I34" s="603"/>
      <c r="J34" s="603"/>
      <c r="K34" s="603"/>
      <c r="L34" s="603"/>
      <c r="M34" s="603"/>
      <c r="N34" s="603"/>
      <c r="O34" s="603"/>
      <c r="P34" s="603"/>
      <c r="Q34" s="603"/>
      <c r="R34" s="603"/>
      <c r="S34" s="609"/>
      <c r="T34" s="609"/>
      <c r="U34" s="609"/>
      <c r="V34" s="609"/>
      <c r="W34" s="603"/>
      <c r="X34" s="603"/>
      <c r="Y34" s="609"/>
      <c r="Z34" s="777"/>
      <c r="AA34" s="603"/>
      <c r="AB34" s="603"/>
      <c r="AC34" s="603"/>
      <c r="AD34" s="609"/>
      <c r="AE34" s="609"/>
      <c r="AF34" s="609"/>
      <c r="AG34" s="609"/>
      <c r="AH34" s="609"/>
      <c r="AI34" s="609"/>
      <c r="AJ34" s="609"/>
      <c r="AK34" s="609"/>
      <c r="AL34" s="609"/>
      <c r="AM34" s="609"/>
      <c r="AN34" s="609"/>
      <c r="AO34" s="609"/>
      <c r="AP34" s="609"/>
      <c r="AQ34" s="609"/>
      <c r="AR34" s="609"/>
      <c r="AS34" s="609"/>
      <c r="AT34" s="609"/>
      <c r="AU34" s="609"/>
      <c r="AV34" s="609"/>
      <c r="AW34" s="609"/>
      <c r="AX34" s="609"/>
      <c r="AY34" s="598"/>
      <c r="AZ34" s="604"/>
      <c r="BA34" s="604"/>
      <c r="BB34" s="570"/>
      <c r="BC34" s="571"/>
      <c r="BD34" s="572"/>
      <c r="BE34" s="710"/>
      <c r="BF34" s="710"/>
      <c r="BG34" s="713" t="s">
        <v>407</v>
      </c>
      <c r="BH34" s="710"/>
      <c r="BI34" s="710"/>
      <c r="BJ34" s="710"/>
      <c r="BK34" s="710"/>
      <c r="BL34" s="710"/>
      <c r="BM34" s="710"/>
      <c r="BN34" s="710"/>
      <c r="BO34" s="710"/>
      <c r="BP34" s="710"/>
      <c r="BQ34" s="710"/>
      <c r="BR34" s="710"/>
      <c r="BS34" s="710"/>
      <c r="BT34" s="710"/>
    </row>
    <row r="35" spans="1:72" ht="15.75">
      <c r="A35" s="556"/>
      <c r="B35" s="718"/>
      <c r="C35" s="719"/>
      <c r="D35" s="719"/>
      <c r="E35" s="719"/>
      <c r="F35" s="719"/>
      <c r="G35" s="719"/>
      <c r="H35" s="719"/>
      <c r="I35" s="719"/>
      <c r="J35" s="719"/>
      <c r="K35" s="719"/>
      <c r="L35" s="719"/>
      <c r="M35" s="719"/>
      <c r="N35" s="719"/>
      <c r="O35" s="719"/>
      <c r="P35" s="719"/>
      <c r="Q35" s="719"/>
      <c r="R35" s="719"/>
      <c r="S35" s="720"/>
      <c r="T35" s="720"/>
      <c r="U35" s="720"/>
      <c r="V35" s="720"/>
      <c r="W35" s="719"/>
      <c r="X35" s="719"/>
      <c r="Y35" s="720"/>
      <c r="Z35" s="720"/>
      <c r="AA35" s="719"/>
      <c r="AB35" s="719"/>
      <c r="AC35" s="719"/>
      <c r="AD35" s="720"/>
      <c r="AE35" s="720"/>
      <c r="AF35" s="720"/>
      <c r="AG35" s="720"/>
      <c r="AH35" s="720"/>
      <c r="AI35" s="720"/>
      <c r="AJ35" s="720"/>
      <c r="AK35" s="720"/>
      <c r="AL35" s="720"/>
      <c r="AM35" s="720"/>
      <c r="AN35" s="720"/>
      <c r="AO35" s="720"/>
      <c r="AP35" s="720"/>
      <c r="AQ35" s="720"/>
      <c r="AR35" s="720"/>
      <c r="AS35" s="720"/>
      <c r="AT35" s="720"/>
      <c r="AU35" s="720"/>
      <c r="AV35" s="720"/>
      <c r="AW35" s="720"/>
      <c r="AX35" s="720"/>
      <c r="AY35" s="718"/>
      <c r="AZ35" s="718"/>
      <c r="BA35" s="604"/>
      <c r="BB35" s="721"/>
      <c r="BC35" s="722"/>
      <c r="BD35" s="572"/>
      <c r="BE35" s="710"/>
      <c r="BF35" s="710"/>
      <c r="BG35" s="713"/>
      <c r="BH35" s="710"/>
      <c r="BI35" s="710"/>
      <c r="BJ35" s="710"/>
      <c r="BK35" s="710"/>
      <c r="BL35" s="710"/>
      <c r="BM35" s="710"/>
      <c r="BN35" s="710"/>
      <c r="BO35" s="710"/>
      <c r="BP35" s="710"/>
      <c r="BQ35" s="710"/>
      <c r="BR35" s="710"/>
      <c r="BS35" s="710"/>
      <c r="BT35" s="710"/>
    </row>
    <row r="36" spans="1:72" ht="15.75">
      <c r="A36" s="545"/>
      <c r="B36" s="545"/>
      <c r="C36" s="545"/>
      <c r="D36" s="545"/>
      <c r="E36" s="545"/>
      <c r="F36" s="545"/>
      <c r="G36" s="545"/>
      <c r="H36" s="545"/>
      <c r="I36" s="545"/>
      <c r="J36" s="545"/>
      <c r="K36" s="545"/>
      <c r="L36" s="545"/>
      <c r="M36" s="545"/>
      <c r="N36" s="545"/>
      <c r="O36" s="545"/>
      <c r="P36" s="545"/>
      <c r="Q36" s="545"/>
      <c r="R36" s="545"/>
      <c r="S36" s="576"/>
      <c r="T36" s="576"/>
      <c r="U36" s="576"/>
      <c r="V36" s="576"/>
      <c r="W36" s="545"/>
      <c r="X36" s="545"/>
      <c r="Y36" s="576"/>
      <c r="Z36" s="576"/>
      <c r="AA36" s="545"/>
      <c r="AB36" s="545"/>
      <c r="AC36" s="545"/>
      <c r="AD36" s="576"/>
      <c r="AE36" s="576"/>
      <c r="AF36" s="576"/>
      <c r="AG36" s="576"/>
      <c r="AH36" s="576"/>
      <c r="AI36" s="576"/>
      <c r="AJ36" s="576"/>
      <c r="AK36" s="576"/>
      <c r="AL36" s="576"/>
      <c r="AM36" s="576"/>
      <c r="AN36" s="576"/>
      <c r="AO36" s="576"/>
      <c r="AP36" s="576"/>
      <c r="AQ36" s="576"/>
      <c r="AR36" s="576"/>
      <c r="AS36" s="576"/>
      <c r="AT36" s="576"/>
      <c r="AU36" s="576"/>
      <c r="AV36" s="576"/>
      <c r="AW36" s="576"/>
      <c r="AX36" s="576"/>
      <c r="AY36" s="576"/>
      <c r="AZ36" s="576"/>
      <c r="BA36" s="604"/>
      <c r="BB36" s="723"/>
      <c r="BC36" s="571"/>
      <c r="BD36" s="572"/>
      <c r="BE36" s="710"/>
      <c r="BF36" s="710" t="s">
        <v>408</v>
      </c>
      <c r="BG36" s="710"/>
      <c r="BH36" s="710"/>
      <c r="BI36" s="710"/>
      <c r="BJ36" s="710"/>
      <c r="BK36" s="710"/>
      <c r="BL36" s="710"/>
      <c r="BM36" s="710"/>
      <c r="BN36" s="710"/>
      <c r="BO36" s="710"/>
      <c r="BP36" s="710"/>
      <c r="BQ36" s="710"/>
      <c r="BR36" s="710"/>
      <c r="BS36" s="710"/>
      <c r="BT36" s="710"/>
    </row>
    <row r="37" spans="1:72" ht="15.75">
      <c r="A37" s="545"/>
      <c r="B37" s="545"/>
      <c r="C37" s="545"/>
      <c r="D37" s="545"/>
      <c r="E37" s="545"/>
      <c r="F37" s="545"/>
      <c r="G37" s="545"/>
      <c r="H37" s="545"/>
      <c r="I37" s="545"/>
      <c r="J37" s="545"/>
      <c r="K37" s="545"/>
      <c r="L37" s="545"/>
      <c r="M37" s="545"/>
      <c r="N37" s="545"/>
      <c r="O37" s="545"/>
      <c r="P37" s="545"/>
      <c r="Q37" s="545"/>
      <c r="R37" s="545"/>
      <c r="S37" s="576"/>
      <c r="T37" s="576"/>
      <c r="U37" s="576"/>
      <c r="V37" s="576"/>
      <c r="W37" s="545"/>
      <c r="X37" s="545"/>
      <c r="Y37" s="576"/>
      <c r="Z37" s="576"/>
      <c r="AA37" s="545"/>
      <c r="AB37" s="545"/>
      <c r="AC37" s="545"/>
      <c r="AD37" s="576"/>
      <c r="AE37" s="576"/>
      <c r="AF37" s="576"/>
      <c r="AG37" s="576"/>
      <c r="AH37" s="576"/>
      <c r="AI37" s="576"/>
      <c r="AJ37" s="576"/>
      <c r="AK37" s="576"/>
      <c r="AL37" s="576"/>
      <c r="AM37" s="576"/>
      <c r="AN37" s="576"/>
      <c r="AO37" s="576"/>
      <c r="AP37" s="576"/>
      <c r="AQ37" s="576"/>
      <c r="AR37" s="576"/>
      <c r="AS37" s="576"/>
      <c r="AT37" s="576"/>
      <c r="AU37" s="576"/>
      <c r="AV37" s="576"/>
      <c r="AW37" s="576"/>
      <c r="AX37" s="576"/>
      <c r="AY37" s="576"/>
      <c r="AZ37" s="576"/>
      <c r="BA37" s="604"/>
      <c r="BB37" s="723"/>
      <c r="BC37" s="571"/>
      <c r="BD37" s="572"/>
      <c r="BE37" s="710"/>
      <c r="BF37" s="710" t="s">
        <v>409</v>
      </c>
      <c r="BG37" s="710"/>
      <c r="BH37" s="710"/>
      <c r="BI37" s="710"/>
      <c r="BJ37" s="710"/>
      <c r="BK37" s="710"/>
      <c r="BL37" s="710"/>
      <c r="BM37" s="710"/>
      <c r="BN37" s="710"/>
      <c r="BO37" s="710"/>
      <c r="BP37" s="710"/>
      <c r="BQ37" s="710"/>
      <c r="BR37" s="710"/>
      <c r="BS37" s="710"/>
      <c r="BT37" s="710"/>
    </row>
    <row r="38" spans="1:72" ht="15.75">
      <c r="A38" s="545"/>
      <c r="B38" s="861" t="s">
        <v>450</v>
      </c>
      <c r="C38" s="861"/>
      <c r="D38" s="861"/>
      <c r="E38" s="861"/>
      <c r="F38" s="861" t="s">
        <v>451</v>
      </c>
      <c r="G38" s="861"/>
      <c r="H38" s="861"/>
      <c r="I38" s="861"/>
      <c r="J38" s="861" t="s">
        <v>452</v>
      </c>
      <c r="K38" s="861"/>
      <c r="L38" s="861"/>
      <c r="M38" s="861"/>
      <c r="N38" s="861" t="s">
        <v>453</v>
      </c>
      <c r="O38" s="861"/>
      <c r="P38" s="861"/>
      <c r="Q38" s="861"/>
      <c r="R38" s="861" t="s">
        <v>454</v>
      </c>
      <c r="S38" s="861"/>
      <c r="T38" s="861"/>
      <c r="U38" s="861"/>
      <c r="V38" s="861" t="s">
        <v>455</v>
      </c>
      <c r="W38" s="861"/>
      <c r="X38" s="861"/>
      <c r="Y38" s="861"/>
      <c r="Z38" s="861" t="s">
        <v>456</v>
      </c>
      <c r="AA38" s="861"/>
      <c r="AB38" s="861"/>
      <c r="AC38" s="861"/>
      <c r="AD38" s="861" t="s">
        <v>457</v>
      </c>
      <c r="AE38" s="861"/>
      <c r="AF38" s="861"/>
      <c r="AG38" s="861"/>
      <c r="AH38" s="861" t="s">
        <v>458</v>
      </c>
      <c r="AI38" s="861"/>
      <c r="AJ38" s="861"/>
      <c r="AK38" s="861"/>
      <c r="AL38" s="854" t="s">
        <v>459</v>
      </c>
      <c r="AM38" s="855"/>
      <c r="AN38" s="855"/>
      <c r="AO38" s="856"/>
      <c r="AP38" s="854" t="s">
        <v>460</v>
      </c>
      <c r="AQ38" s="855"/>
      <c r="AR38" s="855"/>
      <c r="AS38" s="856"/>
      <c r="AT38" s="854" t="s">
        <v>461</v>
      </c>
      <c r="AU38" s="855"/>
      <c r="AV38" s="855"/>
      <c r="AW38" s="856"/>
      <c r="AX38" s="576"/>
      <c r="AY38" s="576"/>
      <c r="AZ38" s="576"/>
      <c r="BA38" s="604"/>
      <c r="BB38" s="723"/>
      <c r="BC38" s="571"/>
      <c r="BD38" s="572"/>
      <c r="BE38" s="710"/>
      <c r="BF38" s="710" t="s">
        <v>410</v>
      </c>
      <c r="BG38" s="710"/>
      <c r="BH38" s="710"/>
      <c r="BI38" s="710"/>
      <c r="BJ38" s="710"/>
      <c r="BK38" s="710"/>
      <c r="BL38" s="710"/>
      <c r="BM38" s="710"/>
      <c r="BN38" s="710"/>
      <c r="BO38" s="710"/>
      <c r="BP38" s="710"/>
      <c r="BQ38" s="710"/>
      <c r="BR38" s="710"/>
      <c r="BS38" s="710"/>
      <c r="BT38" s="710"/>
    </row>
    <row r="39" spans="1:72" ht="15.75">
      <c r="A39" s="545"/>
      <c r="B39" s="861"/>
      <c r="C39" s="861"/>
      <c r="D39" s="861"/>
      <c r="E39" s="861"/>
      <c r="F39" s="861"/>
      <c r="G39" s="861"/>
      <c r="H39" s="861"/>
      <c r="I39" s="861"/>
      <c r="J39" s="861"/>
      <c r="K39" s="861"/>
      <c r="L39" s="861"/>
      <c r="M39" s="861"/>
      <c r="N39" s="861"/>
      <c r="O39" s="861"/>
      <c r="P39" s="861"/>
      <c r="Q39" s="861"/>
      <c r="R39" s="861"/>
      <c r="S39" s="861"/>
      <c r="T39" s="861"/>
      <c r="U39" s="861"/>
      <c r="V39" s="861"/>
      <c r="W39" s="861"/>
      <c r="X39" s="861"/>
      <c r="Y39" s="861"/>
      <c r="Z39" s="861"/>
      <c r="AA39" s="861"/>
      <c r="AB39" s="861"/>
      <c r="AC39" s="861"/>
      <c r="AD39" s="861"/>
      <c r="AE39" s="861"/>
      <c r="AF39" s="861"/>
      <c r="AG39" s="861"/>
      <c r="AH39" s="861"/>
      <c r="AI39" s="861"/>
      <c r="AJ39" s="861"/>
      <c r="AK39" s="861"/>
      <c r="AL39" s="857"/>
      <c r="AM39" s="858"/>
      <c r="AN39" s="858"/>
      <c r="AO39" s="859"/>
      <c r="AP39" s="857"/>
      <c r="AQ39" s="858"/>
      <c r="AR39" s="858"/>
      <c r="AS39" s="859"/>
      <c r="AT39" s="857"/>
      <c r="AU39" s="858"/>
      <c r="AV39" s="858"/>
      <c r="AW39" s="859"/>
      <c r="AX39" s="576"/>
      <c r="AY39" s="576"/>
      <c r="AZ39" s="576"/>
      <c r="BA39" s="604"/>
      <c r="BB39" s="723"/>
      <c r="BC39" s="571"/>
      <c r="BD39" s="572"/>
      <c r="BE39" s="710"/>
      <c r="BF39" s="710" t="s">
        <v>411</v>
      </c>
      <c r="BG39" s="713"/>
      <c r="BH39" s="710"/>
      <c r="BI39" s="710"/>
      <c r="BJ39" s="710"/>
      <c r="BK39" s="710"/>
      <c r="BL39" s="710"/>
      <c r="BM39" s="710"/>
      <c r="BN39" s="710"/>
      <c r="BO39" s="710"/>
      <c r="BP39" s="710"/>
      <c r="BQ39" s="710"/>
      <c r="BR39" s="710"/>
      <c r="BS39" s="710"/>
      <c r="BT39" s="710"/>
    </row>
    <row r="40" spans="1:72" ht="15.75">
      <c r="A40" s="545"/>
      <c r="B40" s="852" t="s">
        <v>462</v>
      </c>
      <c r="C40" s="852"/>
      <c r="D40" s="852"/>
      <c r="E40" s="852"/>
      <c r="F40" s="852" t="s">
        <v>463</v>
      </c>
      <c r="G40" s="852"/>
      <c r="H40" s="852"/>
      <c r="I40" s="852"/>
      <c r="J40" s="852" t="s">
        <v>464</v>
      </c>
      <c r="K40" s="852"/>
      <c r="L40" s="852"/>
      <c r="M40" s="852"/>
      <c r="N40" s="852" t="s">
        <v>465</v>
      </c>
      <c r="O40" s="852"/>
      <c r="P40" s="852"/>
      <c r="Q40" s="852"/>
      <c r="R40" s="860" t="s">
        <v>466</v>
      </c>
      <c r="S40" s="852"/>
      <c r="T40" s="852"/>
      <c r="U40" s="852"/>
      <c r="V40" s="852" t="s">
        <v>467</v>
      </c>
      <c r="W40" s="852"/>
      <c r="X40" s="852"/>
      <c r="Y40" s="852"/>
      <c r="Z40" s="852" t="s">
        <v>468</v>
      </c>
      <c r="AA40" s="852"/>
      <c r="AB40" s="852"/>
      <c r="AC40" s="852"/>
      <c r="AD40" s="852" t="s">
        <v>467</v>
      </c>
      <c r="AE40" s="852"/>
      <c r="AF40" s="852"/>
      <c r="AG40" s="852"/>
      <c r="AH40" s="852" t="s">
        <v>468</v>
      </c>
      <c r="AI40" s="852"/>
      <c r="AJ40" s="852"/>
      <c r="AK40" s="852"/>
      <c r="AL40" s="852" t="s">
        <v>468</v>
      </c>
      <c r="AM40" s="852"/>
      <c r="AN40" s="852"/>
      <c r="AO40" s="852"/>
      <c r="AP40" s="852" t="s">
        <v>467</v>
      </c>
      <c r="AQ40" s="852"/>
      <c r="AR40" s="852"/>
      <c r="AS40" s="852"/>
      <c r="AT40" s="852" t="s">
        <v>468</v>
      </c>
      <c r="AU40" s="852"/>
      <c r="AV40" s="852"/>
      <c r="AW40" s="852"/>
      <c r="AX40" s="576"/>
      <c r="AY40" s="576"/>
      <c r="AZ40" s="576"/>
      <c r="BA40" s="604"/>
      <c r="BB40" s="723"/>
      <c r="BC40" s="571"/>
      <c r="BD40" s="572"/>
      <c r="BE40" s="710"/>
      <c r="BF40" s="710"/>
      <c r="BG40" s="713" t="s">
        <v>412</v>
      </c>
      <c r="BH40" s="710"/>
      <c r="BI40" s="710"/>
      <c r="BJ40" s="710"/>
      <c r="BK40" s="710"/>
      <c r="BL40" s="710"/>
      <c r="BM40" s="710"/>
      <c r="BN40" s="710"/>
      <c r="BO40" s="710"/>
      <c r="BP40" s="710"/>
      <c r="BQ40" s="710"/>
      <c r="BR40" s="710"/>
      <c r="BS40" s="710"/>
      <c r="BT40" s="710"/>
    </row>
    <row r="41" spans="1:72" ht="15.75">
      <c r="A41" s="545"/>
      <c r="B41" s="852"/>
      <c r="C41" s="852"/>
      <c r="D41" s="852"/>
      <c r="E41" s="852"/>
      <c r="F41" s="852"/>
      <c r="G41" s="852"/>
      <c r="H41" s="852"/>
      <c r="I41" s="852"/>
      <c r="J41" s="852"/>
      <c r="K41" s="852"/>
      <c r="L41" s="852"/>
      <c r="M41" s="852"/>
      <c r="N41" s="852"/>
      <c r="O41" s="852"/>
      <c r="P41" s="852"/>
      <c r="Q41" s="852"/>
      <c r="R41" s="852"/>
      <c r="S41" s="852"/>
      <c r="T41" s="852"/>
      <c r="U41" s="852"/>
      <c r="V41" s="852"/>
      <c r="W41" s="852"/>
      <c r="X41" s="852"/>
      <c r="Y41" s="852"/>
      <c r="Z41" s="852"/>
      <c r="AA41" s="852"/>
      <c r="AB41" s="852"/>
      <c r="AC41" s="852"/>
      <c r="AD41" s="852"/>
      <c r="AE41" s="852"/>
      <c r="AF41" s="852"/>
      <c r="AG41" s="852"/>
      <c r="AH41" s="852"/>
      <c r="AI41" s="852"/>
      <c r="AJ41" s="852"/>
      <c r="AK41" s="852"/>
      <c r="AL41" s="852"/>
      <c r="AM41" s="852"/>
      <c r="AN41" s="852"/>
      <c r="AO41" s="852"/>
      <c r="AP41" s="852"/>
      <c r="AQ41" s="852"/>
      <c r="AR41" s="852"/>
      <c r="AS41" s="852"/>
      <c r="AT41" s="852"/>
      <c r="AU41" s="852"/>
      <c r="AV41" s="852"/>
      <c r="AW41" s="852"/>
      <c r="AX41" s="576"/>
      <c r="AY41" s="576"/>
      <c r="AZ41" s="576"/>
      <c r="BA41" s="604"/>
      <c r="BB41" s="723"/>
      <c r="BC41" s="571"/>
      <c r="BD41" s="572"/>
      <c r="BE41" s="710"/>
      <c r="BF41" s="710" t="s">
        <v>413</v>
      </c>
      <c r="BG41" s="713"/>
      <c r="BH41" s="710"/>
      <c r="BI41" s="710"/>
      <c r="BJ41" s="710"/>
      <c r="BK41" s="710"/>
      <c r="BL41" s="710"/>
      <c r="BM41" s="710"/>
      <c r="BN41" s="710"/>
      <c r="BO41" s="710"/>
      <c r="BP41" s="710"/>
      <c r="BQ41" s="710"/>
      <c r="BR41" s="710"/>
      <c r="BS41" s="710"/>
      <c r="BT41" s="710"/>
    </row>
    <row r="42" spans="1:72" ht="15.75">
      <c r="A42" s="545"/>
      <c r="B42" s="852" t="s">
        <v>469</v>
      </c>
      <c r="C42" s="852"/>
      <c r="D42" s="852"/>
      <c r="E42" s="852"/>
      <c r="F42" s="852" t="s">
        <v>470</v>
      </c>
      <c r="G42" s="852"/>
      <c r="H42" s="852"/>
      <c r="I42" s="852"/>
      <c r="J42" s="852" t="s">
        <v>471</v>
      </c>
      <c r="K42" s="852"/>
      <c r="L42" s="852"/>
      <c r="M42" s="852"/>
      <c r="N42" s="852" t="s">
        <v>472</v>
      </c>
      <c r="O42" s="852"/>
      <c r="P42" s="852"/>
      <c r="Q42" s="852"/>
      <c r="R42" s="853" t="s">
        <v>473</v>
      </c>
      <c r="S42" s="852"/>
      <c r="T42" s="852"/>
      <c r="U42" s="852"/>
      <c r="V42" s="852" t="s">
        <v>467</v>
      </c>
      <c r="W42" s="852"/>
      <c r="X42" s="852"/>
      <c r="Y42" s="852"/>
      <c r="Z42" s="852" t="s">
        <v>468</v>
      </c>
      <c r="AA42" s="852"/>
      <c r="AB42" s="852"/>
      <c r="AC42" s="852"/>
      <c r="AD42" s="852" t="s">
        <v>467</v>
      </c>
      <c r="AE42" s="852"/>
      <c r="AF42" s="852"/>
      <c r="AG42" s="852"/>
      <c r="AH42" s="852" t="s">
        <v>468</v>
      </c>
      <c r="AI42" s="852"/>
      <c r="AJ42" s="852"/>
      <c r="AK42" s="852"/>
      <c r="AL42" s="852" t="s">
        <v>468</v>
      </c>
      <c r="AM42" s="852"/>
      <c r="AN42" s="852"/>
      <c r="AO42" s="852"/>
      <c r="AP42" s="852" t="s">
        <v>467</v>
      </c>
      <c r="AQ42" s="852"/>
      <c r="AR42" s="852"/>
      <c r="AS42" s="852"/>
      <c r="AT42" s="852" t="s">
        <v>468</v>
      </c>
      <c r="AU42" s="852"/>
      <c r="AV42" s="852"/>
      <c r="AW42" s="852"/>
      <c r="AX42" s="576"/>
      <c r="AY42" s="576"/>
      <c r="AZ42" s="576"/>
      <c r="BA42" s="604"/>
      <c r="BB42" s="723"/>
      <c r="BC42" s="571"/>
      <c r="BD42" s="572"/>
      <c r="BE42" s="710"/>
      <c r="BF42" s="710"/>
      <c r="BG42" s="713" t="s">
        <v>414</v>
      </c>
      <c r="BH42" s="710"/>
      <c r="BI42" s="710"/>
      <c r="BJ42" s="710"/>
      <c r="BK42" s="710"/>
      <c r="BL42" s="710"/>
      <c r="BM42" s="710"/>
      <c r="BN42" s="710"/>
      <c r="BO42" s="710"/>
      <c r="BP42" s="710"/>
      <c r="BQ42" s="710"/>
      <c r="BR42" s="710"/>
      <c r="BS42" s="710"/>
      <c r="BT42" s="710"/>
    </row>
    <row r="43" spans="1:72" ht="15.75">
      <c r="A43" s="545"/>
      <c r="B43" s="852"/>
      <c r="C43" s="852"/>
      <c r="D43" s="852"/>
      <c r="E43" s="852"/>
      <c r="F43" s="852"/>
      <c r="G43" s="852"/>
      <c r="H43" s="852"/>
      <c r="I43" s="852"/>
      <c r="J43" s="852"/>
      <c r="K43" s="852"/>
      <c r="L43" s="852"/>
      <c r="M43" s="852"/>
      <c r="N43" s="852"/>
      <c r="O43" s="852"/>
      <c r="P43" s="852"/>
      <c r="Q43" s="852"/>
      <c r="R43" s="852"/>
      <c r="S43" s="852"/>
      <c r="T43" s="852"/>
      <c r="U43" s="852"/>
      <c r="V43" s="852"/>
      <c r="W43" s="852"/>
      <c r="X43" s="852"/>
      <c r="Y43" s="852"/>
      <c r="Z43" s="852"/>
      <c r="AA43" s="852"/>
      <c r="AB43" s="852"/>
      <c r="AC43" s="852"/>
      <c r="AD43" s="852"/>
      <c r="AE43" s="852"/>
      <c r="AF43" s="852"/>
      <c r="AG43" s="852"/>
      <c r="AH43" s="852"/>
      <c r="AI43" s="852"/>
      <c r="AJ43" s="852"/>
      <c r="AK43" s="852"/>
      <c r="AL43" s="852"/>
      <c r="AM43" s="852"/>
      <c r="AN43" s="852"/>
      <c r="AO43" s="852"/>
      <c r="AP43" s="852"/>
      <c r="AQ43" s="852"/>
      <c r="AR43" s="852"/>
      <c r="AS43" s="852"/>
      <c r="AT43" s="852"/>
      <c r="AU43" s="852"/>
      <c r="AV43" s="852"/>
      <c r="AW43" s="852"/>
      <c r="AX43" s="576"/>
      <c r="AY43" s="576"/>
      <c r="AZ43" s="576"/>
      <c r="BA43" s="604"/>
      <c r="BB43" s="723"/>
      <c r="BC43" s="571"/>
      <c r="BD43" s="572"/>
      <c r="BE43" s="710"/>
      <c r="BF43" s="710"/>
      <c r="BG43" s="713" t="s">
        <v>415</v>
      </c>
      <c r="BH43" s="710"/>
      <c r="BI43" s="710"/>
      <c r="BJ43" s="710"/>
      <c r="BK43" s="710"/>
      <c r="BL43" s="710"/>
      <c r="BM43" s="710"/>
      <c r="BN43" s="710"/>
      <c r="BO43" s="710"/>
      <c r="BP43" s="710"/>
      <c r="BQ43" s="710"/>
      <c r="BR43" s="710"/>
      <c r="BS43" s="710"/>
      <c r="BT43" s="710"/>
    </row>
    <row r="44" spans="1:72" ht="15.75">
      <c r="A44" s="545"/>
      <c r="B44" s="852" t="s">
        <v>474</v>
      </c>
      <c r="C44" s="852"/>
      <c r="D44" s="852"/>
      <c r="E44" s="852"/>
      <c r="F44" s="852" t="s">
        <v>475</v>
      </c>
      <c r="G44" s="852"/>
      <c r="H44" s="852"/>
      <c r="I44" s="852"/>
      <c r="J44" s="852" t="s">
        <v>476</v>
      </c>
      <c r="K44" s="852"/>
      <c r="L44" s="852"/>
      <c r="M44" s="852"/>
      <c r="N44" s="852" t="s">
        <v>477</v>
      </c>
      <c r="O44" s="852"/>
      <c r="P44" s="852"/>
      <c r="Q44" s="852"/>
      <c r="R44" s="853" t="s">
        <v>468</v>
      </c>
      <c r="S44" s="852"/>
      <c r="T44" s="852"/>
      <c r="U44" s="852"/>
      <c r="V44" s="852" t="s">
        <v>467</v>
      </c>
      <c r="W44" s="852"/>
      <c r="X44" s="852"/>
      <c r="Y44" s="852"/>
      <c r="Z44" s="852" t="s">
        <v>468</v>
      </c>
      <c r="AA44" s="852"/>
      <c r="AB44" s="852"/>
      <c r="AC44" s="852"/>
      <c r="AD44" s="852" t="s">
        <v>467</v>
      </c>
      <c r="AE44" s="852"/>
      <c r="AF44" s="852"/>
      <c r="AG44" s="852"/>
      <c r="AH44" s="852" t="s">
        <v>468</v>
      </c>
      <c r="AI44" s="852"/>
      <c r="AJ44" s="852"/>
      <c r="AK44" s="852"/>
      <c r="AL44" s="852" t="s">
        <v>468</v>
      </c>
      <c r="AM44" s="852"/>
      <c r="AN44" s="852"/>
      <c r="AO44" s="852"/>
      <c r="AP44" s="852" t="s">
        <v>467</v>
      </c>
      <c r="AQ44" s="852"/>
      <c r="AR44" s="852"/>
      <c r="AS44" s="852"/>
      <c r="AT44" s="852" t="s">
        <v>468</v>
      </c>
      <c r="AU44" s="852"/>
      <c r="AV44" s="852"/>
      <c r="AW44" s="852"/>
      <c r="AX44" s="576"/>
      <c r="AY44" s="576"/>
      <c r="AZ44" s="576"/>
      <c r="BA44" s="604"/>
      <c r="BB44" s="723"/>
      <c r="BC44" s="571"/>
      <c r="BD44" s="572"/>
      <c r="BE44" s="710"/>
      <c r="BF44" s="710"/>
      <c r="BG44" s="713" t="s">
        <v>416</v>
      </c>
      <c r="BH44" s="710"/>
      <c r="BI44" s="710"/>
      <c r="BJ44" s="710"/>
      <c r="BK44" s="710"/>
      <c r="BL44" s="710"/>
      <c r="BM44" s="710"/>
      <c r="BN44" s="710"/>
      <c r="BO44" s="710"/>
      <c r="BP44" s="710"/>
      <c r="BQ44" s="710"/>
      <c r="BR44" s="710"/>
      <c r="BS44" s="710"/>
      <c r="BT44" s="710"/>
    </row>
    <row r="45" spans="1:72" ht="15.75">
      <c r="A45" s="545"/>
      <c r="B45" s="852"/>
      <c r="C45" s="852"/>
      <c r="D45" s="852"/>
      <c r="E45" s="852"/>
      <c r="F45" s="852"/>
      <c r="G45" s="852"/>
      <c r="H45" s="852"/>
      <c r="I45" s="852"/>
      <c r="J45" s="852"/>
      <c r="K45" s="852"/>
      <c r="L45" s="852"/>
      <c r="M45" s="852"/>
      <c r="N45" s="852"/>
      <c r="O45" s="852"/>
      <c r="P45" s="852"/>
      <c r="Q45" s="852"/>
      <c r="R45" s="852"/>
      <c r="S45" s="852"/>
      <c r="T45" s="852"/>
      <c r="U45" s="852"/>
      <c r="V45" s="852"/>
      <c r="W45" s="852"/>
      <c r="X45" s="852"/>
      <c r="Y45" s="852"/>
      <c r="Z45" s="852"/>
      <c r="AA45" s="852"/>
      <c r="AB45" s="852"/>
      <c r="AC45" s="852"/>
      <c r="AD45" s="852"/>
      <c r="AE45" s="852"/>
      <c r="AF45" s="852"/>
      <c r="AG45" s="852"/>
      <c r="AH45" s="852"/>
      <c r="AI45" s="852"/>
      <c r="AJ45" s="852"/>
      <c r="AK45" s="852"/>
      <c r="AL45" s="852"/>
      <c r="AM45" s="852"/>
      <c r="AN45" s="852"/>
      <c r="AO45" s="852"/>
      <c r="AP45" s="852"/>
      <c r="AQ45" s="852"/>
      <c r="AR45" s="852"/>
      <c r="AS45" s="852"/>
      <c r="AT45" s="852"/>
      <c r="AU45" s="852"/>
      <c r="AV45" s="852"/>
      <c r="AW45" s="852"/>
      <c r="AX45" s="576"/>
      <c r="AY45" s="576"/>
      <c r="AZ45" s="576"/>
      <c r="BA45" s="604"/>
      <c r="BB45" s="723"/>
      <c r="BC45" s="571"/>
      <c r="BD45" s="572"/>
      <c r="BE45" s="710"/>
      <c r="BF45" s="710"/>
      <c r="BG45" s="710"/>
      <c r="BH45" s="710"/>
      <c r="BJ45" s="710"/>
      <c r="BK45" s="710"/>
      <c r="BL45" s="710"/>
      <c r="BM45" s="710"/>
      <c r="BN45" s="710"/>
      <c r="BO45" s="710"/>
      <c r="BP45" s="710"/>
      <c r="BQ45" s="710"/>
      <c r="BR45" s="710"/>
      <c r="BS45" s="710"/>
      <c r="BT45" s="710"/>
    </row>
    <row r="46" spans="1:72" ht="15.75">
      <c r="A46" s="545"/>
      <c r="B46" s="852" t="s">
        <v>478</v>
      </c>
      <c r="C46" s="852"/>
      <c r="D46" s="852"/>
      <c r="E46" s="852"/>
      <c r="F46" s="852" t="s">
        <v>479</v>
      </c>
      <c r="G46" s="852"/>
      <c r="H46" s="852"/>
      <c r="I46" s="852"/>
      <c r="J46" s="852" t="s">
        <v>480</v>
      </c>
      <c r="K46" s="852"/>
      <c r="L46" s="852"/>
      <c r="M46" s="852"/>
      <c r="N46" s="852" t="s">
        <v>481</v>
      </c>
      <c r="O46" s="852"/>
      <c r="P46" s="852"/>
      <c r="Q46" s="852"/>
      <c r="R46" s="853" t="s">
        <v>468</v>
      </c>
      <c r="S46" s="852"/>
      <c r="T46" s="852"/>
      <c r="U46" s="852"/>
      <c r="V46" s="852" t="s">
        <v>467</v>
      </c>
      <c r="W46" s="852"/>
      <c r="X46" s="852"/>
      <c r="Y46" s="852"/>
      <c r="Z46" s="852" t="s">
        <v>468</v>
      </c>
      <c r="AA46" s="852"/>
      <c r="AB46" s="852"/>
      <c r="AC46" s="852"/>
      <c r="AD46" s="852" t="s">
        <v>467</v>
      </c>
      <c r="AE46" s="852"/>
      <c r="AF46" s="852"/>
      <c r="AG46" s="852"/>
      <c r="AH46" s="852" t="s">
        <v>468</v>
      </c>
      <c r="AI46" s="852"/>
      <c r="AJ46" s="852"/>
      <c r="AK46" s="852"/>
      <c r="AL46" s="852" t="s">
        <v>468</v>
      </c>
      <c r="AM46" s="852"/>
      <c r="AN46" s="852"/>
      <c r="AO46" s="852"/>
      <c r="AP46" s="852" t="s">
        <v>467</v>
      </c>
      <c r="AQ46" s="852"/>
      <c r="AR46" s="852"/>
      <c r="AS46" s="852"/>
      <c r="AT46" s="852" t="s">
        <v>468</v>
      </c>
      <c r="AU46" s="852"/>
      <c r="AV46" s="852"/>
      <c r="AW46" s="852"/>
      <c r="AX46" s="576"/>
      <c r="AY46" s="576"/>
      <c r="AZ46" s="576"/>
      <c r="BA46" s="604"/>
      <c r="BB46" s="723"/>
      <c r="BC46" s="571"/>
      <c r="BD46" s="572"/>
      <c r="BE46" s="710"/>
      <c r="BF46" s="710" t="s">
        <v>417</v>
      </c>
      <c r="BG46" s="710"/>
      <c r="BH46" s="710"/>
      <c r="BI46" s="710"/>
      <c r="BJ46" s="710"/>
      <c r="BK46" s="710"/>
      <c r="BL46" s="710"/>
      <c r="BM46" s="710"/>
      <c r="BN46" s="710"/>
      <c r="BO46" s="710"/>
      <c r="BP46" s="710"/>
      <c r="BQ46" s="710"/>
      <c r="BR46" s="710"/>
      <c r="BS46" s="710"/>
      <c r="BT46" s="710"/>
    </row>
    <row r="47" spans="1:72" ht="15.75">
      <c r="A47" s="545"/>
      <c r="B47" s="852"/>
      <c r="C47" s="852"/>
      <c r="D47" s="852"/>
      <c r="E47" s="852"/>
      <c r="F47" s="852"/>
      <c r="G47" s="852"/>
      <c r="H47" s="852"/>
      <c r="I47" s="852"/>
      <c r="J47" s="852"/>
      <c r="K47" s="852"/>
      <c r="L47" s="852"/>
      <c r="M47" s="852"/>
      <c r="N47" s="852"/>
      <c r="O47" s="852"/>
      <c r="P47" s="852"/>
      <c r="Q47" s="852"/>
      <c r="R47" s="852"/>
      <c r="S47" s="852"/>
      <c r="T47" s="852"/>
      <c r="U47" s="852"/>
      <c r="V47" s="852"/>
      <c r="W47" s="852"/>
      <c r="X47" s="852"/>
      <c r="Y47" s="852"/>
      <c r="Z47" s="852"/>
      <c r="AA47" s="852"/>
      <c r="AB47" s="852"/>
      <c r="AC47" s="852"/>
      <c r="AD47" s="852"/>
      <c r="AE47" s="852"/>
      <c r="AF47" s="852"/>
      <c r="AG47" s="852"/>
      <c r="AH47" s="852"/>
      <c r="AI47" s="852"/>
      <c r="AJ47" s="852"/>
      <c r="AK47" s="852"/>
      <c r="AL47" s="852"/>
      <c r="AM47" s="852"/>
      <c r="AN47" s="852"/>
      <c r="AO47" s="852"/>
      <c r="AP47" s="852"/>
      <c r="AQ47" s="852"/>
      <c r="AR47" s="852"/>
      <c r="AS47" s="852"/>
      <c r="AT47" s="852"/>
      <c r="AU47" s="852"/>
      <c r="AV47" s="852"/>
      <c r="AW47" s="852"/>
      <c r="AX47" s="576"/>
      <c r="AY47" s="576"/>
      <c r="AZ47" s="576"/>
      <c r="BA47" s="604"/>
      <c r="BB47" s="723"/>
      <c r="BC47" s="571"/>
      <c r="BD47" s="572"/>
      <c r="BE47" s="710"/>
      <c r="BF47" s="710"/>
      <c r="BG47" s="710" t="s">
        <v>418</v>
      </c>
      <c r="BH47" s="710"/>
      <c r="BI47" s="710"/>
      <c r="BJ47" s="710"/>
      <c r="BK47" s="710"/>
      <c r="BL47" s="710"/>
      <c r="BM47" s="710"/>
      <c r="BN47" s="710"/>
      <c r="BO47" s="710"/>
      <c r="BP47" s="710"/>
      <c r="BQ47" s="710"/>
      <c r="BR47" s="710"/>
      <c r="BS47" s="710"/>
      <c r="BT47" s="710"/>
    </row>
    <row r="48" spans="1:72" ht="15.75">
      <c r="A48" s="545"/>
      <c r="B48" s="708"/>
      <c r="C48" s="708"/>
      <c r="D48" s="708"/>
      <c r="E48" s="708"/>
      <c r="F48" s="714"/>
      <c r="G48" s="714"/>
      <c r="H48" s="714"/>
      <c r="I48" s="714"/>
      <c r="J48" s="714"/>
      <c r="K48" s="714"/>
      <c r="L48" s="714"/>
      <c r="M48" s="714"/>
      <c r="N48" s="714"/>
      <c r="O48" s="714"/>
      <c r="P48" s="714"/>
      <c r="Q48" s="714"/>
      <c r="R48" s="714"/>
      <c r="S48" s="714"/>
      <c r="T48" s="714"/>
      <c r="U48" s="714"/>
      <c r="V48" s="714"/>
      <c r="W48" s="714"/>
      <c r="X48" s="714"/>
      <c r="Y48" s="714"/>
      <c r="Z48" s="714"/>
      <c r="AA48" s="714"/>
      <c r="AB48" s="714"/>
      <c r="AC48" s="714"/>
      <c r="AD48" s="714"/>
      <c r="AE48" s="714"/>
      <c r="AF48" s="714"/>
      <c r="AG48" s="714"/>
      <c r="AH48" s="714"/>
      <c r="AI48" s="714"/>
      <c r="AJ48" s="714"/>
      <c r="AK48" s="714"/>
      <c r="AL48" s="714"/>
      <c r="AM48" s="714"/>
      <c r="AN48" s="714"/>
      <c r="AO48" s="714"/>
      <c r="AP48" s="714"/>
      <c r="AQ48" s="714"/>
      <c r="AR48" s="714"/>
      <c r="AS48" s="714"/>
      <c r="AT48" s="714"/>
      <c r="AU48" s="714"/>
      <c r="AV48" s="714"/>
      <c r="AW48" s="714"/>
      <c r="AX48" s="576"/>
      <c r="AY48" s="576"/>
      <c r="AZ48" s="576"/>
      <c r="BA48" s="604"/>
      <c r="BB48" s="723"/>
      <c r="BC48" s="571"/>
      <c r="BD48" s="572"/>
      <c r="BE48" s="710"/>
      <c r="BF48" s="710"/>
      <c r="BG48" s="710" t="s">
        <v>419</v>
      </c>
      <c r="BH48" s="710"/>
      <c r="BI48" s="710"/>
      <c r="BJ48" s="710"/>
      <c r="BK48" s="710"/>
      <c r="BL48" s="710"/>
      <c r="BM48" s="710"/>
      <c r="BN48" s="710"/>
      <c r="BO48" s="710"/>
      <c r="BP48" s="710"/>
      <c r="BQ48" s="710"/>
      <c r="BR48" s="710"/>
      <c r="BS48" s="710"/>
      <c r="BT48" s="710"/>
    </row>
    <row r="49" spans="1:72" ht="15.75">
      <c r="A49" s="545"/>
      <c r="B49" s="708" t="s">
        <v>482</v>
      </c>
      <c r="C49" s="708"/>
      <c r="D49" s="708"/>
      <c r="E49" s="708"/>
      <c r="F49" s="714"/>
      <c r="G49" s="714"/>
      <c r="H49" s="714"/>
      <c r="I49" s="714"/>
      <c r="J49" s="714"/>
      <c r="K49" s="714"/>
      <c r="L49" s="714"/>
      <c r="M49" s="601"/>
      <c r="N49" s="714"/>
      <c r="O49" s="714"/>
      <c r="P49" s="714"/>
      <c r="Q49" s="714"/>
      <c r="R49" s="714"/>
      <c r="S49" s="714"/>
      <c r="T49" s="714"/>
      <c r="U49" s="714"/>
      <c r="V49" s="714"/>
      <c r="W49" s="714"/>
      <c r="X49" s="714"/>
      <c r="Y49" s="714"/>
      <c r="Z49" s="714"/>
      <c r="AA49" s="714"/>
      <c r="AB49" s="714"/>
      <c r="AC49" s="714"/>
      <c r="AD49" s="714"/>
      <c r="AE49" s="714"/>
      <c r="AF49" s="714"/>
      <c r="AG49" s="714"/>
      <c r="AH49" s="714"/>
      <c r="AI49" s="714"/>
      <c r="AJ49" s="714"/>
      <c r="AK49" s="714"/>
      <c r="AL49" s="714"/>
      <c r="AM49" s="714"/>
      <c r="AN49" s="714"/>
      <c r="AO49" s="714"/>
      <c r="AP49" s="714"/>
      <c r="AQ49" s="714"/>
      <c r="AR49" s="714"/>
      <c r="AS49" s="714"/>
      <c r="AT49" s="714"/>
      <c r="AU49" s="714"/>
      <c r="AV49" s="714"/>
      <c r="AW49" s="714"/>
      <c r="AX49" s="576"/>
      <c r="AY49" s="576"/>
      <c r="AZ49" s="576"/>
      <c r="BA49" s="604"/>
      <c r="BB49" s="723"/>
      <c r="BC49" s="571"/>
      <c r="BD49" s="572"/>
      <c r="BE49" s="710"/>
      <c r="BF49" s="710"/>
      <c r="BG49" s="710" t="s">
        <v>420</v>
      </c>
      <c r="BH49" s="710"/>
      <c r="BI49" s="710"/>
      <c r="BJ49" s="710"/>
      <c r="BK49" s="710"/>
      <c r="BL49" s="710"/>
      <c r="BM49" s="710"/>
      <c r="BN49" s="710"/>
      <c r="BO49" s="710"/>
      <c r="BP49" s="710"/>
      <c r="BQ49" s="710"/>
      <c r="BR49" s="710"/>
      <c r="BS49" s="710"/>
      <c r="BT49" s="710"/>
    </row>
    <row r="50" spans="1:72" ht="15.75">
      <c r="A50" s="545"/>
      <c r="B50" s="708" t="s">
        <v>483</v>
      </c>
      <c r="C50" s="708"/>
      <c r="D50" s="708"/>
      <c r="E50" s="708"/>
      <c r="F50" s="714"/>
      <c r="G50" s="714"/>
      <c r="H50" s="714"/>
      <c r="I50" s="714"/>
      <c r="J50" s="714"/>
      <c r="K50" s="714"/>
      <c r="L50" s="714"/>
      <c r="M50" s="714"/>
      <c r="N50" s="714"/>
      <c r="O50" s="601"/>
      <c r="P50" s="601"/>
      <c r="Q50" s="601"/>
      <c r="R50" s="601"/>
      <c r="S50" s="601"/>
      <c r="T50" s="601"/>
      <c r="U50" s="601"/>
      <c r="V50" s="601"/>
      <c r="W50" s="601"/>
      <c r="X50" s="601"/>
      <c r="Y50" s="601"/>
      <c r="Z50" s="601"/>
      <c r="AA50" s="601"/>
      <c r="AB50" s="601"/>
      <c r="AC50" s="601"/>
      <c r="AD50" s="601"/>
      <c r="AE50" s="601"/>
      <c r="AF50" s="601"/>
      <c r="AG50" s="601"/>
      <c r="AH50" s="601"/>
      <c r="AI50" s="601"/>
      <c r="AJ50" s="601"/>
      <c r="AK50" s="601"/>
      <c r="AL50" s="601"/>
      <c r="AM50" s="601"/>
      <c r="AN50" s="601"/>
      <c r="AO50" s="601"/>
      <c r="AP50" s="601"/>
      <c r="AQ50" s="714"/>
      <c r="AR50" s="714"/>
      <c r="AS50" s="714"/>
      <c r="AT50" s="714"/>
      <c r="AU50" s="714"/>
      <c r="AV50" s="714"/>
      <c r="AW50" s="714"/>
      <c r="AX50" s="576"/>
      <c r="AY50" s="576"/>
      <c r="AZ50" s="576"/>
      <c r="BA50" s="604"/>
      <c r="BB50" s="723"/>
      <c r="BC50" s="571"/>
      <c r="BD50" s="572"/>
      <c r="BE50" s="710"/>
      <c r="BF50" s="710"/>
      <c r="BG50" s="710" t="s">
        <v>421</v>
      </c>
      <c r="BH50" s="710"/>
      <c r="BI50" s="710"/>
      <c r="BJ50" s="710"/>
      <c r="BK50" s="710"/>
      <c r="BL50" s="710"/>
      <c r="BM50" s="710"/>
      <c r="BN50" s="710"/>
      <c r="BO50" s="710"/>
      <c r="BP50" s="710"/>
      <c r="BQ50" s="710"/>
      <c r="BR50" s="710"/>
      <c r="BS50" s="710"/>
      <c r="BT50" s="710"/>
    </row>
    <row r="51" spans="1:72" ht="15.75">
      <c r="A51" s="545"/>
      <c r="B51" s="708" t="s">
        <v>484</v>
      </c>
      <c r="C51" s="708"/>
      <c r="D51" s="708"/>
      <c r="E51" s="708"/>
      <c r="F51" s="714"/>
      <c r="G51" s="714"/>
      <c r="H51" s="714"/>
      <c r="I51" s="714"/>
      <c r="J51" s="714"/>
      <c r="K51" s="714"/>
      <c r="L51" s="714"/>
      <c r="M51" s="714"/>
      <c r="N51" s="714"/>
      <c r="O51" s="601"/>
      <c r="P51" s="601"/>
      <c r="Q51" s="601"/>
      <c r="R51" s="601"/>
      <c r="S51" s="601"/>
      <c r="T51" s="601"/>
      <c r="U51" s="601"/>
      <c r="V51" s="601"/>
      <c r="W51" s="601"/>
      <c r="X51" s="601"/>
      <c r="Y51" s="601"/>
      <c r="Z51" s="601"/>
      <c r="AA51" s="601"/>
      <c r="AB51" s="601"/>
      <c r="AC51" s="601"/>
      <c r="AD51" s="601"/>
      <c r="AE51" s="601"/>
      <c r="AF51" s="601"/>
      <c r="AG51" s="601"/>
      <c r="AH51" s="601"/>
      <c r="AI51" s="601"/>
      <c r="AJ51" s="601"/>
      <c r="AK51" s="601"/>
      <c r="AL51" s="601"/>
      <c r="AM51" s="601"/>
      <c r="AN51" s="601"/>
      <c r="AO51" s="601"/>
      <c r="AP51" s="601"/>
      <c r="AQ51" s="714"/>
      <c r="AR51" s="714"/>
      <c r="AS51" s="714"/>
      <c r="AT51" s="714"/>
      <c r="AU51" s="714"/>
      <c r="AV51" s="714"/>
      <c r="AW51" s="714"/>
      <c r="AX51" s="576"/>
      <c r="AY51" s="576"/>
      <c r="AZ51" s="576"/>
      <c r="BA51" s="604"/>
      <c r="BB51" s="723"/>
      <c r="BC51" s="571"/>
      <c r="BD51" s="572"/>
      <c r="BE51" s="710"/>
      <c r="BF51" s="710" t="s">
        <v>422</v>
      </c>
      <c r="BG51" s="710"/>
      <c r="BH51" s="710"/>
      <c r="BI51" s="710"/>
      <c r="BJ51" s="710"/>
      <c r="BK51" s="710"/>
      <c r="BL51" s="710"/>
      <c r="BM51" s="710"/>
      <c r="BN51" s="710"/>
      <c r="BO51" s="710"/>
      <c r="BP51" s="710"/>
      <c r="BQ51" s="710"/>
      <c r="BR51" s="710"/>
      <c r="BS51" s="710"/>
      <c r="BT51" s="710"/>
    </row>
    <row r="52" spans="1:72" ht="15.75">
      <c r="A52" s="556"/>
      <c r="B52" s="598"/>
      <c r="C52" s="601"/>
      <c r="D52" s="601"/>
      <c r="E52" s="601"/>
      <c r="F52" s="601"/>
      <c r="G52" s="601"/>
      <c r="H52" s="601"/>
      <c r="I52" s="601"/>
      <c r="J52" s="601"/>
      <c r="K52" s="601"/>
      <c r="L52" s="601"/>
      <c r="M52" s="601"/>
      <c r="N52" s="601"/>
      <c r="O52" s="601"/>
      <c r="P52" s="601"/>
      <c r="Q52" s="601"/>
      <c r="R52" s="601"/>
      <c r="S52" s="724"/>
      <c r="T52" s="724"/>
      <c r="U52" s="724"/>
      <c r="V52" s="724"/>
      <c r="W52" s="601"/>
      <c r="X52" s="601"/>
      <c r="Y52" s="724"/>
      <c r="Z52" s="724"/>
      <c r="AA52" s="601"/>
      <c r="AB52" s="601"/>
      <c r="AC52" s="601"/>
      <c r="AD52" s="724"/>
      <c r="AE52" s="724"/>
      <c r="AF52" s="724"/>
      <c r="AG52" s="724"/>
      <c r="AH52" s="724"/>
      <c r="AI52" s="724"/>
      <c r="AJ52" s="724"/>
      <c r="AK52" s="724"/>
      <c r="AL52" s="724"/>
      <c r="AM52" s="724"/>
      <c r="AN52" s="724"/>
      <c r="AO52" s="724"/>
      <c r="AP52" s="724"/>
      <c r="AQ52" s="724"/>
      <c r="AR52" s="724"/>
      <c r="AS52" s="724"/>
      <c r="AT52" s="724"/>
      <c r="AU52" s="724"/>
      <c r="AV52" s="724"/>
      <c r="AW52" s="724"/>
      <c r="AX52" s="724"/>
      <c r="AY52" s="598"/>
      <c r="AZ52" s="598"/>
      <c r="BA52" s="604"/>
      <c r="BB52" s="723"/>
      <c r="BC52" s="571"/>
      <c r="BD52" s="572"/>
      <c r="BE52" s="710"/>
      <c r="BF52" s="710"/>
      <c r="BG52" s="710" t="s">
        <v>423</v>
      </c>
      <c r="BH52" s="710"/>
      <c r="BI52" s="710"/>
      <c r="BJ52" s="710"/>
      <c r="BK52" s="710"/>
      <c r="BL52" s="710"/>
      <c r="BM52" s="710"/>
      <c r="BN52" s="710"/>
      <c r="BO52" s="710"/>
      <c r="BP52" s="710"/>
      <c r="BQ52" s="710"/>
      <c r="BR52" s="710"/>
      <c r="BS52" s="710"/>
      <c r="BT52" s="710"/>
    </row>
    <row r="53" spans="1:72" ht="15.75">
      <c r="A53" s="556"/>
      <c r="B53" s="598"/>
      <c r="C53" s="601"/>
      <c r="D53" s="601"/>
      <c r="E53" s="601"/>
      <c r="F53" s="601"/>
      <c r="G53" s="601"/>
      <c r="H53" s="601"/>
      <c r="I53" s="601"/>
      <c r="J53" s="601"/>
      <c r="K53" s="601"/>
      <c r="L53" s="601"/>
      <c r="M53" s="601"/>
      <c r="N53" s="601"/>
      <c r="O53" s="601"/>
      <c r="P53" s="601"/>
      <c r="Q53" s="601"/>
      <c r="R53" s="601"/>
      <c r="S53" s="724"/>
      <c r="T53" s="724"/>
      <c r="U53" s="724"/>
      <c r="V53" s="724"/>
      <c r="W53" s="601"/>
      <c r="X53" s="601"/>
      <c r="Y53" s="724"/>
      <c r="Z53" s="724"/>
      <c r="AA53" s="601"/>
      <c r="AB53" s="601"/>
      <c r="AC53" s="601"/>
      <c r="AD53" s="724"/>
      <c r="AE53" s="724"/>
      <c r="AF53" s="724"/>
      <c r="AG53" s="724"/>
      <c r="AH53" s="724"/>
      <c r="AI53" s="724"/>
      <c r="AJ53" s="724"/>
      <c r="AK53" s="724"/>
      <c r="AL53" s="724"/>
      <c r="AM53" s="724"/>
      <c r="AN53" s="724"/>
      <c r="AO53" s="724"/>
      <c r="AP53" s="724"/>
      <c r="AQ53" s="724"/>
      <c r="AR53" s="724"/>
      <c r="AS53" s="724"/>
      <c r="AT53" s="724"/>
      <c r="AU53" s="724"/>
      <c r="AV53" s="724"/>
      <c r="AW53" s="724"/>
      <c r="AX53" s="724"/>
      <c r="AY53" s="598"/>
      <c r="AZ53" s="598"/>
      <c r="BA53" s="604"/>
      <c r="BB53" s="723"/>
      <c r="BC53" s="571"/>
      <c r="BD53" s="572"/>
      <c r="BE53" s="710"/>
      <c r="BF53" s="710"/>
      <c r="BG53" s="710" t="s">
        <v>424</v>
      </c>
      <c r="BH53" s="710"/>
      <c r="BI53" s="710"/>
      <c r="BJ53" s="710"/>
      <c r="BK53" s="710"/>
      <c r="BL53" s="710"/>
      <c r="BM53" s="710"/>
      <c r="BN53" s="710"/>
      <c r="BO53" s="710"/>
      <c r="BP53" s="710"/>
      <c r="BQ53" s="710"/>
      <c r="BR53" s="710"/>
      <c r="BS53" s="710"/>
      <c r="BT53" s="710"/>
    </row>
    <row r="54" spans="1:72" ht="15.75">
      <c r="A54" s="556"/>
      <c r="B54" s="598"/>
      <c r="C54" s="601"/>
      <c r="D54" s="601"/>
      <c r="E54" s="601"/>
      <c r="F54" s="601"/>
      <c r="G54" s="601"/>
      <c r="H54" s="601"/>
      <c r="I54" s="601"/>
      <c r="J54" s="601"/>
      <c r="K54" s="601"/>
      <c r="L54" s="601"/>
      <c r="M54" s="601"/>
      <c r="N54" s="601"/>
      <c r="O54" s="601"/>
      <c r="P54" s="601"/>
      <c r="Q54" s="601"/>
      <c r="R54" s="601"/>
      <c r="S54" s="724"/>
      <c r="T54" s="724"/>
      <c r="U54" s="724"/>
      <c r="V54" s="724"/>
      <c r="W54" s="601"/>
      <c r="X54" s="601"/>
      <c r="Y54" s="724"/>
      <c r="Z54" s="724"/>
      <c r="AA54" s="601"/>
      <c r="AB54" s="601"/>
      <c r="AC54" s="601"/>
      <c r="AD54" s="724"/>
      <c r="AE54" s="724"/>
      <c r="AF54" s="724"/>
      <c r="AG54" s="724"/>
      <c r="AH54" s="724"/>
      <c r="AI54" s="724"/>
      <c r="AJ54" s="724"/>
      <c r="AK54" s="724"/>
      <c r="AL54" s="724"/>
      <c r="AM54" s="724"/>
      <c r="AN54" s="724"/>
      <c r="AO54" s="724"/>
      <c r="AP54" s="724"/>
      <c r="AQ54" s="724"/>
      <c r="AR54" s="724"/>
      <c r="AS54" s="724"/>
      <c r="AT54" s="724"/>
      <c r="AU54" s="724"/>
      <c r="AV54" s="724"/>
      <c r="AW54" s="724"/>
      <c r="AX54" s="724"/>
      <c r="AY54" s="598"/>
      <c r="AZ54" s="598"/>
      <c r="BA54" s="604"/>
      <c r="BB54" s="723"/>
      <c r="BC54" s="571"/>
      <c r="BD54" s="572"/>
      <c r="BE54" s="710"/>
      <c r="BF54" s="710"/>
      <c r="BG54" s="710"/>
      <c r="BH54" s="710"/>
      <c r="BI54" s="710" t="s">
        <v>425</v>
      </c>
      <c r="BJ54" s="710"/>
      <c r="BK54" s="710"/>
      <c r="BL54" s="710"/>
      <c r="BM54" s="710"/>
      <c r="BN54" s="710"/>
      <c r="BO54" s="710"/>
      <c r="BP54" s="710"/>
      <c r="BQ54" s="710"/>
      <c r="BR54" s="710"/>
      <c r="BS54" s="710"/>
      <c r="BT54" s="710"/>
    </row>
    <row r="55" spans="1:72" ht="15.75">
      <c r="A55" s="556"/>
      <c r="B55" s="598"/>
      <c r="C55" s="601"/>
      <c r="D55" s="601"/>
      <c r="E55" s="601"/>
      <c r="F55" s="601"/>
      <c r="G55" s="601"/>
      <c r="H55" s="601"/>
      <c r="I55" s="601"/>
      <c r="J55" s="601"/>
      <c r="K55" s="601"/>
      <c r="L55" s="601"/>
      <c r="M55" s="601"/>
      <c r="N55" s="601"/>
      <c r="O55" s="601"/>
      <c r="P55" s="601"/>
      <c r="Q55" s="601"/>
      <c r="R55" s="601"/>
      <c r="S55" s="724"/>
      <c r="T55" s="724"/>
      <c r="U55" s="724"/>
      <c r="V55" s="724"/>
      <c r="W55" s="601"/>
      <c r="X55" s="601"/>
      <c r="Y55" s="724"/>
      <c r="Z55" s="724"/>
      <c r="AA55" s="601"/>
      <c r="AB55" s="601"/>
      <c r="AC55" s="601"/>
      <c r="AD55" s="724"/>
      <c r="AE55" s="724"/>
      <c r="AF55" s="724"/>
      <c r="AG55" s="724"/>
      <c r="AH55" s="724"/>
      <c r="AI55" s="724"/>
      <c r="AJ55" s="724"/>
      <c r="AK55" s="724"/>
      <c r="AL55" s="724"/>
      <c r="AM55" s="724"/>
      <c r="AN55" s="724"/>
      <c r="AO55" s="724"/>
      <c r="AP55" s="724"/>
      <c r="AQ55" s="724"/>
      <c r="AR55" s="724"/>
      <c r="AS55" s="724"/>
      <c r="AT55" s="724"/>
      <c r="AU55" s="724"/>
      <c r="AV55" s="724"/>
      <c r="AW55" s="724"/>
      <c r="AX55" s="724"/>
      <c r="AY55" s="598"/>
      <c r="AZ55" s="598"/>
      <c r="BA55" s="604"/>
      <c r="BB55" s="723"/>
      <c r="BC55" s="571"/>
      <c r="BD55" s="572"/>
      <c r="BE55" s="710"/>
      <c r="BF55" s="710"/>
      <c r="BG55" s="710"/>
      <c r="BH55" s="710"/>
      <c r="BI55" s="710"/>
      <c r="BJ55" s="710"/>
      <c r="BK55" s="710"/>
      <c r="BL55" s="710"/>
      <c r="BM55" s="710" t="s">
        <v>426</v>
      </c>
      <c r="BN55" s="710"/>
      <c r="BO55" s="710"/>
      <c r="BP55" s="710"/>
      <c r="BQ55" s="710"/>
      <c r="BR55" s="710"/>
      <c r="BS55" s="710"/>
      <c r="BT55" s="710"/>
    </row>
    <row r="56" spans="1:72" ht="15.75">
      <c r="A56" s="556"/>
      <c r="B56" s="598"/>
      <c r="C56" s="601"/>
      <c r="D56" s="601"/>
      <c r="E56" s="601"/>
      <c r="F56" s="601"/>
      <c r="G56" s="601"/>
      <c r="H56" s="601"/>
      <c r="I56" s="601"/>
      <c r="J56" s="601"/>
      <c r="K56" s="601"/>
      <c r="L56" s="601"/>
      <c r="M56" s="601"/>
      <c r="N56" s="601"/>
      <c r="O56" s="601"/>
      <c r="P56" s="601"/>
      <c r="Q56" s="601"/>
      <c r="R56" s="601"/>
      <c r="S56" s="724"/>
      <c r="T56" s="724"/>
      <c r="U56" s="724"/>
      <c r="V56" s="724"/>
      <c r="W56" s="601"/>
      <c r="X56" s="601"/>
      <c r="Y56" s="724"/>
      <c r="Z56" s="724"/>
      <c r="AA56" s="601"/>
      <c r="AB56" s="601"/>
      <c r="AC56" s="601"/>
      <c r="AD56" s="724"/>
      <c r="AE56" s="724"/>
      <c r="AF56" s="724"/>
      <c r="AG56" s="724"/>
      <c r="AH56" s="724"/>
      <c r="AI56" s="724"/>
      <c r="AJ56" s="724"/>
      <c r="AK56" s="724"/>
      <c r="AL56" s="724"/>
      <c r="AM56" s="724"/>
      <c r="AN56" s="724"/>
      <c r="AO56" s="724"/>
      <c r="AP56" s="724"/>
      <c r="AQ56" s="724"/>
      <c r="AR56" s="724"/>
      <c r="AS56" s="724"/>
      <c r="AT56" s="724"/>
      <c r="AU56" s="724"/>
      <c r="AV56" s="724"/>
      <c r="AW56" s="724"/>
      <c r="AX56" s="724"/>
      <c r="AY56" s="598"/>
      <c r="AZ56" s="598"/>
      <c r="BA56" s="604"/>
      <c r="BB56" s="723"/>
      <c r="BC56" s="571"/>
      <c r="BD56" s="572"/>
      <c r="BE56" s="710"/>
      <c r="BF56" s="710"/>
      <c r="BG56" s="710"/>
      <c r="BH56" s="710"/>
      <c r="BI56" s="710"/>
      <c r="BJ56" s="710"/>
      <c r="BK56" s="710"/>
      <c r="BL56" s="710"/>
      <c r="BM56" s="710"/>
      <c r="BN56" s="710"/>
      <c r="BO56" s="710"/>
      <c r="BP56" s="710"/>
      <c r="BQ56" s="710"/>
      <c r="BR56" s="710"/>
      <c r="BS56" s="710"/>
      <c r="BT56" s="710"/>
    </row>
    <row r="57" spans="1:72" ht="15.75">
      <c r="A57" s="556"/>
      <c r="B57" s="598"/>
      <c r="C57" s="601"/>
      <c r="D57" s="601"/>
      <c r="E57" s="601"/>
      <c r="F57" s="601"/>
      <c r="G57" s="601"/>
      <c r="H57" s="601"/>
      <c r="I57" s="601"/>
      <c r="J57" s="601"/>
      <c r="K57" s="601"/>
      <c r="L57" s="601"/>
      <c r="M57" s="601"/>
      <c r="N57" s="601"/>
      <c r="O57" s="601"/>
      <c r="P57" s="601"/>
      <c r="Q57" s="601"/>
      <c r="R57" s="601"/>
      <c r="S57" s="724"/>
      <c r="T57" s="724"/>
      <c r="U57" s="724"/>
      <c r="V57" s="724"/>
      <c r="W57" s="601"/>
      <c r="X57" s="601"/>
      <c r="Y57" s="724"/>
      <c r="Z57" s="724"/>
      <c r="AA57" s="601"/>
      <c r="AB57" s="601"/>
      <c r="AC57" s="601"/>
      <c r="AD57" s="724"/>
      <c r="AE57" s="724"/>
      <c r="AF57" s="724"/>
      <c r="AG57" s="724"/>
      <c r="AH57" s="724"/>
      <c r="AI57" s="724"/>
      <c r="AJ57" s="724"/>
      <c r="AK57" s="724"/>
      <c r="AL57" s="724"/>
      <c r="AM57" s="724"/>
      <c r="AN57" s="724"/>
      <c r="AO57" s="724"/>
      <c r="AP57" s="724"/>
      <c r="AQ57" s="724"/>
      <c r="AR57" s="724"/>
      <c r="AS57" s="724"/>
      <c r="AT57" s="724"/>
      <c r="AU57" s="724"/>
      <c r="AV57" s="724"/>
      <c r="AW57" s="724"/>
      <c r="AX57" s="724"/>
      <c r="AY57" s="598"/>
      <c r="AZ57" s="598"/>
      <c r="BA57" s="604"/>
      <c r="BB57" s="723"/>
      <c r="BC57" s="571"/>
      <c r="BD57" s="572"/>
      <c r="BE57" s="710"/>
      <c r="BF57" s="710"/>
      <c r="BG57" s="710"/>
      <c r="BH57" s="710"/>
      <c r="BI57" s="710"/>
      <c r="BJ57" s="710" t="s">
        <v>427</v>
      </c>
      <c r="BK57" s="710"/>
      <c r="BL57" s="710"/>
      <c r="BM57" s="710"/>
      <c r="BN57" s="710"/>
      <c r="BO57" s="710"/>
      <c r="BP57" s="710"/>
      <c r="BQ57" s="710"/>
      <c r="BR57" s="710"/>
      <c r="BS57" s="710"/>
      <c r="BT57" s="710"/>
    </row>
    <row r="58" spans="1:72" ht="15.75">
      <c r="A58" s="556"/>
      <c r="B58" s="598"/>
      <c r="C58" s="601"/>
      <c r="D58" s="601"/>
      <c r="E58" s="601"/>
      <c r="F58" s="601"/>
      <c r="G58" s="601"/>
      <c r="H58" s="601"/>
      <c r="I58" s="601"/>
      <c r="J58" s="601"/>
      <c r="K58" s="601"/>
      <c r="L58" s="601"/>
      <c r="M58" s="601"/>
      <c r="N58" s="601"/>
      <c r="O58" s="601"/>
      <c r="P58" s="601"/>
      <c r="Q58" s="601"/>
      <c r="R58" s="601"/>
      <c r="S58" s="724"/>
      <c r="T58" s="724"/>
      <c r="U58" s="724"/>
      <c r="V58" s="724"/>
      <c r="W58" s="601"/>
      <c r="X58" s="601"/>
      <c r="Y58" s="724"/>
      <c r="Z58" s="724"/>
      <c r="AA58" s="601"/>
      <c r="AB58" s="601"/>
      <c r="AC58" s="601"/>
      <c r="AD58" s="724"/>
      <c r="AE58" s="724"/>
      <c r="AF58" s="724"/>
      <c r="AG58" s="724"/>
      <c r="AH58" s="724"/>
      <c r="AI58" s="724"/>
      <c r="AJ58" s="724"/>
      <c r="AK58" s="724"/>
      <c r="AL58" s="724"/>
      <c r="AM58" s="724"/>
      <c r="AN58" s="724"/>
      <c r="AO58" s="724"/>
      <c r="AP58" s="724"/>
      <c r="AQ58" s="724"/>
      <c r="AR58" s="724"/>
      <c r="AS58" s="724"/>
      <c r="AT58" s="724"/>
      <c r="AU58" s="724"/>
      <c r="AV58" s="724"/>
      <c r="AW58" s="724"/>
      <c r="AX58" s="724"/>
      <c r="AY58" s="598"/>
      <c r="AZ58" s="598"/>
      <c r="BA58" s="604"/>
      <c r="BB58" s="723"/>
      <c r="BC58" s="571"/>
      <c r="BD58" s="572"/>
      <c r="BE58" s="710"/>
      <c r="BF58" s="710"/>
      <c r="BG58" s="710"/>
      <c r="BH58" s="710"/>
      <c r="BI58" s="710"/>
      <c r="BJ58" s="710" t="s">
        <v>428</v>
      </c>
      <c r="BK58" s="710"/>
      <c r="BL58" s="710"/>
      <c r="BM58" s="710"/>
      <c r="BN58" s="710"/>
      <c r="BO58" s="710"/>
      <c r="BP58" s="710"/>
      <c r="BQ58" s="710"/>
      <c r="BR58" s="710"/>
      <c r="BS58" s="710"/>
      <c r="BT58" s="710"/>
    </row>
    <row r="59" spans="1:72" ht="15.75">
      <c r="A59" s="556"/>
      <c r="B59" s="598"/>
      <c r="C59" s="601"/>
      <c r="D59" s="601"/>
      <c r="E59" s="601"/>
      <c r="F59" s="601"/>
      <c r="G59" s="601"/>
      <c r="H59" s="601"/>
      <c r="I59" s="601"/>
      <c r="J59" s="601"/>
      <c r="K59" s="601"/>
      <c r="L59" s="601"/>
      <c r="M59" s="601"/>
      <c r="N59" s="601"/>
      <c r="O59" s="601"/>
      <c r="P59" s="601"/>
      <c r="Q59" s="601"/>
      <c r="R59" s="601"/>
      <c r="S59" s="724"/>
      <c r="T59" s="724"/>
      <c r="U59" s="724"/>
      <c r="V59" s="724"/>
      <c r="W59" s="601"/>
      <c r="X59" s="601"/>
      <c r="Y59" s="724"/>
      <c r="Z59" s="724"/>
      <c r="AA59" s="601"/>
      <c r="AB59" s="601"/>
      <c r="AC59" s="601"/>
      <c r="AD59" s="724"/>
      <c r="AE59" s="724"/>
      <c r="AF59" s="724"/>
      <c r="AG59" s="724"/>
      <c r="AH59" s="724"/>
      <c r="AI59" s="724"/>
      <c r="AJ59" s="724"/>
      <c r="AK59" s="724"/>
      <c r="AL59" s="724"/>
      <c r="AM59" s="724"/>
      <c r="AN59" s="724"/>
      <c r="AO59" s="724"/>
      <c r="AP59" s="724"/>
      <c r="AQ59" s="724"/>
      <c r="AR59" s="724"/>
      <c r="AS59" s="724"/>
      <c r="AT59" s="724"/>
      <c r="AU59" s="724"/>
      <c r="AV59" s="724"/>
      <c r="AW59" s="724"/>
      <c r="AX59" s="724"/>
      <c r="AY59" s="598"/>
      <c r="AZ59" s="598"/>
      <c r="BA59" s="604"/>
      <c r="BB59" s="723"/>
      <c r="BC59" s="571"/>
      <c r="BD59" s="572"/>
      <c r="BE59" s="710"/>
      <c r="BF59" s="710"/>
      <c r="BG59" s="710"/>
      <c r="BH59" s="710"/>
      <c r="BI59" s="710"/>
      <c r="BJ59" s="710" t="s">
        <v>429</v>
      </c>
      <c r="BK59" s="710"/>
      <c r="BL59" s="710"/>
      <c r="BM59" s="710"/>
      <c r="BN59" s="710"/>
      <c r="BO59" s="710"/>
      <c r="BP59" s="710"/>
      <c r="BQ59" s="710"/>
      <c r="BR59" s="710"/>
      <c r="BS59" s="710"/>
      <c r="BT59" s="710"/>
    </row>
    <row r="60" spans="1:72" ht="15.75">
      <c r="A60" s="556"/>
      <c r="B60" s="598"/>
      <c r="C60" s="601"/>
      <c r="D60" s="601"/>
      <c r="E60" s="601"/>
      <c r="F60" s="601"/>
      <c r="G60" s="601"/>
      <c r="H60" s="601"/>
      <c r="I60" s="601"/>
      <c r="J60" s="601"/>
      <c r="K60" s="601"/>
      <c r="L60" s="601"/>
      <c r="M60" s="601"/>
      <c r="N60" s="601"/>
      <c r="O60" s="601"/>
      <c r="P60" s="601"/>
      <c r="Q60" s="601"/>
      <c r="R60" s="601"/>
      <c r="S60" s="724"/>
      <c r="T60" s="724"/>
      <c r="U60" s="724"/>
      <c r="V60" s="724"/>
      <c r="W60" s="601"/>
      <c r="X60" s="601"/>
      <c r="Y60" s="724"/>
      <c r="Z60" s="724"/>
      <c r="AA60" s="601"/>
      <c r="AB60" s="601"/>
      <c r="AC60" s="601"/>
      <c r="AD60" s="724"/>
      <c r="AE60" s="724"/>
      <c r="AF60" s="724"/>
      <c r="AG60" s="724"/>
      <c r="AH60" s="724"/>
      <c r="AI60" s="724"/>
      <c r="AJ60" s="724"/>
      <c r="AK60" s="724"/>
      <c r="AL60" s="724"/>
      <c r="AM60" s="724"/>
      <c r="AN60" s="724"/>
      <c r="AO60" s="724"/>
      <c r="AP60" s="724"/>
      <c r="AQ60" s="724"/>
      <c r="AR60" s="724"/>
      <c r="AS60" s="724"/>
      <c r="AT60" s="724"/>
      <c r="AU60" s="724"/>
      <c r="AV60" s="724"/>
      <c r="AW60" s="724"/>
      <c r="AX60" s="724"/>
      <c r="AY60" s="598"/>
      <c r="AZ60" s="598"/>
      <c r="BA60" s="604"/>
      <c r="BB60" s="723"/>
      <c r="BC60" s="571"/>
      <c r="BD60" s="572"/>
      <c r="BE60" s="710"/>
      <c r="BF60" s="710"/>
      <c r="BG60" s="710"/>
      <c r="BH60" s="710"/>
      <c r="BI60" s="710" t="s">
        <v>430</v>
      </c>
      <c r="BJ60" s="710"/>
      <c r="BK60" s="710"/>
      <c r="BL60" s="710"/>
      <c r="BM60" s="710"/>
      <c r="BN60" s="710"/>
      <c r="BO60" s="710"/>
      <c r="BP60" s="710"/>
      <c r="BQ60" s="710"/>
      <c r="BR60" s="710"/>
      <c r="BS60" s="710"/>
      <c r="BT60" s="710"/>
    </row>
    <row r="61" spans="1:72" ht="15.75">
      <c r="A61" s="556"/>
      <c r="B61" s="598"/>
      <c r="C61" s="601"/>
      <c r="D61" s="601"/>
      <c r="E61" s="601"/>
      <c r="F61" s="601"/>
      <c r="G61" s="601"/>
      <c r="H61" s="601"/>
      <c r="I61" s="601"/>
      <c r="J61" s="601"/>
      <c r="K61" s="601"/>
      <c r="L61" s="601"/>
      <c r="M61" s="601"/>
      <c r="N61" s="601"/>
      <c r="O61" s="601"/>
      <c r="P61" s="601"/>
      <c r="Q61" s="601"/>
      <c r="R61" s="601"/>
      <c r="S61" s="724"/>
      <c r="T61" s="724"/>
      <c r="U61" s="724"/>
      <c r="V61" s="724"/>
      <c r="W61" s="601"/>
      <c r="X61" s="601"/>
      <c r="Y61" s="724"/>
      <c r="Z61" s="724"/>
      <c r="AA61" s="601"/>
      <c r="AB61" s="601"/>
      <c r="AC61" s="601"/>
      <c r="AD61" s="724"/>
      <c r="AE61" s="724"/>
      <c r="AF61" s="724"/>
      <c r="AG61" s="724"/>
      <c r="AH61" s="724"/>
      <c r="AI61" s="724"/>
      <c r="AJ61" s="724"/>
      <c r="AK61" s="724"/>
      <c r="AL61" s="724"/>
      <c r="AM61" s="724"/>
      <c r="AN61" s="724"/>
      <c r="AO61" s="724"/>
      <c r="AP61" s="724"/>
      <c r="AQ61" s="724"/>
      <c r="AR61" s="724"/>
      <c r="AS61" s="724"/>
      <c r="AT61" s="724"/>
      <c r="AU61" s="724"/>
      <c r="AV61" s="724"/>
      <c r="AW61" s="724"/>
      <c r="AX61" s="724"/>
      <c r="AY61" s="598"/>
      <c r="AZ61" s="598"/>
      <c r="BA61" s="604"/>
      <c r="BB61" s="723"/>
      <c r="BC61" s="571"/>
      <c r="BD61" s="572"/>
      <c r="BE61" s="710"/>
      <c r="BF61" s="710"/>
      <c r="BG61" s="710"/>
      <c r="BH61" s="710"/>
      <c r="BI61" s="710"/>
      <c r="BJ61" s="710" t="s">
        <v>431</v>
      </c>
      <c r="BK61" s="710"/>
      <c r="BL61" s="710"/>
      <c r="BM61" s="710"/>
      <c r="BN61" s="710"/>
      <c r="BO61" s="710"/>
      <c r="BP61" s="710"/>
      <c r="BQ61" s="710"/>
      <c r="BR61" s="710"/>
      <c r="BS61" s="710"/>
      <c r="BT61" s="710"/>
    </row>
    <row r="62" spans="1:72" ht="15.75">
      <c r="A62" s="556"/>
      <c r="B62" s="598"/>
      <c r="C62" s="601"/>
      <c r="D62" s="601"/>
      <c r="E62" s="601"/>
      <c r="F62" s="601"/>
      <c r="G62" s="601"/>
      <c r="H62" s="601"/>
      <c r="I62" s="601"/>
      <c r="J62" s="601"/>
      <c r="K62" s="601"/>
      <c r="L62" s="601"/>
      <c r="M62" s="601"/>
      <c r="N62" s="601"/>
      <c r="O62" s="601"/>
      <c r="P62" s="601"/>
      <c r="Q62" s="601"/>
      <c r="R62" s="601"/>
      <c r="S62" s="724"/>
      <c r="T62" s="724"/>
      <c r="U62" s="724"/>
      <c r="V62" s="724"/>
      <c r="W62" s="601"/>
      <c r="X62" s="601"/>
      <c r="Y62" s="724"/>
      <c r="Z62" s="724"/>
      <c r="AA62" s="601"/>
      <c r="AB62" s="601"/>
      <c r="AC62" s="601"/>
      <c r="AD62" s="724"/>
      <c r="AE62" s="724"/>
      <c r="AF62" s="724"/>
      <c r="AG62" s="724"/>
      <c r="AH62" s="724"/>
      <c r="AI62" s="724"/>
      <c r="AJ62" s="724"/>
      <c r="AK62" s="724"/>
      <c r="AL62" s="724"/>
      <c r="AM62" s="724"/>
      <c r="AN62" s="724"/>
      <c r="AO62" s="724"/>
      <c r="AP62" s="724"/>
      <c r="AQ62" s="724"/>
      <c r="AR62" s="724"/>
      <c r="AS62" s="724"/>
      <c r="AT62" s="724"/>
      <c r="AU62" s="724"/>
      <c r="AV62" s="724"/>
      <c r="AW62" s="724"/>
      <c r="AX62" s="724"/>
      <c r="AY62" s="598"/>
      <c r="AZ62" s="598"/>
      <c r="BA62" s="604"/>
      <c r="BB62" s="723"/>
      <c r="BC62" s="571"/>
      <c r="BD62" s="572"/>
      <c r="BE62" s="710"/>
      <c r="BF62" s="710" t="s">
        <v>432</v>
      </c>
      <c r="BG62" s="710"/>
      <c r="BH62" s="710"/>
      <c r="BI62" s="710"/>
      <c r="BJ62" s="710"/>
      <c r="BK62" s="710"/>
      <c r="BL62" s="710"/>
      <c r="BM62" s="710"/>
      <c r="BN62" s="710"/>
      <c r="BO62" s="710"/>
      <c r="BP62" s="710"/>
      <c r="BQ62" s="710"/>
      <c r="BR62" s="710"/>
      <c r="BS62" s="710"/>
      <c r="BT62" s="710"/>
    </row>
    <row r="63" spans="1:72" ht="15.75">
      <c r="A63" s="556"/>
      <c r="B63" s="598"/>
      <c r="C63" s="601"/>
      <c r="D63" s="601"/>
      <c r="E63" s="601"/>
      <c r="F63" s="601"/>
      <c r="G63" s="601"/>
      <c r="H63" s="601"/>
      <c r="I63" s="601"/>
      <c r="J63" s="601"/>
      <c r="K63" s="601"/>
      <c r="L63" s="601"/>
      <c r="M63" s="601"/>
      <c r="N63" s="601"/>
      <c r="O63" s="601"/>
      <c r="P63" s="601"/>
      <c r="Q63" s="601"/>
      <c r="R63" s="601"/>
      <c r="S63" s="724"/>
      <c r="T63" s="724"/>
      <c r="U63" s="724"/>
      <c r="V63" s="724"/>
      <c r="W63" s="601"/>
      <c r="X63" s="601"/>
      <c r="Y63" s="724"/>
      <c r="Z63" s="724"/>
      <c r="AA63" s="601"/>
      <c r="AB63" s="601"/>
      <c r="AC63" s="601"/>
      <c r="AD63" s="724"/>
      <c r="AE63" s="724"/>
      <c r="AF63" s="724"/>
      <c r="AG63" s="724"/>
      <c r="AH63" s="724"/>
      <c r="AI63" s="724"/>
      <c r="AJ63" s="724"/>
      <c r="AK63" s="724"/>
      <c r="AL63" s="724"/>
      <c r="AM63" s="724"/>
      <c r="AN63" s="724"/>
      <c r="AO63" s="724"/>
      <c r="AP63" s="724"/>
      <c r="AQ63" s="724"/>
      <c r="AR63" s="724"/>
      <c r="AS63" s="724"/>
      <c r="AT63" s="724"/>
      <c r="AU63" s="724"/>
      <c r="AV63" s="724"/>
      <c r="AW63" s="724"/>
      <c r="AX63" s="724"/>
      <c r="AY63" s="598"/>
      <c r="AZ63" s="598"/>
      <c r="BA63" s="604"/>
      <c r="BB63" s="723"/>
      <c r="BC63" s="571"/>
      <c r="BD63" s="572"/>
      <c r="BE63" s="710"/>
      <c r="BF63" s="710"/>
      <c r="BG63" s="710" t="s">
        <v>433</v>
      </c>
      <c r="BH63" s="710"/>
      <c r="BI63" s="710"/>
      <c r="BJ63" s="710"/>
      <c r="BK63" s="710"/>
      <c r="BL63" s="710"/>
      <c r="BM63" s="710"/>
      <c r="BN63" s="710"/>
      <c r="BO63" s="710"/>
      <c r="BP63" s="710"/>
      <c r="BQ63" s="710"/>
      <c r="BR63" s="710"/>
      <c r="BS63" s="710"/>
      <c r="BT63" s="710"/>
    </row>
    <row r="64" spans="1:72" ht="15.75">
      <c r="A64" s="556"/>
      <c r="B64" s="598"/>
      <c r="C64" s="601"/>
      <c r="D64" s="601"/>
      <c r="E64" s="601"/>
      <c r="F64" s="601"/>
      <c r="G64" s="601"/>
      <c r="H64" s="601"/>
      <c r="I64" s="601"/>
      <c r="J64" s="601"/>
      <c r="K64" s="601"/>
      <c r="L64" s="601"/>
      <c r="M64" s="601"/>
      <c r="N64" s="601"/>
      <c r="O64" s="601"/>
      <c r="P64" s="601"/>
      <c r="Q64" s="601"/>
      <c r="R64" s="601"/>
      <c r="S64" s="724"/>
      <c r="T64" s="724"/>
      <c r="U64" s="724"/>
      <c r="V64" s="724"/>
      <c r="W64" s="601"/>
      <c r="X64" s="601"/>
      <c r="Y64" s="724"/>
      <c r="Z64" s="724"/>
      <c r="AA64" s="601"/>
      <c r="AB64" s="601"/>
      <c r="AC64" s="601"/>
      <c r="AD64" s="724"/>
      <c r="AE64" s="724"/>
      <c r="AF64" s="724"/>
      <c r="AG64" s="724"/>
      <c r="AH64" s="724"/>
      <c r="AI64" s="724"/>
      <c r="AJ64" s="724"/>
      <c r="AK64" s="724"/>
      <c r="AL64" s="724"/>
      <c r="AM64" s="724"/>
      <c r="AN64" s="724"/>
      <c r="AO64" s="724"/>
      <c r="AP64" s="724"/>
      <c r="AQ64" s="724"/>
      <c r="AR64" s="724"/>
      <c r="AS64" s="724"/>
      <c r="AT64" s="724"/>
      <c r="AU64" s="724"/>
      <c r="AV64" s="724"/>
      <c r="AW64" s="724"/>
      <c r="AX64" s="724"/>
      <c r="AY64" s="598"/>
      <c r="AZ64" s="598"/>
      <c r="BA64" s="604"/>
      <c r="BB64" s="723"/>
      <c r="BC64" s="571"/>
      <c r="BD64" s="572"/>
      <c r="BE64" s="710"/>
      <c r="BF64" s="710"/>
      <c r="BG64" s="710" t="s">
        <v>434</v>
      </c>
      <c r="BH64" s="710"/>
      <c r="BI64" s="710"/>
      <c r="BJ64" s="710"/>
      <c r="BK64" s="710"/>
      <c r="BL64" s="710"/>
      <c r="BM64" s="710"/>
      <c r="BN64" s="710"/>
      <c r="BO64" s="710"/>
      <c r="BP64" s="710"/>
      <c r="BQ64" s="710"/>
      <c r="BR64" s="710"/>
      <c r="BS64" s="710"/>
      <c r="BT64" s="710"/>
    </row>
    <row r="65" spans="1:72" ht="15.75">
      <c r="A65" s="556"/>
      <c r="B65" s="598"/>
      <c r="C65" s="601"/>
      <c r="D65" s="601"/>
      <c r="E65" s="601"/>
      <c r="F65" s="601"/>
      <c r="G65" s="601"/>
      <c r="H65" s="601"/>
      <c r="I65" s="601"/>
      <c r="J65" s="601"/>
      <c r="K65" s="601"/>
      <c r="L65" s="601"/>
      <c r="M65" s="601"/>
      <c r="N65" s="601"/>
      <c r="O65" s="601"/>
      <c r="P65" s="601"/>
      <c r="Q65" s="601"/>
      <c r="R65" s="601"/>
      <c r="S65" s="724"/>
      <c r="T65" s="724"/>
      <c r="U65" s="724"/>
      <c r="V65" s="724"/>
      <c r="W65" s="601"/>
      <c r="X65" s="601"/>
      <c r="Y65" s="724"/>
      <c r="Z65" s="724"/>
      <c r="AA65" s="601"/>
      <c r="AB65" s="601"/>
      <c r="AC65" s="601"/>
      <c r="AD65" s="724"/>
      <c r="AE65" s="724"/>
      <c r="AF65" s="724"/>
      <c r="AG65" s="724"/>
      <c r="AH65" s="724"/>
      <c r="AI65" s="724"/>
      <c r="AJ65" s="724"/>
      <c r="AK65" s="724"/>
      <c r="AL65" s="724"/>
      <c r="AM65" s="724"/>
      <c r="AN65" s="724"/>
      <c r="AO65" s="724"/>
      <c r="AP65" s="724"/>
      <c r="AQ65" s="724"/>
      <c r="AR65" s="724"/>
      <c r="AS65" s="724"/>
      <c r="AT65" s="724"/>
      <c r="AU65" s="724"/>
      <c r="AV65" s="724"/>
      <c r="AW65" s="724"/>
      <c r="AX65" s="724"/>
      <c r="AY65" s="598"/>
      <c r="AZ65" s="598"/>
      <c r="BA65" s="604"/>
      <c r="BB65" s="723"/>
      <c r="BC65" s="571"/>
      <c r="BD65" s="572"/>
      <c r="BE65" s="710"/>
      <c r="BF65" s="710"/>
      <c r="BG65" s="710"/>
      <c r="BH65" s="710"/>
      <c r="BI65" s="710"/>
      <c r="BJ65" s="710"/>
      <c r="BK65" s="710"/>
      <c r="BL65" s="710"/>
      <c r="BM65" s="710"/>
      <c r="BN65" s="710"/>
      <c r="BO65" s="710"/>
      <c r="BP65" s="710"/>
      <c r="BQ65" s="710"/>
      <c r="BR65" s="710"/>
      <c r="BS65" s="710"/>
      <c r="BT65" s="710"/>
    </row>
    <row r="66" spans="1:72" ht="15.75">
      <c r="A66" s="556"/>
      <c r="B66" s="598"/>
      <c r="C66" s="601"/>
      <c r="D66" s="601"/>
      <c r="E66" s="601"/>
      <c r="F66" s="601"/>
      <c r="G66" s="601"/>
      <c r="H66" s="601"/>
      <c r="I66" s="601"/>
      <c r="J66" s="601"/>
      <c r="K66" s="601"/>
      <c r="L66" s="601"/>
      <c r="M66" s="601"/>
      <c r="N66" s="601"/>
      <c r="O66" s="601"/>
      <c r="P66" s="601"/>
      <c r="Q66" s="601"/>
      <c r="R66" s="601"/>
      <c r="S66" s="724"/>
      <c r="T66" s="724"/>
      <c r="U66" s="724"/>
      <c r="V66" s="724"/>
      <c r="W66" s="601"/>
      <c r="X66" s="601"/>
      <c r="Y66" s="724"/>
      <c r="Z66" s="724"/>
      <c r="AA66" s="601"/>
      <c r="AB66" s="601"/>
      <c r="AC66" s="601"/>
      <c r="AD66" s="724"/>
      <c r="AE66" s="724"/>
      <c r="AF66" s="724"/>
      <c r="AG66" s="724"/>
      <c r="AH66" s="724"/>
      <c r="AI66" s="724"/>
      <c r="AJ66" s="724"/>
      <c r="AK66" s="724"/>
      <c r="AL66" s="724"/>
      <c r="AM66" s="724"/>
      <c r="AN66" s="724"/>
      <c r="AO66" s="724"/>
      <c r="AP66" s="724"/>
      <c r="AQ66" s="724"/>
      <c r="AR66" s="724"/>
      <c r="AS66" s="724"/>
      <c r="AT66" s="724"/>
      <c r="AU66" s="724"/>
      <c r="AV66" s="724"/>
      <c r="AW66" s="724"/>
      <c r="AX66" s="724"/>
      <c r="AY66" s="598"/>
      <c r="AZ66" s="598"/>
      <c r="BA66" s="604"/>
      <c r="BB66" s="723"/>
      <c r="BC66" s="571"/>
      <c r="BD66" s="572"/>
      <c r="BE66" s="710"/>
      <c r="BF66" s="710"/>
      <c r="BG66" s="710" t="s">
        <v>435</v>
      </c>
      <c r="BH66" s="710"/>
      <c r="BI66" s="710"/>
      <c r="BJ66" s="710"/>
      <c r="BK66" s="710"/>
      <c r="BL66" s="710"/>
      <c r="BM66" s="710"/>
      <c r="BN66" s="710"/>
      <c r="BO66" s="710"/>
      <c r="BP66" s="710"/>
      <c r="BQ66" s="710"/>
      <c r="BR66" s="710"/>
      <c r="BS66" s="710"/>
      <c r="BT66" s="710"/>
    </row>
    <row r="67" spans="1:72" ht="15.75">
      <c r="A67" s="556"/>
      <c r="B67" s="598"/>
      <c r="C67" s="601"/>
      <c r="D67" s="601"/>
      <c r="E67" s="601"/>
      <c r="F67" s="601"/>
      <c r="G67" s="601"/>
      <c r="H67" s="601"/>
      <c r="I67" s="601"/>
      <c r="J67" s="601"/>
      <c r="K67" s="601"/>
      <c r="L67" s="601"/>
      <c r="M67" s="601"/>
      <c r="N67" s="601"/>
      <c r="O67" s="601"/>
      <c r="P67" s="601"/>
      <c r="Q67" s="601"/>
      <c r="R67" s="601"/>
      <c r="S67" s="724"/>
      <c r="T67" s="724"/>
      <c r="U67" s="724"/>
      <c r="V67" s="724"/>
      <c r="W67" s="601"/>
      <c r="X67" s="601"/>
      <c r="Y67" s="724"/>
      <c r="Z67" s="724"/>
      <c r="AA67" s="601"/>
      <c r="AB67" s="601"/>
      <c r="AC67" s="601"/>
      <c r="AD67" s="724"/>
      <c r="AE67" s="724"/>
      <c r="AF67" s="724"/>
      <c r="AG67" s="724"/>
      <c r="AH67" s="724"/>
      <c r="AI67" s="724"/>
      <c r="AJ67" s="724"/>
      <c r="AK67" s="724"/>
      <c r="AL67" s="724"/>
      <c r="AM67" s="724"/>
      <c r="AN67" s="724"/>
      <c r="AO67" s="724"/>
      <c r="AP67" s="724"/>
      <c r="AQ67" s="724"/>
      <c r="AR67" s="724"/>
      <c r="AS67" s="724"/>
      <c r="AT67" s="724"/>
      <c r="AU67" s="724"/>
      <c r="AV67" s="724"/>
      <c r="AW67" s="724"/>
      <c r="AX67" s="724"/>
      <c r="AY67" s="598"/>
      <c r="AZ67" s="598"/>
      <c r="BA67" s="604"/>
      <c r="BB67" s="723"/>
      <c r="BC67" s="571"/>
      <c r="BD67" s="572"/>
      <c r="BE67" s="710"/>
      <c r="BF67" s="710"/>
      <c r="BG67" s="710"/>
      <c r="BH67" s="710"/>
      <c r="BI67" s="710"/>
      <c r="BJ67" s="710"/>
      <c r="BK67" s="710"/>
      <c r="BL67" s="710"/>
      <c r="BM67" s="710"/>
      <c r="BN67" s="710"/>
      <c r="BO67" s="710"/>
      <c r="BP67" s="710"/>
      <c r="BQ67" s="710"/>
      <c r="BR67" s="710"/>
      <c r="BS67" s="710"/>
      <c r="BT67" s="710"/>
    </row>
    <row r="68" spans="1:72" ht="15.75">
      <c r="A68" s="556"/>
      <c r="B68" s="598"/>
      <c r="C68" s="601"/>
      <c r="D68" s="601"/>
      <c r="E68" s="601"/>
      <c r="F68" s="601"/>
      <c r="G68" s="601"/>
      <c r="H68" s="601"/>
      <c r="I68" s="601"/>
      <c r="J68" s="601"/>
      <c r="K68" s="601"/>
      <c r="L68" s="601"/>
      <c r="M68" s="601"/>
      <c r="N68" s="601"/>
      <c r="O68" s="601"/>
      <c r="P68" s="601"/>
      <c r="Q68" s="601"/>
      <c r="R68" s="601"/>
      <c r="S68" s="724"/>
      <c r="T68" s="724"/>
      <c r="U68" s="724"/>
      <c r="V68" s="724"/>
      <c r="W68" s="601"/>
      <c r="X68" s="601"/>
      <c r="Y68" s="724"/>
      <c r="Z68" s="724"/>
      <c r="AA68" s="601"/>
      <c r="AB68" s="601"/>
      <c r="AC68" s="601"/>
      <c r="AD68" s="724"/>
      <c r="AE68" s="724"/>
      <c r="AF68" s="724"/>
      <c r="AG68" s="724"/>
      <c r="AH68" s="724"/>
      <c r="AI68" s="724"/>
      <c r="AJ68" s="724"/>
      <c r="AK68" s="724"/>
      <c r="AL68" s="724"/>
      <c r="AM68" s="724"/>
      <c r="AN68" s="724"/>
      <c r="AO68" s="724"/>
      <c r="AP68" s="724"/>
      <c r="AQ68" s="724"/>
      <c r="AR68" s="724"/>
      <c r="AS68" s="724"/>
      <c r="AT68" s="724"/>
      <c r="AU68" s="724"/>
      <c r="AV68" s="724"/>
      <c r="AW68" s="724"/>
      <c r="AX68" s="724"/>
      <c r="AY68" s="598"/>
      <c r="AZ68" s="598"/>
      <c r="BA68" s="604"/>
      <c r="BB68" s="723"/>
      <c r="BC68" s="571"/>
      <c r="BD68" s="572"/>
      <c r="BE68" s="710"/>
      <c r="BF68" s="710" t="s">
        <v>436</v>
      </c>
      <c r="BG68" s="710"/>
      <c r="BH68" s="710"/>
      <c r="BI68" s="710"/>
      <c r="BJ68" s="710"/>
      <c r="BK68" s="710"/>
      <c r="BL68" s="710"/>
      <c r="BM68" s="710"/>
      <c r="BN68" s="710"/>
      <c r="BO68" s="710"/>
      <c r="BP68" s="710"/>
      <c r="BQ68" s="710"/>
      <c r="BR68" s="710"/>
      <c r="BS68" s="710"/>
      <c r="BT68" s="710"/>
    </row>
    <row r="69" spans="1:72" ht="15.75">
      <c r="A69" s="556"/>
      <c r="B69" s="598"/>
      <c r="C69" s="601"/>
      <c r="D69" s="601"/>
      <c r="E69" s="601"/>
      <c r="F69" s="601"/>
      <c r="G69" s="601"/>
      <c r="H69" s="601"/>
      <c r="I69" s="601"/>
      <c r="J69" s="601"/>
      <c r="K69" s="601"/>
      <c r="L69" s="601"/>
      <c r="M69" s="601"/>
      <c r="N69" s="601"/>
      <c r="O69" s="601"/>
      <c r="P69" s="601"/>
      <c r="Q69" s="601"/>
      <c r="R69" s="601"/>
      <c r="S69" s="724"/>
      <c r="T69" s="724"/>
      <c r="U69" s="724"/>
      <c r="V69" s="724"/>
      <c r="W69" s="601"/>
      <c r="X69" s="601"/>
      <c r="Y69" s="724"/>
      <c r="Z69" s="724"/>
      <c r="AA69" s="601"/>
      <c r="AB69" s="601"/>
      <c r="AC69" s="601"/>
      <c r="AD69" s="724"/>
      <c r="AE69" s="724"/>
      <c r="AF69" s="724"/>
      <c r="AG69" s="724"/>
      <c r="AH69" s="724"/>
      <c r="AI69" s="724"/>
      <c r="AJ69" s="724"/>
      <c r="AK69" s="724"/>
      <c r="AL69" s="724"/>
      <c r="AM69" s="724"/>
      <c r="AN69" s="724"/>
      <c r="AO69" s="724"/>
      <c r="AP69" s="724"/>
      <c r="AQ69" s="724"/>
      <c r="AR69" s="724"/>
      <c r="AS69" s="724"/>
      <c r="AT69" s="724"/>
      <c r="AU69" s="724"/>
      <c r="AV69" s="724"/>
      <c r="AW69" s="724"/>
      <c r="AX69" s="724"/>
      <c r="AY69" s="598"/>
      <c r="AZ69" s="598"/>
      <c r="BA69" s="604"/>
      <c r="BB69" s="723"/>
      <c r="BC69" s="571"/>
      <c r="BD69" s="572"/>
      <c r="BE69" s="710"/>
      <c r="BF69" s="710"/>
      <c r="BG69" s="710" t="s">
        <v>437</v>
      </c>
      <c r="BH69" s="710"/>
      <c r="BI69" s="710"/>
      <c r="BJ69" s="710"/>
      <c r="BK69" s="710"/>
      <c r="BL69" s="710"/>
      <c r="BM69" s="710"/>
      <c r="BN69" s="710"/>
      <c r="BO69" s="710"/>
      <c r="BP69" s="710"/>
      <c r="BQ69" s="710"/>
      <c r="BR69" s="710"/>
      <c r="BS69" s="710"/>
      <c r="BT69" s="710"/>
    </row>
    <row r="70" spans="1:72" ht="15.75">
      <c r="A70" s="556"/>
      <c r="B70" s="598"/>
      <c r="C70" s="601"/>
      <c r="D70" s="601"/>
      <c r="E70" s="601"/>
      <c r="F70" s="601"/>
      <c r="G70" s="601"/>
      <c r="H70" s="601"/>
      <c r="I70" s="601"/>
      <c r="J70" s="601"/>
      <c r="K70" s="601"/>
      <c r="L70" s="601"/>
      <c r="M70" s="601"/>
      <c r="N70" s="601"/>
      <c r="O70" s="601"/>
      <c r="P70" s="601"/>
      <c r="Q70" s="601"/>
      <c r="R70" s="601"/>
      <c r="S70" s="724"/>
      <c r="T70" s="724"/>
      <c r="U70" s="724"/>
      <c r="V70" s="724"/>
      <c r="W70" s="601"/>
      <c r="X70" s="601"/>
      <c r="Y70" s="724"/>
      <c r="Z70" s="724"/>
      <c r="AA70" s="601"/>
      <c r="AB70" s="601"/>
      <c r="AC70" s="601"/>
      <c r="AD70" s="724"/>
      <c r="AE70" s="724"/>
      <c r="AF70" s="724"/>
      <c r="AG70" s="724"/>
      <c r="AH70" s="724"/>
      <c r="AI70" s="724"/>
      <c r="AJ70" s="724"/>
      <c r="AK70" s="724"/>
      <c r="AL70" s="724"/>
      <c r="AM70" s="724"/>
      <c r="AN70" s="724"/>
      <c r="AO70" s="724"/>
      <c r="AP70" s="724"/>
      <c r="AQ70" s="724"/>
      <c r="AR70" s="724"/>
      <c r="AS70" s="724"/>
      <c r="AT70" s="724"/>
      <c r="AU70" s="724"/>
      <c r="AV70" s="724"/>
      <c r="AW70" s="724"/>
      <c r="AX70" s="724"/>
      <c r="AY70" s="598"/>
      <c r="AZ70" s="598"/>
      <c r="BA70" s="604"/>
      <c r="BB70" s="723"/>
      <c r="BC70" s="571"/>
      <c r="BD70" s="572"/>
      <c r="BE70" s="710"/>
      <c r="BF70" s="710"/>
      <c r="BG70" s="710"/>
      <c r="BH70" s="710"/>
      <c r="BI70" s="710"/>
      <c r="BJ70" s="710"/>
      <c r="BK70" s="710"/>
      <c r="BL70" s="710"/>
      <c r="BM70" s="710"/>
      <c r="BN70" s="710"/>
      <c r="BO70" s="710"/>
      <c r="BP70" s="710"/>
      <c r="BQ70" s="710"/>
      <c r="BR70" s="710"/>
      <c r="BS70" s="710"/>
      <c r="BT70" s="710"/>
    </row>
    <row r="71" spans="1:72" ht="15.75">
      <c r="A71" s="556"/>
      <c r="B71" s="598"/>
      <c r="C71" s="601"/>
      <c r="D71" s="601"/>
      <c r="E71" s="601"/>
      <c r="F71" s="601"/>
      <c r="G71" s="601"/>
      <c r="H71" s="601"/>
      <c r="I71" s="601"/>
      <c r="J71" s="601"/>
      <c r="K71" s="601"/>
      <c r="L71" s="601"/>
      <c r="M71" s="601"/>
      <c r="N71" s="601"/>
      <c r="O71" s="601"/>
      <c r="P71" s="601"/>
      <c r="Q71" s="601"/>
      <c r="R71" s="601"/>
      <c r="S71" s="724"/>
      <c r="T71" s="724"/>
      <c r="U71" s="724"/>
      <c r="V71" s="724"/>
      <c r="W71" s="601"/>
      <c r="X71" s="601"/>
      <c r="Y71" s="724"/>
      <c r="Z71" s="724"/>
      <c r="AA71" s="601"/>
      <c r="AB71" s="601"/>
      <c r="AC71" s="601"/>
      <c r="AD71" s="724"/>
      <c r="AE71" s="724"/>
      <c r="AF71" s="724"/>
      <c r="AG71" s="724"/>
      <c r="AH71" s="724"/>
      <c r="AI71" s="724"/>
      <c r="AJ71" s="724"/>
      <c r="AK71" s="724"/>
      <c r="AL71" s="724"/>
      <c r="AM71" s="724"/>
      <c r="AN71" s="724"/>
      <c r="AO71" s="724"/>
      <c r="AP71" s="724"/>
      <c r="AQ71" s="724"/>
      <c r="AR71" s="724"/>
      <c r="AS71" s="724"/>
      <c r="AT71" s="724"/>
      <c r="AU71" s="724"/>
      <c r="AV71" s="724"/>
      <c r="AW71" s="724"/>
      <c r="AX71" s="724"/>
      <c r="AY71" s="598"/>
      <c r="AZ71" s="598"/>
      <c r="BA71" s="604"/>
      <c r="BB71" s="723"/>
      <c r="BC71" s="571"/>
      <c r="BD71" s="572"/>
      <c r="BE71" s="710" t="s">
        <v>438</v>
      </c>
      <c r="BF71" s="710"/>
      <c r="BG71" s="710"/>
      <c r="BH71" s="710"/>
      <c r="BI71" s="710"/>
      <c r="BJ71" s="710"/>
      <c r="BK71" s="710"/>
      <c r="BL71" s="710"/>
      <c r="BM71" s="710"/>
      <c r="BN71" s="710"/>
      <c r="BO71" s="710"/>
      <c r="BP71" s="710"/>
      <c r="BQ71" s="710"/>
      <c r="BR71" s="710"/>
      <c r="BS71" s="710"/>
      <c r="BT71" s="710"/>
    </row>
    <row r="72" spans="1:72" ht="15.75">
      <c r="A72" s="556"/>
      <c r="B72" s="598"/>
      <c r="C72" s="601"/>
      <c r="D72" s="601"/>
      <c r="E72" s="601"/>
      <c r="F72" s="601"/>
      <c r="G72" s="601"/>
      <c r="H72" s="601"/>
      <c r="I72" s="601"/>
      <c r="J72" s="601"/>
      <c r="K72" s="601"/>
      <c r="L72" s="601"/>
      <c r="M72" s="601"/>
      <c r="N72" s="601"/>
      <c r="O72" s="601"/>
      <c r="P72" s="601"/>
      <c r="Q72" s="601"/>
      <c r="R72" s="601"/>
      <c r="S72" s="724"/>
      <c r="T72" s="724"/>
      <c r="U72" s="724"/>
      <c r="V72" s="724"/>
      <c r="W72" s="601"/>
      <c r="X72" s="601"/>
      <c r="Y72" s="724"/>
      <c r="Z72" s="724"/>
      <c r="AA72" s="601"/>
      <c r="AB72" s="601"/>
      <c r="AC72" s="601"/>
      <c r="AD72" s="724"/>
      <c r="AE72" s="724"/>
      <c r="AF72" s="724"/>
      <c r="AG72" s="724"/>
      <c r="AH72" s="724"/>
      <c r="AI72" s="724"/>
      <c r="AJ72" s="724"/>
      <c r="AK72" s="724"/>
      <c r="AL72" s="724"/>
      <c r="AM72" s="724"/>
      <c r="AN72" s="724"/>
      <c r="AO72" s="724"/>
      <c r="AP72" s="724"/>
      <c r="AQ72" s="724"/>
      <c r="AR72" s="724"/>
      <c r="AS72" s="724"/>
      <c r="AT72" s="724"/>
      <c r="AU72" s="724"/>
      <c r="AV72" s="724"/>
      <c r="AW72" s="724"/>
      <c r="AX72" s="724"/>
      <c r="AY72" s="598"/>
      <c r="AZ72" s="598"/>
      <c r="BA72" s="604"/>
      <c r="BB72" s="723"/>
      <c r="BC72" s="571"/>
      <c r="BD72" s="572"/>
      <c r="BE72" s="710"/>
      <c r="BF72" s="710" t="s">
        <v>439</v>
      </c>
      <c r="BG72" s="710"/>
      <c r="BH72" s="710"/>
      <c r="BI72" s="710"/>
      <c r="BJ72" s="710"/>
      <c r="BK72" s="710"/>
      <c r="BL72" s="710"/>
      <c r="BM72" s="710"/>
      <c r="BN72" s="710"/>
      <c r="BO72" s="710"/>
      <c r="BP72" s="710"/>
      <c r="BQ72" s="710"/>
      <c r="BR72" s="710"/>
      <c r="BS72" s="710"/>
      <c r="BT72" s="710"/>
    </row>
    <row r="73" spans="1:72" ht="15.75">
      <c r="A73" s="556"/>
      <c r="B73" s="598"/>
      <c r="C73" s="601"/>
      <c r="D73" s="601"/>
      <c r="E73" s="601"/>
      <c r="F73" s="601"/>
      <c r="G73" s="601"/>
      <c r="H73" s="601"/>
      <c r="I73" s="601"/>
      <c r="J73" s="601"/>
      <c r="K73" s="601"/>
      <c r="L73" s="601"/>
      <c r="M73" s="601"/>
      <c r="N73" s="601"/>
      <c r="O73" s="601"/>
      <c r="P73" s="601"/>
      <c r="Q73" s="601"/>
      <c r="R73" s="601"/>
      <c r="S73" s="724"/>
      <c r="T73" s="724"/>
      <c r="U73" s="724"/>
      <c r="V73" s="724"/>
      <c r="W73" s="601"/>
      <c r="X73" s="601"/>
      <c r="Y73" s="724"/>
      <c r="Z73" s="724"/>
      <c r="AA73" s="601"/>
      <c r="AB73" s="601"/>
      <c r="AC73" s="601"/>
      <c r="AD73" s="724"/>
      <c r="AE73" s="724"/>
      <c r="AF73" s="724"/>
      <c r="AG73" s="724"/>
      <c r="AH73" s="724"/>
      <c r="AI73" s="724"/>
      <c r="AJ73" s="724"/>
      <c r="AK73" s="724"/>
      <c r="AL73" s="724"/>
      <c r="AM73" s="724"/>
      <c r="AN73" s="724"/>
      <c r="AO73" s="724"/>
      <c r="AP73" s="724"/>
      <c r="AQ73" s="724"/>
      <c r="AR73" s="724"/>
      <c r="AS73" s="724"/>
      <c r="AT73" s="724"/>
      <c r="AU73" s="724"/>
      <c r="AV73" s="724"/>
      <c r="AW73" s="724"/>
      <c r="AX73" s="724"/>
      <c r="AY73" s="598"/>
      <c r="AZ73" s="598"/>
      <c r="BA73" s="604"/>
      <c r="BB73" s="723"/>
      <c r="BC73" s="571"/>
      <c r="BD73" s="572"/>
      <c r="BE73" s="710"/>
      <c r="BF73" s="710" t="s">
        <v>440</v>
      </c>
      <c r="BG73" s="710"/>
      <c r="BH73" s="710"/>
      <c r="BI73" s="710"/>
      <c r="BJ73" s="710"/>
      <c r="BK73" s="710"/>
      <c r="BL73" s="710"/>
      <c r="BM73" s="710"/>
      <c r="BN73" s="710"/>
      <c r="BO73" s="710"/>
      <c r="BP73" s="710"/>
      <c r="BQ73" s="710"/>
      <c r="BR73" s="710"/>
      <c r="BS73" s="710"/>
      <c r="BT73" s="710"/>
    </row>
    <row r="74" spans="1:72" ht="15.75">
      <c r="A74" s="556"/>
      <c r="B74" s="598"/>
      <c r="C74" s="601"/>
      <c r="D74" s="601"/>
      <c r="E74" s="601"/>
      <c r="F74" s="601"/>
      <c r="G74" s="601"/>
      <c r="H74" s="601"/>
      <c r="I74" s="601"/>
      <c r="J74" s="601"/>
      <c r="K74" s="601"/>
      <c r="L74" s="601"/>
      <c r="M74" s="601"/>
      <c r="N74" s="601"/>
      <c r="O74" s="601"/>
      <c r="P74" s="601"/>
      <c r="Q74" s="601"/>
      <c r="R74" s="601"/>
      <c r="S74" s="724"/>
      <c r="T74" s="724"/>
      <c r="U74" s="724"/>
      <c r="V74" s="724"/>
      <c r="W74" s="601"/>
      <c r="X74" s="601"/>
      <c r="Y74" s="724"/>
      <c r="Z74" s="724"/>
      <c r="AA74" s="601"/>
      <c r="AB74" s="601"/>
      <c r="AC74" s="601"/>
      <c r="AD74" s="724"/>
      <c r="AE74" s="724"/>
      <c r="AF74" s="724"/>
      <c r="AG74" s="724"/>
      <c r="AH74" s="724"/>
      <c r="AI74" s="724"/>
      <c r="AJ74" s="724"/>
      <c r="AK74" s="724"/>
      <c r="AL74" s="724"/>
      <c r="AM74" s="724"/>
      <c r="AN74" s="724"/>
      <c r="AO74" s="724"/>
      <c r="AP74" s="724"/>
      <c r="AQ74" s="724"/>
      <c r="AR74" s="724"/>
      <c r="AS74" s="724"/>
      <c r="AT74" s="724"/>
      <c r="AU74" s="724"/>
      <c r="AV74" s="724"/>
      <c r="AW74" s="724"/>
      <c r="AX74" s="724"/>
      <c r="AY74" s="598"/>
      <c r="AZ74" s="598"/>
      <c r="BA74" s="604"/>
      <c r="BB74" s="723"/>
      <c r="BC74" s="571"/>
      <c r="BD74" s="572"/>
      <c r="BE74" s="710"/>
      <c r="BF74" s="710" t="s">
        <v>441</v>
      </c>
      <c r="BG74" s="710"/>
      <c r="BH74" s="710"/>
      <c r="BI74" s="710"/>
      <c r="BJ74" s="710"/>
      <c r="BK74" s="710"/>
      <c r="BL74" s="710"/>
      <c r="BM74" s="710"/>
      <c r="BN74" s="710"/>
      <c r="BO74" s="710"/>
      <c r="BP74" s="710"/>
      <c r="BQ74" s="710"/>
      <c r="BR74" s="710"/>
      <c r="BS74" s="710"/>
      <c r="BT74" s="710"/>
    </row>
    <row r="75" spans="1:72" ht="15.75">
      <c r="A75" s="556"/>
      <c r="B75" s="598"/>
      <c r="C75" s="601"/>
      <c r="D75" s="601"/>
      <c r="E75" s="601"/>
      <c r="F75" s="601"/>
      <c r="G75" s="601"/>
      <c r="H75" s="601"/>
      <c r="I75" s="601"/>
      <c r="J75" s="601"/>
      <c r="K75" s="601"/>
      <c r="L75" s="601"/>
      <c r="M75" s="601"/>
      <c r="N75" s="601"/>
      <c r="O75" s="601"/>
      <c r="P75" s="601"/>
      <c r="Q75" s="601"/>
      <c r="R75" s="601"/>
      <c r="S75" s="724"/>
      <c r="T75" s="724"/>
      <c r="U75" s="724"/>
      <c r="V75" s="724"/>
      <c r="W75" s="601"/>
      <c r="X75" s="601"/>
      <c r="Y75" s="724"/>
      <c r="Z75" s="724"/>
      <c r="AA75" s="601"/>
      <c r="AB75" s="601"/>
      <c r="AC75" s="601"/>
      <c r="AD75" s="724"/>
      <c r="AE75" s="724"/>
      <c r="AF75" s="724"/>
      <c r="AG75" s="724"/>
      <c r="AH75" s="724"/>
      <c r="AI75" s="724"/>
      <c r="AJ75" s="724"/>
      <c r="AK75" s="724"/>
      <c r="AL75" s="724"/>
      <c r="AM75" s="724"/>
      <c r="AN75" s="724"/>
      <c r="AO75" s="724"/>
      <c r="AP75" s="724"/>
      <c r="AQ75" s="724"/>
      <c r="AR75" s="724"/>
      <c r="AS75" s="724"/>
      <c r="AT75" s="724"/>
      <c r="AU75" s="724"/>
      <c r="AV75" s="724"/>
      <c r="AW75" s="724"/>
      <c r="AX75" s="724"/>
      <c r="AY75" s="598"/>
      <c r="AZ75" s="598"/>
      <c r="BA75" s="604"/>
      <c r="BB75" s="723"/>
      <c r="BC75" s="571"/>
      <c r="BD75" s="572"/>
      <c r="BE75" s="710"/>
      <c r="BF75" s="710" t="s">
        <v>442</v>
      </c>
      <c r="BG75" s="710"/>
      <c r="BH75" s="710"/>
      <c r="BI75" s="710"/>
      <c r="BJ75" s="710"/>
      <c r="BK75" s="710"/>
      <c r="BL75" s="710"/>
      <c r="BM75" s="710"/>
      <c r="BN75" s="710"/>
      <c r="BO75" s="710"/>
      <c r="BP75" s="710"/>
      <c r="BQ75" s="710"/>
      <c r="BR75" s="710"/>
      <c r="BS75" s="710"/>
      <c r="BT75" s="710"/>
    </row>
    <row r="76" spans="1:72" ht="15.75">
      <c r="A76" s="556"/>
      <c r="B76" s="598"/>
      <c r="C76" s="601"/>
      <c r="D76" s="601"/>
      <c r="E76" s="601"/>
      <c r="F76" s="601"/>
      <c r="G76" s="601"/>
      <c r="H76" s="601"/>
      <c r="I76" s="601"/>
      <c r="J76" s="601"/>
      <c r="K76" s="601"/>
      <c r="L76" s="601"/>
      <c r="M76" s="601"/>
      <c r="N76" s="601"/>
      <c r="O76" s="601"/>
      <c r="P76" s="601"/>
      <c r="Q76" s="601"/>
      <c r="R76" s="601"/>
      <c r="S76" s="724"/>
      <c r="T76" s="724"/>
      <c r="U76" s="724"/>
      <c r="V76" s="724"/>
      <c r="W76" s="601"/>
      <c r="X76" s="601"/>
      <c r="Y76" s="724"/>
      <c r="Z76" s="724"/>
      <c r="AA76" s="601"/>
      <c r="AB76" s="601"/>
      <c r="AC76" s="601"/>
      <c r="AD76" s="724"/>
      <c r="AE76" s="724"/>
      <c r="AF76" s="724"/>
      <c r="AG76" s="724"/>
      <c r="AH76" s="724"/>
      <c r="AI76" s="724"/>
      <c r="AJ76" s="724"/>
      <c r="AK76" s="724"/>
      <c r="AL76" s="724"/>
      <c r="AM76" s="724"/>
      <c r="AN76" s="724"/>
      <c r="AO76" s="724"/>
      <c r="AP76" s="724"/>
      <c r="AQ76" s="724"/>
      <c r="AR76" s="724"/>
      <c r="AS76" s="724"/>
      <c r="AT76" s="724"/>
      <c r="AU76" s="724"/>
      <c r="AV76" s="724"/>
      <c r="AW76" s="724"/>
      <c r="AX76" s="724"/>
      <c r="AY76" s="598"/>
      <c r="AZ76" s="598"/>
      <c r="BA76" s="604"/>
      <c r="BB76" s="723"/>
      <c r="BC76" s="571"/>
      <c r="BD76" s="572"/>
      <c r="BE76" s="710"/>
      <c r="BF76" s="710" t="s">
        <v>443</v>
      </c>
      <c r="BG76" s="710"/>
      <c r="BH76" s="710"/>
      <c r="BI76" s="710"/>
      <c r="BJ76" s="710"/>
      <c r="BK76" s="710"/>
      <c r="BL76" s="710"/>
      <c r="BM76" s="710"/>
      <c r="BN76" s="710"/>
      <c r="BO76" s="710"/>
      <c r="BP76" s="710"/>
      <c r="BQ76" s="710"/>
      <c r="BR76" s="710"/>
      <c r="BS76" s="710"/>
      <c r="BT76" s="710"/>
    </row>
    <row r="77" spans="1:72" ht="15.75">
      <c r="A77" s="556"/>
      <c r="B77" s="598"/>
      <c r="C77" s="601"/>
      <c r="D77" s="601"/>
      <c r="E77" s="601"/>
      <c r="F77" s="601"/>
      <c r="G77" s="601"/>
      <c r="H77" s="601"/>
      <c r="I77" s="601"/>
      <c r="J77" s="601"/>
      <c r="K77" s="601"/>
      <c r="L77" s="601"/>
      <c r="M77" s="601"/>
      <c r="N77" s="601"/>
      <c r="O77" s="601"/>
      <c r="P77" s="601"/>
      <c r="Q77" s="601"/>
      <c r="R77" s="601"/>
      <c r="S77" s="724"/>
      <c r="T77" s="724"/>
      <c r="U77" s="724"/>
      <c r="V77" s="724"/>
      <c r="W77" s="601"/>
      <c r="X77" s="601"/>
      <c r="Y77" s="724"/>
      <c r="Z77" s="724"/>
      <c r="AA77" s="601"/>
      <c r="AB77" s="601"/>
      <c r="AC77" s="601"/>
      <c r="AD77" s="724"/>
      <c r="AE77" s="724"/>
      <c r="AF77" s="724"/>
      <c r="AG77" s="724"/>
      <c r="AH77" s="724"/>
      <c r="AI77" s="724"/>
      <c r="AJ77" s="724"/>
      <c r="AK77" s="724"/>
      <c r="AL77" s="724"/>
      <c r="AM77" s="724"/>
      <c r="AN77" s="724"/>
      <c r="AO77" s="724"/>
      <c r="AP77" s="724"/>
      <c r="AQ77" s="724"/>
      <c r="AR77" s="724"/>
      <c r="AS77" s="724"/>
      <c r="AT77" s="724"/>
      <c r="AU77" s="724"/>
      <c r="AV77" s="724"/>
      <c r="AW77" s="724"/>
      <c r="AX77" s="724"/>
      <c r="AY77" s="598"/>
      <c r="AZ77" s="598"/>
      <c r="BA77" s="604"/>
      <c r="BB77" s="723"/>
      <c r="BC77" s="571"/>
      <c r="BD77" s="572"/>
      <c r="BE77" s="710"/>
      <c r="BF77" s="710" t="s">
        <v>444</v>
      </c>
      <c r="BG77" s="710"/>
      <c r="BH77" s="710"/>
      <c r="BI77" s="710"/>
      <c r="BJ77" s="710"/>
      <c r="BK77" s="710"/>
      <c r="BL77" s="710"/>
      <c r="BM77" s="710"/>
      <c r="BN77" s="710"/>
      <c r="BO77" s="710"/>
      <c r="BP77" s="710"/>
      <c r="BQ77" s="710"/>
      <c r="BR77" s="710"/>
      <c r="BS77" s="710"/>
      <c r="BT77" s="710"/>
    </row>
    <row r="78" spans="1:72" ht="15.75">
      <c r="A78" s="556"/>
      <c r="B78" s="598"/>
      <c r="C78" s="601"/>
      <c r="D78" s="601"/>
      <c r="E78" s="601"/>
      <c r="F78" s="601"/>
      <c r="G78" s="601"/>
      <c r="H78" s="601"/>
      <c r="I78" s="601"/>
      <c r="J78" s="601"/>
      <c r="K78" s="601"/>
      <c r="L78" s="601"/>
      <c r="M78" s="601"/>
      <c r="N78" s="601"/>
      <c r="O78" s="601"/>
      <c r="P78" s="601"/>
      <c r="Q78" s="601"/>
      <c r="R78" s="601"/>
      <c r="S78" s="724"/>
      <c r="T78" s="724"/>
      <c r="U78" s="724"/>
      <c r="V78" s="724"/>
      <c r="W78" s="601"/>
      <c r="X78" s="601"/>
      <c r="Y78" s="724"/>
      <c r="Z78" s="724"/>
      <c r="AA78" s="601"/>
      <c r="AB78" s="601"/>
      <c r="AC78" s="601"/>
      <c r="AD78" s="724"/>
      <c r="AE78" s="724"/>
      <c r="AF78" s="724"/>
      <c r="AG78" s="724"/>
      <c r="AH78" s="724"/>
      <c r="AI78" s="724"/>
      <c r="AJ78" s="724"/>
      <c r="AK78" s="724"/>
      <c r="AL78" s="724"/>
      <c r="AM78" s="724"/>
      <c r="AN78" s="724"/>
      <c r="AO78" s="724"/>
      <c r="AP78" s="724"/>
      <c r="AQ78" s="724"/>
      <c r="AR78" s="724"/>
      <c r="AS78" s="724"/>
      <c r="AT78" s="724"/>
      <c r="AU78" s="724"/>
      <c r="AV78" s="724"/>
      <c r="AW78" s="724"/>
      <c r="AX78" s="724"/>
      <c r="AY78" s="598"/>
      <c r="AZ78" s="598"/>
      <c r="BA78" s="604"/>
      <c r="BB78" s="723"/>
      <c r="BC78" s="571"/>
      <c r="BD78" s="572"/>
      <c r="BE78" s="710"/>
      <c r="BF78" s="710"/>
      <c r="BG78" s="710" t="s">
        <v>445</v>
      </c>
      <c r="BH78" s="710"/>
      <c r="BI78" s="710"/>
      <c r="BJ78" s="710"/>
      <c r="BK78" s="710"/>
      <c r="BL78" s="710"/>
      <c r="BM78" s="710"/>
      <c r="BN78" s="710"/>
      <c r="BO78" s="710"/>
      <c r="BP78" s="710"/>
      <c r="BQ78" s="710"/>
      <c r="BR78" s="710"/>
      <c r="BS78" s="710"/>
      <c r="BT78" s="710"/>
    </row>
    <row r="79" spans="1:72" ht="15.75">
      <c r="A79" s="556"/>
      <c r="B79" s="598"/>
      <c r="C79" s="601"/>
      <c r="D79" s="601"/>
      <c r="E79" s="601"/>
      <c r="F79" s="601"/>
      <c r="G79" s="601"/>
      <c r="H79" s="601"/>
      <c r="I79" s="601"/>
      <c r="J79" s="601"/>
      <c r="K79" s="601"/>
      <c r="L79" s="601"/>
      <c r="M79" s="601"/>
      <c r="N79" s="601"/>
      <c r="O79" s="601"/>
      <c r="P79" s="601"/>
      <c r="Q79" s="601"/>
      <c r="R79" s="601"/>
      <c r="S79" s="724"/>
      <c r="T79" s="724"/>
      <c r="U79" s="724"/>
      <c r="V79" s="724"/>
      <c r="W79" s="601"/>
      <c r="X79" s="601"/>
      <c r="Y79" s="724"/>
      <c r="Z79" s="724"/>
      <c r="AA79" s="601"/>
      <c r="AB79" s="601"/>
      <c r="AC79" s="601"/>
      <c r="AD79" s="724"/>
      <c r="AE79" s="724"/>
      <c r="AF79" s="724"/>
      <c r="AG79" s="724"/>
      <c r="AH79" s="724"/>
      <c r="AI79" s="724"/>
      <c r="AJ79" s="724"/>
      <c r="AK79" s="724"/>
      <c r="AL79" s="724"/>
      <c r="AM79" s="724"/>
      <c r="AN79" s="724"/>
      <c r="AO79" s="724"/>
      <c r="AP79" s="724"/>
      <c r="AQ79" s="724"/>
      <c r="AR79" s="724"/>
      <c r="AS79" s="724"/>
      <c r="AT79" s="724"/>
      <c r="AU79" s="724"/>
      <c r="AV79" s="724"/>
      <c r="AW79" s="724"/>
      <c r="AX79" s="724"/>
      <c r="AY79" s="598"/>
      <c r="AZ79" s="598"/>
      <c r="BA79" s="604"/>
      <c r="BB79" s="723"/>
      <c r="BC79" s="571"/>
      <c r="BD79" s="572"/>
      <c r="BE79" s="710"/>
      <c r="BF79" s="710"/>
      <c r="BG79" s="710" t="s">
        <v>446</v>
      </c>
      <c r="BH79" s="710"/>
      <c r="BI79" s="710"/>
      <c r="BJ79" s="710"/>
      <c r="BK79" s="710"/>
      <c r="BL79" s="710"/>
      <c r="BM79" s="710"/>
      <c r="BN79" s="710"/>
      <c r="BO79" s="710"/>
      <c r="BP79" s="710"/>
      <c r="BQ79" s="710"/>
      <c r="BR79" s="710"/>
      <c r="BS79" s="710"/>
      <c r="BT79" s="710"/>
    </row>
    <row r="80" spans="1:72" ht="15.75">
      <c r="A80" s="556"/>
      <c r="B80" s="598"/>
      <c r="C80" s="601"/>
      <c r="D80" s="601"/>
      <c r="E80" s="601"/>
      <c r="F80" s="601"/>
      <c r="G80" s="601"/>
      <c r="H80" s="601"/>
      <c r="I80" s="601"/>
      <c r="J80" s="601"/>
      <c r="K80" s="601"/>
      <c r="L80" s="601"/>
      <c r="M80" s="601"/>
      <c r="N80" s="601"/>
      <c r="O80" s="601"/>
      <c r="P80" s="601"/>
      <c r="Q80" s="601"/>
      <c r="R80" s="601"/>
      <c r="S80" s="724"/>
      <c r="T80" s="724"/>
      <c r="U80" s="724"/>
      <c r="V80" s="724"/>
      <c r="W80" s="601"/>
      <c r="X80" s="601"/>
      <c r="Y80" s="724"/>
      <c r="Z80" s="724"/>
      <c r="AA80" s="601"/>
      <c r="AB80" s="601"/>
      <c r="AC80" s="601"/>
      <c r="AD80" s="724"/>
      <c r="AE80" s="724"/>
      <c r="AF80" s="724"/>
      <c r="AG80" s="724"/>
      <c r="AH80" s="724"/>
      <c r="AI80" s="724"/>
      <c r="AJ80" s="724"/>
      <c r="AK80" s="724"/>
      <c r="AL80" s="724"/>
      <c r="AM80" s="724"/>
      <c r="AN80" s="724"/>
      <c r="AO80" s="724"/>
      <c r="AP80" s="724"/>
      <c r="AQ80" s="724"/>
      <c r="AR80" s="724"/>
      <c r="AS80" s="724"/>
      <c r="AT80" s="724"/>
      <c r="AU80" s="724"/>
      <c r="AV80" s="724"/>
      <c r="AW80" s="724"/>
      <c r="AX80" s="724"/>
      <c r="AY80" s="598"/>
      <c r="AZ80" s="598"/>
      <c r="BA80" s="604"/>
      <c r="BB80" s="723"/>
      <c r="BC80" s="571"/>
      <c r="BD80" s="572"/>
      <c r="BE80" s="710"/>
      <c r="BF80" s="710"/>
      <c r="BG80" s="710" t="s">
        <v>447</v>
      </c>
      <c r="BH80" s="710"/>
      <c r="BI80" s="710"/>
      <c r="BJ80" s="710"/>
      <c r="BK80" s="710"/>
      <c r="BL80" s="710"/>
      <c r="BM80" s="710"/>
      <c r="BN80" s="710"/>
      <c r="BO80" s="710"/>
      <c r="BP80" s="710"/>
      <c r="BQ80" s="710"/>
      <c r="BR80" s="710"/>
      <c r="BS80" s="710"/>
      <c r="BT80" s="710"/>
    </row>
    <row r="81" spans="1:72" ht="15.75">
      <c r="A81" s="556"/>
      <c r="B81" s="598"/>
      <c r="C81" s="601"/>
      <c r="D81" s="601"/>
      <c r="E81" s="601"/>
      <c r="F81" s="601"/>
      <c r="G81" s="601"/>
      <c r="H81" s="601"/>
      <c r="I81" s="601"/>
      <c r="J81" s="601"/>
      <c r="K81" s="601"/>
      <c r="L81" s="601"/>
      <c r="M81" s="601"/>
      <c r="N81" s="601"/>
      <c r="O81" s="601"/>
      <c r="P81" s="601"/>
      <c r="Q81" s="601"/>
      <c r="R81" s="601"/>
      <c r="S81" s="724"/>
      <c r="T81" s="724"/>
      <c r="U81" s="724"/>
      <c r="V81" s="724"/>
      <c r="W81" s="601"/>
      <c r="X81" s="601"/>
      <c r="Y81" s="724"/>
      <c r="Z81" s="724"/>
      <c r="AA81" s="601"/>
      <c r="AB81" s="601"/>
      <c r="AC81" s="601"/>
      <c r="AD81" s="724"/>
      <c r="AE81" s="724"/>
      <c r="AF81" s="724"/>
      <c r="AG81" s="724"/>
      <c r="AH81" s="724"/>
      <c r="AI81" s="724"/>
      <c r="AJ81" s="724"/>
      <c r="AK81" s="724"/>
      <c r="AL81" s="724"/>
      <c r="AM81" s="724"/>
      <c r="AN81" s="724"/>
      <c r="AO81" s="724"/>
      <c r="AP81" s="724"/>
      <c r="AQ81" s="724"/>
      <c r="AR81" s="724"/>
      <c r="AS81" s="724"/>
      <c r="AT81" s="724"/>
      <c r="AU81" s="724"/>
      <c r="AV81" s="724"/>
      <c r="AW81" s="724"/>
      <c r="AX81" s="724"/>
      <c r="AY81" s="598"/>
      <c r="AZ81" s="598"/>
      <c r="BA81" s="604"/>
      <c r="BB81" s="723"/>
      <c r="BC81" s="571"/>
      <c r="BD81" s="572"/>
      <c r="BE81" s="710"/>
      <c r="BF81" s="710"/>
      <c r="BG81" s="710"/>
      <c r="BH81" s="710"/>
      <c r="BI81" s="710"/>
      <c r="BJ81" s="710"/>
      <c r="BK81" s="710"/>
      <c r="BL81" s="710"/>
      <c r="BM81" s="710"/>
      <c r="BN81" s="710"/>
      <c r="BO81" s="710"/>
      <c r="BP81" s="710"/>
      <c r="BQ81" s="710"/>
      <c r="BR81" s="710"/>
      <c r="BS81" s="710"/>
      <c r="BT81" s="710"/>
    </row>
    <row r="82" spans="1:72" ht="15.75">
      <c r="A82" s="556"/>
      <c r="B82" s="598"/>
      <c r="C82" s="601"/>
      <c r="D82" s="601"/>
      <c r="E82" s="601"/>
      <c r="F82" s="601"/>
      <c r="G82" s="601"/>
      <c r="H82" s="601"/>
      <c r="I82" s="601"/>
      <c r="J82" s="601"/>
      <c r="K82" s="601"/>
      <c r="L82" s="601"/>
      <c r="M82" s="601"/>
      <c r="N82" s="601"/>
      <c r="O82" s="601"/>
      <c r="P82" s="601"/>
      <c r="Q82" s="601"/>
      <c r="R82" s="601"/>
      <c r="S82" s="724"/>
      <c r="T82" s="724"/>
      <c r="U82" s="724"/>
      <c r="V82" s="724"/>
      <c r="W82" s="601"/>
      <c r="X82" s="601"/>
      <c r="Y82" s="724"/>
      <c r="Z82" s="724"/>
      <c r="AA82" s="601"/>
      <c r="AB82" s="601"/>
      <c r="AC82" s="601"/>
      <c r="AD82" s="724"/>
      <c r="AE82" s="724"/>
      <c r="AF82" s="724"/>
      <c r="AG82" s="724"/>
      <c r="AH82" s="724"/>
      <c r="AI82" s="724"/>
      <c r="AJ82" s="724"/>
      <c r="AK82" s="724"/>
      <c r="AL82" s="724"/>
      <c r="AM82" s="724"/>
      <c r="AN82" s="724"/>
      <c r="AO82" s="724"/>
      <c r="AP82" s="724"/>
      <c r="AQ82" s="724"/>
      <c r="AR82" s="724"/>
      <c r="AS82" s="724"/>
      <c r="AT82" s="724"/>
      <c r="AU82" s="724"/>
      <c r="AV82" s="724"/>
      <c r="AW82" s="724"/>
      <c r="AX82" s="724"/>
      <c r="AY82" s="598"/>
      <c r="AZ82" s="598"/>
      <c r="BA82" s="604"/>
      <c r="BB82" s="723"/>
      <c r="BC82" s="571"/>
      <c r="BD82" s="572"/>
      <c r="BE82" s="710"/>
      <c r="BF82" s="710"/>
      <c r="BG82" s="710" t="s">
        <v>448</v>
      </c>
      <c r="BH82" s="710"/>
      <c r="BI82" s="710"/>
      <c r="BJ82" s="710"/>
      <c r="BK82" s="710"/>
      <c r="BL82" s="710"/>
      <c r="BM82" s="710"/>
      <c r="BN82" s="710"/>
      <c r="BO82" s="710"/>
      <c r="BP82" s="710"/>
      <c r="BQ82" s="710"/>
      <c r="BR82" s="710"/>
      <c r="BS82" s="710"/>
      <c r="BT82" s="710"/>
    </row>
    <row r="83" spans="1:72" ht="15.75">
      <c r="A83" s="556"/>
      <c r="B83" s="598"/>
      <c r="C83" s="601"/>
      <c r="D83" s="601"/>
      <c r="E83" s="601"/>
      <c r="F83" s="601"/>
      <c r="G83" s="601"/>
      <c r="H83" s="601"/>
      <c r="I83" s="601"/>
      <c r="J83" s="601"/>
      <c r="K83" s="601"/>
      <c r="L83" s="601"/>
      <c r="M83" s="601"/>
      <c r="N83" s="601"/>
      <c r="O83" s="601"/>
      <c r="P83" s="601"/>
      <c r="Q83" s="601"/>
      <c r="R83" s="601"/>
      <c r="S83" s="724"/>
      <c r="T83" s="724"/>
      <c r="U83" s="724"/>
      <c r="V83" s="724"/>
      <c r="W83" s="601"/>
      <c r="X83" s="601"/>
      <c r="Y83" s="724"/>
      <c r="Z83" s="724"/>
      <c r="AA83" s="601"/>
      <c r="AB83" s="601"/>
      <c r="AC83" s="601"/>
      <c r="AD83" s="724"/>
      <c r="AE83" s="724"/>
      <c r="AF83" s="724"/>
      <c r="AG83" s="724"/>
      <c r="AH83" s="724"/>
      <c r="AI83" s="724"/>
      <c r="AJ83" s="724"/>
      <c r="AK83" s="724"/>
      <c r="AL83" s="724"/>
      <c r="AM83" s="724"/>
      <c r="AN83" s="724"/>
      <c r="AO83" s="724"/>
      <c r="AP83" s="724"/>
      <c r="AQ83" s="724"/>
      <c r="AR83" s="724"/>
      <c r="AS83" s="724"/>
      <c r="AT83" s="724"/>
      <c r="AU83" s="724"/>
      <c r="AV83" s="724"/>
      <c r="AW83" s="724"/>
      <c r="AX83" s="724"/>
      <c r="AY83" s="598"/>
      <c r="AZ83" s="598"/>
      <c r="BA83" s="604"/>
      <c r="BB83" s="723"/>
      <c r="BC83" s="571"/>
      <c r="BD83" s="572"/>
      <c r="BE83" s="710"/>
      <c r="BF83" s="710"/>
      <c r="BG83" s="710" t="s">
        <v>449</v>
      </c>
      <c r="BH83" s="710"/>
      <c r="BI83" s="710"/>
      <c r="BJ83" s="710"/>
      <c r="BK83" s="710"/>
      <c r="BL83" s="710"/>
      <c r="BM83" s="710"/>
      <c r="BN83" s="710"/>
      <c r="BO83" s="710"/>
      <c r="BP83" s="710"/>
      <c r="BQ83" s="710"/>
      <c r="BR83" s="710"/>
      <c r="BS83" s="710"/>
      <c r="BT83" s="710"/>
    </row>
    <row r="84" spans="1:72" ht="15.75">
      <c r="A84" s="573"/>
      <c r="B84" s="715"/>
      <c r="C84" s="716"/>
      <c r="D84" s="716"/>
      <c r="E84" s="716"/>
      <c r="F84" s="716"/>
      <c r="G84" s="716"/>
      <c r="H84" s="716"/>
      <c r="I84" s="716"/>
      <c r="J84" s="716"/>
      <c r="K84" s="716"/>
      <c r="L84" s="716"/>
      <c r="M84" s="716"/>
      <c r="N84" s="716"/>
      <c r="O84" s="716"/>
      <c r="P84" s="716"/>
      <c r="Q84" s="716"/>
      <c r="R84" s="716"/>
      <c r="S84" s="717"/>
      <c r="T84" s="717"/>
      <c r="U84" s="717"/>
      <c r="V84" s="717"/>
      <c r="W84" s="716"/>
      <c r="X84" s="716"/>
      <c r="Y84" s="717"/>
      <c r="Z84" s="717"/>
      <c r="AA84" s="716"/>
      <c r="AB84" s="716"/>
      <c r="AC84" s="716"/>
      <c r="AD84" s="717"/>
      <c r="AE84" s="717"/>
      <c r="AF84" s="717"/>
      <c r="AG84" s="717"/>
      <c r="AH84" s="717"/>
      <c r="AI84" s="717"/>
      <c r="AJ84" s="717"/>
      <c r="AK84" s="717"/>
      <c r="AL84" s="717"/>
      <c r="AM84" s="717"/>
      <c r="AN84" s="717"/>
      <c r="AO84" s="717"/>
      <c r="AP84" s="717"/>
      <c r="AQ84" s="717"/>
      <c r="AR84" s="717"/>
      <c r="AS84" s="717"/>
      <c r="AT84" s="717"/>
      <c r="AU84" s="717"/>
      <c r="AV84" s="717"/>
      <c r="AW84" s="717"/>
      <c r="AX84" s="717"/>
      <c r="AY84" s="715"/>
      <c r="AZ84" s="715"/>
      <c r="BA84" s="620"/>
      <c r="BB84" s="778"/>
      <c r="BC84" s="575"/>
      <c r="BD84" s="572"/>
      <c r="BE84" s="710"/>
      <c r="BF84" s="710"/>
      <c r="BG84" s="710"/>
      <c r="BH84" s="710"/>
      <c r="BI84" s="710"/>
      <c r="BJ84" s="710"/>
      <c r="BK84" s="710"/>
      <c r="BL84" s="710"/>
      <c r="BM84" s="710"/>
      <c r="BN84" s="710"/>
      <c r="BO84" s="710"/>
      <c r="BP84" s="710"/>
      <c r="BQ84" s="710"/>
      <c r="BR84" s="710"/>
      <c r="BS84" s="710"/>
      <c r="BT84" s="710"/>
    </row>
    <row r="85" spans="1:72" ht="15.75">
      <c r="A85" s="545"/>
      <c r="B85" s="545"/>
      <c r="C85" s="545"/>
      <c r="D85" s="545"/>
      <c r="E85" s="545"/>
      <c r="F85" s="545"/>
      <c r="G85" s="545"/>
      <c r="H85" s="545"/>
      <c r="I85" s="545"/>
      <c r="J85" s="545"/>
      <c r="K85" s="545"/>
      <c r="L85" s="545"/>
      <c r="M85" s="545"/>
      <c r="N85" s="545"/>
      <c r="O85" s="545"/>
      <c r="P85" s="545"/>
      <c r="Q85" s="545"/>
      <c r="R85" s="545"/>
      <c r="S85" s="576"/>
      <c r="T85" s="576"/>
      <c r="U85" s="576"/>
      <c r="V85" s="576"/>
      <c r="W85" s="545"/>
      <c r="X85" s="545"/>
      <c r="Y85" s="576"/>
      <c r="Z85" s="576"/>
      <c r="AA85" s="545"/>
      <c r="AB85" s="545"/>
      <c r="AC85" s="545"/>
      <c r="AD85" s="576"/>
      <c r="AE85" s="576"/>
      <c r="AF85" s="576"/>
      <c r="AG85" s="576"/>
      <c r="AH85" s="576"/>
      <c r="AI85" s="576"/>
      <c r="AJ85" s="576"/>
      <c r="AK85" s="576"/>
      <c r="AL85" s="576"/>
      <c r="AM85" s="576"/>
      <c r="AN85" s="576"/>
      <c r="AO85" s="576"/>
      <c r="AP85" s="576"/>
      <c r="AQ85" s="576"/>
      <c r="AR85" s="576"/>
      <c r="AS85" s="576"/>
      <c r="AT85" s="576"/>
      <c r="AU85" s="576"/>
      <c r="AV85" s="576"/>
      <c r="AW85" s="576"/>
      <c r="AX85" s="576"/>
      <c r="AY85" s="576"/>
      <c r="AZ85" s="576"/>
      <c r="BA85" s="576"/>
      <c r="BB85" s="576"/>
      <c r="BC85" s="576"/>
      <c r="BD85" s="572"/>
      <c r="BE85" s="710"/>
      <c r="BF85" s="710"/>
      <c r="BG85" s="710"/>
      <c r="BH85" s="710"/>
      <c r="BI85" s="710"/>
      <c r="BJ85" s="710"/>
      <c r="BK85" s="710"/>
      <c r="BL85" s="710"/>
      <c r="BM85" s="710"/>
      <c r="BN85" s="710"/>
      <c r="BO85" s="710"/>
      <c r="BP85" s="710"/>
      <c r="BQ85" s="710"/>
      <c r="BR85" s="710"/>
      <c r="BS85" s="710"/>
      <c r="BT85" s="710"/>
    </row>
    <row r="86" spans="1:72" ht="15.75">
      <c r="A86" s="545"/>
      <c r="B86" s="545"/>
      <c r="C86" s="545"/>
      <c r="D86" s="545"/>
      <c r="E86" s="545"/>
      <c r="F86" s="545"/>
      <c r="G86" s="545"/>
      <c r="H86" s="545"/>
      <c r="I86" s="545"/>
      <c r="J86" s="545"/>
      <c r="K86" s="545"/>
      <c r="L86" s="545"/>
      <c r="M86" s="545"/>
      <c r="N86" s="545"/>
      <c r="O86" s="545"/>
      <c r="P86" s="545"/>
      <c r="Q86" s="545"/>
      <c r="R86" s="545"/>
      <c r="S86" s="576"/>
      <c r="T86" s="576"/>
      <c r="U86" s="576"/>
      <c r="V86" s="576"/>
      <c r="W86" s="545"/>
      <c r="X86" s="545"/>
      <c r="Y86" s="576"/>
      <c r="Z86" s="576"/>
      <c r="AA86" s="545"/>
      <c r="AB86" s="545"/>
      <c r="AC86" s="545"/>
      <c r="AD86" s="576"/>
      <c r="AE86" s="576"/>
      <c r="AF86" s="576"/>
      <c r="AG86" s="576"/>
      <c r="AH86" s="576"/>
      <c r="AI86" s="576"/>
      <c r="AJ86" s="576"/>
      <c r="AK86" s="576"/>
      <c r="AL86" s="576"/>
      <c r="AM86" s="576"/>
      <c r="AN86" s="576"/>
      <c r="AO86" s="576"/>
      <c r="AP86" s="576"/>
      <c r="AQ86" s="576"/>
      <c r="AR86" s="576"/>
      <c r="AS86" s="576"/>
      <c r="AT86" s="576"/>
      <c r="AU86" s="576"/>
      <c r="AV86" s="576"/>
      <c r="AW86" s="576"/>
      <c r="AX86" s="576"/>
      <c r="AY86" s="576"/>
      <c r="AZ86" s="576"/>
      <c r="BA86" s="576"/>
      <c r="BB86" s="576"/>
      <c r="BC86" s="576"/>
      <c r="BD86" s="572"/>
      <c r="BE86" s="710"/>
      <c r="BF86" s="710"/>
      <c r="BG86" s="710"/>
      <c r="BH86" s="710"/>
      <c r="BI86" s="710"/>
      <c r="BJ86" s="710"/>
      <c r="BK86" s="710"/>
      <c r="BL86" s="710"/>
      <c r="BM86" s="710"/>
      <c r="BN86" s="710"/>
      <c r="BO86" s="710"/>
      <c r="BP86" s="710"/>
      <c r="BQ86" s="710"/>
      <c r="BR86" s="710"/>
      <c r="BS86" s="710"/>
      <c r="BT86" s="710"/>
    </row>
    <row r="87" spans="1:72" ht="15.75">
      <c r="A87" s="545"/>
      <c r="B87" s="545"/>
      <c r="C87" s="545"/>
      <c r="D87" s="545"/>
      <c r="E87" s="545"/>
      <c r="F87" s="545"/>
      <c r="G87" s="545"/>
      <c r="H87" s="545"/>
      <c r="I87" s="545"/>
      <c r="J87" s="545"/>
      <c r="K87" s="545"/>
      <c r="L87" s="545"/>
      <c r="M87" s="545"/>
      <c r="N87" s="545"/>
      <c r="O87" s="545"/>
      <c r="P87" s="545"/>
      <c r="Q87" s="545"/>
      <c r="R87" s="545"/>
      <c r="S87" s="576"/>
      <c r="T87" s="576"/>
      <c r="U87" s="576"/>
      <c r="V87" s="576"/>
      <c r="W87" s="545"/>
      <c r="X87" s="545"/>
      <c r="Y87" s="576"/>
      <c r="Z87" s="576"/>
      <c r="AA87" s="545"/>
      <c r="AB87" s="545"/>
      <c r="AC87" s="545"/>
      <c r="AD87" s="576"/>
      <c r="AE87" s="576"/>
      <c r="AF87" s="576"/>
      <c r="AG87" s="576"/>
      <c r="AH87" s="576"/>
      <c r="AI87" s="576"/>
      <c r="AJ87" s="576"/>
      <c r="AK87" s="576"/>
      <c r="AL87" s="576"/>
      <c r="AM87" s="576"/>
      <c r="AN87" s="576"/>
      <c r="AO87" s="576"/>
      <c r="AP87" s="576"/>
      <c r="AQ87" s="576"/>
      <c r="AR87" s="576"/>
      <c r="AS87" s="576"/>
      <c r="AT87" s="576"/>
      <c r="AU87" s="576"/>
      <c r="AV87" s="576"/>
      <c r="AW87" s="576"/>
      <c r="AX87" s="576"/>
      <c r="AY87" s="576"/>
      <c r="AZ87" s="576"/>
      <c r="BA87" s="576"/>
      <c r="BB87" s="576"/>
      <c r="BC87" s="576"/>
      <c r="BD87" s="572"/>
      <c r="BE87" s="710"/>
      <c r="BF87" s="710"/>
      <c r="BG87" s="710"/>
      <c r="BH87" s="710"/>
      <c r="BI87" s="710"/>
      <c r="BJ87" s="710"/>
      <c r="BK87" s="710"/>
      <c r="BL87" s="710"/>
      <c r="BM87" s="710"/>
      <c r="BN87" s="710"/>
      <c r="BO87" s="710"/>
      <c r="BP87" s="710"/>
      <c r="BQ87" s="710"/>
      <c r="BR87" s="710"/>
      <c r="BS87" s="710"/>
      <c r="BT87" s="710"/>
    </row>
    <row r="88" spans="1:72" ht="15.75">
      <c r="A88" s="545"/>
      <c r="B88" s="545"/>
      <c r="C88" s="545"/>
      <c r="D88" s="545"/>
      <c r="E88" s="545"/>
      <c r="F88" s="545"/>
      <c r="G88" s="545"/>
      <c r="H88" s="545"/>
      <c r="I88" s="545"/>
      <c r="J88" s="545"/>
      <c r="K88" s="545"/>
      <c r="L88" s="545"/>
      <c r="M88" s="545"/>
      <c r="N88" s="545"/>
      <c r="O88" s="545"/>
      <c r="P88" s="545"/>
      <c r="Q88" s="545"/>
      <c r="R88" s="545"/>
      <c r="S88" s="576"/>
      <c r="T88" s="576"/>
      <c r="U88" s="576"/>
      <c r="V88" s="576"/>
      <c r="W88" s="545"/>
      <c r="X88" s="545"/>
      <c r="Y88" s="576"/>
      <c r="Z88" s="576"/>
      <c r="AA88" s="545"/>
      <c r="AB88" s="545"/>
      <c r="AC88" s="545"/>
      <c r="AD88" s="576"/>
      <c r="AE88" s="576"/>
      <c r="AF88" s="576"/>
      <c r="AG88" s="576"/>
      <c r="AH88" s="576"/>
      <c r="AI88" s="576"/>
      <c r="AJ88" s="576"/>
      <c r="AK88" s="576"/>
      <c r="AL88" s="576"/>
      <c r="AM88" s="576"/>
      <c r="AN88" s="576"/>
      <c r="AO88" s="576"/>
      <c r="AP88" s="576"/>
      <c r="AQ88" s="576"/>
      <c r="AR88" s="576"/>
      <c r="AS88" s="576"/>
      <c r="AT88" s="576"/>
      <c r="AU88" s="576"/>
      <c r="AV88" s="576"/>
      <c r="AW88" s="576"/>
      <c r="AX88" s="576"/>
      <c r="AY88" s="576"/>
      <c r="AZ88" s="576"/>
      <c r="BA88" s="576"/>
      <c r="BB88" s="576"/>
      <c r="BC88" s="576"/>
      <c r="BD88" s="572"/>
      <c r="BE88" s="710"/>
      <c r="BF88" s="710"/>
      <c r="BG88" s="710"/>
      <c r="BH88" s="710"/>
      <c r="BI88" s="710"/>
      <c r="BJ88" s="710"/>
      <c r="BK88" s="710"/>
      <c r="BL88" s="710"/>
      <c r="BM88" s="710"/>
      <c r="BN88" s="710"/>
      <c r="BO88" s="710"/>
      <c r="BP88" s="710"/>
      <c r="BQ88" s="710"/>
      <c r="BR88" s="710"/>
      <c r="BS88" s="710"/>
      <c r="BT88" s="710"/>
    </row>
    <row r="89" spans="1:72" ht="15.75">
      <c r="A89" s="545"/>
      <c r="B89" s="545"/>
      <c r="C89" s="545"/>
      <c r="D89" s="545"/>
      <c r="E89" s="545"/>
      <c r="F89" s="545"/>
      <c r="G89" s="545"/>
      <c r="H89" s="545"/>
      <c r="I89" s="545"/>
      <c r="J89" s="545"/>
      <c r="K89" s="545"/>
      <c r="L89" s="545"/>
      <c r="M89" s="545"/>
      <c r="N89" s="545"/>
      <c r="O89" s="545"/>
      <c r="P89" s="545"/>
      <c r="Q89" s="545"/>
      <c r="R89" s="545"/>
      <c r="S89" s="576"/>
      <c r="T89" s="576"/>
      <c r="U89" s="576"/>
      <c r="V89" s="576"/>
      <c r="W89" s="545"/>
      <c r="X89" s="545"/>
      <c r="Y89" s="576"/>
      <c r="Z89" s="576"/>
      <c r="AA89" s="545"/>
      <c r="AB89" s="545"/>
      <c r="AC89" s="545"/>
      <c r="AD89" s="576"/>
      <c r="AE89" s="576"/>
      <c r="AF89" s="576"/>
      <c r="AG89" s="576"/>
      <c r="AH89" s="576"/>
      <c r="AI89" s="576"/>
      <c r="AJ89" s="576"/>
      <c r="AK89" s="576"/>
      <c r="AL89" s="576"/>
      <c r="AM89" s="576"/>
      <c r="AN89" s="576"/>
      <c r="AO89" s="576"/>
      <c r="AP89" s="576"/>
      <c r="AQ89" s="576"/>
      <c r="AR89" s="576"/>
      <c r="AS89" s="576"/>
      <c r="AT89" s="576"/>
      <c r="AU89" s="576"/>
      <c r="AV89" s="576"/>
      <c r="AW89" s="576"/>
      <c r="AX89" s="576"/>
      <c r="AY89" s="576"/>
      <c r="AZ89" s="576"/>
      <c r="BA89" s="576"/>
      <c r="BB89" s="576"/>
      <c r="BC89" s="576"/>
      <c r="BD89" s="572"/>
      <c r="BE89" s="710"/>
      <c r="BF89" s="710"/>
      <c r="BG89" s="710"/>
      <c r="BH89" s="710"/>
      <c r="BI89" s="710"/>
      <c r="BJ89" s="710"/>
      <c r="BK89" s="710"/>
      <c r="BL89" s="710"/>
      <c r="BM89" s="710"/>
      <c r="BN89" s="710"/>
      <c r="BO89" s="710"/>
      <c r="BP89" s="710"/>
      <c r="BQ89" s="710"/>
      <c r="BR89" s="710"/>
      <c r="BS89" s="710"/>
      <c r="BT89" s="710"/>
    </row>
    <row r="90" spans="1:72" ht="15.75">
      <c r="A90" s="545"/>
      <c r="B90" s="545"/>
      <c r="C90" s="545"/>
      <c r="D90" s="545"/>
      <c r="E90" s="545"/>
      <c r="F90" s="545"/>
      <c r="G90" s="545"/>
      <c r="H90" s="545"/>
      <c r="I90" s="545"/>
      <c r="J90" s="545"/>
      <c r="K90" s="545"/>
      <c r="L90" s="545"/>
      <c r="M90" s="545"/>
      <c r="N90" s="545"/>
      <c r="O90" s="545"/>
      <c r="P90" s="545"/>
      <c r="Q90" s="545"/>
      <c r="R90" s="545"/>
      <c r="S90" s="576"/>
      <c r="T90" s="576"/>
      <c r="U90" s="576"/>
      <c r="V90" s="576"/>
      <c r="W90" s="545"/>
      <c r="X90" s="545"/>
      <c r="Y90" s="576"/>
      <c r="Z90" s="576"/>
      <c r="AA90" s="545"/>
      <c r="AB90" s="545"/>
      <c r="AC90" s="545"/>
      <c r="AD90" s="576"/>
      <c r="AE90" s="576"/>
      <c r="AF90" s="576"/>
      <c r="AG90" s="576"/>
      <c r="AH90" s="576"/>
      <c r="AI90" s="576"/>
      <c r="AJ90" s="576"/>
      <c r="AK90" s="576"/>
      <c r="AL90" s="576"/>
      <c r="AM90" s="576"/>
      <c r="AN90" s="576"/>
      <c r="AO90" s="576"/>
      <c r="AP90" s="576"/>
      <c r="AQ90" s="576"/>
      <c r="AR90" s="576"/>
      <c r="AS90" s="576"/>
      <c r="AT90" s="576"/>
      <c r="AU90" s="576"/>
      <c r="AV90" s="576"/>
      <c r="AW90" s="576"/>
      <c r="AX90" s="576"/>
      <c r="AY90" s="576"/>
      <c r="AZ90" s="576"/>
      <c r="BA90" s="576"/>
      <c r="BB90" s="576"/>
      <c r="BC90" s="576"/>
      <c r="BD90" s="572"/>
      <c r="BE90" s="710"/>
      <c r="BF90" s="710"/>
      <c r="BG90" s="710"/>
      <c r="BH90" s="710"/>
      <c r="BI90" s="710"/>
      <c r="BJ90" s="710"/>
      <c r="BK90" s="710"/>
      <c r="BL90" s="710"/>
      <c r="BM90" s="710"/>
      <c r="BN90" s="710"/>
      <c r="BO90" s="710"/>
      <c r="BP90" s="710"/>
      <c r="BQ90" s="710"/>
      <c r="BR90" s="710"/>
      <c r="BS90" s="710"/>
      <c r="BT90" s="710"/>
    </row>
    <row r="91" spans="1:72" ht="15.75">
      <c r="A91" s="545"/>
      <c r="B91" s="545"/>
      <c r="C91" s="545"/>
      <c r="D91" s="545"/>
      <c r="E91" s="545"/>
      <c r="F91" s="545"/>
      <c r="G91" s="545"/>
      <c r="H91" s="545"/>
      <c r="I91" s="545"/>
      <c r="J91" s="545"/>
      <c r="K91" s="545"/>
      <c r="L91" s="545"/>
      <c r="M91" s="545"/>
      <c r="N91" s="545"/>
      <c r="O91" s="545"/>
      <c r="P91" s="545"/>
      <c r="Q91" s="545"/>
      <c r="R91" s="545"/>
      <c r="S91" s="576"/>
      <c r="T91" s="576"/>
      <c r="U91" s="576"/>
      <c r="V91" s="576"/>
      <c r="W91" s="545"/>
      <c r="X91" s="545"/>
      <c r="Y91" s="576"/>
      <c r="Z91" s="576"/>
      <c r="AA91" s="545"/>
      <c r="AB91" s="545"/>
      <c r="AC91" s="545"/>
      <c r="AD91" s="576"/>
      <c r="AE91" s="576"/>
      <c r="AF91" s="576"/>
      <c r="AG91" s="576"/>
      <c r="AH91" s="576"/>
      <c r="AI91" s="576"/>
      <c r="AJ91" s="576"/>
      <c r="AK91" s="576"/>
      <c r="AL91" s="576"/>
      <c r="AM91" s="576"/>
      <c r="AN91" s="576"/>
      <c r="AO91" s="576"/>
      <c r="AP91" s="576"/>
      <c r="AQ91" s="576"/>
      <c r="AR91" s="576"/>
      <c r="AS91" s="576"/>
      <c r="AT91" s="576"/>
      <c r="AU91" s="576"/>
      <c r="AV91" s="576"/>
      <c r="AW91" s="576"/>
      <c r="AX91" s="576"/>
      <c r="AY91" s="576"/>
      <c r="AZ91" s="576"/>
      <c r="BA91" s="576"/>
      <c r="BB91" s="576"/>
      <c r="BC91" s="576"/>
      <c r="BD91" s="572"/>
      <c r="BE91" s="710"/>
      <c r="BF91" s="710"/>
      <c r="BG91" s="710"/>
      <c r="BH91" s="710"/>
      <c r="BI91" s="710"/>
      <c r="BJ91" s="710"/>
      <c r="BK91" s="710"/>
      <c r="BL91" s="710"/>
      <c r="BM91" s="710"/>
      <c r="BN91" s="710"/>
      <c r="BO91" s="710"/>
      <c r="BP91" s="710"/>
      <c r="BQ91" s="710"/>
      <c r="BR91" s="710"/>
      <c r="BS91" s="710"/>
      <c r="BT91" s="710"/>
    </row>
    <row r="92" spans="1:72" ht="15.75">
      <c r="A92" s="545"/>
      <c r="B92" s="545"/>
      <c r="C92" s="545"/>
      <c r="D92" s="545"/>
      <c r="E92" s="545"/>
      <c r="F92" s="545"/>
      <c r="G92" s="545"/>
      <c r="H92" s="545"/>
      <c r="I92" s="545"/>
      <c r="J92" s="545"/>
      <c r="K92" s="545"/>
      <c r="L92" s="545"/>
      <c r="M92" s="545"/>
      <c r="N92" s="545"/>
      <c r="O92" s="545"/>
      <c r="P92" s="545"/>
      <c r="Q92" s="545"/>
      <c r="R92" s="545"/>
      <c r="S92" s="576"/>
      <c r="T92" s="576"/>
      <c r="U92" s="576"/>
      <c r="V92" s="576"/>
      <c r="W92" s="545"/>
      <c r="X92" s="545"/>
      <c r="Y92" s="576"/>
      <c r="Z92" s="576"/>
      <c r="AA92" s="545"/>
      <c r="AB92" s="545"/>
      <c r="AC92" s="545"/>
      <c r="AD92" s="576"/>
      <c r="AE92" s="576"/>
      <c r="AF92" s="576"/>
      <c r="AG92" s="576"/>
      <c r="AH92" s="576"/>
      <c r="AI92" s="576"/>
      <c r="AJ92" s="576"/>
      <c r="AK92" s="576"/>
      <c r="AL92" s="576"/>
      <c r="AM92" s="576"/>
      <c r="AN92" s="576"/>
      <c r="AO92" s="576"/>
      <c r="AP92" s="576"/>
      <c r="AQ92" s="576"/>
      <c r="AR92" s="576"/>
      <c r="AS92" s="576"/>
      <c r="AT92" s="576"/>
      <c r="AU92" s="576"/>
      <c r="AV92" s="576"/>
      <c r="AW92" s="576"/>
      <c r="AX92" s="576"/>
      <c r="AY92" s="576"/>
      <c r="AZ92" s="576"/>
      <c r="BA92" s="576"/>
      <c r="BB92" s="576"/>
      <c r="BC92" s="576"/>
      <c r="BD92" s="572"/>
      <c r="BE92" s="710"/>
      <c r="BF92" s="710"/>
      <c r="BG92" s="710"/>
      <c r="BH92" s="710"/>
      <c r="BI92" s="710"/>
      <c r="BJ92" s="710"/>
      <c r="BK92" s="710"/>
      <c r="BL92" s="710"/>
      <c r="BM92" s="710"/>
      <c r="BN92" s="710"/>
      <c r="BO92" s="710"/>
      <c r="BP92" s="710"/>
      <c r="BQ92" s="710"/>
      <c r="BR92" s="710"/>
      <c r="BS92" s="710"/>
      <c r="BT92" s="710"/>
    </row>
    <row r="93" spans="1:72" ht="15.75">
      <c r="A93" s="545"/>
      <c r="B93" s="545"/>
      <c r="C93" s="545"/>
      <c r="D93" s="545"/>
      <c r="E93" s="545"/>
      <c r="F93" s="545"/>
      <c r="G93" s="545"/>
      <c r="H93" s="545"/>
      <c r="I93" s="545"/>
      <c r="J93" s="545"/>
      <c r="K93" s="545"/>
      <c r="L93" s="545"/>
      <c r="M93" s="545"/>
      <c r="N93" s="545"/>
      <c r="O93" s="545"/>
      <c r="P93" s="545"/>
      <c r="Q93" s="545"/>
      <c r="R93" s="545"/>
      <c r="S93" s="576"/>
      <c r="T93" s="576"/>
      <c r="U93" s="576"/>
      <c r="V93" s="576"/>
      <c r="W93" s="545"/>
      <c r="X93" s="545"/>
      <c r="Y93" s="576"/>
      <c r="Z93" s="576"/>
      <c r="AA93" s="545"/>
      <c r="AB93" s="545"/>
      <c r="AC93" s="545"/>
      <c r="AD93" s="576"/>
      <c r="AE93" s="576"/>
      <c r="AF93" s="576"/>
      <c r="AG93" s="576"/>
      <c r="AH93" s="576"/>
      <c r="AI93" s="576"/>
      <c r="AJ93" s="576"/>
      <c r="AK93" s="576"/>
      <c r="AL93" s="576"/>
      <c r="AM93" s="576"/>
      <c r="AN93" s="576"/>
      <c r="AO93" s="576"/>
      <c r="AP93" s="576"/>
      <c r="AQ93" s="576"/>
      <c r="AR93" s="576"/>
      <c r="AS93" s="576"/>
      <c r="AT93" s="576"/>
      <c r="AU93" s="576"/>
      <c r="AV93" s="576"/>
      <c r="AW93" s="576"/>
      <c r="AX93" s="576"/>
      <c r="AY93" s="576"/>
      <c r="AZ93" s="576"/>
      <c r="BA93" s="576"/>
      <c r="BB93" s="576"/>
      <c r="BC93" s="576"/>
      <c r="BD93" s="572"/>
      <c r="BE93" s="710"/>
      <c r="BF93" s="710"/>
      <c r="BG93" s="710"/>
      <c r="BH93" s="710"/>
      <c r="BI93" s="710"/>
      <c r="BJ93" s="710"/>
      <c r="BK93" s="710"/>
      <c r="BL93" s="710"/>
      <c r="BM93" s="710"/>
      <c r="BN93" s="710"/>
      <c r="BO93" s="710"/>
      <c r="BP93" s="710"/>
      <c r="BQ93" s="710"/>
      <c r="BR93" s="710"/>
      <c r="BS93" s="710"/>
      <c r="BT93" s="710"/>
    </row>
    <row r="94" spans="1:72" ht="15.75">
      <c r="A94" s="545"/>
      <c r="B94" s="545"/>
      <c r="C94" s="545"/>
      <c r="D94" s="545"/>
      <c r="E94" s="545"/>
      <c r="F94" s="545"/>
      <c r="G94" s="545"/>
      <c r="H94" s="545"/>
      <c r="I94" s="545"/>
      <c r="J94" s="545"/>
      <c r="K94" s="545"/>
      <c r="L94" s="545"/>
      <c r="M94" s="545"/>
      <c r="N94" s="545"/>
      <c r="O94" s="545"/>
      <c r="P94" s="545"/>
      <c r="Q94" s="545"/>
      <c r="R94" s="545"/>
      <c r="S94" s="576"/>
      <c r="T94" s="576"/>
      <c r="U94" s="576"/>
      <c r="V94" s="576"/>
      <c r="W94" s="545"/>
      <c r="X94" s="545"/>
      <c r="Y94" s="576"/>
      <c r="Z94" s="576"/>
      <c r="AA94" s="545"/>
      <c r="AB94" s="545"/>
      <c r="AC94" s="545"/>
      <c r="AD94" s="576"/>
      <c r="AE94" s="576"/>
      <c r="AF94" s="576"/>
      <c r="AG94" s="576"/>
      <c r="AH94" s="576"/>
      <c r="AI94" s="576"/>
      <c r="AJ94" s="576"/>
      <c r="AK94" s="576"/>
      <c r="AL94" s="576"/>
      <c r="AM94" s="576"/>
      <c r="AN94" s="576"/>
      <c r="AO94" s="576"/>
      <c r="AP94" s="576"/>
      <c r="AQ94" s="576"/>
      <c r="AR94" s="576"/>
      <c r="AS94" s="576"/>
      <c r="AT94" s="576"/>
      <c r="AU94" s="576"/>
      <c r="AV94" s="576"/>
      <c r="AW94" s="576"/>
      <c r="AX94" s="576"/>
      <c r="AY94" s="576"/>
      <c r="AZ94" s="576"/>
      <c r="BA94" s="576"/>
      <c r="BB94" s="576"/>
      <c r="BC94" s="576"/>
      <c r="BD94" s="572"/>
      <c r="BE94" s="710"/>
      <c r="BF94" s="710"/>
      <c r="BG94" s="710"/>
      <c r="BH94" s="710"/>
      <c r="BI94" s="710"/>
      <c r="BJ94" s="710"/>
      <c r="BK94" s="710"/>
      <c r="BL94" s="710"/>
      <c r="BM94" s="710"/>
      <c r="BN94" s="710"/>
      <c r="BO94" s="710"/>
      <c r="BP94" s="710"/>
      <c r="BQ94" s="710"/>
      <c r="BR94" s="710"/>
      <c r="BS94" s="710"/>
      <c r="BT94" s="710"/>
    </row>
    <row r="95" spans="1:72" ht="15.75">
      <c r="A95" s="545"/>
      <c r="B95" s="545"/>
      <c r="C95" s="545"/>
      <c r="D95" s="545"/>
      <c r="E95" s="545"/>
      <c r="F95" s="545"/>
      <c r="G95" s="545"/>
      <c r="H95" s="545"/>
      <c r="I95" s="545"/>
      <c r="J95" s="545"/>
      <c r="K95" s="545"/>
      <c r="L95" s="545"/>
      <c r="M95" s="545"/>
      <c r="N95" s="545"/>
      <c r="O95" s="545"/>
      <c r="P95" s="545"/>
      <c r="Q95" s="545"/>
      <c r="R95" s="545"/>
      <c r="S95" s="576"/>
      <c r="T95" s="576"/>
      <c r="U95" s="576"/>
      <c r="V95" s="576"/>
      <c r="W95" s="545"/>
      <c r="X95" s="545"/>
      <c r="Y95" s="576"/>
      <c r="Z95" s="576"/>
      <c r="AA95" s="545"/>
      <c r="AB95" s="545"/>
      <c r="AC95" s="545"/>
      <c r="AD95" s="576"/>
      <c r="AE95" s="576"/>
      <c r="AF95" s="576"/>
      <c r="AG95" s="576"/>
      <c r="AH95" s="576"/>
      <c r="AI95" s="576"/>
      <c r="AJ95" s="576"/>
      <c r="AK95" s="576"/>
      <c r="AL95" s="576"/>
      <c r="AM95" s="576"/>
      <c r="AN95" s="576"/>
      <c r="AO95" s="576"/>
      <c r="AP95" s="576"/>
      <c r="AQ95" s="576"/>
      <c r="AR95" s="576"/>
      <c r="AS95" s="576"/>
      <c r="AT95" s="576"/>
      <c r="AU95" s="576"/>
      <c r="AV95" s="576"/>
      <c r="AW95" s="576"/>
      <c r="AX95" s="576"/>
      <c r="AY95" s="576"/>
      <c r="AZ95" s="576"/>
      <c r="BA95" s="576"/>
      <c r="BB95" s="576"/>
      <c r="BC95" s="576"/>
      <c r="BD95" s="572"/>
      <c r="BE95" s="710"/>
      <c r="BF95" s="710"/>
      <c r="BG95" s="710"/>
      <c r="BH95" s="710"/>
      <c r="BI95" s="710"/>
      <c r="BJ95" s="710"/>
      <c r="BK95" s="710"/>
      <c r="BL95" s="710"/>
      <c r="BM95" s="710"/>
      <c r="BN95" s="710"/>
      <c r="BO95" s="710"/>
      <c r="BP95" s="710"/>
      <c r="BQ95" s="710"/>
      <c r="BR95" s="710"/>
      <c r="BS95" s="710"/>
      <c r="BT95" s="710"/>
    </row>
    <row r="96" spans="1:72" ht="15.75">
      <c r="A96" s="545"/>
      <c r="B96" s="545"/>
      <c r="C96" s="545"/>
      <c r="D96" s="545"/>
      <c r="E96" s="545"/>
      <c r="F96" s="545"/>
      <c r="G96" s="545"/>
      <c r="H96" s="545"/>
      <c r="I96" s="545"/>
      <c r="J96" s="545"/>
      <c r="K96" s="545"/>
      <c r="L96" s="545"/>
      <c r="M96" s="545"/>
      <c r="N96" s="545"/>
      <c r="O96" s="545"/>
      <c r="P96" s="545"/>
      <c r="Q96" s="545"/>
      <c r="R96" s="545"/>
      <c r="S96" s="576"/>
      <c r="T96" s="576"/>
      <c r="U96" s="576"/>
      <c r="V96" s="576"/>
      <c r="W96" s="545"/>
      <c r="X96" s="545"/>
      <c r="Y96" s="576"/>
      <c r="Z96" s="576"/>
      <c r="AA96" s="545"/>
      <c r="AB96" s="545"/>
      <c r="AC96" s="545"/>
      <c r="AD96" s="576"/>
      <c r="AE96" s="576"/>
      <c r="AF96" s="576"/>
      <c r="AG96" s="576"/>
      <c r="AH96" s="576"/>
      <c r="AI96" s="576"/>
      <c r="AJ96" s="576"/>
      <c r="AK96" s="576"/>
      <c r="AL96" s="576"/>
      <c r="AM96" s="576"/>
      <c r="AN96" s="576"/>
      <c r="AO96" s="576"/>
      <c r="AP96" s="576"/>
      <c r="AQ96" s="576"/>
      <c r="AR96" s="576"/>
      <c r="AS96" s="576"/>
      <c r="AT96" s="576"/>
      <c r="AU96" s="576"/>
      <c r="AV96" s="576"/>
      <c r="AW96" s="576"/>
      <c r="AX96" s="576"/>
      <c r="AY96" s="576"/>
      <c r="AZ96" s="576"/>
      <c r="BA96" s="576"/>
      <c r="BB96" s="576"/>
      <c r="BC96" s="576"/>
      <c r="BD96" s="572"/>
      <c r="BE96" s="710"/>
      <c r="BF96" s="710"/>
      <c r="BG96" s="710"/>
      <c r="BH96" s="710"/>
      <c r="BI96" s="710"/>
      <c r="BJ96" s="710"/>
      <c r="BK96" s="710"/>
      <c r="BL96" s="710"/>
      <c r="BM96" s="710"/>
      <c r="BN96" s="710"/>
      <c r="BO96" s="710"/>
      <c r="BP96" s="710"/>
      <c r="BQ96" s="710"/>
      <c r="BR96" s="710"/>
      <c r="BS96" s="710"/>
      <c r="BT96" s="710"/>
    </row>
    <row r="97" spans="1:72" ht="15.75">
      <c r="A97" s="545"/>
      <c r="B97" s="545"/>
      <c r="C97" s="545"/>
      <c r="D97" s="545"/>
      <c r="E97" s="545"/>
      <c r="F97" s="545"/>
      <c r="G97" s="545"/>
      <c r="H97" s="545"/>
      <c r="I97" s="545"/>
      <c r="J97" s="545"/>
      <c r="K97" s="545"/>
      <c r="L97" s="545"/>
      <c r="M97" s="545"/>
      <c r="N97" s="545"/>
      <c r="O97" s="545"/>
      <c r="P97" s="545"/>
      <c r="Q97" s="545"/>
      <c r="R97" s="545"/>
      <c r="S97" s="576"/>
      <c r="T97" s="576"/>
      <c r="U97" s="576"/>
      <c r="V97" s="576"/>
      <c r="W97" s="545"/>
      <c r="X97" s="545"/>
      <c r="Y97" s="576"/>
      <c r="Z97" s="576"/>
      <c r="AA97" s="545"/>
      <c r="AB97" s="545"/>
      <c r="AC97" s="545"/>
      <c r="AD97" s="576"/>
      <c r="AE97" s="576"/>
      <c r="AF97" s="576"/>
      <c r="AG97" s="576"/>
      <c r="AH97" s="576"/>
      <c r="AI97" s="576"/>
      <c r="AJ97" s="576"/>
      <c r="AK97" s="576"/>
      <c r="AL97" s="576"/>
      <c r="AM97" s="576"/>
      <c r="AN97" s="576"/>
      <c r="AO97" s="576"/>
      <c r="AP97" s="576"/>
      <c r="AQ97" s="576"/>
      <c r="AR97" s="576"/>
      <c r="AS97" s="576"/>
      <c r="AT97" s="576"/>
      <c r="AU97" s="576"/>
      <c r="AV97" s="576"/>
      <c r="AW97" s="576"/>
      <c r="AX97" s="576"/>
      <c r="AY97" s="576"/>
      <c r="AZ97" s="576"/>
      <c r="BA97" s="576"/>
      <c r="BB97" s="576"/>
      <c r="BC97" s="576"/>
      <c r="BD97" s="572"/>
      <c r="BE97" s="710"/>
      <c r="BF97" s="710"/>
      <c r="BG97" s="710"/>
      <c r="BH97" s="710"/>
      <c r="BI97" s="710"/>
      <c r="BJ97" s="710"/>
      <c r="BK97" s="710"/>
      <c r="BL97" s="710"/>
      <c r="BM97" s="710"/>
      <c r="BN97" s="710"/>
      <c r="BO97" s="710"/>
      <c r="BP97" s="710"/>
      <c r="BQ97" s="710"/>
      <c r="BR97" s="710"/>
      <c r="BS97" s="710"/>
      <c r="BT97" s="710"/>
    </row>
    <row r="98" spans="1:72" ht="15.75">
      <c r="A98" s="545"/>
      <c r="B98" s="545"/>
      <c r="C98" s="545"/>
      <c r="D98" s="545"/>
      <c r="E98" s="545"/>
      <c r="F98" s="545"/>
      <c r="G98" s="545"/>
      <c r="H98" s="545"/>
      <c r="I98" s="545"/>
      <c r="J98" s="545"/>
      <c r="K98" s="545"/>
      <c r="L98" s="545"/>
      <c r="M98" s="545"/>
      <c r="N98" s="545"/>
      <c r="O98" s="545"/>
      <c r="P98" s="545"/>
      <c r="Q98" s="545"/>
      <c r="R98" s="545"/>
      <c r="S98" s="576"/>
      <c r="T98" s="576"/>
      <c r="U98" s="576"/>
      <c r="V98" s="576"/>
      <c r="W98" s="545"/>
      <c r="X98" s="545"/>
      <c r="Y98" s="576"/>
      <c r="Z98" s="576"/>
      <c r="AA98" s="545"/>
      <c r="AB98" s="545"/>
      <c r="AC98" s="545"/>
      <c r="AD98" s="576"/>
      <c r="AE98" s="576"/>
      <c r="AF98" s="576"/>
      <c r="AG98" s="576"/>
      <c r="AH98" s="576"/>
      <c r="AI98" s="576"/>
      <c r="AJ98" s="576"/>
      <c r="AK98" s="576"/>
      <c r="AL98" s="576"/>
      <c r="AM98" s="576"/>
      <c r="AN98" s="576"/>
      <c r="AO98" s="576"/>
      <c r="AP98" s="576"/>
      <c r="AQ98" s="576"/>
      <c r="AR98" s="576"/>
      <c r="AS98" s="576"/>
      <c r="AT98" s="576"/>
      <c r="AU98" s="576"/>
      <c r="AV98" s="576"/>
      <c r="AW98" s="576"/>
      <c r="AX98" s="576"/>
      <c r="AY98" s="576"/>
      <c r="AZ98" s="576"/>
      <c r="BA98" s="576"/>
      <c r="BB98" s="576"/>
      <c r="BC98" s="576"/>
      <c r="BD98" s="572"/>
      <c r="BE98" s="710"/>
      <c r="BF98" s="710"/>
      <c r="BG98" s="710"/>
      <c r="BH98" s="710"/>
      <c r="BI98" s="710"/>
      <c r="BJ98" s="710"/>
      <c r="BK98" s="710"/>
      <c r="BL98" s="710"/>
      <c r="BM98" s="710"/>
      <c r="BN98" s="710"/>
      <c r="BO98" s="710"/>
      <c r="BP98" s="710"/>
      <c r="BQ98" s="710"/>
      <c r="BR98" s="710"/>
      <c r="BS98" s="710"/>
      <c r="BT98" s="710"/>
    </row>
    <row r="99" spans="1:72" ht="15.75">
      <c r="A99" s="545"/>
      <c r="B99" s="545"/>
      <c r="C99" s="545"/>
      <c r="D99" s="545"/>
      <c r="E99" s="545"/>
      <c r="F99" s="545"/>
      <c r="G99" s="545"/>
      <c r="H99" s="545"/>
      <c r="I99" s="545"/>
      <c r="J99" s="545"/>
      <c r="K99" s="545"/>
      <c r="L99" s="545"/>
      <c r="M99" s="545"/>
      <c r="N99" s="545"/>
      <c r="O99" s="545"/>
      <c r="P99" s="545"/>
      <c r="Q99" s="545"/>
      <c r="R99" s="545"/>
      <c r="S99" s="576"/>
      <c r="T99" s="576"/>
      <c r="U99" s="576"/>
      <c r="V99" s="576"/>
      <c r="W99" s="545"/>
      <c r="X99" s="545"/>
      <c r="Y99" s="576"/>
      <c r="Z99" s="576"/>
      <c r="AA99" s="545"/>
      <c r="AB99" s="545"/>
      <c r="AC99" s="545"/>
      <c r="AD99" s="576"/>
      <c r="AE99" s="576"/>
      <c r="AF99" s="576"/>
      <c r="AG99" s="576"/>
      <c r="AH99" s="576"/>
      <c r="AI99" s="576"/>
      <c r="AJ99" s="576"/>
      <c r="AK99" s="576"/>
      <c r="AL99" s="576"/>
      <c r="AM99" s="576"/>
      <c r="AN99" s="576"/>
      <c r="AO99" s="576"/>
      <c r="AP99" s="576"/>
      <c r="AQ99" s="576"/>
      <c r="AR99" s="576"/>
      <c r="AS99" s="576"/>
      <c r="AT99" s="576"/>
      <c r="AU99" s="576"/>
      <c r="AV99" s="576"/>
      <c r="AW99" s="576"/>
      <c r="AX99" s="576"/>
      <c r="AY99" s="576"/>
      <c r="AZ99" s="576"/>
      <c r="BA99" s="576"/>
      <c r="BB99" s="576"/>
      <c r="BC99" s="576"/>
      <c r="BD99" s="572"/>
      <c r="BE99" s="710"/>
      <c r="BF99" s="710"/>
      <c r="BG99" s="710"/>
      <c r="BH99" s="710"/>
      <c r="BI99" s="710"/>
      <c r="BJ99" s="710"/>
      <c r="BK99" s="710"/>
      <c r="BL99" s="710"/>
      <c r="BM99" s="710"/>
      <c r="BN99" s="710"/>
      <c r="BO99" s="710"/>
      <c r="BP99" s="710"/>
      <c r="BQ99" s="710"/>
      <c r="BR99" s="710"/>
      <c r="BS99" s="710"/>
      <c r="BT99" s="710"/>
    </row>
    <row r="100" spans="1:72" ht="15.75">
      <c r="A100" s="545"/>
      <c r="B100" s="545"/>
      <c r="C100" s="545"/>
      <c r="D100" s="545"/>
      <c r="E100" s="545"/>
      <c r="F100" s="545"/>
      <c r="G100" s="545"/>
      <c r="H100" s="545"/>
      <c r="I100" s="545"/>
      <c r="J100" s="545"/>
      <c r="K100" s="545"/>
      <c r="L100" s="545"/>
      <c r="M100" s="545"/>
      <c r="N100" s="545"/>
      <c r="O100" s="545"/>
      <c r="P100" s="545"/>
      <c r="Q100" s="545"/>
      <c r="R100" s="545"/>
      <c r="S100" s="576"/>
      <c r="T100" s="576"/>
      <c r="U100" s="576"/>
      <c r="V100" s="576"/>
      <c r="W100" s="545"/>
      <c r="X100" s="545"/>
      <c r="Y100" s="576"/>
      <c r="Z100" s="576"/>
      <c r="AA100" s="545"/>
      <c r="AB100" s="545"/>
      <c r="AC100" s="545"/>
      <c r="AD100" s="576"/>
      <c r="AE100" s="576"/>
      <c r="AF100" s="576"/>
      <c r="AG100" s="576"/>
      <c r="AH100" s="576"/>
      <c r="AI100" s="576"/>
      <c r="AJ100" s="576"/>
      <c r="AK100" s="576"/>
      <c r="AL100" s="576"/>
      <c r="AM100" s="576"/>
      <c r="AN100" s="576"/>
      <c r="AO100" s="576"/>
      <c r="AP100" s="576"/>
      <c r="AQ100" s="576"/>
      <c r="AR100" s="576"/>
      <c r="AS100" s="576"/>
      <c r="AT100" s="576"/>
      <c r="AU100" s="576"/>
      <c r="AV100" s="576"/>
      <c r="AW100" s="576"/>
      <c r="AX100" s="576"/>
      <c r="AY100" s="576"/>
      <c r="AZ100" s="576"/>
      <c r="BA100" s="576"/>
      <c r="BB100" s="576"/>
      <c r="BC100" s="576"/>
      <c r="BD100" s="572"/>
      <c r="BE100" s="710"/>
      <c r="BF100" s="710"/>
      <c r="BG100" s="710"/>
      <c r="BH100" s="710"/>
      <c r="BI100" s="710"/>
      <c r="BJ100" s="710"/>
      <c r="BK100" s="710"/>
      <c r="BL100" s="710"/>
      <c r="BM100" s="710"/>
      <c r="BN100" s="710"/>
      <c r="BO100" s="710"/>
      <c r="BP100" s="710"/>
      <c r="BQ100" s="710"/>
      <c r="BR100" s="710"/>
      <c r="BS100" s="710"/>
      <c r="BT100" s="710"/>
    </row>
    <row r="101" spans="1:72" ht="15.75">
      <c r="A101" s="545"/>
      <c r="B101" s="545"/>
      <c r="C101" s="545"/>
      <c r="D101" s="545"/>
      <c r="E101" s="545"/>
      <c r="F101" s="545"/>
      <c r="G101" s="545"/>
      <c r="H101" s="545"/>
      <c r="I101" s="545"/>
      <c r="J101" s="545"/>
      <c r="K101" s="545"/>
      <c r="L101" s="545"/>
      <c r="M101" s="545"/>
      <c r="N101" s="545"/>
      <c r="O101" s="545"/>
      <c r="P101" s="545"/>
      <c r="Q101" s="545"/>
      <c r="R101" s="545"/>
      <c r="S101" s="576"/>
      <c r="T101" s="576"/>
      <c r="U101" s="576"/>
      <c r="V101" s="576"/>
      <c r="W101" s="545"/>
      <c r="X101" s="545"/>
      <c r="Y101" s="576"/>
      <c r="Z101" s="576"/>
      <c r="AA101" s="545"/>
      <c r="AB101" s="545"/>
      <c r="AC101" s="545"/>
      <c r="AD101" s="576"/>
      <c r="AE101" s="576"/>
      <c r="AF101" s="576"/>
      <c r="AG101" s="576"/>
      <c r="AH101" s="576"/>
      <c r="AI101" s="576"/>
      <c r="AJ101" s="576"/>
      <c r="AK101" s="576"/>
      <c r="AL101" s="576"/>
      <c r="AM101" s="576"/>
      <c r="AN101" s="576"/>
      <c r="AO101" s="576"/>
      <c r="AP101" s="576"/>
      <c r="AQ101" s="576"/>
      <c r="AR101" s="576"/>
      <c r="AS101" s="576"/>
      <c r="AT101" s="576"/>
      <c r="AU101" s="576"/>
      <c r="AV101" s="576"/>
      <c r="AW101" s="576"/>
      <c r="AX101" s="576"/>
      <c r="AY101" s="576"/>
      <c r="AZ101" s="576"/>
      <c r="BA101" s="576"/>
      <c r="BB101" s="576"/>
      <c r="BC101" s="576"/>
      <c r="BD101" s="572"/>
      <c r="BE101" s="710"/>
      <c r="BF101" s="710"/>
      <c r="BG101" s="710"/>
      <c r="BH101" s="710"/>
      <c r="BI101" s="710"/>
      <c r="BJ101" s="710"/>
      <c r="BK101" s="710"/>
      <c r="BL101" s="710"/>
      <c r="BM101" s="710"/>
      <c r="BN101" s="710"/>
      <c r="BO101" s="710"/>
      <c r="BP101" s="710"/>
      <c r="BQ101" s="710"/>
      <c r="BR101" s="710"/>
      <c r="BS101" s="710"/>
      <c r="BT101" s="710"/>
    </row>
    <row r="102" spans="1:72" ht="15.75">
      <c r="A102" s="545"/>
      <c r="B102" s="545"/>
      <c r="C102" s="545"/>
      <c r="D102" s="545"/>
      <c r="E102" s="545"/>
      <c r="F102" s="545"/>
      <c r="G102" s="545"/>
      <c r="H102" s="545"/>
      <c r="I102" s="545"/>
      <c r="J102" s="545"/>
      <c r="K102" s="545"/>
      <c r="L102" s="545"/>
      <c r="M102" s="545"/>
      <c r="N102" s="545"/>
      <c r="O102" s="545"/>
      <c r="P102" s="545"/>
      <c r="Q102" s="545"/>
      <c r="R102" s="545"/>
      <c r="S102" s="576"/>
      <c r="T102" s="576"/>
      <c r="U102" s="576"/>
      <c r="V102" s="576"/>
      <c r="W102" s="545"/>
      <c r="X102" s="545"/>
      <c r="Y102" s="576"/>
      <c r="Z102" s="576"/>
      <c r="AA102" s="545"/>
      <c r="AB102" s="545"/>
      <c r="AC102" s="545"/>
      <c r="AD102" s="576"/>
      <c r="AE102" s="576"/>
      <c r="AF102" s="576"/>
      <c r="AG102" s="576"/>
      <c r="AH102" s="576"/>
      <c r="AI102" s="576"/>
      <c r="AJ102" s="576"/>
      <c r="AK102" s="576"/>
      <c r="AL102" s="576"/>
      <c r="AM102" s="576"/>
      <c r="AN102" s="576"/>
      <c r="AO102" s="576"/>
      <c r="AP102" s="576"/>
      <c r="AQ102" s="576"/>
      <c r="AR102" s="576"/>
      <c r="AS102" s="576"/>
      <c r="AT102" s="576"/>
      <c r="AU102" s="576"/>
      <c r="AV102" s="576"/>
      <c r="AW102" s="576"/>
      <c r="AX102" s="576"/>
      <c r="AY102" s="576"/>
      <c r="AZ102" s="576"/>
      <c r="BA102" s="576"/>
      <c r="BB102" s="576"/>
      <c r="BC102" s="576"/>
      <c r="BD102" s="572"/>
      <c r="BE102" s="710"/>
      <c r="BF102" s="710"/>
      <c r="BG102" s="710"/>
      <c r="BH102" s="710"/>
      <c r="BI102" s="710"/>
      <c r="BJ102" s="710"/>
      <c r="BK102" s="710"/>
      <c r="BL102" s="710"/>
      <c r="BM102" s="710"/>
      <c r="BN102" s="710"/>
      <c r="BO102" s="710"/>
      <c r="BP102" s="710"/>
      <c r="BQ102" s="710"/>
      <c r="BR102" s="710"/>
      <c r="BS102" s="710"/>
      <c r="BT102" s="710"/>
    </row>
    <row r="103" spans="1:72" ht="15.75">
      <c r="A103" s="545"/>
      <c r="B103" s="545"/>
      <c r="C103" s="545"/>
      <c r="D103" s="545"/>
      <c r="E103" s="545"/>
      <c r="F103" s="545"/>
      <c r="G103" s="545"/>
      <c r="H103" s="545"/>
      <c r="I103" s="545"/>
      <c r="J103" s="545"/>
      <c r="K103" s="545"/>
      <c r="L103" s="545"/>
      <c r="M103" s="545"/>
      <c r="N103" s="545"/>
      <c r="O103" s="545"/>
      <c r="P103" s="545"/>
      <c r="Q103" s="545"/>
      <c r="R103" s="545"/>
      <c r="S103" s="576"/>
      <c r="T103" s="576"/>
      <c r="U103" s="576"/>
      <c r="V103" s="576"/>
      <c r="W103" s="545"/>
      <c r="X103" s="545"/>
      <c r="Y103" s="576"/>
      <c r="Z103" s="576"/>
      <c r="AA103" s="545"/>
      <c r="AB103" s="545"/>
      <c r="AC103" s="545"/>
      <c r="AD103" s="576"/>
      <c r="AE103" s="576"/>
      <c r="AF103" s="576"/>
      <c r="AG103" s="576"/>
      <c r="AH103" s="576"/>
      <c r="AI103" s="576"/>
      <c r="AJ103" s="576"/>
      <c r="AK103" s="576"/>
      <c r="AL103" s="576"/>
      <c r="AM103" s="576"/>
      <c r="AN103" s="576"/>
      <c r="AO103" s="576"/>
      <c r="AP103" s="576"/>
      <c r="AQ103" s="576"/>
      <c r="AR103" s="576"/>
      <c r="AS103" s="576"/>
      <c r="AT103" s="576"/>
      <c r="AU103" s="576"/>
      <c r="AV103" s="576"/>
      <c r="AW103" s="576"/>
      <c r="AX103" s="576"/>
      <c r="AY103" s="576"/>
      <c r="AZ103" s="576"/>
      <c r="BA103" s="576"/>
      <c r="BB103" s="576"/>
      <c r="BC103" s="576"/>
      <c r="BD103" s="572"/>
      <c r="BE103" s="710"/>
      <c r="BF103" s="710"/>
      <c r="BG103" s="710"/>
      <c r="BH103" s="710"/>
      <c r="BI103" s="710"/>
      <c r="BJ103" s="710"/>
      <c r="BK103" s="710"/>
      <c r="BL103" s="710"/>
      <c r="BM103" s="710"/>
      <c r="BN103" s="710"/>
      <c r="BO103" s="710"/>
      <c r="BP103" s="710"/>
      <c r="BQ103" s="710"/>
      <c r="BR103" s="710"/>
      <c r="BS103" s="710"/>
      <c r="BT103" s="710"/>
    </row>
    <row r="104" spans="1:72" ht="15.75">
      <c r="A104" s="545"/>
      <c r="B104" s="545"/>
      <c r="C104" s="545"/>
      <c r="D104" s="545"/>
      <c r="E104" s="545"/>
      <c r="F104" s="545"/>
      <c r="G104" s="545"/>
      <c r="H104" s="545"/>
      <c r="I104" s="545"/>
      <c r="J104" s="545"/>
      <c r="K104" s="545"/>
      <c r="L104" s="545"/>
      <c r="M104" s="545"/>
      <c r="N104" s="545"/>
      <c r="O104" s="545"/>
      <c r="P104" s="545"/>
      <c r="Q104" s="545"/>
      <c r="R104" s="545"/>
      <c r="S104" s="576"/>
      <c r="T104" s="576"/>
      <c r="U104" s="576"/>
      <c r="V104" s="576"/>
      <c r="W104" s="545"/>
      <c r="X104" s="545"/>
      <c r="Y104" s="576"/>
      <c r="Z104" s="576"/>
      <c r="AA104" s="545"/>
      <c r="AB104" s="545"/>
      <c r="AC104" s="545"/>
      <c r="AD104" s="576"/>
      <c r="AE104" s="576"/>
      <c r="AF104" s="576"/>
      <c r="AG104" s="576"/>
      <c r="AH104" s="576"/>
      <c r="AI104" s="576"/>
      <c r="AJ104" s="576"/>
      <c r="AK104" s="576"/>
      <c r="AL104" s="576"/>
      <c r="AM104" s="576"/>
      <c r="AN104" s="576"/>
      <c r="AO104" s="576"/>
      <c r="AP104" s="576"/>
      <c r="AQ104" s="576"/>
      <c r="AR104" s="576"/>
      <c r="AS104" s="576"/>
      <c r="AT104" s="576"/>
      <c r="AU104" s="576"/>
      <c r="AV104" s="576"/>
      <c r="AW104" s="576"/>
      <c r="AX104" s="576"/>
      <c r="AY104" s="576"/>
      <c r="AZ104" s="576"/>
      <c r="BA104" s="576"/>
      <c r="BB104" s="576"/>
      <c r="BC104" s="576"/>
      <c r="BD104" s="572"/>
      <c r="BE104" s="710"/>
      <c r="BF104" s="710"/>
      <c r="BG104" s="710"/>
      <c r="BH104" s="710"/>
      <c r="BI104" s="710"/>
      <c r="BJ104" s="710"/>
      <c r="BK104" s="710"/>
      <c r="BL104" s="710"/>
      <c r="BM104" s="710"/>
      <c r="BN104" s="710"/>
      <c r="BO104" s="710"/>
      <c r="BP104" s="710"/>
      <c r="BQ104" s="710"/>
      <c r="BR104" s="710"/>
      <c r="BS104" s="710"/>
      <c r="BT104" s="710"/>
    </row>
    <row r="105" spans="1:72" ht="15.75">
      <c r="A105" s="545"/>
      <c r="B105" s="545"/>
      <c r="C105" s="545"/>
      <c r="D105" s="545"/>
      <c r="E105" s="545"/>
      <c r="F105" s="545"/>
      <c r="G105" s="545"/>
      <c r="H105" s="545"/>
      <c r="I105" s="545"/>
      <c r="J105" s="545"/>
      <c r="K105" s="545"/>
      <c r="L105" s="545"/>
      <c r="M105" s="545"/>
      <c r="N105" s="545"/>
      <c r="O105" s="545"/>
      <c r="P105" s="545"/>
      <c r="Q105" s="545"/>
      <c r="R105" s="545"/>
      <c r="S105" s="576"/>
      <c r="T105" s="576"/>
      <c r="U105" s="576"/>
      <c r="V105" s="576"/>
      <c r="W105" s="545"/>
      <c r="X105" s="545"/>
      <c r="Y105" s="576"/>
      <c r="Z105" s="576"/>
      <c r="AA105" s="545"/>
      <c r="AB105" s="545"/>
      <c r="AC105" s="545"/>
      <c r="AD105" s="576"/>
      <c r="AE105" s="576"/>
      <c r="AF105" s="576"/>
      <c r="AG105" s="576"/>
      <c r="AH105" s="576"/>
      <c r="AI105" s="576"/>
      <c r="AJ105" s="576"/>
      <c r="AK105" s="576"/>
      <c r="AL105" s="576"/>
      <c r="AM105" s="576"/>
      <c r="AN105" s="576"/>
      <c r="AO105" s="576"/>
      <c r="AP105" s="576"/>
      <c r="AQ105" s="576"/>
      <c r="AR105" s="576"/>
      <c r="AS105" s="576"/>
      <c r="AT105" s="576"/>
      <c r="AU105" s="576"/>
      <c r="AV105" s="576"/>
      <c r="AW105" s="576"/>
      <c r="AX105" s="576"/>
      <c r="AY105" s="576"/>
      <c r="AZ105" s="576"/>
      <c r="BA105" s="576"/>
      <c r="BB105" s="576"/>
      <c r="BC105" s="576"/>
      <c r="BD105" s="572"/>
      <c r="BE105" s="710"/>
      <c r="BF105" s="710"/>
      <c r="BG105" s="710"/>
      <c r="BH105" s="710"/>
      <c r="BI105" s="710"/>
      <c r="BJ105" s="710"/>
      <c r="BK105" s="710"/>
      <c r="BL105" s="710"/>
      <c r="BM105" s="710"/>
      <c r="BN105" s="710"/>
      <c r="BO105" s="710"/>
      <c r="BP105" s="710"/>
      <c r="BQ105" s="710"/>
      <c r="BR105" s="710"/>
      <c r="BS105" s="710"/>
      <c r="BT105" s="710"/>
    </row>
    <row r="106" spans="1:72" ht="15.75">
      <c r="A106" s="545"/>
      <c r="B106" s="545"/>
      <c r="C106" s="545"/>
      <c r="D106" s="545"/>
      <c r="E106" s="545"/>
      <c r="F106" s="545"/>
      <c r="G106" s="545"/>
      <c r="H106" s="545"/>
      <c r="I106" s="545"/>
      <c r="J106" s="545"/>
      <c r="K106" s="545"/>
      <c r="L106" s="545"/>
      <c r="M106" s="545"/>
      <c r="N106" s="545"/>
      <c r="O106" s="545"/>
      <c r="P106" s="545"/>
      <c r="Q106" s="545"/>
      <c r="R106" s="545"/>
      <c r="S106" s="576"/>
      <c r="T106" s="576"/>
      <c r="U106" s="576"/>
      <c r="V106" s="576"/>
      <c r="W106" s="545"/>
      <c r="X106" s="545"/>
      <c r="Y106" s="576"/>
      <c r="Z106" s="576"/>
      <c r="AA106" s="545"/>
      <c r="AB106" s="545"/>
      <c r="AC106" s="545"/>
      <c r="AD106" s="576"/>
      <c r="AE106" s="576"/>
      <c r="AF106" s="576"/>
      <c r="AG106" s="576"/>
      <c r="AH106" s="576"/>
      <c r="AI106" s="576"/>
      <c r="AJ106" s="576"/>
      <c r="AK106" s="576"/>
      <c r="AL106" s="576"/>
      <c r="AM106" s="576"/>
      <c r="AN106" s="576"/>
      <c r="AO106" s="576"/>
      <c r="AP106" s="576"/>
      <c r="AQ106" s="576"/>
      <c r="AR106" s="576"/>
      <c r="AS106" s="576"/>
      <c r="AT106" s="576"/>
      <c r="AU106" s="576"/>
      <c r="AV106" s="576"/>
      <c r="AW106" s="576"/>
      <c r="AX106" s="576"/>
      <c r="AY106" s="576"/>
      <c r="AZ106" s="576"/>
      <c r="BA106" s="576"/>
      <c r="BB106" s="576"/>
      <c r="BC106" s="576"/>
      <c r="BD106" s="572"/>
      <c r="BE106" s="710"/>
      <c r="BF106" s="710"/>
      <c r="BG106" s="710"/>
      <c r="BH106" s="710"/>
      <c r="BI106" s="710"/>
      <c r="BJ106" s="710"/>
      <c r="BK106" s="710"/>
      <c r="BL106" s="710"/>
      <c r="BM106" s="710"/>
      <c r="BN106" s="710"/>
      <c r="BO106" s="710"/>
      <c r="BP106" s="710"/>
      <c r="BQ106" s="710"/>
      <c r="BR106" s="710"/>
      <c r="BS106" s="710"/>
      <c r="BT106" s="710"/>
    </row>
    <row r="107" spans="1:72" ht="15.75">
      <c r="A107" s="545"/>
      <c r="B107" s="545"/>
      <c r="C107" s="545"/>
      <c r="D107" s="545"/>
      <c r="E107" s="545"/>
      <c r="F107" s="545"/>
      <c r="G107" s="545"/>
      <c r="H107" s="545"/>
      <c r="I107" s="545"/>
      <c r="J107" s="545"/>
      <c r="K107" s="545"/>
      <c r="L107" s="545"/>
      <c r="M107" s="545"/>
      <c r="N107" s="545"/>
      <c r="O107" s="545"/>
      <c r="P107" s="545"/>
      <c r="Q107" s="545"/>
      <c r="R107" s="545"/>
      <c r="S107" s="576"/>
      <c r="T107" s="576"/>
      <c r="U107" s="576"/>
      <c r="V107" s="576"/>
      <c r="W107" s="545"/>
      <c r="X107" s="545"/>
      <c r="Y107" s="576"/>
      <c r="Z107" s="576"/>
      <c r="AA107" s="545"/>
      <c r="AB107" s="545"/>
      <c r="AC107" s="545"/>
      <c r="AD107" s="576"/>
      <c r="AE107" s="576"/>
      <c r="AF107" s="576"/>
      <c r="AG107" s="576"/>
      <c r="AH107" s="576"/>
      <c r="AI107" s="576"/>
      <c r="AJ107" s="576"/>
      <c r="AK107" s="576"/>
      <c r="AL107" s="576"/>
      <c r="AM107" s="576"/>
      <c r="AN107" s="576"/>
      <c r="AO107" s="576"/>
      <c r="AP107" s="576"/>
      <c r="AQ107" s="576"/>
      <c r="AR107" s="576"/>
      <c r="AS107" s="576"/>
      <c r="AT107" s="576"/>
      <c r="AU107" s="576"/>
      <c r="AV107" s="576"/>
      <c r="AW107" s="576"/>
      <c r="AX107" s="576"/>
      <c r="AY107" s="576"/>
      <c r="AZ107" s="576"/>
      <c r="BA107" s="576"/>
      <c r="BB107" s="576"/>
      <c r="BC107" s="576"/>
      <c r="BD107" s="572"/>
      <c r="BE107" s="710"/>
      <c r="BF107" s="710"/>
      <c r="BG107" s="710"/>
      <c r="BH107" s="710"/>
      <c r="BI107" s="710"/>
      <c r="BJ107" s="710"/>
      <c r="BK107" s="710"/>
      <c r="BL107" s="710"/>
      <c r="BM107" s="710"/>
      <c r="BN107" s="710"/>
      <c r="BO107" s="710"/>
      <c r="BP107" s="710"/>
      <c r="BQ107" s="710"/>
      <c r="BR107" s="710"/>
      <c r="BS107" s="710"/>
      <c r="BT107" s="710"/>
    </row>
    <row r="108" spans="1:72" ht="15.75">
      <c r="A108" s="545"/>
      <c r="B108" s="545"/>
      <c r="C108" s="545"/>
      <c r="D108" s="545"/>
      <c r="E108" s="545"/>
      <c r="F108" s="545"/>
      <c r="G108" s="545"/>
      <c r="H108" s="545"/>
      <c r="I108" s="545"/>
      <c r="J108" s="545"/>
      <c r="K108" s="545"/>
      <c r="L108" s="545"/>
      <c r="M108" s="545"/>
      <c r="N108" s="545"/>
      <c r="O108" s="545"/>
      <c r="P108" s="545"/>
      <c r="Q108" s="545"/>
      <c r="R108" s="545"/>
      <c r="S108" s="576"/>
      <c r="T108" s="576"/>
      <c r="U108" s="576"/>
      <c r="V108" s="576"/>
      <c r="W108" s="545"/>
      <c r="X108" s="545"/>
      <c r="Y108" s="576"/>
      <c r="Z108" s="576"/>
      <c r="AA108" s="545"/>
      <c r="AB108" s="545"/>
      <c r="AC108" s="545"/>
      <c r="AD108" s="576"/>
      <c r="AE108" s="576"/>
      <c r="AF108" s="576"/>
      <c r="AG108" s="576"/>
      <c r="AH108" s="576"/>
      <c r="AI108" s="576"/>
      <c r="AJ108" s="576"/>
      <c r="AK108" s="576"/>
      <c r="AL108" s="576"/>
      <c r="AM108" s="576"/>
      <c r="AN108" s="576"/>
      <c r="AO108" s="576"/>
      <c r="AP108" s="576"/>
      <c r="AQ108" s="576"/>
      <c r="AR108" s="576"/>
      <c r="AS108" s="576"/>
      <c r="AT108" s="576"/>
      <c r="AU108" s="576"/>
      <c r="AV108" s="576"/>
      <c r="AW108" s="576"/>
      <c r="AX108" s="576"/>
      <c r="AY108" s="576"/>
      <c r="AZ108" s="576"/>
      <c r="BA108" s="576"/>
      <c r="BB108" s="576"/>
      <c r="BC108" s="576"/>
      <c r="BD108" s="572"/>
      <c r="BE108" s="710"/>
      <c r="BF108" s="710"/>
      <c r="BG108" s="710"/>
      <c r="BH108" s="710"/>
      <c r="BI108" s="710"/>
      <c r="BJ108" s="710"/>
      <c r="BK108" s="710"/>
      <c r="BL108" s="710"/>
      <c r="BM108" s="710"/>
      <c r="BN108" s="710"/>
      <c r="BO108" s="710"/>
      <c r="BP108" s="710"/>
      <c r="BQ108" s="710"/>
      <c r="BR108" s="710"/>
      <c r="BS108" s="710"/>
      <c r="BT108" s="710"/>
    </row>
    <row r="109" spans="1:72" ht="15.75">
      <c r="A109" s="545"/>
      <c r="B109" s="545"/>
      <c r="C109" s="545"/>
      <c r="D109" s="545"/>
      <c r="E109" s="545"/>
      <c r="F109" s="545"/>
      <c r="G109" s="545"/>
      <c r="H109" s="545"/>
      <c r="I109" s="545"/>
      <c r="J109" s="545"/>
      <c r="K109" s="545"/>
      <c r="L109" s="545"/>
      <c r="M109" s="545"/>
      <c r="N109" s="545"/>
      <c r="O109" s="545"/>
      <c r="P109" s="545"/>
      <c r="Q109" s="545"/>
      <c r="R109" s="545"/>
      <c r="S109" s="576"/>
      <c r="T109" s="576"/>
      <c r="U109" s="576"/>
      <c r="V109" s="576"/>
      <c r="W109" s="545"/>
      <c r="X109" s="545"/>
      <c r="Y109" s="576"/>
      <c r="Z109" s="576"/>
      <c r="AA109" s="545"/>
      <c r="AB109" s="545"/>
      <c r="AC109" s="545"/>
      <c r="AD109" s="576"/>
      <c r="AE109" s="576"/>
      <c r="AF109" s="576"/>
      <c r="AG109" s="576"/>
      <c r="AH109" s="576"/>
      <c r="AI109" s="576"/>
      <c r="AJ109" s="576"/>
      <c r="AK109" s="576"/>
      <c r="AL109" s="576"/>
      <c r="AM109" s="576"/>
      <c r="AN109" s="576"/>
      <c r="AO109" s="576"/>
      <c r="AP109" s="576"/>
      <c r="AQ109" s="576"/>
      <c r="AR109" s="576"/>
      <c r="AS109" s="576"/>
      <c r="AT109" s="576"/>
      <c r="AU109" s="576"/>
      <c r="AV109" s="576"/>
      <c r="AW109" s="576"/>
      <c r="AX109" s="576"/>
      <c r="AY109" s="576"/>
      <c r="AZ109" s="576"/>
      <c r="BA109" s="576"/>
      <c r="BB109" s="576"/>
      <c r="BC109" s="576"/>
      <c r="BD109" s="572"/>
      <c r="BE109" s="710"/>
      <c r="BF109" s="710"/>
      <c r="BG109" s="710"/>
      <c r="BH109" s="710"/>
      <c r="BI109" s="710"/>
      <c r="BJ109" s="710"/>
      <c r="BK109" s="710"/>
      <c r="BL109" s="710"/>
      <c r="BM109" s="710"/>
      <c r="BN109" s="710"/>
      <c r="BO109" s="710"/>
      <c r="BP109" s="710"/>
      <c r="BQ109" s="710"/>
      <c r="BR109" s="710"/>
      <c r="BS109" s="710"/>
      <c r="BT109" s="710"/>
    </row>
    <row r="110" spans="1:72" ht="15.75">
      <c r="A110" s="545"/>
      <c r="B110" s="545"/>
      <c r="C110" s="545"/>
      <c r="D110" s="545"/>
      <c r="E110" s="545"/>
      <c r="F110" s="545"/>
      <c r="G110" s="545"/>
      <c r="H110" s="545"/>
      <c r="I110" s="545"/>
      <c r="J110" s="545"/>
      <c r="K110" s="545"/>
      <c r="L110" s="545"/>
      <c r="M110" s="545"/>
      <c r="N110" s="545"/>
      <c r="O110" s="545"/>
      <c r="P110" s="545"/>
      <c r="Q110" s="545"/>
      <c r="R110" s="545"/>
      <c r="S110" s="576"/>
      <c r="T110" s="576"/>
      <c r="U110" s="576"/>
      <c r="V110" s="576"/>
      <c r="W110" s="545"/>
      <c r="X110" s="545"/>
      <c r="Y110" s="576"/>
      <c r="Z110" s="576"/>
      <c r="AA110" s="545"/>
      <c r="AB110" s="545"/>
      <c r="AC110" s="545"/>
      <c r="AD110" s="576"/>
      <c r="AE110" s="576"/>
      <c r="AF110" s="576"/>
      <c r="AG110" s="576"/>
      <c r="AH110" s="576"/>
      <c r="AI110" s="576"/>
      <c r="AJ110" s="576"/>
      <c r="AK110" s="576"/>
      <c r="AL110" s="576"/>
      <c r="AM110" s="576"/>
      <c r="AN110" s="576"/>
      <c r="AO110" s="576"/>
      <c r="AP110" s="576"/>
      <c r="AQ110" s="576"/>
      <c r="AR110" s="576"/>
      <c r="AS110" s="576"/>
      <c r="AT110" s="576"/>
      <c r="AU110" s="576"/>
      <c r="AV110" s="576"/>
      <c r="AW110" s="576"/>
      <c r="AX110" s="576"/>
      <c r="AY110" s="576"/>
      <c r="AZ110" s="576"/>
      <c r="BA110" s="576"/>
      <c r="BB110" s="576"/>
      <c r="BC110" s="576"/>
      <c r="BD110" s="572"/>
      <c r="BE110" s="710"/>
      <c r="BF110" s="710"/>
      <c r="BG110" s="710"/>
      <c r="BH110" s="710"/>
      <c r="BI110" s="710"/>
      <c r="BJ110" s="710"/>
      <c r="BK110" s="710"/>
      <c r="BL110" s="710"/>
      <c r="BM110" s="710"/>
      <c r="BN110" s="710"/>
      <c r="BO110" s="710"/>
      <c r="BP110" s="710"/>
      <c r="BQ110" s="710"/>
      <c r="BR110" s="710"/>
      <c r="BS110" s="710"/>
      <c r="BT110" s="710"/>
    </row>
    <row r="111" spans="1:72" ht="15.75">
      <c r="A111" s="545"/>
      <c r="B111" s="545"/>
      <c r="C111" s="545"/>
      <c r="D111" s="545"/>
      <c r="E111" s="545"/>
      <c r="F111" s="545"/>
      <c r="G111" s="545"/>
      <c r="H111" s="545"/>
      <c r="I111" s="545"/>
      <c r="J111" s="545"/>
      <c r="K111" s="545"/>
      <c r="L111" s="545"/>
      <c r="M111" s="545"/>
      <c r="N111" s="545"/>
      <c r="O111" s="545"/>
      <c r="P111" s="545"/>
      <c r="Q111" s="545"/>
      <c r="R111" s="545"/>
      <c r="S111" s="576"/>
      <c r="T111" s="576"/>
      <c r="U111" s="576"/>
      <c r="V111" s="576"/>
      <c r="W111" s="545"/>
      <c r="X111" s="545"/>
      <c r="Y111" s="576"/>
      <c r="Z111" s="576"/>
      <c r="AA111" s="545"/>
      <c r="AB111" s="545"/>
      <c r="AC111" s="545"/>
      <c r="AD111" s="576"/>
      <c r="AE111" s="576"/>
      <c r="AF111" s="576"/>
      <c r="AG111" s="576"/>
      <c r="AH111" s="576"/>
      <c r="AI111" s="576"/>
      <c r="AJ111" s="576"/>
      <c r="AK111" s="576"/>
      <c r="AL111" s="576"/>
      <c r="AM111" s="576"/>
      <c r="AN111" s="576"/>
      <c r="AO111" s="576"/>
      <c r="AP111" s="576"/>
      <c r="AQ111" s="576"/>
      <c r="AR111" s="576"/>
      <c r="AS111" s="576"/>
      <c r="AT111" s="576"/>
      <c r="AU111" s="576"/>
      <c r="AV111" s="576"/>
      <c r="AW111" s="576"/>
      <c r="AX111" s="576"/>
      <c r="AY111" s="576"/>
      <c r="AZ111" s="576"/>
      <c r="BA111" s="576"/>
      <c r="BB111" s="576"/>
      <c r="BC111" s="576"/>
      <c r="BD111" s="572"/>
      <c r="BE111" s="710"/>
      <c r="BF111" s="710"/>
      <c r="BG111" s="710"/>
      <c r="BH111" s="710"/>
      <c r="BI111" s="710"/>
      <c r="BJ111" s="710"/>
      <c r="BK111" s="710"/>
      <c r="BL111" s="710"/>
      <c r="BM111" s="710"/>
      <c r="BN111" s="710"/>
      <c r="BO111" s="710"/>
      <c r="BP111" s="710"/>
      <c r="BQ111" s="710"/>
      <c r="BR111" s="710"/>
      <c r="BS111" s="710"/>
      <c r="BT111" s="710"/>
    </row>
    <row r="112" spans="1:72" ht="15.75">
      <c r="A112" s="545"/>
      <c r="B112" s="545"/>
      <c r="C112" s="545"/>
      <c r="D112" s="545"/>
      <c r="E112" s="545"/>
      <c r="F112" s="545"/>
      <c r="G112" s="545"/>
      <c r="H112" s="545"/>
      <c r="I112" s="545"/>
      <c r="J112" s="545"/>
      <c r="K112" s="545"/>
      <c r="L112" s="545"/>
      <c r="M112" s="545"/>
      <c r="N112" s="545"/>
      <c r="O112" s="545"/>
      <c r="P112" s="545"/>
      <c r="Q112" s="545"/>
      <c r="R112" s="545"/>
      <c r="S112" s="576"/>
      <c r="T112" s="576"/>
      <c r="U112" s="576"/>
      <c r="V112" s="576"/>
      <c r="W112" s="545"/>
      <c r="X112" s="545"/>
      <c r="Y112" s="576"/>
      <c r="Z112" s="576"/>
      <c r="AA112" s="545"/>
      <c r="AB112" s="545"/>
      <c r="AC112" s="545"/>
      <c r="AD112" s="576"/>
      <c r="AE112" s="576"/>
      <c r="AF112" s="576"/>
      <c r="AG112" s="576"/>
      <c r="AH112" s="576"/>
      <c r="AI112" s="576"/>
      <c r="AJ112" s="576"/>
      <c r="AK112" s="576"/>
      <c r="AL112" s="576"/>
      <c r="AM112" s="576"/>
      <c r="AN112" s="576"/>
      <c r="AO112" s="576"/>
      <c r="AP112" s="576"/>
      <c r="AQ112" s="576"/>
      <c r="AR112" s="576"/>
      <c r="AS112" s="576"/>
      <c r="AT112" s="576"/>
      <c r="AU112" s="576"/>
      <c r="AV112" s="576"/>
      <c r="AW112" s="576"/>
      <c r="AX112" s="576"/>
      <c r="AY112" s="576"/>
      <c r="AZ112" s="576"/>
      <c r="BA112" s="576"/>
      <c r="BB112" s="576"/>
      <c r="BC112" s="576"/>
      <c r="BD112" s="572"/>
      <c r="BE112" s="710"/>
      <c r="BF112" s="710"/>
      <c r="BG112" s="710"/>
      <c r="BH112" s="710"/>
      <c r="BI112" s="710"/>
      <c r="BJ112" s="710"/>
      <c r="BK112" s="710"/>
      <c r="BL112" s="710"/>
      <c r="BM112" s="710"/>
      <c r="BN112" s="710"/>
      <c r="BO112" s="710"/>
      <c r="BP112" s="710"/>
      <c r="BQ112" s="710"/>
      <c r="BR112" s="710"/>
      <c r="BS112" s="710"/>
      <c r="BT112" s="710"/>
    </row>
    <row r="113" spans="1:72" ht="15.75">
      <c r="A113" s="545"/>
      <c r="B113" s="545"/>
      <c r="C113" s="545"/>
      <c r="D113" s="545"/>
      <c r="E113" s="545"/>
      <c r="F113" s="545"/>
      <c r="G113" s="545"/>
      <c r="H113" s="545"/>
      <c r="I113" s="545"/>
      <c r="J113" s="545"/>
      <c r="K113" s="545"/>
      <c r="L113" s="545"/>
      <c r="M113" s="545"/>
      <c r="N113" s="545"/>
      <c r="O113" s="545"/>
      <c r="P113" s="545"/>
      <c r="Q113" s="545"/>
      <c r="R113" s="545"/>
      <c r="S113" s="576"/>
      <c r="T113" s="576"/>
      <c r="U113" s="576"/>
      <c r="V113" s="576"/>
      <c r="W113" s="545"/>
      <c r="X113" s="545"/>
      <c r="Y113" s="576"/>
      <c r="Z113" s="576"/>
      <c r="AA113" s="545"/>
      <c r="AB113" s="545"/>
      <c r="AC113" s="545"/>
      <c r="AD113" s="576"/>
      <c r="AE113" s="576"/>
      <c r="AF113" s="576"/>
      <c r="AG113" s="576"/>
      <c r="AH113" s="576"/>
      <c r="AI113" s="576"/>
      <c r="AJ113" s="576"/>
      <c r="AK113" s="576"/>
      <c r="AL113" s="576"/>
      <c r="AM113" s="576"/>
      <c r="AN113" s="576"/>
      <c r="AO113" s="576"/>
      <c r="AP113" s="576"/>
      <c r="AQ113" s="576"/>
      <c r="AR113" s="576"/>
      <c r="AS113" s="576"/>
      <c r="AT113" s="576"/>
      <c r="AU113" s="576"/>
      <c r="AV113" s="576"/>
      <c r="AW113" s="576"/>
      <c r="AX113" s="576"/>
      <c r="AY113" s="576"/>
      <c r="AZ113" s="576"/>
      <c r="BA113" s="576"/>
      <c r="BB113" s="576"/>
      <c r="BC113" s="576"/>
      <c r="BD113" s="572"/>
      <c r="BE113" s="710"/>
      <c r="BF113" s="710"/>
      <c r="BG113" s="710"/>
      <c r="BH113" s="710"/>
      <c r="BI113" s="710"/>
      <c r="BJ113" s="710"/>
      <c r="BK113" s="710"/>
      <c r="BL113" s="710"/>
      <c r="BM113" s="710"/>
      <c r="BN113" s="710"/>
      <c r="BO113" s="710"/>
      <c r="BP113" s="710"/>
      <c r="BQ113" s="710"/>
      <c r="BR113" s="710"/>
      <c r="BS113" s="710"/>
      <c r="BT113" s="710"/>
    </row>
    <row r="114" spans="1:72" ht="15.75">
      <c r="A114" s="545"/>
      <c r="B114" s="545"/>
      <c r="C114" s="545"/>
      <c r="D114" s="545"/>
      <c r="E114" s="545"/>
      <c r="F114" s="545"/>
      <c r="G114" s="545"/>
      <c r="H114" s="545"/>
      <c r="I114" s="545"/>
      <c r="J114" s="545"/>
      <c r="K114" s="545"/>
      <c r="L114" s="545"/>
      <c r="M114" s="545"/>
      <c r="N114" s="545"/>
      <c r="O114" s="545"/>
      <c r="P114" s="545"/>
      <c r="Q114" s="545"/>
      <c r="R114" s="545"/>
      <c r="S114" s="576"/>
      <c r="T114" s="576"/>
      <c r="U114" s="576"/>
      <c r="V114" s="576"/>
      <c r="W114" s="545"/>
      <c r="X114" s="545"/>
      <c r="Y114" s="576"/>
      <c r="Z114" s="576"/>
      <c r="AA114" s="545"/>
      <c r="AB114" s="545"/>
      <c r="AC114" s="545"/>
      <c r="AD114" s="576"/>
      <c r="AE114" s="576"/>
      <c r="AF114" s="576"/>
      <c r="AG114" s="576"/>
      <c r="AH114" s="576"/>
      <c r="AI114" s="576"/>
      <c r="AJ114" s="576"/>
      <c r="AK114" s="576"/>
      <c r="AL114" s="576"/>
      <c r="AM114" s="576"/>
      <c r="AN114" s="576"/>
      <c r="AO114" s="576"/>
      <c r="AP114" s="576"/>
      <c r="AQ114" s="576"/>
      <c r="AR114" s="576"/>
      <c r="AS114" s="576"/>
      <c r="AT114" s="576"/>
      <c r="AU114" s="576"/>
      <c r="AV114" s="576"/>
      <c r="AW114" s="576"/>
      <c r="AX114" s="576"/>
      <c r="AY114" s="576"/>
      <c r="AZ114" s="576"/>
      <c r="BA114" s="576"/>
      <c r="BB114" s="576"/>
      <c r="BC114" s="576"/>
      <c r="BD114" s="572"/>
      <c r="BE114" s="710"/>
      <c r="BF114" s="710"/>
      <c r="BG114" s="710"/>
      <c r="BH114" s="710"/>
      <c r="BI114" s="710"/>
      <c r="BJ114" s="710"/>
      <c r="BK114" s="710"/>
      <c r="BL114" s="710"/>
      <c r="BM114" s="710"/>
      <c r="BN114" s="710"/>
      <c r="BO114" s="710"/>
      <c r="BP114" s="710"/>
      <c r="BQ114" s="710"/>
      <c r="BR114" s="710"/>
      <c r="BS114" s="710"/>
      <c r="BT114" s="710"/>
    </row>
    <row r="115" spans="1:72" ht="15.75">
      <c r="A115" s="545"/>
      <c r="B115" s="545"/>
      <c r="C115" s="545"/>
      <c r="D115" s="545"/>
      <c r="E115" s="545"/>
      <c r="F115" s="545"/>
      <c r="G115" s="545"/>
      <c r="H115" s="545"/>
      <c r="I115" s="545"/>
      <c r="J115" s="545"/>
      <c r="K115" s="545"/>
      <c r="L115" s="545"/>
      <c r="M115" s="545"/>
      <c r="N115" s="545"/>
      <c r="O115" s="545"/>
      <c r="P115" s="545"/>
      <c r="Q115" s="545"/>
      <c r="R115" s="545"/>
      <c r="S115" s="576"/>
      <c r="T115" s="576"/>
      <c r="U115" s="576"/>
      <c r="V115" s="576"/>
      <c r="W115" s="545"/>
      <c r="X115" s="545"/>
      <c r="Y115" s="576"/>
      <c r="Z115" s="576"/>
      <c r="AA115" s="545"/>
      <c r="AB115" s="545"/>
      <c r="AC115" s="545"/>
      <c r="AD115" s="576"/>
      <c r="AE115" s="576"/>
      <c r="AF115" s="576"/>
      <c r="AG115" s="576"/>
      <c r="AH115" s="576"/>
      <c r="AI115" s="576"/>
      <c r="AJ115" s="576"/>
      <c r="AK115" s="576"/>
      <c r="AL115" s="576"/>
      <c r="AM115" s="576"/>
      <c r="AN115" s="576"/>
      <c r="AO115" s="576"/>
      <c r="AP115" s="576"/>
      <c r="AQ115" s="576"/>
      <c r="AR115" s="576"/>
      <c r="AS115" s="576"/>
      <c r="AT115" s="576"/>
      <c r="AU115" s="576"/>
      <c r="AV115" s="576"/>
      <c r="AW115" s="576"/>
      <c r="AX115" s="576"/>
      <c r="AY115" s="576"/>
      <c r="AZ115" s="576"/>
      <c r="BA115" s="576"/>
      <c r="BB115" s="576"/>
      <c r="BC115" s="576"/>
      <c r="BD115" s="572"/>
      <c r="BE115" s="710"/>
      <c r="BF115" s="710"/>
      <c r="BG115" s="710"/>
      <c r="BH115" s="710"/>
      <c r="BI115" s="710"/>
      <c r="BJ115" s="710"/>
      <c r="BK115" s="710"/>
      <c r="BL115" s="710"/>
      <c r="BM115" s="710"/>
      <c r="BN115" s="710"/>
      <c r="BO115" s="710"/>
      <c r="BP115" s="710"/>
      <c r="BQ115" s="710"/>
      <c r="BR115" s="710"/>
      <c r="BS115" s="710"/>
      <c r="BT115" s="710"/>
    </row>
    <row r="116" spans="1:72" ht="15.75">
      <c r="A116" s="545"/>
      <c r="B116" s="545"/>
      <c r="C116" s="545"/>
      <c r="D116" s="545"/>
      <c r="E116" s="545"/>
      <c r="F116" s="545"/>
      <c r="G116" s="545"/>
      <c r="H116" s="545"/>
      <c r="I116" s="545"/>
      <c r="J116" s="545"/>
      <c r="K116" s="545"/>
      <c r="L116" s="545"/>
      <c r="M116" s="545"/>
      <c r="N116" s="545"/>
      <c r="O116" s="545"/>
      <c r="P116" s="545"/>
      <c r="Q116" s="545"/>
      <c r="R116" s="545"/>
      <c r="S116" s="576"/>
      <c r="T116" s="576"/>
      <c r="U116" s="576"/>
      <c r="V116" s="576"/>
      <c r="W116" s="545"/>
      <c r="X116" s="545"/>
      <c r="Y116" s="576"/>
      <c r="Z116" s="576"/>
      <c r="AA116" s="545"/>
      <c r="AB116" s="545"/>
      <c r="AC116" s="545"/>
      <c r="AD116" s="576"/>
      <c r="AE116" s="576"/>
      <c r="AF116" s="576"/>
      <c r="AG116" s="576"/>
      <c r="AH116" s="576"/>
      <c r="AI116" s="576"/>
      <c r="AJ116" s="576"/>
      <c r="AK116" s="576"/>
      <c r="AL116" s="576"/>
      <c r="AM116" s="576"/>
      <c r="AN116" s="576"/>
      <c r="AO116" s="576"/>
      <c r="AP116" s="576"/>
      <c r="AQ116" s="576"/>
      <c r="AR116" s="576"/>
      <c r="AS116" s="576"/>
      <c r="AT116" s="576"/>
      <c r="AU116" s="576"/>
      <c r="AV116" s="576"/>
      <c r="AW116" s="576"/>
      <c r="AX116" s="576"/>
      <c r="AY116" s="576"/>
      <c r="AZ116" s="576"/>
      <c r="BA116" s="576"/>
      <c r="BB116" s="576"/>
      <c r="BC116" s="576"/>
      <c r="BD116" s="572"/>
      <c r="BE116" s="710"/>
      <c r="BF116" s="710"/>
      <c r="BG116" s="710"/>
      <c r="BH116" s="710"/>
      <c r="BI116" s="710"/>
      <c r="BJ116" s="710"/>
      <c r="BK116" s="710"/>
      <c r="BL116" s="710"/>
      <c r="BM116" s="710"/>
      <c r="BN116" s="710"/>
      <c r="BO116" s="710"/>
      <c r="BP116" s="710"/>
      <c r="BQ116" s="710"/>
      <c r="BR116" s="710"/>
      <c r="BS116" s="710"/>
      <c r="BT116" s="710"/>
    </row>
    <row r="117" spans="1:72" ht="15.75">
      <c r="A117" s="545"/>
      <c r="B117" s="545"/>
      <c r="C117" s="545"/>
      <c r="D117" s="545"/>
      <c r="E117" s="545"/>
      <c r="F117" s="545"/>
      <c r="G117" s="545"/>
      <c r="H117" s="545"/>
      <c r="I117" s="545"/>
      <c r="J117" s="545"/>
      <c r="K117" s="545"/>
      <c r="L117" s="545"/>
      <c r="M117" s="545"/>
      <c r="N117" s="545"/>
      <c r="O117" s="545"/>
      <c r="P117" s="545"/>
      <c r="Q117" s="545"/>
      <c r="R117" s="545"/>
      <c r="S117" s="576"/>
      <c r="T117" s="576"/>
      <c r="U117" s="576"/>
      <c r="V117" s="576"/>
      <c r="W117" s="545"/>
      <c r="X117" s="545"/>
      <c r="Y117" s="576"/>
      <c r="Z117" s="576"/>
      <c r="AA117" s="545"/>
      <c r="AB117" s="545"/>
      <c r="AC117" s="545"/>
      <c r="AD117" s="576"/>
      <c r="AE117" s="576"/>
      <c r="AF117" s="576"/>
      <c r="AG117" s="576"/>
      <c r="AH117" s="576"/>
      <c r="AI117" s="576"/>
      <c r="AJ117" s="576"/>
      <c r="AK117" s="576"/>
      <c r="AL117" s="576"/>
      <c r="AM117" s="576"/>
      <c r="AN117" s="576"/>
      <c r="AO117" s="576"/>
      <c r="AP117" s="576"/>
      <c r="AQ117" s="576"/>
      <c r="AR117" s="576"/>
      <c r="AS117" s="576"/>
      <c r="AT117" s="576"/>
      <c r="AU117" s="576"/>
      <c r="AV117" s="576"/>
      <c r="AW117" s="576"/>
      <c r="AX117" s="576"/>
      <c r="AY117" s="576"/>
      <c r="AZ117" s="576"/>
      <c r="BA117" s="576"/>
      <c r="BB117" s="576"/>
      <c r="BC117" s="576"/>
      <c r="BD117" s="572"/>
      <c r="BE117" s="710"/>
      <c r="BF117" s="710"/>
      <c r="BG117" s="710"/>
      <c r="BH117" s="710"/>
      <c r="BI117" s="710"/>
      <c r="BJ117" s="710"/>
      <c r="BK117" s="710"/>
      <c r="BL117" s="710"/>
      <c r="BM117" s="710"/>
      <c r="BN117" s="710"/>
      <c r="BO117" s="710"/>
      <c r="BP117" s="710"/>
      <c r="BQ117" s="710"/>
      <c r="BR117" s="710"/>
      <c r="BS117" s="710"/>
      <c r="BT117" s="710"/>
    </row>
    <row r="118" spans="1:72" ht="15.75">
      <c r="A118" s="545"/>
      <c r="B118" s="545"/>
      <c r="C118" s="545"/>
      <c r="D118" s="545"/>
      <c r="E118" s="545"/>
      <c r="F118" s="545"/>
      <c r="G118" s="545"/>
      <c r="H118" s="545"/>
      <c r="I118" s="545"/>
      <c r="J118" s="545"/>
      <c r="K118" s="545"/>
      <c r="L118" s="545"/>
      <c r="M118" s="545"/>
      <c r="N118" s="545"/>
      <c r="O118" s="545"/>
      <c r="P118" s="545"/>
      <c r="Q118" s="545"/>
      <c r="R118" s="545"/>
      <c r="S118" s="576"/>
      <c r="T118" s="576"/>
      <c r="U118" s="576"/>
      <c r="V118" s="576"/>
      <c r="W118" s="545"/>
      <c r="X118" s="545"/>
      <c r="Y118" s="576"/>
      <c r="Z118" s="576"/>
      <c r="AA118" s="545"/>
      <c r="AB118" s="545"/>
      <c r="AC118" s="545"/>
      <c r="AD118" s="576"/>
      <c r="AE118" s="576"/>
      <c r="AF118" s="576"/>
      <c r="AG118" s="576"/>
      <c r="AH118" s="576"/>
      <c r="AI118" s="576"/>
      <c r="AJ118" s="576"/>
      <c r="AK118" s="576"/>
      <c r="AL118" s="576"/>
      <c r="AM118" s="576"/>
      <c r="AN118" s="576"/>
      <c r="AO118" s="576"/>
      <c r="AP118" s="576"/>
      <c r="AQ118" s="576"/>
      <c r="AR118" s="576"/>
      <c r="AS118" s="576"/>
      <c r="AT118" s="576"/>
      <c r="AU118" s="576"/>
      <c r="AV118" s="576"/>
      <c r="AW118" s="576"/>
      <c r="AX118" s="576"/>
      <c r="AY118" s="576"/>
      <c r="AZ118" s="576"/>
      <c r="BA118" s="576"/>
      <c r="BB118" s="576"/>
      <c r="BC118" s="576"/>
      <c r="BD118" s="572"/>
      <c r="BE118" s="710"/>
      <c r="BF118" s="710"/>
      <c r="BG118" s="710"/>
      <c r="BH118" s="710"/>
      <c r="BI118" s="710"/>
      <c r="BJ118" s="710"/>
      <c r="BK118" s="710"/>
      <c r="BL118" s="710"/>
      <c r="BM118" s="710"/>
      <c r="BN118" s="710"/>
      <c r="BO118" s="710"/>
      <c r="BP118" s="710"/>
      <c r="BQ118" s="710"/>
      <c r="BR118" s="710"/>
      <c r="BS118" s="710"/>
      <c r="BT118" s="710"/>
    </row>
    <row r="119" spans="1:72" ht="15.75">
      <c r="A119" s="545"/>
      <c r="B119" s="545"/>
      <c r="C119" s="545"/>
      <c r="D119" s="545"/>
      <c r="E119" s="545"/>
      <c r="F119" s="545"/>
      <c r="G119" s="545"/>
      <c r="H119" s="545"/>
      <c r="I119" s="545"/>
      <c r="J119" s="545"/>
      <c r="K119" s="545"/>
      <c r="L119" s="545"/>
      <c r="M119" s="545"/>
      <c r="N119" s="545"/>
      <c r="O119" s="545"/>
      <c r="P119" s="545"/>
      <c r="Q119" s="545"/>
      <c r="R119" s="545"/>
      <c r="S119" s="576"/>
      <c r="T119" s="576"/>
      <c r="U119" s="576"/>
      <c r="V119" s="576"/>
      <c r="W119" s="545"/>
      <c r="X119" s="545"/>
      <c r="Y119" s="576"/>
      <c r="Z119" s="576"/>
      <c r="AA119" s="545"/>
      <c r="AB119" s="545"/>
      <c r="AC119" s="545"/>
      <c r="AD119" s="576"/>
      <c r="AE119" s="576"/>
      <c r="AF119" s="576"/>
      <c r="AG119" s="576"/>
      <c r="AH119" s="576"/>
      <c r="AI119" s="576"/>
      <c r="AJ119" s="576"/>
      <c r="AK119" s="576"/>
      <c r="AL119" s="576"/>
      <c r="AM119" s="576"/>
      <c r="AN119" s="576"/>
      <c r="AO119" s="576"/>
      <c r="AP119" s="576"/>
      <c r="AQ119" s="576"/>
      <c r="AR119" s="576"/>
      <c r="AS119" s="576"/>
      <c r="AT119" s="576"/>
      <c r="AU119" s="576"/>
      <c r="AV119" s="576"/>
      <c r="AW119" s="576"/>
      <c r="AX119" s="576"/>
      <c r="AY119" s="576"/>
      <c r="AZ119" s="576"/>
      <c r="BA119" s="576"/>
      <c r="BB119" s="576"/>
      <c r="BC119" s="576"/>
      <c r="BD119" s="572"/>
      <c r="BE119" s="710"/>
      <c r="BF119" s="710"/>
      <c r="BG119" s="710"/>
      <c r="BH119" s="710"/>
      <c r="BI119" s="710"/>
      <c r="BJ119" s="710"/>
      <c r="BK119" s="710"/>
      <c r="BL119" s="710"/>
      <c r="BM119" s="710"/>
      <c r="BN119" s="710"/>
      <c r="BO119" s="710"/>
      <c r="BP119" s="710"/>
      <c r="BQ119" s="710"/>
      <c r="BR119" s="710"/>
      <c r="BS119" s="710"/>
      <c r="BT119" s="710"/>
    </row>
    <row r="120" spans="1:72" ht="15.75">
      <c r="A120" s="545"/>
      <c r="B120" s="545"/>
      <c r="C120" s="545"/>
      <c r="D120" s="545"/>
      <c r="E120" s="545"/>
      <c r="F120" s="545"/>
      <c r="G120" s="545"/>
      <c r="H120" s="545"/>
      <c r="I120" s="545"/>
      <c r="J120" s="545"/>
      <c r="K120" s="545"/>
      <c r="L120" s="545"/>
      <c r="M120" s="545"/>
      <c r="N120" s="545"/>
      <c r="O120" s="545"/>
      <c r="P120" s="545"/>
      <c r="Q120" s="545"/>
      <c r="R120" s="545"/>
      <c r="S120" s="576"/>
      <c r="T120" s="576"/>
      <c r="U120" s="576"/>
      <c r="V120" s="576"/>
      <c r="W120" s="545"/>
      <c r="X120" s="545"/>
      <c r="Y120" s="576"/>
      <c r="Z120" s="576"/>
      <c r="AA120" s="545"/>
      <c r="AB120" s="545"/>
      <c r="AC120" s="545"/>
      <c r="AD120" s="576"/>
      <c r="AE120" s="576"/>
      <c r="AF120" s="576"/>
      <c r="AG120" s="576"/>
      <c r="AH120" s="576"/>
      <c r="AI120" s="576"/>
      <c r="AJ120" s="576"/>
      <c r="AK120" s="576"/>
      <c r="AL120" s="576"/>
      <c r="AM120" s="576"/>
      <c r="AN120" s="576"/>
      <c r="AO120" s="576"/>
      <c r="AP120" s="576"/>
      <c r="AQ120" s="576"/>
      <c r="AR120" s="576"/>
      <c r="AS120" s="576"/>
      <c r="AT120" s="576"/>
      <c r="AU120" s="576"/>
      <c r="AV120" s="576"/>
      <c r="AW120" s="576"/>
      <c r="AX120" s="576"/>
      <c r="AY120" s="576"/>
      <c r="AZ120" s="576"/>
      <c r="BA120" s="576"/>
      <c r="BB120" s="576"/>
      <c r="BC120" s="576"/>
      <c r="BD120" s="572"/>
      <c r="BE120" s="710"/>
      <c r="BF120" s="710"/>
      <c r="BG120" s="710"/>
      <c r="BH120" s="710"/>
      <c r="BI120" s="710"/>
      <c r="BJ120" s="710"/>
      <c r="BK120" s="710"/>
      <c r="BL120" s="710"/>
      <c r="BM120" s="710"/>
      <c r="BN120" s="710"/>
      <c r="BO120" s="710"/>
      <c r="BP120" s="710"/>
      <c r="BQ120" s="710"/>
      <c r="BR120" s="710"/>
      <c r="BS120" s="710"/>
      <c r="BT120" s="710"/>
    </row>
    <row r="121" spans="1:72" ht="15.75">
      <c r="A121" s="545"/>
      <c r="B121" s="545"/>
      <c r="C121" s="545"/>
      <c r="D121" s="545"/>
      <c r="E121" s="545"/>
      <c r="F121" s="545"/>
      <c r="G121" s="545"/>
      <c r="H121" s="545"/>
      <c r="I121" s="545"/>
      <c r="J121" s="545"/>
      <c r="K121" s="545"/>
      <c r="L121" s="545"/>
      <c r="M121" s="545"/>
      <c r="N121" s="545"/>
      <c r="O121" s="545"/>
      <c r="P121" s="545"/>
      <c r="Q121" s="545"/>
      <c r="R121" s="545"/>
      <c r="S121" s="576"/>
      <c r="T121" s="576"/>
      <c r="U121" s="576"/>
      <c r="V121" s="576"/>
      <c r="W121" s="545"/>
      <c r="X121" s="545"/>
      <c r="Y121" s="576"/>
      <c r="Z121" s="576"/>
      <c r="AA121" s="545"/>
      <c r="AB121" s="545"/>
      <c r="AC121" s="545"/>
      <c r="AD121" s="576"/>
      <c r="AE121" s="576"/>
      <c r="AF121" s="576"/>
      <c r="AG121" s="576"/>
      <c r="AH121" s="576"/>
      <c r="AI121" s="576"/>
      <c r="AJ121" s="576"/>
      <c r="AK121" s="576"/>
      <c r="AL121" s="576"/>
      <c r="AM121" s="576"/>
      <c r="AN121" s="576"/>
      <c r="AO121" s="576"/>
      <c r="AP121" s="576"/>
      <c r="AQ121" s="576"/>
      <c r="AR121" s="576"/>
      <c r="AS121" s="576"/>
      <c r="AT121" s="576"/>
      <c r="AU121" s="576"/>
      <c r="AV121" s="576"/>
      <c r="AW121" s="576"/>
      <c r="AX121" s="576"/>
      <c r="AY121" s="576"/>
      <c r="AZ121" s="576"/>
      <c r="BA121" s="576"/>
      <c r="BB121" s="576"/>
      <c r="BC121" s="576"/>
      <c r="BD121" s="572"/>
      <c r="BE121" s="710"/>
      <c r="BF121" s="710"/>
      <c r="BG121" s="710"/>
      <c r="BH121" s="710"/>
      <c r="BI121" s="710"/>
      <c r="BJ121" s="710"/>
      <c r="BK121" s="710"/>
      <c r="BL121" s="710"/>
      <c r="BM121" s="710"/>
      <c r="BN121" s="710"/>
      <c r="BO121" s="710"/>
      <c r="BP121" s="710"/>
      <c r="BQ121" s="710"/>
      <c r="BR121" s="710"/>
      <c r="BS121" s="710"/>
      <c r="BT121" s="710"/>
    </row>
    <row r="122" spans="1:72" ht="15.75">
      <c r="A122" s="545"/>
      <c r="B122" s="545"/>
      <c r="C122" s="545"/>
      <c r="D122" s="545"/>
      <c r="E122" s="545"/>
      <c r="F122" s="545"/>
      <c r="G122" s="545"/>
      <c r="H122" s="545"/>
      <c r="I122" s="545"/>
      <c r="J122" s="545"/>
      <c r="K122" s="545"/>
      <c r="L122" s="545"/>
      <c r="M122" s="545"/>
      <c r="N122" s="545"/>
      <c r="O122" s="545"/>
      <c r="P122" s="545"/>
      <c r="Q122" s="545"/>
      <c r="R122" s="545"/>
      <c r="S122" s="576"/>
      <c r="T122" s="576"/>
      <c r="U122" s="576"/>
      <c r="V122" s="576"/>
      <c r="W122" s="545"/>
      <c r="X122" s="545"/>
      <c r="Y122" s="576"/>
      <c r="Z122" s="576"/>
      <c r="AA122" s="545"/>
      <c r="AB122" s="545"/>
      <c r="AC122" s="545"/>
      <c r="AD122" s="576"/>
      <c r="AE122" s="576"/>
      <c r="AF122" s="576"/>
      <c r="AG122" s="576"/>
      <c r="AH122" s="576"/>
      <c r="AI122" s="576"/>
      <c r="AJ122" s="576"/>
      <c r="AK122" s="576"/>
      <c r="AL122" s="576"/>
      <c r="AM122" s="576"/>
      <c r="AN122" s="576"/>
      <c r="AO122" s="576"/>
      <c r="AP122" s="576"/>
      <c r="AQ122" s="576"/>
      <c r="AR122" s="576"/>
      <c r="AS122" s="576"/>
      <c r="AT122" s="576"/>
      <c r="AU122" s="576"/>
      <c r="AV122" s="576"/>
      <c r="AW122" s="576"/>
      <c r="AX122" s="576"/>
      <c r="AY122" s="576"/>
      <c r="AZ122" s="576"/>
      <c r="BA122" s="576"/>
      <c r="BB122" s="576"/>
      <c r="BC122" s="576"/>
      <c r="BD122" s="572"/>
      <c r="BE122" s="710"/>
      <c r="BF122" s="710"/>
      <c r="BG122" s="710"/>
      <c r="BH122" s="710"/>
      <c r="BI122" s="710"/>
      <c r="BJ122" s="710"/>
      <c r="BK122" s="710"/>
      <c r="BL122" s="710"/>
      <c r="BM122" s="710"/>
      <c r="BN122" s="710"/>
      <c r="BO122" s="710"/>
      <c r="BP122" s="710"/>
      <c r="BQ122" s="710"/>
      <c r="BR122" s="710"/>
      <c r="BS122" s="710"/>
      <c r="BT122" s="710"/>
    </row>
    <row r="123" spans="1:72" ht="15.75">
      <c r="A123" s="545"/>
      <c r="B123" s="545"/>
      <c r="C123" s="545"/>
      <c r="D123" s="545"/>
      <c r="E123" s="545"/>
      <c r="F123" s="545"/>
      <c r="G123" s="545"/>
      <c r="H123" s="545"/>
      <c r="I123" s="545"/>
      <c r="J123" s="545"/>
      <c r="K123" s="545"/>
      <c r="L123" s="545"/>
      <c r="M123" s="545"/>
      <c r="N123" s="545"/>
      <c r="O123" s="545"/>
      <c r="P123" s="545"/>
      <c r="Q123" s="545"/>
      <c r="R123" s="545"/>
      <c r="S123" s="576"/>
      <c r="T123" s="576"/>
      <c r="U123" s="576"/>
      <c r="V123" s="576"/>
      <c r="W123" s="545"/>
      <c r="X123" s="545"/>
      <c r="Y123" s="576"/>
      <c r="Z123" s="576"/>
      <c r="AA123" s="545"/>
      <c r="AB123" s="545"/>
      <c r="AC123" s="545"/>
      <c r="AD123" s="576"/>
      <c r="AE123" s="576"/>
      <c r="AF123" s="576"/>
      <c r="AG123" s="576"/>
      <c r="AH123" s="576"/>
      <c r="AI123" s="576"/>
      <c r="AJ123" s="576"/>
      <c r="AK123" s="576"/>
      <c r="AL123" s="576"/>
      <c r="AM123" s="576"/>
      <c r="AN123" s="576"/>
      <c r="AO123" s="576"/>
      <c r="AP123" s="576"/>
      <c r="AQ123" s="576"/>
      <c r="AR123" s="576"/>
      <c r="AS123" s="576"/>
      <c r="AT123" s="576"/>
      <c r="AU123" s="576"/>
      <c r="AV123" s="576"/>
      <c r="AW123" s="576"/>
      <c r="AX123" s="576"/>
      <c r="AY123" s="576"/>
      <c r="AZ123" s="576"/>
      <c r="BA123" s="576"/>
      <c r="BB123" s="576"/>
      <c r="BC123" s="576"/>
      <c r="BD123" s="572"/>
      <c r="BE123" s="710"/>
      <c r="BF123" s="710"/>
      <c r="BG123" s="710"/>
      <c r="BH123" s="710"/>
      <c r="BI123" s="710"/>
      <c r="BJ123" s="710"/>
      <c r="BK123" s="710"/>
      <c r="BL123" s="710"/>
      <c r="BM123" s="710"/>
      <c r="BN123" s="710"/>
      <c r="BO123" s="710"/>
      <c r="BP123" s="710"/>
      <c r="BQ123" s="710"/>
      <c r="BR123" s="710"/>
      <c r="BS123" s="710"/>
      <c r="BT123" s="710"/>
    </row>
    <row r="124" spans="1:72" ht="15.75">
      <c r="A124" s="545"/>
      <c r="B124" s="545"/>
      <c r="C124" s="545"/>
      <c r="D124" s="545"/>
      <c r="E124" s="545"/>
      <c r="F124" s="545"/>
      <c r="G124" s="545"/>
      <c r="H124" s="545"/>
      <c r="I124" s="545"/>
      <c r="J124" s="545"/>
      <c r="K124" s="545"/>
      <c r="L124" s="545"/>
      <c r="M124" s="545"/>
      <c r="N124" s="545"/>
      <c r="O124" s="545"/>
      <c r="P124" s="545"/>
      <c r="Q124" s="545"/>
      <c r="R124" s="545"/>
      <c r="S124" s="576"/>
      <c r="T124" s="576"/>
      <c r="U124" s="576"/>
      <c r="V124" s="576"/>
      <c r="W124" s="545"/>
      <c r="X124" s="545"/>
      <c r="Y124" s="576"/>
      <c r="Z124" s="576"/>
      <c r="AA124" s="545"/>
      <c r="AB124" s="545"/>
      <c r="AC124" s="545"/>
      <c r="AD124" s="576"/>
      <c r="AE124" s="576"/>
      <c r="AF124" s="576"/>
      <c r="AG124" s="576"/>
      <c r="AH124" s="576"/>
      <c r="AI124" s="576"/>
      <c r="AJ124" s="576"/>
      <c r="AK124" s="576"/>
      <c r="AL124" s="576"/>
      <c r="AM124" s="576"/>
      <c r="AN124" s="576"/>
      <c r="AO124" s="576"/>
      <c r="AP124" s="576"/>
      <c r="AQ124" s="576"/>
      <c r="AR124" s="576"/>
      <c r="AS124" s="576"/>
      <c r="AT124" s="576"/>
      <c r="AU124" s="576"/>
      <c r="AV124" s="576"/>
      <c r="AW124" s="576"/>
      <c r="AX124" s="576"/>
      <c r="AY124" s="576"/>
      <c r="AZ124" s="576"/>
      <c r="BA124" s="576"/>
      <c r="BB124" s="576"/>
      <c r="BC124" s="576"/>
      <c r="BD124" s="572"/>
      <c r="BE124" s="710"/>
      <c r="BF124" s="710"/>
      <c r="BG124" s="710"/>
      <c r="BH124" s="710"/>
      <c r="BI124" s="710"/>
      <c r="BJ124" s="710"/>
      <c r="BK124" s="710"/>
      <c r="BL124" s="710"/>
      <c r="BM124" s="710"/>
      <c r="BN124" s="710"/>
      <c r="BO124" s="710"/>
      <c r="BP124" s="710"/>
      <c r="BQ124" s="710"/>
      <c r="BR124" s="710"/>
      <c r="BS124" s="710"/>
      <c r="BT124" s="710"/>
    </row>
    <row r="125" spans="1:72" ht="15.75">
      <c r="A125" s="545"/>
      <c r="B125" s="545"/>
      <c r="C125" s="545"/>
      <c r="D125" s="545"/>
      <c r="E125" s="545"/>
      <c r="F125" s="545"/>
      <c r="G125" s="545"/>
      <c r="H125" s="545"/>
      <c r="I125" s="545"/>
      <c r="J125" s="545"/>
      <c r="K125" s="545"/>
      <c r="L125" s="545"/>
      <c r="M125" s="545"/>
      <c r="N125" s="545"/>
      <c r="O125" s="545"/>
      <c r="P125" s="545"/>
      <c r="Q125" s="545"/>
      <c r="R125" s="545"/>
      <c r="S125" s="576"/>
      <c r="T125" s="576"/>
      <c r="U125" s="576"/>
      <c r="V125" s="576"/>
      <c r="W125" s="545"/>
      <c r="X125" s="545"/>
      <c r="Y125" s="576"/>
      <c r="Z125" s="576"/>
      <c r="AA125" s="545"/>
      <c r="AB125" s="545"/>
      <c r="AC125" s="545"/>
      <c r="AD125" s="576"/>
      <c r="AE125" s="576"/>
      <c r="AF125" s="576"/>
      <c r="AG125" s="576"/>
      <c r="AH125" s="576"/>
      <c r="AI125" s="576"/>
      <c r="AJ125" s="576"/>
      <c r="AK125" s="576"/>
      <c r="AL125" s="576"/>
      <c r="AM125" s="576"/>
      <c r="AN125" s="576"/>
      <c r="AO125" s="576"/>
      <c r="AP125" s="576"/>
      <c r="AQ125" s="576"/>
      <c r="AR125" s="576"/>
      <c r="AS125" s="576"/>
      <c r="AT125" s="576"/>
      <c r="AU125" s="576"/>
      <c r="AV125" s="576"/>
      <c r="AW125" s="576"/>
      <c r="AX125" s="576"/>
      <c r="AY125" s="576"/>
      <c r="AZ125" s="576"/>
      <c r="BA125" s="576"/>
      <c r="BB125" s="576"/>
      <c r="BC125" s="576"/>
      <c r="BD125" s="572"/>
      <c r="BE125" s="710"/>
      <c r="BF125" s="710"/>
      <c r="BG125" s="710"/>
      <c r="BH125" s="710"/>
      <c r="BI125" s="710"/>
      <c r="BJ125" s="710"/>
      <c r="BK125" s="710"/>
      <c r="BL125" s="710"/>
      <c r="BM125" s="710"/>
      <c r="BN125" s="710"/>
      <c r="BO125" s="710"/>
      <c r="BP125" s="710"/>
      <c r="BQ125" s="710"/>
      <c r="BR125" s="710"/>
      <c r="BS125" s="710"/>
      <c r="BT125" s="710"/>
    </row>
    <row r="126" spans="1:72" ht="15.75">
      <c r="A126" s="545"/>
      <c r="B126" s="545"/>
      <c r="C126" s="545"/>
      <c r="D126" s="545"/>
      <c r="E126" s="545"/>
      <c r="F126" s="545"/>
      <c r="G126" s="545"/>
      <c r="H126" s="545"/>
      <c r="I126" s="545"/>
      <c r="J126" s="545"/>
      <c r="K126" s="545"/>
      <c r="L126" s="545"/>
      <c r="M126" s="545"/>
      <c r="N126" s="545"/>
      <c r="O126" s="545"/>
      <c r="P126" s="545"/>
      <c r="Q126" s="545"/>
      <c r="R126" s="545"/>
      <c r="S126" s="576"/>
      <c r="T126" s="576"/>
      <c r="U126" s="576"/>
      <c r="V126" s="576"/>
      <c r="W126" s="545"/>
      <c r="X126" s="545"/>
      <c r="Y126" s="576"/>
      <c r="Z126" s="576"/>
      <c r="AA126" s="545"/>
      <c r="AB126" s="545"/>
      <c r="AC126" s="545"/>
      <c r="AD126" s="576"/>
      <c r="AE126" s="576"/>
      <c r="AF126" s="576"/>
      <c r="AG126" s="576"/>
      <c r="AH126" s="576"/>
      <c r="AI126" s="576"/>
      <c r="AJ126" s="576"/>
      <c r="AK126" s="576"/>
      <c r="AL126" s="576"/>
      <c r="AM126" s="576"/>
      <c r="AN126" s="576"/>
      <c r="AO126" s="576"/>
      <c r="AP126" s="576"/>
      <c r="AQ126" s="576"/>
      <c r="AR126" s="576"/>
      <c r="AS126" s="576"/>
      <c r="AT126" s="576"/>
      <c r="AU126" s="576"/>
      <c r="AV126" s="576"/>
      <c r="AW126" s="576"/>
      <c r="AX126" s="576"/>
      <c r="AY126" s="576"/>
      <c r="AZ126" s="576"/>
      <c r="BA126" s="576"/>
      <c r="BB126" s="576"/>
      <c r="BC126" s="576"/>
      <c r="BD126" s="572"/>
      <c r="BE126" s="710"/>
      <c r="BF126" s="710"/>
      <c r="BG126" s="710"/>
      <c r="BH126" s="710"/>
      <c r="BI126" s="710"/>
      <c r="BJ126" s="710"/>
      <c r="BK126" s="710"/>
      <c r="BL126" s="710"/>
      <c r="BM126" s="710"/>
      <c r="BN126" s="710"/>
      <c r="BO126" s="710"/>
      <c r="BP126" s="710"/>
      <c r="BQ126" s="710"/>
      <c r="BR126" s="710"/>
      <c r="BS126" s="710"/>
      <c r="BT126" s="710"/>
    </row>
    <row r="127" spans="1:72" ht="15.75">
      <c r="A127" s="545"/>
      <c r="B127" s="545"/>
      <c r="C127" s="545"/>
      <c r="D127" s="545"/>
      <c r="E127" s="545"/>
      <c r="F127" s="545"/>
      <c r="G127" s="545"/>
      <c r="H127" s="545"/>
      <c r="I127" s="545"/>
      <c r="J127" s="545"/>
      <c r="K127" s="545"/>
      <c r="L127" s="545"/>
      <c r="M127" s="545"/>
      <c r="N127" s="545"/>
      <c r="O127" s="545"/>
      <c r="P127" s="545"/>
      <c r="Q127" s="545"/>
      <c r="R127" s="545"/>
      <c r="S127" s="576"/>
      <c r="T127" s="576"/>
      <c r="U127" s="576"/>
      <c r="V127" s="576"/>
      <c r="W127" s="545"/>
      <c r="X127" s="545"/>
      <c r="Y127" s="576"/>
      <c r="Z127" s="576"/>
      <c r="AA127" s="545"/>
      <c r="AB127" s="545"/>
      <c r="AC127" s="545"/>
      <c r="AD127" s="576"/>
      <c r="AE127" s="576"/>
      <c r="AF127" s="576"/>
      <c r="AG127" s="576"/>
      <c r="AH127" s="576"/>
      <c r="AI127" s="576"/>
      <c r="AJ127" s="576"/>
      <c r="AK127" s="576"/>
      <c r="AL127" s="576"/>
      <c r="AM127" s="576"/>
      <c r="AN127" s="576"/>
      <c r="AO127" s="576"/>
      <c r="AP127" s="576"/>
      <c r="AQ127" s="576"/>
      <c r="AR127" s="576"/>
      <c r="AS127" s="576"/>
      <c r="AT127" s="576"/>
      <c r="AU127" s="576"/>
      <c r="AV127" s="576"/>
      <c r="AW127" s="576"/>
      <c r="AX127" s="576"/>
      <c r="AY127" s="576"/>
      <c r="AZ127" s="576"/>
      <c r="BA127" s="576"/>
      <c r="BB127" s="576"/>
      <c r="BC127" s="576"/>
      <c r="BD127" s="572"/>
      <c r="BE127" s="710"/>
      <c r="BF127" s="710"/>
      <c r="BG127" s="710"/>
      <c r="BH127" s="710"/>
      <c r="BI127" s="710"/>
      <c r="BJ127" s="710"/>
      <c r="BK127" s="710"/>
      <c r="BL127" s="710"/>
      <c r="BM127" s="710"/>
      <c r="BN127" s="710"/>
      <c r="BO127" s="710"/>
      <c r="BP127" s="710"/>
      <c r="BQ127" s="710"/>
      <c r="BR127" s="710"/>
      <c r="BS127" s="710"/>
      <c r="BT127" s="710"/>
    </row>
    <row r="128" spans="1:72" ht="15.75">
      <c r="A128" s="545"/>
      <c r="B128" s="545"/>
      <c r="C128" s="545"/>
      <c r="D128" s="545"/>
      <c r="E128" s="545"/>
      <c r="F128" s="545"/>
      <c r="G128" s="545"/>
      <c r="H128" s="545"/>
      <c r="I128" s="545"/>
      <c r="J128" s="545"/>
      <c r="K128" s="545"/>
      <c r="L128" s="545"/>
      <c r="M128" s="545"/>
      <c r="N128" s="545"/>
      <c r="O128" s="545"/>
      <c r="P128" s="545"/>
      <c r="Q128" s="545"/>
      <c r="R128" s="545"/>
      <c r="S128" s="576"/>
      <c r="T128" s="576"/>
      <c r="U128" s="576"/>
      <c r="V128" s="576"/>
      <c r="W128" s="545"/>
      <c r="X128" s="545"/>
      <c r="Y128" s="576"/>
      <c r="Z128" s="576"/>
      <c r="AA128" s="545"/>
      <c r="AB128" s="545"/>
      <c r="AC128" s="545"/>
      <c r="AD128" s="576"/>
      <c r="AE128" s="576"/>
      <c r="AF128" s="576"/>
      <c r="AG128" s="576"/>
      <c r="AH128" s="576"/>
      <c r="AI128" s="576"/>
      <c r="AJ128" s="576"/>
      <c r="AK128" s="576"/>
      <c r="AL128" s="576"/>
      <c r="AM128" s="576"/>
      <c r="AN128" s="576"/>
      <c r="AO128" s="576"/>
      <c r="AP128" s="576"/>
      <c r="AQ128" s="576"/>
      <c r="AR128" s="576"/>
      <c r="AS128" s="576"/>
      <c r="AT128" s="576"/>
      <c r="AU128" s="576"/>
      <c r="AV128" s="576"/>
      <c r="AW128" s="576"/>
      <c r="AX128" s="576"/>
      <c r="AY128" s="576"/>
      <c r="AZ128" s="576"/>
      <c r="BA128" s="576"/>
      <c r="BB128" s="576"/>
      <c r="BC128" s="576"/>
      <c r="BD128" s="572"/>
      <c r="BE128" s="710"/>
      <c r="BF128" s="710"/>
      <c r="BG128" s="710"/>
      <c r="BH128" s="710"/>
      <c r="BI128" s="710"/>
      <c r="BJ128" s="710"/>
      <c r="BK128" s="710"/>
      <c r="BL128" s="710"/>
      <c r="BM128" s="710"/>
      <c r="BN128" s="710"/>
      <c r="BO128" s="710"/>
      <c r="BP128" s="710"/>
      <c r="BQ128" s="710"/>
      <c r="BR128" s="710"/>
      <c r="BS128" s="710"/>
      <c r="BT128" s="710"/>
    </row>
    <row r="129" spans="1:72" ht="15.75">
      <c r="A129" s="545"/>
      <c r="B129" s="545"/>
      <c r="C129" s="545"/>
      <c r="D129" s="545"/>
      <c r="E129" s="545"/>
      <c r="F129" s="545"/>
      <c r="G129" s="545"/>
      <c r="H129" s="545"/>
      <c r="I129" s="545"/>
      <c r="J129" s="545"/>
      <c r="K129" s="545"/>
      <c r="L129" s="545"/>
      <c r="M129" s="545"/>
      <c r="N129" s="545"/>
      <c r="O129" s="545"/>
      <c r="P129" s="545"/>
      <c r="Q129" s="545"/>
      <c r="R129" s="545"/>
      <c r="S129" s="576"/>
      <c r="T129" s="576"/>
      <c r="U129" s="576"/>
      <c r="V129" s="576"/>
      <c r="W129" s="545"/>
      <c r="X129" s="545"/>
      <c r="Y129" s="576"/>
      <c r="Z129" s="576"/>
      <c r="AA129" s="545"/>
      <c r="AB129" s="545"/>
      <c r="AC129" s="545"/>
      <c r="AD129" s="576"/>
      <c r="AE129" s="576"/>
      <c r="AF129" s="576"/>
      <c r="AG129" s="576"/>
      <c r="AH129" s="576"/>
      <c r="AI129" s="576"/>
      <c r="AJ129" s="576"/>
      <c r="AK129" s="576"/>
      <c r="AL129" s="576"/>
      <c r="AM129" s="576"/>
      <c r="AN129" s="576"/>
      <c r="AO129" s="576"/>
      <c r="AP129" s="576"/>
      <c r="AQ129" s="576"/>
      <c r="AR129" s="576"/>
      <c r="AS129" s="576"/>
      <c r="AT129" s="576"/>
      <c r="AU129" s="576"/>
      <c r="AV129" s="576"/>
      <c r="AW129" s="576"/>
      <c r="AX129" s="576"/>
      <c r="AY129" s="576"/>
      <c r="AZ129" s="576"/>
      <c r="BA129" s="576"/>
      <c r="BB129" s="576"/>
      <c r="BC129" s="576"/>
      <c r="BD129" s="572"/>
      <c r="BE129" s="710"/>
      <c r="BF129" s="710"/>
      <c r="BG129" s="710"/>
      <c r="BH129" s="710"/>
      <c r="BI129" s="710"/>
      <c r="BJ129" s="710"/>
      <c r="BK129" s="710"/>
      <c r="BL129" s="710"/>
      <c r="BM129" s="710"/>
      <c r="BN129" s="710"/>
      <c r="BO129" s="710"/>
      <c r="BP129" s="710"/>
      <c r="BQ129" s="710"/>
      <c r="BR129" s="710"/>
      <c r="BS129" s="710"/>
      <c r="BT129" s="710"/>
    </row>
    <row r="130" spans="1:72" ht="15.75">
      <c r="A130" s="545"/>
      <c r="B130" s="545"/>
      <c r="C130" s="545"/>
      <c r="D130" s="545"/>
      <c r="E130" s="545"/>
      <c r="F130" s="545"/>
      <c r="G130" s="545"/>
      <c r="H130" s="545"/>
      <c r="I130" s="545"/>
      <c r="J130" s="545"/>
      <c r="K130" s="545"/>
      <c r="L130" s="545"/>
      <c r="M130" s="545"/>
      <c r="N130" s="545"/>
      <c r="O130" s="545"/>
      <c r="P130" s="545"/>
      <c r="Q130" s="545"/>
      <c r="R130" s="545"/>
      <c r="S130" s="576"/>
      <c r="T130" s="576"/>
      <c r="U130" s="576"/>
      <c r="V130" s="576"/>
      <c r="W130" s="545"/>
      <c r="X130" s="545"/>
      <c r="Y130" s="576"/>
      <c r="Z130" s="576"/>
      <c r="AA130" s="545"/>
      <c r="AB130" s="545"/>
      <c r="AC130" s="545"/>
      <c r="AD130" s="576"/>
      <c r="AE130" s="576"/>
      <c r="AF130" s="576"/>
      <c r="AG130" s="576"/>
      <c r="AH130" s="576"/>
      <c r="AI130" s="576"/>
      <c r="AJ130" s="576"/>
      <c r="AK130" s="576"/>
      <c r="AL130" s="576"/>
      <c r="AM130" s="576"/>
      <c r="AN130" s="576"/>
      <c r="AO130" s="576"/>
      <c r="AP130" s="576"/>
      <c r="AQ130" s="576"/>
      <c r="AR130" s="576"/>
      <c r="AS130" s="576"/>
      <c r="AT130" s="576"/>
      <c r="AU130" s="576"/>
      <c r="AV130" s="576"/>
      <c r="AW130" s="576"/>
      <c r="AX130" s="576"/>
      <c r="AY130" s="576"/>
      <c r="AZ130" s="576"/>
      <c r="BA130" s="576"/>
      <c r="BB130" s="576"/>
      <c r="BC130" s="576"/>
      <c r="BD130" s="572"/>
      <c r="BE130" s="710"/>
      <c r="BF130" s="710"/>
      <c r="BG130" s="710"/>
      <c r="BH130" s="710"/>
      <c r="BI130" s="710"/>
      <c r="BJ130" s="710"/>
      <c r="BK130" s="710"/>
      <c r="BL130" s="710"/>
      <c r="BM130" s="710"/>
      <c r="BN130" s="710"/>
      <c r="BO130" s="710"/>
      <c r="BP130" s="710"/>
      <c r="BQ130" s="710"/>
      <c r="BR130" s="710"/>
      <c r="BS130" s="710"/>
      <c r="BT130" s="710"/>
    </row>
    <row r="131" spans="1:72" ht="15.75">
      <c r="A131" s="545"/>
      <c r="B131" s="545"/>
      <c r="C131" s="545"/>
      <c r="D131" s="545"/>
      <c r="E131" s="545"/>
      <c r="F131" s="545"/>
      <c r="G131" s="545"/>
      <c r="H131" s="545"/>
      <c r="I131" s="545"/>
      <c r="J131" s="545"/>
      <c r="K131" s="545"/>
      <c r="L131" s="545"/>
      <c r="M131" s="545"/>
      <c r="N131" s="545"/>
      <c r="O131" s="545"/>
      <c r="P131" s="545"/>
      <c r="Q131" s="545"/>
      <c r="R131" s="545"/>
      <c r="S131" s="576"/>
      <c r="T131" s="576"/>
      <c r="U131" s="576"/>
      <c r="V131" s="576"/>
      <c r="W131" s="545"/>
      <c r="X131" s="545"/>
      <c r="Y131" s="576"/>
      <c r="Z131" s="576"/>
      <c r="AA131" s="545"/>
      <c r="AB131" s="545"/>
      <c r="AC131" s="545"/>
      <c r="AD131" s="576"/>
      <c r="AE131" s="576"/>
      <c r="AF131" s="576"/>
      <c r="AG131" s="576"/>
      <c r="AH131" s="576"/>
      <c r="AI131" s="576"/>
      <c r="AJ131" s="576"/>
      <c r="AK131" s="576"/>
      <c r="AL131" s="576"/>
      <c r="AM131" s="576"/>
      <c r="AN131" s="576"/>
      <c r="AO131" s="576"/>
      <c r="AP131" s="576"/>
      <c r="AQ131" s="576"/>
      <c r="AR131" s="576"/>
      <c r="AS131" s="576"/>
      <c r="AT131" s="576"/>
      <c r="AU131" s="576"/>
      <c r="AV131" s="576"/>
      <c r="AW131" s="576"/>
      <c r="AX131" s="576"/>
      <c r="AY131" s="576"/>
      <c r="AZ131" s="576"/>
      <c r="BA131" s="576"/>
      <c r="BB131" s="576"/>
      <c r="BC131" s="576"/>
      <c r="BD131" s="572"/>
      <c r="BE131" s="710"/>
      <c r="BF131" s="710"/>
      <c r="BG131" s="710"/>
      <c r="BH131" s="710"/>
      <c r="BI131" s="710"/>
      <c r="BJ131" s="710"/>
      <c r="BK131" s="710"/>
      <c r="BL131" s="710"/>
      <c r="BM131" s="710"/>
      <c r="BN131" s="710"/>
      <c r="BO131" s="710"/>
      <c r="BP131" s="710"/>
      <c r="BQ131" s="710"/>
      <c r="BR131" s="710"/>
      <c r="BS131" s="710"/>
      <c r="BT131" s="710"/>
    </row>
    <row r="132" spans="1:72" ht="15.75">
      <c r="A132" s="545"/>
      <c r="B132" s="545"/>
      <c r="C132" s="545"/>
      <c r="D132" s="545"/>
      <c r="E132" s="545"/>
      <c r="F132" s="545"/>
      <c r="G132" s="545"/>
      <c r="H132" s="545"/>
      <c r="I132" s="545"/>
      <c r="J132" s="545"/>
      <c r="K132" s="545"/>
      <c r="L132" s="545"/>
      <c r="M132" s="545"/>
      <c r="N132" s="545"/>
      <c r="O132" s="545"/>
      <c r="P132" s="545"/>
      <c r="Q132" s="545"/>
      <c r="R132" s="545"/>
      <c r="S132" s="576"/>
      <c r="T132" s="576"/>
      <c r="U132" s="576"/>
      <c r="V132" s="576"/>
      <c r="W132" s="545"/>
      <c r="X132" s="545"/>
      <c r="Y132" s="576"/>
      <c r="Z132" s="576"/>
      <c r="AA132" s="545"/>
      <c r="AB132" s="545"/>
      <c r="AC132" s="545"/>
      <c r="AD132" s="576"/>
      <c r="AE132" s="576"/>
      <c r="AF132" s="576"/>
      <c r="AG132" s="576"/>
      <c r="AH132" s="576"/>
      <c r="AI132" s="576"/>
      <c r="AJ132" s="576"/>
      <c r="AK132" s="576"/>
      <c r="AL132" s="576"/>
      <c r="AM132" s="576"/>
      <c r="AN132" s="576"/>
      <c r="AO132" s="576"/>
      <c r="AP132" s="576"/>
      <c r="AQ132" s="576"/>
      <c r="AR132" s="576"/>
      <c r="AS132" s="576"/>
      <c r="AT132" s="576"/>
      <c r="AU132" s="576"/>
      <c r="AV132" s="576"/>
      <c r="AW132" s="576"/>
      <c r="AX132" s="576"/>
      <c r="AY132" s="576"/>
      <c r="AZ132" s="576"/>
      <c r="BA132" s="576"/>
      <c r="BB132" s="576"/>
      <c r="BC132" s="576"/>
      <c r="BD132" s="572"/>
      <c r="BE132" s="710"/>
      <c r="BF132" s="710"/>
      <c r="BG132" s="710"/>
      <c r="BH132" s="710"/>
      <c r="BI132" s="710"/>
      <c r="BJ132" s="710"/>
      <c r="BK132" s="710"/>
      <c r="BL132" s="710"/>
      <c r="BM132" s="710"/>
      <c r="BN132" s="710"/>
      <c r="BO132" s="710"/>
      <c r="BP132" s="710"/>
      <c r="BQ132" s="710"/>
      <c r="BR132" s="710"/>
      <c r="BS132" s="710"/>
      <c r="BT132" s="710"/>
    </row>
    <row r="133" spans="1:72" ht="15.75">
      <c r="A133" s="545"/>
      <c r="B133" s="545"/>
      <c r="C133" s="545"/>
      <c r="D133" s="545"/>
      <c r="E133" s="545"/>
      <c r="F133" s="545"/>
      <c r="G133" s="545"/>
      <c r="H133" s="545"/>
      <c r="I133" s="545"/>
      <c r="J133" s="545"/>
      <c r="K133" s="545"/>
      <c r="L133" s="545"/>
      <c r="M133" s="545"/>
      <c r="N133" s="545"/>
      <c r="O133" s="545"/>
      <c r="P133" s="545"/>
      <c r="Q133" s="545"/>
      <c r="R133" s="545"/>
      <c r="S133" s="576"/>
      <c r="T133" s="576"/>
      <c r="U133" s="576"/>
      <c r="V133" s="576"/>
      <c r="W133" s="545"/>
      <c r="X133" s="545"/>
      <c r="Y133" s="576"/>
      <c r="Z133" s="576"/>
      <c r="AA133" s="545"/>
      <c r="AB133" s="545"/>
      <c r="AC133" s="545"/>
      <c r="AD133" s="576"/>
      <c r="AE133" s="576"/>
      <c r="AF133" s="576"/>
      <c r="AG133" s="576"/>
      <c r="AH133" s="576"/>
      <c r="AI133" s="576"/>
      <c r="AJ133" s="576"/>
      <c r="AK133" s="576"/>
      <c r="AL133" s="576"/>
      <c r="AM133" s="576"/>
      <c r="AN133" s="576"/>
      <c r="AO133" s="576"/>
      <c r="AP133" s="576"/>
      <c r="AQ133" s="576"/>
      <c r="AR133" s="576"/>
      <c r="AS133" s="576"/>
      <c r="AT133" s="576"/>
      <c r="AU133" s="576"/>
      <c r="AV133" s="576"/>
      <c r="AW133" s="576"/>
      <c r="AX133" s="576"/>
      <c r="AY133" s="576"/>
      <c r="AZ133" s="576"/>
      <c r="BA133" s="576"/>
      <c r="BB133" s="576"/>
      <c r="BC133" s="576"/>
      <c r="BD133" s="572"/>
      <c r="BE133" s="710"/>
      <c r="BF133" s="710"/>
      <c r="BG133" s="710"/>
      <c r="BH133" s="710"/>
      <c r="BI133" s="710"/>
      <c r="BJ133" s="710"/>
      <c r="BK133" s="710"/>
      <c r="BL133" s="710"/>
      <c r="BM133" s="710"/>
      <c r="BN133" s="710"/>
      <c r="BO133" s="710"/>
      <c r="BP133" s="710"/>
      <c r="BQ133" s="710"/>
      <c r="BR133" s="710"/>
      <c r="BS133" s="710"/>
      <c r="BT133" s="710"/>
    </row>
    <row r="134" spans="1:72" ht="15.75">
      <c r="A134" s="545"/>
      <c r="B134" s="545"/>
      <c r="C134" s="545"/>
      <c r="D134" s="545"/>
      <c r="E134" s="545"/>
      <c r="F134" s="545"/>
      <c r="G134" s="545"/>
      <c r="H134" s="545"/>
      <c r="I134" s="545"/>
      <c r="J134" s="545"/>
      <c r="K134" s="545"/>
      <c r="L134" s="545"/>
      <c r="M134" s="545"/>
      <c r="N134" s="545"/>
      <c r="O134" s="545"/>
      <c r="P134" s="545"/>
      <c r="Q134" s="545"/>
      <c r="R134" s="545"/>
      <c r="S134" s="576"/>
      <c r="T134" s="576"/>
      <c r="U134" s="576"/>
      <c r="V134" s="576"/>
      <c r="W134" s="545"/>
      <c r="X134" s="545"/>
      <c r="Y134" s="576"/>
      <c r="Z134" s="576"/>
      <c r="AA134" s="545"/>
      <c r="AB134" s="545"/>
      <c r="AC134" s="545"/>
      <c r="AD134" s="576"/>
      <c r="AE134" s="576"/>
      <c r="AF134" s="576"/>
      <c r="AG134" s="576"/>
      <c r="AH134" s="576"/>
      <c r="AI134" s="576"/>
      <c r="AJ134" s="576"/>
      <c r="AK134" s="576"/>
      <c r="AL134" s="576"/>
      <c r="AM134" s="576"/>
      <c r="AN134" s="576"/>
      <c r="AO134" s="576"/>
      <c r="AP134" s="576"/>
      <c r="AQ134" s="576"/>
      <c r="AR134" s="576"/>
      <c r="AS134" s="576"/>
      <c r="AT134" s="576"/>
      <c r="AU134" s="576"/>
      <c r="AV134" s="576"/>
      <c r="AW134" s="576"/>
      <c r="AX134" s="576"/>
      <c r="AY134" s="576"/>
      <c r="AZ134" s="576"/>
      <c r="BA134" s="576"/>
      <c r="BB134" s="576"/>
      <c r="BC134" s="576"/>
      <c r="BD134" s="572"/>
      <c r="BE134" s="710"/>
      <c r="BF134" s="710"/>
      <c r="BG134" s="710"/>
      <c r="BH134" s="710"/>
      <c r="BI134" s="710"/>
      <c r="BJ134" s="710"/>
      <c r="BK134" s="710"/>
      <c r="BL134" s="710"/>
      <c r="BM134" s="710"/>
      <c r="BN134" s="710"/>
      <c r="BO134" s="710"/>
      <c r="BP134" s="710"/>
      <c r="BQ134" s="710"/>
      <c r="BR134" s="710"/>
      <c r="BS134" s="710"/>
      <c r="BT134" s="710"/>
    </row>
    <row r="135" spans="1:72" ht="15.75">
      <c r="A135" s="545"/>
      <c r="B135" s="545"/>
      <c r="C135" s="545"/>
      <c r="D135" s="545"/>
      <c r="E135" s="545"/>
      <c r="F135" s="545"/>
      <c r="G135" s="545"/>
      <c r="H135" s="545"/>
      <c r="I135" s="545"/>
      <c r="J135" s="545"/>
      <c r="K135" s="545"/>
      <c r="L135" s="545"/>
      <c r="M135" s="545"/>
      <c r="N135" s="545"/>
      <c r="O135" s="545"/>
      <c r="P135" s="545"/>
      <c r="Q135" s="545"/>
      <c r="R135" s="545"/>
      <c r="S135" s="576"/>
      <c r="T135" s="576"/>
      <c r="U135" s="576"/>
      <c r="V135" s="576"/>
      <c r="W135" s="545"/>
      <c r="X135" s="545"/>
      <c r="Y135" s="576"/>
      <c r="Z135" s="576"/>
      <c r="AA135" s="545"/>
      <c r="AB135" s="545"/>
      <c r="AC135" s="545"/>
      <c r="AD135" s="576"/>
      <c r="AE135" s="576"/>
      <c r="AF135" s="576"/>
      <c r="AG135" s="576"/>
      <c r="AH135" s="576"/>
      <c r="AI135" s="576"/>
      <c r="AJ135" s="576"/>
      <c r="AK135" s="576"/>
      <c r="AL135" s="576"/>
      <c r="AM135" s="576"/>
      <c r="AN135" s="576"/>
      <c r="AO135" s="576"/>
      <c r="AP135" s="576"/>
      <c r="AQ135" s="576"/>
      <c r="AR135" s="576"/>
      <c r="AS135" s="576"/>
      <c r="AT135" s="576"/>
      <c r="AU135" s="576"/>
      <c r="AV135" s="576"/>
      <c r="AW135" s="576"/>
      <c r="AX135" s="576"/>
      <c r="AY135" s="576"/>
      <c r="AZ135" s="576"/>
      <c r="BA135" s="576"/>
      <c r="BB135" s="576"/>
      <c r="BC135" s="576"/>
      <c r="BD135" s="572"/>
      <c r="BE135" s="710"/>
      <c r="BF135" s="710"/>
      <c r="BG135" s="710"/>
      <c r="BH135" s="710"/>
      <c r="BI135" s="710"/>
      <c r="BJ135" s="710"/>
      <c r="BK135" s="710"/>
      <c r="BL135" s="710"/>
      <c r="BM135" s="710"/>
      <c r="BN135" s="710"/>
      <c r="BO135" s="710"/>
      <c r="BP135" s="710"/>
      <c r="BQ135" s="710"/>
      <c r="BR135" s="710"/>
      <c r="BS135" s="710"/>
      <c r="BT135" s="710"/>
    </row>
    <row r="136" spans="1:72" ht="15.75">
      <c r="A136" s="545"/>
      <c r="B136" s="545"/>
      <c r="C136" s="545"/>
      <c r="D136" s="545"/>
      <c r="E136" s="545"/>
      <c r="F136" s="545"/>
      <c r="G136" s="545"/>
      <c r="H136" s="545"/>
      <c r="I136" s="545"/>
      <c r="J136" s="545"/>
      <c r="K136" s="545"/>
      <c r="L136" s="545"/>
      <c r="M136" s="545"/>
      <c r="N136" s="545"/>
      <c r="O136" s="545"/>
      <c r="P136" s="545"/>
      <c r="Q136" s="545"/>
      <c r="R136" s="545"/>
      <c r="S136" s="576"/>
      <c r="T136" s="576"/>
      <c r="U136" s="576"/>
      <c r="V136" s="576"/>
      <c r="W136" s="545"/>
      <c r="X136" s="545"/>
      <c r="Y136" s="576"/>
      <c r="Z136" s="576"/>
      <c r="AA136" s="545"/>
      <c r="AB136" s="545"/>
      <c r="AC136" s="545"/>
      <c r="AD136" s="576"/>
      <c r="AE136" s="576"/>
      <c r="AF136" s="576"/>
      <c r="AG136" s="576"/>
      <c r="AH136" s="576"/>
      <c r="AI136" s="576"/>
      <c r="AJ136" s="576"/>
      <c r="AK136" s="576"/>
      <c r="AL136" s="576"/>
      <c r="AM136" s="576"/>
      <c r="AN136" s="576"/>
      <c r="AO136" s="576"/>
      <c r="AP136" s="576"/>
      <c r="AQ136" s="576"/>
      <c r="AR136" s="576"/>
      <c r="AS136" s="576"/>
      <c r="AT136" s="576"/>
      <c r="AU136" s="576"/>
      <c r="AV136" s="576"/>
      <c r="AW136" s="576"/>
      <c r="AX136" s="576"/>
      <c r="AY136" s="576"/>
      <c r="AZ136" s="576"/>
      <c r="BA136" s="576"/>
      <c r="BB136" s="576"/>
      <c r="BC136" s="576"/>
      <c r="BD136" s="572"/>
      <c r="BE136" s="710"/>
      <c r="BF136" s="710"/>
      <c r="BG136" s="710"/>
      <c r="BH136" s="710"/>
      <c r="BI136" s="710"/>
      <c r="BJ136" s="710"/>
      <c r="BK136" s="710"/>
      <c r="BL136" s="710"/>
      <c r="BM136" s="710"/>
      <c r="BN136" s="710"/>
      <c r="BO136" s="710"/>
      <c r="BP136" s="710"/>
      <c r="BQ136" s="710"/>
      <c r="BR136" s="710"/>
      <c r="BS136" s="710"/>
      <c r="BT136" s="710"/>
    </row>
    <row r="137" spans="1:72" ht="15.75">
      <c r="A137" s="545"/>
      <c r="B137" s="545"/>
      <c r="C137" s="545"/>
      <c r="D137" s="545"/>
      <c r="E137" s="545"/>
      <c r="F137" s="545"/>
      <c r="G137" s="545"/>
      <c r="H137" s="545"/>
      <c r="I137" s="545"/>
      <c r="J137" s="545"/>
      <c r="K137" s="545"/>
      <c r="L137" s="545"/>
      <c r="M137" s="545"/>
      <c r="N137" s="545"/>
      <c r="O137" s="545"/>
      <c r="P137" s="545"/>
      <c r="Q137" s="545"/>
      <c r="R137" s="545"/>
      <c r="S137" s="576"/>
      <c r="T137" s="576"/>
      <c r="U137" s="576"/>
      <c r="V137" s="576"/>
      <c r="W137" s="545"/>
      <c r="X137" s="545"/>
      <c r="Y137" s="576"/>
      <c r="Z137" s="576"/>
      <c r="AA137" s="545"/>
      <c r="AB137" s="545"/>
      <c r="AC137" s="545"/>
      <c r="AD137" s="576"/>
      <c r="AE137" s="576"/>
      <c r="AF137" s="576"/>
      <c r="AG137" s="576"/>
      <c r="AH137" s="576"/>
      <c r="AI137" s="576"/>
      <c r="AJ137" s="576"/>
      <c r="AK137" s="576"/>
      <c r="AL137" s="576"/>
      <c r="AM137" s="576"/>
      <c r="AN137" s="576"/>
      <c r="AO137" s="576"/>
      <c r="AP137" s="576"/>
      <c r="AQ137" s="576"/>
      <c r="AR137" s="576"/>
      <c r="AS137" s="576"/>
      <c r="AT137" s="576"/>
      <c r="AU137" s="576"/>
      <c r="AV137" s="576"/>
      <c r="AW137" s="576"/>
      <c r="AX137" s="576"/>
      <c r="AY137" s="576"/>
      <c r="AZ137" s="576"/>
      <c r="BA137" s="576"/>
      <c r="BB137" s="576"/>
      <c r="BC137" s="576"/>
      <c r="BD137" s="572"/>
      <c r="BE137" s="710"/>
      <c r="BF137" s="710"/>
      <c r="BG137" s="710"/>
      <c r="BH137" s="710"/>
      <c r="BI137" s="710"/>
      <c r="BJ137" s="710"/>
      <c r="BK137" s="710"/>
      <c r="BL137" s="710"/>
      <c r="BM137" s="710"/>
      <c r="BN137" s="710"/>
      <c r="BO137" s="710"/>
      <c r="BP137" s="710"/>
      <c r="BQ137" s="710"/>
      <c r="BR137" s="710"/>
      <c r="BS137" s="710"/>
      <c r="BT137" s="710"/>
    </row>
    <row r="138" spans="1:72" ht="15.75">
      <c r="A138" s="545"/>
      <c r="B138" s="545"/>
      <c r="C138" s="545"/>
      <c r="D138" s="545"/>
      <c r="E138" s="545"/>
      <c r="F138" s="545"/>
      <c r="G138" s="545"/>
      <c r="H138" s="545"/>
      <c r="I138" s="545"/>
      <c r="J138" s="545"/>
      <c r="K138" s="545"/>
      <c r="L138" s="545"/>
      <c r="M138" s="545"/>
      <c r="N138" s="545"/>
      <c r="O138" s="545"/>
      <c r="P138" s="545"/>
      <c r="Q138" s="545"/>
      <c r="R138" s="545"/>
      <c r="S138" s="576"/>
      <c r="T138" s="576"/>
      <c r="U138" s="576"/>
      <c r="V138" s="576"/>
      <c r="W138" s="545"/>
      <c r="X138" s="545"/>
      <c r="Y138" s="576"/>
      <c r="Z138" s="576"/>
      <c r="AA138" s="545"/>
      <c r="AB138" s="545"/>
      <c r="AC138" s="545"/>
      <c r="AD138" s="576"/>
      <c r="AE138" s="576"/>
      <c r="AF138" s="576"/>
      <c r="AG138" s="576"/>
      <c r="AH138" s="576"/>
      <c r="AI138" s="576"/>
      <c r="AJ138" s="576"/>
      <c r="AK138" s="576"/>
      <c r="AL138" s="576"/>
      <c r="AM138" s="576"/>
      <c r="AN138" s="576"/>
      <c r="AO138" s="576"/>
      <c r="AP138" s="576"/>
      <c r="AQ138" s="576"/>
      <c r="AR138" s="576"/>
      <c r="AS138" s="576"/>
      <c r="AT138" s="576"/>
      <c r="AU138" s="576"/>
      <c r="AV138" s="576"/>
      <c r="AW138" s="576"/>
      <c r="AX138" s="576"/>
      <c r="AY138" s="576"/>
      <c r="AZ138" s="576"/>
      <c r="BA138" s="576"/>
      <c r="BB138" s="576"/>
      <c r="BC138" s="576"/>
      <c r="BD138" s="572"/>
      <c r="BE138" s="710"/>
      <c r="BF138" s="710"/>
      <c r="BG138" s="710"/>
      <c r="BH138" s="710"/>
      <c r="BI138" s="710"/>
      <c r="BJ138" s="710"/>
      <c r="BK138" s="710"/>
      <c r="BL138" s="710"/>
      <c r="BM138" s="710"/>
      <c r="BN138" s="710"/>
      <c r="BO138" s="710"/>
      <c r="BP138" s="710"/>
      <c r="BQ138" s="710"/>
      <c r="BR138" s="710"/>
      <c r="BS138" s="710"/>
      <c r="BT138" s="710"/>
    </row>
    <row r="139" spans="1:72" ht="15.75">
      <c r="A139" s="545"/>
      <c r="B139" s="545"/>
      <c r="C139" s="545"/>
      <c r="D139" s="545"/>
      <c r="E139" s="545"/>
      <c r="F139" s="545"/>
      <c r="G139" s="545"/>
      <c r="H139" s="545"/>
      <c r="I139" s="545"/>
      <c r="J139" s="545"/>
      <c r="K139" s="545"/>
      <c r="L139" s="545"/>
      <c r="M139" s="545"/>
      <c r="N139" s="545"/>
      <c r="O139" s="545"/>
      <c r="P139" s="545"/>
      <c r="Q139" s="545"/>
      <c r="R139" s="545"/>
      <c r="S139" s="576"/>
      <c r="T139" s="576"/>
      <c r="U139" s="576"/>
      <c r="V139" s="576"/>
      <c r="W139" s="545"/>
      <c r="X139" s="545"/>
      <c r="Y139" s="576"/>
      <c r="Z139" s="576"/>
      <c r="AA139" s="545"/>
      <c r="AB139" s="545"/>
      <c r="AC139" s="545"/>
      <c r="AD139" s="576"/>
      <c r="AE139" s="576"/>
      <c r="AF139" s="576"/>
      <c r="AG139" s="576"/>
      <c r="AH139" s="576"/>
      <c r="AI139" s="576"/>
      <c r="AJ139" s="576"/>
      <c r="AK139" s="576"/>
      <c r="AL139" s="576"/>
      <c r="AM139" s="576"/>
      <c r="AN139" s="576"/>
      <c r="AO139" s="576"/>
      <c r="AP139" s="576"/>
      <c r="AQ139" s="576"/>
      <c r="AR139" s="576"/>
      <c r="AS139" s="576"/>
      <c r="AT139" s="576"/>
      <c r="AU139" s="576"/>
      <c r="AV139" s="576"/>
      <c r="AW139" s="576"/>
      <c r="AX139" s="576"/>
      <c r="AY139" s="576"/>
      <c r="AZ139" s="576"/>
      <c r="BA139" s="576"/>
      <c r="BB139" s="576"/>
      <c r="BC139" s="576"/>
      <c r="BD139" s="572"/>
      <c r="BE139" s="710"/>
      <c r="BF139" s="710"/>
      <c r="BG139" s="710"/>
      <c r="BH139" s="710"/>
      <c r="BI139" s="710"/>
      <c r="BJ139" s="710"/>
      <c r="BK139" s="710"/>
      <c r="BL139" s="710"/>
      <c r="BM139" s="710"/>
      <c r="BN139" s="710"/>
      <c r="BO139" s="710"/>
      <c r="BP139" s="710"/>
      <c r="BQ139" s="710"/>
      <c r="BR139" s="710"/>
      <c r="BS139" s="710"/>
      <c r="BT139" s="710"/>
    </row>
    <row r="140" spans="1:72" ht="15.75">
      <c r="A140" s="545"/>
      <c r="B140" s="545"/>
      <c r="C140" s="545"/>
      <c r="D140" s="545"/>
      <c r="E140" s="545"/>
      <c r="F140" s="545"/>
      <c r="G140" s="545"/>
      <c r="H140" s="545"/>
      <c r="I140" s="545"/>
      <c r="J140" s="545"/>
      <c r="K140" s="545"/>
      <c r="L140" s="545"/>
      <c r="M140" s="545"/>
      <c r="N140" s="545"/>
      <c r="O140" s="545"/>
      <c r="P140" s="545"/>
      <c r="Q140" s="545"/>
      <c r="R140" s="545"/>
      <c r="S140" s="576"/>
      <c r="T140" s="576"/>
      <c r="U140" s="576"/>
      <c r="V140" s="576"/>
      <c r="W140" s="545"/>
      <c r="X140" s="545"/>
      <c r="Y140" s="576"/>
      <c r="Z140" s="576"/>
      <c r="AA140" s="545"/>
      <c r="AB140" s="545"/>
      <c r="AC140" s="545"/>
      <c r="AD140" s="576"/>
      <c r="AE140" s="576"/>
      <c r="AF140" s="576"/>
      <c r="AG140" s="576"/>
      <c r="AH140" s="576"/>
      <c r="AI140" s="576"/>
      <c r="AJ140" s="576"/>
      <c r="AK140" s="576"/>
      <c r="AL140" s="576"/>
      <c r="AM140" s="576"/>
      <c r="AN140" s="576"/>
      <c r="AO140" s="576"/>
      <c r="AP140" s="576"/>
      <c r="AQ140" s="576"/>
      <c r="AR140" s="576"/>
      <c r="AS140" s="576"/>
      <c r="AT140" s="576"/>
      <c r="AU140" s="576"/>
      <c r="AV140" s="576"/>
      <c r="AW140" s="576"/>
      <c r="AX140" s="576"/>
      <c r="AY140" s="576"/>
      <c r="AZ140" s="576"/>
      <c r="BA140" s="576"/>
      <c r="BB140" s="576"/>
      <c r="BC140" s="576"/>
      <c r="BD140" s="572"/>
      <c r="BE140" s="710"/>
      <c r="BF140" s="710"/>
      <c r="BG140" s="710"/>
      <c r="BH140" s="710"/>
      <c r="BI140" s="710"/>
      <c r="BJ140" s="710"/>
      <c r="BK140" s="710"/>
      <c r="BL140" s="710"/>
      <c r="BM140" s="710"/>
      <c r="BN140" s="710"/>
      <c r="BO140" s="710"/>
      <c r="BP140" s="710"/>
      <c r="BQ140" s="710"/>
      <c r="BR140" s="710"/>
      <c r="BS140" s="710"/>
      <c r="BT140" s="710"/>
    </row>
    <row r="141" spans="1:72" ht="15.75">
      <c r="A141" s="545"/>
      <c r="B141" s="545"/>
      <c r="C141" s="545"/>
      <c r="D141" s="545"/>
      <c r="E141" s="545"/>
      <c r="F141" s="545"/>
      <c r="G141" s="545"/>
      <c r="H141" s="545"/>
      <c r="I141" s="545"/>
      <c r="J141" s="545"/>
      <c r="K141" s="545"/>
      <c r="L141" s="545"/>
      <c r="M141" s="545"/>
      <c r="N141" s="545"/>
      <c r="O141" s="545"/>
      <c r="P141" s="545"/>
      <c r="Q141" s="545"/>
      <c r="R141" s="545"/>
      <c r="S141" s="576"/>
      <c r="T141" s="576"/>
      <c r="U141" s="576"/>
      <c r="V141" s="576"/>
      <c r="W141" s="545"/>
      <c r="X141" s="545"/>
      <c r="Y141" s="576"/>
      <c r="Z141" s="576"/>
      <c r="AA141" s="545"/>
      <c r="AB141" s="545"/>
      <c r="AC141" s="545"/>
      <c r="AD141" s="576"/>
      <c r="AE141" s="576"/>
      <c r="AF141" s="576"/>
      <c r="AG141" s="576"/>
      <c r="AH141" s="576"/>
      <c r="AI141" s="576"/>
      <c r="AJ141" s="576"/>
      <c r="AK141" s="576"/>
      <c r="AL141" s="576"/>
      <c r="AM141" s="576"/>
      <c r="AN141" s="576"/>
      <c r="AO141" s="576"/>
      <c r="AP141" s="576"/>
      <c r="AQ141" s="576"/>
      <c r="AR141" s="576"/>
      <c r="AS141" s="576"/>
      <c r="AT141" s="576"/>
      <c r="AU141" s="576"/>
      <c r="AV141" s="576"/>
      <c r="AW141" s="576"/>
      <c r="AX141" s="576"/>
      <c r="AY141" s="576"/>
      <c r="AZ141" s="576"/>
      <c r="BA141" s="576"/>
      <c r="BB141" s="576"/>
      <c r="BC141" s="576"/>
      <c r="BD141" s="572"/>
      <c r="BE141" s="710"/>
      <c r="BF141" s="710"/>
      <c r="BG141" s="710"/>
      <c r="BH141" s="710"/>
      <c r="BI141" s="710"/>
      <c r="BJ141" s="710"/>
      <c r="BK141" s="710"/>
      <c r="BL141" s="710"/>
      <c r="BM141" s="710"/>
      <c r="BN141" s="710"/>
      <c r="BO141" s="710"/>
      <c r="BP141" s="710"/>
      <c r="BQ141" s="710"/>
      <c r="BR141" s="710"/>
      <c r="BS141" s="710"/>
      <c r="BT141" s="710"/>
    </row>
    <row r="142" spans="1:72" ht="15.75">
      <c r="A142" s="545"/>
      <c r="B142" s="545"/>
      <c r="C142" s="545"/>
      <c r="D142" s="545"/>
      <c r="E142" s="545"/>
      <c r="F142" s="545"/>
      <c r="G142" s="545"/>
      <c r="H142" s="545"/>
      <c r="I142" s="545"/>
      <c r="J142" s="545"/>
      <c r="K142" s="545"/>
      <c r="L142" s="545"/>
      <c r="M142" s="545"/>
      <c r="N142" s="545"/>
      <c r="O142" s="545"/>
      <c r="P142" s="545"/>
      <c r="Q142" s="545"/>
      <c r="R142" s="545"/>
      <c r="S142" s="576"/>
      <c r="T142" s="576"/>
      <c r="U142" s="576"/>
      <c r="V142" s="576"/>
      <c r="W142" s="545"/>
      <c r="X142" s="545"/>
      <c r="Y142" s="576"/>
      <c r="Z142" s="576"/>
      <c r="AA142" s="545"/>
      <c r="AB142" s="545"/>
      <c r="AC142" s="545"/>
      <c r="AD142" s="576"/>
      <c r="AE142" s="576"/>
      <c r="AF142" s="576"/>
      <c r="AG142" s="576"/>
      <c r="AH142" s="576"/>
      <c r="AI142" s="576"/>
      <c r="AJ142" s="576"/>
      <c r="AK142" s="576"/>
      <c r="AL142" s="576"/>
      <c r="AM142" s="576"/>
      <c r="AN142" s="576"/>
      <c r="AO142" s="576"/>
      <c r="AP142" s="576"/>
      <c r="AQ142" s="576"/>
      <c r="AR142" s="576"/>
      <c r="AS142" s="576"/>
      <c r="AT142" s="576"/>
      <c r="AU142" s="576"/>
      <c r="AV142" s="576"/>
      <c r="AW142" s="576"/>
      <c r="AX142" s="576"/>
      <c r="AY142" s="576"/>
      <c r="AZ142" s="576"/>
      <c r="BA142" s="576"/>
      <c r="BB142" s="576"/>
      <c r="BC142" s="576"/>
      <c r="BD142" s="572"/>
      <c r="BE142" s="710"/>
      <c r="BF142" s="710"/>
      <c r="BG142" s="710"/>
      <c r="BH142" s="710"/>
      <c r="BI142" s="710"/>
      <c r="BJ142" s="710"/>
      <c r="BK142" s="710"/>
      <c r="BL142" s="710"/>
      <c r="BM142" s="710"/>
      <c r="BN142" s="710"/>
      <c r="BO142" s="710"/>
      <c r="BP142" s="710"/>
      <c r="BQ142" s="710"/>
      <c r="BR142" s="710"/>
      <c r="BS142" s="710"/>
      <c r="BT142" s="710"/>
    </row>
    <row r="143" spans="1:72" ht="15.75">
      <c r="A143" s="545"/>
      <c r="B143" s="545"/>
      <c r="C143" s="545"/>
      <c r="D143" s="545"/>
      <c r="E143" s="545"/>
      <c r="F143" s="545"/>
      <c r="G143" s="545"/>
      <c r="H143" s="545"/>
      <c r="I143" s="545"/>
      <c r="J143" s="545"/>
      <c r="K143" s="545"/>
      <c r="L143" s="545"/>
      <c r="M143" s="545"/>
      <c r="N143" s="545"/>
      <c r="O143" s="545"/>
      <c r="P143" s="545"/>
      <c r="Q143" s="545"/>
      <c r="R143" s="545"/>
      <c r="S143" s="576"/>
      <c r="T143" s="576"/>
      <c r="U143" s="576"/>
      <c r="V143" s="576"/>
      <c r="W143" s="545"/>
      <c r="X143" s="545"/>
      <c r="Y143" s="576"/>
      <c r="Z143" s="576"/>
      <c r="AA143" s="545"/>
      <c r="AB143" s="545"/>
      <c r="AC143" s="545"/>
      <c r="AD143" s="576"/>
      <c r="AE143" s="576"/>
      <c r="AF143" s="576"/>
      <c r="AG143" s="576"/>
      <c r="AH143" s="576"/>
      <c r="AI143" s="576"/>
      <c r="AJ143" s="576"/>
      <c r="AK143" s="576"/>
      <c r="AL143" s="576"/>
      <c r="AM143" s="576"/>
      <c r="AN143" s="576"/>
      <c r="AO143" s="576"/>
      <c r="AP143" s="576"/>
      <c r="AQ143" s="576"/>
      <c r="AR143" s="576"/>
      <c r="AS143" s="576"/>
      <c r="AT143" s="576"/>
      <c r="AU143" s="576"/>
      <c r="AV143" s="576"/>
      <c r="AW143" s="576"/>
      <c r="AX143" s="576"/>
      <c r="AY143" s="576"/>
      <c r="AZ143" s="576"/>
      <c r="BA143" s="576"/>
      <c r="BB143" s="576"/>
      <c r="BC143" s="576"/>
      <c r="BD143" s="572"/>
      <c r="BE143" s="710"/>
      <c r="BF143" s="710"/>
      <c r="BG143" s="710"/>
      <c r="BH143" s="710"/>
      <c r="BI143" s="710"/>
      <c r="BJ143" s="710"/>
      <c r="BK143" s="710"/>
      <c r="BL143" s="710"/>
      <c r="BM143" s="710"/>
      <c r="BN143" s="710"/>
      <c r="BO143" s="710"/>
      <c r="BP143" s="710"/>
      <c r="BQ143" s="710"/>
      <c r="BR143" s="710"/>
      <c r="BS143" s="710"/>
      <c r="BT143" s="710"/>
    </row>
    <row r="144" spans="1:72" ht="15.75">
      <c r="A144" s="545"/>
      <c r="B144" s="545"/>
      <c r="C144" s="545"/>
      <c r="D144" s="545"/>
      <c r="E144" s="545"/>
      <c r="F144" s="545"/>
      <c r="G144" s="545"/>
      <c r="H144" s="545"/>
      <c r="I144" s="545"/>
      <c r="J144" s="545"/>
      <c r="K144" s="545"/>
      <c r="L144" s="545"/>
      <c r="M144" s="545"/>
      <c r="N144" s="545"/>
      <c r="O144" s="545"/>
      <c r="P144" s="545"/>
      <c r="Q144" s="545"/>
      <c r="R144" s="545"/>
      <c r="S144" s="576"/>
      <c r="T144" s="576"/>
      <c r="U144" s="576"/>
      <c r="V144" s="576"/>
      <c r="W144" s="545"/>
      <c r="X144" s="545"/>
      <c r="Y144" s="576"/>
      <c r="Z144" s="576"/>
      <c r="AA144" s="545"/>
      <c r="AB144" s="545"/>
      <c r="AC144" s="545"/>
      <c r="AD144" s="576"/>
      <c r="AE144" s="576"/>
      <c r="AF144" s="576"/>
      <c r="AG144" s="576"/>
      <c r="AH144" s="576"/>
      <c r="AI144" s="576"/>
      <c r="AJ144" s="576"/>
      <c r="AK144" s="576"/>
      <c r="AL144" s="576"/>
      <c r="AM144" s="576"/>
      <c r="AN144" s="576"/>
      <c r="AO144" s="576"/>
      <c r="AP144" s="576"/>
      <c r="AQ144" s="576"/>
      <c r="AR144" s="576"/>
      <c r="AS144" s="576"/>
      <c r="AT144" s="576"/>
      <c r="AU144" s="576"/>
      <c r="AV144" s="576"/>
      <c r="AW144" s="576"/>
      <c r="AX144" s="576"/>
      <c r="AY144" s="576"/>
      <c r="AZ144" s="576"/>
      <c r="BA144" s="576"/>
      <c r="BB144" s="576"/>
      <c r="BC144" s="576"/>
      <c r="BD144" s="572"/>
      <c r="BE144" s="710"/>
      <c r="BF144" s="710"/>
      <c r="BG144" s="710"/>
      <c r="BH144" s="710"/>
      <c r="BI144" s="710"/>
      <c r="BJ144" s="710"/>
      <c r="BK144" s="710"/>
      <c r="BL144" s="710"/>
      <c r="BM144" s="710"/>
      <c r="BN144" s="710"/>
      <c r="BO144" s="710"/>
      <c r="BP144" s="710"/>
      <c r="BQ144" s="710"/>
      <c r="BR144" s="710"/>
      <c r="BS144" s="710"/>
      <c r="BT144" s="710"/>
    </row>
    <row r="145" spans="1:72" ht="15.75">
      <c r="A145" s="545"/>
      <c r="B145" s="545"/>
      <c r="C145" s="545"/>
      <c r="D145" s="545"/>
      <c r="E145" s="545"/>
      <c r="F145" s="545"/>
      <c r="G145" s="545"/>
      <c r="H145" s="545"/>
      <c r="I145" s="545"/>
      <c r="J145" s="545"/>
      <c r="K145" s="545"/>
      <c r="L145" s="545"/>
      <c r="M145" s="545"/>
      <c r="N145" s="545"/>
      <c r="O145" s="545"/>
      <c r="P145" s="545"/>
      <c r="Q145" s="545"/>
      <c r="R145" s="545"/>
      <c r="S145" s="576"/>
      <c r="T145" s="576"/>
      <c r="U145" s="576"/>
      <c r="V145" s="576"/>
      <c r="W145" s="545"/>
      <c r="X145" s="545"/>
      <c r="Y145" s="576"/>
      <c r="Z145" s="576"/>
      <c r="AA145" s="545"/>
      <c r="AB145" s="545"/>
      <c r="AC145" s="545"/>
      <c r="AD145" s="576"/>
      <c r="AE145" s="576"/>
      <c r="AF145" s="576"/>
      <c r="AG145" s="576"/>
      <c r="AH145" s="576"/>
      <c r="AI145" s="576"/>
      <c r="AJ145" s="576"/>
      <c r="AK145" s="576"/>
      <c r="AL145" s="576"/>
      <c r="AM145" s="576"/>
      <c r="AN145" s="576"/>
      <c r="AO145" s="576"/>
      <c r="AP145" s="576"/>
      <c r="AQ145" s="576"/>
      <c r="AR145" s="576"/>
      <c r="AS145" s="576"/>
      <c r="AT145" s="576"/>
      <c r="AU145" s="576"/>
      <c r="AV145" s="576"/>
      <c r="AW145" s="576"/>
      <c r="AX145" s="576"/>
      <c r="AY145" s="576"/>
      <c r="AZ145" s="576"/>
      <c r="BA145" s="576"/>
      <c r="BB145" s="576"/>
      <c r="BC145" s="576"/>
      <c r="BD145" s="572"/>
      <c r="BE145" s="710"/>
      <c r="BF145" s="710"/>
      <c r="BG145" s="710"/>
      <c r="BH145" s="710"/>
      <c r="BI145" s="710"/>
      <c r="BJ145" s="710"/>
      <c r="BK145" s="710"/>
      <c r="BL145" s="710"/>
      <c r="BM145" s="710"/>
      <c r="BN145" s="710"/>
      <c r="BO145" s="710"/>
      <c r="BP145" s="710"/>
      <c r="BQ145" s="710"/>
      <c r="BR145" s="710"/>
      <c r="BS145" s="710"/>
      <c r="BT145" s="710"/>
    </row>
    <row r="146" spans="1:72" ht="15.75">
      <c r="A146" s="545"/>
      <c r="B146" s="545"/>
      <c r="C146" s="545"/>
      <c r="D146" s="545"/>
      <c r="E146" s="545"/>
      <c r="F146" s="545"/>
      <c r="G146" s="545"/>
      <c r="H146" s="545"/>
      <c r="I146" s="545"/>
      <c r="J146" s="545"/>
      <c r="K146" s="545"/>
      <c r="L146" s="545"/>
      <c r="M146" s="545"/>
      <c r="N146" s="545"/>
      <c r="O146" s="545"/>
      <c r="P146" s="545"/>
      <c r="Q146" s="545"/>
      <c r="R146" s="545"/>
      <c r="S146" s="576"/>
      <c r="T146" s="576"/>
      <c r="U146" s="576"/>
      <c r="V146" s="576"/>
      <c r="W146" s="545"/>
      <c r="X146" s="545"/>
      <c r="Y146" s="576"/>
      <c r="Z146" s="576"/>
      <c r="AA146" s="545"/>
      <c r="AB146" s="545"/>
      <c r="AC146" s="545"/>
      <c r="AD146" s="576"/>
      <c r="AE146" s="576"/>
      <c r="AF146" s="576"/>
      <c r="AG146" s="576"/>
      <c r="AH146" s="576"/>
      <c r="AI146" s="576"/>
      <c r="AJ146" s="576"/>
      <c r="AK146" s="576"/>
      <c r="AL146" s="576"/>
      <c r="AM146" s="576"/>
      <c r="AN146" s="576"/>
      <c r="AO146" s="576"/>
      <c r="AP146" s="576"/>
      <c r="AQ146" s="576"/>
      <c r="AR146" s="576"/>
      <c r="AS146" s="576"/>
      <c r="AT146" s="576"/>
      <c r="AU146" s="576"/>
      <c r="AV146" s="576"/>
      <c r="AW146" s="576"/>
      <c r="AX146" s="576"/>
      <c r="AY146" s="576"/>
      <c r="AZ146" s="576"/>
      <c r="BA146" s="576"/>
      <c r="BB146" s="576"/>
      <c r="BC146" s="576"/>
      <c r="BD146" s="572"/>
      <c r="BE146" s="710"/>
      <c r="BF146" s="710"/>
      <c r="BG146" s="710"/>
      <c r="BH146" s="710"/>
      <c r="BI146" s="710"/>
      <c r="BJ146" s="710"/>
      <c r="BK146" s="710"/>
      <c r="BL146" s="710"/>
      <c r="BM146" s="710"/>
      <c r="BN146" s="710"/>
      <c r="BO146" s="710"/>
      <c r="BP146" s="710"/>
      <c r="BQ146" s="710"/>
      <c r="BR146" s="710"/>
      <c r="BS146" s="710"/>
      <c r="BT146" s="710"/>
    </row>
    <row r="147" spans="1:72" ht="15.75">
      <c r="A147" s="545"/>
      <c r="B147" s="545"/>
      <c r="C147" s="545"/>
      <c r="D147" s="545"/>
      <c r="E147" s="545"/>
      <c r="F147" s="545"/>
      <c r="G147" s="545"/>
      <c r="H147" s="545"/>
      <c r="I147" s="545"/>
      <c r="J147" s="545"/>
      <c r="K147" s="545"/>
      <c r="L147" s="545"/>
      <c r="M147" s="545"/>
      <c r="N147" s="545"/>
      <c r="O147" s="545"/>
      <c r="P147" s="545"/>
      <c r="Q147" s="545"/>
      <c r="R147" s="545"/>
      <c r="S147" s="576"/>
      <c r="T147" s="576"/>
      <c r="U147" s="576"/>
      <c r="V147" s="576"/>
      <c r="W147" s="545"/>
      <c r="X147" s="545"/>
      <c r="Y147" s="576"/>
      <c r="Z147" s="576"/>
      <c r="AA147" s="545"/>
      <c r="AB147" s="545"/>
      <c r="AC147" s="545"/>
      <c r="AD147" s="576"/>
      <c r="AE147" s="576"/>
      <c r="AF147" s="576"/>
      <c r="AG147" s="576"/>
      <c r="AH147" s="576"/>
      <c r="AI147" s="576"/>
      <c r="AJ147" s="576"/>
      <c r="AK147" s="576"/>
      <c r="AL147" s="576"/>
      <c r="AM147" s="576"/>
      <c r="AN147" s="576"/>
      <c r="AO147" s="576"/>
      <c r="AP147" s="576"/>
      <c r="AQ147" s="576"/>
      <c r="AR147" s="576"/>
      <c r="AS147" s="576"/>
      <c r="AT147" s="576"/>
      <c r="AU147" s="576"/>
      <c r="AV147" s="576"/>
      <c r="AW147" s="576"/>
      <c r="AX147" s="576"/>
      <c r="AY147" s="576"/>
      <c r="AZ147" s="576"/>
      <c r="BA147" s="576"/>
      <c r="BB147" s="576"/>
      <c r="BC147" s="576"/>
      <c r="BD147" s="572"/>
      <c r="BE147" s="710"/>
      <c r="BF147" s="710"/>
      <c r="BG147" s="710"/>
      <c r="BH147" s="710"/>
      <c r="BI147" s="710"/>
      <c r="BJ147" s="710"/>
      <c r="BK147" s="710"/>
      <c r="BL147" s="710"/>
      <c r="BM147" s="710"/>
      <c r="BN147" s="710"/>
      <c r="BO147" s="710"/>
      <c r="BP147" s="710"/>
      <c r="BQ147" s="710"/>
      <c r="BR147" s="710"/>
      <c r="BS147" s="710"/>
      <c r="BT147" s="710"/>
    </row>
    <row r="148" spans="1:72" ht="15.75">
      <c r="A148" s="545"/>
      <c r="B148" s="545"/>
      <c r="C148" s="545"/>
      <c r="D148" s="545"/>
      <c r="E148" s="545"/>
      <c r="F148" s="545"/>
      <c r="G148" s="545"/>
      <c r="H148" s="545"/>
      <c r="I148" s="545"/>
      <c r="J148" s="545"/>
      <c r="K148" s="545"/>
      <c r="L148" s="545"/>
      <c r="M148" s="545"/>
      <c r="N148" s="545"/>
      <c r="O148" s="545"/>
      <c r="P148" s="545"/>
      <c r="Q148" s="545"/>
      <c r="R148" s="545"/>
      <c r="S148" s="576"/>
      <c r="T148" s="576"/>
      <c r="U148" s="576"/>
      <c r="V148" s="576"/>
      <c r="W148" s="545"/>
      <c r="X148" s="545"/>
      <c r="Y148" s="576"/>
      <c r="Z148" s="576"/>
      <c r="AA148" s="545"/>
      <c r="AB148" s="545"/>
      <c r="AC148" s="545"/>
      <c r="AD148" s="576"/>
      <c r="AE148" s="576"/>
      <c r="AF148" s="576"/>
      <c r="AG148" s="576"/>
      <c r="AH148" s="576"/>
      <c r="AI148" s="576"/>
      <c r="AJ148" s="576"/>
      <c r="AK148" s="576"/>
      <c r="AL148" s="576"/>
      <c r="AM148" s="576"/>
      <c r="AN148" s="576"/>
      <c r="AO148" s="576"/>
      <c r="AP148" s="576"/>
      <c r="AQ148" s="576"/>
      <c r="AR148" s="576"/>
      <c r="AS148" s="576"/>
      <c r="AT148" s="576"/>
      <c r="AU148" s="576"/>
      <c r="AV148" s="576"/>
      <c r="AW148" s="576"/>
      <c r="AX148" s="576"/>
      <c r="AY148" s="576"/>
      <c r="AZ148" s="576"/>
      <c r="BA148" s="576"/>
      <c r="BB148" s="576"/>
      <c r="BC148" s="576"/>
      <c r="BD148" s="572"/>
      <c r="BE148" s="710"/>
      <c r="BF148" s="710"/>
      <c r="BG148" s="710"/>
      <c r="BH148" s="710"/>
      <c r="BI148" s="710"/>
      <c r="BJ148" s="710"/>
      <c r="BK148" s="710"/>
      <c r="BL148" s="710"/>
      <c r="BM148" s="710"/>
      <c r="BN148" s="710"/>
      <c r="BO148" s="710"/>
      <c r="BP148" s="710"/>
      <c r="BQ148" s="710"/>
      <c r="BR148" s="710"/>
      <c r="BS148" s="710"/>
      <c r="BT148" s="710"/>
    </row>
    <row r="149" spans="1:72" ht="15.75">
      <c r="A149" s="545"/>
      <c r="B149" s="545"/>
      <c r="C149" s="545"/>
      <c r="D149" s="545"/>
      <c r="E149" s="545"/>
      <c r="F149" s="545"/>
      <c r="G149" s="545"/>
      <c r="H149" s="545"/>
      <c r="I149" s="545"/>
      <c r="J149" s="545"/>
      <c r="K149" s="545"/>
      <c r="L149" s="545"/>
      <c r="M149" s="545"/>
      <c r="N149" s="545"/>
      <c r="O149" s="545"/>
      <c r="P149" s="545"/>
      <c r="Q149" s="545"/>
      <c r="R149" s="545"/>
      <c r="S149" s="576"/>
      <c r="T149" s="576"/>
      <c r="U149" s="576"/>
      <c r="V149" s="576"/>
      <c r="W149" s="545"/>
      <c r="X149" s="545"/>
      <c r="Y149" s="576"/>
      <c r="Z149" s="576"/>
      <c r="AA149" s="545"/>
      <c r="AB149" s="545"/>
      <c r="AC149" s="545"/>
      <c r="AD149" s="576"/>
      <c r="AE149" s="576"/>
      <c r="AF149" s="576"/>
      <c r="AG149" s="576"/>
      <c r="AH149" s="576"/>
      <c r="AI149" s="576"/>
      <c r="AJ149" s="576"/>
      <c r="AK149" s="576"/>
      <c r="AL149" s="576"/>
      <c r="AM149" s="576"/>
      <c r="AN149" s="576"/>
      <c r="AO149" s="576"/>
      <c r="AP149" s="576"/>
      <c r="AQ149" s="576"/>
      <c r="AR149" s="576"/>
      <c r="AS149" s="576"/>
      <c r="AT149" s="576"/>
      <c r="AU149" s="576"/>
      <c r="AV149" s="576"/>
      <c r="AW149" s="576"/>
      <c r="AX149" s="576"/>
      <c r="AY149" s="576"/>
      <c r="AZ149" s="576"/>
      <c r="BA149" s="576"/>
      <c r="BB149" s="576"/>
      <c r="BC149" s="576"/>
      <c r="BD149" s="572"/>
      <c r="BE149" s="710"/>
      <c r="BF149" s="710"/>
      <c r="BG149" s="710"/>
      <c r="BH149" s="710"/>
      <c r="BI149" s="710"/>
      <c r="BJ149" s="710"/>
      <c r="BK149" s="710"/>
      <c r="BL149" s="710"/>
      <c r="BM149" s="710"/>
      <c r="BN149" s="710"/>
      <c r="BO149" s="710"/>
      <c r="BP149" s="710"/>
      <c r="BQ149" s="710"/>
      <c r="BR149" s="710"/>
      <c r="BS149" s="710"/>
      <c r="BT149" s="710"/>
    </row>
    <row r="150" spans="1:72" ht="15.75">
      <c r="A150" s="545"/>
      <c r="B150" s="545"/>
      <c r="C150" s="545"/>
      <c r="D150" s="545"/>
      <c r="E150" s="545"/>
      <c r="F150" s="545"/>
      <c r="G150" s="545"/>
      <c r="H150" s="545"/>
      <c r="I150" s="545"/>
      <c r="J150" s="545"/>
      <c r="K150" s="545"/>
      <c r="L150" s="545"/>
      <c r="M150" s="545"/>
      <c r="N150" s="545"/>
      <c r="O150" s="545"/>
      <c r="P150" s="545"/>
      <c r="Q150" s="545"/>
      <c r="R150" s="545"/>
      <c r="S150" s="576"/>
      <c r="T150" s="576"/>
      <c r="U150" s="576"/>
      <c r="V150" s="576"/>
      <c r="W150" s="545"/>
      <c r="X150" s="545"/>
      <c r="Y150" s="576"/>
      <c r="Z150" s="576"/>
      <c r="AA150" s="545"/>
      <c r="AB150" s="545"/>
      <c r="AC150" s="545"/>
      <c r="AD150" s="576"/>
      <c r="AE150" s="576"/>
      <c r="AF150" s="576"/>
      <c r="AG150" s="576"/>
      <c r="AH150" s="576"/>
      <c r="AI150" s="576"/>
      <c r="AJ150" s="576"/>
      <c r="AK150" s="576"/>
      <c r="AL150" s="576"/>
      <c r="AM150" s="576"/>
      <c r="AN150" s="576"/>
      <c r="AO150" s="576"/>
      <c r="AP150" s="576"/>
      <c r="AQ150" s="576"/>
      <c r="AR150" s="576"/>
      <c r="AS150" s="576"/>
      <c r="AT150" s="576"/>
      <c r="AU150" s="576"/>
      <c r="AV150" s="576"/>
      <c r="AW150" s="576"/>
      <c r="AX150" s="576"/>
      <c r="AY150" s="576"/>
      <c r="AZ150" s="576"/>
      <c r="BA150" s="576"/>
      <c r="BB150" s="576"/>
      <c r="BC150" s="576"/>
      <c r="BD150" s="572"/>
      <c r="BE150" s="710"/>
      <c r="BF150" s="710"/>
      <c r="BG150" s="710"/>
      <c r="BH150" s="710"/>
      <c r="BI150" s="710"/>
      <c r="BJ150" s="710"/>
      <c r="BK150" s="710"/>
      <c r="BL150" s="710"/>
      <c r="BM150" s="710"/>
      <c r="BN150" s="710"/>
      <c r="BO150" s="710"/>
      <c r="BP150" s="710"/>
      <c r="BQ150" s="710"/>
      <c r="BR150" s="710"/>
      <c r="BS150" s="710"/>
      <c r="BT150" s="710"/>
    </row>
    <row r="151" spans="1:72" ht="15.75">
      <c r="A151" s="545"/>
      <c r="B151" s="545"/>
      <c r="C151" s="545"/>
      <c r="D151" s="545"/>
      <c r="E151" s="545"/>
      <c r="F151" s="545"/>
      <c r="G151" s="545"/>
      <c r="H151" s="545"/>
      <c r="I151" s="545"/>
      <c r="J151" s="545"/>
      <c r="K151" s="545"/>
      <c r="L151" s="545"/>
      <c r="M151" s="545"/>
      <c r="N151" s="545"/>
      <c r="O151" s="545"/>
      <c r="P151" s="545"/>
      <c r="Q151" s="545"/>
      <c r="R151" s="545"/>
      <c r="S151" s="576"/>
      <c r="T151" s="576"/>
      <c r="U151" s="576"/>
      <c r="V151" s="576"/>
      <c r="W151" s="545"/>
      <c r="X151" s="545"/>
      <c r="Y151" s="576"/>
      <c r="Z151" s="576"/>
      <c r="AA151" s="545"/>
      <c r="AB151" s="545"/>
      <c r="AC151" s="545"/>
      <c r="AD151" s="576"/>
      <c r="AE151" s="576"/>
      <c r="AF151" s="576"/>
      <c r="AG151" s="576"/>
      <c r="AH151" s="576"/>
      <c r="AI151" s="576"/>
      <c r="AJ151" s="576"/>
      <c r="AK151" s="576"/>
      <c r="AL151" s="576"/>
      <c r="AM151" s="576"/>
      <c r="AN151" s="576"/>
      <c r="AO151" s="576"/>
      <c r="AP151" s="576"/>
      <c r="AQ151" s="576"/>
      <c r="AR151" s="576"/>
      <c r="AS151" s="576"/>
      <c r="AT151" s="576"/>
      <c r="AU151" s="576"/>
      <c r="AV151" s="576"/>
      <c r="AW151" s="576"/>
      <c r="AX151" s="576"/>
      <c r="AY151" s="576"/>
      <c r="AZ151" s="576"/>
      <c r="BA151" s="576"/>
      <c r="BB151" s="576"/>
      <c r="BC151" s="576"/>
      <c r="BD151" s="572"/>
      <c r="BE151" s="710"/>
      <c r="BF151" s="710"/>
      <c r="BG151" s="710"/>
      <c r="BH151" s="710"/>
      <c r="BI151" s="710"/>
      <c r="BJ151" s="710"/>
      <c r="BK151" s="710"/>
      <c r="BL151" s="710"/>
      <c r="BM151" s="710"/>
      <c r="BN151" s="710"/>
      <c r="BO151" s="710"/>
      <c r="BP151" s="710"/>
      <c r="BQ151" s="710"/>
      <c r="BR151" s="710"/>
      <c r="BS151" s="710"/>
      <c r="BT151" s="710"/>
    </row>
    <row r="152" spans="1:72" ht="15.75">
      <c r="A152" s="545"/>
      <c r="B152" s="545"/>
      <c r="C152" s="545"/>
      <c r="D152" s="545"/>
      <c r="E152" s="545"/>
      <c r="F152" s="545"/>
      <c r="G152" s="545"/>
      <c r="H152" s="545"/>
      <c r="I152" s="545"/>
      <c r="J152" s="545"/>
      <c r="K152" s="545"/>
      <c r="L152" s="545"/>
      <c r="M152" s="545"/>
      <c r="N152" s="545"/>
      <c r="O152" s="545"/>
      <c r="P152" s="545"/>
      <c r="Q152" s="545"/>
      <c r="R152" s="545"/>
      <c r="S152" s="576"/>
      <c r="T152" s="576"/>
      <c r="U152" s="576"/>
      <c r="V152" s="576"/>
      <c r="W152" s="545"/>
      <c r="X152" s="545"/>
      <c r="Y152" s="576"/>
      <c r="Z152" s="576"/>
      <c r="AA152" s="545"/>
      <c r="AB152" s="545"/>
      <c r="AC152" s="545"/>
      <c r="AD152" s="576"/>
      <c r="AE152" s="576"/>
      <c r="AF152" s="576"/>
      <c r="AG152" s="576"/>
      <c r="AH152" s="576"/>
      <c r="AI152" s="576"/>
      <c r="AJ152" s="576"/>
      <c r="AK152" s="576"/>
      <c r="AL152" s="576"/>
      <c r="AM152" s="576"/>
      <c r="AN152" s="576"/>
      <c r="AO152" s="576"/>
      <c r="AP152" s="576"/>
      <c r="AQ152" s="576"/>
      <c r="AR152" s="576"/>
      <c r="AS152" s="576"/>
      <c r="AT152" s="576"/>
      <c r="AU152" s="576"/>
      <c r="AV152" s="576"/>
      <c r="AW152" s="576"/>
      <c r="AX152" s="576"/>
      <c r="AY152" s="576"/>
      <c r="AZ152" s="576"/>
      <c r="BA152" s="576"/>
      <c r="BB152" s="576"/>
      <c r="BC152" s="576"/>
      <c r="BD152" s="572"/>
      <c r="BE152" s="710"/>
      <c r="BF152" s="710"/>
      <c r="BG152" s="710"/>
      <c r="BH152" s="710"/>
      <c r="BI152" s="710"/>
      <c r="BJ152" s="710"/>
      <c r="BK152" s="710"/>
      <c r="BL152" s="710"/>
      <c r="BM152" s="710"/>
      <c r="BN152" s="710"/>
      <c r="BO152" s="710"/>
      <c r="BP152" s="710"/>
      <c r="BQ152" s="710"/>
      <c r="BR152" s="710"/>
      <c r="BS152" s="710"/>
      <c r="BT152" s="710"/>
    </row>
    <row r="153" spans="1:72" ht="15.75">
      <c r="A153" s="545"/>
      <c r="B153" s="545"/>
      <c r="C153" s="545"/>
      <c r="D153" s="545"/>
      <c r="E153" s="545"/>
      <c r="F153" s="545"/>
      <c r="G153" s="545"/>
      <c r="H153" s="545"/>
      <c r="I153" s="545"/>
      <c r="J153" s="545"/>
      <c r="K153" s="545"/>
      <c r="L153" s="545"/>
      <c r="M153" s="545"/>
      <c r="N153" s="545"/>
      <c r="O153" s="545"/>
      <c r="P153" s="545"/>
      <c r="Q153" s="545"/>
      <c r="R153" s="545"/>
      <c r="S153" s="576"/>
      <c r="T153" s="576"/>
      <c r="U153" s="576"/>
      <c r="V153" s="576"/>
      <c r="W153" s="545"/>
      <c r="X153" s="545"/>
      <c r="Y153" s="576"/>
      <c r="Z153" s="576"/>
      <c r="AA153" s="545"/>
      <c r="AB153" s="545"/>
      <c r="AC153" s="545"/>
      <c r="AD153" s="576"/>
      <c r="AE153" s="576"/>
      <c r="AF153" s="576"/>
      <c r="AG153" s="576"/>
      <c r="AH153" s="576"/>
      <c r="AI153" s="576"/>
      <c r="AJ153" s="576"/>
      <c r="AK153" s="576"/>
      <c r="AL153" s="576"/>
      <c r="AM153" s="576"/>
      <c r="AN153" s="576"/>
      <c r="AO153" s="576"/>
      <c r="AP153" s="576"/>
      <c r="AQ153" s="576"/>
      <c r="AR153" s="576"/>
      <c r="AS153" s="576"/>
      <c r="AT153" s="576"/>
      <c r="AU153" s="576"/>
      <c r="AV153" s="576"/>
      <c r="AW153" s="576"/>
      <c r="AX153" s="576"/>
      <c r="AY153" s="576"/>
      <c r="AZ153" s="576"/>
      <c r="BA153" s="576"/>
      <c r="BB153" s="576"/>
      <c r="BC153" s="576"/>
      <c r="BD153" s="572"/>
      <c r="BE153" s="710"/>
      <c r="BF153" s="710"/>
      <c r="BG153" s="710"/>
      <c r="BH153" s="710"/>
      <c r="BI153" s="710"/>
      <c r="BJ153" s="710"/>
      <c r="BK153" s="710"/>
      <c r="BL153" s="710"/>
      <c r="BM153" s="710"/>
      <c r="BN153" s="710"/>
      <c r="BO153" s="710"/>
      <c r="BP153" s="710"/>
      <c r="BQ153" s="710"/>
      <c r="BR153" s="710"/>
      <c r="BS153" s="710"/>
      <c r="BT153" s="710"/>
    </row>
    <row r="154" spans="1:72" ht="15.75">
      <c r="A154" s="545"/>
      <c r="B154" s="545"/>
      <c r="C154" s="545"/>
      <c r="D154" s="545"/>
      <c r="E154" s="545"/>
      <c r="F154" s="545"/>
      <c r="G154" s="545"/>
      <c r="H154" s="545"/>
      <c r="I154" s="545"/>
      <c r="J154" s="545"/>
      <c r="K154" s="545"/>
      <c r="L154" s="545"/>
      <c r="M154" s="545"/>
      <c r="N154" s="545"/>
      <c r="O154" s="545"/>
      <c r="P154" s="545"/>
      <c r="Q154" s="545"/>
      <c r="R154" s="545"/>
      <c r="S154" s="576"/>
      <c r="T154" s="576"/>
      <c r="U154" s="576"/>
      <c r="V154" s="576"/>
      <c r="W154" s="545"/>
      <c r="X154" s="545"/>
      <c r="Y154" s="576"/>
      <c r="Z154" s="576"/>
      <c r="AA154" s="545"/>
      <c r="AB154" s="545"/>
      <c r="AC154" s="545"/>
      <c r="AD154" s="576"/>
      <c r="AE154" s="576"/>
      <c r="AF154" s="576"/>
      <c r="AG154" s="576"/>
      <c r="AH154" s="576"/>
      <c r="AI154" s="576"/>
      <c r="AJ154" s="576"/>
      <c r="AK154" s="576"/>
      <c r="AL154" s="576"/>
      <c r="AM154" s="576"/>
      <c r="AN154" s="576"/>
      <c r="AO154" s="576"/>
      <c r="AP154" s="576"/>
      <c r="AQ154" s="576"/>
      <c r="AR154" s="576"/>
      <c r="AS154" s="576"/>
      <c r="AT154" s="576"/>
      <c r="AU154" s="576"/>
      <c r="AV154" s="576"/>
      <c r="AW154" s="576"/>
      <c r="AX154" s="576"/>
      <c r="AY154" s="576"/>
      <c r="AZ154" s="576"/>
      <c r="BA154" s="576"/>
      <c r="BB154" s="576"/>
      <c r="BC154" s="576"/>
      <c r="BD154" s="572"/>
      <c r="BE154" s="710"/>
      <c r="BF154" s="710"/>
      <c r="BG154" s="710"/>
      <c r="BH154" s="710"/>
      <c r="BI154" s="710"/>
      <c r="BJ154" s="710"/>
      <c r="BK154" s="710"/>
      <c r="BL154" s="710"/>
      <c r="BM154" s="710"/>
      <c r="BN154" s="710"/>
      <c r="BO154" s="710"/>
      <c r="BP154" s="710"/>
      <c r="BQ154" s="710"/>
      <c r="BR154" s="710"/>
      <c r="BS154" s="710"/>
      <c r="BT154" s="710"/>
    </row>
    <row r="155" spans="1:72" ht="15.75">
      <c r="A155" s="545"/>
      <c r="B155" s="545"/>
      <c r="C155" s="545"/>
      <c r="D155" s="545"/>
      <c r="E155" s="545"/>
      <c r="F155" s="545"/>
      <c r="G155" s="545"/>
      <c r="H155" s="545"/>
      <c r="I155" s="545"/>
      <c r="J155" s="545"/>
      <c r="K155" s="545"/>
      <c r="L155" s="545"/>
      <c r="M155" s="545"/>
      <c r="N155" s="545"/>
      <c r="O155" s="545"/>
      <c r="P155" s="545"/>
      <c r="Q155" s="545"/>
      <c r="R155" s="545"/>
      <c r="S155" s="576"/>
      <c r="T155" s="576"/>
      <c r="U155" s="576"/>
      <c r="V155" s="576"/>
      <c r="W155" s="545"/>
      <c r="X155" s="545"/>
      <c r="Y155" s="576"/>
      <c r="Z155" s="576"/>
      <c r="AA155" s="545"/>
      <c r="AB155" s="545"/>
      <c r="AC155" s="545"/>
      <c r="AD155" s="576"/>
      <c r="AE155" s="576"/>
      <c r="AF155" s="576"/>
      <c r="AG155" s="576"/>
      <c r="AH155" s="576"/>
      <c r="AI155" s="576"/>
      <c r="AJ155" s="576"/>
      <c r="AK155" s="576"/>
      <c r="AL155" s="576"/>
      <c r="AM155" s="576"/>
      <c r="AN155" s="576"/>
      <c r="AO155" s="576"/>
      <c r="AP155" s="576"/>
      <c r="AQ155" s="576"/>
      <c r="AR155" s="576"/>
      <c r="AS155" s="576"/>
      <c r="AT155" s="576"/>
      <c r="AU155" s="576"/>
      <c r="AV155" s="576"/>
      <c r="AW155" s="576"/>
      <c r="AX155" s="576"/>
      <c r="AY155" s="576"/>
      <c r="AZ155" s="576"/>
      <c r="BA155" s="576"/>
      <c r="BB155" s="576"/>
      <c r="BC155" s="576"/>
      <c r="BD155" s="572"/>
      <c r="BE155" s="710"/>
      <c r="BF155" s="710"/>
      <c r="BG155" s="710"/>
      <c r="BH155" s="710"/>
      <c r="BI155" s="710"/>
      <c r="BJ155" s="710"/>
      <c r="BK155" s="710"/>
      <c r="BL155" s="710"/>
      <c r="BM155" s="710"/>
      <c r="BN155" s="710"/>
      <c r="BO155" s="710"/>
      <c r="BP155" s="710"/>
      <c r="BQ155" s="710"/>
      <c r="BR155" s="710"/>
      <c r="BS155" s="710"/>
      <c r="BT155" s="710"/>
    </row>
    <row r="156" spans="1:72" ht="15.75">
      <c r="A156" s="545"/>
      <c r="B156" s="545"/>
      <c r="C156" s="545"/>
      <c r="D156" s="545"/>
      <c r="E156" s="545"/>
      <c r="F156" s="545"/>
      <c r="G156" s="545"/>
      <c r="H156" s="545"/>
      <c r="I156" s="545"/>
      <c r="J156" s="545"/>
      <c r="K156" s="545"/>
      <c r="L156" s="545"/>
      <c r="M156" s="545"/>
      <c r="N156" s="545"/>
      <c r="O156" s="545"/>
      <c r="P156" s="545"/>
      <c r="Q156" s="545"/>
      <c r="R156" s="545"/>
      <c r="S156" s="576"/>
      <c r="T156" s="576"/>
      <c r="U156" s="576"/>
      <c r="V156" s="576"/>
      <c r="W156" s="545"/>
      <c r="X156" s="545"/>
      <c r="Y156" s="576"/>
      <c r="Z156" s="576"/>
      <c r="AA156" s="545"/>
      <c r="AB156" s="545"/>
      <c r="AC156" s="545"/>
      <c r="AD156" s="576"/>
      <c r="AE156" s="576"/>
      <c r="AF156" s="576"/>
      <c r="AG156" s="576"/>
      <c r="AH156" s="576"/>
      <c r="AI156" s="576"/>
      <c r="AJ156" s="576"/>
      <c r="AK156" s="576"/>
      <c r="AL156" s="576"/>
      <c r="AM156" s="576"/>
      <c r="AN156" s="576"/>
      <c r="AO156" s="576"/>
      <c r="AP156" s="576"/>
      <c r="AQ156" s="576"/>
      <c r="AR156" s="576"/>
      <c r="AS156" s="576"/>
      <c r="AT156" s="576"/>
      <c r="AU156" s="576"/>
      <c r="AV156" s="576"/>
      <c r="AW156" s="576"/>
      <c r="AX156" s="576"/>
      <c r="AY156" s="576"/>
      <c r="AZ156" s="576"/>
      <c r="BA156" s="576"/>
      <c r="BB156" s="576"/>
      <c r="BC156" s="576"/>
      <c r="BD156" s="572"/>
      <c r="BE156" s="710"/>
      <c r="BF156" s="710"/>
      <c r="BG156" s="710"/>
      <c r="BH156" s="710"/>
      <c r="BI156" s="710"/>
      <c r="BJ156" s="710"/>
      <c r="BK156" s="710"/>
      <c r="BL156" s="710"/>
      <c r="BM156" s="710"/>
      <c r="BN156" s="710"/>
      <c r="BO156" s="710"/>
      <c r="BP156" s="710"/>
      <c r="BQ156" s="710"/>
      <c r="BR156" s="710"/>
      <c r="BS156" s="710"/>
      <c r="BT156" s="710"/>
    </row>
    <row r="157" spans="1:72" ht="15.75">
      <c r="A157" s="545"/>
      <c r="B157" s="545"/>
      <c r="C157" s="545"/>
      <c r="D157" s="545"/>
      <c r="E157" s="545"/>
      <c r="F157" s="545"/>
      <c r="G157" s="545"/>
      <c r="H157" s="545"/>
      <c r="I157" s="545"/>
      <c r="J157" s="545"/>
      <c r="K157" s="545"/>
      <c r="L157" s="545"/>
      <c r="M157" s="545"/>
      <c r="N157" s="545"/>
      <c r="O157" s="545"/>
      <c r="P157" s="545"/>
      <c r="Q157" s="545"/>
      <c r="R157" s="545"/>
      <c r="S157" s="576"/>
      <c r="T157" s="576"/>
      <c r="U157" s="576"/>
      <c r="V157" s="576"/>
      <c r="W157" s="545"/>
      <c r="X157" s="545"/>
      <c r="Y157" s="576"/>
      <c r="Z157" s="576"/>
      <c r="AA157" s="545"/>
      <c r="AB157" s="545"/>
      <c r="AC157" s="545"/>
      <c r="AD157" s="576"/>
      <c r="AE157" s="576"/>
      <c r="AF157" s="576"/>
      <c r="AG157" s="576"/>
      <c r="AH157" s="576"/>
      <c r="AI157" s="576"/>
      <c r="AJ157" s="576"/>
      <c r="AK157" s="576"/>
      <c r="AL157" s="576"/>
      <c r="AM157" s="576"/>
      <c r="AN157" s="576"/>
      <c r="AO157" s="576"/>
      <c r="AP157" s="576"/>
      <c r="AQ157" s="576"/>
      <c r="AR157" s="576"/>
      <c r="AS157" s="576"/>
      <c r="AT157" s="576"/>
      <c r="AU157" s="576"/>
      <c r="AV157" s="576"/>
      <c r="AW157" s="576"/>
      <c r="AX157" s="576"/>
      <c r="AY157" s="576"/>
      <c r="AZ157" s="576"/>
      <c r="BA157" s="576"/>
      <c r="BB157" s="576"/>
      <c r="BC157" s="576"/>
      <c r="BD157" s="572"/>
      <c r="BE157" s="710"/>
      <c r="BF157" s="710"/>
      <c r="BG157" s="710"/>
      <c r="BH157" s="710"/>
      <c r="BI157" s="710"/>
      <c r="BJ157" s="710"/>
      <c r="BK157" s="710"/>
      <c r="BL157" s="710"/>
      <c r="BM157" s="710"/>
      <c r="BN157" s="710"/>
      <c r="BO157" s="710"/>
      <c r="BP157" s="710"/>
      <c r="BQ157" s="710"/>
      <c r="BR157" s="710"/>
      <c r="BS157" s="710"/>
      <c r="BT157" s="710"/>
    </row>
    <row r="158" spans="1:72" ht="15.75">
      <c r="A158" s="545"/>
      <c r="B158" s="545"/>
      <c r="C158" s="545"/>
      <c r="D158" s="545"/>
      <c r="E158" s="545"/>
      <c r="F158" s="545"/>
      <c r="G158" s="545"/>
      <c r="H158" s="545"/>
      <c r="I158" s="545"/>
      <c r="J158" s="545"/>
      <c r="K158" s="545"/>
      <c r="L158" s="545"/>
      <c r="M158" s="545"/>
      <c r="N158" s="545"/>
      <c r="O158" s="545"/>
      <c r="P158" s="545"/>
      <c r="Q158" s="545"/>
      <c r="R158" s="545"/>
      <c r="S158" s="576"/>
      <c r="T158" s="576"/>
      <c r="U158" s="576"/>
      <c r="V158" s="576"/>
      <c r="W158" s="545"/>
      <c r="X158" s="545"/>
      <c r="Y158" s="576"/>
      <c r="Z158" s="576"/>
      <c r="AA158" s="545"/>
      <c r="AB158" s="545"/>
      <c r="AC158" s="545"/>
      <c r="AD158" s="576"/>
      <c r="AE158" s="576"/>
      <c r="AF158" s="576"/>
      <c r="AG158" s="576"/>
      <c r="AH158" s="576"/>
      <c r="AI158" s="576"/>
      <c r="AJ158" s="576"/>
      <c r="AK158" s="576"/>
      <c r="AL158" s="576"/>
      <c r="AM158" s="576"/>
      <c r="AN158" s="576"/>
      <c r="AO158" s="576"/>
      <c r="AP158" s="576"/>
      <c r="AQ158" s="576"/>
      <c r="AR158" s="576"/>
      <c r="AS158" s="576"/>
      <c r="AT158" s="576"/>
      <c r="AU158" s="576"/>
      <c r="AV158" s="576"/>
      <c r="AW158" s="576"/>
      <c r="AX158" s="576"/>
      <c r="AY158" s="576"/>
      <c r="AZ158" s="576"/>
      <c r="BA158" s="576"/>
      <c r="BB158" s="576"/>
      <c r="BC158" s="576"/>
      <c r="BD158" s="572"/>
      <c r="BE158" s="710"/>
      <c r="BF158" s="710"/>
      <c r="BG158" s="710"/>
      <c r="BH158" s="710"/>
      <c r="BI158" s="710"/>
      <c r="BJ158" s="710"/>
      <c r="BK158" s="710"/>
      <c r="BL158" s="710"/>
      <c r="BM158" s="710"/>
      <c r="BN158" s="710"/>
      <c r="BO158" s="710"/>
      <c r="BP158" s="710"/>
      <c r="BQ158" s="710"/>
      <c r="BR158" s="710"/>
      <c r="BS158" s="710"/>
      <c r="BT158" s="710"/>
    </row>
    <row r="159" spans="1:72" ht="15.75">
      <c r="A159" s="545"/>
      <c r="B159" s="545"/>
      <c r="C159" s="545"/>
      <c r="D159" s="545"/>
      <c r="E159" s="545"/>
      <c r="F159" s="545"/>
      <c r="G159" s="545"/>
      <c r="H159" s="545"/>
      <c r="I159" s="545"/>
      <c r="J159" s="545"/>
      <c r="K159" s="545"/>
      <c r="L159" s="545"/>
      <c r="M159" s="545"/>
      <c r="N159" s="545"/>
      <c r="O159" s="545"/>
      <c r="P159" s="545"/>
      <c r="Q159" s="545"/>
      <c r="R159" s="545"/>
      <c r="S159" s="576"/>
      <c r="T159" s="576"/>
      <c r="U159" s="576"/>
      <c r="V159" s="576"/>
      <c r="W159" s="545"/>
      <c r="X159" s="545"/>
      <c r="Y159" s="576"/>
      <c r="Z159" s="576"/>
      <c r="AA159" s="545"/>
      <c r="AB159" s="545"/>
      <c r="AC159" s="545"/>
      <c r="AD159" s="576"/>
      <c r="AE159" s="576"/>
      <c r="AF159" s="576"/>
      <c r="AG159" s="576"/>
      <c r="AH159" s="576"/>
      <c r="AI159" s="576"/>
      <c r="AJ159" s="576"/>
      <c r="AK159" s="576"/>
      <c r="AL159" s="576"/>
      <c r="AM159" s="576"/>
      <c r="AN159" s="576"/>
      <c r="AO159" s="576"/>
      <c r="AP159" s="576"/>
      <c r="AQ159" s="576"/>
      <c r="AR159" s="576"/>
      <c r="AS159" s="576"/>
      <c r="AT159" s="576"/>
      <c r="AU159" s="576"/>
      <c r="AV159" s="576"/>
      <c r="AW159" s="576"/>
      <c r="AX159" s="576"/>
      <c r="AY159" s="576"/>
      <c r="AZ159" s="576"/>
      <c r="BA159" s="576"/>
      <c r="BB159" s="576"/>
      <c r="BC159" s="576"/>
      <c r="BD159" s="572"/>
      <c r="BE159" s="710"/>
      <c r="BF159" s="710"/>
      <c r="BG159" s="710"/>
      <c r="BH159" s="710"/>
      <c r="BI159" s="710"/>
      <c r="BJ159" s="710"/>
      <c r="BK159" s="710"/>
      <c r="BL159" s="710"/>
      <c r="BM159" s="710"/>
      <c r="BN159" s="710"/>
      <c r="BO159" s="710"/>
      <c r="BP159" s="710"/>
      <c r="BQ159" s="710"/>
      <c r="BR159" s="710"/>
      <c r="BS159" s="710"/>
      <c r="BT159" s="710"/>
    </row>
    <row r="160" spans="1:72" ht="15.75">
      <c r="A160" s="545"/>
      <c r="B160" s="545"/>
      <c r="C160" s="545"/>
      <c r="D160" s="545"/>
      <c r="E160" s="545"/>
      <c r="F160" s="545"/>
      <c r="G160" s="545"/>
      <c r="H160" s="545"/>
      <c r="I160" s="545"/>
      <c r="J160" s="545"/>
      <c r="K160" s="545"/>
      <c r="L160" s="545"/>
      <c r="M160" s="545"/>
      <c r="N160" s="545"/>
      <c r="O160" s="545"/>
      <c r="P160" s="545"/>
      <c r="Q160" s="545"/>
      <c r="R160" s="545"/>
      <c r="S160" s="576"/>
      <c r="T160" s="576"/>
      <c r="U160" s="576"/>
      <c r="V160" s="576"/>
      <c r="W160" s="545"/>
      <c r="X160" s="545"/>
      <c r="Y160" s="576"/>
      <c r="Z160" s="576"/>
      <c r="AA160" s="545"/>
      <c r="AB160" s="545"/>
      <c r="AC160" s="545"/>
      <c r="AD160" s="576"/>
      <c r="AE160" s="576"/>
      <c r="AF160" s="576"/>
      <c r="AG160" s="576"/>
      <c r="AH160" s="576"/>
      <c r="AI160" s="576"/>
      <c r="AJ160" s="576"/>
      <c r="AK160" s="576"/>
      <c r="AL160" s="576"/>
      <c r="AM160" s="576"/>
      <c r="AN160" s="576"/>
      <c r="AO160" s="576"/>
      <c r="AP160" s="576"/>
      <c r="AQ160" s="576"/>
      <c r="AR160" s="576"/>
      <c r="AS160" s="576"/>
      <c r="AT160" s="576"/>
      <c r="AU160" s="576"/>
      <c r="AV160" s="576"/>
      <c r="AW160" s="576"/>
      <c r="AX160" s="576"/>
      <c r="AY160" s="576"/>
      <c r="AZ160" s="576"/>
      <c r="BA160" s="576"/>
      <c r="BB160" s="576"/>
      <c r="BC160" s="576"/>
      <c r="BD160" s="572"/>
      <c r="BE160" s="710"/>
      <c r="BF160" s="710"/>
      <c r="BG160" s="710"/>
      <c r="BH160" s="710"/>
      <c r="BI160" s="710"/>
      <c r="BJ160" s="710"/>
      <c r="BK160" s="710"/>
      <c r="BL160" s="710"/>
      <c r="BM160" s="710"/>
      <c r="BN160" s="710"/>
      <c r="BO160" s="710"/>
      <c r="BP160" s="710"/>
      <c r="BQ160" s="710"/>
      <c r="BR160" s="710"/>
      <c r="BS160" s="710"/>
      <c r="BT160" s="710"/>
    </row>
    <row r="161" spans="1:72" ht="15.75">
      <c r="A161" s="545"/>
      <c r="B161" s="545"/>
      <c r="C161" s="545"/>
      <c r="D161" s="545"/>
      <c r="E161" s="545"/>
      <c r="F161" s="545"/>
      <c r="G161" s="545"/>
      <c r="H161" s="545"/>
      <c r="I161" s="545"/>
      <c r="J161" s="545"/>
      <c r="K161" s="545"/>
      <c r="L161" s="545"/>
      <c r="M161" s="545"/>
      <c r="N161" s="545"/>
      <c r="O161" s="545"/>
      <c r="P161" s="545"/>
      <c r="Q161" s="545"/>
      <c r="R161" s="545"/>
      <c r="S161" s="576"/>
      <c r="T161" s="576"/>
      <c r="U161" s="576"/>
      <c r="V161" s="576"/>
      <c r="W161" s="545"/>
      <c r="X161" s="545"/>
      <c r="Y161" s="576"/>
      <c r="Z161" s="576"/>
      <c r="AA161" s="545"/>
      <c r="AB161" s="545"/>
      <c r="AC161" s="545"/>
      <c r="AD161" s="576"/>
      <c r="AE161" s="576"/>
      <c r="AF161" s="576"/>
      <c r="AG161" s="576"/>
      <c r="AH161" s="576"/>
      <c r="AI161" s="576"/>
      <c r="AJ161" s="576"/>
      <c r="AK161" s="576"/>
      <c r="AL161" s="576"/>
      <c r="AM161" s="576"/>
      <c r="AN161" s="576"/>
      <c r="AO161" s="576"/>
      <c r="AP161" s="576"/>
      <c r="AQ161" s="576"/>
      <c r="AR161" s="576"/>
      <c r="AS161" s="576"/>
      <c r="AT161" s="576"/>
      <c r="AU161" s="576"/>
      <c r="AV161" s="576"/>
      <c r="AW161" s="576"/>
      <c r="AX161" s="576"/>
      <c r="AY161" s="576"/>
      <c r="AZ161" s="576"/>
      <c r="BA161" s="576"/>
      <c r="BB161" s="576"/>
      <c r="BC161" s="576"/>
      <c r="BD161" s="572"/>
      <c r="BE161" s="710"/>
      <c r="BF161" s="710"/>
      <c r="BG161" s="710"/>
      <c r="BH161" s="710"/>
      <c r="BI161" s="710"/>
      <c r="BJ161" s="710"/>
      <c r="BK161" s="710"/>
      <c r="BL161" s="710"/>
      <c r="BM161" s="710"/>
      <c r="BN161" s="710"/>
      <c r="BO161" s="710"/>
      <c r="BP161" s="710"/>
      <c r="BQ161" s="710"/>
      <c r="BR161" s="710"/>
      <c r="BS161" s="710"/>
      <c r="BT161" s="710"/>
    </row>
    <row r="162" spans="1:72" ht="15.75">
      <c r="A162" s="545"/>
      <c r="B162" s="545"/>
      <c r="C162" s="545"/>
      <c r="D162" s="545"/>
      <c r="E162" s="545"/>
      <c r="F162" s="545"/>
      <c r="G162" s="545"/>
      <c r="H162" s="545"/>
      <c r="I162" s="545"/>
      <c r="J162" s="545"/>
      <c r="K162" s="545"/>
      <c r="L162" s="545"/>
      <c r="M162" s="545"/>
      <c r="N162" s="545"/>
      <c r="O162" s="545"/>
      <c r="P162" s="545"/>
      <c r="Q162" s="545"/>
      <c r="R162" s="545"/>
      <c r="S162" s="576"/>
      <c r="T162" s="576"/>
      <c r="U162" s="576"/>
      <c r="V162" s="576"/>
      <c r="W162" s="545"/>
      <c r="X162" s="545"/>
      <c r="Y162" s="576"/>
      <c r="Z162" s="576"/>
      <c r="AA162" s="545"/>
      <c r="AB162" s="545"/>
      <c r="AC162" s="545"/>
      <c r="AD162" s="576"/>
      <c r="AE162" s="576"/>
      <c r="AF162" s="576"/>
      <c r="AG162" s="576"/>
      <c r="AH162" s="576"/>
      <c r="AI162" s="576"/>
      <c r="AJ162" s="576"/>
      <c r="AK162" s="576"/>
      <c r="AL162" s="576"/>
      <c r="AM162" s="576"/>
      <c r="AN162" s="576"/>
      <c r="AO162" s="576"/>
      <c r="AP162" s="576"/>
      <c r="AQ162" s="576"/>
      <c r="AR162" s="576"/>
      <c r="AS162" s="576"/>
      <c r="AT162" s="576"/>
      <c r="AU162" s="576"/>
      <c r="AV162" s="576"/>
      <c r="AW162" s="576"/>
      <c r="AX162" s="576"/>
      <c r="AY162" s="576"/>
      <c r="AZ162" s="576"/>
      <c r="BA162" s="576"/>
      <c r="BB162" s="576"/>
      <c r="BC162" s="576"/>
      <c r="BD162" s="572"/>
      <c r="BE162" s="710"/>
      <c r="BF162" s="710"/>
      <c r="BG162" s="710"/>
      <c r="BH162" s="710"/>
      <c r="BI162" s="710"/>
      <c r="BJ162" s="710"/>
      <c r="BK162" s="710"/>
      <c r="BL162" s="710"/>
      <c r="BM162" s="710"/>
      <c r="BN162" s="710"/>
      <c r="BO162" s="710"/>
      <c r="BP162" s="710"/>
      <c r="BQ162" s="710"/>
      <c r="BR162" s="710"/>
      <c r="BS162" s="710"/>
      <c r="BT162" s="710"/>
    </row>
    <row r="163" spans="1:72" ht="15.75">
      <c r="A163" s="545"/>
      <c r="B163" s="545"/>
      <c r="C163" s="545"/>
      <c r="D163" s="545"/>
      <c r="E163" s="545"/>
      <c r="F163" s="545"/>
      <c r="G163" s="545"/>
      <c r="H163" s="545"/>
      <c r="I163" s="545"/>
      <c r="J163" s="545"/>
      <c r="K163" s="545"/>
      <c r="L163" s="545"/>
      <c r="M163" s="545"/>
      <c r="N163" s="545"/>
      <c r="O163" s="545"/>
      <c r="P163" s="545"/>
      <c r="Q163" s="545"/>
      <c r="R163" s="545"/>
      <c r="S163" s="576"/>
      <c r="T163" s="576"/>
      <c r="U163" s="576"/>
      <c r="V163" s="576"/>
      <c r="W163" s="545"/>
      <c r="X163" s="545"/>
      <c r="Y163" s="576"/>
      <c r="Z163" s="576"/>
      <c r="AA163" s="545"/>
      <c r="AB163" s="545"/>
      <c r="AC163" s="545"/>
      <c r="AD163" s="576"/>
      <c r="AE163" s="576"/>
      <c r="AF163" s="576"/>
      <c r="AG163" s="576"/>
      <c r="AH163" s="576"/>
      <c r="AI163" s="576"/>
      <c r="AJ163" s="576"/>
      <c r="AK163" s="576"/>
      <c r="AL163" s="576"/>
      <c r="AM163" s="576"/>
      <c r="AN163" s="576"/>
      <c r="AO163" s="576"/>
      <c r="AP163" s="576"/>
      <c r="AQ163" s="576"/>
      <c r="AR163" s="576"/>
      <c r="AS163" s="576"/>
      <c r="AT163" s="576"/>
      <c r="AU163" s="576"/>
      <c r="AV163" s="576"/>
      <c r="AW163" s="576"/>
      <c r="AX163" s="576"/>
      <c r="AY163" s="576"/>
      <c r="AZ163" s="576"/>
      <c r="BA163" s="576"/>
      <c r="BB163" s="576"/>
      <c r="BC163" s="576"/>
      <c r="BD163" s="572"/>
      <c r="BE163" s="710"/>
      <c r="BF163" s="710"/>
      <c r="BG163" s="710"/>
      <c r="BH163" s="710"/>
      <c r="BI163" s="710"/>
      <c r="BJ163" s="710"/>
      <c r="BK163" s="710"/>
      <c r="BL163" s="710"/>
      <c r="BM163" s="710"/>
      <c r="BN163" s="710"/>
      <c r="BO163" s="710"/>
      <c r="BP163" s="710"/>
      <c r="BQ163" s="710"/>
      <c r="BR163" s="710"/>
      <c r="BS163" s="710"/>
      <c r="BT163" s="710"/>
    </row>
    <row r="164" spans="1:72" ht="15.75">
      <c r="A164" s="545"/>
      <c r="B164" s="545"/>
      <c r="C164" s="545"/>
      <c r="D164" s="545"/>
      <c r="E164" s="545"/>
      <c r="F164" s="545"/>
      <c r="G164" s="545"/>
      <c r="H164" s="545"/>
      <c r="I164" s="545"/>
      <c r="J164" s="545"/>
      <c r="K164" s="545"/>
      <c r="L164" s="545"/>
      <c r="M164" s="545"/>
      <c r="N164" s="545"/>
      <c r="O164" s="545"/>
      <c r="P164" s="545"/>
      <c r="Q164" s="545"/>
      <c r="R164" s="545"/>
      <c r="S164" s="576"/>
      <c r="T164" s="576"/>
      <c r="U164" s="576"/>
      <c r="V164" s="576"/>
      <c r="W164" s="545"/>
      <c r="X164" s="545"/>
      <c r="Y164" s="576"/>
      <c r="Z164" s="576"/>
      <c r="AA164" s="545"/>
      <c r="AB164" s="545"/>
      <c r="AC164" s="545"/>
      <c r="AD164" s="576"/>
      <c r="AE164" s="576"/>
      <c r="AF164" s="576"/>
      <c r="AG164" s="576"/>
      <c r="AH164" s="576"/>
      <c r="AI164" s="576"/>
      <c r="AJ164" s="576"/>
      <c r="AK164" s="576"/>
      <c r="AL164" s="576"/>
      <c r="AM164" s="576"/>
      <c r="AN164" s="576"/>
      <c r="AO164" s="576"/>
      <c r="AP164" s="576"/>
      <c r="AQ164" s="576"/>
      <c r="AR164" s="576"/>
      <c r="AS164" s="576"/>
      <c r="AT164" s="576"/>
      <c r="AU164" s="576"/>
      <c r="AV164" s="576"/>
      <c r="AW164" s="576"/>
      <c r="AX164" s="576"/>
      <c r="AY164" s="576"/>
      <c r="AZ164" s="576"/>
      <c r="BA164" s="576"/>
      <c r="BB164" s="576"/>
      <c r="BC164" s="576"/>
      <c r="BD164" s="572"/>
      <c r="BE164" s="710"/>
      <c r="BF164" s="710"/>
      <c r="BG164" s="710"/>
      <c r="BH164" s="710"/>
      <c r="BI164" s="710"/>
      <c r="BJ164" s="710"/>
      <c r="BK164" s="710"/>
      <c r="BL164" s="710"/>
      <c r="BM164" s="710"/>
      <c r="BN164" s="710"/>
      <c r="BO164" s="710"/>
      <c r="BP164" s="710"/>
      <c r="BQ164" s="710"/>
      <c r="BR164" s="710"/>
      <c r="BS164" s="710"/>
      <c r="BT164" s="710"/>
    </row>
    <row r="165" spans="1:72" ht="15.75">
      <c r="A165" s="545"/>
      <c r="B165" s="545"/>
      <c r="C165" s="545"/>
      <c r="D165" s="545"/>
      <c r="E165" s="545"/>
      <c r="F165" s="545"/>
      <c r="G165" s="545"/>
      <c r="H165" s="545"/>
      <c r="I165" s="545"/>
      <c r="J165" s="545"/>
      <c r="K165" s="545"/>
      <c r="L165" s="545"/>
      <c r="M165" s="545"/>
      <c r="N165" s="545"/>
      <c r="O165" s="545"/>
      <c r="P165" s="545"/>
      <c r="Q165" s="545"/>
      <c r="R165" s="545"/>
      <c r="S165" s="576"/>
      <c r="T165" s="576"/>
      <c r="U165" s="576"/>
      <c r="V165" s="576"/>
      <c r="W165" s="545"/>
      <c r="X165" s="545"/>
      <c r="Y165" s="576"/>
      <c r="Z165" s="576"/>
      <c r="AA165" s="545"/>
      <c r="AB165" s="545"/>
      <c r="AC165" s="545"/>
      <c r="AD165" s="576"/>
      <c r="AE165" s="576"/>
      <c r="AF165" s="576"/>
      <c r="AG165" s="576"/>
      <c r="AH165" s="576"/>
      <c r="AI165" s="576"/>
      <c r="AJ165" s="576"/>
      <c r="AK165" s="576"/>
      <c r="AL165" s="576"/>
      <c r="AM165" s="576"/>
      <c r="AN165" s="576"/>
      <c r="AO165" s="576"/>
      <c r="AP165" s="576"/>
      <c r="AQ165" s="576"/>
      <c r="AR165" s="576"/>
      <c r="AS165" s="576"/>
      <c r="AT165" s="576"/>
      <c r="AU165" s="576"/>
      <c r="AV165" s="576"/>
      <c r="AW165" s="576"/>
      <c r="AX165" s="576"/>
      <c r="AY165" s="576"/>
      <c r="AZ165" s="576"/>
      <c r="BA165" s="576"/>
      <c r="BB165" s="576"/>
      <c r="BC165" s="576"/>
      <c r="BD165" s="572"/>
      <c r="BE165" s="710"/>
      <c r="BF165" s="710"/>
      <c r="BG165" s="710"/>
      <c r="BH165" s="710"/>
      <c r="BI165" s="710"/>
      <c r="BJ165" s="710"/>
      <c r="BK165" s="710"/>
      <c r="BL165" s="710"/>
      <c r="BM165" s="710"/>
      <c r="BN165" s="710"/>
      <c r="BO165" s="710"/>
      <c r="BP165" s="710"/>
      <c r="BQ165" s="710"/>
      <c r="BR165" s="710"/>
      <c r="BS165" s="710"/>
      <c r="BT165" s="710"/>
    </row>
    <row r="166" spans="1:72" ht="15.75">
      <c r="A166" s="545"/>
      <c r="B166" s="545"/>
      <c r="C166" s="545"/>
      <c r="D166" s="545"/>
      <c r="E166" s="545"/>
      <c r="F166" s="545"/>
      <c r="G166" s="545"/>
      <c r="H166" s="545"/>
      <c r="I166" s="545"/>
      <c r="J166" s="545"/>
      <c r="K166" s="545"/>
      <c r="L166" s="545"/>
      <c r="M166" s="545"/>
      <c r="N166" s="545"/>
      <c r="O166" s="545"/>
      <c r="P166" s="545"/>
      <c r="Q166" s="545"/>
      <c r="R166" s="545"/>
      <c r="S166" s="576"/>
      <c r="T166" s="576"/>
      <c r="U166" s="576"/>
      <c r="V166" s="576"/>
      <c r="W166" s="545"/>
      <c r="X166" s="545"/>
      <c r="Y166" s="576"/>
      <c r="Z166" s="576"/>
      <c r="AA166" s="545"/>
      <c r="AB166" s="545"/>
      <c r="AC166" s="545"/>
      <c r="AD166" s="576"/>
      <c r="AE166" s="576"/>
      <c r="AF166" s="576"/>
      <c r="AG166" s="576"/>
      <c r="AH166" s="576"/>
      <c r="AI166" s="576"/>
      <c r="AJ166" s="576"/>
      <c r="AK166" s="576"/>
      <c r="AL166" s="576"/>
      <c r="AM166" s="576"/>
      <c r="AN166" s="576"/>
      <c r="AO166" s="576"/>
      <c r="AP166" s="576"/>
      <c r="AQ166" s="576"/>
      <c r="AR166" s="576"/>
      <c r="AS166" s="576"/>
      <c r="AT166" s="576"/>
      <c r="AU166" s="576"/>
      <c r="AV166" s="576"/>
      <c r="AW166" s="576"/>
      <c r="AX166" s="576"/>
      <c r="AY166" s="576"/>
      <c r="AZ166" s="576"/>
      <c r="BA166" s="576"/>
      <c r="BB166" s="576"/>
      <c r="BC166" s="576"/>
      <c r="BD166" s="572"/>
      <c r="BE166" s="710"/>
      <c r="BF166" s="710"/>
      <c r="BG166" s="710"/>
      <c r="BH166" s="710"/>
      <c r="BI166" s="710"/>
      <c r="BJ166" s="710"/>
      <c r="BK166" s="710"/>
      <c r="BL166" s="710"/>
      <c r="BM166" s="710"/>
      <c r="BN166" s="710"/>
      <c r="BO166" s="710"/>
      <c r="BP166" s="710"/>
      <c r="BQ166" s="710"/>
      <c r="BR166" s="710"/>
      <c r="BS166" s="710"/>
      <c r="BT166" s="710"/>
    </row>
    <row r="167" spans="1:72" ht="15.75">
      <c r="A167" s="545"/>
      <c r="B167" s="545"/>
      <c r="C167" s="545"/>
      <c r="D167" s="545"/>
      <c r="E167" s="545"/>
      <c r="F167" s="545"/>
      <c r="G167" s="545"/>
      <c r="H167" s="545"/>
      <c r="I167" s="545"/>
      <c r="J167" s="545"/>
      <c r="K167" s="545"/>
      <c r="L167" s="545"/>
      <c r="M167" s="545"/>
      <c r="N167" s="545"/>
      <c r="O167" s="545"/>
      <c r="P167" s="545"/>
      <c r="Q167" s="545"/>
      <c r="R167" s="545"/>
      <c r="S167" s="576"/>
      <c r="T167" s="576"/>
      <c r="U167" s="576"/>
      <c r="V167" s="576"/>
      <c r="W167" s="545"/>
      <c r="X167" s="545"/>
      <c r="Y167" s="576"/>
      <c r="Z167" s="576"/>
      <c r="AA167" s="545"/>
      <c r="AB167" s="545"/>
      <c r="AC167" s="545"/>
      <c r="AD167" s="576"/>
      <c r="AE167" s="576"/>
      <c r="AF167" s="576"/>
      <c r="AG167" s="576"/>
      <c r="AH167" s="576"/>
      <c r="AI167" s="576"/>
      <c r="AJ167" s="576"/>
      <c r="AK167" s="576"/>
      <c r="AL167" s="576"/>
      <c r="AM167" s="576"/>
      <c r="AN167" s="576"/>
      <c r="AO167" s="576"/>
      <c r="AP167" s="576"/>
      <c r="AQ167" s="576"/>
      <c r="AR167" s="576"/>
      <c r="AS167" s="576"/>
      <c r="AT167" s="576"/>
      <c r="AU167" s="576"/>
      <c r="AV167" s="576"/>
      <c r="AW167" s="576"/>
      <c r="AX167" s="576"/>
      <c r="AY167" s="576"/>
      <c r="AZ167" s="576"/>
      <c r="BA167" s="576"/>
      <c r="BB167" s="576"/>
      <c r="BC167" s="576"/>
      <c r="BD167" s="572"/>
      <c r="BE167" s="710"/>
      <c r="BF167" s="710"/>
      <c r="BG167" s="710"/>
      <c r="BH167" s="710"/>
      <c r="BI167" s="710"/>
      <c r="BJ167" s="710"/>
      <c r="BK167" s="710"/>
      <c r="BL167" s="710"/>
      <c r="BM167" s="710"/>
      <c r="BN167" s="710"/>
      <c r="BO167" s="710"/>
      <c r="BP167" s="710"/>
      <c r="BQ167" s="710"/>
      <c r="BR167" s="710"/>
      <c r="BS167" s="710"/>
      <c r="BT167" s="710"/>
    </row>
    <row r="168" spans="1:72" ht="15.75">
      <c r="A168" s="545"/>
      <c r="B168" s="545"/>
      <c r="C168" s="545"/>
      <c r="D168" s="545"/>
      <c r="E168" s="545"/>
      <c r="F168" s="545"/>
      <c r="G168" s="545"/>
      <c r="H168" s="545"/>
      <c r="I168" s="545"/>
      <c r="J168" s="545"/>
      <c r="K168" s="545"/>
      <c r="L168" s="545"/>
      <c r="M168" s="545"/>
      <c r="N168" s="545"/>
      <c r="O168" s="545"/>
      <c r="P168" s="545"/>
      <c r="Q168" s="545"/>
      <c r="R168" s="545"/>
      <c r="S168" s="576"/>
      <c r="T168" s="576"/>
      <c r="U168" s="576"/>
      <c r="V168" s="576"/>
      <c r="W168" s="545"/>
      <c r="X168" s="545"/>
      <c r="Y168" s="576"/>
      <c r="Z168" s="576"/>
      <c r="AA168" s="545"/>
      <c r="AB168" s="545"/>
      <c r="AC168" s="545"/>
      <c r="AD168" s="576"/>
      <c r="AE168" s="576"/>
      <c r="AF168" s="576"/>
      <c r="AG168" s="576"/>
      <c r="AH168" s="576"/>
      <c r="AI168" s="576"/>
      <c r="AJ168" s="576"/>
      <c r="AK168" s="576"/>
      <c r="AL168" s="576"/>
      <c r="AM168" s="576"/>
      <c r="AN168" s="576"/>
      <c r="AO168" s="576"/>
      <c r="AP168" s="576"/>
      <c r="AQ168" s="576"/>
      <c r="AR168" s="576"/>
      <c r="AS168" s="576"/>
      <c r="AT168" s="576"/>
      <c r="AU168" s="576"/>
      <c r="AV168" s="576"/>
      <c r="AW168" s="576"/>
      <c r="AX168" s="576"/>
      <c r="AY168" s="576"/>
      <c r="AZ168" s="576"/>
      <c r="BA168" s="576"/>
      <c r="BB168" s="576"/>
      <c r="BC168" s="576"/>
      <c r="BD168" s="572"/>
      <c r="BE168" s="710"/>
      <c r="BF168" s="710"/>
      <c r="BG168" s="710"/>
      <c r="BH168" s="710"/>
      <c r="BI168" s="710"/>
      <c r="BJ168" s="710"/>
      <c r="BK168" s="710"/>
      <c r="BL168" s="710"/>
      <c r="BM168" s="710"/>
      <c r="BN168" s="710"/>
      <c r="BO168" s="710"/>
      <c r="BP168" s="710"/>
      <c r="BQ168" s="710"/>
      <c r="BR168" s="710"/>
      <c r="BS168" s="710"/>
      <c r="BT168" s="710"/>
    </row>
    <row r="169" spans="1:72" ht="15.75">
      <c r="A169" s="545"/>
      <c r="B169" s="545"/>
      <c r="C169" s="545"/>
      <c r="D169" s="545"/>
      <c r="E169" s="545"/>
      <c r="F169" s="545"/>
      <c r="G169" s="545"/>
      <c r="H169" s="545"/>
      <c r="I169" s="545"/>
      <c r="J169" s="545"/>
      <c r="K169" s="545"/>
      <c r="L169" s="545"/>
      <c r="M169" s="545"/>
      <c r="N169" s="545"/>
      <c r="O169" s="545"/>
      <c r="P169" s="545"/>
      <c r="Q169" s="545"/>
      <c r="R169" s="545"/>
      <c r="S169" s="576"/>
      <c r="T169" s="576"/>
      <c r="U169" s="576"/>
      <c r="V169" s="576"/>
      <c r="W169" s="545"/>
      <c r="X169" s="545"/>
      <c r="Y169" s="576"/>
      <c r="Z169" s="576"/>
      <c r="AA169" s="545"/>
      <c r="AB169" s="545"/>
      <c r="AC169" s="545"/>
      <c r="AD169" s="576"/>
      <c r="AE169" s="576"/>
      <c r="AF169" s="576"/>
      <c r="AG169" s="576"/>
      <c r="AH169" s="576"/>
      <c r="AI169" s="576"/>
      <c r="AJ169" s="576"/>
      <c r="AK169" s="576"/>
      <c r="AL169" s="576"/>
      <c r="AM169" s="576"/>
      <c r="AN169" s="576"/>
      <c r="AO169" s="576"/>
      <c r="AP169" s="576"/>
      <c r="AQ169" s="576"/>
      <c r="AR169" s="576"/>
      <c r="AS169" s="576"/>
      <c r="AT169" s="576"/>
      <c r="AU169" s="576"/>
      <c r="AV169" s="576"/>
      <c r="AW169" s="576"/>
      <c r="AX169" s="576"/>
      <c r="AY169" s="576"/>
      <c r="AZ169" s="576"/>
      <c r="BA169" s="576"/>
      <c r="BB169" s="576"/>
      <c r="BC169" s="576"/>
      <c r="BD169" s="572"/>
      <c r="BE169" s="710"/>
      <c r="BF169" s="710"/>
      <c r="BG169" s="710"/>
      <c r="BH169" s="710"/>
      <c r="BI169" s="710"/>
      <c r="BJ169" s="710"/>
      <c r="BK169" s="710"/>
      <c r="BL169" s="710"/>
      <c r="BM169" s="710"/>
      <c r="BN169" s="710"/>
      <c r="BO169" s="710"/>
      <c r="BP169" s="710"/>
      <c r="BQ169" s="710"/>
      <c r="BR169" s="710"/>
      <c r="BS169" s="710"/>
      <c r="BT169" s="710"/>
    </row>
    <row r="170" spans="1:72" ht="15.75">
      <c r="A170" s="545"/>
      <c r="B170" s="545"/>
      <c r="C170" s="545"/>
      <c r="D170" s="545"/>
      <c r="E170" s="545"/>
      <c r="F170" s="545"/>
      <c r="G170" s="545"/>
      <c r="H170" s="545"/>
      <c r="I170" s="545"/>
      <c r="J170" s="545"/>
      <c r="K170" s="545"/>
      <c r="L170" s="545"/>
      <c r="M170" s="545"/>
      <c r="N170" s="545"/>
      <c r="O170" s="545"/>
      <c r="P170" s="545"/>
      <c r="Q170" s="545"/>
      <c r="R170" s="545"/>
      <c r="S170" s="576"/>
      <c r="T170" s="576"/>
      <c r="U170" s="576"/>
      <c r="V170" s="576"/>
      <c r="W170" s="545"/>
      <c r="X170" s="545"/>
      <c r="Y170" s="576"/>
      <c r="Z170" s="576"/>
      <c r="AA170" s="545"/>
      <c r="AB170" s="545"/>
      <c r="AC170" s="545"/>
      <c r="AD170" s="576"/>
      <c r="AE170" s="576"/>
      <c r="AF170" s="576"/>
      <c r="AG170" s="576"/>
      <c r="AH170" s="576"/>
      <c r="AI170" s="576"/>
      <c r="AJ170" s="576"/>
      <c r="AK170" s="576"/>
      <c r="AL170" s="576"/>
      <c r="AM170" s="576"/>
      <c r="AN170" s="576"/>
      <c r="AO170" s="576"/>
      <c r="AP170" s="576"/>
      <c r="AQ170" s="576"/>
      <c r="AR170" s="576"/>
      <c r="AS170" s="576"/>
      <c r="AT170" s="576"/>
      <c r="AU170" s="576"/>
      <c r="AV170" s="576"/>
      <c r="AW170" s="576"/>
      <c r="AX170" s="576"/>
      <c r="AY170" s="576"/>
      <c r="AZ170" s="576"/>
      <c r="BA170" s="576"/>
      <c r="BB170" s="576"/>
      <c r="BC170" s="576"/>
      <c r="BD170" s="572"/>
      <c r="BE170" s="710"/>
      <c r="BF170" s="710"/>
      <c r="BG170" s="710"/>
      <c r="BH170" s="710"/>
      <c r="BI170" s="710"/>
      <c r="BJ170" s="710"/>
      <c r="BK170" s="710"/>
      <c r="BL170" s="710"/>
      <c r="BM170" s="710"/>
      <c r="BN170" s="710"/>
      <c r="BO170" s="710"/>
      <c r="BP170" s="710"/>
      <c r="BQ170" s="710"/>
      <c r="BR170" s="710"/>
      <c r="BS170" s="710"/>
      <c r="BT170" s="710"/>
    </row>
    <row r="171" spans="1:72" ht="15.75">
      <c r="A171" s="545"/>
      <c r="B171" s="545"/>
      <c r="C171" s="545"/>
      <c r="D171" s="545"/>
      <c r="E171" s="545"/>
      <c r="F171" s="545"/>
      <c r="G171" s="545"/>
      <c r="H171" s="545"/>
      <c r="I171" s="545"/>
      <c r="J171" s="545"/>
      <c r="K171" s="545"/>
      <c r="L171" s="545"/>
      <c r="M171" s="545"/>
      <c r="N171" s="545"/>
      <c r="O171" s="545"/>
      <c r="P171" s="545"/>
      <c r="Q171" s="545"/>
      <c r="R171" s="545"/>
      <c r="S171" s="576"/>
      <c r="T171" s="576"/>
      <c r="U171" s="576"/>
      <c r="V171" s="576"/>
      <c r="W171" s="545"/>
      <c r="X171" s="545"/>
      <c r="Y171" s="576"/>
      <c r="Z171" s="576"/>
      <c r="AA171" s="545"/>
      <c r="AB171" s="545"/>
      <c r="AC171" s="545"/>
      <c r="AD171" s="576"/>
      <c r="AE171" s="576"/>
      <c r="AF171" s="576"/>
      <c r="AG171" s="576"/>
      <c r="AH171" s="576"/>
      <c r="AI171" s="576"/>
      <c r="AJ171" s="576"/>
      <c r="AK171" s="576"/>
      <c r="AL171" s="576"/>
      <c r="AM171" s="576"/>
      <c r="AN171" s="576"/>
      <c r="AO171" s="576"/>
      <c r="AP171" s="576"/>
      <c r="AQ171" s="576"/>
      <c r="AR171" s="576"/>
      <c r="AS171" s="576"/>
      <c r="AT171" s="576"/>
      <c r="AU171" s="576"/>
      <c r="AV171" s="576"/>
      <c r="AW171" s="576"/>
      <c r="AX171" s="576"/>
      <c r="AY171" s="576"/>
      <c r="AZ171" s="576"/>
      <c r="BA171" s="576"/>
      <c r="BB171" s="576"/>
      <c r="BC171" s="576"/>
      <c r="BD171" s="572"/>
      <c r="BE171" s="710"/>
      <c r="BF171" s="710"/>
      <c r="BG171" s="710"/>
      <c r="BH171" s="710"/>
      <c r="BI171" s="710"/>
      <c r="BJ171" s="710"/>
      <c r="BK171" s="710"/>
      <c r="BL171" s="710"/>
      <c r="BM171" s="710"/>
      <c r="BN171" s="710"/>
      <c r="BO171" s="710"/>
      <c r="BP171" s="710"/>
      <c r="BQ171" s="710"/>
      <c r="BR171" s="710"/>
      <c r="BS171" s="710"/>
      <c r="BT171" s="710"/>
    </row>
    <row r="172" spans="1:72" ht="15.75">
      <c r="A172" s="545"/>
      <c r="B172" s="545"/>
      <c r="C172" s="545"/>
      <c r="D172" s="545"/>
      <c r="E172" s="545"/>
      <c r="F172" s="545"/>
      <c r="G172" s="545"/>
      <c r="H172" s="545"/>
      <c r="I172" s="545"/>
      <c r="J172" s="545"/>
      <c r="K172" s="545"/>
      <c r="L172" s="545"/>
      <c r="M172" s="545"/>
      <c r="N172" s="545"/>
      <c r="O172" s="545"/>
      <c r="P172" s="545"/>
      <c r="Q172" s="545"/>
      <c r="R172" s="545"/>
      <c r="S172" s="576"/>
      <c r="T172" s="576"/>
      <c r="U172" s="576"/>
      <c r="V172" s="576"/>
      <c r="W172" s="545"/>
      <c r="X172" s="545"/>
      <c r="Y172" s="576"/>
      <c r="Z172" s="576"/>
      <c r="AA172" s="545"/>
      <c r="AB172" s="545"/>
      <c r="AC172" s="545"/>
      <c r="AD172" s="576"/>
      <c r="AE172" s="576"/>
      <c r="AF172" s="576"/>
      <c r="AG172" s="576"/>
      <c r="AH172" s="576"/>
      <c r="AI172" s="576"/>
      <c r="AJ172" s="576"/>
      <c r="AK172" s="576"/>
      <c r="AL172" s="576"/>
      <c r="AM172" s="576"/>
      <c r="AN172" s="576"/>
      <c r="AO172" s="576"/>
      <c r="AP172" s="576"/>
      <c r="AQ172" s="576"/>
      <c r="AR172" s="576"/>
      <c r="AS172" s="576"/>
      <c r="AT172" s="576"/>
      <c r="AU172" s="576"/>
      <c r="AV172" s="576"/>
      <c r="AW172" s="576"/>
      <c r="AX172" s="576"/>
      <c r="AY172" s="576"/>
      <c r="AZ172" s="576"/>
      <c r="BA172" s="576"/>
      <c r="BB172" s="576"/>
      <c r="BC172" s="576"/>
      <c r="BD172" s="572"/>
      <c r="BE172" s="710"/>
      <c r="BF172" s="710"/>
      <c r="BG172" s="710"/>
      <c r="BH172" s="710"/>
      <c r="BI172" s="710"/>
      <c r="BJ172" s="710"/>
      <c r="BK172" s="710"/>
      <c r="BL172" s="710"/>
      <c r="BM172" s="710"/>
      <c r="BN172" s="710"/>
      <c r="BO172" s="710"/>
      <c r="BP172" s="710"/>
      <c r="BQ172" s="710"/>
      <c r="BR172" s="710"/>
      <c r="BS172" s="710"/>
      <c r="BT172" s="710"/>
    </row>
    <row r="173" spans="1:72" ht="15.75">
      <c r="A173" s="545"/>
      <c r="B173" s="545"/>
      <c r="C173" s="545"/>
      <c r="D173" s="545"/>
      <c r="E173" s="545"/>
      <c r="F173" s="545"/>
      <c r="G173" s="545"/>
      <c r="H173" s="545"/>
      <c r="I173" s="545"/>
      <c r="J173" s="545"/>
      <c r="K173" s="545"/>
      <c r="L173" s="545"/>
      <c r="M173" s="545"/>
      <c r="N173" s="545"/>
      <c r="O173" s="545"/>
      <c r="P173" s="545"/>
      <c r="Q173" s="545"/>
      <c r="R173" s="545"/>
      <c r="S173" s="576"/>
      <c r="T173" s="576"/>
      <c r="U173" s="576"/>
      <c r="V173" s="576"/>
      <c r="W173" s="545"/>
      <c r="X173" s="545"/>
      <c r="Y173" s="576"/>
      <c r="Z173" s="576"/>
      <c r="AA173" s="545"/>
      <c r="AB173" s="545"/>
      <c r="AC173" s="545"/>
      <c r="AD173" s="576"/>
      <c r="AE173" s="576"/>
      <c r="AF173" s="576"/>
      <c r="AG173" s="576"/>
      <c r="AH173" s="576"/>
      <c r="AI173" s="576"/>
      <c r="AJ173" s="576"/>
      <c r="AK173" s="576"/>
      <c r="AL173" s="576"/>
      <c r="AM173" s="576"/>
      <c r="AN173" s="576"/>
      <c r="AO173" s="576"/>
      <c r="AP173" s="576"/>
      <c r="AQ173" s="576"/>
      <c r="AR173" s="576"/>
      <c r="AS173" s="576"/>
      <c r="AT173" s="576"/>
      <c r="AU173" s="576"/>
      <c r="AV173" s="576"/>
      <c r="AW173" s="576"/>
      <c r="AX173" s="576"/>
      <c r="AY173" s="576"/>
      <c r="AZ173" s="576"/>
      <c r="BA173" s="576"/>
      <c r="BB173" s="576"/>
      <c r="BC173" s="576"/>
      <c r="BD173" s="572"/>
      <c r="BE173" s="710"/>
      <c r="BF173" s="710"/>
      <c r="BG173" s="710"/>
      <c r="BH173" s="710"/>
      <c r="BI173" s="710"/>
      <c r="BJ173" s="710"/>
      <c r="BK173" s="710"/>
      <c r="BL173" s="710"/>
      <c r="BM173" s="710"/>
      <c r="BN173" s="710"/>
      <c r="BO173" s="710"/>
      <c r="BP173" s="710"/>
      <c r="BQ173" s="710"/>
      <c r="BR173" s="710"/>
      <c r="BS173" s="710"/>
      <c r="BT173" s="710"/>
    </row>
    <row r="174" spans="1:72" ht="15.75">
      <c r="A174" s="545"/>
      <c r="B174" s="545"/>
      <c r="C174" s="545"/>
      <c r="D174" s="545"/>
      <c r="E174" s="545"/>
      <c r="F174" s="545"/>
      <c r="G174" s="545"/>
      <c r="H174" s="545"/>
      <c r="I174" s="545"/>
      <c r="J174" s="545"/>
      <c r="K174" s="545"/>
      <c r="L174" s="545"/>
      <c r="M174" s="545"/>
      <c r="N174" s="545"/>
      <c r="O174" s="545"/>
      <c r="P174" s="545"/>
      <c r="Q174" s="545"/>
      <c r="R174" s="545"/>
      <c r="S174" s="576"/>
      <c r="T174" s="576"/>
      <c r="U174" s="576"/>
      <c r="V174" s="576"/>
      <c r="W174" s="545"/>
      <c r="X174" s="545"/>
      <c r="Y174" s="576"/>
      <c r="Z174" s="576"/>
      <c r="AA174" s="545"/>
      <c r="AB174" s="545"/>
      <c r="AC174" s="545"/>
      <c r="AD174" s="576"/>
      <c r="AE174" s="576"/>
      <c r="AF174" s="576"/>
      <c r="AG174" s="576"/>
      <c r="AH174" s="576"/>
      <c r="AI174" s="576"/>
      <c r="AJ174" s="576"/>
      <c r="AK174" s="576"/>
      <c r="AL174" s="576"/>
      <c r="AM174" s="576"/>
      <c r="AN174" s="576"/>
      <c r="AO174" s="576"/>
      <c r="AP174" s="576"/>
      <c r="AQ174" s="576"/>
      <c r="AR174" s="576"/>
      <c r="AS174" s="576"/>
      <c r="AT174" s="576"/>
      <c r="AU174" s="576"/>
      <c r="AV174" s="576"/>
      <c r="AW174" s="576"/>
      <c r="AX174" s="576"/>
      <c r="AY174" s="576"/>
      <c r="AZ174" s="576"/>
      <c r="BA174" s="576"/>
      <c r="BB174" s="576"/>
      <c r="BC174" s="576"/>
      <c r="BD174" s="572"/>
      <c r="BE174" s="710"/>
      <c r="BF174" s="710"/>
      <c r="BG174" s="710"/>
      <c r="BH174" s="710"/>
      <c r="BI174" s="710"/>
      <c r="BJ174" s="710"/>
      <c r="BK174" s="710"/>
      <c r="BL174" s="710"/>
      <c r="BM174" s="710"/>
      <c r="BN174" s="710"/>
      <c r="BO174" s="710"/>
      <c r="BP174" s="710"/>
      <c r="BQ174" s="710"/>
      <c r="BR174" s="710"/>
      <c r="BS174" s="710"/>
      <c r="BT174" s="710"/>
    </row>
    <row r="175" spans="1:72" ht="15.75">
      <c r="A175" s="545"/>
      <c r="B175" s="545"/>
      <c r="C175" s="545"/>
      <c r="D175" s="545"/>
      <c r="E175" s="545"/>
      <c r="F175" s="545"/>
      <c r="G175" s="545"/>
      <c r="H175" s="545"/>
      <c r="I175" s="545"/>
      <c r="J175" s="545"/>
      <c r="K175" s="545"/>
      <c r="L175" s="545"/>
      <c r="M175" s="545"/>
      <c r="N175" s="545"/>
      <c r="O175" s="545"/>
      <c r="P175" s="545"/>
      <c r="Q175" s="545"/>
      <c r="R175" s="545"/>
      <c r="S175" s="576"/>
      <c r="T175" s="576"/>
      <c r="U175" s="576"/>
      <c r="V175" s="576"/>
      <c r="W175" s="545"/>
      <c r="X175" s="545"/>
      <c r="Y175" s="576"/>
      <c r="Z175" s="576"/>
      <c r="AA175" s="545"/>
      <c r="AB175" s="545"/>
      <c r="AC175" s="545"/>
      <c r="AD175" s="576"/>
      <c r="AE175" s="576"/>
      <c r="AF175" s="576"/>
      <c r="AG175" s="576"/>
      <c r="AH175" s="576"/>
      <c r="AI175" s="576"/>
      <c r="AJ175" s="576"/>
      <c r="AK175" s="576"/>
      <c r="AL175" s="576"/>
      <c r="AM175" s="576"/>
      <c r="AN175" s="576"/>
      <c r="AO175" s="576"/>
      <c r="AP175" s="576"/>
      <c r="AQ175" s="576"/>
      <c r="AR175" s="576"/>
      <c r="AS175" s="576"/>
      <c r="AT175" s="576"/>
      <c r="AU175" s="576"/>
      <c r="AV175" s="576"/>
      <c r="AW175" s="576"/>
      <c r="AX175" s="576"/>
      <c r="AY175" s="576"/>
      <c r="AZ175" s="576"/>
      <c r="BA175" s="576"/>
      <c r="BB175" s="576"/>
      <c r="BC175" s="576"/>
      <c r="BD175" s="572"/>
      <c r="BE175" s="710"/>
      <c r="BF175" s="710"/>
      <c r="BG175" s="710"/>
      <c r="BH175" s="710"/>
      <c r="BI175" s="710"/>
      <c r="BJ175" s="710"/>
      <c r="BK175" s="710"/>
      <c r="BL175" s="710"/>
      <c r="BM175" s="710"/>
      <c r="BN175" s="710"/>
      <c r="BO175" s="710"/>
      <c r="BP175" s="710"/>
      <c r="BQ175" s="710"/>
      <c r="BR175" s="710"/>
      <c r="BS175" s="710"/>
      <c r="BT175" s="710"/>
    </row>
    <row r="176" spans="1:72" ht="15.75">
      <c r="A176" s="545"/>
      <c r="B176" s="545"/>
      <c r="C176" s="545"/>
      <c r="D176" s="545"/>
      <c r="E176" s="545"/>
      <c r="F176" s="545"/>
      <c r="G176" s="545"/>
      <c r="H176" s="545"/>
      <c r="I176" s="545"/>
      <c r="J176" s="545"/>
      <c r="K176" s="545"/>
      <c r="L176" s="545"/>
      <c r="M176" s="545"/>
      <c r="N176" s="545"/>
      <c r="O176" s="545"/>
      <c r="P176" s="545"/>
      <c r="Q176" s="545"/>
      <c r="R176" s="545"/>
      <c r="S176" s="576"/>
      <c r="T176" s="576"/>
      <c r="U176" s="576"/>
      <c r="V176" s="576"/>
      <c r="W176" s="545"/>
      <c r="X176" s="545"/>
      <c r="Y176" s="576"/>
      <c r="Z176" s="576"/>
      <c r="AA176" s="545"/>
      <c r="AB176" s="545"/>
      <c r="AC176" s="545"/>
      <c r="AD176" s="576"/>
      <c r="AE176" s="576"/>
      <c r="AF176" s="576"/>
      <c r="AG176" s="576"/>
      <c r="AH176" s="576"/>
      <c r="AI176" s="576"/>
      <c r="AJ176" s="576"/>
      <c r="AK176" s="576"/>
      <c r="AL176" s="576"/>
      <c r="AM176" s="576"/>
      <c r="AN176" s="576"/>
      <c r="AO176" s="576"/>
      <c r="AP176" s="576"/>
      <c r="AQ176" s="576"/>
      <c r="AR176" s="576"/>
      <c r="AS176" s="576"/>
      <c r="AT176" s="576"/>
      <c r="AU176" s="576"/>
      <c r="AV176" s="576"/>
      <c r="AW176" s="576"/>
      <c r="AX176" s="576"/>
      <c r="AY176" s="576"/>
      <c r="AZ176" s="576"/>
      <c r="BA176" s="576"/>
      <c r="BB176" s="576"/>
      <c r="BC176" s="576"/>
      <c r="BD176" s="572"/>
      <c r="BE176" s="710"/>
      <c r="BF176" s="710"/>
      <c r="BG176" s="710"/>
      <c r="BH176" s="710"/>
      <c r="BI176" s="710"/>
      <c r="BJ176" s="710"/>
      <c r="BK176" s="710"/>
      <c r="BL176" s="710"/>
      <c r="BM176" s="710"/>
      <c r="BN176" s="710"/>
      <c r="BO176" s="710"/>
      <c r="BP176" s="710"/>
      <c r="BQ176" s="710"/>
      <c r="BR176" s="710"/>
      <c r="BS176" s="710"/>
      <c r="BT176" s="710"/>
    </row>
    <row r="177" spans="1:72" ht="15.75">
      <c r="A177" s="545"/>
      <c r="B177" s="545"/>
      <c r="C177" s="545"/>
      <c r="D177" s="545"/>
      <c r="E177" s="545"/>
      <c r="F177" s="545"/>
      <c r="G177" s="545"/>
      <c r="H177" s="545"/>
      <c r="I177" s="545"/>
      <c r="J177" s="545"/>
      <c r="K177" s="545"/>
      <c r="L177" s="545"/>
      <c r="M177" s="545"/>
      <c r="N177" s="545"/>
      <c r="O177" s="545"/>
      <c r="P177" s="545"/>
      <c r="Q177" s="545"/>
      <c r="R177" s="545"/>
      <c r="S177" s="576"/>
      <c r="T177" s="576"/>
      <c r="U177" s="576"/>
      <c r="V177" s="576"/>
      <c r="W177" s="545"/>
      <c r="X177" s="545"/>
      <c r="Y177" s="576"/>
      <c r="Z177" s="576"/>
      <c r="AA177" s="545"/>
      <c r="AB177" s="545"/>
      <c r="AC177" s="545"/>
      <c r="AD177" s="576"/>
      <c r="AE177" s="576"/>
      <c r="AF177" s="576"/>
      <c r="AG177" s="576"/>
      <c r="AH177" s="576"/>
      <c r="AI177" s="576"/>
      <c r="AJ177" s="576"/>
      <c r="AK177" s="576"/>
      <c r="AL177" s="576"/>
      <c r="AM177" s="576"/>
      <c r="AN177" s="576"/>
      <c r="AO177" s="576"/>
      <c r="AP177" s="576"/>
      <c r="AQ177" s="576"/>
      <c r="AR177" s="576"/>
      <c r="AS177" s="576"/>
      <c r="AT177" s="576"/>
      <c r="AU177" s="576"/>
      <c r="AV177" s="576"/>
      <c r="AW177" s="576"/>
      <c r="AX177" s="576"/>
      <c r="AY177" s="576"/>
      <c r="AZ177" s="576"/>
      <c r="BA177" s="576"/>
      <c r="BB177" s="576"/>
      <c r="BC177" s="576"/>
      <c r="BD177" s="572"/>
      <c r="BE177" s="710"/>
      <c r="BF177" s="710"/>
      <c r="BG177" s="710"/>
      <c r="BH177" s="710"/>
      <c r="BI177" s="710"/>
      <c r="BJ177" s="710"/>
      <c r="BK177" s="710"/>
      <c r="BL177" s="710"/>
      <c r="BM177" s="710"/>
      <c r="BN177" s="710"/>
      <c r="BO177" s="710"/>
      <c r="BP177" s="710"/>
      <c r="BQ177" s="710"/>
      <c r="BR177" s="710"/>
      <c r="BS177" s="710"/>
      <c r="BT177" s="710"/>
    </row>
    <row r="178" spans="1:72" ht="15.75">
      <c r="A178" s="545"/>
      <c r="B178" s="545"/>
      <c r="C178" s="545"/>
      <c r="D178" s="545"/>
      <c r="E178" s="545"/>
      <c r="F178" s="545"/>
      <c r="G178" s="545"/>
      <c r="H178" s="545"/>
      <c r="I178" s="545"/>
      <c r="J178" s="545"/>
      <c r="K178" s="545"/>
      <c r="L178" s="545"/>
      <c r="M178" s="545"/>
      <c r="N178" s="545"/>
      <c r="O178" s="545"/>
      <c r="P178" s="545"/>
      <c r="Q178" s="545"/>
      <c r="R178" s="545"/>
      <c r="S178" s="576"/>
      <c r="T178" s="576"/>
      <c r="U178" s="576"/>
      <c r="V178" s="576"/>
      <c r="W178" s="545"/>
      <c r="X178" s="545"/>
      <c r="Y178" s="576"/>
      <c r="Z178" s="576"/>
      <c r="AA178" s="545"/>
      <c r="AB178" s="545"/>
      <c r="AC178" s="545"/>
      <c r="AD178" s="576"/>
      <c r="AE178" s="576"/>
      <c r="AF178" s="576"/>
      <c r="AG178" s="576"/>
      <c r="AH178" s="576"/>
      <c r="AI178" s="576"/>
      <c r="AJ178" s="576"/>
      <c r="AK178" s="576"/>
      <c r="AL178" s="576"/>
      <c r="AM178" s="576"/>
      <c r="AN178" s="576"/>
      <c r="AO178" s="576"/>
      <c r="AP178" s="576"/>
      <c r="AQ178" s="576"/>
      <c r="AR178" s="576"/>
      <c r="AS178" s="576"/>
      <c r="AT178" s="576"/>
      <c r="AU178" s="576"/>
      <c r="AV178" s="576"/>
      <c r="AW178" s="576"/>
      <c r="AX178" s="576"/>
      <c r="AY178" s="576"/>
      <c r="AZ178" s="576"/>
      <c r="BA178" s="576"/>
      <c r="BB178" s="576"/>
      <c r="BC178" s="576"/>
      <c r="BD178" s="572"/>
      <c r="BE178" s="710"/>
      <c r="BF178" s="710"/>
      <c r="BG178" s="710"/>
      <c r="BH178" s="710"/>
      <c r="BI178" s="710"/>
      <c r="BJ178" s="710"/>
      <c r="BK178" s="710"/>
      <c r="BL178" s="710"/>
      <c r="BM178" s="710"/>
      <c r="BN178" s="710"/>
      <c r="BO178" s="710"/>
      <c r="BP178" s="710"/>
      <c r="BQ178" s="710"/>
      <c r="BR178" s="710"/>
      <c r="BS178" s="710"/>
      <c r="BT178" s="710"/>
    </row>
    <row r="179" spans="1:72" ht="15.75">
      <c r="A179" s="545"/>
      <c r="B179" s="545"/>
      <c r="C179" s="545"/>
      <c r="D179" s="545"/>
      <c r="E179" s="545"/>
      <c r="F179" s="545"/>
      <c r="G179" s="545"/>
      <c r="H179" s="545"/>
      <c r="I179" s="545"/>
      <c r="J179" s="545"/>
      <c r="K179" s="545"/>
      <c r="L179" s="545"/>
      <c r="M179" s="545"/>
      <c r="N179" s="545"/>
      <c r="O179" s="545"/>
      <c r="P179" s="545"/>
      <c r="Q179" s="545"/>
      <c r="R179" s="545"/>
      <c r="S179" s="576"/>
      <c r="T179" s="576"/>
      <c r="U179" s="576"/>
      <c r="V179" s="576"/>
      <c r="W179" s="545"/>
      <c r="X179" s="545"/>
      <c r="Y179" s="576"/>
      <c r="Z179" s="576"/>
      <c r="AA179" s="545"/>
      <c r="AB179" s="545"/>
      <c r="AC179" s="545"/>
      <c r="AD179" s="576"/>
      <c r="AE179" s="576"/>
      <c r="AF179" s="576"/>
      <c r="AG179" s="576"/>
      <c r="AH179" s="576"/>
      <c r="AI179" s="576"/>
      <c r="AJ179" s="576"/>
      <c r="AK179" s="576"/>
      <c r="AL179" s="576"/>
      <c r="AM179" s="576"/>
      <c r="AN179" s="576"/>
      <c r="AO179" s="576"/>
      <c r="AP179" s="576"/>
      <c r="AQ179" s="576"/>
      <c r="AR179" s="576"/>
      <c r="AS179" s="576"/>
      <c r="AT179" s="576"/>
      <c r="AU179" s="576"/>
      <c r="AV179" s="576"/>
      <c r="AW179" s="576"/>
      <c r="AX179" s="576"/>
      <c r="AY179" s="576"/>
      <c r="AZ179" s="576"/>
      <c r="BA179" s="576"/>
      <c r="BB179" s="576"/>
      <c r="BC179" s="576"/>
      <c r="BD179" s="572"/>
      <c r="BE179" s="710"/>
      <c r="BF179" s="710"/>
      <c r="BG179" s="710"/>
      <c r="BH179" s="710"/>
      <c r="BI179" s="710"/>
      <c r="BJ179" s="710"/>
      <c r="BK179" s="710"/>
      <c r="BL179" s="710"/>
      <c r="BM179" s="710"/>
      <c r="BN179" s="710"/>
      <c r="BO179" s="710"/>
      <c r="BP179" s="710"/>
      <c r="BQ179" s="710"/>
      <c r="BR179" s="710"/>
      <c r="BS179" s="710"/>
      <c r="BT179" s="710"/>
    </row>
    <row r="180" spans="1:72" ht="15.75">
      <c r="A180" s="545"/>
      <c r="B180" s="545"/>
      <c r="C180" s="545"/>
      <c r="D180" s="545"/>
      <c r="E180" s="545"/>
      <c r="F180" s="545"/>
      <c r="G180" s="545"/>
      <c r="H180" s="545"/>
      <c r="I180" s="545"/>
      <c r="J180" s="545"/>
      <c r="K180" s="545"/>
      <c r="L180" s="545"/>
      <c r="M180" s="545"/>
      <c r="N180" s="545"/>
      <c r="O180" s="545"/>
      <c r="P180" s="545"/>
      <c r="Q180" s="545"/>
      <c r="R180" s="545"/>
      <c r="S180" s="576"/>
      <c r="T180" s="576"/>
      <c r="U180" s="576"/>
      <c r="V180" s="576"/>
      <c r="W180" s="545"/>
      <c r="X180" s="545"/>
      <c r="Y180" s="576"/>
      <c r="Z180" s="576"/>
      <c r="AA180" s="545"/>
      <c r="AB180" s="545"/>
      <c r="AC180" s="545"/>
      <c r="AD180" s="576"/>
      <c r="AE180" s="576"/>
      <c r="AF180" s="576"/>
      <c r="AG180" s="576"/>
      <c r="AH180" s="576"/>
      <c r="AI180" s="576"/>
      <c r="AJ180" s="576"/>
      <c r="AK180" s="576"/>
      <c r="AL180" s="576"/>
      <c r="AM180" s="576"/>
      <c r="AN180" s="576"/>
      <c r="AO180" s="576"/>
      <c r="AP180" s="576"/>
      <c r="AQ180" s="576"/>
      <c r="AR180" s="576"/>
      <c r="AS180" s="576"/>
      <c r="AT180" s="576"/>
      <c r="AU180" s="576"/>
      <c r="AV180" s="576"/>
      <c r="AW180" s="576"/>
      <c r="AX180" s="576"/>
      <c r="AY180" s="576"/>
      <c r="AZ180" s="576"/>
      <c r="BA180" s="576"/>
      <c r="BB180" s="576"/>
      <c r="BC180" s="576"/>
      <c r="BD180" s="572"/>
      <c r="BE180" s="710"/>
      <c r="BF180" s="710"/>
      <c r="BG180" s="710"/>
      <c r="BH180" s="710"/>
      <c r="BI180" s="710"/>
      <c r="BJ180" s="710"/>
      <c r="BK180" s="710"/>
      <c r="BL180" s="710"/>
      <c r="BM180" s="710"/>
      <c r="BN180" s="710"/>
      <c r="BO180" s="710"/>
      <c r="BP180" s="710"/>
      <c r="BQ180" s="710"/>
      <c r="BR180" s="710"/>
      <c r="BS180" s="710"/>
      <c r="BT180" s="710"/>
    </row>
    <row r="181" spans="1:72" ht="15.75">
      <c r="A181" s="545"/>
      <c r="B181" s="545"/>
      <c r="C181" s="545"/>
      <c r="D181" s="545"/>
      <c r="E181" s="545"/>
      <c r="F181" s="545"/>
      <c r="G181" s="545"/>
      <c r="H181" s="545"/>
      <c r="I181" s="545"/>
      <c r="J181" s="545"/>
      <c r="K181" s="545"/>
      <c r="L181" s="545"/>
      <c r="M181" s="545"/>
      <c r="N181" s="545"/>
      <c r="O181" s="545"/>
      <c r="P181" s="545"/>
      <c r="Q181" s="545"/>
      <c r="R181" s="545"/>
      <c r="S181" s="576"/>
      <c r="T181" s="576"/>
      <c r="U181" s="576"/>
      <c r="V181" s="576"/>
      <c r="W181" s="545"/>
      <c r="X181" s="545"/>
      <c r="Y181" s="576"/>
      <c r="Z181" s="576"/>
      <c r="AA181" s="545"/>
      <c r="AB181" s="545"/>
      <c r="AC181" s="545"/>
      <c r="AD181" s="576"/>
      <c r="AE181" s="576"/>
      <c r="AF181" s="576"/>
      <c r="AG181" s="576"/>
      <c r="AH181" s="576"/>
      <c r="AI181" s="576"/>
      <c r="AJ181" s="576"/>
      <c r="AK181" s="576"/>
      <c r="AL181" s="576"/>
      <c r="AM181" s="576"/>
      <c r="AN181" s="576"/>
      <c r="AO181" s="576"/>
      <c r="AP181" s="576"/>
      <c r="AQ181" s="576"/>
      <c r="AR181" s="576"/>
      <c r="AS181" s="576"/>
      <c r="AT181" s="576"/>
      <c r="AU181" s="576"/>
      <c r="AV181" s="576"/>
      <c r="AW181" s="576"/>
      <c r="AX181" s="576"/>
      <c r="AY181" s="576"/>
      <c r="AZ181" s="576"/>
      <c r="BA181" s="576"/>
      <c r="BB181" s="576"/>
      <c r="BC181" s="576"/>
      <c r="BD181" s="572"/>
      <c r="BE181" s="710"/>
      <c r="BF181" s="710"/>
      <c r="BG181" s="710"/>
      <c r="BH181" s="710"/>
      <c r="BI181" s="710"/>
      <c r="BJ181" s="710"/>
      <c r="BK181" s="710"/>
      <c r="BL181" s="710"/>
      <c r="BM181" s="710"/>
      <c r="BN181" s="710"/>
      <c r="BO181" s="710"/>
      <c r="BP181" s="710"/>
      <c r="BQ181" s="710"/>
      <c r="BR181" s="710"/>
      <c r="BS181" s="710"/>
      <c r="BT181" s="710"/>
    </row>
    <row r="182" spans="1:72" ht="15.75">
      <c r="A182" s="545"/>
      <c r="B182" s="545"/>
      <c r="C182" s="545"/>
      <c r="D182" s="545"/>
      <c r="E182" s="545"/>
      <c r="F182" s="545"/>
      <c r="G182" s="545"/>
      <c r="H182" s="545"/>
      <c r="I182" s="545"/>
      <c r="J182" s="545"/>
      <c r="K182" s="545"/>
      <c r="L182" s="545"/>
      <c r="M182" s="545"/>
      <c r="N182" s="545"/>
      <c r="O182" s="545"/>
      <c r="P182" s="545"/>
      <c r="Q182" s="545"/>
      <c r="R182" s="545"/>
      <c r="S182" s="576"/>
      <c r="T182" s="576"/>
      <c r="U182" s="576"/>
      <c r="V182" s="576"/>
      <c r="W182" s="545"/>
      <c r="X182" s="545"/>
      <c r="Y182" s="576"/>
      <c r="Z182" s="576"/>
      <c r="AA182" s="545"/>
      <c r="AB182" s="545"/>
      <c r="AC182" s="545"/>
      <c r="AD182" s="576"/>
      <c r="AE182" s="576"/>
      <c r="AF182" s="576"/>
      <c r="AG182" s="576"/>
      <c r="AH182" s="576"/>
      <c r="AI182" s="576"/>
      <c r="AJ182" s="576"/>
      <c r="AK182" s="576"/>
      <c r="AL182" s="576"/>
      <c r="AM182" s="576"/>
      <c r="AN182" s="576"/>
      <c r="AO182" s="576"/>
      <c r="AP182" s="576"/>
      <c r="AQ182" s="576"/>
      <c r="AR182" s="576"/>
      <c r="AS182" s="576"/>
      <c r="AT182" s="576"/>
      <c r="AU182" s="576"/>
      <c r="AV182" s="576"/>
      <c r="AW182" s="576"/>
      <c r="AX182" s="576"/>
      <c r="AY182" s="576"/>
      <c r="AZ182" s="576"/>
      <c r="BA182" s="576"/>
      <c r="BB182" s="576"/>
      <c r="BC182" s="576"/>
      <c r="BD182" s="572"/>
      <c r="BE182" s="710"/>
      <c r="BF182" s="710"/>
      <c r="BG182" s="710"/>
      <c r="BH182" s="710"/>
      <c r="BI182" s="710"/>
      <c r="BJ182" s="710"/>
      <c r="BK182" s="710"/>
      <c r="BL182" s="710"/>
      <c r="BM182" s="710"/>
      <c r="BN182" s="710"/>
      <c r="BO182" s="710"/>
      <c r="BP182" s="710"/>
      <c r="BQ182" s="710"/>
      <c r="BR182" s="710"/>
      <c r="BS182" s="710"/>
      <c r="BT182" s="710"/>
    </row>
    <row r="183" spans="1:72" ht="15.75">
      <c r="A183" s="545"/>
      <c r="B183" s="545"/>
      <c r="C183" s="545"/>
      <c r="D183" s="545"/>
      <c r="E183" s="545"/>
      <c r="F183" s="545"/>
      <c r="G183" s="545"/>
      <c r="H183" s="545"/>
      <c r="I183" s="545"/>
      <c r="J183" s="545"/>
      <c r="K183" s="545"/>
      <c r="L183" s="545"/>
      <c r="M183" s="545"/>
      <c r="N183" s="545"/>
      <c r="O183" s="545"/>
      <c r="P183" s="545"/>
      <c r="Q183" s="545"/>
      <c r="R183" s="545"/>
      <c r="S183" s="576"/>
      <c r="T183" s="576"/>
      <c r="U183" s="576"/>
      <c r="V183" s="576"/>
      <c r="W183" s="545"/>
      <c r="X183" s="545"/>
      <c r="Y183" s="576"/>
      <c r="Z183" s="576"/>
      <c r="AA183" s="545"/>
      <c r="AB183" s="545"/>
      <c r="AC183" s="545"/>
      <c r="AD183" s="576"/>
      <c r="AE183" s="576"/>
      <c r="AF183" s="576"/>
      <c r="AG183" s="576"/>
      <c r="AH183" s="576"/>
      <c r="AI183" s="576"/>
      <c r="AJ183" s="576"/>
      <c r="AK183" s="576"/>
      <c r="AL183" s="576"/>
      <c r="AM183" s="576"/>
      <c r="AN183" s="576"/>
      <c r="AO183" s="576"/>
      <c r="AP183" s="576"/>
      <c r="AQ183" s="576"/>
      <c r="AR183" s="576"/>
      <c r="AS183" s="576"/>
      <c r="AT183" s="576"/>
      <c r="AU183" s="576"/>
      <c r="AV183" s="576"/>
      <c r="AW183" s="576"/>
      <c r="AX183" s="576"/>
      <c r="AY183" s="576"/>
      <c r="AZ183" s="576"/>
      <c r="BA183" s="576"/>
      <c r="BB183" s="576"/>
      <c r="BC183" s="576"/>
      <c r="BD183" s="572"/>
      <c r="BE183" s="710"/>
      <c r="BF183" s="710"/>
      <c r="BG183" s="710"/>
      <c r="BH183" s="710"/>
      <c r="BI183" s="710"/>
      <c r="BJ183" s="710"/>
      <c r="BK183" s="710"/>
      <c r="BL183" s="710"/>
      <c r="BM183" s="710"/>
      <c r="BN183" s="710"/>
      <c r="BO183" s="710"/>
      <c r="BP183" s="710"/>
      <c r="BQ183" s="710"/>
      <c r="BR183" s="710"/>
      <c r="BS183" s="710"/>
      <c r="BT183" s="710"/>
    </row>
    <row r="184" spans="1:72" ht="15.75">
      <c r="A184" s="545"/>
      <c r="B184" s="545"/>
      <c r="C184" s="545"/>
      <c r="D184" s="545"/>
      <c r="E184" s="545"/>
      <c r="F184" s="545"/>
      <c r="G184" s="545"/>
      <c r="H184" s="545"/>
      <c r="I184" s="545"/>
      <c r="J184" s="545"/>
      <c r="K184" s="545"/>
      <c r="L184" s="545"/>
      <c r="M184" s="545"/>
      <c r="N184" s="545"/>
      <c r="O184" s="545"/>
      <c r="P184" s="545"/>
      <c r="Q184" s="545"/>
      <c r="R184" s="545"/>
      <c r="S184" s="576"/>
      <c r="T184" s="576"/>
      <c r="U184" s="576"/>
      <c r="V184" s="576"/>
      <c r="W184" s="545"/>
      <c r="X184" s="545"/>
      <c r="Y184" s="576"/>
      <c r="Z184" s="576"/>
      <c r="AA184" s="545"/>
      <c r="AB184" s="545"/>
      <c r="AC184" s="545"/>
      <c r="AD184" s="576"/>
      <c r="AE184" s="576"/>
      <c r="AF184" s="576"/>
      <c r="AG184" s="576"/>
      <c r="AH184" s="576"/>
      <c r="AI184" s="576"/>
      <c r="AJ184" s="576"/>
      <c r="AK184" s="576"/>
      <c r="AL184" s="576"/>
      <c r="AM184" s="576"/>
      <c r="AN184" s="576"/>
      <c r="AO184" s="576"/>
      <c r="AP184" s="576"/>
      <c r="AQ184" s="576"/>
      <c r="AR184" s="576"/>
      <c r="AS184" s="576"/>
      <c r="AT184" s="576"/>
      <c r="AU184" s="576"/>
      <c r="AV184" s="576"/>
      <c r="AW184" s="576"/>
      <c r="AX184" s="576"/>
      <c r="AY184" s="576"/>
      <c r="AZ184" s="576"/>
      <c r="BA184" s="576"/>
      <c r="BB184" s="576"/>
      <c r="BC184" s="576"/>
      <c r="BD184" s="572"/>
      <c r="BE184" s="710"/>
      <c r="BF184" s="710"/>
      <c r="BG184" s="710"/>
      <c r="BH184" s="710"/>
      <c r="BI184" s="710"/>
      <c r="BJ184" s="710"/>
      <c r="BK184" s="710"/>
      <c r="BL184" s="710"/>
      <c r="BM184" s="710"/>
      <c r="BN184" s="710"/>
      <c r="BO184" s="710"/>
      <c r="BP184" s="710"/>
      <c r="BQ184" s="710"/>
      <c r="BR184" s="710"/>
      <c r="BS184" s="710"/>
      <c r="BT184" s="710"/>
    </row>
    <row r="185" spans="1:72" ht="15.75">
      <c r="A185" s="545"/>
      <c r="B185" s="545"/>
      <c r="C185" s="545"/>
      <c r="D185" s="545"/>
      <c r="E185" s="545"/>
      <c r="F185" s="545"/>
      <c r="G185" s="545"/>
      <c r="H185" s="545"/>
      <c r="I185" s="545"/>
      <c r="J185" s="545"/>
      <c r="K185" s="545"/>
      <c r="L185" s="545"/>
      <c r="M185" s="545"/>
      <c r="N185" s="545"/>
      <c r="O185" s="545"/>
      <c r="P185" s="545"/>
      <c r="Q185" s="545"/>
      <c r="R185" s="545"/>
      <c r="S185" s="576"/>
      <c r="T185" s="576"/>
      <c r="U185" s="576"/>
      <c r="V185" s="576"/>
      <c r="W185" s="545"/>
      <c r="X185" s="545"/>
      <c r="Y185" s="576"/>
      <c r="Z185" s="576"/>
      <c r="AA185" s="545"/>
      <c r="AB185" s="545"/>
      <c r="AC185" s="545"/>
      <c r="AD185" s="576"/>
      <c r="AE185" s="576"/>
      <c r="AF185" s="576"/>
      <c r="AG185" s="576"/>
      <c r="AH185" s="576"/>
      <c r="AI185" s="576"/>
      <c r="AJ185" s="576"/>
      <c r="AK185" s="576"/>
      <c r="AL185" s="576"/>
      <c r="AM185" s="576"/>
      <c r="AN185" s="576"/>
      <c r="AO185" s="576"/>
      <c r="AP185" s="576"/>
      <c r="AQ185" s="576"/>
      <c r="AR185" s="576"/>
      <c r="AS185" s="576"/>
      <c r="AT185" s="576"/>
      <c r="AU185" s="576"/>
      <c r="AV185" s="576"/>
      <c r="AW185" s="576"/>
      <c r="AX185" s="576"/>
      <c r="AY185" s="576"/>
      <c r="AZ185" s="576"/>
      <c r="BA185" s="576"/>
      <c r="BB185" s="576"/>
      <c r="BC185" s="576"/>
      <c r="BD185" s="572"/>
      <c r="BE185" s="710"/>
      <c r="BF185" s="710"/>
      <c r="BG185" s="710"/>
      <c r="BH185" s="710"/>
      <c r="BI185" s="710"/>
      <c r="BJ185" s="710"/>
      <c r="BK185" s="710"/>
      <c r="BL185" s="710"/>
      <c r="BM185" s="710"/>
      <c r="BN185" s="710"/>
      <c r="BO185" s="710"/>
      <c r="BP185" s="710"/>
      <c r="BQ185" s="710"/>
      <c r="BR185" s="710"/>
      <c r="BS185" s="710"/>
      <c r="BT185" s="710"/>
    </row>
    <row r="186" spans="1:72" ht="15.75">
      <c r="A186" s="545"/>
      <c r="B186" s="545"/>
      <c r="C186" s="545"/>
      <c r="D186" s="545"/>
      <c r="E186" s="545"/>
      <c r="F186" s="545"/>
      <c r="G186" s="545"/>
      <c r="H186" s="545"/>
      <c r="I186" s="545"/>
      <c r="J186" s="545"/>
      <c r="K186" s="545"/>
      <c r="L186" s="545"/>
      <c r="M186" s="545"/>
      <c r="N186" s="545"/>
      <c r="O186" s="545"/>
      <c r="P186" s="545"/>
      <c r="Q186" s="545"/>
      <c r="R186" s="545"/>
      <c r="S186" s="576"/>
      <c r="T186" s="576"/>
      <c r="U186" s="576"/>
      <c r="V186" s="576"/>
      <c r="W186" s="545"/>
      <c r="X186" s="545"/>
      <c r="Y186" s="576"/>
      <c r="Z186" s="576"/>
      <c r="AA186" s="545"/>
      <c r="AB186" s="545"/>
      <c r="AC186" s="545"/>
      <c r="AD186" s="576"/>
      <c r="AE186" s="576"/>
      <c r="AF186" s="576"/>
      <c r="AG186" s="576"/>
      <c r="AH186" s="576"/>
      <c r="AI186" s="576"/>
      <c r="AJ186" s="576"/>
      <c r="AK186" s="576"/>
      <c r="AL186" s="576"/>
      <c r="AM186" s="576"/>
      <c r="AN186" s="576"/>
      <c r="AO186" s="576"/>
      <c r="AP186" s="576"/>
      <c r="AQ186" s="576"/>
      <c r="AR186" s="576"/>
      <c r="AS186" s="576"/>
      <c r="AT186" s="576"/>
      <c r="AU186" s="576"/>
      <c r="AV186" s="576"/>
      <c r="AW186" s="576"/>
      <c r="AX186" s="576"/>
      <c r="AY186" s="576"/>
      <c r="AZ186" s="576"/>
      <c r="BA186" s="576"/>
      <c r="BB186" s="576"/>
      <c r="BC186" s="576"/>
      <c r="BD186" s="572"/>
      <c r="BE186" s="710"/>
      <c r="BF186" s="710"/>
      <c r="BG186" s="710"/>
      <c r="BH186" s="710"/>
      <c r="BI186" s="710"/>
      <c r="BJ186" s="710"/>
      <c r="BK186" s="710"/>
      <c r="BL186" s="710"/>
      <c r="BM186" s="710"/>
      <c r="BN186" s="710"/>
      <c r="BO186" s="710"/>
      <c r="BP186" s="710"/>
      <c r="BQ186" s="710"/>
      <c r="BR186" s="710"/>
      <c r="BS186" s="710"/>
      <c r="BT186" s="710"/>
    </row>
    <row r="187" spans="1:72" ht="15.75">
      <c r="A187" s="545"/>
      <c r="B187" s="545"/>
      <c r="C187" s="545"/>
      <c r="D187" s="545"/>
      <c r="E187" s="545"/>
      <c r="F187" s="545"/>
      <c r="G187" s="545"/>
      <c r="H187" s="545"/>
      <c r="I187" s="545"/>
      <c r="J187" s="545"/>
      <c r="K187" s="545"/>
      <c r="L187" s="545"/>
      <c r="M187" s="545"/>
      <c r="N187" s="545"/>
      <c r="O187" s="545"/>
      <c r="P187" s="545"/>
      <c r="Q187" s="545"/>
      <c r="R187" s="545"/>
      <c r="S187" s="576"/>
      <c r="T187" s="576"/>
      <c r="U187" s="576"/>
      <c r="V187" s="576"/>
      <c r="W187" s="545"/>
      <c r="X187" s="545"/>
      <c r="Y187" s="576"/>
      <c r="Z187" s="576"/>
      <c r="AA187" s="545"/>
      <c r="AB187" s="545"/>
      <c r="AC187" s="545"/>
      <c r="AD187" s="576"/>
      <c r="AE187" s="576"/>
      <c r="AF187" s="576"/>
      <c r="AG187" s="576"/>
      <c r="AH187" s="576"/>
      <c r="AI187" s="576"/>
      <c r="AJ187" s="576"/>
      <c r="AK187" s="576"/>
      <c r="AL187" s="576"/>
      <c r="AM187" s="576"/>
      <c r="AN187" s="576"/>
      <c r="AO187" s="576"/>
      <c r="AP187" s="576"/>
      <c r="AQ187" s="576"/>
      <c r="AR187" s="576"/>
      <c r="AS187" s="576"/>
      <c r="AT187" s="576"/>
      <c r="AU187" s="576"/>
      <c r="AV187" s="576"/>
      <c r="AW187" s="576"/>
      <c r="AX187" s="576"/>
      <c r="AY187" s="576"/>
      <c r="AZ187" s="576"/>
      <c r="BA187" s="576"/>
      <c r="BB187" s="576"/>
      <c r="BC187" s="576"/>
      <c r="BD187" s="572"/>
      <c r="BE187" s="710"/>
      <c r="BF187" s="710"/>
      <c r="BG187" s="710"/>
      <c r="BH187" s="710"/>
      <c r="BI187" s="710"/>
      <c r="BJ187" s="710"/>
      <c r="BK187" s="710"/>
      <c r="BL187" s="710"/>
      <c r="BM187" s="710"/>
      <c r="BN187" s="710"/>
      <c r="BO187" s="710"/>
      <c r="BP187" s="710"/>
      <c r="BQ187" s="710"/>
      <c r="BR187" s="710"/>
      <c r="BS187" s="710"/>
      <c r="BT187" s="710"/>
    </row>
    <row r="188" spans="1:72" ht="15.75">
      <c r="A188" s="545"/>
      <c r="B188" s="545"/>
      <c r="C188" s="545"/>
      <c r="D188" s="545"/>
      <c r="E188" s="545"/>
      <c r="F188" s="545"/>
      <c r="G188" s="545"/>
      <c r="H188" s="545"/>
      <c r="I188" s="545"/>
      <c r="J188" s="545"/>
      <c r="K188" s="545"/>
      <c r="L188" s="545"/>
      <c r="M188" s="545"/>
      <c r="N188" s="545"/>
      <c r="O188" s="545"/>
      <c r="P188" s="545"/>
      <c r="Q188" s="545"/>
      <c r="R188" s="545"/>
      <c r="S188" s="576"/>
      <c r="T188" s="576"/>
      <c r="U188" s="576"/>
      <c r="V188" s="576"/>
      <c r="W188" s="545"/>
      <c r="X188" s="545"/>
      <c r="Y188" s="576"/>
      <c r="Z188" s="576"/>
      <c r="AA188" s="545"/>
      <c r="AB188" s="545"/>
      <c r="AC188" s="545"/>
      <c r="AD188" s="576"/>
      <c r="AE188" s="576"/>
      <c r="AF188" s="576"/>
      <c r="AG188" s="576"/>
      <c r="AH188" s="576"/>
      <c r="AI188" s="576"/>
      <c r="AJ188" s="576"/>
      <c r="AK188" s="576"/>
      <c r="AL188" s="576"/>
      <c r="AM188" s="576"/>
      <c r="AN188" s="576"/>
      <c r="AO188" s="576"/>
      <c r="AP188" s="576"/>
      <c r="AQ188" s="576"/>
      <c r="AR188" s="576"/>
      <c r="AS188" s="576"/>
      <c r="AT188" s="576"/>
      <c r="AU188" s="576"/>
      <c r="AV188" s="576"/>
      <c r="AW188" s="576"/>
      <c r="AX188" s="576"/>
      <c r="AY188" s="576"/>
      <c r="AZ188" s="576"/>
      <c r="BA188" s="576"/>
      <c r="BB188" s="576"/>
      <c r="BC188" s="576"/>
      <c r="BD188" s="572"/>
      <c r="BE188" s="710"/>
      <c r="BF188" s="710"/>
      <c r="BG188" s="710"/>
      <c r="BH188" s="710"/>
      <c r="BI188" s="710"/>
      <c r="BJ188" s="710"/>
      <c r="BK188" s="710"/>
      <c r="BL188" s="710"/>
      <c r="BM188" s="710"/>
      <c r="BN188" s="710"/>
      <c r="BO188" s="710"/>
      <c r="BP188" s="710"/>
      <c r="BQ188" s="710"/>
      <c r="BR188" s="710"/>
      <c r="BS188" s="710"/>
      <c r="BT188" s="710"/>
    </row>
    <row r="189" spans="1:72" ht="15.75">
      <c r="A189" s="545"/>
      <c r="B189" s="545"/>
      <c r="C189" s="545"/>
      <c r="D189" s="545"/>
      <c r="E189" s="545"/>
      <c r="F189" s="545"/>
      <c r="G189" s="545"/>
      <c r="H189" s="545"/>
      <c r="I189" s="545"/>
      <c r="J189" s="545"/>
      <c r="K189" s="545"/>
      <c r="L189" s="545"/>
      <c r="M189" s="545"/>
      <c r="N189" s="545"/>
      <c r="O189" s="545"/>
      <c r="P189" s="545"/>
      <c r="Q189" s="545"/>
      <c r="R189" s="545"/>
      <c r="S189" s="576"/>
      <c r="T189" s="576"/>
      <c r="U189" s="576"/>
      <c r="V189" s="576"/>
      <c r="W189" s="545"/>
      <c r="X189" s="545"/>
      <c r="Y189" s="576"/>
      <c r="Z189" s="576"/>
      <c r="AA189" s="545"/>
      <c r="AB189" s="545"/>
      <c r="AC189" s="545"/>
      <c r="AD189" s="576"/>
      <c r="AE189" s="576"/>
      <c r="AF189" s="576"/>
      <c r="AG189" s="576"/>
      <c r="AH189" s="576"/>
      <c r="AI189" s="576"/>
      <c r="AJ189" s="576"/>
      <c r="AK189" s="576"/>
      <c r="AL189" s="576"/>
      <c r="AM189" s="576"/>
      <c r="AN189" s="576"/>
      <c r="AO189" s="576"/>
      <c r="AP189" s="576"/>
      <c r="AQ189" s="576"/>
      <c r="AR189" s="576"/>
      <c r="AS189" s="576"/>
      <c r="AT189" s="576"/>
      <c r="AU189" s="576"/>
      <c r="AV189" s="576"/>
      <c r="AW189" s="576"/>
      <c r="AX189" s="576"/>
      <c r="AY189" s="576"/>
      <c r="AZ189" s="576"/>
      <c r="BA189" s="576"/>
      <c r="BB189" s="576"/>
      <c r="BC189" s="576"/>
      <c r="BD189" s="572"/>
      <c r="BE189" s="710"/>
      <c r="BF189" s="710"/>
      <c r="BG189" s="710"/>
      <c r="BH189" s="710"/>
      <c r="BI189" s="710"/>
      <c r="BJ189" s="710"/>
      <c r="BK189" s="710"/>
      <c r="BL189" s="710"/>
      <c r="BM189" s="710"/>
      <c r="BN189" s="710"/>
      <c r="BO189" s="710"/>
      <c r="BP189" s="710"/>
      <c r="BQ189" s="710"/>
      <c r="BR189" s="710"/>
      <c r="BS189" s="710"/>
      <c r="BT189" s="710"/>
    </row>
    <row r="190" spans="1:72" ht="15.75">
      <c r="A190" s="545"/>
      <c r="B190" s="545"/>
      <c r="C190" s="545"/>
      <c r="D190" s="545"/>
      <c r="E190" s="545"/>
      <c r="F190" s="545"/>
      <c r="G190" s="545"/>
      <c r="H190" s="545"/>
      <c r="I190" s="545"/>
      <c r="J190" s="545"/>
      <c r="K190" s="545"/>
      <c r="L190" s="545"/>
      <c r="M190" s="545"/>
      <c r="N190" s="545"/>
      <c r="O190" s="545"/>
      <c r="P190" s="545"/>
      <c r="Q190" s="545"/>
      <c r="R190" s="545"/>
      <c r="S190" s="576"/>
      <c r="T190" s="576"/>
      <c r="U190" s="576"/>
      <c r="V190" s="576"/>
      <c r="W190" s="545"/>
      <c r="X190" s="545"/>
      <c r="Y190" s="576"/>
      <c r="Z190" s="576"/>
      <c r="AA190" s="545"/>
      <c r="AB190" s="545"/>
      <c r="AC190" s="545"/>
      <c r="AD190" s="576"/>
      <c r="AE190" s="576"/>
      <c r="AF190" s="576"/>
      <c r="AG190" s="576"/>
      <c r="AH190" s="576"/>
      <c r="AI190" s="576"/>
      <c r="AJ190" s="576"/>
      <c r="AK190" s="576"/>
      <c r="AL190" s="576"/>
      <c r="AM190" s="576"/>
      <c r="AN190" s="576"/>
      <c r="AO190" s="576"/>
      <c r="AP190" s="576"/>
      <c r="AQ190" s="576"/>
      <c r="AR190" s="576"/>
      <c r="AS190" s="576"/>
      <c r="AT190" s="576"/>
      <c r="AU190" s="576"/>
      <c r="AV190" s="576"/>
      <c r="AW190" s="576"/>
      <c r="AX190" s="576"/>
      <c r="AY190" s="576"/>
      <c r="AZ190" s="576"/>
      <c r="BA190" s="576"/>
      <c r="BB190" s="576"/>
      <c r="BC190" s="576"/>
      <c r="BD190" s="572"/>
      <c r="BE190" s="710"/>
      <c r="BF190" s="710"/>
      <c r="BG190" s="710"/>
      <c r="BH190" s="710"/>
      <c r="BI190" s="710"/>
      <c r="BJ190" s="710"/>
      <c r="BK190" s="710"/>
      <c r="BL190" s="710"/>
      <c r="BM190" s="710"/>
      <c r="BN190" s="710"/>
      <c r="BO190" s="710"/>
      <c r="BP190" s="710"/>
      <c r="BQ190" s="710"/>
      <c r="BR190" s="710"/>
      <c r="BS190" s="710"/>
      <c r="BT190" s="710"/>
    </row>
    <row r="191" spans="1:72" ht="15.75">
      <c r="A191" s="545"/>
      <c r="B191" s="545"/>
      <c r="C191" s="545"/>
      <c r="D191" s="545"/>
      <c r="E191" s="545"/>
      <c r="F191" s="545"/>
      <c r="G191" s="545"/>
      <c r="H191" s="545"/>
      <c r="I191" s="545"/>
      <c r="J191" s="545"/>
      <c r="K191" s="545"/>
      <c r="L191" s="545"/>
      <c r="M191" s="545"/>
      <c r="N191" s="545"/>
      <c r="O191" s="545"/>
      <c r="P191" s="545"/>
      <c r="Q191" s="545"/>
      <c r="R191" s="545"/>
      <c r="S191" s="576"/>
      <c r="T191" s="576"/>
      <c r="U191" s="576"/>
      <c r="V191" s="576"/>
      <c r="W191" s="545"/>
      <c r="X191" s="545"/>
      <c r="Y191" s="576"/>
      <c r="Z191" s="576"/>
      <c r="AA191" s="545"/>
      <c r="AB191" s="545"/>
      <c r="AC191" s="545"/>
      <c r="AD191" s="576"/>
      <c r="AE191" s="576"/>
      <c r="AF191" s="576"/>
      <c r="AG191" s="576"/>
      <c r="AH191" s="576"/>
      <c r="AI191" s="576"/>
      <c r="AJ191" s="576"/>
      <c r="AK191" s="576"/>
      <c r="AL191" s="576"/>
      <c r="AM191" s="576"/>
      <c r="AN191" s="576"/>
      <c r="AO191" s="576"/>
      <c r="AP191" s="576"/>
      <c r="AQ191" s="576"/>
      <c r="AR191" s="576"/>
      <c r="AS191" s="576"/>
      <c r="AT191" s="576"/>
      <c r="AU191" s="576"/>
      <c r="AV191" s="576"/>
      <c r="AW191" s="576"/>
      <c r="AX191" s="576"/>
      <c r="AY191" s="576"/>
      <c r="AZ191" s="576"/>
      <c r="BA191" s="576"/>
      <c r="BB191" s="576"/>
      <c r="BC191" s="576"/>
      <c r="BD191" s="572"/>
      <c r="BE191" s="710"/>
      <c r="BF191" s="710"/>
      <c r="BG191" s="710"/>
      <c r="BH191" s="710"/>
      <c r="BI191" s="710"/>
      <c r="BJ191" s="710"/>
      <c r="BK191" s="710"/>
      <c r="BL191" s="710"/>
      <c r="BM191" s="710"/>
      <c r="BN191" s="710"/>
      <c r="BO191" s="710"/>
      <c r="BP191" s="710"/>
      <c r="BQ191" s="710"/>
      <c r="BR191" s="710"/>
      <c r="BS191" s="710"/>
      <c r="BT191" s="710"/>
    </row>
    <row r="192" spans="1:72" ht="15.75">
      <c r="A192" s="545"/>
      <c r="B192" s="545"/>
      <c r="C192" s="545"/>
      <c r="D192" s="545"/>
      <c r="E192" s="545"/>
      <c r="F192" s="545"/>
      <c r="G192" s="545"/>
      <c r="H192" s="545"/>
      <c r="I192" s="545"/>
      <c r="J192" s="545"/>
      <c r="K192" s="545"/>
      <c r="L192" s="545"/>
      <c r="M192" s="545"/>
      <c r="N192" s="545"/>
      <c r="O192" s="545"/>
      <c r="P192" s="545"/>
      <c r="Q192" s="545"/>
      <c r="R192" s="545"/>
      <c r="S192" s="576"/>
      <c r="T192" s="576"/>
      <c r="U192" s="576"/>
      <c r="V192" s="576"/>
      <c r="W192" s="545"/>
      <c r="X192" s="545"/>
      <c r="Y192" s="576"/>
      <c r="Z192" s="576"/>
      <c r="AA192" s="545"/>
      <c r="AB192" s="545"/>
      <c r="AC192" s="545"/>
      <c r="AD192" s="576"/>
      <c r="AE192" s="576"/>
      <c r="AF192" s="576"/>
      <c r="AG192" s="576"/>
      <c r="AH192" s="576"/>
      <c r="AI192" s="576"/>
      <c r="AJ192" s="576"/>
      <c r="AK192" s="576"/>
      <c r="AL192" s="576"/>
      <c r="AM192" s="576"/>
      <c r="AN192" s="576"/>
      <c r="AO192" s="576"/>
      <c r="AP192" s="576"/>
      <c r="AQ192" s="576"/>
      <c r="AR192" s="576"/>
      <c r="AS192" s="576"/>
      <c r="AT192" s="576"/>
      <c r="AU192" s="576"/>
      <c r="AV192" s="576"/>
      <c r="AW192" s="576"/>
      <c r="AX192" s="576"/>
      <c r="AY192" s="576"/>
      <c r="AZ192" s="576"/>
      <c r="BA192" s="576"/>
      <c r="BB192" s="576"/>
      <c r="BC192" s="576"/>
      <c r="BD192" s="572"/>
      <c r="BE192" s="710"/>
      <c r="BF192" s="710"/>
      <c r="BG192" s="710"/>
      <c r="BH192" s="710"/>
      <c r="BI192" s="710"/>
      <c r="BJ192" s="710"/>
      <c r="BK192" s="710"/>
      <c r="BL192" s="710"/>
      <c r="BM192" s="710"/>
      <c r="BN192" s="710"/>
      <c r="BO192" s="710"/>
      <c r="BP192" s="710"/>
      <c r="BQ192" s="710"/>
      <c r="BR192" s="710"/>
      <c r="BS192" s="710"/>
      <c r="BT192" s="710"/>
    </row>
    <row r="193" spans="1:72" ht="15.75">
      <c r="A193" s="545"/>
      <c r="B193" s="545"/>
      <c r="C193" s="545"/>
      <c r="D193" s="545"/>
      <c r="E193" s="545"/>
      <c r="F193" s="545"/>
      <c r="G193" s="545"/>
      <c r="H193" s="545"/>
      <c r="I193" s="545"/>
      <c r="J193" s="545"/>
      <c r="K193" s="545"/>
      <c r="L193" s="545"/>
      <c r="M193" s="545"/>
      <c r="N193" s="545"/>
      <c r="O193" s="545"/>
      <c r="P193" s="545"/>
      <c r="Q193" s="545"/>
      <c r="R193" s="545"/>
      <c r="S193" s="576"/>
      <c r="T193" s="576"/>
      <c r="U193" s="576"/>
      <c r="V193" s="576"/>
      <c r="W193" s="545"/>
      <c r="X193" s="545"/>
      <c r="Y193" s="576"/>
      <c r="Z193" s="576"/>
      <c r="AA193" s="545"/>
      <c r="AB193" s="545"/>
      <c r="AC193" s="545"/>
      <c r="AD193" s="576"/>
      <c r="AE193" s="576"/>
      <c r="AF193" s="576"/>
      <c r="AG193" s="576"/>
      <c r="AH193" s="576"/>
      <c r="AI193" s="576"/>
      <c r="AJ193" s="576"/>
      <c r="AK193" s="576"/>
      <c r="AL193" s="576"/>
      <c r="AM193" s="576"/>
      <c r="AN193" s="576"/>
      <c r="AO193" s="576"/>
      <c r="AP193" s="576"/>
      <c r="AQ193" s="576"/>
      <c r="AR193" s="576"/>
      <c r="AS193" s="576"/>
      <c r="AT193" s="576"/>
      <c r="AU193" s="576"/>
      <c r="AV193" s="576"/>
      <c r="AW193" s="576"/>
      <c r="AX193" s="576"/>
      <c r="AY193" s="576"/>
      <c r="AZ193" s="576"/>
      <c r="BA193" s="576"/>
      <c r="BB193" s="576"/>
      <c r="BC193" s="576"/>
      <c r="BD193" s="572"/>
      <c r="BE193" s="710"/>
      <c r="BF193" s="710"/>
      <c r="BG193" s="710"/>
      <c r="BH193" s="710"/>
      <c r="BI193" s="710"/>
      <c r="BJ193" s="710"/>
      <c r="BK193" s="710"/>
      <c r="BL193" s="710"/>
      <c r="BM193" s="710"/>
      <c r="BN193" s="710"/>
      <c r="BO193" s="710"/>
      <c r="BP193" s="710"/>
      <c r="BQ193" s="710"/>
      <c r="BR193" s="710"/>
      <c r="BS193" s="710"/>
      <c r="BT193" s="710"/>
    </row>
    <row r="194" spans="1:72" ht="15.75">
      <c r="A194" s="545"/>
      <c r="B194" s="545"/>
      <c r="C194" s="545"/>
      <c r="D194" s="545"/>
      <c r="E194" s="545"/>
      <c r="F194" s="545"/>
      <c r="G194" s="545"/>
      <c r="H194" s="545"/>
      <c r="I194" s="545"/>
      <c r="J194" s="545"/>
      <c r="K194" s="545"/>
      <c r="L194" s="545"/>
      <c r="M194" s="545"/>
      <c r="N194" s="545"/>
      <c r="O194" s="545"/>
      <c r="P194" s="545"/>
      <c r="Q194" s="545"/>
      <c r="R194" s="545"/>
      <c r="S194" s="576"/>
      <c r="T194" s="576"/>
      <c r="U194" s="576"/>
      <c r="V194" s="576"/>
      <c r="W194" s="545"/>
      <c r="X194" s="545"/>
      <c r="Y194" s="576"/>
      <c r="Z194" s="576"/>
      <c r="AA194" s="545"/>
      <c r="AB194" s="545"/>
      <c r="AC194" s="545"/>
      <c r="AD194" s="576"/>
      <c r="AE194" s="576"/>
      <c r="AF194" s="576"/>
      <c r="AG194" s="576"/>
      <c r="AH194" s="576"/>
      <c r="AI194" s="576"/>
      <c r="AJ194" s="576"/>
      <c r="AK194" s="576"/>
      <c r="AL194" s="576"/>
      <c r="AM194" s="576"/>
      <c r="AN194" s="576"/>
      <c r="AO194" s="576"/>
      <c r="AP194" s="576"/>
      <c r="AQ194" s="576"/>
      <c r="AR194" s="576"/>
      <c r="AS194" s="576"/>
      <c r="AT194" s="576"/>
      <c r="AU194" s="576"/>
      <c r="AV194" s="576"/>
      <c r="AW194" s="576"/>
      <c r="AX194" s="576"/>
      <c r="AY194" s="576"/>
      <c r="AZ194" s="576"/>
      <c r="BA194" s="576"/>
      <c r="BB194" s="576"/>
      <c r="BC194" s="576"/>
      <c r="BD194" s="572"/>
      <c r="BE194" s="710"/>
      <c r="BF194" s="710"/>
      <c r="BG194" s="710"/>
      <c r="BH194" s="710"/>
      <c r="BI194" s="710"/>
      <c r="BJ194" s="710"/>
      <c r="BK194" s="710"/>
      <c r="BL194" s="710"/>
      <c r="BM194" s="710"/>
      <c r="BN194" s="710"/>
      <c r="BO194" s="710"/>
      <c r="BP194" s="710"/>
      <c r="BQ194" s="710"/>
      <c r="BR194" s="710"/>
      <c r="BS194" s="710"/>
      <c r="BT194" s="710"/>
    </row>
    <row r="195" spans="1:72" ht="15.75">
      <c r="A195" s="545"/>
      <c r="B195" s="545"/>
      <c r="C195" s="545"/>
      <c r="D195" s="545"/>
      <c r="E195" s="545"/>
      <c r="F195" s="545"/>
      <c r="G195" s="545"/>
      <c r="H195" s="545"/>
      <c r="I195" s="545"/>
      <c r="J195" s="545"/>
      <c r="K195" s="545"/>
      <c r="L195" s="545"/>
      <c r="M195" s="545"/>
      <c r="N195" s="545"/>
      <c r="O195" s="545"/>
      <c r="P195" s="545"/>
      <c r="Q195" s="545"/>
      <c r="R195" s="545"/>
      <c r="S195" s="576"/>
      <c r="T195" s="576"/>
      <c r="U195" s="576"/>
      <c r="V195" s="576"/>
      <c r="W195" s="545"/>
      <c r="X195" s="545"/>
      <c r="Y195" s="576"/>
      <c r="Z195" s="576"/>
      <c r="AA195" s="545"/>
      <c r="AB195" s="545"/>
      <c r="AC195" s="545"/>
      <c r="AD195" s="576"/>
      <c r="AE195" s="576"/>
      <c r="AF195" s="576"/>
      <c r="AG195" s="576"/>
      <c r="AH195" s="576"/>
      <c r="AI195" s="576"/>
      <c r="AJ195" s="576"/>
      <c r="AK195" s="576"/>
      <c r="AL195" s="576"/>
      <c r="AM195" s="576"/>
      <c r="AN195" s="576"/>
      <c r="AO195" s="576"/>
      <c r="AP195" s="576"/>
      <c r="AQ195" s="576"/>
      <c r="AR195" s="576"/>
      <c r="AS195" s="576"/>
      <c r="AT195" s="576"/>
      <c r="AU195" s="576"/>
      <c r="AV195" s="576"/>
      <c r="AW195" s="576"/>
      <c r="AX195" s="576"/>
      <c r="AY195" s="576"/>
      <c r="AZ195" s="576"/>
      <c r="BA195" s="576"/>
      <c r="BB195" s="576"/>
      <c r="BC195" s="576"/>
      <c r="BD195" s="572"/>
      <c r="BE195" s="710"/>
      <c r="BF195" s="710"/>
      <c r="BG195" s="710"/>
      <c r="BH195" s="710"/>
      <c r="BI195" s="710"/>
      <c r="BJ195" s="710"/>
      <c r="BK195" s="710"/>
      <c r="BL195" s="710"/>
      <c r="BM195" s="710"/>
      <c r="BN195" s="710"/>
      <c r="BO195" s="710"/>
      <c r="BP195" s="710"/>
      <c r="BQ195" s="710"/>
      <c r="BR195" s="710"/>
      <c r="BS195" s="710"/>
      <c r="BT195" s="710"/>
    </row>
    <row r="196" spans="1:72" ht="15.75">
      <c r="A196" s="545"/>
      <c r="B196" s="545"/>
      <c r="C196" s="545"/>
      <c r="D196" s="545"/>
      <c r="E196" s="545"/>
      <c r="F196" s="545"/>
      <c r="G196" s="545"/>
      <c r="H196" s="545"/>
      <c r="I196" s="545"/>
      <c r="J196" s="545"/>
      <c r="K196" s="545"/>
      <c r="L196" s="545"/>
      <c r="M196" s="545"/>
      <c r="N196" s="545"/>
      <c r="O196" s="545"/>
      <c r="P196" s="545"/>
      <c r="Q196" s="545"/>
      <c r="R196" s="545"/>
      <c r="S196" s="576"/>
      <c r="T196" s="576"/>
      <c r="U196" s="576"/>
      <c r="V196" s="576"/>
      <c r="W196" s="545"/>
      <c r="X196" s="545"/>
      <c r="Y196" s="576"/>
      <c r="Z196" s="576"/>
      <c r="AA196" s="545"/>
      <c r="AB196" s="545"/>
      <c r="AC196" s="545"/>
      <c r="AD196" s="576"/>
      <c r="AE196" s="576"/>
      <c r="AF196" s="576"/>
      <c r="AG196" s="576"/>
      <c r="AH196" s="576"/>
      <c r="AI196" s="576"/>
      <c r="AJ196" s="576"/>
      <c r="AK196" s="576"/>
      <c r="AL196" s="576"/>
      <c r="AM196" s="576"/>
      <c r="AN196" s="576"/>
      <c r="AO196" s="576"/>
      <c r="AP196" s="576"/>
      <c r="AQ196" s="576"/>
      <c r="AR196" s="576"/>
      <c r="AS196" s="576"/>
      <c r="AT196" s="576"/>
      <c r="AU196" s="576"/>
      <c r="AV196" s="576"/>
      <c r="AW196" s="576"/>
      <c r="AX196" s="576"/>
      <c r="AY196" s="576"/>
      <c r="AZ196" s="576"/>
      <c r="BA196" s="576"/>
      <c r="BB196" s="576"/>
      <c r="BC196" s="576"/>
      <c r="BD196" s="572"/>
      <c r="BE196" s="710"/>
      <c r="BF196" s="710"/>
      <c r="BG196" s="710"/>
      <c r="BH196" s="710"/>
      <c r="BI196" s="710"/>
      <c r="BJ196" s="710"/>
      <c r="BK196" s="710"/>
      <c r="BL196" s="710"/>
      <c r="BM196" s="710"/>
      <c r="BN196" s="710"/>
      <c r="BO196" s="710"/>
      <c r="BP196" s="710"/>
      <c r="BQ196" s="710"/>
      <c r="BR196" s="710"/>
      <c r="BS196" s="710"/>
      <c r="BT196" s="710"/>
    </row>
    <row r="197" spans="1:72" ht="15.75">
      <c r="A197" s="545"/>
      <c r="B197" s="545"/>
      <c r="C197" s="545"/>
      <c r="D197" s="545"/>
      <c r="E197" s="545"/>
      <c r="F197" s="545"/>
      <c r="G197" s="545"/>
      <c r="H197" s="545"/>
      <c r="I197" s="545"/>
      <c r="J197" s="545"/>
      <c r="K197" s="545"/>
      <c r="L197" s="545"/>
      <c r="M197" s="545"/>
      <c r="N197" s="545"/>
      <c r="O197" s="545"/>
      <c r="P197" s="545"/>
      <c r="Q197" s="545"/>
      <c r="R197" s="545"/>
      <c r="S197" s="576"/>
      <c r="T197" s="576"/>
      <c r="U197" s="576"/>
      <c r="V197" s="576"/>
      <c r="W197" s="545"/>
      <c r="X197" s="545"/>
      <c r="Y197" s="576"/>
      <c r="Z197" s="576"/>
      <c r="AA197" s="545"/>
      <c r="AB197" s="545"/>
      <c r="AC197" s="545"/>
      <c r="AD197" s="576"/>
      <c r="AE197" s="576"/>
      <c r="AF197" s="576"/>
      <c r="AG197" s="576"/>
      <c r="AH197" s="576"/>
      <c r="AI197" s="576"/>
      <c r="AJ197" s="576"/>
      <c r="AK197" s="576"/>
      <c r="AL197" s="576"/>
      <c r="AM197" s="576"/>
      <c r="AN197" s="576"/>
      <c r="AO197" s="576"/>
      <c r="AP197" s="576"/>
      <c r="AQ197" s="576"/>
      <c r="AR197" s="576"/>
      <c r="AS197" s="576"/>
      <c r="AT197" s="576"/>
      <c r="AU197" s="576"/>
      <c r="AV197" s="576"/>
      <c r="AW197" s="576"/>
      <c r="AX197" s="576"/>
      <c r="AY197" s="576"/>
      <c r="AZ197" s="576"/>
      <c r="BA197" s="576"/>
      <c r="BB197" s="576"/>
      <c r="BC197" s="576"/>
      <c r="BD197" s="572"/>
      <c r="BE197" s="710"/>
      <c r="BF197" s="710"/>
      <c r="BG197" s="710"/>
      <c r="BH197" s="710"/>
      <c r="BI197" s="710"/>
      <c r="BJ197" s="710"/>
      <c r="BK197" s="710"/>
      <c r="BL197" s="710"/>
      <c r="BM197" s="710"/>
      <c r="BN197" s="710"/>
      <c r="BO197" s="710"/>
      <c r="BP197" s="710"/>
      <c r="BQ197" s="710"/>
      <c r="BR197" s="710"/>
      <c r="BS197" s="710"/>
      <c r="BT197" s="710"/>
    </row>
    <row r="198" spans="1:72" ht="15.75">
      <c r="A198" s="545"/>
      <c r="B198" s="545"/>
      <c r="C198" s="545"/>
      <c r="D198" s="545"/>
      <c r="E198" s="545"/>
      <c r="F198" s="545"/>
      <c r="G198" s="545"/>
      <c r="H198" s="545"/>
      <c r="I198" s="545"/>
      <c r="J198" s="545"/>
      <c r="K198" s="545"/>
      <c r="L198" s="545"/>
      <c r="M198" s="545"/>
      <c r="N198" s="545"/>
      <c r="O198" s="545"/>
      <c r="P198" s="545"/>
      <c r="Q198" s="545"/>
      <c r="R198" s="545"/>
      <c r="S198" s="576"/>
      <c r="T198" s="576"/>
      <c r="U198" s="576"/>
      <c r="V198" s="576"/>
      <c r="W198" s="545"/>
      <c r="X198" s="545"/>
      <c r="Y198" s="576"/>
      <c r="Z198" s="576"/>
      <c r="AA198" s="545"/>
      <c r="AB198" s="545"/>
      <c r="AC198" s="545"/>
      <c r="AD198" s="576"/>
      <c r="AE198" s="576"/>
      <c r="AF198" s="576"/>
      <c r="AG198" s="576"/>
      <c r="AH198" s="576"/>
      <c r="AI198" s="576"/>
      <c r="AJ198" s="576"/>
      <c r="AK198" s="576"/>
      <c r="AL198" s="576"/>
      <c r="AM198" s="576"/>
      <c r="AN198" s="576"/>
      <c r="AO198" s="576"/>
      <c r="AP198" s="576"/>
      <c r="AQ198" s="576"/>
      <c r="AR198" s="576"/>
      <c r="AS198" s="576"/>
      <c r="AT198" s="576"/>
      <c r="AU198" s="576"/>
      <c r="AV198" s="576"/>
      <c r="AW198" s="576"/>
      <c r="AX198" s="576"/>
      <c r="AY198" s="576"/>
      <c r="AZ198" s="576"/>
      <c r="BA198" s="576"/>
      <c r="BB198" s="576"/>
      <c r="BC198" s="576"/>
      <c r="BD198" s="572"/>
      <c r="BE198" s="710"/>
      <c r="BF198" s="710"/>
      <c r="BG198" s="710"/>
      <c r="BH198" s="710"/>
      <c r="BI198" s="710"/>
      <c r="BJ198" s="710"/>
      <c r="BK198" s="710"/>
      <c r="BL198" s="710"/>
      <c r="BM198" s="710"/>
      <c r="BN198" s="710"/>
      <c r="BO198" s="710"/>
      <c r="BP198" s="710"/>
      <c r="BQ198" s="710"/>
      <c r="BR198" s="710"/>
      <c r="BS198" s="710"/>
      <c r="BT198" s="710"/>
    </row>
    <row r="199" spans="1:72" ht="15.75">
      <c r="A199" s="545"/>
      <c r="B199" s="545"/>
      <c r="C199" s="545"/>
      <c r="D199" s="545"/>
      <c r="E199" s="545"/>
      <c r="F199" s="545"/>
      <c r="G199" s="545"/>
      <c r="H199" s="545"/>
      <c r="I199" s="545"/>
      <c r="J199" s="545"/>
      <c r="K199" s="545"/>
      <c r="L199" s="545"/>
      <c r="M199" s="545"/>
      <c r="N199" s="545"/>
      <c r="O199" s="545"/>
      <c r="P199" s="545"/>
      <c r="Q199" s="545"/>
      <c r="R199" s="545"/>
      <c r="S199" s="576"/>
      <c r="T199" s="576"/>
      <c r="U199" s="576"/>
      <c r="V199" s="576"/>
      <c r="W199" s="545"/>
      <c r="X199" s="545"/>
      <c r="Y199" s="576"/>
      <c r="Z199" s="576"/>
      <c r="AA199" s="545"/>
      <c r="AB199" s="545"/>
      <c r="AC199" s="545"/>
      <c r="AD199" s="576"/>
      <c r="AE199" s="576"/>
      <c r="AF199" s="576"/>
      <c r="AG199" s="576"/>
      <c r="AH199" s="576"/>
      <c r="AI199" s="576"/>
      <c r="AJ199" s="576"/>
      <c r="AK199" s="576"/>
      <c r="AL199" s="576"/>
      <c r="AM199" s="576"/>
      <c r="AN199" s="576"/>
      <c r="AO199" s="576"/>
      <c r="AP199" s="576"/>
      <c r="AQ199" s="576"/>
      <c r="AR199" s="576"/>
      <c r="AS199" s="576"/>
      <c r="AT199" s="576"/>
      <c r="AU199" s="576"/>
      <c r="AV199" s="576"/>
      <c r="AW199" s="576"/>
      <c r="AX199" s="576"/>
      <c r="AY199" s="576"/>
      <c r="AZ199" s="576"/>
      <c r="BA199" s="576"/>
      <c r="BB199" s="576"/>
      <c r="BC199" s="576"/>
      <c r="BD199" s="572"/>
      <c r="BE199" s="710"/>
      <c r="BF199" s="710"/>
      <c r="BG199" s="710"/>
      <c r="BH199" s="710"/>
      <c r="BI199" s="710"/>
      <c r="BJ199" s="710"/>
      <c r="BK199" s="710"/>
      <c r="BL199" s="710"/>
      <c r="BM199" s="710"/>
      <c r="BN199" s="710"/>
      <c r="BO199" s="710"/>
      <c r="BP199" s="710"/>
      <c r="BQ199" s="710"/>
      <c r="BR199" s="710"/>
      <c r="BS199" s="710"/>
      <c r="BT199" s="710"/>
    </row>
    <row r="200" spans="1:72" ht="15.75">
      <c r="A200" s="545"/>
      <c r="B200" s="545"/>
      <c r="C200" s="545"/>
      <c r="D200" s="545"/>
      <c r="E200" s="545"/>
      <c r="F200" s="545"/>
      <c r="G200" s="545"/>
      <c r="H200" s="545"/>
      <c r="I200" s="545"/>
      <c r="J200" s="545"/>
      <c r="K200" s="545"/>
      <c r="L200" s="545"/>
      <c r="M200" s="545"/>
      <c r="N200" s="545"/>
      <c r="O200" s="545"/>
      <c r="P200" s="545"/>
      <c r="Q200" s="545"/>
      <c r="R200" s="545"/>
      <c r="S200" s="576"/>
      <c r="T200" s="576"/>
      <c r="U200" s="576"/>
      <c r="V200" s="576"/>
      <c r="W200" s="545"/>
      <c r="X200" s="545"/>
      <c r="Y200" s="576"/>
      <c r="Z200" s="576"/>
      <c r="AA200" s="545"/>
      <c r="AB200" s="545"/>
      <c r="AC200" s="545"/>
      <c r="AD200" s="576"/>
      <c r="AE200" s="576"/>
      <c r="AF200" s="576"/>
      <c r="AG200" s="576"/>
      <c r="AH200" s="576"/>
      <c r="AI200" s="576"/>
      <c r="AJ200" s="576"/>
      <c r="AK200" s="576"/>
      <c r="AL200" s="576"/>
      <c r="AM200" s="576"/>
      <c r="AN200" s="576"/>
      <c r="AO200" s="576"/>
      <c r="AP200" s="576"/>
      <c r="AQ200" s="576"/>
      <c r="AR200" s="576"/>
      <c r="AS200" s="576"/>
      <c r="AT200" s="576"/>
      <c r="AU200" s="576"/>
      <c r="AV200" s="576"/>
      <c r="AW200" s="576"/>
      <c r="AX200" s="576"/>
      <c r="AY200" s="576"/>
      <c r="AZ200" s="576"/>
      <c r="BA200" s="576"/>
      <c r="BB200" s="576"/>
      <c r="BC200" s="576"/>
      <c r="BD200" s="572"/>
      <c r="BE200" s="710"/>
      <c r="BF200" s="710"/>
      <c r="BG200" s="710"/>
      <c r="BH200" s="710"/>
      <c r="BI200" s="710"/>
      <c r="BJ200" s="710"/>
      <c r="BK200" s="710"/>
      <c r="BL200" s="710"/>
      <c r="BM200" s="710"/>
      <c r="BN200" s="710"/>
      <c r="BO200" s="710"/>
      <c r="BP200" s="710"/>
      <c r="BQ200" s="710"/>
      <c r="BR200" s="710"/>
      <c r="BS200" s="710"/>
      <c r="BT200" s="710"/>
    </row>
    <row r="201" spans="1:72" ht="15.75">
      <c r="A201" s="545"/>
      <c r="B201" s="545"/>
      <c r="C201" s="545"/>
      <c r="D201" s="545"/>
      <c r="E201" s="545"/>
      <c r="F201" s="545"/>
      <c r="G201" s="545"/>
      <c r="H201" s="545"/>
      <c r="I201" s="545"/>
      <c r="J201" s="545"/>
      <c r="K201" s="545"/>
      <c r="L201" s="545"/>
      <c r="M201" s="545"/>
      <c r="N201" s="545"/>
      <c r="O201" s="545"/>
      <c r="P201" s="545"/>
      <c r="Q201" s="545"/>
      <c r="R201" s="545"/>
      <c r="S201" s="576"/>
      <c r="T201" s="576"/>
      <c r="U201" s="576"/>
      <c r="V201" s="576"/>
      <c r="W201" s="545"/>
      <c r="X201" s="545"/>
      <c r="Y201" s="576"/>
      <c r="Z201" s="576"/>
      <c r="AA201" s="545"/>
      <c r="AB201" s="545"/>
      <c r="AC201" s="545"/>
      <c r="AD201" s="576"/>
      <c r="AE201" s="576"/>
      <c r="AF201" s="576"/>
      <c r="AG201" s="576"/>
      <c r="AH201" s="576"/>
      <c r="AI201" s="576"/>
      <c r="AJ201" s="576"/>
      <c r="AK201" s="576"/>
      <c r="AL201" s="576"/>
      <c r="AM201" s="576"/>
      <c r="AN201" s="576"/>
      <c r="AO201" s="576"/>
      <c r="AP201" s="576"/>
      <c r="AQ201" s="576"/>
      <c r="AR201" s="576"/>
      <c r="AS201" s="576"/>
      <c r="AT201" s="576"/>
      <c r="AU201" s="576"/>
      <c r="AV201" s="576"/>
      <c r="AW201" s="576"/>
      <c r="AX201" s="576"/>
      <c r="AY201" s="576"/>
      <c r="AZ201" s="576"/>
      <c r="BA201" s="576"/>
      <c r="BB201" s="576"/>
      <c r="BC201" s="576"/>
      <c r="BD201" s="572"/>
      <c r="BE201" s="710"/>
      <c r="BF201" s="710"/>
      <c r="BG201" s="710"/>
      <c r="BH201" s="710"/>
      <c r="BI201" s="710"/>
      <c r="BJ201" s="710"/>
      <c r="BK201" s="710"/>
      <c r="BL201" s="710"/>
      <c r="BM201" s="710"/>
      <c r="BN201" s="710"/>
      <c r="BO201" s="710"/>
      <c r="BP201" s="710"/>
      <c r="BQ201" s="710"/>
      <c r="BR201" s="710"/>
      <c r="BS201" s="710"/>
      <c r="BT201" s="710"/>
    </row>
    <row r="202" spans="1:72" ht="15.75">
      <c r="A202" s="545"/>
      <c r="B202" s="545"/>
      <c r="C202" s="545"/>
      <c r="D202" s="545"/>
      <c r="E202" s="545"/>
      <c r="F202" s="545"/>
      <c r="G202" s="545"/>
      <c r="H202" s="545"/>
      <c r="I202" s="545"/>
      <c r="J202" s="545"/>
      <c r="K202" s="545"/>
      <c r="L202" s="545"/>
      <c r="M202" s="545"/>
      <c r="N202" s="545"/>
      <c r="O202" s="545"/>
      <c r="P202" s="545"/>
      <c r="Q202" s="545"/>
      <c r="R202" s="545"/>
      <c r="S202" s="576"/>
      <c r="T202" s="576"/>
      <c r="U202" s="576"/>
      <c r="V202" s="576"/>
      <c r="W202" s="545"/>
      <c r="X202" s="545"/>
      <c r="Y202" s="576"/>
      <c r="Z202" s="576"/>
      <c r="AA202" s="545"/>
      <c r="AB202" s="545"/>
      <c r="AC202" s="545"/>
      <c r="AD202" s="576"/>
      <c r="AE202" s="576"/>
      <c r="AF202" s="576"/>
      <c r="AG202" s="576"/>
      <c r="AH202" s="576"/>
      <c r="AI202" s="576"/>
      <c r="AJ202" s="576"/>
      <c r="AK202" s="576"/>
      <c r="AL202" s="576"/>
      <c r="AM202" s="576"/>
      <c r="AN202" s="576"/>
      <c r="AO202" s="576"/>
      <c r="AP202" s="576"/>
      <c r="AQ202" s="576"/>
      <c r="AR202" s="576"/>
      <c r="AS202" s="576"/>
      <c r="AT202" s="576"/>
      <c r="AU202" s="576"/>
      <c r="AV202" s="576"/>
      <c r="AW202" s="576"/>
      <c r="AX202" s="576"/>
      <c r="AY202" s="576"/>
      <c r="AZ202" s="576"/>
      <c r="BA202" s="576"/>
      <c r="BB202" s="576"/>
      <c r="BC202" s="576"/>
      <c r="BD202" s="572"/>
      <c r="BE202" s="710"/>
      <c r="BF202" s="710"/>
      <c r="BG202" s="710"/>
      <c r="BH202" s="710"/>
      <c r="BI202" s="710"/>
      <c r="BJ202" s="710"/>
      <c r="BK202" s="710"/>
      <c r="BL202" s="710"/>
      <c r="BM202" s="710"/>
      <c r="BN202" s="710"/>
      <c r="BO202" s="710"/>
      <c r="BP202" s="710"/>
      <c r="BQ202" s="710"/>
      <c r="BR202" s="710"/>
      <c r="BS202" s="710"/>
      <c r="BT202" s="710"/>
    </row>
    <row r="203" spans="1:72" ht="15.75">
      <c r="A203" s="545"/>
      <c r="B203" s="545"/>
      <c r="C203" s="545"/>
      <c r="D203" s="545"/>
      <c r="E203" s="545"/>
      <c r="F203" s="545"/>
      <c r="G203" s="545"/>
      <c r="H203" s="545"/>
      <c r="I203" s="545"/>
      <c r="J203" s="545"/>
      <c r="K203" s="545"/>
      <c r="L203" s="545"/>
      <c r="M203" s="545"/>
      <c r="N203" s="545"/>
      <c r="O203" s="545"/>
      <c r="P203" s="545"/>
      <c r="Q203" s="545"/>
      <c r="R203" s="545"/>
      <c r="S203" s="576"/>
      <c r="T203" s="576"/>
      <c r="U203" s="576"/>
      <c r="V203" s="576"/>
      <c r="W203" s="545"/>
      <c r="X203" s="545"/>
      <c r="Y203" s="576"/>
      <c r="Z203" s="576"/>
      <c r="AA203" s="545"/>
      <c r="AB203" s="545"/>
      <c r="AC203" s="545"/>
      <c r="AD203" s="576"/>
      <c r="AE203" s="576"/>
      <c r="AF203" s="576"/>
      <c r="AG203" s="576"/>
      <c r="AH203" s="576"/>
      <c r="AI203" s="576"/>
      <c r="AJ203" s="576"/>
      <c r="AK203" s="576"/>
      <c r="AL203" s="576"/>
      <c r="AM203" s="576"/>
      <c r="AN203" s="576"/>
      <c r="AO203" s="576"/>
      <c r="AP203" s="576"/>
      <c r="AQ203" s="576"/>
      <c r="AR203" s="576"/>
      <c r="AS203" s="576"/>
      <c r="AT203" s="576"/>
      <c r="AU203" s="576"/>
      <c r="AV203" s="576"/>
      <c r="AW203" s="576"/>
      <c r="AX203" s="576"/>
      <c r="AY203" s="576"/>
      <c r="AZ203" s="576"/>
      <c r="BA203" s="576"/>
      <c r="BB203" s="576"/>
      <c r="BC203" s="576"/>
      <c r="BD203" s="572"/>
      <c r="BE203" s="710"/>
      <c r="BF203" s="710"/>
      <c r="BG203" s="710"/>
      <c r="BH203" s="710"/>
      <c r="BI203" s="710"/>
      <c r="BJ203" s="710"/>
      <c r="BK203" s="710"/>
      <c r="BL203" s="710"/>
      <c r="BM203" s="710"/>
      <c r="BN203" s="710"/>
      <c r="BO203" s="710"/>
      <c r="BP203" s="710"/>
      <c r="BQ203" s="710"/>
      <c r="BR203" s="710"/>
      <c r="BS203" s="710"/>
      <c r="BT203" s="710"/>
    </row>
    <row r="204" spans="1:72" ht="15.75">
      <c r="A204" s="545"/>
      <c r="B204" s="545"/>
      <c r="C204" s="545"/>
      <c r="D204" s="545"/>
      <c r="E204" s="545"/>
      <c r="F204" s="545"/>
      <c r="G204" s="545"/>
      <c r="H204" s="545"/>
      <c r="I204" s="545"/>
      <c r="J204" s="545"/>
      <c r="K204" s="545"/>
      <c r="L204" s="545"/>
      <c r="M204" s="545"/>
      <c r="N204" s="545"/>
      <c r="O204" s="545"/>
      <c r="P204" s="545"/>
      <c r="Q204" s="545"/>
      <c r="R204" s="545"/>
      <c r="S204" s="576"/>
      <c r="T204" s="576"/>
      <c r="U204" s="576"/>
      <c r="V204" s="576"/>
      <c r="W204" s="545"/>
      <c r="X204" s="545"/>
      <c r="Y204" s="576"/>
      <c r="Z204" s="576"/>
      <c r="AA204" s="545"/>
      <c r="AB204" s="545"/>
      <c r="AC204" s="545"/>
      <c r="AD204" s="576"/>
      <c r="AE204" s="576"/>
      <c r="AF204" s="576"/>
      <c r="AG204" s="576"/>
      <c r="AH204" s="576"/>
      <c r="AI204" s="576"/>
      <c r="AJ204" s="576"/>
      <c r="AK204" s="576"/>
      <c r="AL204" s="576"/>
      <c r="AM204" s="576"/>
      <c r="AN204" s="576"/>
      <c r="AO204" s="576"/>
      <c r="AP204" s="576"/>
      <c r="AQ204" s="576"/>
      <c r="AR204" s="576"/>
      <c r="AS204" s="576"/>
      <c r="AT204" s="576"/>
      <c r="AU204" s="576"/>
      <c r="AV204" s="576"/>
      <c r="AW204" s="576"/>
      <c r="AX204" s="576"/>
      <c r="AY204" s="576"/>
      <c r="AZ204" s="576"/>
      <c r="BA204" s="576"/>
      <c r="BB204" s="576"/>
      <c r="BC204" s="576"/>
      <c r="BD204" s="572"/>
      <c r="BE204" s="710"/>
      <c r="BF204" s="710"/>
      <c r="BG204" s="710"/>
      <c r="BH204" s="710"/>
      <c r="BI204" s="710"/>
      <c r="BJ204" s="710"/>
      <c r="BK204" s="710"/>
      <c r="BL204" s="710"/>
      <c r="BM204" s="710"/>
      <c r="BN204" s="710"/>
      <c r="BO204" s="710"/>
      <c r="BP204" s="710"/>
      <c r="BQ204" s="710"/>
      <c r="BR204" s="710"/>
      <c r="BS204" s="710"/>
      <c r="BT204" s="710"/>
    </row>
    <row r="205" spans="1:72" ht="15.75">
      <c r="A205" s="545"/>
      <c r="B205" s="545"/>
      <c r="C205" s="545"/>
      <c r="D205" s="545"/>
      <c r="E205" s="545"/>
      <c r="F205" s="545"/>
      <c r="G205" s="545"/>
      <c r="H205" s="545"/>
      <c r="I205" s="545"/>
      <c r="J205" s="545"/>
      <c r="K205" s="545"/>
      <c r="L205" s="545"/>
      <c r="M205" s="545"/>
      <c r="N205" s="545"/>
      <c r="O205" s="545"/>
      <c r="P205" s="545"/>
      <c r="Q205" s="545"/>
      <c r="R205" s="545"/>
      <c r="S205" s="576"/>
      <c r="T205" s="576"/>
      <c r="U205" s="576"/>
      <c r="V205" s="576"/>
      <c r="W205" s="545"/>
      <c r="X205" s="545"/>
      <c r="Y205" s="576"/>
      <c r="Z205" s="576"/>
      <c r="AA205" s="545"/>
      <c r="AB205" s="545"/>
      <c r="AC205" s="545"/>
      <c r="AD205" s="576"/>
      <c r="AE205" s="576"/>
      <c r="AF205" s="576"/>
      <c r="AG205" s="576"/>
      <c r="AH205" s="576"/>
      <c r="AI205" s="576"/>
      <c r="AJ205" s="576"/>
      <c r="AK205" s="576"/>
      <c r="AL205" s="576"/>
      <c r="AM205" s="576"/>
      <c r="AN205" s="576"/>
      <c r="AO205" s="576"/>
      <c r="AP205" s="576"/>
      <c r="AQ205" s="576"/>
      <c r="AR205" s="576"/>
      <c r="AS205" s="576"/>
      <c r="AT205" s="576"/>
      <c r="AU205" s="576"/>
      <c r="AV205" s="576"/>
      <c r="AW205" s="576"/>
      <c r="AX205" s="576"/>
      <c r="AY205" s="576"/>
      <c r="AZ205" s="576"/>
      <c r="BA205" s="576"/>
      <c r="BB205" s="576"/>
      <c r="BC205" s="576"/>
      <c r="BD205" s="572"/>
      <c r="BE205" s="710"/>
      <c r="BF205" s="710"/>
      <c r="BG205" s="710"/>
      <c r="BH205" s="710"/>
      <c r="BI205" s="710"/>
      <c r="BJ205" s="710"/>
      <c r="BK205" s="710"/>
      <c r="BL205" s="710"/>
      <c r="BM205" s="710"/>
      <c r="BN205" s="710"/>
      <c r="BO205" s="710"/>
      <c r="BP205" s="710"/>
      <c r="BQ205" s="710"/>
      <c r="BR205" s="710"/>
      <c r="BS205" s="710"/>
      <c r="BT205" s="710"/>
    </row>
    <row r="206" spans="1:72" ht="15.75">
      <c r="A206" s="545"/>
      <c r="B206" s="545"/>
      <c r="C206" s="545"/>
      <c r="D206" s="545"/>
      <c r="E206" s="545"/>
      <c r="F206" s="545"/>
      <c r="G206" s="545"/>
      <c r="H206" s="545"/>
      <c r="I206" s="545"/>
      <c r="J206" s="545"/>
      <c r="K206" s="545"/>
      <c r="L206" s="545"/>
      <c r="M206" s="545"/>
      <c r="N206" s="545"/>
      <c r="O206" s="545"/>
      <c r="P206" s="545"/>
      <c r="Q206" s="545"/>
      <c r="R206" s="545"/>
      <c r="S206" s="576"/>
      <c r="T206" s="576"/>
      <c r="U206" s="576"/>
      <c r="V206" s="576"/>
      <c r="W206" s="545"/>
      <c r="X206" s="545"/>
      <c r="Y206" s="576"/>
      <c r="Z206" s="576"/>
      <c r="AA206" s="545"/>
      <c r="AB206" s="545"/>
      <c r="AC206" s="545"/>
      <c r="AD206" s="576"/>
      <c r="AE206" s="576"/>
      <c r="AF206" s="576"/>
      <c r="AG206" s="576"/>
      <c r="AH206" s="576"/>
      <c r="AI206" s="576"/>
      <c r="AJ206" s="576"/>
      <c r="AK206" s="576"/>
      <c r="AL206" s="576"/>
      <c r="AM206" s="576"/>
      <c r="AN206" s="576"/>
      <c r="AO206" s="576"/>
      <c r="AP206" s="576"/>
      <c r="AQ206" s="576"/>
      <c r="AR206" s="576"/>
      <c r="AS206" s="576"/>
      <c r="AT206" s="576"/>
      <c r="AU206" s="576"/>
      <c r="AV206" s="576"/>
      <c r="AW206" s="576"/>
      <c r="AX206" s="576"/>
      <c r="AY206" s="576"/>
      <c r="AZ206" s="576"/>
      <c r="BA206" s="576"/>
      <c r="BB206" s="576"/>
      <c r="BC206" s="576"/>
      <c r="BD206" s="572"/>
      <c r="BE206" s="710"/>
      <c r="BF206" s="710"/>
      <c r="BG206" s="710"/>
      <c r="BH206" s="710"/>
      <c r="BI206" s="710"/>
      <c r="BJ206" s="710"/>
      <c r="BK206" s="710"/>
      <c r="BL206" s="710"/>
      <c r="BM206" s="710"/>
      <c r="BN206" s="710"/>
      <c r="BO206" s="710"/>
      <c r="BP206" s="710"/>
      <c r="BQ206" s="710"/>
      <c r="BR206" s="710"/>
      <c r="BS206" s="710"/>
      <c r="BT206" s="710"/>
    </row>
    <row r="207" spans="1:72" ht="15.75">
      <c r="A207" s="545"/>
      <c r="B207" s="545"/>
      <c r="C207" s="545"/>
      <c r="D207" s="545"/>
      <c r="E207" s="545"/>
      <c r="F207" s="545"/>
      <c r="G207" s="545"/>
      <c r="H207" s="545"/>
      <c r="I207" s="545"/>
      <c r="J207" s="545"/>
      <c r="K207" s="545"/>
      <c r="L207" s="545"/>
      <c r="M207" s="545"/>
      <c r="N207" s="545"/>
      <c r="O207" s="545"/>
      <c r="P207" s="545"/>
      <c r="Q207" s="545"/>
      <c r="R207" s="545"/>
      <c r="S207" s="576"/>
      <c r="T207" s="576"/>
      <c r="U207" s="576"/>
      <c r="V207" s="576"/>
      <c r="W207" s="545"/>
      <c r="X207" s="545"/>
      <c r="Y207" s="576"/>
      <c r="Z207" s="576"/>
      <c r="AA207" s="545"/>
      <c r="AB207" s="545"/>
      <c r="AC207" s="545"/>
      <c r="AD207" s="576"/>
      <c r="AE207" s="576"/>
      <c r="AF207" s="576"/>
      <c r="AG207" s="576"/>
      <c r="AH207" s="576"/>
      <c r="AI207" s="576"/>
      <c r="AJ207" s="576"/>
      <c r="AK207" s="576"/>
      <c r="AL207" s="576"/>
      <c r="AM207" s="576"/>
      <c r="AN207" s="576"/>
      <c r="AO207" s="576"/>
      <c r="AP207" s="576"/>
      <c r="AQ207" s="576"/>
      <c r="AR207" s="576"/>
      <c r="AS207" s="576"/>
      <c r="AT207" s="576"/>
      <c r="AU207" s="576"/>
      <c r="AV207" s="576"/>
      <c r="AW207" s="576"/>
      <c r="AX207" s="576"/>
      <c r="AY207" s="576"/>
      <c r="AZ207" s="576"/>
      <c r="BA207" s="576"/>
      <c r="BB207" s="576"/>
      <c r="BC207" s="576"/>
      <c r="BD207" s="572"/>
      <c r="BE207" s="710"/>
      <c r="BF207" s="710"/>
      <c r="BG207" s="710"/>
      <c r="BH207" s="710"/>
      <c r="BI207" s="710"/>
      <c r="BJ207" s="710"/>
      <c r="BK207" s="710"/>
      <c r="BL207" s="710"/>
      <c r="BM207" s="710"/>
      <c r="BN207" s="710"/>
      <c r="BO207" s="710"/>
      <c r="BP207" s="710"/>
      <c r="BQ207" s="710"/>
      <c r="BR207" s="710"/>
      <c r="BS207" s="710"/>
      <c r="BT207" s="710"/>
    </row>
    <row r="208" spans="1:72" ht="15.75">
      <c r="A208" s="545"/>
      <c r="B208" s="545"/>
      <c r="C208" s="545"/>
      <c r="D208" s="545"/>
      <c r="E208" s="545"/>
      <c r="F208" s="545"/>
      <c r="G208" s="545"/>
      <c r="H208" s="545"/>
      <c r="I208" s="545"/>
      <c r="J208" s="545"/>
      <c r="K208" s="545"/>
      <c r="L208" s="545"/>
      <c r="M208" s="545"/>
      <c r="N208" s="545"/>
      <c r="O208" s="545"/>
      <c r="P208" s="545"/>
      <c r="Q208" s="545"/>
      <c r="R208" s="545"/>
      <c r="S208" s="576"/>
      <c r="T208" s="576"/>
      <c r="U208" s="576"/>
      <c r="V208" s="576"/>
      <c r="W208" s="545"/>
      <c r="X208" s="545"/>
      <c r="Y208" s="576"/>
      <c r="Z208" s="576"/>
      <c r="AA208" s="545"/>
      <c r="AB208" s="545"/>
      <c r="AC208" s="545"/>
      <c r="AD208" s="576"/>
      <c r="AE208" s="576"/>
      <c r="AF208" s="576"/>
      <c r="AG208" s="576"/>
      <c r="AH208" s="576"/>
      <c r="AI208" s="576"/>
      <c r="AJ208" s="576"/>
      <c r="AK208" s="576"/>
      <c r="AL208" s="576"/>
      <c r="AM208" s="576"/>
      <c r="AN208" s="576"/>
      <c r="AO208" s="576"/>
      <c r="AP208" s="576"/>
      <c r="AQ208" s="576"/>
      <c r="AR208" s="576"/>
      <c r="AS208" s="576"/>
      <c r="AT208" s="576"/>
      <c r="AU208" s="576"/>
      <c r="AV208" s="576"/>
      <c r="AW208" s="576"/>
      <c r="AX208" s="576"/>
      <c r="AY208" s="576"/>
      <c r="AZ208" s="576"/>
      <c r="BA208" s="576"/>
      <c r="BB208" s="576"/>
      <c r="BC208" s="576"/>
      <c r="BD208" s="572"/>
      <c r="BE208" s="710"/>
      <c r="BF208" s="710"/>
      <c r="BG208" s="710"/>
      <c r="BH208" s="710"/>
      <c r="BI208" s="710"/>
      <c r="BJ208" s="710"/>
      <c r="BK208" s="710"/>
      <c r="BL208" s="710"/>
      <c r="BM208" s="710"/>
      <c r="BN208" s="710"/>
      <c r="BO208" s="710"/>
      <c r="BP208" s="710"/>
      <c r="BQ208" s="710"/>
      <c r="BR208" s="710"/>
      <c r="BS208" s="710"/>
      <c r="BT208" s="710"/>
    </row>
    <row r="209" spans="1:72" ht="15.75">
      <c r="A209" s="545"/>
      <c r="B209" s="545"/>
      <c r="C209" s="545"/>
      <c r="D209" s="545"/>
      <c r="E209" s="545"/>
      <c r="F209" s="545"/>
      <c r="G209" s="545"/>
      <c r="H209" s="545"/>
      <c r="I209" s="545"/>
      <c r="J209" s="545"/>
      <c r="K209" s="545"/>
      <c r="L209" s="545"/>
      <c r="M209" s="545"/>
      <c r="N209" s="545"/>
      <c r="O209" s="545"/>
      <c r="P209" s="545"/>
      <c r="Q209" s="545"/>
      <c r="R209" s="545"/>
      <c r="S209" s="576"/>
      <c r="T209" s="576"/>
      <c r="U209" s="576"/>
      <c r="V209" s="576"/>
      <c r="W209" s="545"/>
      <c r="X209" s="545"/>
      <c r="Y209" s="576"/>
      <c r="Z209" s="576"/>
      <c r="AA209" s="545"/>
      <c r="AB209" s="545"/>
      <c r="AC209" s="545"/>
      <c r="AD209" s="576"/>
      <c r="AE209" s="576"/>
      <c r="AF209" s="576"/>
      <c r="AG209" s="576"/>
      <c r="AH209" s="576"/>
      <c r="AI209" s="576"/>
      <c r="AJ209" s="576"/>
      <c r="AK209" s="576"/>
      <c r="AL209" s="576"/>
      <c r="AM209" s="576"/>
      <c r="AN209" s="576"/>
      <c r="AO209" s="576"/>
      <c r="AP209" s="576"/>
      <c r="AQ209" s="576"/>
      <c r="AR209" s="576"/>
      <c r="AS209" s="576"/>
      <c r="AT209" s="576"/>
      <c r="AU209" s="576"/>
      <c r="AV209" s="576"/>
      <c r="AW209" s="576"/>
      <c r="AX209" s="576"/>
      <c r="AY209" s="576"/>
      <c r="AZ209" s="576"/>
      <c r="BA209" s="576"/>
      <c r="BB209" s="576"/>
      <c r="BC209" s="576"/>
      <c r="BD209" s="572"/>
      <c r="BE209" s="710"/>
      <c r="BF209" s="710"/>
      <c r="BG209" s="710"/>
      <c r="BH209" s="710"/>
      <c r="BI209" s="710"/>
      <c r="BJ209" s="710"/>
      <c r="BK209" s="710"/>
      <c r="BL209" s="710"/>
      <c r="BM209" s="710"/>
      <c r="BN209" s="710"/>
      <c r="BO209" s="710"/>
      <c r="BP209" s="710"/>
      <c r="BQ209" s="710"/>
      <c r="BR209" s="710"/>
      <c r="BS209" s="710"/>
      <c r="BT209" s="710"/>
    </row>
    <row r="210" spans="1:72" ht="15.75">
      <c r="A210" s="545"/>
      <c r="B210" s="545"/>
      <c r="C210" s="545"/>
      <c r="D210" s="545"/>
      <c r="E210" s="545"/>
      <c r="F210" s="545"/>
      <c r="G210" s="545"/>
      <c r="H210" s="545"/>
      <c r="I210" s="545"/>
      <c r="J210" s="545"/>
      <c r="K210" s="545"/>
      <c r="L210" s="545"/>
      <c r="M210" s="545"/>
      <c r="N210" s="545"/>
      <c r="O210" s="545"/>
      <c r="P210" s="545"/>
      <c r="Q210" s="545"/>
      <c r="R210" s="545"/>
      <c r="S210" s="576"/>
      <c r="T210" s="576"/>
      <c r="U210" s="576"/>
      <c r="V210" s="576"/>
      <c r="W210" s="545"/>
      <c r="X210" s="545"/>
      <c r="Y210" s="576"/>
      <c r="Z210" s="576"/>
      <c r="AA210" s="545"/>
      <c r="AB210" s="545"/>
      <c r="AC210" s="545"/>
      <c r="AD210" s="576"/>
      <c r="AE210" s="576"/>
      <c r="AF210" s="576"/>
      <c r="AG210" s="576"/>
      <c r="AH210" s="576"/>
      <c r="AI210" s="576"/>
      <c r="AJ210" s="576"/>
      <c r="AK210" s="576"/>
      <c r="AL210" s="576"/>
      <c r="AM210" s="576"/>
      <c r="AN210" s="576"/>
      <c r="AO210" s="576"/>
      <c r="AP210" s="576"/>
      <c r="AQ210" s="576"/>
      <c r="AR210" s="576"/>
      <c r="AS210" s="576"/>
      <c r="AT210" s="576"/>
      <c r="AU210" s="576"/>
      <c r="AV210" s="576"/>
      <c r="AW210" s="576"/>
      <c r="AX210" s="576"/>
      <c r="AY210" s="576"/>
      <c r="AZ210" s="576"/>
      <c r="BA210" s="576"/>
      <c r="BB210" s="576"/>
      <c r="BC210" s="576"/>
      <c r="BD210" s="572"/>
      <c r="BE210" s="710"/>
      <c r="BF210" s="710"/>
      <c r="BG210" s="710"/>
      <c r="BH210" s="710"/>
      <c r="BI210" s="710"/>
      <c r="BJ210" s="710"/>
      <c r="BK210" s="710"/>
      <c r="BL210" s="710"/>
      <c r="BM210" s="710"/>
      <c r="BN210" s="710"/>
      <c r="BO210" s="710"/>
      <c r="BP210" s="710"/>
      <c r="BQ210" s="710"/>
      <c r="BR210" s="710"/>
      <c r="BS210" s="710"/>
      <c r="BT210" s="710"/>
    </row>
    <row r="211" spans="1:72" ht="15.75">
      <c r="A211" s="545"/>
      <c r="B211" s="545"/>
      <c r="C211" s="545"/>
      <c r="D211" s="545"/>
      <c r="E211" s="545"/>
      <c r="F211" s="545"/>
      <c r="G211" s="545"/>
      <c r="H211" s="545"/>
      <c r="I211" s="545"/>
      <c r="J211" s="545"/>
      <c r="K211" s="545"/>
      <c r="L211" s="545"/>
      <c r="M211" s="545"/>
      <c r="N211" s="545"/>
      <c r="O211" s="545"/>
      <c r="P211" s="545"/>
      <c r="Q211" s="545"/>
      <c r="R211" s="545"/>
      <c r="S211" s="576"/>
      <c r="T211" s="576"/>
      <c r="U211" s="576"/>
      <c r="V211" s="576"/>
      <c r="W211" s="545"/>
      <c r="X211" s="545"/>
      <c r="Y211" s="576"/>
      <c r="Z211" s="576"/>
      <c r="AA211" s="545"/>
      <c r="AB211" s="545"/>
      <c r="AC211" s="545"/>
      <c r="AD211" s="576"/>
      <c r="AE211" s="576"/>
      <c r="AF211" s="576"/>
      <c r="AG211" s="576"/>
      <c r="AH211" s="576"/>
      <c r="AI211" s="576"/>
      <c r="AJ211" s="576"/>
      <c r="AK211" s="576"/>
      <c r="AL211" s="576"/>
      <c r="AM211" s="576"/>
      <c r="AN211" s="576"/>
      <c r="AO211" s="576"/>
      <c r="AP211" s="576"/>
      <c r="AQ211" s="576"/>
      <c r="AR211" s="576"/>
      <c r="AS211" s="576"/>
      <c r="AT211" s="576"/>
      <c r="AU211" s="576"/>
      <c r="AV211" s="576"/>
      <c r="AW211" s="576"/>
      <c r="AX211" s="576"/>
      <c r="AY211" s="576"/>
      <c r="AZ211" s="576"/>
      <c r="BA211" s="576"/>
      <c r="BB211" s="576"/>
      <c r="BC211" s="576"/>
      <c r="BD211" s="572"/>
      <c r="BE211" s="710"/>
      <c r="BF211" s="710"/>
      <c r="BG211" s="710"/>
      <c r="BH211" s="710"/>
      <c r="BI211" s="710"/>
      <c r="BJ211" s="710"/>
      <c r="BK211" s="710"/>
      <c r="BL211" s="710"/>
      <c r="BM211" s="710"/>
      <c r="BN211" s="710"/>
      <c r="BO211" s="710"/>
      <c r="BP211" s="710"/>
      <c r="BQ211" s="710"/>
      <c r="BR211" s="710"/>
      <c r="BS211" s="710"/>
      <c r="BT211" s="710"/>
    </row>
    <row r="212" spans="1:72" ht="15.75">
      <c r="A212" s="545"/>
      <c r="B212" s="545"/>
      <c r="C212" s="545"/>
      <c r="D212" s="545"/>
      <c r="E212" s="545"/>
      <c r="F212" s="545"/>
      <c r="G212" s="545"/>
      <c r="H212" s="545"/>
      <c r="I212" s="545"/>
      <c r="J212" s="545"/>
      <c r="K212" s="545"/>
      <c r="L212" s="545"/>
      <c r="M212" s="545"/>
      <c r="N212" s="545"/>
      <c r="O212" s="545"/>
      <c r="P212" s="545"/>
      <c r="Q212" s="545"/>
      <c r="R212" s="545"/>
      <c r="S212" s="576"/>
      <c r="T212" s="576"/>
      <c r="U212" s="576"/>
      <c r="V212" s="576"/>
      <c r="W212" s="545"/>
      <c r="X212" s="545"/>
      <c r="Y212" s="576"/>
      <c r="Z212" s="576"/>
      <c r="AA212" s="545"/>
      <c r="AB212" s="545"/>
      <c r="AC212" s="545"/>
      <c r="AD212" s="576"/>
      <c r="AE212" s="576"/>
      <c r="AF212" s="576"/>
      <c r="AG212" s="576"/>
      <c r="AH212" s="576"/>
      <c r="AI212" s="576"/>
      <c r="AJ212" s="576"/>
      <c r="AK212" s="576"/>
      <c r="AL212" s="576"/>
      <c r="AM212" s="576"/>
      <c r="AN212" s="576"/>
      <c r="AO212" s="576"/>
      <c r="AP212" s="576"/>
      <c r="AQ212" s="576"/>
      <c r="AR212" s="576"/>
      <c r="AS212" s="576"/>
      <c r="AT212" s="576"/>
      <c r="AU212" s="576"/>
      <c r="AV212" s="576"/>
      <c r="AW212" s="576"/>
      <c r="AX212" s="576"/>
      <c r="AY212" s="576"/>
      <c r="AZ212" s="576"/>
      <c r="BA212" s="576"/>
      <c r="BB212" s="576"/>
      <c r="BC212" s="576"/>
      <c r="BD212" s="572"/>
      <c r="BE212" s="710"/>
      <c r="BF212" s="710"/>
      <c r="BG212" s="710"/>
      <c r="BH212" s="710"/>
      <c r="BI212" s="710"/>
      <c r="BJ212" s="710"/>
      <c r="BK212" s="710"/>
      <c r="BL212" s="710"/>
      <c r="BM212" s="710"/>
      <c r="BN212" s="710"/>
      <c r="BO212" s="710"/>
      <c r="BP212" s="710"/>
      <c r="BQ212" s="710"/>
      <c r="BR212" s="710"/>
      <c r="BS212" s="710"/>
      <c r="BT212" s="710"/>
    </row>
    <row r="213" spans="1:72" ht="15.75">
      <c r="A213" s="545"/>
      <c r="B213" s="545"/>
      <c r="C213" s="545"/>
      <c r="D213" s="545"/>
      <c r="E213" s="545"/>
      <c r="F213" s="545"/>
      <c r="G213" s="545"/>
      <c r="H213" s="545"/>
      <c r="I213" s="545"/>
      <c r="J213" s="545"/>
      <c r="K213" s="545"/>
      <c r="L213" s="545"/>
      <c r="M213" s="545"/>
      <c r="N213" s="545"/>
      <c r="O213" s="545"/>
      <c r="P213" s="545"/>
      <c r="Q213" s="545"/>
      <c r="R213" s="545"/>
      <c r="S213" s="576"/>
      <c r="T213" s="576"/>
      <c r="U213" s="576"/>
      <c r="V213" s="576"/>
      <c r="W213" s="545"/>
      <c r="X213" s="545"/>
      <c r="Y213" s="576"/>
      <c r="Z213" s="576"/>
      <c r="AA213" s="545"/>
      <c r="AB213" s="545"/>
      <c r="AC213" s="545"/>
      <c r="AD213" s="576"/>
      <c r="AE213" s="576"/>
      <c r="AF213" s="576"/>
      <c r="AG213" s="576"/>
      <c r="AH213" s="576"/>
      <c r="AI213" s="576"/>
      <c r="AJ213" s="576"/>
      <c r="AK213" s="576"/>
      <c r="AL213" s="576"/>
      <c r="AM213" s="576"/>
      <c r="AN213" s="576"/>
      <c r="AO213" s="576"/>
      <c r="AP213" s="576"/>
      <c r="AQ213" s="576"/>
      <c r="AR213" s="576"/>
      <c r="AS213" s="576"/>
      <c r="AT213" s="576"/>
      <c r="AU213" s="576"/>
      <c r="AV213" s="576"/>
      <c r="AW213" s="576"/>
      <c r="AX213" s="576"/>
      <c r="AY213" s="576"/>
      <c r="AZ213" s="576"/>
      <c r="BA213" s="576"/>
      <c r="BB213" s="576"/>
      <c r="BC213" s="576"/>
      <c r="BD213" s="572"/>
      <c r="BE213" s="710"/>
      <c r="BF213" s="710"/>
      <c r="BG213" s="710"/>
      <c r="BH213" s="710"/>
      <c r="BI213" s="710"/>
      <c r="BJ213" s="710"/>
      <c r="BK213" s="710"/>
      <c r="BL213" s="710"/>
      <c r="BM213" s="710"/>
      <c r="BN213" s="710"/>
      <c r="BO213" s="710"/>
      <c r="BP213" s="710"/>
      <c r="BQ213" s="710"/>
      <c r="BR213" s="710"/>
      <c r="BS213" s="710"/>
      <c r="BT213" s="710"/>
    </row>
    <row r="214" spans="1:72" ht="15.75">
      <c r="A214" s="545"/>
      <c r="B214" s="545"/>
      <c r="C214" s="545"/>
      <c r="D214" s="545"/>
      <c r="E214" s="545"/>
      <c r="F214" s="545"/>
      <c r="G214" s="545"/>
      <c r="H214" s="545"/>
      <c r="I214" s="545"/>
      <c r="J214" s="545"/>
      <c r="K214" s="545"/>
      <c r="L214" s="545"/>
      <c r="M214" s="545"/>
      <c r="N214" s="545"/>
      <c r="O214" s="545"/>
      <c r="P214" s="545"/>
      <c r="Q214" s="545"/>
      <c r="R214" s="545"/>
      <c r="S214" s="576"/>
      <c r="T214" s="576"/>
      <c r="U214" s="576"/>
      <c r="V214" s="576"/>
      <c r="W214" s="545"/>
      <c r="X214" s="545"/>
      <c r="Y214" s="576"/>
      <c r="Z214" s="576"/>
      <c r="AA214" s="545"/>
      <c r="AB214" s="545"/>
      <c r="AC214" s="545"/>
      <c r="AD214" s="576"/>
      <c r="AE214" s="576"/>
      <c r="AF214" s="576"/>
      <c r="AG214" s="576"/>
      <c r="AH214" s="576"/>
      <c r="AI214" s="576"/>
      <c r="AJ214" s="576"/>
      <c r="AK214" s="576"/>
      <c r="AL214" s="576"/>
      <c r="AM214" s="576"/>
      <c r="AN214" s="576"/>
      <c r="AO214" s="576"/>
      <c r="AP214" s="576"/>
      <c r="AQ214" s="576"/>
      <c r="AR214" s="576"/>
      <c r="AS214" s="576"/>
      <c r="AT214" s="576"/>
      <c r="AU214" s="576"/>
      <c r="AV214" s="576"/>
      <c r="AW214" s="576"/>
      <c r="AX214" s="576"/>
      <c r="AY214" s="576"/>
      <c r="AZ214" s="576"/>
      <c r="BA214" s="576"/>
      <c r="BB214" s="576"/>
      <c r="BC214" s="576"/>
      <c r="BD214" s="572"/>
      <c r="BE214" s="710"/>
      <c r="BF214" s="710"/>
      <c r="BG214" s="710"/>
      <c r="BH214" s="710"/>
      <c r="BI214" s="710"/>
      <c r="BJ214" s="710"/>
      <c r="BK214" s="710"/>
      <c r="BL214" s="710"/>
      <c r="BM214" s="710"/>
      <c r="BN214" s="710"/>
      <c r="BO214" s="710"/>
      <c r="BP214" s="710"/>
      <c r="BQ214" s="710"/>
      <c r="BR214" s="710"/>
      <c r="BS214" s="710"/>
      <c r="BT214" s="710"/>
    </row>
  </sheetData>
  <mergeCells count="88">
    <mergeCell ref="J24:M24"/>
    <mergeCell ref="A5:BA5"/>
    <mergeCell ref="BB5:BC5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D38:AG39"/>
    <mergeCell ref="AH38:AK39"/>
    <mergeCell ref="AL38:AO39"/>
    <mergeCell ref="B38:E39"/>
    <mergeCell ref="F38:I39"/>
    <mergeCell ref="J38:M39"/>
    <mergeCell ref="N38:Q39"/>
    <mergeCell ref="R38:U39"/>
    <mergeCell ref="AP38:AS39"/>
    <mergeCell ref="AT38:AW39"/>
    <mergeCell ref="B40:E41"/>
    <mergeCell ref="F40:I41"/>
    <mergeCell ref="J40:M41"/>
    <mergeCell ref="N40:Q41"/>
    <mergeCell ref="R40:U41"/>
    <mergeCell ref="V40:Y41"/>
    <mergeCell ref="Z40:AC41"/>
    <mergeCell ref="AD40:AG41"/>
    <mergeCell ref="AH40:AK41"/>
    <mergeCell ref="AL40:AO41"/>
    <mergeCell ref="AP40:AS41"/>
    <mergeCell ref="AT40:AW41"/>
    <mergeCell ref="V38:Y39"/>
    <mergeCell ref="Z38:AC39"/>
    <mergeCell ref="AD42:AG43"/>
    <mergeCell ref="AH42:AK43"/>
    <mergeCell ref="AL42:AO43"/>
    <mergeCell ref="B42:E43"/>
    <mergeCell ref="F42:I43"/>
    <mergeCell ref="J42:M43"/>
    <mergeCell ref="N42:Q43"/>
    <mergeCell ref="R42:U43"/>
    <mergeCell ref="AP42:AS43"/>
    <mergeCell ref="AT42:AW43"/>
    <mergeCell ref="B44:E45"/>
    <mergeCell ref="F44:I45"/>
    <mergeCell ref="J44:M45"/>
    <mergeCell ref="N44:Q45"/>
    <mergeCell ref="R44:U45"/>
    <mergeCell ref="V44:Y45"/>
    <mergeCell ref="Z44:AC45"/>
    <mergeCell ref="AD44:AG45"/>
    <mergeCell ref="AH44:AK45"/>
    <mergeCell ref="AL44:AO45"/>
    <mergeCell ref="AP44:AS45"/>
    <mergeCell ref="AT44:AW45"/>
    <mergeCell ref="V42:Y43"/>
    <mergeCell ref="Z42:AC43"/>
    <mergeCell ref="B46:E47"/>
    <mergeCell ref="F46:I47"/>
    <mergeCell ref="J46:M47"/>
    <mergeCell ref="N46:Q47"/>
    <mergeCell ref="R46:U47"/>
    <mergeCell ref="AP46:AS47"/>
    <mergeCell ref="AT46:AW47"/>
    <mergeCell ref="V46:Y47"/>
    <mergeCell ref="Z46:AC47"/>
    <mergeCell ref="AD46:AG47"/>
    <mergeCell ref="AH46:AK47"/>
    <mergeCell ref="AL46:AO47"/>
  </mergeCells>
  <phoneticPr fontId="54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7E284-D9AD-48A2-98CE-6B228BE67DDD}">
  <dimension ref="A1:DX211"/>
  <sheetViews>
    <sheetView showGridLines="0" topLeftCell="A5" zoomScale="90" zoomScaleNormal="90" zoomScaleSheetLayoutView="100" workbookViewId="0">
      <pane ySplit="2" topLeftCell="A7" activePane="bottomLeft" state="frozen"/>
      <selection sqref="A1:I1"/>
      <selection pane="bottomLeft" activeCell="A7" sqref="A7"/>
    </sheetView>
  </sheetViews>
  <sheetFormatPr defaultColWidth="9" defaultRowHeight="13.5"/>
  <cols>
    <col min="1" max="18" width="2.625" style="35" customWidth="1"/>
    <col min="19" max="22" width="2.625" style="25" customWidth="1"/>
    <col min="23" max="24" width="2.625" style="35" customWidth="1"/>
    <col min="25" max="26" width="2.625" style="25" customWidth="1"/>
    <col min="27" max="29" width="2.625" style="35" customWidth="1"/>
    <col min="30" max="55" width="2.625" style="25" customWidth="1"/>
    <col min="56" max="56" width="2.625" style="81" customWidth="1"/>
    <col min="57" max="128" width="2.625" style="709" customWidth="1"/>
    <col min="129" max="16384" width="9" style="35"/>
  </cols>
  <sheetData>
    <row r="1" spans="1:72" ht="12" customHeight="1">
      <c r="A1" s="846" t="s">
        <v>4</v>
      </c>
      <c r="B1" s="846"/>
      <c r="C1" s="846"/>
      <c r="D1" s="846"/>
      <c r="E1" s="846"/>
      <c r="F1" s="846"/>
      <c r="G1" s="846"/>
      <c r="H1" s="846"/>
      <c r="I1" s="829" t="s">
        <v>5</v>
      </c>
      <c r="J1" s="829"/>
      <c r="K1" s="829"/>
      <c r="L1" s="829"/>
      <c r="M1" s="844" t="str">
        <f>変更来歴!M1</f>
        <v>ヒロセ電機株式会社</v>
      </c>
      <c r="N1" s="844"/>
      <c r="O1" s="844"/>
      <c r="P1" s="844"/>
      <c r="Q1" s="844"/>
      <c r="R1" s="844"/>
      <c r="S1" s="844"/>
      <c r="T1" s="844"/>
      <c r="U1" s="844"/>
      <c r="V1" s="844"/>
      <c r="W1" s="844"/>
      <c r="X1" s="829" t="s">
        <v>7</v>
      </c>
      <c r="Y1" s="829"/>
      <c r="Z1" s="829"/>
      <c r="AA1" s="848" t="str">
        <f>変更来歴!AA1</f>
        <v>契約書DB</v>
      </c>
      <c r="AB1" s="848"/>
      <c r="AC1" s="848"/>
      <c r="AD1" s="848"/>
      <c r="AE1" s="848"/>
      <c r="AF1" s="848"/>
      <c r="AG1" s="848"/>
      <c r="AH1" s="848"/>
      <c r="AI1" s="848"/>
      <c r="AJ1" s="848"/>
      <c r="AK1" s="833" t="s">
        <v>8</v>
      </c>
      <c r="AL1" s="833"/>
      <c r="AM1" s="833"/>
      <c r="AN1" s="834" t="str">
        <f>変更来歴!AP7</f>
        <v>古竹</v>
      </c>
      <c r="AO1" s="834"/>
      <c r="AP1" s="834"/>
      <c r="AQ1" s="834"/>
      <c r="AR1" s="834"/>
      <c r="AS1" s="833" t="s">
        <v>9</v>
      </c>
      <c r="AT1" s="833"/>
      <c r="AU1" s="833"/>
      <c r="AV1" s="836">
        <f>変更来歴!AL7</f>
        <v>46125</v>
      </c>
      <c r="AW1" s="849"/>
      <c r="AX1" s="849"/>
      <c r="AY1" s="849"/>
      <c r="AZ1" s="825" t="s">
        <v>10</v>
      </c>
      <c r="BA1" s="826"/>
      <c r="BB1" s="826"/>
      <c r="BC1" s="827"/>
    </row>
    <row r="2" spans="1:72">
      <c r="A2" s="828" t="s">
        <v>16</v>
      </c>
      <c r="B2" s="828"/>
      <c r="C2" s="828"/>
      <c r="D2" s="828"/>
      <c r="E2" s="828"/>
      <c r="F2" s="828"/>
      <c r="G2" s="828"/>
      <c r="H2" s="828"/>
      <c r="I2" s="829" t="s">
        <v>11</v>
      </c>
      <c r="J2" s="829"/>
      <c r="K2" s="829"/>
      <c r="L2" s="829"/>
      <c r="M2" s="862" t="str">
        <f>変更来歴!M2</f>
        <v>　</v>
      </c>
      <c r="N2" s="862"/>
      <c r="O2" s="862"/>
      <c r="P2" s="862"/>
      <c r="Q2" s="862"/>
      <c r="R2" s="862"/>
      <c r="S2" s="862"/>
      <c r="T2" s="862"/>
      <c r="U2" s="862"/>
      <c r="V2" s="862"/>
      <c r="W2" s="862"/>
      <c r="X2" s="829"/>
      <c r="Y2" s="829"/>
      <c r="Z2" s="829"/>
      <c r="AA2" s="848"/>
      <c r="AB2" s="848"/>
      <c r="AC2" s="848"/>
      <c r="AD2" s="848"/>
      <c r="AE2" s="848"/>
      <c r="AF2" s="848"/>
      <c r="AG2" s="848"/>
      <c r="AH2" s="848"/>
      <c r="AI2" s="848"/>
      <c r="AJ2" s="848"/>
      <c r="AK2" s="833" t="s">
        <v>12</v>
      </c>
      <c r="AL2" s="833"/>
      <c r="AM2" s="833"/>
      <c r="AN2" s="834" t="str">
        <f ca="1">INDIRECT("変更来歴!AP" &amp; COUNTA(変更来歴!AP7:'変更来歴'!AP39) + 6)</f>
        <v>古竹</v>
      </c>
      <c r="AO2" s="834"/>
      <c r="AP2" s="834"/>
      <c r="AQ2" s="834"/>
      <c r="AR2" s="834"/>
      <c r="AS2" s="833" t="s">
        <v>13</v>
      </c>
      <c r="AT2" s="833"/>
      <c r="AU2" s="833"/>
      <c r="AV2" s="836">
        <f ca="1">INDIRECT("変更来歴!AL" &amp; COUNTA(変更来歴!AL7:'変更来歴'!AL39) + 6)</f>
        <v>46134</v>
      </c>
      <c r="AW2" s="849"/>
      <c r="AX2" s="849"/>
      <c r="AY2" s="849"/>
      <c r="AZ2" s="837" t="str">
        <f>変更来歴!AX2</f>
        <v>IMWF-53</v>
      </c>
      <c r="BA2" s="838"/>
      <c r="BB2" s="838"/>
      <c r="BC2" s="839"/>
    </row>
    <row r="3" spans="1:72" ht="12" customHeight="1">
      <c r="A3" s="843" t="str">
        <f>変更来歴!A3</f>
        <v>画面設計書</v>
      </c>
      <c r="B3" s="843"/>
      <c r="C3" s="843"/>
      <c r="D3" s="843"/>
      <c r="E3" s="843"/>
      <c r="F3" s="843"/>
      <c r="G3" s="843"/>
      <c r="H3" s="843"/>
      <c r="I3" s="829" t="s">
        <v>14</v>
      </c>
      <c r="J3" s="829"/>
      <c r="K3" s="829"/>
      <c r="L3" s="829"/>
      <c r="M3" s="844" t="str">
        <f ca="1">RIGHT(CELL("filename",A1),LEN(CELL("filename",A1))-FIND("]",CELL("filename",A1)))</f>
        <v>化学物質データ画面(日英併記・2カラム)</v>
      </c>
      <c r="N3" s="844"/>
      <c r="O3" s="844"/>
      <c r="P3" s="844"/>
      <c r="Q3" s="844"/>
      <c r="R3" s="844"/>
      <c r="S3" s="844"/>
      <c r="T3" s="844"/>
      <c r="U3" s="844"/>
      <c r="V3" s="844"/>
      <c r="W3" s="844"/>
      <c r="X3" s="829" t="s">
        <v>27</v>
      </c>
      <c r="Y3" s="829"/>
      <c r="Z3" s="829"/>
      <c r="AA3" s="845" t="str">
        <f ca="1">MID(CELL("filename"),FIND("]",CELL("filename"))+1,LEN(CELL("filename"))) &amp; "画面"</f>
        <v>化学物質データ画面(日英併記)画面</v>
      </c>
      <c r="AB3" s="845"/>
      <c r="AC3" s="845"/>
      <c r="AD3" s="845"/>
      <c r="AE3" s="845"/>
      <c r="AF3" s="845"/>
      <c r="AG3" s="845"/>
      <c r="AH3" s="845"/>
      <c r="AI3" s="845"/>
      <c r="AJ3" s="845"/>
      <c r="AK3" s="845"/>
      <c r="AL3" s="845"/>
      <c r="AM3" s="845"/>
      <c r="AN3" s="845"/>
      <c r="AO3" s="845"/>
      <c r="AP3" s="845"/>
      <c r="AQ3" s="845"/>
      <c r="AR3" s="845"/>
      <c r="AS3" s="833" t="s">
        <v>15</v>
      </c>
      <c r="AT3" s="833"/>
      <c r="AU3" s="833"/>
      <c r="AV3" s="849" t="str">
        <f ca="1">INDIRECT("変更来歴!A" &amp; COUNTA(変更来歴!A7:'変更来歴'!A39) + 6)</f>
        <v>r1.1</v>
      </c>
      <c r="AW3" s="849"/>
      <c r="AX3" s="849"/>
      <c r="AY3" s="849"/>
      <c r="AZ3" s="840"/>
      <c r="BA3" s="841"/>
      <c r="BB3" s="841"/>
      <c r="BC3" s="842"/>
    </row>
    <row r="4" spans="1:72" ht="5.85" customHeight="1"/>
    <row r="5" spans="1:72" ht="13.5" customHeight="1">
      <c r="A5" s="864" t="str">
        <f ca="1">"画面レイアウト"&amp;"("&amp;MID(CELL("filename"),FIND("]",CELL("filename"))+1,LEN(CELL("filename")))&amp;")"</f>
        <v>画面レイアウト(化学物質データ画面(日英併記))</v>
      </c>
      <c r="B5" s="865"/>
      <c r="C5" s="865"/>
      <c r="D5" s="865"/>
      <c r="E5" s="865"/>
      <c r="F5" s="865"/>
      <c r="G5" s="865"/>
      <c r="H5" s="865"/>
      <c r="I5" s="865"/>
      <c r="J5" s="865"/>
      <c r="K5" s="865"/>
      <c r="L5" s="865"/>
      <c r="M5" s="865"/>
      <c r="N5" s="865"/>
      <c r="O5" s="865"/>
      <c r="P5" s="865"/>
      <c r="Q5" s="865"/>
      <c r="R5" s="865"/>
      <c r="S5" s="865"/>
      <c r="T5" s="865"/>
      <c r="U5" s="865"/>
      <c r="V5" s="865"/>
      <c r="W5" s="865"/>
      <c r="X5" s="865"/>
      <c r="Y5" s="865"/>
      <c r="Z5" s="865"/>
      <c r="AA5" s="865"/>
      <c r="AB5" s="865"/>
      <c r="AC5" s="865"/>
      <c r="AD5" s="865"/>
      <c r="AE5" s="865"/>
      <c r="AF5" s="865"/>
      <c r="AG5" s="865"/>
      <c r="AH5" s="865"/>
      <c r="AI5" s="865"/>
      <c r="AJ5" s="865"/>
      <c r="AK5" s="865"/>
      <c r="AL5" s="865"/>
      <c r="AM5" s="865"/>
      <c r="AN5" s="865"/>
      <c r="AO5" s="865"/>
      <c r="AP5" s="865"/>
      <c r="AQ5" s="865"/>
      <c r="AR5" s="865"/>
      <c r="AS5" s="865"/>
      <c r="AT5" s="865"/>
      <c r="AU5" s="865"/>
      <c r="AV5" s="865"/>
      <c r="AW5" s="865"/>
      <c r="AX5" s="865"/>
      <c r="AY5" s="865"/>
      <c r="AZ5" s="865"/>
      <c r="BA5" s="866"/>
      <c r="BB5" s="867" t="s">
        <v>24</v>
      </c>
      <c r="BC5" s="868"/>
      <c r="BD5" s="28"/>
    </row>
    <row r="6" spans="1:72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72" ht="21" customHeight="1">
      <c r="A7" s="556"/>
      <c r="B7" s="701"/>
      <c r="C7" s="706" t="s">
        <v>375</v>
      </c>
      <c r="D7" s="702"/>
      <c r="E7" s="703"/>
      <c r="F7" s="703"/>
      <c r="G7" s="703"/>
      <c r="H7" s="659"/>
      <c r="I7" s="659"/>
      <c r="J7" s="660"/>
      <c r="K7" s="660"/>
      <c r="L7" s="660"/>
      <c r="M7" s="660"/>
      <c r="N7" s="664"/>
      <c r="O7" s="662"/>
      <c r="P7" s="664"/>
      <c r="Q7" s="659"/>
      <c r="R7" s="659"/>
      <c r="S7" s="659"/>
      <c r="T7" s="661"/>
      <c r="U7" s="661"/>
      <c r="V7" s="661"/>
      <c r="W7" s="661"/>
      <c r="X7" s="661"/>
      <c r="Y7" s="662"/>
      <c r="Z7" s="661"/>
      <c r="AA7" s="659"/>
      <c r="AB7" s="662"/>
      <c r="AC7" s="661"/>
      <c r="AD7" s="659"/>
      <c r="AE7" s="662"/>
      <c r="AF7" s="659"/>
      <c r="AG7" s="659"/>
      <c r="AH7" s="662"/>
      <c r="AI7" s="659"/>
      <c r="AJ7" s="659"/>
      <c r="AK7" s="704"/>
      <c r="AL7" s="659"/>
      <c r="AM7" s="659"/>
      <c r="AN7" s="659"/>
      <c r="AO7" s="659"/>
      <c r="AP7" s="659"/>
      <c r="AQ7" s="659"/>
      <c r="AR7" s="659"/>
      <c r="AS7" s="659"/>
      <c r="AT7" s="703"/>
      <c r="AU7" s="703"/>
      <c r="AV7" s="703"/>
      <c r="AW7" s="703"/>
      <c r="AX7" s="703"/>
      <c r="AY7" s="703"/>
      <c r="AZ7" s="705"/>
      <c r="BA7" s="604"/>
      <c r="BB7" s="570"/>
      <c r="BC7" s="571"/>
      <c r="BD7" s="544"/>
      <c r="BE7" s="710" t="s">
        <v>384</v>
      </c>
      <c r="BF7" s="710"/>
      <c r="BG7" s="710"/>
      <c r="BH7" s="710"/>
      <c r="BI7" s="710"/>
      <c r="BJ7" s="710"/>
      <c r="BK7" s="710"/>
      <c r="BL7" s="710"/>
      <c r="BM7" s="710"/>
      <c r="BN7" s="710"/>
      <c r="BO7" s="710"/>
      <c r="BP7" s="710"/>
      <c r="BQ7" s="710"/>
      <c r="BR7" s="710"/>
      <c r="BS7" s="710"/>
      <c r="BT7" s="710"/>
    </row>
    <row r="8" spans="1:72" ht="12.6" customHeight="1">
      <c r="A8" s="556"/>
      <c r="B8" s="600"/>
      <c r="C8" s="614"/>
      <c r="D8" s="615"/>
      <c r="E8" s="603"/>
      <c r="F8" s="603"/>
      <c r="G8" s="603"/>
      <c r="H8" s="653"/>
      <c r="I8" s="653"/>
      <c r="J8" s="653"/>
      <c r="K8" s="653"/>
      <c r="L8" s="653"/>
      <c r="M8" s="653"/>
      <c r="N8" s="653"/>
      <c r="O8" s="653"/>
      <c r="P8" s="653"/>
      <c r="Q8" s="653"/>
      <c r="R8" s="653"/>
      <c r="S8" s="653"/>
      <c r="T8" s="653"/>
      <c r="U8" s="653"/>
      <c r="V8" s="653"/>
      <c r="W8" s="653"/>
      <c r="X8" s="653"/>
      <c r="Y8" s="653"/>
      <c r="Z8" s="653"/>
      <c r="AA8" s="653"/>
      <c r="AB8" s="653"/>
      <c r="AC8" s="653"/>
      <c r="AD8" s="653"/>
      <c r="AE8" s="653"/>
      <c r="AF8" s="653"/>
      <c r="AG8" s="653"/>
      <c r="AH8" s="653"/>
      <c r="AI8" s="653"/>
      <c r="AJ8" s="653"/>
      <c r="AK8" s="653"/>
      <c r="AL8" s="653"/>
      <c r="AM8" s="653"/>
      <c r="AN8" s="653"/>
      <c r="AO8" s="653"/>
      <c r="AP8" s="653"/>
      <c r="AQ8" s="653"/>
      <c r="AR8" s="653"/>
      <c r="AS8" s="655"/>
      <c r="AT8" s="616"/>
      <c r="AU8" s="616"/>
      <c r="AV8" s="616"/>
      <c r="AW8" s="616"/>
      <c r="AX8" s="616"/>
      <c r="AY8" s="616"/>
      <c r="AZ8" s="604"/>
      <c r="BA8" s="604"/>
      <c r="BB8" s="570"/>
      <c r="BC8" s="571"/>
      <c r="BD8" s="544"/>
      <c r="BE8" s="615" t="s">
        <v>385</v>
      </c>
      <c r="BF8" s="615"/>
      <c r="BG8" s="711"/>
      <c r="BH8" s="711"/>
      <c r="BI8" s="711"/>
      <c r="BJ8" s="711"/>
      <c r="BK8" s="711"/>
      <c r="BL8" s="711"/>
      <c r="BM8" s="711"/>
      <c r="BN8" s="711"/>
      <c r="BO8" s="711"/>
      <c r="BP8" s="711"/>
      <c r="BQ8" s="711"/>
      <c r="BR8" s="711"/>
      <c r="BS8" s="710"/>
      <c r="BT8" s="710"/>
    </row>
    <row r="9" spans="1:72" ht="24" customHeight="1">
      <c r="A9" s="556"/>
      <c r="B9" s="557"/>
      <c r="C9" s="591"/>
      <c r="D9" s="591"/>
      <c r="E9" s="591"/>
      <c r="F9" s="591"/>
      <c r="G9" s="591"/>
      <c r="H9" s="591"/>
      <c r="I9" s="592"/>
      <c r="J9" s="781" t="s">
        <v>303</v>
      </c>
      <c r="K9" s="780"/>
      <c r="L9" s="780"/>
      <c r="M9" s="780"/>
      <c r="N9" s="780"/>
      <c r="O9" s="780"/>
      <c r="P9" s="780"/>
      <c r="Q9" s="780"/>
      <c r="R9" s="592"/>
      <c r="S9" s="592"/>
      <c r="T9" s="593"/>
      <c r="U9" s="593"/>
      <c r="V9" s="593"/>
      <c r="W9" s="591"/>
      <c r="X9" s="591"/>
      <c r="Y9" s="591"/>
      <c r="Z9" s="593"/>
      <c r="AA9" s="593"/>
      <c r="AB9" s="595"/>
      <c r="AC9" s="593"/>
      <c r="AD9" s="596"/>
      <c r="AE9" s="596"/>
      <c r="AF9" s="596"/>
      <c r="AG9" s="596"/>
      <c r="AH9" s="596"/>
      <c r="AI9" s="592"/>
      <c r="AJ9" s="593"/>
      <c r="AK9" s="593"/>
      <c r="AL9" s="593"/>
      <c r="AM9" s="790" t="s">
        <v>675</v>
      </c>
      <c r="AN9" s="597"/>
      <c r="AO9" s="594"/>
      <c r="AP9" s="594"/>
      <c r="AQ9" s="593"/>
      <c r="AR9" s="593"/>
      <c r="AS9" s="593"/>
      <c r="AT9" s="593"/>
      <c r="AU9" s="593"/>
      <c r="AV9" s="593"/>
      <c r="AW9" s="593"/>
      <c r="AX9" s="593"/>
      <c r="AY9" s="593"/>
      <c r="AZ9" s="559"/>
      <c r="BA9" s="559"/>
      <c r="BB9" s="542"/>
      <c r="BC9" s="543"/>
      <c r="BD9" s="544"/>
      <c r="BE9" s="711"/>
      <c r="BF9" s="615" t="s">
        <v>386</v>
      </c>
      <c r="BG9" s="615"/>
      <c r="BH9" s="615"/>
      <c r="BI9" s="711"/>
      <c r="BJ9" s="711"/>
      <c r="BK9" s="711"/>
      <c r="BL9" s="711"/>
      <c r="BM9" s="711"/>
      <c r="BN9" s="711"/>
      <c r="BO9" s="711"/>
      <c r="BP9" s="711"/>
      <c r="BQ9" s="711"/>
      <c r="BR9" s="711"/>
      <c r="BS9" s="710"/>
      <c r="BT9" s="710"/>
    </row>
    <row r="10" spans="1:72" ht="12" customHeight="1">
      <c r="A10" s="556"/>
      <c r="B10" s="565"/>
      <c r="C10" s="566"/>
      <c r="D10" s="544"/>
      <c r="E10" s="544"/>
      <c r="F10" s="544"/>
      <c r="G10" s="544"/>
      <c r="H10" s="567"/>
      <c r="I10" s="562"/>
      <c r="J10" s="561"/>
      <c r="K10" s="562"/>
      <c r="L10" s="561"/>
      <c r="M10" s="568"/>
      <c r="N10" s="568"/>
      <c r="O10" s="564"/>
      <c r="P10" s="568"/>
      <c r="Q10" s="564"/>
      <c r="R10" s="568"/>
      <c r="S10" s="545"/>
      <c r="T10" s="544"/>
      <c r="U10" s="544"/>
      <c r="V10" s="544"/>
      <c r="W10" s="544"/>
      <c r="X10" s="544"/>
      <c r="Y10" s="567"/>
      <c r="Z10" s="782"/>
      <c r="AA10" s="783"/>
      <c r="AB10" s="562"/>
      <c r="AC10" s="561"/>
      <c r="AD10" s="568"/>
      <c r="AE10" s="568"/>
      <c r="AF10" s="564"/>
      <c r="AG10" s="568"/>
      <c r="AH10" s="568"/>
      <c r="AI10" s="563"/>
      <c r="AJ10" s="568"/>
      <c r="AK10" s="564"/>
      <c r="AL10" s="544"/>
      <c r="AM10" s="544"/>
      <c r="AN10" s="544"/>
      <c r="AO10" s="544"/>
      <c r="AP10" s="544"/>
      <c r="AQ10" s="544"/>
      <c r="AR10" s="544"/>
      <c r="AS10" s="561"/>
      <c r="AT10" s="563"/>
      <c r="AU10" s="561"/>
      <c r="AV10" s="564"/>
      <c r="AW10" s="564"/>
      <c r="AX10" s="564"/>
      <c r="AY10" s="558"/>
      <c r="AZ10" s="559"/>
      <c r="BA10" s="559"/>
      <c r="BB10" s="542"/>
      <c r="BC10" s="543"/>
      <c r="BD10" s="544"/>
      <c r="BE10" s="615"/>
      <c r="BF10" s="615"/>
      <c r="BG10" s="615" t="s">
        <v>387</v>
      </c>
      <c r="BH10" s="712"/>
      <c r="BI10" s="711"/>
      <c r="BJ10" s="711"/>
      <c r="BK10" s="711"/>
      <c r="BL10" s="711"/>
      <c r="BM10" s="711"/>
      <c r="BN10" s="711"/>
      <c r="BO10" s="711"/>
      <c r="BP10" s="711"/>
      <c r="BQ10" s="711"/>
      <c r="BR10" s="711"/>
      <c r="BS10" s="710"/>
      <c r="BT10" s="710"/>
    </row>
    <row r="11" spans="1:72" ht="12.6" customHeight="1">
      <c r="A11" s="556"/>
      <c r="B11" s="557"/>
      <c r="C11" s="621"/>
      <c r="D11" s="621"/>
      <c r="E11" s="621"/>
      <c r="F11" s="621"/>
      <c r="G11" s="621"/>
      <c r="H11" s="621"/>
      <c r="I11" s="621"/>
      <c r="J11" s="621"/>
      <c r="K11" s="621"/>
      <c r="L11" s="621"/>
      <c r="M11" s="621"/>
      <c r="N11" s="621"/>
      <c r="O11" s="621"/>
      <c r="P11" s="621"/>
      <c r="Q11" s="621"/>
      <c r="R11" s="621"/>
      <c r="S11" s="621"/>
      <c r="T11" s="622"/>
      <c r="U11" s="622"/>
      <c r="V11" s="622"/>
      <c r="W11" s="622"/>
      <c r="X11" s="623"/>
      <c r="Y11" s="622"/>
      <c r="Z11" s="784"/>
      <c r="AA11" s="785"/>
      <c r="AB11" s="624"/>
      <c r="AC11" s="622"/>
      <c r="AD11" s="625"/>
      <c r="AE11" s="625"/>
      <c r="AF11" s="625"/>
      <c r="AG11" s="625"/>
      <c r="AH11" s="625"/>
      <c r="AI11" s="621"/>
      <c r="AJ11" s="622"/>
      <c r="AK11" s="622"/>
      <c r="AL11" s="622"/>
      <c r="AM11" s="622"/>
      <c r="AN11" s="626"/>
      <c r="AO11" s="623"/>
      <c r="AP11" s="623"/>
      <c r="AQ11" s="622"/>
      <c r="AR11" s="622"/>
      <c r="AS11" s="622"/>
      <c r="AT11" s="622"/>
      <c r="AU11" s="622"/>
      <c r="AV11" s="622"/>
      <c r="AW11" s="622"/>
      <c r="AX11" s="622"/>
      <c r="AY11" s="622"/>
      <c r="AZ11" s="559"/>
      <c r="BA11" s="559"/>
      <c r="BB11" s="542"/>
      <c r="BC11" s="543"/>
      <c r="BD11" s="544"/>
      <c r="BE11" s="615"/>
      <c r="BF11" s="615"/>
      <c r="BG11" s="615" t="s">
        <v>388</v>
      </c>
      <c r="BH11" s="712"/>
      <c r="BI11" s="615"/>
      <c r="BJ11" s="711"/>
      <c r="BK11" s="711"/>
      <c r="BL11" s="711"/>
      <c r="BM11" s="711"/>
      <c r="BN11" s="711"/>
      <c r="BO11" s="711"/>
      <c r="BP11" s="711"/>
      <c r="BQ11" s="711"/>
      <c r="BR11" s="711"/>
      <c r="BS11" s="710"/>
      <c r="BT11" s="710"/>
    </row>
    <row r="12" spans="1:72" ht="12.6" customHeight="1">
      <c r="A12" s="556"/>
      <c r="B12" s="600"/>
      <c r="C12" s="621"/>
      <c r="D12" s="621" t="s">
        <v>311</v>
      </c>
      <c r="E12" s="621"/>
      <c r="F12" s="621"/>
      <c r="G12" s="621"/>
      <c r="H12" s="621"/>
      <c r="I12" s="621"/>
      <c r="J12" s="621"/>
      <c r="K12" s="621"/>
      <c r="L12" s="621"/>
      <c r="M12" s="621"/>
      <c r="N12" s="621"/>
      <c r="O12" s="621"/>
      <c r="P12" s="621"/>
      <c r="Q12" s="621"/>
      <c r="R12" s="621"/>
      <c r="S12" s="621"/>
      <c r="T12" s="622"/>
      <c r="U12" s="622"/>
      <c r="V12" s="622"/>
      <c r="W12" s="622"/>
      <c r="X12" s="623"/>
      <c r="Y12" s="622"/>
      <c r="Z12" s="786"/>
      <c r="AA12" s="787"/>
      <c r="AB12" s="621"/>
      <c r="AC12" s="621" t="s">
        <v>311</v>
      </c>
      <c r="AD12" s="621"/>
      <c r="AE12" s="621"/>
      <c r="AF12" s="621"/>
      <c r="AG12" s="621"/>
      <c r="AH12" s="621"/>
      <c r="AI12" s="621"/>
      <c r="AJ12" s="621"/>
      <c r="AK12" s="621"/>
      <c r="AL12" s="621"/>
      <c r="AM12" s="621"/>
      <c r="AN12" s="621"/>
      <c r="AO12" s="621"/>
      <c r="AP12" s="621"/>
      <c r="AQ12" s="621"/>
      <c r="AR12" s="621"/>
      <c r="AS12" s="621"/>
      <c r="AT12" s="621"/>
      <c r="AU12" s="621"/>
      <c r="AV12" s="621"/>
      <c r="AW12" s="621"/>
      <c r="AX12" s="621"/>
      <c r="AY12" s="621"/>
      <c r="AZ12" s="604"/>
      <c r="BA12" s="604"/>
      <c r="BB12" s="542"/>
      <c r="BC12" s="543"/>
      <c r="BD12" s="544"/>
      <c r="BE12" s="710"/>
      <c r="BF12" s="710"/>
      <c r="BG12" s="713"/>
      <c r="BH12" s="710"/>
      <c r="BI12" s="710"/>
      <c r="BJ12" s="710"/>
      <c r="BK12" s="710"/>
      <c r="BL12" s="710"/>
      <c r="BM12" s="710"/>
      <c r="BN12" s="710"/>
      <c r="BO12" s="710"/>
      <c r="BP12" s="710"/>
      <c r="BQ12" s="710"/>
      <c r="BR12" s="710"/>
      <c r="BS12" s="710"/>
      <c r="BT12" s="710"/>
    </row>
    <row r="13" spans="1:72" ht="12.6" customHeight="1">
      <c r="A13" s="556"/>
      <c r="B13" s="600"/>
      <c r="C13" s="621"/>
      <c r="D13" s="627" t="s">
        <v>652</v>
      </c>
      <c r="E13" s="628"/>
      <c r="F13" s="627"/>
      <c r="G13" s="627"/>
      <c r="H13" s="627"/>
      <c r="I13" s="627"/>
      <c r="J13" s="627"/>
      <c r="K13" s="627"/>
      <c r="L13" s="627"/>
      <c r="M13" s="627"/>
      <c r="N13" s="627"/>
      <c r="O13" s="627"/>
      <c r="P13" s="627"/>
      <c r="Q13" s="627"/>
      <c r="R13" s="627"/>
      <c r="S13" s="627"/>
      <c r="T13" s="627"/>
      <c r="U13" s="627"/>
      <c r="V13" s="627"/>
      <c r="W13" s="627"/>
      <c r="X13" s="629"/>
      <c r="Y13" s="621"/>
      <c r="Z13" s="786"/>
      <c r="AA13" s="787"/>
      <c r="AB13" s="621"/>
      <c r="AC13" s="627" t="s">
        <v>652</v>
      </c>
      <c r="AD13" s="628"/>
      <c r="AE13" s="627"/>
      <c r="AF13" s="627"/>
      <c r="AG13" s="627"/>
      <c r="AH13" s="627"/>
      <c r="AI13" s="627"/>
      <c r="AJ13" s="627"/>
      <c r="AK13" s="627"/>
      <c r="AL13" s="627"/>
      <c r="AM13" s="627"/>
      <c r="AN13" s="632"/>
      <c r="AO13" s="632"/>
      <c r="AP13" s="632"/>
      <c r="AQ13" s="632"/>
      <c r="AR13" s="632"/>
      <c r="AS13" s="632"/>
      <c r="AT13" s="632"/>
      <c r="AU13" s="632"/>
      <c r="AV13" s="632"/>
      <c r="AW13" s="632"/>
      <c r="AX13" s="632"/>
      <c r="AY13" s="632"/>
      <c r="AZ13" s="604"/>
      <c r="BA13" s="604"/>
      <c r="BB13" s="542"/>
      <c r="BC13" s="543"/>
      <c r="BD13" s="544"/>
      <c r="BE13" s="615" t="s">
        <v>389</v>
      </c>
      <c r="BF13" s="710"/>
      <c r="BG13" s="710"/>
      <c r="BH13" s="710"/>
      <c r="BI13" s="710"/>
      <c r="BJ13" s="710"/>
      <c r="BK13" s="710"/>
      <c r="BL13" s="710"/>
      <c r="BM13" s="710"/>
      <c r="BN13" s="710"/>
      <c r="BO13" s="710"/>
      <c r="BP13" s="710"/>
      <c r="BQ13" s="710"/>
      <c r="BR13" s="710"/>
      <c r="BS13" s="710"/>
      <c r="BT13" s="710"/>
    </row>
    <row r="14" spans="1:72" ht="12.6" customHeight="1">
      <c r="A14" s="556"/>
      <c r="B14" s="600"/>
      <c r="C14" s="634"/>
      <c r="D14" s="629"/>
      <c r="E14" s="627"/>
      <c r="F14" s="629"/>
      <c r="G14" s="627"/>
      <c r="H14" s="627"/>
      <c r="I14" s="627"/>
      <c r="J14" s="627"/>
      <c r="K14" s="627"/>
      <c r="L14" s="627"/>
      <c r="M14" s="627"/>
      <c r="N14" s="627"/>
      <c r="O14" s="627"/>
      <c r="P14" s="627"/>
      <c r="Q14" s="627"/>
      <c r="R14" s="627"/>
      <c r="S14" s="627"/>
      <c r="T14" s="627"/>
      <c r="U14" s="627"/>
      <c r="V14" s="627"/>
      <c r="W14" s="627"/>
      <c r="X14" s="629"/>
      <c r="Y14" s="621"/>
      <c r="Z14" s="786"/>
      <c r="AA14" s="787"/>
      <c r="AB14" s="630"/>
      <c r="AC14" s="629"/>
      <c r="AD14" s="627"/>
      <c r="AE14" s="629"/>
      <c r="AF14" s="627"/>
      <c r="AG14" s="627"/>
      <c r="AH14" s="627"/>
      <c r="AI14" s="627"/>
      <c r="AJ14" s="627"/>
      <c r="AK14" s="627"/>
      <c r="AL14" s="627"/>
      <c r="AM14" s="627"/>
      <c r="AN14" s="632"/>
      <c r="AO14" s="632"/>
      <c r="AP14" s="632"/>
      <c r="AQ14" s="632"/>
      <c r="AR14" s="632"/>
      <c r="AS14" s="621"/>
      <c r="AT14" s="621"/>
      <c r="AU14" s="621"/>
      <c r="AV14" s="621"/>
      <c r="AW14" s="621"/>
      <c r="AX14" s="621"/>
      <c r="AY14" s="621"/>
      <c r="AZ14" s="604"/>
      <c r="BA14" s="604"/>
      <c r="BB14" s="542"/>
      <c r="BC14" s="543"/>
      <c r="BD14" s="544"/>
      <c r="BE14" s="710"/>
      <c r="BF14" s="615" t="s">
        <v>390</v>
      </c>
      <c r="BG14" s="615"/>
      <c r="BH14" s="710"/>
      <c r="BI14" s="710"/>
      <c r="BJ14" s="710"/>
      <c r="BK14" s="710"/>
      <c r="BL14" s="710"/>
      <c r="BM14" s="710"/>
      <c r="BN14" s="710"/>
      <c r="BO14" s="710"/>
      <c r="BP14" s="710"/>
      <c r="BQ14" s="710"/>
      <c r="BR14" s="710"/>
      <c r="BS14" s="710"/>
      <c r="BT14" s="710"/>
    </row>
    <row r="15" spans="1:72" ht="12.6" customHeight="1">
      <c r="A15" s="556"/>
      <c r="B15" s="600"/>
      <c r="C15" s="634"/>
      <c r="D15" s="627" t="s">
        <v>312</v>
      </c>
      <c r="E15" s="628" t="s">
        <v>313</v>
      </c>
      <c r="F15" s="627"/>
      <c r="G15" s="627"/>
      <c r="H15" s="627"/>
      <c r="I15" s="627"/>
      <c r="J15" s="627" t="s">
        <v>648</v>
      </c>
      <c r="K15" s="627"/>
      <c r="L15" s="627"/>
      <c r="M15" s="627"/>
      <c r="N15" s="627"/>
      <c r="O15" s="627"/>
      <c r="P15" s="627"/>
      <c r="Q15" s="627"/>
      <c r="R15" s="627"/>
      <c r="S15" s="627"/>
      <c r="T15" s="627"/>
      <c r="U15" s="627"/>
      <c r="V15" s="627"/>
      <c r="W15" s="627"/>
      <c r="X15" s="629"/>
      <c r="Y15" s="621"/>
      <c r="Z15" s="786"/>
      <c r="AA15" s="787"/>
      <c r="AB15" s="632"/>
      <c r="AC15" s="627" t="s">
        <v>312</v>
      </c>
      <c r="AD15" s="628" t="s">
        <v>313</v>
      </c>
      <c r="AE15" s="627"/>
      <c r="AF15" s="627"/>
      <c r="AG15" s="627"/>
      <c r="AH15" s="627"/>
      <c r="AI15" s="627" t="s">
        <v>649</v>
      </c>
      <c r="AJ15" s="627"/>
      <c r="AK15" s="627"/>
      <c r="AL15" s="627"/>
      <c r="AM15" s="627"/>
      <c r="AN15" s="621"/>
      <c r="AO15" s="621"/>
      <c r="AP15" s="621"/>
      <c r="AQ15" s="621"/>
      <c r="AR15" s="621"/>
      <c r="AS15" s="621"/>
      <c r="AT15" s="621"/>
      <c r="AU15" s="621"/>
      <c r="AV15" s="621"/>
      <c r="AW15" s="621"/>
      <c r="AX15" s="621"/>
      <c r="AY15" s="621"/>
      <c r="AZ15" s="604"/>
      <c r="BA15" s="604"/>
      <c r="BB15" s="542"/>
      <c r="BC15" s="543"/>
      <c r="BD15" s="544"/>
      <c r="BE15" s="710"/>
      <c r="BF15" s="615"/>
      <c r="BG15" s="615" t="s">
        <v>391</v>
      </c>
      <c r="BH15" s="710"/>
      <c r="BI15" s="710"/>
      <c r="BJ15" s="710"/>
      <c r="BK15" s="710"/>
      <c r="BL15" s="710"/>
      <c r="BM15" s="710"/>
      <c r="BN15" s="710"/>
      <c r="BO15" s="710"/>
      <c r="BP15" s="710"/>
      <c r="BQ15" s="710"/>
      <c r="BR15" s="710"/>
      <c r="BS15" s="710"/>
      <c r="BT15" s="710"/>
    </row>
    <row r="16" spans="1:72" ht="12.6" customHeight="1">
      <c r="A16" s="556"/>
      <c r="B16" s="600"/>
      <c r="C16" s="630"/>
      <c r="D16" s="629"/>
      <c r="E16" s="627"/>
      <c r="F16" s="629"/>
      <c r="G16" s="627"/>
      <c r="H16" s="627"/>
      <c r="I16" s="627"/>
      <c r="J16" s="627"/>
      <c r="K16" s="627"/>
      <c r="L16" s="627"/>
      <c r="M16" s="627"/>
      <c r="N16" s="627"/>
      <c r="O16" s="627"/>
      <c r="P16" s="627"/>
      <c r="Q16" s="627"/>
      <c r="R16" s="627"/>
      <c r="S16" s="627"/>
      <c r="T16" s="627"/>
      <c r="U16" s="627"/>
      <c r="V16" s="627"/>
      <c r="W16" s="627"/>
      <c r="X16" s="629"/>
      <c r="Y16" s="621"/>
      <c r="Z16" s="786"/>
      <c r="AA16" s="787"/>
      <c r="AB16" s="633"/>
      <c r="AC16" s="629"/>
      <c r="AD16" s="627"/>
      <c r="AE16" s="629"/>
      <c r="AF16" s="627"/>
      <c r="AG16" s="627"/>
      <c r="AH16" s="627"/>
      <c r="AI16" s="627"/>
      <c r="AJ16" s="627"/>
      <c r="AK16" s="627"/>
      <c r="AL16" s="627"/>
      <c r="AM16" s="627"/>
      <c r="AN16" s="635"/>
      <c r="AO16" s="630"/>
      <c r="AP16" s="630"/>
      <c r="AQ16" s="636"/>
      <c r="AR16" s="621"/>
      <c r="AS16" s="621"/>
      <c r="AT16" s="621"/>
      <c r="AU16" s="621"/>
      <c r="AV16" s="621"/>
      <c r="AW16" s="621"/>
      <c r="AX16" s="621"/>
      <c r="AY16" s="621"/>
      <c r="AZ16" s="604"/>
      <c r="BA16" s="604"/>
      <c r="BB16" s="542"/>
      <c r="BC16" s="543"/>
      <c r="BD16" s="544"/>
      <c r="BE16" s="713"/>
      <c r="BF16" s="615"/>
      <c r="BG16" s="615" t="s">
        <v>392</v>
      </c>
      <c r="BH16" s="710"/>
      <c r="BI16" s="710"/>
      <c r="BJ16" s="710"/>
      <c r="BK16" s="710"/>
      <c r="BL16" s="710"/>
      <c r="BM16" s="710"/>
      <c r="BN16" s="710"/>
      <c r="BO16" s="710"/>
      <c r="BP16" s="710"/>
      <c r="BQ16" s="710"/>
      <c r="BR16" s="710"/>
      <c r="BS16" s="710"/>
      <c r="BT16" s="710"/>
    </row>
    <row r="17" spans="1:72" ht="12.6" customHeight="1">
      <c r="A17" s="556"/>
      <c r="B17" s="600"/>
      <c r="C17" s="630"/>
      <c r="D17" s="629"/>
      <c r="E17" s="627"/>
      <c r="F17" s="629"/>
      <c r="G17" s="627"/>
      <c r="H17" s="627"/>
      <c r="I17" s="627"/>
      <c r="J17" s="627"/>
      <c r="K17" s="627"/>
      <c r="L17" s="627"/>
      <c r="M17" s="627"/>
      <c r="N17" s="627"/>
      <c r="O17" s="627"/>
      <c r="P17" s="627"/>
      <c r="Q17" s="627"/>
      <c r="R17" s="627"/>
      <c r="S17" s="627"/>
      <c r="T17" s="627"/>
      <c r="U17" s="627"/>
      <c r="V17" s="627"/>
      <c r="W17" s="627"/>
      <c r="X17" s="629"/>
      <c r="Y17" s="621"/>
      <c r="Z17" s="786"/>
      <c r="AA17" s="787"/>
      <c r="AB17" s="621"/>
      <c r="AC17" s="629"/>
      <c r="AD17" s="627"/>
      <c r="AE17" s="629"/>
      <c r="AF17" s="627"/>
      <c r="AG17" s="627"/>
      <c r="AH17" s="627"/>
      <c r="AI17" s="627"/>
      <c r="AJ17" s="627"/>
      <c r="AK17" s="627"/>
      <c r="AL17" s="627"/>
      <c r="AM17" s="627"/>
      <c r="AN17" s="621"/>
      <c r="AO17" s="621"/>
      <c r="AP17" s="630"/>
      <c r="AQ17" s="621"/>
      <c r="AR17" s="621"/>
      <c r="AS17" s="621"/>
      <c r="AT17" s="621"/>
      <c r="AU17" s="621"/>
      <c r="AV17" s="621"/>
      <c r="AW17" s="621"/>
      <c r="AX17" s="621"/>
      <c r="AY17" s="621"/>
      <c r="AZ17" s="604"/>
      <c r="BA17" s="604"/>
      <c r="BB17" s="542"/>
      <c r="BC17" s="543"/>
      <c r="BD17" s="544"/>
      <c r="BE17" s="710"/>
      <c r="BF17" s="710"/>
      <c r="BG17" s="710"/>
      <c r="BH17" s="710"/>
      <c r="BI17" s="710"/>
      <c r="BJ17" s="710"/>
      <c r="BK17" s="710"/>
      <c r="BL17" s="710"/>
      <c r="BM17" s="710"/>
      <c r="BN17" s="710"/>
      <c r="BO17" s="710"/>
      <c r="BP17" s="710"/>
      <c r="BQ17" s="710"/>
      <c r="BR17" s="710"/>
      <c r="BS17" s="710"/>
      <c r="BT17" s="710"/>
    </row>
    <row r="18" spans="1:72" s="709" customFormat="1" ht="12.6" customHeight="1">
      <c r="A18" s="556"/>
      <c r="B18" s="600"/>
      <c r="C18" s="630"/>
      <c r="D18" s="627" t="s">
        <v>312</v>
      </c>
      <c r="E18" s="628" t="s">
        <v>316</v>
      </c>
      <c r="F18" s="627"/>
      <c r="G18" s="627"/>
      <c r="H18" s="627"/>
      <c r="I18" s="627"/>
      <c r="J18" s="627" t="s">
        <v>651</v>
      </c>
      <c r="K18" s="627"/>
      <c r="L18" s="627"/>
      <c r="M18" s="627"/>
      <c r="N18" s="627"/>
      <c r="O18" s="627"/>
      <c r="P18" s="627"/>
      <c r="Q18" s="627"/>
      <c r="R18" s="627"/>
      <c r="S18" s="627"/>
      <c r="T18" s="627"/>
      <c r="U18" s="627"/>
      <c r="V18" s="627"/>
      <c r="W18" s="627"/>
      <c r="X18" s="629"/>
      <c r="Y18" s="621"/>
      <c r="Z18" s="786"/>
      <c r="AA18" s="787"/>
      <c r="AB18" s="621"/>
      <c r="AC18" s="627" t="s">
        <v>312</v>
      </c>
      <c r="AD18" s="628" t="s">
        <v>316</v>
      </c>
      <c r="AE18" s="627"/>
      <c r="AF18" s="627"/>
      <c r="AG18" s="627"/>
      <c r="AH18" s="627"/>
      <c r="AI18" s="627" t="s">
        <v>650</v>
      </c>
      <c r="AJ18" s="627"/>
      <c r="AK18" s="627"/>
      <c r="AL18" s="627"/>
      <c r="AM18" s="627"/>
      <c r="AN18" s="635"/>
      <c r="AO18" s="630"/>
      <c r="AP18" s="630"/>
      <c r="AQ18" s="621"/>
      <c r="AR18" s="621"/>
      <c r="AS18" s="621"/>
      <c r="AT18" s="621"/>
      <c r="AU18" s="621"/>
      <c r="AV18" s="621"/>
      <c r="AW18" s="621"/>
      <c r="AX18" s="621"/>
      <c r="AY18" s="621"/>
      <c r="AZ18" s="604"/>
      <c r="BA18" s="604"/>
      <c r="BB18" s="542"/>
      <c r="BC18" s="543"/>
      <c r="BD18" s="544"/>
      <c r="BE18" s="710" t="s">
        <v>394</v>
      </c>
      <c r="BF18" s="710"/>
      <c r="BG18" s="710"/>
      <c r="BH18" s="710"/>
      <c r="BI18" s="710"/>
      <c r="BJ18" s="710"/>
      <c r="BK18" s="710"/>
      <c r="BL18" s="710"/>
      <c r="BM18" s="710"/>
      <c r="BN18" s="710"/>
      <c r="BO18" s="710"/>
      <c r="BP18" s="710"/>
      <c r="BQ18" s="710"/>
      <c r="BR18" s="710"/>
      <c r="BS18" s="710"/>
      <c r="BT18" s="710"/>
    </row>
    <row r="19" spans="1:72" s="709" customFormat="1" ht="12.6" customHeight="1">
      <c r="A19" s="556"/>
      <c r="B19" s="600"/>
      <c r="C19" s="630"/>
      <c r="D19" s="629"/>
      <c r="E19" s="627"/>
      <c r="F19" s="627"/>
      <c r="G19" s="627"/>
      <c r="H19" s="627"/>
      <c r="I19" s="627"/>
      <c r="J19" s="627"/>
      <c r="K19" s="627"/>
      <c r="L19" s="621"/>
      <c r="M19" s="621"/>
      <c r="N19" s="627"/>
      <c r="O19" s="627"/>
      <c r="P19" s="627"/>
      <c r="Q19" s="621"/>
      <c r="R19" s="621"/>
      <c r="S19" s="621"/>
      <c r="T19" s="621"/>
      <c r="U19" s="621"/>
      <c r="V19" s="621"/>
      <c r="W19" s="621"/>
      <c r="X19" s="630"/>
      <c r="Y19" s="621"/>
      <c r="Z19" s="786"/>
      <c r="AA19" s="787"/>
      <c r="AB19" s="621"/>
      <c r="AC19" s="629"/>
      <c r="AD19" s="627"/>
      <c r="AE19" s="627"/>
      <c r="AF19" s="627"/>
      <c r="AG19" s="627"/>
      <c r="AH19" s="627"/>
      <c r="AI19" s="627"/>
      <c r="AJ19" s="627"/>
      <c r="AK19" s="621"/>
      <c r="AL19" s="621"/>
      <c r="AM19" s="627"/>
      <c r="AN19" s="635"/>
      <c r="AO19" s="630"/>
      <c r="AP19" s="630"/>
      <c r="AQ19" s="621"/>
      <c r="AR19" s="621"/>
      <c r="AS19" s="621"/>
      <c r="AT19" s="621"/>
      <c r="AU19" s="621"/>
      <c r="AV19" s="621"/>
      <c r="AW19" s="621"/>
      <c r="AX19" s="621"/>
      <c r="AY19" s="621"/>
      <c r="AZ19" s="604"/>
      <c r="BA19" s="604"/>
      <c r="BB19" s="542"/>
      <c r="BC19" s="543"/>
      <c r="BD19" s="544"/>
      <c r="BE19" s="710"/>
      <c r="BF19" s="710" t="s">
        <v>395</v>
      </c>
      <c r="BG19" s="710"/>
      <c r="BH19" s="710"/>
      <c r="BI19" s="710"/>
      <c r="BJ19" s="710"/>
      <c r="BK19" s="710"/>
      <c r="BL19" s="710"/>
      <c r="BM19" s="710"/>
      <c r="BN19" s="710"/>
      <c r="BO19" s="710"/>
      <c r="BP19" s="710"/>
      <c r="BQ19" s="710"/>
      <c r="BR19" s="710"/>
      <c r="BS19" s="710"/>
      <c r="BT19" s="710"/>
    </row>
    <row r="20" spans="1:72" s="709" customFormat="1" ht="12.6" customHeight="1">
      <c r="A20" s="556"/>
      <c r="B20" s="600"/>
      <c r="C20" s="630"/>
      <c r="D20" s="630"/>
      <c r="E20" s="630"/>
      <c r="F20" s="630"/>
      <c r="G20" s="630"/>
      <c r="H20" s="630"/>
      <c r="I20" s="637"/>
      <c r="J20" s="637"/>
      <c r="K20" s="637"/>
      <c r="L20" s="637"/>
      <c r="M20" s="637"/>
      <c r="N20" s="637"/>
      <c r="O20" s="637"/>
      <c r="P20" s="637"/>
      <c r="Q20" s="637"/>
      <c r="R20" s="637"/>
      <c r="S20" s="637"/>
      <c r="T20" s="637"/>
      <c r="U20" s="637"/>
      <c r="V20" s="637"/>
      <c r="W20" s="637"/>
      <c r="X20" s="638"/>
      <c r="Y20" s="637"/>
      <c r="Z20" s="786"/>
      <c r="AA20" s="787"/>
      <c r="AB20" s="637"/>
      <c r="AC20" s="639"/>
      <c r="AD20" s="637"/>
      <c r="AE20" s="640"/>
      <c r="AF20" s="640"/>
      <c r="AG20" s="640"/>
      <c r="AH20" s="640"/>
      <c r="AI20" s="637"/>
      <c r="AJ20" s="637"/>
      <c r="AK20" s="637"/>
      <c r="AL20" s="637"/>
      <c r="AM20" s="637"/>
      <c r="AN20" s="641"/>
      <c r="AO20" s="638"/>
      <c r="AP20" s="638"/>
      <c r="AQ20" s="637"/>
      <c r="AR20" s="637"/>
      <c r="AS20" s="621"/>
      <c r="AT20" s="621"/>
      <c r="AU20" s="621"/>
      <c r="AV20" s="621"/>
      <c r="AW20" s="621"/>
      <c r="AX20" s="621"/>
      <c r="AY20" s="621"/>
      <c r="AZ20" s="604"/>
      <c r="BA20" s="604"/>
      <c r="BB20" s="542"/>
      <c r="BC20" s="543"/>
      <c r="BD20" s="544"/>
      <c r="BE20" s="710"/>
      <c r="BF20" s="710" t="s">
        <v>395</v>
      </c>
      <c r="BG20" s="710"/>
      <c r="BH20" s="710"/>
      <c r="BI20" s="710"/>
      <c r="BJ20" s="710"/>
      <c r="BK20" s="710"/>
      <c r="BL20" s="710"/>
      <c r="BM20" s="710"/>
      <c r="BN20" s="710"/>
      <c r="BO20" s="710"/>
      <c r="BP20" s="710"/>
      <c r="BQ20" s="710"/>
      <c r="BR20" s="710"/>
      <c r="BS20" s="710"/>
      <c r="BT20" s="710"/>
    </row>
    <row r="21" spans="1:72" s="709" customFormat="1" ht="12.6" customHeight="1">
      <c r="A21" s="556"/>
      <c r="B21" s="600"/>
      <c r="C21" s="598"/>
      <c r="D21" s="598"/>
      <c r="E21" s="598"/>
      <c r="F21" s="598"/>
      <c r="G21" s="598"/>
      <c r="H21" s="653"/>
      <c r="I21" s="653"/>
      <c r="J21" s="653"/>
      <c r="K21" s="653"/>
      <c r="L21" s="653"/>
      <c r="M21" s="653"/>
      <c r="N21" s="653"/>
      <c r="O21" s="653"/>
      <c r="P21" s="653"/>
      <c r="Q21" s="653"/>
      <c r="R21" s="653"/>
      <c r="S21" s="653"/>
      <c r="T21" s="653"/>
      <c r="U21" s="653"/>
      <c r="V21" s="653"/>
      <c r="W21" s="653"/>
      <c r="X21" s="653"/>
      <c r="Y21" s="653"/>
      <c r="Z21" s="786"/>
      <c r="AA21" s="787"/>
      <c r="AB21" s="653"/>
      <c r="AC21" s="653"/>
      <c r="AD21" s="653"/>
      <c r="AE21" s="653"/>
      <c r="AF21" s="653"/>
      <c r="AG21" s="653"/>
      <c r="AH21" s="653"/>
      <c r="AI21" s="653"/>
      <c r="AJ21" s="653"/>
      <c r="AK21" s="653"/>
      <c r="AL21" s="653"/>
      <c r="AM21" s="653"/>
      <c r="AN21" s="653"/>
      <c r="AO21" s="653"/>
      <c r="AP21" s="653"/>
      <c r="AQ21" s="653"/>
      <c r="AR21" s="653"/>
      <c r="AS21" s="654"/>
      <c r="AT21" s="607"/>
      <c r="AU21" s="598"/>
      <c r="AV21" s="603"/>
      <c r="AW21" s="603"/>
      <c r="AX21" s="603"/>
      <c r="AY21" s="598"/>
      <c r="AZ21" s="604"/>
      <c r="BA21" s="604"/>
      <c r="BB21" s="542"/>
      <c r="BC21" s="543"/>
      <c r="BD21" s="545"/>
      <c r="BE21" s="710"/>
      <c r="BF21" s="710"/>
      <c r="BG21" s="710" t="s">
        <v>396</v>
      </c>
      <c r="BH21" s="710"/>
      <c r="BI21" s="710"/>
      <c r="BJ21" s="710"/>
      <c r="BK21" s="710"/>
      <c r="BL21" s="710"/>
      <c r="BM21" s="710"/>
      <c r="BN21" s="710"/>
      <c r="BO21" s="710"/>
      <c r="BP21" s="710"/>
      <c r="BQ21" s="710"/>
      <c r="BR21" s="710"/>
      <c r="BS21" s="710"/>
      <c r="BT21" s="710"/>
    </row>
    <row r="22" spans="1:72" s="709" customFormat="1" ht="12.6" customHeight="1">
      <c r="A22" s="556"/>
      <c r="B22" s="600"/>
      <c r="C22" s="614"/>
      <c r="D22" s="615"/>
      <c r="E22" s="603"/>
      <c r="F22" s="603"/>
      <c r="G22" s="603"/>
      <c r="H22" s="653"/>
      <c r="I22" s="653"/>
      <c r="J22" s="653"/>
      <c r="K22" s="653"/>
      <c r="L22" s="653"/>
      <c r="M22" s="653"/>
      <c r="N22" s="653"/>
      <c r="O22" s="653"/>
      <c r="P22" s="653"/>
      <c r="Q22" s="653"/>
      <c r="R22" s="653"/>
      <c r="S22" s="653"/>
      <c r="T22" s="653"/>
      <c r="U22" s="653"/>
      <c r="V22" s="653"/>
      <c r="W22" s="653"/>
      <c r="X22" s="653"/>
      <c r="Y22" s="653"/>
      <c r="Z22" s="786"/>
      <c r="AA22" s="787"/>
      <c r="AB22" s="653"/>
      <c r="AC22" s="653"/>
      <c r="AD22" s="653"/>
      <c r="AE22" s="653"/>
      <c r="AF22" s="653"/>
      <c r="AG22" s="653"/>
      <c r="AH22" s="653"/>
      <c r="AI22" s="653"/>
      <c r="AJ22" s="653"/>
      <c r="AK22" s="653"/>
      <c r="AL22" s="653"/>
      <c r="AM22" s="653"/>
      <c r="AN22" s="653"/>
      <c r="AO22" s="653"/>
      <c r="AP22" s="653"/>
      <c r="AQ22" s="653"/>
      <c r="AR22" s="653"/>
      <c r="AS22" s="653"/>
      <c r="AT22" s="609"/>
      <c r="AU22" s="603"/>
      <c r="AV22" s="603"/>
      <c r="AW22" s="603"/>
      <c r="AX22" s="603"/>
      <c r="AY22" s="603"/>
      <c r="AZ22" s="604"/>
      <c r="BA22" s="604"/>
      <c r="BB22" s="570"/>
      <c r="BC22" s="571"/>
      <c r="BD22" s="544"/>
      <c r="BE22" s="710"/>
      <c r="BF22" s="710"/>
      <c r="BG22" s="710"/>
      <c r="BH22" s="710"/>
      <c r="BI22" s="710"/>
      <c r="BJ22" s="710"/>
      <c r="BK22" s="710"/>
      <c r="BL22" s="710"/>
      <c r="BM22" s="710"/>
      <c r="BN22" s="710"/>
      <c r="BO22" s="710"/>
      <c r="BP22" s="710"/>
      <c r="BQ22" s="710"/>
      <c r="BR22" s="710"/>
      <c r="BS22" s="710"/>
      <c r="BT22" s="710"/>
    </row>
    <row r="23" spans="1:72" s="709" customFormat="1" ht="12.6" customHeight="1">
      <c r="A23" s="556"/>
      <c r="B23" s="600"/>
      <c r="C23" s="614"/>
      <c r="D23" s="615"/>
      <c r="E23" s="603"/>
      <c r="F23" s="603"/>
      <c r="G23" s="603"/>
      <c r="H23" s="653"/>
      <c r="I23" s="653"/>
      <c r="J23" s="653"/>
      <c r="K23" s="653"/>
      <c r="L23" s="653"/>
      <c r="M23" s="653"/>
      <c r="N23" s="653"/>
      <c r="O23" s="653"/>
      <c r="P23" s="653"/>
      <c r="Q23" s="653"/>
      <c r="R23" s="653"/>
      <c r="S23" s="653"/>
      <c r="T23" s="653"/>
      <c r="U23" s="653"/>
      <c r="V23" s="653"/>
      <c r="W23" s="653"/>
      <c r="X23" s="653"/>
      <c r="Y23" s="653"/>
      <c r="Z23" s="786"/>
      <c r="AA23" s="787"/>
      <c r="AB23" s="653"/>
      <c r="AC23" s="653"/>
      <c r="AD23" s="653"/>
      <c r="AE23" s="653"/>
      <c r="AF23" s="653"/>
      <c r="AG23" s="653"/>
      <c r="AH23" s="653"/>
      <c r="AI23" s="653"/>
      <c r="AJ23" s="653"/>
      <c r="AK23" s="653"/>
      <c r="AL23" s="653"/>
      <c r="AM23" s="653"/>
      <c r="AN23" s="653"/>
      <c r="AO23" s="653"/>
      <c r="AP23" s="653"/>
      <c r="AQ23" s="653"/>
      <c r="AR23" s="653"/>
      <c r="AS23" s="655"/>
      <c r="AT23" s="616"/>
      <c r="AU23" s="616"/>
      <c r="AV23" s="616"/>
      <c r="AW23" s="616"/>
      <c r="AX23" s="616"/>
      <c r="AY23" s="616"/>
      <c r="AZ23" s="604"/>
      <c r="BA23" s="604"/>
      <c r="BB23" s="570"/>
      <c r="BC23" s="571"/>
      <c r="BD23" s="544"/>
      <c r="BE23" s="710"/>
      <c r="BF23" s="710" t="s">
        <v>397</v>
      </c>
      <c r="BG23" s="710"/>
      <c r="BH23" s="710"/>
      <c r="BI23" s="710"/>
      <c r="BJ23" s="710"/>
      <c r="BK23" s="710"/>
      <c r="BL23" s="710"/>
      <c r="BM23" s="710"/>
      <c r="BN23" s="710"/>
      <c r="BO23" s="710"/>
      <c r="BP23" s="710"/>
      <c r="BQ23" s="710"/>
      <c r="BR23" s="710"/>
      <c r="BS23" s="710"/>
      <c r="BT23" s="710"/>
    </row>
    <row r="24" spans="1:72" s="709" customFormat="1" ht="12.6" customHeight="1">
      <c r="A24" s="556"/>
      <c r="B24" s="600"/>
      <c r="C24" s="614"/>
      <c r="D24" s="615"/>
      <c r="E24" s="603"/>
      <c r="F24" s="603"/>
      <c r="G24" s="603"/>
      <c r="H24" s="653"/>
      <c r="I24" s="653"/>
      <c r="J24" s="863"/>
      <c r="K24" s="863"/>
      <c r="L24" s="863"/>
      <c r="M24" s="863"/>
      <c r="N24" s="656"/>
      <c r="O24" s="657"/>
      <c r="P24" s="656"/>
      <c r="Q24" s="653"/>
      <c r="R24" s="653"/>
      <c r="S24" s="653"/>
      <c r="T24" s="654"/>
      <c r="U24" s="654"/>
      <c r="V24" s="654"/>
      <c r="W24" s="654"/>
      <c r="X24" s="654"/>
      <c r="Y24" s="657"/>
      <c r="Z24" s="786"/>
      <c r="AA24" s="787"/>
      <c r="AB24" s="657"/>
      <c r="AC24" s="654"/>
      <c r="AD24" s="653"/>
      <c r="AE24" s="657"/>
      <c r="AF24" s="653"/>
      <c r="AG24" s="653"/>
      <c r="AH24" s="657"/>
      <c r="AI24" s="653"/>
      <c r="AJ24" s="653"/>
      <c r="AK24" s="658"/>
      <c r="AL24" s="653"/>
      <c r="AM24" s="653"/>
      <c r="AN24" s="653"/>
      <c r="AO24" s="653"/>
      <c r="AP24" s="653"/>
      <c r="AQ24" s="653"/>
      <c r="AR24" s="653"/>
      <c r="AS24" s="653"/>
      <c r="AT24" s="603"/>
      <c r="AU24" s="603"/>
      <c r="AV24" s="603"/>
      <c r="AW24" s="603"/>
      <c r="AX24" s="603"/>
      <c r="AY24" s="603"/>
      <c r="AZ24" s="604"/>
      <c r="BA24" s="604"/>
      <c r="BB24" s="570"/>
      <c r="BC24" s="571"/>
      <c r="BD24" s="544"/>
      <c r="BE24" s="710"/>
      <c r="BF24" s="710"/>
      <c r="BG24" s="710" t="s">
        <v>398</v>
      </c>
      <c r="BH24" s="710"/>
      <c r="BI24" s="710"/>
      <c r="BJ24" s="710"/>
      <c r="BK24" s="710"/>
      <c r="BL24" s="710"/>
      <c r="BM24" s="710"/>
      <c r="BN24" s="710"/>
      <c r="BO24" s="710"/>
      <c r="BP24" s="710"/>
      <c r="BQ24" s="710"/>
      <c r="BR24" s="710"/>
      <c r="BS24" s="710"/>
      <c r="BT24" s="710"/>
    </row>
    <row r="25" spans="1:72" s="709" customFormat="1" ht="25.5" customHeight="1">
      <c r="A25" s="556"/>
      <c r="B25" s="610"/>
      <c r="C25" s="659"/>
      <c r="D25" s="659" t="s">
        <v>393</v>
      </c>
      <c r="E25" s="659"/>
      <c r="F25" s="659"/>
      <c r="G25" s="659"/>
      <c r="H25" s="659"/>
      <c r="I25" s="659"/>
      <c r="J25" s="660"/>
      <c r="K25" s="660"/>
      <c r="L25" s="660"/>
      <c r="M25" s="660"/>
      <c r="N25" s="661"/>
      <c r="O25" s="659"/>
      <c r="P25" s="659"/>
      <c r="Q25" s="659"/>
      <c r="R25" s="659"/>
      <c r="S25" s="659"/>
      <c r="T25" s="661"/>
      <c r="U25" s="661"/>
      <c r="V25" s="661"/>
      <c r="W25" s="661"/>
      <c r="X25" s="661"/>
      <c r="Y25" s="662"/>
      <c r="Z25" s="786"/>
      <c r="AA25" s="787"/>
      <c r="AB25" s="662"/>
      <c r="AC25" s="661" t="s">
        <v>676</v>
      </c>
      <c r="AD25" s="659"/>
      <c r="AE25" s="662"/>
      <c r="AF25" s="659"/>
      <c r="AG25" s="663"/>
      <c r="AH25" s="664"/>
      <c r="AI25" s="663"/>
      <c r="AJ25" s="663"/>
      <c r="AK25" s="663"/>
      <c r="AL25" s="663"/>
      <c r="AM25" s="663"/>
      <c r="AN25" s="663"/>
      <c r="AO25" s="663"/>
      <c r="AP25" s="663"/>
      <c r="AQ25" s="663"/>
      <c r="AR25" s="663"/>
      <c r="AS25" s="663"/>
      <c r="AT25" s="663"/>
      <c r="AU25" s="663"/>
      <c r="AV25" s="663"/>
      <c r="AW25" s="663"/>
      <c r="AX25" s="663"/>
      <c r="AY25" s="663"/>
      <c r="AZ25" s="604"/>
      <c r="BA25" s="604"/>
      <c r="BB25" s="542"/>
      <c r="BC25" s="543"/>
      <c r="BD25" s="544"/>
      <c r="BE25" s="710"/>
      <c r="BF25" s="710"/>
      <c r="BG25" s="710" t="s">
        <v>399</v>
      </c>
      <c r="BH25" s="710"/>
      <c r="BI25" s="710"/>
      <c r="BJ25" s="710"/>
      <c r="BK25" s="710"/>
      <c r="BL25" s="710"/>
      <c r="BM25" s="710"/>
      <c r="BN25" s="710"/>
      <c r="BO25" s="710"/>
      <c r="BP25" s="710"/>
      <c r="BQ25" s="710"/>
      <c r="BR25" s="710"/>
      <c r="BS25" s="710"/>
      <c r="BT25" s="710"/>
    </row>
    <row r="26" spans="1:72" s="709" customFormat="1" ht="12.6" customHeight="1">
      <c r="A26" s="556"/>
      <c r="B26" s="600"/>
      <c r="C26" s="602"/>
      <c r="D26" s="602"/>
      <c r="E26" s="602"/>
      <c r="F26" s="602"/>
      <c r="G26" s="602"/>
      <c r="H26" s="602"/>
      <c r="I26" s="602"/>
      <c r="J26" s="602"/>
      <c r="K26" s="602"/>
      <c r="L26" s="602"/>
      <c r="M26" s="602"/>
      <c r="N26" s="602"/>
      <c r="O26" s="602"/>
      <c r="P26" s="602"/>
      <c r="Q26" s="602"/>
      <c r="R26" s="602"/>
      <c r="S26" s="602"/>
      <c r="T26" s="602"/>
      <c r="U26" s="602"/>
      <c r="V26" s="602"/>
      <c r="W26" s="602"/>
      <c r="X26" s="602"/>
      <c r="Y26" s="602"/>
      <c r="Z26" s="602"/>
      <c r="AA26" s="602"/>
      <c r="AB26" s="602"/>
      <c r="AC26" s="602"/>
      <c r="AD26" s="602"/>
      <c r="AE26" s="602"/>
      <c r="AF26" s="602"/>
      <c r="AG26" s="602"/>
      <c r="AH26" s="602"/>
      <c r="AI26" s="602"/>
      <c r="AJ26" s="602"/>
      <c r="AK26" s="602"/>
      <c r="AL26" s="602"/>
      <c r="AM26" s="602"/>
      <c r="AN26" s="602"/>
      <c r="AO26" s="602"/>
      <c r="AP26" s="602"/>
      <c r="AQ26" s="602"/>
      <c r="AR26" s="602"/>
      <c r="AS26" s="602"/>
      <c r="AT26" s="602"/>
      <c r="AU26" s="602"/>
      <c r="AV26" s="602"/>
      <c r="AW26" s="602"/>
      <c r="AX26" s="602"/>
      <c r="AY26" s="602"/>
      <c r="AZ26" s="604"/>
      <c r="BA26" s="604"/>
      <c r="BB26" s="570"/>
      <c r="BC26" s="571"/>
      <c r="BD26" s="544"/>
      <c r="BE26" s="710"/>
      <c r="BF26" s="710"/>
      <c r="BG26" s="713" t="s">
        <v>400</v>
      </c>
      <c r="BH26" s="710"/>
      <c r="BI26" s="710"/>
      <c r="BJ26" s="710"/>
      <c r="BK26" s="710"/>
      <c r="BL26" s="710"/>
      <c r="BM26" s="710"/>
      <c r="BN26" s="710"/>
      <c r="BO26" s="710"/>
      <c r="BP26" s="710"/>
      <c r="BQ26" s="710"/>
      <c r="BR26" s="710"/>
      <c r="BS26" s="710"/>
      <c r="BT26" s="710"/>
    </row>
    <row r="27" spans="1:72" s="709" customFormat="1" ht="12.6" customHeight="1">
      <c r="A27" s="556"/>
      <c r="B27" s="600"/>
      <c r="C27" s="602"/>
      <c r="D27" s="602"/>
      <c r="E27" s="602"/>
      <c r="F27" s="602"/>
      <c r="G27" s="602"/>
      <c r="H27" s="602"/>
      <c r="I27" s="602"/>
      <c r="J27" s="602"/>
      <c r="K27" s="602"/>
      <c r="L27" s="602"/>
      <c r="M27" s="602"/>
      <c r="N27" s="602"/>
      <c r="O27" s="602"/>
      <c r="P27" s="602"/>
      <c r="Q27" s="602"/>
      <c r="R27" s="602"/>
      <c r="S27" s="602"/>
      <c r="T27" s="602"/>
      <c r="U27" s="602"/>
      <c r="V27" s="602"/>
      <c r="W27" s="602"/>
      <c r="X27" s="602"/>
      <c r="Y27" s="602"/>
      <c r="Z27" s="602"/>
      <c r="AA27" s="602"/>
      <c r="AB27" s="602"/>
      <c r="AC27" s="602"/>
      <c r="AD27" s="602"/>
      <c r="AE27" s="602"/>
      <c r="AF27" s="602"/>
      <c r="AG27" s="602"/>
      <c r="AH27" s="602"/>
      <c r="AI27" s="602"/>
      <c r="AJ27" s="602"/>
      <c r="AK27" s="602"/>
      <c r="AL27" s="602"/>
      <c r="AM27" s="602"/>
      <c r="AN27" s="602"/>
      <c r="AO27" s="602"/>
      <c r="AP27" s="602"/>
      <c r="AQ27" s="602"/>
      <c r="AR27" s="602"/>
      <c r="AS27" s="602"/>
      <c r="AT27" s="602"/>
      <c r="AU27" s="602"/>
      <c r="AV27" s="602"/>
      <c r="AW27" s="602"/>
      <c r="AX27" s="602"/>
      <c r="AY27" s="602"/>
      <c r="AZ27" s="604"/>
      <c r="BA27" s="604"/>
      <c r="BB27" s="570"/>
      <c r="BC27" s="571"/>
      <c r="BD27" s="544"/>
      <c r="BE27" s="710"/>
      <c r="BF27" s="710"/>
      <c r="BG27" s="713"/>
      <c r="BH27" s="710"/>
      <c r="BI27" s="710"/>
      <c r="BJ27" s="710"/>
      <c r="BK27" s="710"/>
      <c r="BL27" s="710"/>
      <c r="BM27" s="710"/>
      <c r="BN27" s="710"/>
      <c r="BO27" s="710"/>
      <c r="BP27" s="710"/>
      <c r="BQ27" s="710"/>
      <c r="BR27" s="710"/>
      <c r="BS27" s="710"/>
      <c r="BT27" s="710"/>
    </row>
    <row r="28" spans="1:72" s="709" customFormat="1" ht="17.100000000000001" customHeight="1">
      <c r="A28" s="556"/>
      <c r="B28" s="600"/>
      <c r="C28" s="598"/>
      <c r="D28" s="598"/>
      <c r="E28" s="598"/>
      <c r="F28" s="598"/>
      <c r="G28" s="598"/>
      <c r="H28" s="869" t="s">
        <v>677</v>
      </c>
      <c r="I28" s="870"/>
      <c r="J28" s="870"/>
      <c r="K28" s="870"/>
      <c r="L28" s="871"/>
      <c r="M28" s="875" t="s">
        <v>684</v>
      </c>
      <c r="N28" s="876"/>
      <c r="O28" s="876"/>
      <c r="P28" s="876"/>
      <c r="Q28" s="877"/>
      <c r="R28" s="869" t="s">
        <v>678</v>
      </c>
      <c r="S28" s="870"/>
      <c r="T28" s="870"/>
      <c r="U28" s="870"/>
      <c r="V28" s="871"/>
      <c r="W28" s="881" t="s">
        <v>679</v>
      </c>
      <c r="X28" s="882"/>
      <c r="Y28" s="882"/>
      <c r="Z28" s="883"/>
      <c r="AA28" s="881" t="s">
        <v>680</v>
      </c>
      <c r="AB28" s="882"/>
      <c r="AC28" s="882"/>
      <c r="AD28" s="883"/>
      <c r="AE28" s="869" t="s">
        <v>681</v>
      </c>
      <c r="AF28" s="870"/>
      <c r="AG28" s="870"/>
      <c r="AH28" s="871"/>
      <c r="AI28" s="869" t="s">
        <v>682</v>
      </c>
      <c r="AJ28" s="870"/>
      <c r="AK28" s="870"/>
      <c r="AL28" s="870"/>
      <c r="AM28" s="871"/>
      <c r="AN28" s="869" t="s">
        <v>683</v>
      </c>
      <c r="AO28" s="870"/>
      <c r="AP28" s="870"/>
      <c r="AQ28" s="870"/>
      <c r="AR28" s="870"/>
      <c r="AS28" s="871"/>
      <c r="AT28" s="607"/>
      <c r="AU28" s="598"/>
      <c r="AV28" s="603"/>
      <c r="AW28" s="603"/>
      <c r="AX28" s="603"/>
      <c r="AY28" s="598"/>
      <c r="AZ28" s="604"/>
      <c r="BA28" s="604"/>
      <c r="BB28" s="542"/>
      <c r="BC28" s="543"/>
      <c r="BD28" s="545"/>
      <c r="BE28" s="710"/>
      <c r="BF28" s="710" t="s">
        <v>401</v>
      </c>
      <c r="BG28" s="713"/>
      <c r="BH28" s="710"/>
      <c r="BI28" s="710"/>
      <c r="BJ28" s="710"/>
      <c r="BK28" s="710"/>
      <c r="BL28" s="710"/>
      <c r="BM28" s="710"/>
      <c r="BN28" s="710"/>
      <c r="BO28" s="710"/>
      <c r="BP28" s="710"/>
      <c r="BQ28" s="710"/>
      <c r="BR28" s="710"/>
      <c r="BS28" s="710"/>
      <c r="BT28" s="710"/>
    </row>
    <row r="29" spans="1:72" s="709" customFormat="1" ht="17.100000000000001" customHeight="1">
      <c r="A29" s="556"/>
      <c r="B29" s="600"/>
      <c r="C29" s="598"/>
      <c r="D29" s="598"/>
      <c r="E29" s="598"/>
      <c r="F29" s="598"/>
      <c r="G29" s="598"/>
      <c r="H29" s="872"/>
      <c r="I29" s="873"/>
      <c r="J29" s="873"/>
      <c r="K29" s="873"/>
      <c r="L29" s="874"/>
      <c r="M29" s="878"/>
      <c r="N29" s="879"/>
      <c r="O29" s="879"/>
      <c r="P29" s="879"/>
      <c r="Q29" s="880"/>
      <c r="R29" s="872"/>
      <c r="S29" s="873"/>
      <c r="T29" s="873"/>
      <c r="U29" s="873"/>
      <c r="V29" s="874"/>
      <c r="W29" s="884"/>
      <c r="X29" s="885"/>
      <c r="Y29" s="885"/>
      <c r="Z29" s="886"/>
      <c r="AA29" s="884"/>
      <c r="AB29" s="885"/>
      <c r="AC29" s="885"/>
      <c r="AD29" s="886"/>
      <c r="AE29" s="872"/>
      <c r="AF29" s="873"/>
      <c r="AG29" s="873"/>
      <c r="AH29" s="874"/>
      <c r="AI29" s="872"/>
      <c r="AJ29" s="873"/>
      <c r="AK29" s="873"/>
      <c r="AL29" s="873"/>
      <c r="AM29" s="874"/>
      <c r="AN29" s="872"/>
      <c r="AO29" s="873"/>
      <c r="AP29" s="873"/>
      <c r="AQ29" s="873"/>
      <c r="AR29" s="873"/>
      <c r="AS29" s="874"/>
      <c r="AT29" s="607"/>
      <c r="AU29" s="598"/>
      <c r="AV29" s="603"/>
      <c r="AW29" s="603"/>
      <c r="AX29" s="603"/>
      <c r="AY29" s="598"/>
      <c r="AZ29" s="604"/>
      <c r="BA29" s="604"/>
      <c r="BB29" s="542"/>
      <c r="BC29" s="543"/>
      <c r="BD29" s="545"/>
      <c r="BE29" s="710"/>
      <c r="BF29" s="710"/>
      <c r="BG29" s="710" t="s">
        <v>402</v>
      </c>
      <c r="BH29" s="710"/>
      <c r="BI29" s="710"/>
      <c r="BJ29" s="710"/>
      <c r="BK29" s="710"/>
      <c r="BL29" s="710"/>
      <c r="BM29" s="710"/>
      <c r="BN29" s="710"/>
      <c r="BO29" s="710"/>
      <c r="BP29" s="710"/>
      <c r="BQ29" s="710"/>
      <c r="BR29" s="710"/>
      <c r="BS29" s="710"/>
      <c r="BT29" s="710"/>
    </row>
    <row r="30" spans="1:72" s="709" customFormat="1" ht="16.5" customHeight="1">
      <c r="A30" s="556"/>
      <c r="B30" s="600"/>
      <c r="C30" s="614"/>
      <c r="D30" s="615"/>
      <c r="E30" s="603"/>
      <c r="F30" s="603"/>
      <c r="G30" s="603"/>
      <c r="H30" s="674" t="s">
        <v>346</v>
      </c>
      <c r="I30" s="675"/>
      <c r="J30" s="675"/>
      <c r="K30" s="675"/>
      <c r="L30" s="676"/>
      <c r="M30" s="798" t="s">
        <v>685</v>
      </c>
      <c r="N30" s="675"/>
      <c r="O30" s="675"/>
      <c r="P30" s="675"/>
      <c r="Q30" s="676"/>
      <c r="R30" s="798" t="s">
        <v>685</v>
      </c>
      <c r="S30" s="678"/>
      <c r="T30" s="679"/>
      <c r="U30" s="679"/>
      <c r="V30" s="680"/>
      <c r="W30" s="707" t="s">
        <v>381</v>
      </c>
      <c r="X30" s="679"/>
      <c r="Y30" s="680"/>
      <c r="Z30" s="681"/>
      <c r="AA30" s="688" t="s">
        <v>380</v>
      </c>
      <c r="AB30" s="678"/>
      <c r="AC30" s="679"/>
      <c r="AD30" s="680"/>
      <c r="AE30" s="681" t="s">
        <v>382</v>
      </c>
      <c r="AF30" s="678"/>
      <c r="AG30" s="678"/>
      <c r="AH30" s="685"/>
      <c r="AI30" s="799" t="s">
        <v>688</v>
      </c>
      <c r="AJ30" s="678"/>
      <c r="AK30" s="678"/>
      <c r="AL30" s="678"/>
      <c r="AM30" s="685"/>
      <c r="AN30" s="689"/>
      <c r="AO30" s="678"/>
      <c r="AP30" s="678"/>
      <c r="AQ30" s="678"/>
      <c r="AR30" s="678"/>
      <c r="AS30" s="686"/>
      <c r="AT30" s="609"/>
      <c r="AU30" s="603"/>
      <c r="AV30" s="603"/>
      <c r="AW30" s="603"/>
      <c r="AX30" s="603"/>
      <c r="AY30" s="603"/>
      <c r="AZ30" s="604"/>
      <c r="BA30" s="604"/>
      <c r="BB30" s="570"/>
      <c r="BC30" s="571"/>
      <c r="BD30" s="544"/>
      <c r="BE30" s="710"/>
      <c r="BF30" s="710"/>
      <c r="BG30" s="713" t="s">
        <v>403</v>
      </c>
      <c r="BH30" s="710"/>
      <c r="BI30" s="710"/>
      <c r="BJ30" s="710"/>
      <c r="BK30" s="710"/>
      <c r="BL30" s="710"/>
      <c r="BM30" s="710"/>
      <c r="BN30" s="710"/>
      <c r="BO30" s="710"/>
      <c r="BP30" s="710"/>
      <c r="BQ30" s="710"/>
      <c r="BR30" s="710"/>
      <c r="BS30" s="710"/>
      <c r="BT30" s="710"/>
    </row>
    <row r="31" spans="1:72" s="709" customFormat="1" ht="16.5" customHeight="1">
      <c r="A31" s="556"/>
      <c r="B31" s="600"/>
      <c r="C31" s="614"/>
      <c r="D31" s="615"/>
      <c r="E31" s="603"/>
      <c r="F31" s="603"/>
      <c r="G31" s="603"/>
      <c r="H31" s="674" t="s">
        <v>347</v>
      </c>
      <c r="I31" s="675"/>
      <c r="J31" s="675"/>
      <c r="K31" s="675"/>
      <c r="L31" s="676"/>
      <c r="M31" s="798" t="s">
        <v>686</v>
      </c>
      <c r="N31" s="675"/>
      <c r="O31" s="675"/>
      <c r="P31" s="675"/>
      <c r="Q31" s="676"/>
      <c r="R31" s="798" t="s">
        <v>686</v>
      </c>
      <c r="S31" s="678"/>
      <c r="T31" s="679"/>
      <c r="U31" s="679"/>
      <c r="V31" s="680"/>
      <c r="W31" s="707" t="s">
        <v>381</v>
      </c>
      <c r="X31" s="679"/>
      <c r="Y31" s="680"/>
      <c r="Z31" s="681"/>
      <c r="AA31" s="688" t="s">
        <v>380</v>
      </c>
      <c r="AB31" s="678"/>
      <c r="AC31" s="679"/>
      <c r="AD31" s="680"/>
      <c r="AE31" s="681" t="s">
        <v>383</v>
      </c>
      <c r="AF31" s="678"/>
      <c r="AG31" s="678"/>
      <c r="AH31" s="685"/>
      <c r="AI31" s="677" t="s">
        <v>352</v>
      </c>
      <c r="AJ31" s="678"/>
      <c r="AK31" s="678"/>
      <c r="AL31" s="678"/>
      <c r="AM31" s="685"/>
      <c r="AN31" s="689"/>
      <c r="AO31" s="678"/>
      <c r="AP31" s="678"/>
      <c r="AQ31" s="678"/>
      <c r="AR31" s="678"/>
      <c r="AS31" s="686"/>
      <c r="AT31" s="616"/>
      <c r="AU31" s="616"/>
      <c r="AV31" s="616"/>
      <c r="AW31" s="616"/>
      <c r="AX31" s="616"/>
      <c r="AY31" s="616"/>
      <c r="AZ31" s="604"/>
      <c r="BA31" s="604"/>
      <c r="BB31" s="570"/>
      <c r="BC31" s="571"/>
      <c r="BD31" s="544"/>
      <c r="BE31" s="710"/>
      <c r="BF31" s="710"/>
      <c r="BG31" s="710" t="s">
        <v>404</v>
      </c>
      <c r="BH31" s="710"/>
      <c r="BI31" s="710"/>
      <c r="BJ31" s="710"/>
      <c r="BK31" s="710"/>
      <c r="BL31" s="710"/>
      <c r="BM31" s="710"/>
      <c r="BN31" s="710"/>
      <c r="BO31" s="710"/>
      <c r="BP31" s="710"/>
      <c r="BQ31" s="710"/>
      <c r="BR31" s="710"/>
      <c r="BS31" s="710"/>
      <c r="BT31" s="710"/>
    </row>
    <row r="32" spans="1:72" s="709" customFormat="1" ht="16.5" customHeight="1">
      <c r="A32" s="556"/>
      <c r="B32" s="600"/>
      <c r="C32" s="602"/>
      <c r="D32" s="602"/>
      <c r="E32" s="602"/>
      <c r="F32" s="602"/>
      <c r="G32" s="602"/>
      <c r="H32" s="674" t="s">
        <v>348</v>
      </c>
      <c r="I32" s="675"/>
      <c r="J32" s="675"/>
      <c r="K32" s="675"/>
      <c r="L32" s="676"/>
      <c r="M32" s="798" t="s">
        <v>687</v>
      </c>
      <c r="N32" s="675"/>
      <c r="O32" s="675"/>
      <c r="P32" s="675"/>
      <c r="Q32" s="676"/>
      <c r="R32" s="798" t="s">
        <v>687</v>
      </c>
      <c r="S32" s="678"/>
      <c r="T32" s="679"/>
      <c r="U32" s="679"/>
      <c r="V32" s="680"/>
      <c r="W32" s="707" t="s">
        <v>381</v>
      </c>
      <c r="X32" s="679"/>
      <c r="Y32" s="680"/>
      <c r="Z32" s="681"/>
      <c r="AA32" s="688" t="s">
        <v>380</v>
      </c>
      <c r="AB32" s="678"/>
      <c r="AC32" s="679"/>
      <c r="AD32" s="680"/>
      <c r="AE32" s="681" t="s">
        <v>382</v>
      </c>
      <c r="AF32" s="678"/>
      <c r="AG32" s="678"/>
      <c r="AH32" s="685"/>
      <c r="AI32" s="799" t="s">
        <v>689</v>
      </c>
      <c r="AJ32" s="678"/>
      <c r="AK32" s="678"/>
      <c r="AL32" s="678"/>
      <c r="AM32" s="685"/>
      <c r="AN32" s="689"/>
      <c r="AO32" s="678"/>
      <c r="AP32" s="678"/>
      <c r="AQ32" s="678"/>
      <c r="AR32" s="678"/>
      <c r="AS32" s="686"/>
      <c r="AT32" s="602"/>
      <c r="AU32" s="602"/>
      <c r="AV32" s="602"/>
      <c r="AW32" s="602"/>
      <c r="AX32" s="602"/>
      <c r="AY32" s="602"/>
      <c r="AZ32" s="604"/>
      <c r="BA32" s="604"/>
      <c r="BB32" s="570"/>
      <c r="BC32" s="571"/>
      <c r="BD32" s="544"/>
      <c r="BE32" s="710"/>
      <c r="BF32" s="710"/>
      <c r="BG32" s="713" t="s">
        <v>405</v>
      </c>
      <c r="BH32" s="710"/>
      <c r="BI32" s="710"/>
      <c r="BJ32" s="710"/>
      <c r="BK32" s="710"/>
      <c r="BL32" s="710"/>
      <c r="BM32" s="710"/>
      <c r="BN32" s="710"/>
      <c r="BO32" s="710"/>
      <c r="BP32" s="710"/>
      <c r="BQ32" s="710"/>
      <c r="BR32" s="710"/>
      <c r="BS32" s="710"/>
      <c r="BT32" s="710"/>
    </row>
    <row r="33" spans="1:72" s="709" customFormat="1" ht="12.6" customHeight="1">
      <c r="A33" s="556"/>
      <c r="B33" s="600"/>
      <c r="C33" s="602"/>
      <c r="D33" s="602"/>
      <c r="E33" s="602"/>
      <c r="F33" s="602"/>
      <c r="G33" s="602"/>
      <c r="H33" s="602"/>
      <c r="I33" s="602"/>
      <c r="J33" s="602"/>
      <c r="K33" s="602"/>
      <c r="L33" s="602"/>
      <c r="M33" s="602"/>
      <c r="N33" s="602"/>
      <c r="O33" s="602"/>
      <c r="P33" s="602"/>
      <c r="Q33" s="602"/>
      <c r="R33" s="602"/>
      <c r="S33" s="602"/>
      <c r="T33" s="602"/>
      <c r="U33" s="602"/>
      <c r="V33" s="602"/>
      <c r="W33" s="602"/>
      <c r="X33" s="602"/>
      <c r="Y33" s="602"/>
      <c r="Z33" s="602"/>
      <c r="AA33" s="602"/>
      <c r="AB33" s="602"/>
      <c r="AC33" s="602"/>
      <c r="AD33" s="602"/>
      <c r="AE33" s="602"/>
      <c r="AF33" s="602"/>
      <c r="AG33" s="602"/>
      <c r="AH33" s="602"/>
      <c r="AI33" s="602"/>
      <c r="AJ33" s="602"/>
      <c r="AK33" s="602"/>
      <c r="AL33" s="602"/>
      <c r="AM33" s="602"/>
      <c r="AN33" s="602"/>
      <c r="AO33" s="602"/>
      <c r="AP33" s="602"/>
      <c r="AQ33" s="602"/>
      <c r="AR33" s="602"/>
      <c r="AS33" s="602"/>
      <c r="AT33" s="602"/>
      <c r="AU33" s="602"/>
      <c r="AV33" s="602"/>
      <c r="AW33" s="602"/>
      <c r="AX33" s="602"/>
      <c r="AY33" s="602"/>
      <c r="AZ33" s="604"/>
      <c r="BA33" s="604"/>
      <c r="BB33" s="570"/>
      <c r="BC33" s="571"/>
      <c r="BD33" s="544"/>
      <c r="BE33" s="710"/>
      <c r="BF33" s="710"/>
      <c r="BG33" s="713" t="s">
        <v>406</v>
      </c>
      <c r="BH33" s="710"/>
      <c r="BI33" s="710"/>
      <c r="BJ33" s="710"/>
      <c r="BK33" s="710"/>
      <c r="BL33" s="710"/>
      <c r="BM33" s="710"/>
      <c r="BN33" s="710"/>
      <c r="BO33" s="710"/>
      <c r="BP33" s="710"/>
      <c r="BQ33" s="710"/>
      <c r="BR33" s="710"/>
      <c r="BS33" s="710"/>
      <c r="BT33" s="710"/>
    </row>
    <row r="34" spans="1:72" s="709" customFormat="1" ht="12.6" customHeight="1">
      <c r="A34" s="556"/>
      <c r="B34" s="794"/>
      <c r="C34" s="791"/>
      <c r="D34" s="791"/>
      <c r="E34" s="791"/>
      <c r="F34" s="791"/>
      <c r="G34" s="791"/>
      <c r="H34" s="791"/>
      <c r="I34" s="791"/>
      <c r="J34" s="791"/>
      <c r="K34" s="791"/>
      <c r="L34" s="791"/>
      <c r="M34" s="791"/>
      <c r="N34" s="791"/>
      <c r="O34" s="792"/>
      <c r="P34" s="792"/>
      <c r="Q34" s="792"/>
      <c r="R34" s="792"/>
      <c r="S34" s="792"/>
      <c r="T34" s="792"/>
      <c r="U34" s="792"/>
      <c r="V34" s="792"/>
      <c r="W34" s="792"/>
      <c r="X34" s="792"/>
      <c r="Y34" s="792"/>
      <c r="Z34" s="792"/>
      <c r="AA34" s="792"/>
      <c r="AB34" s="792"/>
      <c r="AC34" s="792"/>
      <c r="AD34" s="792"/>
      <c r="AE34" s="793"/>
      <c r="AF34" s="793"/>
      <c r="AG34" s="791"/>
      <c r="AH34" s="791"/>
      <c r="AI34" s="791"/>
      <c r="AJ34" s="791"/>
      <c r="AK34" s="791"/>
      <c r="AL34" s="791"/>
      <c r="AM34" s="791"/>
      <c r="AN34" s="791"/>
      <c r="AO34" s="791"/>
      <c r="AP34" s="791"/>
      <c r="AQ34" s="791"/>
      <c r="AR34" s="791"/>
      <c r="AS34" s="791"/>
      <c r="AT34" s="791"/>
      <c r="AU34" s="791"/>
      <c r="AV34" s="791"/>
      <c r="AW34" s="791"/>
      <c r="AX34" s="791"/>
      <c r="AY34" s="791"/>
      <c r="AZ34" s="620"/>
      <c r="BA34" s="604"/>
      <c r="BB34" s="542"/>
      <c r="BC34" s="543"/>
      <c r="BD34" s="545"/>
      <c r="BE34" s="710"/>
      <c r="BF34" s="710"/>
      <c r="BG34" s="713" t="s">
        <v>407</v>
      </c>
      <c r="BH34" s="710"/>
      <c r="BI34" s="710"/>
      <c r="BJ34" s="710"/>
      <c r="BK34" s="710"/>
      <c r="BL34" s="710"/>
      <c r="BM34" s="710"/>
      <c r="BN34" s="710"/>
      <c r="BO34" s="710"/>
      <c r="BP34" s="710"/>
      <c r="BQ34" s="710"/>
      <c r="BR34" s="710"/>
      <c r="BS34" s="710"/>
      <c r="BT34" s="710"/>
    </row>
    <row r="35" spans="1:72" s="709" customFormat="1" ht="14.25">
      <c r="A35" s="556"/>
      <c r="B35" s="718"/>
      <c r="C35" s="795"/>
      <c r="D35" s="795"/>
      <c r="E35" s="795"/>
      <c r="F35" s="795"/>
      <c r="G35" s="795"/>
      <c r="H35" s="795"/>
      <c r="I35" s="795"/>
      <c r="J35" s="795"/>
      <c r="K35" s="795"/>
      <c r="L35" s="795"/>
      <c r="M35" s="795"/>
      <c r="N35" s="795"/>
      <c r="O35" s="795"/>
      <c r="P35" s="795"/>
      <c r="Q35" s="795"/>
      <c r="R35" s="795"/>
      <c r="S35" s="796"/>
      <c r="T35" s="796"/>
      <c r="U35" s="796"/>
      <c r="V35" s="796"/>
      <c r="W35" s="795"/>
      <c r="X35" s="795"/>
      <c r="Y35" s="796"/>
      <c r="Z35" s="797"/>
      <c r="AA35" s="795"/>
      <c r="AB35" s="795"/>
      <c r="AC35" s="795"/>
      <c r="AD35" s="796"/>
      <c r="AE35" s="796"/>
      <c r="AF35" s="796"/>
      <c r="AG35" s="796"/>
      <c r="AH35" s="796"/>
      <c r="AI35" s="796"/>
      <c r="AJ35" s="796"/>
      <c r="AK35" s="796"/>
      <c r="AL35" s="796"/>
      <c r="AM35" s="796"/>
      <c r="AN35" s="796"/>
      <c r="AO35" s="796"/>
      <c r="AP35" s="796"/>
      <c r="AQ35" s="796"/>
      <c r="AR35" s="796"/>
      <c r="AS35" s="796"/>
      <c r="AT35" s="796"/>
      <c r="AU35" s="796"/>
      <c r="AV35" s="796"/>
      <c r="AW35" s="796"/>
      <c r="AX35" s="796"/>
      <c r="AY35" s="718"/>
      <c r="AZ35" s="718"/>
      <c r="BA35" s="604"/>
      <c r="BB35" s="570"/>
      <c r="BC35" s="571"/>
      <c r="BD35" s="572"/>
      <c r="BE35" s="710"/>
      <c r="BF35" s="710"/>
      <c r="BG35" s="713"/>
      <c r="BH35" s="710"/>
      <c r="BI35" s="710"/>
      <c r="BJ35" s="710"/>
      <c r="BK35" s="710"/>
      <c r="BL35" s="710"/>
      <c r="BM35" s="710"/>
      <c r="BN35" s="710"/>
      <c r="BO35" s="710"/>
      <c r="BP35" s="710"/>
      <c r="BQ35" s="710"/>
      <c r="BR35" s="710"/>
      <c r="BS35" s="710"/>
      <c r="BT35" s="710"/>
    </row>
    <row r="36" spans="1:72" s="709" customFormat="1" ht="15.75" hidden="1">
      <c r="A36" s="556"/>
      <c r="B36" s="598"/>
      <c r="C36" s="601"/>
      <c r="D36" s="601"/>
      <c r="E36" s="601"/>
      <c r="F36" s="601"/>
      <c r="G36" s="601"/>
      <c r="H36" s="601"/>
      <c r="I36" s="601"/>
      <c r="J36" s="601"/>
      <c r="K36" s="601"/>
      <c r="L36" s="601"/>
      <c r="M36" s="601"/>
      <c r="N36" s="601"/>
      <c r="O36" s="601"/>
      <c r="P36" s="601"/>
      <c r="Q36" s="601"/>
      <c r="R36" s="601"/>
      <c r="S36" s="724"/>
      <c r="T36" s="724"/>
      <c r="U36" s="724"/>
      <c r="V36" s="724"/>
      <c r="W36" s="601"/>
      <c r="X36" s="601"/>
      <c r="Y36" s="724"/>
      <c r="Z36" s="724"/>
      <c r="AA36" s="601"/>
      <c r="AB36" s="601"/>
      <c r="AC36" s="601"/>
      <c r="AD36" s="724"/>
      <c r="AE36" s="724"/>
      <c r="AF36" s="724"/>
      <c r="AG36" s="724"/>
      <c r="AH36" s="724"/>
      <c r="AI36" s="724"/>
      <c r="AJ36" s="724"/>
      <c r="AK36" s="724"/>
      <c r="AL36" s="724"/>
      <c r="AM36" s="724"/>
      <c r="AN36" s="724"/>
      <c r="AO36" s="724"/>
      <c r="AP36" s="724"/>
      <c r="AQ36" s="724"/>
      <c r="AR36" s="724"/>
      <c r="AS36" s="724"/>
      <c r="AT36" s="724"/>
      <c r="AU36" s="724"/>
      <c r="AV36" s="724"/>
      <c r="AW36" s="724"/>
      <c r="AX36" s="724"/>
      <c r="AY36" s="598"/>
      <c r="AZ36" s="598"/>
      <c r="BA36" s="604"/>
      <c r="BB36" s="721"/>
      <c r="BC36" s="722"/>
      <c r="BD36" s="572"/>
      <c r="BE36" s="710"/>
      <c r="BF36" s="710" t="s">
        <v>408</v>
      </c>
      <c r="BG36" s="710"/>
      <c r="BH36" s="710"/>
      <c r="BI36" s="710"/>
      <c r="BJ36" s="710"/>
      <c r="BK36" s="710"/>
      <c r="BL36" s="710"/>
      <c r="BM36" s="710"/>
      <c r="BN36" s="710"/>
      <c r="BO36" s="710"/>
      <c r="BP36" s="710"/>
      <c r="BQ36" s="710"/>
      <c r="BR36" s="710"/>
      <c r="BS36" s="710"/>
      <c r="BT36" s="710"/>
    </row>
    <row r="37" spans="1:72" s="709" customFormat="1" ht="15.75" hidden="1">
      <c r="A37" s="545"/>
      <c r="B37" s="545"/>
      <c r="C37" s="545"/>
      <c r="D37" s="545"/>
      <c r="E37" s="545"/>
      <c r="F37" s="545"/>
      <c r="G37" s="545"/>
      <c r="H37" s="545"/>
      <c r="I37" s="545"/>
      <c r="J37" s="545"/>
      <c r="K37" s="545"/>
      <c r="L37" s="545"/>
      <c r="M37" s="545"/>
      <c r="N37" s="545"/>
      <c r="O37" s="545"/>
      <c r="P37" s="545"/>
      <c r="Q37" s="545"/>
      <c r="R37" s="545"/>
      <c r="S37" s="576"/>
      <c r="T37" s="576"/>
      <c r="U37" s="576"/>
      <c r="V37" s="576"/>
      <c r="W37" s="545"/>
      <c r="X37" s="545"/>
      <c r="Y37" s="576"/>
      <c r="Z37" s="576"/>
      <c r="AA37" s="545"/>
      <c r="AB37" s="545"/>
      <c r="AC37" s="545"/>
      <c r="AD37" s="576"/>
      <c r="AE37" s="576"/>
      <c r="AF37" s="576"/>
      <c r="AG37" s="576"/>
      <c r="AH37" s="576"/>
      <c r="AI37" s="576"/>
      <c r="AJ37" s="576"/>
      <c r="AK37" s="576"/>
      <c r="AL37" s="576"/>
      <c r="AM37" s="576"/>
      <c r="AN37" s="576"/>
      <c r="AO37" s="576"/>
      <c r="AP37" s="576"/>
      <c r="AQ37" s="576"/>
      <c r="AR37" s="576"/>
      <c r="AS37" s="576"/>
      <c r="AT37" s="576"/>
      <c r="AU37" s="576"/>
      <c r="AV37" s="576"/>
      <c r="AW37" s="576"/>
      <c r="AX37" s="576"/>
      <c r="AY37" s="576"/>
      <c r="AZ37" s="576"/>
      <c r="BA37" s="604"/>
      <c r="BB37" s="723"/>
      <c r="BC37" s="571"/>
      <c r="BD37" s="572"/>
      <c r="BE37" s="710"/>
      <c r="BF37" s="710" t="s">
        <v>409</v>
      </c>
      <c r="BG37" s="710"/>
      <c r="BH37" s="710"/>
      <c r="BI37" s="710"/>
      <c r="BJ37" s="710"/>
      <c r="BK37" s="710"/>
      <c r="BL37" s="710"/>
      <c r="BM37" s="710"/>
      <c r="BN37" s="710"/>
      <c r="BO37" s="710"/>
      <c r="BP37" s="710"/>
      <c r="BQ37" s="710"/>
      <c r="BR37" s="710"/>
      <c r="BS37" s="710"/>
      <c r="BT37" s="710"/>
    </row>
    <row r="38" spans="1:72" s="709" customFormat="1" ht="15.75" hidden="1">
      <c r="A38" s="545"/>
      <c r="B38" s="545"/>
      <c r="C38" s="545"/>
      <c r="D38" s="545"/>
      <c r="E38" s="545"/>
      <c r="F38" s="545"/>
      <c r="G38" s="545"/>
      <c r="H38" s="545"/>
      <c r="I38" s="545"/>
      <c r="J38" s="545"/>
      <c r="K38" s="545"/>
      <c r="L38" s="545"/>
      <c r="M38" s="545"/>
      <c r="N38" s="545"/>
      <c r="O38" s="545"/>
      <c r="P38" s="545"/>
      <c r="Q38" s="545"/>
      <c r="R38" s="545"/>
      <c r="S38" s="576"/>
      <c r="T38" s="576"/>
      <c r="U38" s="576"/>
      <c r="V38" s="576"/>
      <c r="W38" s="545"/>
      <c r="X38" s="545"/>
      <c r="Y38" s="576"/>
      <c r="Z38" s="576"/>
      <c r="AA38" s="545"/>
      <c r="AB38" s="545"/>
      <c r="AC38" s="545"/>
      <c r="AD38" s="576"/>
      <c r="AE38" s="576"/>
      <c r="AF38" s="576"/>
      <c r="AG38" s="576"/>
      <c r="AH38" s="576"/>
      <c r="AI38" s="576"/>
      <c r="AJ38" s="576"/>
      <c r="AK38" s="576"/>
      <c r="AL38" s="576"/>
      <c r="AM38" s="576"/>
      <c r="AN38" s="576"/>
      <c r="AO38" s="576"/>
      <c r="AP38" s="576"/>
      <c r="AQ38" s="576"/>
      <c r="AR38" s="576"/>
      <c r="AS38" s="576"/>
      <c r="AT38" s="576"/>
      <c r="AU38" s="576"/>
      <c r="AV38" s="576"/>
      <c r="AW38" s="576"/>
      <c r="AX38" s="576"/>
      <c r="AY38" s="576"/>
      <c r="AZ38" s="576"/>
      <c r="BA38" s="604"/>
      <c r="BB38" s="723"/>
      <c r="BC38" s="571"/>
      <c r="BD38" s="572"/>
      <c r="BE38" s="710"/>
      <c r="BF38" s="710" t="s">
        <v>410</v>
      </c>
      <c r="BG38" s="710"/>
      <c r="BH38" s="710"/>
      <c r="BI38" s="710"/>
      <c r="BJ38" s="710"/>
      <c r="BK38" s="710"/>
      <c r="BL38" s="710"/>
      <c r="BM38" s="710"/>
      <c r="BN38" s="710"/>
      <c r="BO38" s="710"/>
      <c r="BP38" s="710"/>
      <c r="BQ38" s="710"/>
      <c r="BR38" s="710"/>
      <c r="BS38" s="710"/>
      <c r="BT38" s="710"/>
    </row>
    <row r="39" spans="1:72" s="709" customFormat="1" ht="15.75" hidden="1">
      <c r="A39" s="545"/>
      <c r="B39" s="861" t="s">
        <v>450</v>
      </c>
      <c r="C39" s="861"/>
      <c r="D39" s="861"/>
      <c r="E39" s="861"/>
      <c r="F39" s="861" t="s">
        <v>451</v>
      </c>
      <c r="G39" s="861"/>
      <c r="H39" s="861"/>
      <c r="I39" s="861"/>
      <c r="J39" s="861" t="s">
        <v>452</v>
      </c>
      <c r="K39" s="861"/>
      <c r="L39" s="861"/>
      <c r="M39" s="861"/>
      <c r="N39" s="861" t="s">
        <v>453</v>
      </c>
      <c r="O39" s="861"/>
      <c r="P39" s="861"/>
      <c r="Q39" s="861"/>
      <c r="R39" s="861" t="s">
        <v>454</v>
      </c>
      <c r="S39" s="861"/>
      <c r="T39" s="861"/>
      <c r="U39" s="861"/>
      <c r="V39" s="861" t="s">
        <v>455</v>
      </c>
      <c r="W39" s="861"/>
      <c r="X39" s="861"/>
      <c r="Y39" s="861"/>
      <c r="Z39" s="861" t="s">
        <v>456</v>
      </c>
      <c r="AA39" s="861"/>
      <c r="AB39" s="861"/>
      <c r="AC39" s="861"/>
      <c r="AD39" s="861" t="s">
        <v>457</v>
      </c>
      <c r="AE39" s="861"/>
      <c r="AF39" s="861"/>
      <c r="AG39" s="861"/>
      <c r="AH39" s="861" t="s">
        <v>458</v>
      </c>
      <c r="AI39" s="861"/>
      <c r="AJ39" s="861"/>
      <c r="AK39" s="861"/>
      <c r="AL39" s="854" t="s">
        <v>459</v>
      </c>
      <c r="AM39" s="855"/>
      <c r="AN39" s="855"/>
      <c r="AO39" s="856"/>
      <c r="AP39" s="854" t="s">
        <v>460</v>
      </c>
      <c r="AQ39" s="855"/>
      <c r="AR39" s="855"/>
      <c r="AS39" s="856"/>
      <c r="AT39" s="854" t="s">
        <v>461</v>
      </c>
      <c r="AU39" s="855"/>
      <c r="AV39" s="855"/>
      <c r="AW39" s="856"/>
      <c r="AX39" s="576"/>
      <c r="AY39" s="576"/>
      <c r="AZ39" s="576"/>
      <c r="BA39" s="604"/>
      <c r="BB39" s="723"/>
      <c r="BC39" s="571"/>
      <c r="BD39" s="572"/>
      <c r="BE39" s="710"/>
      <c r="BF39" s="710" t="s">
        <v>411</v>
      </c>
      <c r="BG39" s="713"/>
      <c r="BH39" s="710"/>
      <c r="BI39" s="710"/>
      <c r="BJ39" s="710"/>
      <c r="BK39" s="710"/>
      <c r="BL39" s="710"/>
      <c r="BM39" s="710"/>
      <c r="BN39" s="710"/>
      <c r="BO39" s="710"/>
      <c r="BP39" s="710"/>
      <c r="BQ39" s="710"/>
      <c r="BR39" s="710"/>
      <c r="BS39" s="710"/>
      <c r="BT39" s="710"/>
    </row>
    <row r="40" spans="1:72" s="709" customFormat="1" ht="15.75" hidden="1">
      <c r="A40" s="545"/>
      <c r="B40" s="861"/>
      <c r="C40" s="861"/>
      <c r="D40" s="861"/>
      <c r="E40" s="861"/>
      <c r="F40" s="861"/>
      <c r="G40" s="861"/>
      <c r="H40" s="861"/>
      <c r="I40" s="861"/>
      <c r="J40" s="861"/>
      <c r="K40" s="861"/>
      <c r="L40" s="861"/>
      <c r="M40" s="861"/>
      <c r="N40" s="861"/>
      <c r="O40" s="861"/>
      <c r="P40" s="861"/>
      <c r="Q40" s="861"/>
      <c r="R40" s="861"/>
      <c r="S40" s="861"/>
      <c r="T40" s="861"/>
      <c r="U40" s="861"/>
      <c r="V40" s="861"/>
      <c r="W40" s="861"/>
      <c r="X40" s="861"/>
      <c r="Y40" s="861"/>
      <c r="Z40" s="861"/>
      <c r="AA40" s="861"/>
      <c r="AB40" s="861"/>
      <c r="AC40" s="861"/>
      <c r="AD40" s="861"/>
      <c r="AE40" s="861"/>
      <c r="AF40" s="861"/>
      <c r="AG40" s="861"/>
      <c r="AH40" s="861"/>
      <c r="AI40" s="861"/>
      <c r="AJ40" s="861"/>
      <c r="AK40" s="861"/>
      <c r="AL40" s="857"/>
      <c r="AM40" s="858"/>
      <c r="AN40" s="858"/>
      <c r="AO40" s="859"/>
      <c r="AP40" s="857"/>
      <c r="AQ40" s="858"/>
      <c r="AR40" s="858"/>
      <c r="AS40" s="859"/>
      <c r="AT40" s="857"/>
      <c r="AU40" s="858"/>
      <c r="AV40" s="858"/>
      <c r="AW40" s="859"/>
      <c r="AX40" s="576"/>
      <c r="AY40" s="576"/>
      <c r="AZ40" s="576"/>
      <c r="BA40" s="604"/>
      <c r="BB40" s="723"/>
      <c r="BC40" s="571"/>
      <c r="BD40" s="572"/>
      <c r="BE40" s="710"/>
      <c r="BF40" s="710"/>
      <c r="BG40" s="713" t="s">
        <v>412</v>
      </c>
      <c r="BH40" s="710"/>
      <c r="BI40" s="710"/>
      <c r="BJ40" s="710"/>
      <c r="BK40" s="710"/>
      <c r="BL40" s="710"/>
      <c r="BM40" s="710"/>
      <c r="BN40" s="710"/>
      <c r="BO40" s="710"/>
      <c r="BP40" s="710"/>
      <c r="BQ40" s="710"/>
      <c r="BR40" s="710"/>
      <c r="BS40" s="710"/>
      <c r="BT40" s="710"/>
    </row>
    <row r="41" spans="1:72" s="709" customFormat="1" ht="15.75" hidden="1">
      <c r="A41" s="545"/>
      <c r="B41" s="852" t="s">
        <v>462</v>
      </c>
      <c r="C41" s="852"/>
      <c r="D41" s="852"/>
      <c r="E41" s="852"/>
      <c r="F41" s="852" t="s">
        <v>463</v>
      </c>
      <c r="G41" s="852"/>
      <c r="H41" s="852"/>
      <c r="I41" s="852"/>
      <c r="J41" s="852" t="s">
        <v>464</v>
      </c>
      <c r="K41" s="852"/>
      <c r="L41" s="852"/>
      <c r="M41" s="852"/>
      <c r="N41" s="852" t="s">
        <v>465</v>
      </c>
      <c r="O41" s="852"/>
      <c r="P41" s="852"/>
      <c r="Q41" s="852"/>
      <c r="R41" s="860" t="s">
        <v>466</v>
      </c>
      <c r="S41" s="852"/>
      <c r="T41" s="852"/>
      <c r="U41" s="852"/>
      <c r="V41" s="852" t="s">
        <v>467</v>
      </c>
      <c r="W41" s="852"/>
      <c r="X41" s="852"/>
      <c r="Y41" s="852"/>
      <c r="Z41" s="852" t="s">
        <v>468</v>
      </c>
      <c r="AA41" s="852"/>
      <c r="AB41" s="852"/>
      <c r="AC41" s="852"/>
      <c r="AD41" s="852" t="s">
        <v>467</v>
      </c>
      <c r="AE41" s="852"/>
      <c r="AF41" s="852"/>
      <c r="AG41" s="852"/>
      <c r="AH41" s="852" t="s">
        <v>468</v>
      </c>
      <c r="AI41" s="852"/>
      <c r="AJ41" s="852"/>
      <c r="AK41" s="852"/>
      <c r="AL41" s="852" t="s">
        <v>468</v>
      </c>
      <c r="AM41" s="852"/>
      <c r="AN41" s="852"/>
      <c r="AO41" s="852"/>
      <c r="AP41" s="852" t="s">
        <v>467</v>
      </c>
      <c r="AQ41" s="852"/>
      <c r="AR41" s="852"/>
      <c r="AS41" s="852"/>
      <c r="AT41" s="852" t="s">
        <v>468</v>
      </c>
      <c r="AU41" s="852"/>
      <c r="AV41" s="852"/>
      <c r="AW41" s="852"/>
      <c r="AX41" s="576"/>
      <c r="AY41" s="576"/>
      <c r="AZ41" s="576"/>
      <c r="BA41" s="604"/>
      <c r="BB41" s="723"/>
      <c r="BC41" s="571"/>
      <c r="BD41" s="572"/>
      <c r="BE41" s="710"/>
      <c r="BF41" s="710" t="s">
        <v>413</v>
      </c>
      <c r="BG41" s="713"/>
      <c r="BH41" s="710"/>
      <c r="BI41" s="710"/>
      <c r="BJ41" s="710"/>
      <c r="BK41" s="710"/>
      <c r="BL41" s="710"/>
      <c r="BM41" s="710"/>
      <c r="BN41" s="710"/>
      <c r="BO41" s="710"/>
      <c r="BP41" s="710"/>
      <c r="BQ41" s="710"/>
      <c r="BR41" s="710"/>
      <c r="BS41" s="710"/>
      <c r="BT41" s="710"/>
    </row>
    <row r="42" spans="1:72" s="709" customFormat="1" ht="15.75" hidden="1">
      <c r="A42" s="545"/>
      <c r="B42" s="852"/>
      <c r="C42" s="852"/>
      <c r="D42" s="852"/>
      <c r="E42" s="852"/>
      <c r="F42" s="852"/>
      <c r="G42" s="852"/>
      <c r="H42" s="852"/>
      <c r="I42" s="852"/>
      <c r="J42" s="852"/>
      <c r="K42" s="852"/>
      <c r="L42" s="852"/>
      <c r="M42" s="852"/>
      <c r="N42" s="852"/>
      <c r="O42" s="852"/>
      <c r="P42" s="852"/>
      <c r="Q42" s="852"/>
      <c r="R42" s="852"/>
      <c r="S42" s="852"/>
      <c r="T42" s="852"/>
      <c r="U42" s="852"/>
      <c r="V42" s="852"/>
      <c r="W42" s="852"/>
      <c r="X42" s="852"/>
      <c r="Y42" s="852"/>
      <c r="Z42" s="852"/>
      <c r="AA42" s="852"/>
      <c r="AB42" s="852"/>
      <c r="AC42" s="852"/>
      <c r="AD42" s="852"/>
      <c r="AE42" s="852"/>
      <c r="AF42" s="852"/>
      <c r="AG42" s="852"/>
      <c r="AH42" s="852"/>
      <c r="AI42" s="852"/>
      <c r="AJ42" s="852"/>
      <c r="AK42" s="852"/>
      <c r="AL42" s="852"/>
      <c r="AM42" s="852"/>
      <c r="AN42" s="852"/>
      <c r="AO42" s="852"/>
      <c r="AP42" s="852"/>
      <c r="AQ42" s="852"/>
      <c r="AR42" s="852"/>
      <c r="AS42" s="852"/>
      <c r="AT42" s="852"/>
      <c r="AU42" s="852"/>
      <c r="AV42" s="852"/>
      <c r="AW42" s="852"/>
      <c r="AX42" s="576"/>
      <c r="AY42" s="576"/>
      <c r="AZ42" s="576"/>
      <c r="BA42" s="604"/>
      <c r="BB42" s="723"/>
      <c r="BC42" s="571"/>
      <c r="BD42" s="572"/>
      <c r="BE42" s="710"/>
      <c r="BF42" s="710"/>
      <c r="BG42" s="713" t="s">
        <v>414</v>
      </c>
      <c r="BH42" s="710"/>
      <c r="BI42" s="710"/>
      <c r="BJ42" s="710"/>
      <c r="BK42" s="710"/>
      <c r="BL42" s="710"/>
      <c r="BM42" s="710"/>
      <c r="BN42" s="710"/>
      <c r="BO42" s="710"/>
      <c r="BP42" s="710"/>
      <c r="BQ42" s="710"/>
      <c r="BR42" s="710"/>
      <c r="BS42" s="710"/>
      <c r="BT42" s="710"/>
    </row>
    <row r="43" spans="1:72" s="709" customFormat="1" ht="15.75" hidden="1">
      <c r="A43" s="545"/>
      <c r="B43" s="852" t="s">
        <v>469</v>
      </c>
      <c r="C43" s="852"/>
      <c r="D43" s="852"/>
      <c r="E43" s="852"/>
      <c r="F43" s="852" t="s">
        <v>470</v>
      </c>
      <c r="G43" s="852"/>
      <c r="H43" s="852"/>
      <c r="I43" s="852"/>
      <c r="J43" s="852" t="s">
        <v>471</v>
      </c>
      <c r="K43" s="852"/>
      <c r="L43" s="852"/>
      <c r="M43" s="852"/>
      <c r="N43" s="852" t="s">
        <v>472</v>
      </c>
      <c r="O43" s="852"/>
      <c r="P43" s="852"/>
      <c r="Q43" s="852"/>
      <c r="R43" s="853" t="s">
        <v>473</v>
      </c>
      <c r="S43" s="852"/>
      <c r="T43" s="852"/>
      <c r="U43" s="852"/>
      <c r="V43" s="852" t="s">
        <v>467</v>
      </c>
      <c r="W43" s="852"/>
      <c r="X43" s="852"/>
      <c r="Y43" s="852"/>
      <c r="Z43" s="852" t="s">
        <v>468</v>
      </c>
      <c r="AA43" s="852"/>
      <c r="AB43" s="852"/>
      <c r="AC43" s="852"/>
      <c r="AD43" s="852" t="s">
        <v>467</v>
      </c>
      <c r="AE43" s="852"/>
      <c r="AF43" s="852"/>
      <c r="AG43" s="852"/>
      <c r="AH43" s="852" t="s">
        <v>468</v>
      </c>
      <c r="AI43" s="852"/>
      <c r="AJ43" s="852"/>
      <c r="AK43" s="852"/>
      <c r="AL43" s="852" t="s">
        <v>468</v>
      </c>
      <c r="AM43" s="852"/>
      <c r="AN43" s="852"/>
      <c r="AO43" s="852"/>
      <c r="AP43" s="852" t="s">
        <v>467</v>
      </c>
      <c r="AQ43" s="852"/>
      <c r="AR43" s="852"/>
      <c r="AS43" s="852"/>
      <c r="AT43" s="852" t="s">
        <v>468</v>
      </c>
      <c r="AU43" s="852"/>
      <c r="AV43" s="852"/>
      <c r="AW43" s="852"/>
      <c r="AX43" s="576"/>
      <c r="AY43" s="576"/>
      <c r="AZ43" s="576"/>
      <c r="BA43" s="604"/>
      <c r="BB43" s="723"/>
      <c r="BC43" s="571"/>
      <c r="BD43" s="572"/>
      <c r="BE43" s="710"/>
      <c r="BF43" s="710"/>
      <c r="BG43" s="713" t="s">
        <v>415</v>
      </c>
      <c r="BH43" s="710"/>
      <c r="BI43" s="710"/>
      <c r="BJ43" s="710"/>
      <c r="BK43" s="710"/>
      <c r="BL43" s="710"/>
      <c r="BM43" s="710"/>
      <c r="BN43" s="710"/>
      <c r="BO43" s="710"/>
      <c r="BP43" s="710"/>
      <c r="BQ43" s="710"/>
      <c r="BR43" s="710"/>
      <c r="BS43" s="710"/>
      <c r="BT43" s="710"/>
    </row>
    <row r="44" spans="1:72" s="709" customFormat="1" ht="15.75" hidden="1">
      <c r="A44" s="545"/>
      <c r="B44" s="852"/>
      <c r="C44" s="852"/>
      <c r="D44" s="852"/>
      <c r="E44" s="852"/>
      <c r="F44" s="852"/>
      <c r="G44" s="852"/>
      <c r="H44" s="852"/>
      <c r="I44" s="852"/>
      <c r="J44" s="852"/>
      <c r="K44" s="852"/>
      <c r="L44" s="852"/>
      <c r="M44" s="852"/>
      <c r="N44" s="852"/>
      <c r="O44" s="852"/>
      <c r="P44" s="852"/>
      <c r="Q44" s="852"/>
      <c r="R44" s="852"/>
      <c r="S44" s="852"/>
      <c r="T44" s="852"/>
      <c r="U44" s="852"/>
      <c r="V44" s="852"/>
      <c r="W44" s="852"/>
      <c r="X44" s="852"/>
      <c r="Y44" s="852"/>
      <c r="Z44" s="852"/>
      <c r="AA44" s="852"/>
      <c r="AB44" s="852"/>
      <c r="AC44" s="852"/>
      <c r="AD44" s="852"/>
      <c r="AE44" s="852"/>
      <c r="AF44" s="852"/>
      <c r="AG44" s="852"/>
      <c r="AH44" s="852"/>
      <c r="AI44" s="852"/>
      <c r="AJ44" s="852"/>
      <c r="AK44" s="852"/>
      <c r="AL44" s="852"/>
      <c r="AM44" s="852"/>
      <c r="AN44" s="852"/>
      <c r="AO44" s="852"/>
      <c r="AP44" s="852"/>
      <c r="AQ44" s="852"/>
      <c r="AR44" s="852"/>
      <c r="AS44" s="852"/>
      <c r="AT44" s="852"/>
      <c r="AU44" s="852"/>
      <c r="AV44" s="852"/>
      <c r="AW44" s="852"/>
      <c r="AX44" s="576"/>
      <c r="AY44" s="576"/>
      <c r="AZ44" s="576"/>
      <c r="BA44" s="604"/>
      <c r="BB44" s="723"/>
      <c r="BC44" s="571"/>
      <c r="BD44" s="572"/>
      <c r="BE44" s="710"/>
      <c r="BF44" s="710"/>
      <c r="BG44" s="713" t="s">
        <v>416</v>
      </c>
      <c r="BH44" s="710"/>
      <c r="BI44" s="710"/>
      <c r="BJ44" s="710"/>
      <c r="BK44" s="710"/>
      <c r="BL44" s="710"/>
      <c r="BM44" s="710"/>
      <c r="BN44" s="710"/>
      <c r="BO44" s="710"/>
      <c r="BP44" s="710"/>
      <c r="BQ44" s="710"/>
      <c r="BR44" s="710"/>
      <c r="BS44" s="710"/>
      <c r="BT44" s="710"/>
    </row>
    <row r="45" spans="1:72" s="709" customFormat="1" ht="15.75" hidden="1">
      <c r="A45" s="545"/>
      <c r="B45" s="852" t="s">
        <v>474</v>
      </c>
      <c r="C45" s="852"/>
      <c r="D45" s="852"/>
      <c r="E45" s="852"/>
      <c r="F45" s="852" t="s">
        <v>475</v>
      </c>
      <c r="G45" s="852"/>
      <c r="H45" s="852"/>
      <c r="I45" s="852"/>
      <c r="J45" s="852" t="s">
        <v>476</v>
      </c>
      <c r="K45" s="852"/>
      <c r="L45" s="852"/>
      <c r="M45" s="852"/>
      <c r="N45" s="852" t="s">
        <v>477</v>
      </c>
      <c r="O45" s="852"/>
      <c r="P45" s="852"/>
      <c r="Q45" s="852"/>
      <c r="R45" s="853" t="s">
        <v>468</v>
      </c>
      <c r="S45" s="852"/>
      <c r="T45" s="852"/>
      <c r="U45" s="852"/>
      <c r="V45" s="852" t="s">
        <v>467</v>
      </c>
      <c r="W45" s="852"/>
      <c r="X45" s="852"/>
      <c r="Y45" s="852"/>
      <c r="Z45" s="852" t="s">
        <v>468</v>
      </c>
      <c r="AA45" s="852"/>
      <c r="AB45" s="852"/>
      <c r="AC45" s="852"/>
      <c r="AD45" s="852" t="s">
        <v>467</v>
      </c>
      <c r="AE45" s="852"/>
      <c r="AF45" s="852"/>
      <c r="AG45" s="852"/>
      <c r="AH45" s="852" t="s">
        <v>468</v>
      </c>
      <c r="AI45" s="852"/>
      <c r="AJ45" s="852"/>
      <c r="AK45" s="852"/>
      <c r="AL45" s="852" t="s">
        <v>468</v>
      </c>
      <c r="AM45" s="852"/>
      <c r="AN45" s="852"/>
      <c r="AO45" s="852"/>
      <c r="AP45" s="852" t="s">
        <v>467</v>
      </c>
      <c r="AQ45" s="852"/>
      <c r="AR45" s="852"/>
      <c r="AS45" s="852"/>
      <c r="AT45" s="852" t="s">
        <v>468</v>
      </c>
      <c r="AU45" s="852"/>
      <c r="AV45" s="852"/>
      <c r="AW45" s="852"/>
      <c r="AX45" s="576"/>
      <c r="AY45" s="576"/>
      <c r="AZ45" s="576"/>
      <c r="BA45" s="604"/>
      <c r="BB45" s="723"/>
      <c r="BC45" s="571"/>
      <c r="BD45" s="572"/>
      <c r="BE45" s="710"/>
      <c r="BF45" s="710"/>
      <c r="BG45" s="710"/>
      <c r="BH45" s="710"/>
      <c r="BJ45" s="710"/>
      <c r="BK45" s="710"/>
      <c r="BL45" s="710"/>
      <c r="BM45" s="710"/>
      <c r="BN45" s="710"/>
      <c r="BO45" s="710"/>
      <c r="BP45" s="710"/>
      <c r="BQ45" s="710"/>
      <c r="BR45" s="710"/>
      <c r="BS45" s="710"/>
      <c r="BT45" s="710"/>
    </row>
    <row r="46" spans="1:72" s="709" customFormat="1" ht="15.75" hidden="1">
      <c r="A46" s="545"/>
      <c r="B46" s="852"/>
      <c r="C46" s="852"/>
      <c r="D46" s="852"/>
      <c r="E46" s="852"/>
      <c r="F46" s="852"/>
      <c r="G46" s="852"/>
      <c r="H46" s="852"/>
      <c r="I46" s="852"/>
      <c r="J46" s="852"/>
      <c r="K46" s="852"/>
      <c r="L46" s="852"/>
      <c r="M46" s="852"/>
      <c r="N46" s="852"/>
      <c r="O46" s="852"/>
      <c r="P46" s="852"/>
      <c r="Q46" s="852"/>
      <c r="R46" s="852"/>
      <c r="S46" s="852"/>
      <c r="T46" s="852"/>
      <c r="U46" s="852"/>
      <c r="V46" s="852"/>
      <c r="W46" s="852"/>
      <c r="X46" s="852"/>
      <c r="Y46" s="852"/>
      <c r="Z46" s="852"/>
      <c r="AA46" s="852"/>
      <c r="AB46" s="852"/>
      <c r="AC46" s="852"/>
      <c r="AD46" s="852"/>
      <c r="AE46" s="852"/>
      <c r="AF46" s="852"/>
      <c r="AG46" s="852"/>
      <c r="AH46" s="852"/>
      <c r="AI46" s="852"/>
      <c r="AJ46" s="852"/>
      <c r="AK46" s="852"/>
      <c r="AL46" s="852"/>
      <c r="AM46" s="852"/>
      <c r="AN46" s="852"/>
      <c r="AO46" s="852"/>
      <c r="AP46" s="852"/>
      <c r="AQ46" s="852"/>
      <c r="AR46" s="852"/>
      <c r="AS46" s="852"/>
      <c r="AT46" s="852"/>
      <c r="AU46" s="852"/>
      <c r="AV46" s="852"/>
      <c r="AW46" s="852"/>
      <c r="AX46" s="576"/>
      <c r="AY46" s="576"/>
      <c r="AZ46" s="576"/>
      <c r="BA46" s="604"/>
      <c r="BB46" s="723"/>
      <c r="BC46" s="571"/>
      <c r="BD46" s="572"/>
      <c r="BE46" s="710"/>
      <c r="BF46" s="710" t="s">
        <v>417</v>
      </c>
      <c r="BG46" s="710"/>
      <c r="BH46" s="710"/>
      <c r="BI46" s="710"/>
      <c r="BJ46" s="710"/>
      <c r="BK46" s="710"/>
      <c r="BL46" s="710"/>
      <c r="BM46" s="710"/>
      <c r="BN46" s="710"/>
      <c r="BO46" s="710"/>
      <c r="BP46" s="710"/>
      <c r="BQ46" s="710"/>
      <c r="BR46" s="710"/>
      <c r="BS46" s="710"/>
      <c r="BT46" s="710"/>
    </row>
    <row r="47" spans="1:72" s="709" customFormat="1" ht="15.75" hidden="1">
      <c r="A47" s="545"/>
      <c r="B47" s="852" t="s">
        <v>478</v>
      </c>
      <c r="C47" s="852"/>
      <c r="D47" s="852"/>
      <c r="E47" s="852"/>
      <c r="F47" s="852" t="s">
        <v>479</v>
      </c>
      <c r="G47" s="852"/>
      <c r="H47" s="852"/>
      <c r="I47" s="852"/>
      <c r="J47" s="852" t="s">
        <v>480</v>
      </c>
      <c r="K47" s="852"/>
      <c r="L47" s="852"/>
      <c r="M47" s="852"/>
      <c r="N47" s="852" t="s">
        <v>481</v>
      </c>
      <c r="O47" s="852"/>
      <c r="P47" s="852"/>
      <c r="Q47" s="852"/>
      <c r="R47" s="853" t="s">
        <v>468</v>
      </c>
      <c r="S47" s="852"/>
      <c r="T47" s="852"/>
      <c r="U47" s="852"/>
      <c r="V47" s="852" t="s">
        <v>467</v>
      </c>
      <c r="W47" s="852"/>
      <c r="X47" s="852"/>
      <c r="Y47" s="852"/>
      <c r="Z47" s="852" t="s">
        <v>468</v>
      </c>
      <c r="AA47" s="852"/>
      <c r="AB47" s="852"/>
      <c r="AC47" s="852"/>
      <c r="AD47" s="852" t="s">
        <v>467</v>
      </c>
      <c r="AE47" s="852"/>
      <c r="AF47" s="852"/>
      <c r="AG47" s="852"/>
      <c r="AH47" s="852" t="s">
        <v>468</v>
      </c>
      <c r="AI47" s="852"/>
      <c r="AJ47" s="852"/>
      <c r="AK47" s="852"/>
      <c r="AL47" s="852" t="s">
        <v>468</v>
      </c>
      <c r="AM47" s="852"/>
      <c r="AN47" s="852"/>
      <c r="AO47" s="852"/>
      <c r="AP47" s="852" t="s">
        <v>467</v>
      </c>
      <c r="AQ47" s="852"/>
      <c r="AR47" s="852"/>
      <c r="AS47" s="852"/>
      <c r="AT47" s="852" t="s">
        <v>468</v>
      </c>
      <c r="AU47" s="852"/>
      <c r="AV47" s="852"/>
      <c r="AW47" s="852"/>
      <c r="AX47" s="576"/>
      <c r="AY47" s="576"/>
      <c r="AZ47" s="576"/>
      <c r="BA47" s="604"/>
      <c r="BB47" s="723"/>
      <c r="BC47" s="571"/>
      <c r="BD47" s="572"/>
      <c r="BE47" s="710"/>
      <c r="BF47" s="710"/>
      <c r="BG47" s="710" t="s">
        <v>418</v>
      </c>
      <c r="BH47" s="710"/>
      <c r="BI47" s="710"/>
      <c r="BJ47" s="710"/>
      <c r="BK47" s="710"/>
      <c r="BL47" s="710"/>
      <c r="BM47" s="710"/>
      <c r="BN47" s="710"/>
      <c r="BO47" s="710"/>
      <c r="BP47" s="710"/>
      <c r="BQ47" s="710"/>
      <c r="BR47" s="710"/>
      <c r="BS47" s="710"/>
      <c r="BT47" s="710"/>
    </row>
    <row r="48" spans="1:72" s="709" customFormat="1" ht="15.75" hidden="1">
      <c r="A48" s="545"/>
      <c r="B48" s="852"/>
      <c r="C48" s="852"/>
      <c r="D48" s="852"/>
      <c r="E48" s="852"/>
      <c r="F48" s="852"/>
      <c r="G48" s="852"/>
      <c r="H48" s="852"/>
      <c r="I48" s="852"/>
      <c r="J48" s="852"/>
      <c r="K48" s="852"/>
      <c r="L48" s="852"/>
      <c r="M48" s="852"/>
      <c r="N48" s="852"/>
      <c r="O48" s="852"/>
      <c r="P48" s="852"/>
      <c r="Q48" s="852"/>
      <c r="R48" s="852"/>
      <c r="S48" s="852"/>
      <c r="T48" s="852"/>
      <c r="U48" s="852"/>
      <c r="V48" s="852"/>
      <c r="W48" s="852"/>
      <c r="X48" s="852"/>
      <c r="Y48" s="852"/>
      <c r="Z48" s="852"/>
      <c r="AA48" s="852"/>
      <c r="AB48" s="852"/>
      <c r="AC48" s="852"/>
      <c r="AD48" s="852"/>
      <c r="AE48" s="852"/>
      <c r="AF48" s="852"/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/>
      <c r="AW48" s="852"/>
      <c r="AX48" s="576"/>
      <c r="AY48" s="576"/>
      <c r="AZ48" s="576"/>
      <c r="BA48" s="604"/>
      <c r="BB48" s="723"/>
      <c r="BC48" s="571"/>
      <c r="BD48" s="572"/>
      <c r="BE48" s="710"/>
      <c r="BF48" s="710"/>
      <c r="BG48" s="710" t="s">
        <v>419</v>
      </c>
      <c r="BH48" s="710"/>
      <c r="BI48" s="710"/>
      <c r="BJ48" s="710"/>
      <c r="BK48" s="710"/>
      <c r="BL48" s="710"/>
      <c r="BM48" s="710"/>
      <c r="BN48" s="710"/>
      <c r="BO48" s="710"/>
      <c r="BP48" s="710"/>
      <c r="BQ48" s="710"/>
      <c r="BR48" s="710"/>
      <c r="BS48" s="710"/>
      <c r="BT48" s="710"/>
    </row>
    <row r="49" spans="1:72" s="709" customFormat="1" ht="15.75" hidden="1">
      <c r="A49" s="545"/>
      <c r="B49" s="708"/>
      <c r="C49" s="708"/>
      <c r="D49" s="708"/>
      <c r="E49" s="708"/>
      <c r="F49" s="714"/>
      <c r="G49" s="714"/>
      <c r="H49" s="714"/>
      <c r="I49" s="714"/>
      <c r="J49" s="714"/>
      <c r="K49" s="714"/>
      <c r="L49" s="714"/>
      <c r="M49" s="714"/>
      <c r="N49" s="714"/>
      <c r="O49" s="714"/>
      <c r="P49" s="714"/>
      <c r="Q49" s="714"/>
      <c r="R49" s="714"/>
      <c r="S49" s="714"/>
      <c r="T49" s="714"/>
      <c r="U49" s="714"/>
      <c r="V49" s="714"/>
      <c r="W49" s="714"/>
      <c r="X49" s="714"/>
      <c r="Y49" s="714"/>
      <c r="Z49" s="714"/>
      <c r="AA49" s="714"/>
      <c r="AB49" s="714"/>
      <c r="AC49" s="714"/>
      <c r="AD49" s="714"/>
      <c r="AE49" s="714"/>
      <c r="AF49" s="714"/>
      <c r="AG49" s="714"/>
      <c r="AH49" s="714"/>
      <c r="AI49" s="714"/>
      <c r="AJ49" s="714"/>
      <c r="AK49" s="714"/>
      <c r="AL49" s="714"/>
      <c r="AM49" s="714"/>
      <c r="AN49" s="714"/>
      <c r="AO49" s="714"/>
      <c r="AP49" s="714"/>
      <c r="AQ49" s="714"/>
      <c r="AR49" s="714"/>
      <c r="AS49" s="714"/>
      <c r="AT49" s="714"/>
      <c r="AU49" s="714"/>
      <c r="AV49" s="714"/>
      <c r="AW49" s="714"/>
      <c r="AX49" s="576"/>
      <c r="AY49" s="576"/>
      <c r="AZ49" s="576"/>
      <c r="BA49" s="604"/>
      <c r="BB49" s="723"/>
      <c r="BC49" s="571"/>
      <c r="BD49" s="572"/>
      <c r="BE49" s="710"/>
      <c r="BF49" s="710"/>
      <c r="BG49" s="710" t="s">
        <v>420</v>
      </c>
      <c r="BH49" s="710"/>
      <c r="BI49" s="710"/>
      <c r="BJ49" s="710"/>
      <c r="BK49" s="710"/>
      <c r="BL49" s="710"/>
      <c r="BM49" s="710"/>
      <c r="BN49" s="710"/>
      <c r="BO49" s="710"/>
      <c r="BP49" s="710"/>
      <c r="BQ49" s="710"/>
      <c r="BR49" s="710"/>
      <c r="BS49" s="710"/>
      <c r="BT49" s="710"/>
    </row>
    <row r="50" spans="1:72" s="709" customFormat="1" ht="15.75" hidden="1">
      <c r="A50" s="545"/>
      <c r="B50" s="708" t="s">
        <v>482</v>
      </c>
      <c r="C50" s="708"/>
      <c r="D50" s="708"/>
      <c r="E50" s="708"/>
      <c r="F50" s="714"/>
      <c r="G50" s="714"/>
      <c r="H50" s="714"/>
      <c r="I50" s="714"/>
      <c r="J50" s="714"/>
      <c r="K50" s="714"/>
      <c r="L50" s="714"/>
      <c r="M50" s="601"/>
      <c r="N50" s="714"/>
      <c r="O50" s="714"/>
      <c r="P50" s="714"/>
      <c r="Q50" s="714"/>
      <c r="R50" s="714"/>
      <c r="S50" s="714"/>
      <c r="T50" s="714"/>
      <c r="U50" s="714"/>
      <c r="V50" s="714"/>
      <c r="W50" s="714"/>
      <c r="X50" s="714"/>
      <c r="Y50" s="714"/>
      <c r="Z50" s="714"/>
      <c r="AA50" s="714"/>
      <c r="AB50" s="714"/>
      <c r="AC50" s="714"/>
      <c r="AD50" s="714"/>
      <c r="AE50" s="714"/>
      <c r="AF50" s="714"/>
      <c r="AG50" s="714"/>
      <c r="AH50" s="714"/>
      <c r="AI50" s="714"/>
      <c r="AJ50" s="714"/>
      <c r="AK50" s="714"/>
      <c r="AL50" s="714"/>
      <c r="AM50" s="714"/>
      <c r="AN50" s="714"/>
      <c r="AO50" s="714"/>
      <c r="AP50" s="714"/>
      <c r="AQ50" s="714"/>
      <c r="AR50" s="714"/>
      <c r="AS50" s="714"/>
      <c r="AT50" s="714"/>
      <c r="AU50" s="714"/>
      <c r="AV50" s="714"/>
      <c r="AW50" s="714"/>
      <c r="AX50" s="576"/>
      <c r="AY50" s="576"/>
      <c r="AZ50" s="576"/>
      <c r="BA50" s="604"/>
      <c r="BB50" s="723"/>
      <c r="BC50" s="571"/>
      <c r="BD50" s="572"/>
      <c r="BE50" s="710"/>
      <c r="BF50" s="710"/>
      <c r="BG50" s="710" t="s">
        <v>421</v>
      </c>
      <c r="BH50" s="710"/>
      <c r="BI50" s="710"/>
      <c r="BJ50" s="710"/>
      <c r="BK50" s="710"/>
      <c r="BL50" s="710"/>
      <c r="BM50" s="710"/>
      <c r="BN50" s="710"/>
      <c r="BO50" s="710"/>
      <c r="BP50" s="710"/>
      <c r="BQ50" s="710"/>
      <c r="BR50" s="710"/>
      <c r="BS50" s="710"/>
      <c r="BT50" s="710"/>
    </row>
    <row r="51" spans="1:72" s="709" customFormat="1" ht="15.75" hidden="1">
      <c r="A51" s="545"/>
      <c r="B51" s="708" t="s">
        <v>483</v>
      </c>
      <c r="C51" s="708"/>
      <c r="D51" s="708"/>
      <c r="E51" s="708"/>
      <c r="F51" s="714"/>
      <c r="G51" s="714"/>
      <c r="H51" s="714"/>
      <c r="I51" s="714"/>
      <c r="J51" s="714"/>
      <c r="K51" s="714"/>
      <c r="L51" s="714"/>
      <c r="M51" s="714"/>
      <c r="N51" s="714"/>
      <c r="O51" s="601"/>
      <c r="P51" s="601"/>
      <c r="Q51" s="601"/>
      <c r="R51" s="601"/>
      <c r="S51" s="601"/>
      <c r="T51" s="601"/>
      <c r="U51" s="601"/>
      <c r="V51" s="601"/>
      <c r="W51" s="601"/>
      <c r="X51" s="601"/>
      <c r="Y51" s="601"/>
      <c r="Z51" s="601"/>
      <c r="AA51" s="601"/>
      <c r="AB51" s="601"/>
      <c r="AC51" s="601"/>
      <c r="AD51" s="601"/>
      <c r="AE51" s="601"/>
      <c r="AF51" s="601"/>
      <c r="AG51" s="601"/>
      <c r="AH51" s="601"/>
      <c r="AI51" s="601"/>
      <c r="AJ51" s="601"/>
      <c r="AK51" s="601"/>
      <c r="AL51" s="601"/>
      <c r="AM51" s="601"/>
      <c r="AN51" s="601"/>
      <c r="AO51" s="601"/>
      <c r="AP51" s="601"/>
      <c r="AQ51" s="714"/>
      <c r="AR51" s="714"/>
      <c r="AS51" s="714"/>
      <c r="AT51" s="714"/>
      <c r="AU51" s="714"/>
      <c r="AV51" s="714"/>
      <c r="AW51" s="714"/>
      <c r="AX51" s="576"/>
      <c r="AY51" s="576"/>
      <c r="AZ51" s="576"/>
      <c r="BA51" s="604"/>
      <c r="BB51" s="723"/>
      <c r="BC51" s="571"/>
      <c r="BD51" s="572"/>
      <c r="BE51" s="710"/>
      <c r="BF51" s="710" t="s">
        <v>422</v>
      </c>
      <c r="BG51" s="710"/>
      <c r="BH51" s="710"/>
      <c r="BI51" s="710"/>
      <c r="BJ51" s="710"/>
      <c r="BK51" s="710"/>
      <c r="BL51" s="710"/>
      <c r="BM51" s="710"/>
      <c r="BN51" s="710"/>
      <c r="BO51" s="710"/>
      <c r="BP51" s="710"/>
      <c r="BQ51" s="710"/>
      <c r="BR51" s="710"/>
      <c r="BS51" s="710"/>
      <c r="BT51" s="710"/>
    </row>
    <row r="52" spans="1:72" s="709" customFormat="1" ht="15.75" hidden="1">
      <c r="A52" s="545"/>
      <c r="B52" s="708" t="s">
        <v>484</v>
      </c>
      <c r="C52" s="708"/>
      <c r="D52" s="708"/>
      <c r="E52" s="708"/>
      <c r="F52" s="714"/>
      <c r="G52" s="714"/>
      <c r="H52" s="714"/>
      <c r="I52" s="714"/>
      <c r="J52" s="714"/>
      <c r="K52" s="714"/>
      <c r="L52" s="714"/>
      <c r="M52" s="714"/>
      <c r="N52" s="714"/>
      <c r="O52" s="601"/>
      <c r="P52" s="601"/>
      <c r="Q52" s="601"/>
      <c r="R52" s="601"/>
      <c r="S52" s="601"/>
      <c r="T52" s="601"/>
      <c r="U52" s="601"/>
      <c r="V52" s="601"/>
      <c r="W52" s="601"/>
      <c r="X52" s="601"/>
      <c r="Y52" s="601"/>
      <c r="Z52" s="601"/>
      <c r="AA52" s="601"/>
      <c r="AB52" s="601"/>
      <c r="AC52" s="601"/>
      <c r="AD52" s="601"/>
      <c r="AE52" s="601"/>
      <c r="AF52" s="601"/>
      <c r="AG52" s="601"/>
      <c r="AH52" s="601"/>
      <c r="AI52" s="601"/>
      <c r="AJ52" s="601"/>
      <c r="AK52" s="601"/>
      <c r="AL52" s="601"/>
      <c r="AM52" s="601"/>
      <c r="AN52" s="601"/>
      <c r="AO52" s="601"/>
      <c r="AP52" s="601"/>
      <c r="AQ52" s="714"/>
      <c r="AR52" s="714"/>
      <c r="AS52" s="714"/>
      <c r="AT52" s="714"/>
      <c r="AU52" s="714"/>
      <c r="AV52" s="714"/>
      <c r="AW52" s="714"/>
      <c r="AX52" s="576"/>
      <c r="AY52" s="576"/>
      <c r="AZ52" s="576"/>
      <c r="BA52" s="604"/>
      <c r="BB52" s="723"/>
      <c r="BC52" s="571"/>
      <c r="BD52" s="572"/>
      <c r="BE52" s="710"/>
      <c r="BF52" s="710"/>
      <c r="BG52" s="710" t="s">
        <v>423</v>
      </c>
      <c r="BH52" s="710"/>
      <c r="BI52" s="710"/>
      <c r="BJ52" s="710"/>
      <c r="BK52" s="710"/>
      <c r="BL52" s="710"/>
      <c r="BM52" s="710"/>
      <c r="BN52" s="710"/>
      <c r="BO52" s="710"/>
      <c r="BP52" s="710"/>
      <c r="BQ52" s="710"/>
      <c r="BR52" s="710"/>
      <c r="BS52" s="710"/>
      <c r="BT52" s="710"/>
    </row>
    <row r="53" spans="1:72" s="709" customFormat="1" ht="15.75">
      <c r="A53" s="556"/>
      <c r="B53" s="598"/>
      <c r="C53" s="601"/>
      <c r="D53" s="601"/>
      <c r="E53" s="601"/>
      <c r="F53" s="601"/>
      <c r="G53" s="601"/>
      <c r="H53" s="601"/>
      <c r="I53" s="601"/>
      <c r="J53" s="601"/>
      <c r="K53" s="601"/>
      <c r="L53" s="601"/>
      <c r="M53" s="601"/>
      <c r="N53" s="601"/>
      <c r="O53" s="601"/>
      <c r="P53" s="601"/>
      <c r="Q53" s="601"/>
      <c r="R53" s="601"/>
      <c r="S53" s="724"/>
      <c r="T53" s="724"/>
      <c r="U53" s="724"/>
      <c r="V53" s="724"/>
      <c r="W53" s="601"/>
      <c r="X53" s="601"/>
      <c r="Y53" s="724"/>
      <c r="Z53" s="724"/>
      <c r="AA53" s="601"/>
      <c r="AB53" s="601"/>
      <c r="AC53" s="601"/>
      <c r="AD53" s="724"/>
      <c r="AE53" s="724"/>
      <c r="AF53" s="724"/>
      <c r="AG53" s="724"/>
      <c r="AH53" s="724"/>
      <c r="AI53" s="724"/>
      <c r="AJ53" s="724"/>
      <c r="AK53" s="724"/>
      <c r="AL53" s="724"/>
      <c r="AM53" s="724"/>
      <c r="AN53" s="724"/>
      <c r="AO53" s="724"/>
      <c r="AP53" s="724"/>
      <c r="AQ53" s="724"/>
      <c r="AR53" s="724"/>
      <c r="AS53" s="724"/>
      <c r="AT53" s="724"/>
      <c r="AU53" s="724"/>
      <c r="AV53" s="724"/>
      <c r="AW53" s="724"/>
      <c r="AX53" s="724"/>
      <c r="AY53" s="598"/>
      <c r="AZ53" s="598"/>
      <c r="BA53" s="604"/>
      <c r="BB53" s="723"/>
      <c r="BC53" s="571"/>
      <c r="BD53" s="572"/>
      <c r="BE53" s="710"/>
      <c r="BF53" s="710"/>
      <c r="BG53" s="710" t="s">
        <v>424</v>
      </c>
      <c r="BH53" s="710"/>
      <c r="BI53" s="710"/>
      <c r="BJ53" s="710"/>
      <c r="BK53" s="710"/>
      <c r="BL53" s="710"/>
      <c r="BM53" s="710"/>
      <c r="BN53" s="710"/>
      <c r="BO53" s="710"/>
      <c r="BP53" s="710"/>
      <c r="BQ53" s="710"/>
      <c r="BR53" s="710"/>
      <c r="BS53" s="710"/>
      <c r="BT53" s="710"/>
    </row>
    <row r="54" spans="1:72" s="709" customFormat="1" ht="15.75">
      <c r="A54" s="556"/>
      <c r="B54" s="598"/>
      <c r="C54" s="601"/>
      <c r="D54" s="601"/>
      <c r="E54" s="601"/>
      <c r="F54" s="601"/>
      <c r="G54" s="601"/>
      <c r="H54" s="601"/>
      <c r="I54" s="601"/>
      <c r="J54" s="601"/>
      <c r="K54" s="601"/>
      <c r="L54" s="601"/>
      <c r="M54" s="601"/>
      <c r="N54" s="601"/>
      <c r="O54" s="601"/>
      <c r="P54" s="601"/>
      <c r="Q54" s="601"/>
      <c r="R54" s="601"/>
      <c r="S54" s="724"/>
      <c r="T54" s="724"/>
      <c r="U54" s="724"/>
      <c r="V54" s="724"/>
      <c r="W54" s="601"/>
      <c r="X54" s="601"/>
      <c r="Y54" s="724"/>
      <c r="Z54" s="724"/>
      <c r="AA54" s="601"/>
      <c r="AB54" s="601"/>
      <c r="AC54" s="601"/>
      <c r="AD54" s="724"/>
      <c r="AE54" s="724"/>
      <c r="AF54" s="724"/>
      <c r="AG54" s="724"/>
      <c r="AH54" s="724"/>
      <c r="AI54" s="724"/>
      <c r="AJ54" s="724"/>
      <c r="AK54" s="724"/>
      <c r="AL54" s="724"/>
      <c r="AM54" s="724"/>
      <c r="AN54" s="724"/>
      <c r="AO54" s="724"/>
      <c r="AP54" s="724"/>
      <c r="AQ54" s="724"/>
      <c r="AR54" s="724"/>
      <c r="AS54" s="724"/>
      <c r="AT54" s="724"/>
      <c r="AU54" s="724"/>
      <c r="AV54" s="724"/>
      <c r="AW54" s="724"/>
      <c r="AX54" s="724"/>
      <c r="AY54" s="598"/>
      <c r="AZ54" s="598"/>
      <c r="BA54" s="604"/>
      <c r="BB54" s="723"/>
      <c r="BC54" s="571"/>
      <c r="BD54" s="572"/>
      <c r="BE54" s="710"/>
      <c r="BF54" s="710"/>
      <c r="BG54" s="710"/>
      <c r="BH54" s="710"/>
      <c r="BI54" s="710" t="s">
        <v>425</v>
      </c>
      <c r="BJ54" s="710"/>
      <c r="BK54" s="710"/>
      <c r="BL54" s="710"/>
      <c r="BM54" s="710"/>
      <c r="BN54" s="710"/>
      <c r="BO54" s="710"/>
      <c r="BP54" s="710"/>
      <c r="BQ54" s="710"/>
      <c r="BR54" s="710"/>
      <c r="BS54" s="710"/>
      <c r="BT54" s="710"/>
    </row>
    <row r="55" spans="1:72" s="709" customFormat="1" ht="15.75">
      <c r="A55" s="556"/>
      <c r="B55" s="598"/>
      <c r="C55" s="601"/>
      <c r="D55" s="601"/>
      <c r="E55" s="601"/>
      <c r="F55" s="601"/>
      <c r="G55" s="601"/>
      <c r="H55" s="601"/>
      <c r="I55" s="601"/>
      <c r="J55" s="601"/>
      <c r="K55" s="601"/>
      <c r="L55" s="601"/>
      <c r="M55" s="601"/>
      <c r="N55" s="601"/>
      <c r="O55" s="601"/>
      <c r="P55" s="601"/>
      <c r="Q55" s="601"/>
      <c r="R55" s="601"/>
      <c r="S55" s="724"/>
      <c r="T55" s="724"/>
      <c r="U55" s="724"/>
      <c r="V55" s="724"/>
      <c r="W55" s="601"/>
      <c r="X55" s="601"/>
      <c r="Y55" s="724"/>
      <c r="Z55" s="724"/>
      <c r="AA55" s="601"/>
      <c r="AB55" s="601"/>
      <c r="AC55" s="601"/>
      <c r="AD55" s="724"/>
      <c r="AE55" s="724"/>
      <c r="AF55" s="724"/>
      <c r="AG55" s="724"/>
      <c r="AH55" s="724"/>
      <c r="AI55" s="724"/>
      <c r="AJ55" s="724"/>
      <c r="AK55" s="724"/>
      <c r="AL55" s="724"/>
      <c r="AM55" s="724"/>
      <c r="AN55" s="724"/>
      <c r="AO55" s="724"/>
      <c r="AP55" s="724"/>
      <c r="AQ55" s="724"/>
      <c r="AR55" s="724"/>
      <c r="AS55" s="724"/>
      <c r="AT55" s="724"/>
      <c r="AU55" s="724"/>
      <c r="AV55" s="724"/>
      <c r="AW55" s="724"/>
      <c r="AX55" s="724"/>
      <c r="AY55" s="598"/>
      <c r="AZ55" s="598"/>
      <c r="BA55" s="604"/>
      <c r="BB55" s="723"/>
      <c r="BC55" s="571"/>
      <c r="BD55" s="572"/>
      <c r="BE55" s="710"/>
      <c r="BF55" s="710"/>
      <c r="BG55" s="710"/>
      <c r="BH55" s="710"/>
      <c r="BI55" s="710"/>
      <c r="BJ55" s="710"/>
      <c r="BK55" s="710"/>
      <c r="BL55" s="710"/>
      <c r="BM55" s="710" t="s">
        <v>426</v>
      </c>
      <c r="BN55" s="710"/>
      <c r="BO55" s="710"/>
      <c r="BP55" s="710"/>
      <c r="BQ55" s="710"/>
      <c r="BR55" s="710"/>
      <c r="BS55" s="710"/>
      <c r="BT55" s="710"/>
    </row>
    <row r="56" spans="1:72" s="709" customFormat="1" ht="15.75">
      <c r="A56" s="556"/>
      <c r="B56" s="598"/>
      <c r="C56" s="601"/>
      <c r="D56" s="601"/>
      <c r="E56" s="601"/>
      <c r="F56" s="601"/>
      <c r="G56" s="601"/>
      <c r="H56" s="601"/>
      <c r="I56" s="601"/>
      <c r="J56" s="601"/>
      <c r="K56" s="601"/>
      <c r="L56" s="601"/>
      <c r="M56" s="601"/>
      <c r="N56" s="601"/>
      <c r="O56" s="601"/>
      <c r="P56" s="601"/>
      <c r="Q56" s="601"/>
      <c r="R56" s="601"/>
      <c r="S56" s="724"/>
      <c r="T56" s="724"/>
      <c r="U56" s="724"/>
      <c r="V56" s="724"/>
      <c r="W56" s="601"/>
      <c r="X56" s="601"/>
      <c r="Y56" s="724"/>
      <c r="Z56" s="724"/>
      <c r="AA56" s="601"/>
      <c r="AB56" s="601"/>
      <c r="AC56" s="601"/>
      <c r="AD56" s="724"/>
      <c r="AE56" s="724"/>
      <c r="AF56" s="724"/>
      <c r="AG56" s="724"/>
      <c r="AH56" s="724"/>
      <c r="AI56" s="724"/>
      <c r="AJ56" s="724"/>
      <c r="AK56" s="724"/>
      <c r="AL56" s="724"/>
      <c r="AM56" s="724"/>
      <c r="AN56" s="724"/>
      <c r="AO56" s="724"/>
      <c r="AP56" s="724"/>
      <c r="AQ56" s="724"/>
      <c r="AR56" s="724"/>
      <c r="AS56" s="724"/>
      <c r="AT56" s="724"/>
      <c r="AU56" s="724"/>
      <c r="AV56" s="724"/>
      <c r="AW56" s="724"/>
      <c r="AX56" s="724"/>
      <c r="AY56" s="598"/>
      <c r="AZ56" s="598"/>
      <c r="BA56" s="604"/>
      <c r="BB56" s="723"/>
      <c r="BC56" s="571"/>
      <c r="BD56" s="572"/>
      <c r="BE56" s="710"/>
      <c r="BF56" s="710"/>
      <c r="BG56" s="710"/>
      <c r="BH56" s="710"/>
      <c r="BI56" s="710"/>
      <c r="BJ56" s="710"/>
      <c r="BK56" s="710"/>
      <c r="BL56" s="710"/>
      <c r="BM56" s="710"/>
      <c r="BN56" s="710"/>
      <c r="BO56" s="710"/>
      <c r="BP56" s="710"/>
      <c r="BQ56" s="710"/>
      <c r="BR56" s="710"/>
      <c r="BS56" s="710"/>
      <c r="BT56" s="710"/>
    </row>
    <row r="57" spans="1:72" s="709" customFormat="1" ht="15.75">
      <c r="A57" s="556"/>
      <c r="B57" s="598"/>
      <c r="C57" s="601"/>
      <c r="D57" s="601"/>
      <c r="E57" s="601"/>
      <c r="F57" s="601"/>
      <c r="G57" s="601"/>
      <c r="H57" s="601"/>
      <c r="I57" s="601"/>
      <c r="J57" s="601"/>
      <c r="K57" s="601"/>
      <c r="L57" s="601"/>
      <c r="M57" s="601"/>
      <c r="N57" s="601"/>
      <c r="O57" s="601"/>
      <c r="P57" s="601"/>
      <c r="Q57" s="601"/>
      <c r="R57" s="601"/>
      <c r="S57" s="724"/>
      <c r="T57" s="724"/>
      <c r="U57" s="724"/>
      <c r="V57" s="724"/>
      <c r="W57" s="601"/>
      <c r="X57" s="601"/>
      <c r="Y57" s="724"/>
      <c r="Z57" s="724"/>
      <c r="AA57" s="601"/>
      <c r="AB57" s="601"/>
      <c r="AC57" s="601"/>
      <c r="AD57" s="724"/>
      <c r="AE57" s="724"/>
      <c r="AF57" s="724"/>
      <c r="AG57" s="724"/>
      <c r="AH57" s="724"/>
      <c r="AI57" s="724"/>
      <c r="AJ57" s="724"/>
      <c r="AK57" s="724"/>
      <c r="AL57" s="724"/>
      <c r="AM57" s="724"/>
      <c r="AN57" s="724"/>
      <c r="AO57" s="724"/>
      <c r="AP57" s="724"/>
      <c r="AQ57" s="724"/>
      <c r="AR57" s="724"/>
      <c r="AS57" s="724"/>
      <c r="AT57" s="724"/>
      <c r="AU57" s="724"/>
      <c r="AV57" s="724"/>
      <c r="AW57" s="724"/>
      <c r="AX57" s="724"/>
      <c r="AY57" s="598"/>
      <c r="AZ57" s="598"/>
      <c r="BA57" s="604"/>
      <c r="BB57" s="723"/>
      <c r="BC57" s="571"/>
      <c r="BD57" s="572"/>
      <c r="BE57" s="710"/>
      <c r="BF57" s="710"/>
      <c r="BG57" s="710"/>
      <c r="BH57" s="710"/>
      <c r="BI57" s="710"/>
      <c r="BJ57" s="710" t="s">
        <v>427</v>
      </c>
      <c r="BK57" s="710"/>
      <c r="BL57" s="710"/>
      <c r="BM57" s="710"/>
      <c r="BN57" s="710"/>
      <c r="BO57" s="710"/>
      <c r="BP57" s="710"/>
      <c r="BQ57" s="710"/>
      <c r="BR57" s="710"/>
      <c r="BS57" s="710"/>
      <c r="BT57" s="710"/>
    </row>
    <row r="58" spans="1:72" s="709" customFormat="1" ht="15.75">
      <c r="A58" s="556"/>
      <c r="B58" s="598"/>
      <c r="C58" s="601"/>
      <c r="D58" s="601"/>
      <c r="E58" s="601"/>
      <c r="F58" s="601"/>
      <c r="G58" s="601"/>
      <c r="H58" s="601"/>
      <c r="I58" s="601"/>
      <c r="J58" s="601"/>
      <c r="K58" s="601"/>
      <c r="L58" s="601"/>
      <c r="M58" s="601"/>
      <c r="N58" s="601"/>
      <c r="O58" s="601"/>
      <c r="P58" s="601"/>
      <c r="Q58" s="601"/>
      <c r="R58" s="601"/>
      <c r="S58" s="724"/>
      <c r="T58" s="724"/>
      <c r="U58" s="724"/>
      <c r="V58" s="724"/>
      <c r="W58" s="601"/>
      <c r="X58" s="601"/>
      <c r="Y58" s="724"/>
      <c r="Z58" s="724"/>
      <c r="AA58" s="601"/>
      <c r="AB58" s="601"/>
      <c r="AC58" s="601"/>
      <c r="AD58" s="724"/>
      <c r="AE58" s="724"/>
      <c r="AF58" s="724"/>
      <c r="AG58" s="724"/>
      <c r="AH58" s="724"/>
      <c r="AI58" s="724"/>
      <c r="AJ58" s="724"/>
      <c r="AK58" s="724"/>
      <c r="AL58" s="724"/>
      <c r="AM58" s="724"/>
      <c r="AN58" s="724"/>
      <c r="AO58" s="724"/>
      <c r="AP58" s="724"/>
      <c r="AQ58" s="724"/>
      <c r="AR58" s="724"/>
      <c r="AS58" s="724"/>
      <c r="AT58" s="724"/>
      <c r="AU58" s="724"/>
      <c r="AV58" s="724"/>
      <c r="AW58" s="724"/>
      <c r="AX58" s="724"/>
      <c r="AY58" s="598"/>
      <c r="AZ58" s="598"/>
      <c r="BA58" s="604"/>
      <c r="BB58" s="723"/>
      <c r="BC58" s="571"/>
      <c r="BD58" s="572"/>
      <c r="BE58" s="710"/>
      <c r="BF58" s="710"/>
      <c r="BG58" s="710"/>
      <c r="BH58" s="710"/>
      <c r="BI58" s="710"/>
      <c r="BJ58" s="710" t="s">
        <v>428</v>
      </c>
      <c r="BK58" s="710"/>
      <c r="BL58" s="710"/>
      <c r="BM58" s="710"/>
      <c r="BN58" s="710"/>
      <c r="BO58" s="710"/>
      <c r="BP58" s="710"/>
      <c r="BQ58" s="710"/>
      <c r="BR58" s="710"/>
      <c r="BS58" s="710"/>
      <c r="BT58" s="710"/>
    </row>
    <row r="59" spans="1:72" s="709" customFormat="1" ht="15.75">
      <c r="A59" s="556"/>
      <c r="B59" s="598"/>
      <c r="C59" s="601"/>
      <c r="D59" s="601"/>
      <c r="E59" s="601"/>
      <c r="F59" s="601"/>
      <c r="G59" s="601"/>
      <c r="H59" s="601"/>
      <c r="I59" s="601"/>
      <c r="J59" s="601"/>
      <c r="K59" s="601"/>
      <c r="L59" s="601"/>
      <c r="M59" s="601"/>
      <c r="N59" s="601"/>
      <c r="O59" s="601"/>
      <c r="P59" s="601"/>
      <c r="Q59" s="601"/>
      <c r="R59" s="601"/>
      <c r="S59" s="724"/>
      <c r="T59" s="724"/>
      <c r="U59" s="724"/>
      <c r="V59" s="724"/>
      <c r="W59" s="601"/>
      <c r="X59" s="601"/>
      <c r="Y59" s="724"/>
      <c r="Z59" s="724"/>
      <c r="AA59" s="601"/>
      <c r="AB59" s="601"/>
      <c r="AC59" s="601"/>
      <c r="AD59" s="724"/>
      <c r="AE59" s="724"/>
      <c r="AF59" s="724"/>
      <c r="AG59" s="724"/>
      <c r="AH59" s="724"/>
      <c r="AI59" s="724"/>
      <c r="AJ59" s="724"/>
      <c r="AK59" s="724"/>
      <c r="AL59" s="724"/>
      <c r="AM59" s="724"/>
      <c r="AN59" s="724"/>
      <c r="AO59" s="724"/>
      <c r="AP59" s="724"/>
      <c r="AQ59" s="724"/>
      <c r="AR59" s="724"/>
      <c r="AS59" s="724"/>
      <c r="AT59" s="724"/>
      <c r="AU59" s="724"/>
      <c r="AV59" s="724"/>
      <c r="AW59" s="724"/>
      <c r="AX59" s="724"/>
      <c r="AY59" s="598"/>
      <c r="AZ59" s="598"/>
      <c r="BA59" s="604"/>
      <c r="BB59" s="723"/>
      <c r="BC59" s="571"/>
      <c r="BD59" s="572"/>
      <c r="BE59" s="710"/>
      <c r="BF59" s="710"/>
      <c r="BG59" s="710"/>
      <c r="BH59" s="710"/>
      <c r="BI59" s="710"/>
      <c r="BJ59" s="710" t="s">
        <v>429</v>
      </c>
      <c r="BK59" s="710"/>
      <c r="BL59" s="710"/>
      <c r="BM59" s="710"/>
      <c r="BN59" s="710"/>
      <c r="BO59" s="710"/>
      <c r="BP59" s="710"/>
      <c r="BQ59" s="710"/>
      <c r="BR59" s="710"/>
      <c r="BS59" s="710"/>
      <c r="BT59" s="710"/>
    </row>
    <row r="60" spans="1:72" s="709" customFormat="1" ht="15.75">
      <c r="A60" s="556"/>
      <c r="B60" s="598"/>
      <c r="C60" s="601"/>
      <c r="D60" s="601"/>
      <c r="E60" s="601"/>
      <c r="F60" s="601"/>
      <c r="G60" s="601"/>
      <c r="H60" s="601"/>
      <c r="I60" s="601"/>
      <c r="J60" s="601"/>
      <c r="K60" s="601"/>
      <c r="L60" s="601"/>
      <c r="M60" s="601"/>
      <c r="N60" s="601"/>
      <c r="O60" s="601"/>
      <c r="P60" s="601"/>
      <c r="Q60" s="601"/>
      <c r="R60" s="601"/>
      <c r="S60" s="724"/>
      <c r="T60" s="724"/>
      <c r="U60" s="724"/>
      <c r="V60" s="724"/>
      <c r="W60" s="601"/>
      <c r="X60" s="601"/>
      <c r="Y60" s="724"/>
      <c r="Z60" s="724"/>
      <c r="AA60" s="601"/>
      <c r="AB60" s="601"/>
      <c r="AC60" s="601"/>
      <c r="AD60" s="724"/>
      <c r="AE60" s="724"/>
      <c r="AF60" s="724"/>
      <c r="AG60" s="724"/>
      <c r="AH60" s="724"/>
      <c r="AI60" s="724"/>
      <c r="AJ60" s="724"/>
      <c r="AK60" s="724"/>
      <c r="AL60" s="724"/>
      <c r="AM60" s="724"/>
      <c r="AN60" s="724"/>
      <c r="AO60" s="724"/>
      <c r="AP60" s="724"/>
      <c r="AQ60" s="724"/>
      <c r="AR60" s="724"/>
      <c r="AS60" s="724"/>
      <c r="AT60" s="724"/>
      <c r="AU60" s="724"/>
      <c r="AV60" s="724"/>
      <c r="AW60" s="724"/>
      <c r="AX60" s="724"/>
      <c r="AY60" s="598"/>
      <c r="AZ60" s="598"/>
      <c r="BA60" s="604"/>
      <c r="BB60" s="723"/>
      <c r="BC60" s="571"/>
      <c r="BD60" s="572"/>
      <c r="BE60" s="710"/>
      <c r="BF60" s="710"/>
      <c r="BG60" s="710"/>
      <c r="BH60" s="710"/>
      <c r="BI60" s="710" t="s">
        <v>430</v>
      </c>
      <c r="BJ60" s="710"/>
      <c r="BK60" s="710"/>
      <c r="BL60" s="710"/>
      <c r="BM60" s="710"/>
      <c r="BN60" s="710"/>
      <c r="BO60" s="710"/>
      <c r="BP60" s="710"/>
      <c r="BQ60" s="710"/>
      <c r="BR60" s="710"/>
      <c r="BS60" s="710"/>
      <c r="BT60" s="710"/>
    </row>
    <row r="61" spans="1:72" s="709" customFormat="1" ht="15.75">
      <c r="A61" s="556"/>
      <c r="B61" s="598"/>
      <c r="C61" s="601"/>
      <c r="D61" s="601"/>
      <c r="E61" s="601"/>
      <c r="F61" s="601"/>
      <c r="G61" s="601"/>
      <c r="H61" s="601"/>
      <c r="I61" s="601"/>
      <c r="J61" s="601"/>
      <c r="K61" s="601"/>
      <c r="L61" s="601"/>
      <c r="M61" s="601"/>
      <c r="N61" s="601"/>
      <c r="O61" s="601"/>
      <c r="P61" s="601"/>
      <c r="Q61" s="601"/>
      <c r="R61" s="601"/>
      <c r="S61" s="724"/>
      <c r="T61" s="724"/>
      <c r="U61" s="724"/>
      <c r="V61" s="724"/>
      <c r="W61" s="601"/>
      <c r="X61" s="601"/>
      <c r="Y61" s="724"/>
      <c r="Z61" s="724"/>
      <c r="AA61" s="601"/>
      <c r="AB61" s="601"/>
      <c r="AC61" s="601"/>
      <c r="AD61" s="724"/>
      <c r="AE61" s="724"/>
      <c r="AF61" s="724"/>
      <c r="AG61" s="724"/>
      <c r="AH61" s="724"/>
      <c r="AI61" s="724"/>
      <c r="AJ61" s="724"/>
      <c r="AK61" s="724"/>
      <c r="AL61" s="724"/>
      <c r="AM61" s="724"/>
      <c r="AN61" s="724"/>
      <c r="AO61" s="724"/>
      <c r="AP61" s="724"/>
      <c r="AQ61" s="724"/>
      <c r="AR61" s="724"/>
      <c r="AS61" s="724"/>
      <c r="AT61" s="724"/>
      <c r="AU61" s="724"/>
      <c r="AV61" s="724"/>
      <c r="AW61" s="724"/>
      <c r="AX61" s="724"/>
      <c r="AY61" s="598"/>
      <c r="AZ61" s="598"/>
      <c r="BA61" s="604"/>
      <c r="BB61" s="723"/>
      <c r="BC61" s="571"/>
      <c r="BD61" s="572"/>
      <c r="BE61" s="710"/>
      <c r="BF61" s="710"/>
      <c r="BG61" s="710"/>
      <c r="BH61" s="710"/>
      <c r="BI61" s="710"/>
      <c r="BJ61" s="710" t="s">
        <v>431</v>
      </c>
      <c r="BK61" s="710"/>
      <c r="BL61" s="710"/>
      <c r="BM61" s="710"/>
      <c r="BN61" s="710"/>
      <c r="BO61" s="710"/>
      <c r="BP61" s="710"/>
      <c r="BQ61" s="710"/>
      <c r="BR61" s="710"/>
      <c r="BS61" s="710"/>
      <c r="BT61" s="710"/>
    </row>
    <row r="62" spans="1:72" s="709" customFormat="1" ht="15.75">
      <c r="A62" s="556"/>
      <c r="B62" s="598"/>
      <c r="C62" s="601"/>
      <c r="D62" s="601"/>
      <c r="E62" s="601"/>
      <c r="F62" s="601"/>
      <c r="G62" s="601"/>
      <c r="H62" s="601"/>
      <c r="I62" s="601"/>
      <c r="J62" s="601"/>
      <c r="K62" s="601"/>
      <c r="L62" s="601"/>
      <c r="M62" s="601"/>
      <c r="N62" s="601"/>
      <c r="O62" s="601"/>
      <c r="P62" s="601"/>
      <c r="Q62" s="601"/>
      <c r="R62" s="601"/>
      <c r="S62" s="724"/>
      <c r="T62" s="724"/>
      <c r="U62" s="724"/>
      <c r="V62" s="724"/>
      <c r="W62" s="601"/>
      <c r="X62" s="601"/>
      <c r="Y62" s="724"/>
      <c r="Z62" s="724"/>
      <c r="AA62" s="601"/>
      <c r="AB62" s="601"/>
      <c r="AC62" s="601"/>
      <c r="AD62" s="724"/>
      <c r="AE62" s="724"/>
      <c r="AF62" s="724"/>
      <c r="AG62" s="724"/>
      <c r="AH62" s="724"/>
      <c r="AI62" s="724"/>
      <c r="AJ62" s="724"/>
      <c r="AK62" s="724"/>
      <c r="AL62" s="724"/>
      <c r="AM62" s="724"/>
      <c r="AN62" s="724"/>
      <c r="AO62" s="724"/>
      <c r="AP62" s="724"/>
      <c r="AQ62" s="724"/>
      <c r="AR62" s="724"/>
      <c r="AS62" s="724"/>
      <c r="AT62" s="724"/>
      <c r="AU62" s="724"/>
      <c r="AV62" s="724"/>
      <c r="AW62" s="724"/>
      <c r="AX62" s="724"/>
      <c r="AY62" s="598"/>
      <c r="AZ62" s="598"/>
      <c r="BA62" s="604"/>
      <c r="BB62" s="723"/>
      <c r="BC62" s="571"/>
      <c r="BD62" s="572"/>
      <c r="BE62" s="710"/>
      <c r="BF62" s="710" t="s">
        <v>432</v>
      </c>
      <c r="BG62" s="710"/>
      <c r="BH62" s="710"/>
      <c r="BI62" s="710"/>
      <c r="BJ62" s="710"/>
      <c r="BK62" s="710"/>
      <c r="BL62" s="710"/>
      <c r="BM62" s="710"/>
      <c r="BN62" s="710"/>
      <c r="BO62" s="710"/>
      <c r="BP62" s="710"/>
      <c r="BQ62" s="710"/>
      <c r="BR62" s="710"/>
      <c r="BS62" s="710"/>
      <c r="BT62" s="710"/>
    </row>
    <row r="63" spans="1:72" s="709" customFormat="1" ht="15.75">
      <c r="A63" s="556"/>
      <c r="B63" s="598"/>
      <c r="C63" s="601"/>
      <c r="D63" s="601"/>
      <c r="E63" s="601"/>
      <c r="F63" s="601"/>
      <c r="G63" s="601"/>
      <c r="H63" s="601"/>
      <c r="I63" s="601"/>
      <c r="J63" s="601"/>
      <c r="K63" s="601"/>
      <c r="L63" s="601"/>
      <c r="M63" s="601"/>
      <c r="N63" s="601"/>
      <c r="O63" s="601"/>
      <c r="P63" s="601"/>
      <c r="Q63" s="601"/>
      <c r="R63" s="601"/>
      <c r="S63" s="724"/>
      <c r="T63" s="724"/>
      <c r="U63" s="724"/>
      <c r="V63" s="724"/>
      <c r="W63" s="601"/>
      <c r="X63" s="601"/>
      <c r="Y63" s="724"/>
      <c r="Z63" s="724"/>
      <c r="AA63" s="601"/>
      <c r="AB63" s="601"/>
      <c r="AC63" s="601"/>
      <c r="AD63" s="724"/>
      <c r="AE63" s="724"/>
      <c r="AF63" s="724"/>
      <c r="AG63" s="724"/>
      <c r="AH63" s="724"/>
      <c r="AI63" s="724"/>
      <c r="AJ63" s="724"/>
      <c r="AK63" s="724"/>
      <c r="AL63" s="724"/>
      <c r="AM63" s="724"/>
      <c r="AN63" s="724"/>
      <c r="AO63" s="724"/>
      <c r="AP63" s="724"/>
      <c r="AQ63" s="724"/>
      <c r="AR63" s="724"/>
      <c r="AS63" s="724"/>
      <c r="AT63" s="724"/>
      <c r="AU63" s="724"/>
      <c r="AV63" s="724"/>
      <c r="AW63" s="724"/>
      <c r="AX63" s="724"/>
      <c r="AY63" s="598"/>
      <c r="AZ63" s="598"/>
      <c r="BA63" s="604"/>
      <c r="BB63" s="723"/>
      <c r="BC63" s="571"/>
      <c r="BD63" s="572"/>
      <c r="BE63" s="710"/>
      <c r="BF63" s="710"/>
      <c r="BG63" s="710" t="s">
        <v>433</v>
      </c>
      <c r="BH63" s="710"/>
      <c r="BI63" s="710"/>
      <c r="BJ63" s="710"/>
      <c r="BK63" s="710"/>
      <c r="BL63" s="710"/>
      <c r="BM63" s="710"/>
      <c r="BN63" s="710"/>
      <c r="BO63" s="710"/>
      <c r="BP63" s="710"/>
      <c r="BQ63" s="710"/>
      <c r="BR63" s="710"/>
      <c r="BS63" s="710"/>
      <c r="BT63" s="710"/>
    </row>
    <row r="64" spans="1:72" s="709" customFormat="1" ht="15.75">
      <c r="A64" s="556"/>
      <c r="B64" s="598"/>
      <c r="C64" s="601"/>
      <c r="D64" s="601"/>
      <c r="E64" s="601"/>
      <c r="F64" s="601"/>
      <c r="G64" s="601"/>
      <c r="H64" s="601"/>
      <c r="I64" s="601"/>
      <c r="J64" s="601"/>
      <c r="K64" s="601"/>
      <c r="L64" s="601"/>
      <c r="M64" s="601"/>
      <c r="N64" s="601"/>
      <c r="O64" s="601"/>
      <c r="P64" s="601"/>
      <c r="Q64" s="601"/>
      <c r="R64" s="601"/>
      <c r="S64" s="724"/>
      <c r="T64" s="724"/>
      <c r="U64" s="724"/>
      <c r="V64" s="724"/>
      <c r="W64" s="601"/>
      <c r="X64" s="601"/>
      <c r="Y64" s="724"/>
      <c r="Z64" s="724"/>
      <c r="AA64" s="601"/>
      <c r="AB64" s="601"/>
      <c r="AC64" s="601"/>
      <c r="AD64" s="724"/>
      <c r="AE64" s="724"/>
      <c r="AF64" s="724"/>
      <c r="AG64" s="724"/>
      <c r="AH64" s="724"/>
      <c r="AI64" s="724"/>
      <c r="AJ64" s="724"/>
      <c r="AK64" s="724"/>
      <c r="AL64" s="724"/>
      <c r="AM64" s="724"/>
      <c r="AN64" s="724"/>
      <c r="AO64" s="724"/>
      <c r="AP64" s="724"/>
      <c r="AQ64" s="724"/>
      <c r="AR64" s="724"/>
      <c r="AS64" s="724"/>
      <c r="AT64" s="724"/>
      <c r="AU64" s="724"/>
      <c r="AV64" s="724"/>
      <c r="AW64" s="724"/>
      <c r="AX64" s="724"/>
      <c r="AY64" s="598"/>
      <c r="AZ64" s="598"/>
      <c r="BA64" s="604"/>
      <c r="BB64" s="723"/>
      <c r="BC64" s="571"/>
      <c r="BD64" s="572"/>
      <c r="BE64" s="710"/>
      <c r="BF64" s="710"/>
      <c r="BG64" s="710" t="s">
        <v>434</v>
      </c>
      <c r="BH64" s="710"/>
      <c r="BI64" s="710"/>
      <c r="BJ64" s="710"/>
      <c r="BK64" s="710"/>
      <c r="BL64" s="710"/>
      <c r="BM64" s="710"/>
      <c r="BN64" s="710"/>
      <c r="BO64" s="710"/>
      <c r="BP64" s="710"/>
      <c r="BQ64" s="710"/>
      <c r="BR64" s="710"/>
      <c r="BS64" s="710"/>
      <c r="BT64" s="710"/>
    </row>
    <row r="65" spans="1:72" s="709" customFormat="1" ht="15.75">
      <c r="A65" s="556"/>
      <c r="B65" s="598"/>
      <c r="C65" s="601"/>
      <c r="D65" s="601"/>
      <c r="E65" s="601"/>
      <c r="F65" s="601"/>
      <c r="G65" s="601"/>
      <c r="H65" s="601"/>
      <c r="I65" s="601"/>
      <c r="J65" s="601"/>
      <c r="K65" s="601"/>
      <c r="L65" s="601"/>
      <c r="M65" s="601"/>
      <c r="N65" s="601"/>
      <c r="O65" s="601"/>
      <c r="P65" s="601"/>
      <c r="Q65" s="601"/>
      <c r="R65" s="601"/>
      <c r="S65" s="724"/>
      <c r="T65" s="724"/>
      <c r="U65" s="724"/>
      <c r="V65" s="724"/>
      <c r="W65" s="601"/>
      <c r="X65" s="601"/>
      <c r="Y65" s="724"/>
      <c r="Z65" s="724"/>
      <c r="AA65" s="601"/>
      <c r="AB65" s="601"/>
      <c r="AC65" s="601"/>
      <c r="AD65" s="724"/>
      <c r="AE65" s="724"/>
      <c r="AF65" s="724"/>
      <c r="AG65" s="724"/>
      <c r="AH65" s="724"/>
      <c r="AI65" s="724"/>
      <c r="AJ65" s="724"/>
      <c r="AK65" s="724"/>
      <c r="AL65" s="724"/>
      <c r="AM65" s="724"/>
      <c r="AN65" s="724"/>
      <c r="AO65" s="724"/>
      <c r="AP65" s="724"/>
      <c r="AQ65" s="724"/>
      <c r="AR65" s="724"/>
      <c r="AS65" s="724"/>
      <c r="AT65" s="724"/>
      <c r="AU65" s="724"/>
      <c r="AV65" s="724"/>
      <c r="AW65" s="724"/>
      <c r="AX65" s="724"/>
      <c r="AY65" s="598"/>
      <c r="AZ65" s="598"/>
      <c r="BA65" s="604"/>
      <c r="BB65" s="723"/>
      <c r="BC65" s="571"/>
      <c r="BD65" s="572"/>
      <c r="BE65" s="710"/>
      <c r="BF65" s="710"/>
      <c r="BG65" s="710"/>
      <c r="BH65" s="710"/>
      <c r="BI65" s="710"/>
      <c r="BJ65" s="710"/>
      <c r="BK65" s="710"/>
      <c r="BL65" s="710"/>
      <c r="BM65" s="710"/>
      <c r="BN65" s="710"/>
      <c r="BO65" s="710"/>
      <c r="BP65" s="710"/>
      <c r="BQ65" s="710"/>
      <c r="BR65" s="710"/>
      <c r="BS65" s="710"/>
      <c r="BT65" s="710"/>
    </row>
    <row r="66" spans="1:72" s="709" customFormat="1" ht="15.75">
      <c r="A66" s="556"/>
      <c r="B66" s="598"/>
      <c r="C66" s="601"/>
      <c r="D66" s="601"/>
      <c r="E66" s="601"/>
      <c r="F66" s="601"/>
      <c r="G66" s="601"/>
      <c r="H66" s="601"/>
      <c r="I66" s="601"/>
      <c r="J66" s="601"/>
      <c r="K66" s="601"/>
      <c r="L66" s="601"/>
      <c r="M66" s="601"/>
      <c r="N66" s="601"/>
      <c r="O66" s="601"/>
      <c r="P66" s="601"/>
      <c r="Q66" s="601"/>
      <c r="R66" s="601"/>
      <c r="S66" s="724"/>
      <c r="T66" s="724"/>
      <c r="U66" s="724"/>
      <c r="V66" s="724"/>
      <c r="W66" s="601"/>
      <c r="X66" s="601"/>
      <c r="Y66" s="724"/>
      <c r="Z66" s="724"/>
      <c r="AA66" s="601"/>
      <c r="AB66" s="601"/>
      <c r="AC66" s="601"/>
      <c r="AD66" s="724"/>
      <c r="AE66" s="724"/>
      <c r="AF66" s="724"/>
      <c r="AG66" s="724"/>
      <c r="AH66" s="724"/>
      <c r="AI66" s="724"/>
      <c r="AJ66" s="724"/>
      <c r="AK66" s="724"/>
      <c r="AL66" s="724"/>
      <c r="AM66" s="724"/>
      <c r="AN66" s="724"/>
      <c r="AO66" s="724"/>
      <c r="AP66" s="724"/>
      <c r="AQ66" s="724"/>
      <c r="AR66" s="724"/>
      <c r="AS66" s="724"/>
      <c r="AT66" s="724"/>
      <c r="AU66" s="724"/>
      <c r="AV66" s="724"/>
      <c r="AW66" s="724"/>
      <c r="AX66" s="724"/>
      <c r="AY66" s="598"/>
      <c r="AZ66" s="598"/>
      <c r="BA66" s="604"/>
      <c r="BB66" s="723"/>
      <c r="BC66" s="571"/>
      <c r="BD66" s="572"/>
      <c r="BE66" s="710"/>
      <c r="BF66" s="710"/>
      <c r="BG66" s="710" t="s">
        <v>435</v>
      </c>
      <c r="BH66" s="710"/>
      <c r="BI66" s="710"/>
      <c r="BJ66" s="710"/>
      <c r="BK66" s="710"/>
      <c r="BL66" s="710"/>
      <c r="BM66" s="710"/>
      <c r="BN66" s="710"/>
      <c r="BO66" s="710"/>
      <c r="BP66" s="710"/>
      <c r="BQ66" s="710"/>
      <c r="BR66" s="710"/>
      <c r="BS66" s="710"/>
      <c r="BT66" s="710"/>
    </row>
    <row r="67" spans="1:72" s="709" customFormat="1" ht="15.75">
      <c r="A67" s="556"/>
      <c r="B67" s="598"/>
      <c r="C67" s="601"/>
      <c r="D67" s="601"/>
      <c r="E67" s="601"/>
      <c r="F67" s="601"/>
      <c r="G67" s="601"/>
      <c r="H67" s="601"/>
      <c r="I67" s="601"/>
      <c r="J67" s="601"/>
      <c r="K67" s="601"/>
      <c r="L67" s="601"/>
      <c r="M67" s="601"/>
      <c r="N67" s="601"/>
      <c r="O67" s="601"/>
      <c r="P67" s="601"/>
      <c r="Q67" s="601"/>
      <c r="R67" s="601"/>
      <c r="S67" s="724"/>
      <c r="T67" s="724"/>
      <c r="U67" s="724"/>
      <c r="V67" s="724"/>
      <c r="W67" s="601"/>
      <c r="X67" s="601"/>
      <c r="Y67" s="724"/>
      <c r="Z67" s="724"/>
      <c r="AA67" s="601"/>
      <c r="AB67" s="601"/>
      <c r="AC67" s="601"/>
      <c r="AD67" s="724"/>
      <c r="AE67" s="724"/>
      <c r="AF67" s="724"/>
      <c r="AG67" s="724"/>
      <c r="AH67" s="724"/>
      <c r="AI67" s="724"/>
      <c r="AJ67" s="724"/>
      <c r="AK67" s="724"/>
      <c r="AL67" s="724"/>
      <c r="AM67" s="724"/>
      <c r="AN67" s="724"/>
      <c r="AO67" s="724"/>
      <c r="AP67" s="724"/>
      <c r="AQ67" s="724"/>
      <c r="AR67" s="724"/>
      <c r="AS67" s="724"/>
      <c r="AT67" s="724"/>
      <c r="AU67" s="724"/>
      <c r="AV67" s="724"/>
      <c r="AW67" s="724"/>
      <c r="AX67" s="724"/>
      <c r="AY67" s="598"/>
      <c r="AZ67" s="598"/>
      <c r="BA67" s="604"/>
      <c r="BB67" s="723"/>
      <c r="BC67" s="571"/>
      <c r="BD67" s="572"/>
      <c r="BE67" s="710"/>
      <c r="BF67" s="710"/>
      <c r="BG67" s="710"/>
      <c r="BH67" s="710"/>
      <c r="BI67" s="710"/>
      <c r="BJ67" s="710"/>
      <c r="BK67" s="710"/>
      <c r="BL67" s="710"/>
      <c r="BM67" s="710"/>
      <c r="BN67" s="710"/>
      <c r="BO67" s="710"/>
      <c r="BP67" s="710"/>
      <c r="BQ67" s="710"/>
      <c r="BR67" s="710"/>
      <c r="BS67" s="710"/>
      <c r="BT67" s="710"/>
    </row>
    <row r="68" spans="1:72" s="709" customFormat="1" ht="15.75">
      <c r="A68" s="556"/>
      <c r="B68" s="598"/>
      <c r="C68" s="601"/>
      <c r="D68" s="601"/>
      <c r="E68" s="601"/>
      <c r="F68" s="601"/>
      <c r="G68" s="601"/>
      <c r="H68" s="601"/>
      <c r="I68" s="601"/>
      <c r="J68" s="601"/>
      <c r="K68" s="601"/>
      <c r="L68" s="601"/>
      <c r="M68" s="601"/>
      <c r="N68" s="601"/>
      <c r="O68" s="601"/>
      <c r="P68" s="601"/>
      <c r="Q68" s="601"/>
      <c r="R68" s="601"/>
      <c r="S68" s="724"/>
      <c r="T68" s="724"/>
      <c r="U68" s="724"/>
      <c r="V68" s="724"/>
      <c r="W68" s="601"/>
      <c r="X68" s="601"/>
      <c r="Y68" s="724"/>
      <c r="Z68" s="724"/>
      <c r="AA68" s="601"/>
      <c r="AB68" s="601"/>
      <c r="AC68" s="601"/>
      <c r="AD68" s="724"/>
      <c r="AE68" s="724"/>
      <c r="AF68" s="724"/>
      <c r="AG68" s="724"/>
      <c r="AH68" s="724"/>
      <c r="AI68" s="724"/>
      <c r="AJ68" s="724"/>
      <c r="AK68" s="724"/>
      <c r="AL68" s="724"/>
      <c r="AM68" s="724"/>
      <c r="AN68" s="724"/>
      <c r="AO68" s="724"/>
      <c r="AP68" s="724"/>
      <c r="AQ68" s="724"/>
      <c r="AR68" s="724"/>
      <c r="AS68" s="724"/>
      <c r="AT68" s="724"/>
      <c r="AU68" s="724"/>
      <c r="AV68" s="724"/>
      <c r="AW68" s="724"/>
      <c r="AX68" s="724"/>
      <c r="AY68" s="598"/>
      <c r="AZ68" s="598"/>
      <c r="BA68" s="604"/>
      <c r="BB68" s="723"/>
      <c r="BC68" s="571"/>
      <c r="BD68" s="572"/>
      <c r="BE68" s="710"/>
      <c r="BF68" s="710" t="s">
        <v>436</v>
      </c>
      <c r="BG68" s="710"/>
      <c r="BH68" s="710"/>
      <c r="BI68" s="710"/>
      <c r="BJ68" s="710"/>
      <c r="BK68" s="710"/>
      <c r="BL68" s="710"/>
      <c r="BM68" s="710"/>
      <c r="BN68" s="710"/>
      <c r="BO68" s="710"/>
      <c r="BP68" s="710"/>
      <c r="BQ68" s="710"/>
      <c r="BR68" s="710"/>
      <c r="BS68" s="710"/>
      <c r="BT68" s="710"/>
    </row>
    <row r="69" spans="1:72" s="709" customFormat="1" ht="15.75">
      <c r="A69" s="556"/>
      <c r="B69" s="598"/>
      <c r="C69" s="601"/>
      <c r="D69" s="601"/>
      <c r="E69" s="601"/>
      <c r="F69" s="601"/>
      <c r="G69" s="601"/>
      <c r="H69" s="601"/>
      <c r="I69" s="601"/>
      <c r="J69" s="601"/>
      <c r="K69" s="601"/>
      <c r="L69" s="601"/>
      <c r="M69" s="601"/>
      <c r="N69" s="601"/>
      <c r="O69" s="601"/>
      <c r="P69" s="601"/>
      <c r="Q69" s="601"/>
      <c r="R69" s="601"/>
      <c r="S69" s="724"/>
      <c r="T69" s="724"/>
      <c r="U69" s="724"/>
      <c r="V69" s="724"/>
      <c r="W69" s="601"/>
      <c r="X69" s="601"/>
      <c r="Y69" s="724"/>
      <c r="Z69" s="724"/>
      <c r="AA69" s="601"/>
      <c r="AB69" s="601"/>
      <c r="AC69" s="601"/>
      <c r="AD69" s="724"/>
      <c r="AE69" s="724"/>
      <c r="AF69" s="724"/>
      <c r="AG69" s="724"/>
      <c r="AH69" s="724"/>
      <c r="AI69" s="724"/>
      <c r="AJ69" s="724"/>
      <c r="AK69" s="724"/>
      <c r="AL69" s="724"/>
      <c r="AM69" s="724"/>
      <c r="AN69" s="724"/>
      <c r="AO69" s="724"/>
      <c r="AP69" s="724"/>
      <c r="AQ69" s="724"/>
      <c r="AR69" s="724"/>
      <c r="AS69" s="724"/>
      <c r="AT69" s="724"/>
      <c r="AU69" s="724"/>
      <c r="AV69" s="724"/>
      <c r="AW69" s="724"/>
      <c r="AX69" s="724"/>
      <c r="AY69" s="598"/>
      <c r="AZ69" s="598"/>
      <c r="BA69" s="604"/>
      <c r="BB69" s="723"/>
      <c r="BC69" s="571"/>
      <c r="BD69" s="572"/>
      <c r="BE69" s="710"/>
      <c r="BF69" s="710"/>
      <c r="BG69" s="710" t="s">
        <v>437</v>
      </c>
      <c r="BH69" s="710"/>
      <c r="BI69" s="710"/>
      <c r="BJ69" s="710"/>
      <c r="BK69" s="710"/>
      <c r="BL69" s="710"/>
      <c r="BM69" s="710"/>
      <c r="BN69" s="710"/>
      <c r="BO69" s="710"/>
      <c r="BP69" s="710"/>
      <c r="BQ69" s="710"/>
      <c r="BR69" s="710"/>
      <c r="BS69" s="710"/>
      <c r="BT69" s="710"/>
    </row>
    <row r="70" spans="1:72" s="709" customFormat="1" ht="15.75">
      <c r="A70" s="556"/>
      <c r="B70" s="598"/>
      <c r="C70" s="601"/>
      <c r="D70" s="601"/>
      <c r="E70" s="601"/>
      <c r="F70" s="601"/>
      <c r="G70" s="601"/>
      <c r="H70" s="601"/>
      <c r="I70" s="601"/>
      <c r="J70" s="601"/>
      <c r="K70" s="601"/>
      <c r="L70" s="601"/>
      <c r="M70" s="601"/>
      <c r="N70" s="601"/>
      <c r="O70" s="601"/>
      <c r="P70" s="601"/>
      <c r="Q70" s="601"/>
      <c r="R70" s="601"/>
      <c r="S70" s="724"/>
      <c r="T70" s="724"/>
      <c r="U70" s="724"/>
      <c r="V70" s="724"/>
      <c r="W70" s="601"/>
      <c r="X70" s="601"/>
      <c r="Y70" s="724"/>
      <c r="Z70" s="724"/>
      <c r="AA70" s="601"/>
      <c r="AB70" s="601"/>
      <c r="AC70" s="601"/>
      <c r="AD70" s="724"/>
      <c r="AE70" s="724"/>
      <c r="AF70" s="724"/>
      <c r="AG70" s="724"/>
      <c r="AH70" s="724"/>
      <c r="AI70" s="724"/>
      <c r="AJ70" s="724"/>
      <c r="AK70" s="724"/>
      <c r="AL70" s="724"/>
      <c r="AM70" s="724"/>
      <c r="AN70" s="724"/>
      <c r="AO70" s="724"/>
      <c r="AP70" s="724"/>
      <c r="AQ70" s="724"/>
      <c r="AR70" s="724"/>
      <c r="AS70" s="724"/>
      <c r="AT70" s="724"/>
      <c r="AU70" s="724"/>
      <c r="AV70" s="724"/>
      <c r="AW70" s="724"/>
      <c r="AX70" s="724"/>
      <c r="AY70" s="598"/>
      <c r="AZ70" s="598"/>
      <c r="BA70" s="604"/>
      <c r="BB70" s="723"/>
      <c r="BC70" s="571"/>
      <c r="BD70" s="572"/>
      <c r="BE70" s="710"/>
      <c r="BF70" s="710"/>
      <c r="BG70" s="710"/>
      <c r="BH70" s="710"/>
      <c r="BI70" s="710"/>
      <c r="BJ70" s="710"/>
      <c r="BK70" s="710"/>
      <c r="BL70" s="710"/>
      <c r="BM70" s="710"/>
      <c r="BN70" s="710"/>
      <c r="BO70" s="710"/>
      <c r="BP70" s="710"/>
      <c r="BQ70" s="710"/>
      <c r="BR70" s="710"/>
      <c r="BS70" s="710"/>
      <c r="BT70" s="710"/>
    </row>
    <row r="71" spans="1:72" s="709" customFormat="1" ht="15.75">
      <c r="A71" s="556"/>
      <c r="B71" s="598"/>
      <c r="C71" s="601"/>
      <c r="D71" s="601"/>
      <c r="E71" s="601"/>
      <c r="F71" s="601"/>
      <c r="G71" s="601"/>
      <c r="H71" s="601"/>
      <c r="I71" s="601"/>
      <c r="J71" s="601"/>
      <c r="K71" s="601"/>
      <c r="L71" s="601"/>
      <c r="M71" s="601"/>
      <c r="N71" s="601"/>
      <c r="O71" s="601"/>
      <c r="P71" s="601"/>
      <c r="Q71" s="601"/>
      <c r="R71" s="601"/>
      <c r="S71" s="724"/>
      <c r="T71" s="724"/>
      <c r="U71" s="724"/>
      <c r="V71" s="724"/>
      <c r="W71" s="601"/>
      <c r="X71" s="601"/>
      <c r="Y71" s="724"/>
      <c r="Z71" s="724"/>
      <c r="AA71" s="601"/>
      <c r="AB71" s="601"/>
      <c r="AC71" s="601"/>
      <c r="AD71" s="724"/>
      <c r="AE71" s="724"/>
      <c r="AF71" s="724"/>
      <c r="AG71" s="724"/>
      <c r="AH71" s="724"/>
      <c r="AI71" s="724"/>
      <c r="AJ71" s="724"/>
      <c r="AK71" s="724"/>
      <c r="AL71" s="724"/>
      <c r="AM71" s="724"/>
      <c r="AN71" s="724"/>
      <c r="AO71" s="724"/>
      <c r="AP71" s="724"/>
      <c r="AQ71" s="724"/>
      <c r="AR71" s="724"/>
      <c r="AS71" s="724"/>
      <c r="AT71" s="724"/>
      <c r="AU71" s="724"/>
      <c r="AV71" s="724"/>
      <c r="AW71" s="724"/>
      <c r="AX71" s="724"/>
      <c r="AY71" s="598"/>
      <c r="AZ71" s="598"/>
      <c r="BA71" s="604"/>
      <c r="BB71" s="723"/>
      <c r="BC71" s="571"/>
      <c r="BD71" s="572"/>
      <c r="BE71" s="710" t="s">
        <v>438</v>
      </c>
      <c r="BF71" s="710"/>
      <c r="BG71" s="710"/>
      <c r="BH71" s="710"/>
      <c r="BI71" s="710"/>
      <c r="BJ71" s="710"/>
      <c r="BK71" s="710"/>
      <c r="BL71" s="710"/>
      <c r="BM71" s="710"/>
      <c r="BN71" s="710"/>
      <c r="BO71" s="710"/>
      <c r="BP71" s="710"/>
      <c r="BQ71" s="710"/>
      <c r="BR71" s="710"/>
      <c r="BS71" s="710"/>
      <c r="BT71" s="710"/>
    </row>
    <row r="72" spans="1:72" s="709" customFormat="1" ht="15.75">
      <c r="A72" s="556"/>
      <c r="B72" s="598"/>
      <c r="C72" s="601"/>
      <c r="D72" s="601"/>
      <c r="E72" s="601"/>
      <c r="F72" s="601"/>
      <c r="G72" s="601"/>
      <c r="H72" s="601"/>
      <c r="I72" s="601"/>
      <c r="J72" s="601"/>
      <c r="K72" s="601"/>
      <c r="L72" s="601"/>
      <c r="M72" s="601"/>
      <c r="N72" s="601"/>
      <c r="O72" s="601"/>
      <c r="P72" s="601"/>
      <c r="Q72" s="601"/>
      <c r="R72" s="601"/>
      <c r="S72" s="724"/>
      <c r="T72" s="724"/>
      <c r="U72" s="724"/>
      <c r="V72" s="724"/>
      <c r="W72" s="601"/>
      <c r="X72" s="601"/>
      <c r="Y72" s="724"/>
      <c r="Z72" s="724"/>
      <c r="AA72" s="601"/>
      <c r="AB72" s="601"/>
      <c r="AC72" s="601"/>
      <c r="AD72" s="724"/>
      <c r="AE72" s="724"/>
      <c r="AF72" s="724"/>
      <c r="AG72" s="724"/>
      <c r="AH72" s="724"/>
      <c r="AI72" s="724"/>
      <c r="AJ72" s="724"/>
      <c r="AK72" s="724"/>
      <c r="AL72" s="724"/>
      <c r="AM72" s="724"/>
      <c r="AN72" s="724"/>
      <c r="AO72" s="724"/>
      <c r="AP72" s="724"/>
      <c r="AQ72" s="724"/>
      <c r="AR72" s="724"/>
      <c r="AS72" s="724"/>
      <c r="AT72" s="724"/>
      <c r="AU72" s="724"/>
      <c r="AV72" s="724"/>
      <c r="AW72" s="724"/>
      <c r="AX72" s="724"/>
      <c r="AY72" s="598"/>
      <c r="AZ72" s="598"/>
      <c r="BA72" s="604"/>
      <c r="BB72" s="723"/>
      <c r="BC72" s="571"/>
      <c r="BD72" s="572"/>
      <c r="BE72" s="710"/>
      <c r="BF72" s="710" t="s">
        <v>439</v>
      </c>
      <c r="BG72" s="710"/>
      <c r="BH72" s="710"/>
      <c r="BI72" s="710"/>
      <c r="BJ72" s="710"/>
      <c r="BK72" s="710"/>
      <c r="BL72" s="710"/>
      <c r="BM72" s="710"/>
      <c r="BN72" s="710"/>
      <c r="BO72" s="710"/>
      <c r="BP72" s="710"/>
      <c r="BQ72" s="710"/>
      <c r="BR72" s="710"/>
      <c r="BS72" s="710"/>
      <c r="BT72" s="710"/>
    </row>
    <row r="73" spans="1:72" s="709" customFormat="1" ht="15.75">
      <c r="A73" s="556"/>
      <c r="B73" s="598"/>
      <c r="C73" s="601"/>
      <c r="D73" s="601"/>
      <c r="E73" s="601"/>
      <c r="F73" s="601"/>
      <c r="G73" s="601"/>
      <c r="H73" s="601"/>
      <c r="I73" s="601"/>
      <c r="J73" s="601"/>
      <c r="K73" s="601"/>
      <c r="L73" s="601"/>
      <c r="M73" s="601"/>
      <c r="N73" s="601"/>
      <c r="O73" s="601"/>
      <c r="P73" s="601"/>
      <c r="Q73" s="601"/>
      <c r="R73" s="601"/>
      <c r="S73" s="724"/>
      <c r="T73" s="724"/>
      <c r="U73" s="724"/>
      <c r="V73" s="724"/>
      <c r="W73" s="601"/>
      <c r="X73" s="601"/>
      <c r="Y73" s="724"/>
      <c r="Z73" s="724"/>
      <c r="AA73" s="601"/>
      <c r="AB73" s="601"/>
      <c r="AC73" s="601"/>
      <c r="AD73" s="724"/>
      <c r="AE73" s="724"/>
      <c r="AF73" s="724"/>
      <c r="AG73" s="724"/>
      <c r="AH73" s="724"/>
      <c r="AI73" s="724"/>
      <c r="AJ73" s="724"/>
      <c r="AK73" s="724"/>
      <c r="AL73" s="724"/>
      <c r="AM73" s="724"/>
      <c r="AN73" s="724"/>
      <c r="AO73" s="724"/>
      <c r="AP73" s="724"/>
      <c r="AQ73" s="724"/>
      <c r="AR73" s="724"/>
      <c r="AS73" s="724"/>
      <c r="AT73" s="724"/>
      <c r="AU73" s="724"/>
      <c r="AV73" s="724"/>
      <c r="AW73" s="724"/>
      <c r="AX73" s="724"/>
      <c r="AY73" s="598"/>
      <c r="AZ73" s="598"/>
      <c r="BA73" s="604"/>
      <c r="BB73" s="723"/>
      <c r="BC73" s="571"/>
      <c r="BD73" s="572"/>
      <c r="BE73" s="710"/>
      <c r="BF73" s="710" t="s">
        <v>440</v>
      </c>
      <c r="BG73" s="710"/>
      <c r="BH73" s="710"/>
      <c r="BI73" s="710"/>
      <c r="BJ73" s="710"/>
      <c r="BK73" s="710"/>
      <c r="BL73" s="710"/>
      <c r="BM73" s="710"/>
      <c r="BN73" s="710"/>
      <c r="BO73" s="710"/>
      <c r="BP73" s="710"/>
      <c r="BQ73" s="710"/>
      <c r="BR73" s="710"/>
      <c r="BS73" s="710"/>
      <c r="BT73" s="710"/>
    </row>
    <row r="74" spans="1:72" s="709" customFormat="1" ht="15.75">
      <c r="A74" s="556"/>
      <c r="B74" s="598"/>
      <c r="C74" s="601"/>
      <c r="D74" s="601"/>
      <c r="E74" s="601"/>
      <c r="F74" s="601"/>
      <c r="G74" s="601"/>
      <c r="H74" s="601"/>
      <c r="I74" s="601"/>
      <c r="J74" s="601"/>
      <c r="K74" s="601"/>
      <c r="L74" s="601"/>
      <c r="M74" s="601"/>
      <c r="N74" s="601"/>
      <c r="O74" s="601"/>
      <c r="P74" s="601"/>
      <c r="Q74" s="601"/>
      <c r="R74" s="601"/>
      <c r="S74" s="724"/>
      <c r="T74" s="724"/>
      <c r="U74" s="724"/>
      <c r="V74" s="724"/>
      <c r="W74" s="601"/>
      <c r="X74" s="601"/>
      <c r="Y74" s="724"/>
      <c r="Z74" s="724"/>
      <c r="AA74" s="601"/>
      <c r="AB74" s="601"/>
      <c r="AC74" s="601"/>
      <c r="AD74" s="724"/>
      <c r="AE74" s="724"/>
      <c r="AF74" s="724"/>
      <c r="AG74" s="724"/>
      <c r="AH74" s="724"/>
      <c r="AI74" s="724"/>
      <c r="AJ74" s="724"/>
      <c r="AK74" s="724"/>
      <c r="AL74" s="724"/>
      <c r="AM74" s="724"/>
      <c r="AN74" s="724"/>
      <c r="AO74" s="724"/>
      <c r="AP74" s="724"/>
      <c r="AQ74" s="724"/>
      <c r="AR74" s="724"/>
      <c r="AS74" s="724"/>
      <c r="AT74" s="724"/>
      <c r="AU74" s="724"/>
      <c r="AV74" s="724"/>
      <c r="AW74" s="724"/>
      <c r="AX74" s="724"/>
      <c r="AY74" s="598"/>
      <c r="AZ74" s="598"/>
      <c r="BA74" s="604"/>
      <c r="BB74" s="723"/>
      <c r="BC74" s="571"/>
      <c r="BD74" s="572"/>
      <c r="BE74" s="710"/>
      <c r="BF74" s="710" t="s">
        <v>441</v>
      </c>
      <c r="BG74" s="710"/>
      <c r="BH74" s="710"/>
      <c r="BI74" s="710"/>
      <c r="BJ74" s="710"/>
      <c r="BK74" s="710"/>
      <c r="BL74" s="710"/>
      <c r="BM74" s="710"/>
      <c r="BN74" s="710"/>
      <c r="BO74" s="710"/>
      <c r="BP74" s="710"/>
      <c r="BQ74" s="710"/>
      <c r="BR74" s="710"/>
      <c r="BS74" s="710"/>
      <c r="BT74" s="710"/>
    </row>
    <row r="75" spans="1:72" s="709" customFormat="1" ht="15.75">
      <c r="A75" s="556"/>
      <c r="B75" s="598"/>
      <c r="C75" s="601"/>
      <c r="D75" s="601"/>
      <c r="E75" s="601"/>
      <c r="F75" s="601"/>
      <c r="G75" s="601"/>
      <c r="H75" s="601"/>
      <c r="I75" s="601"/>
      <c r="J75" s="601"/>
      <c r="K75" s="601"/>
      <c r="L75" s="601"/>
      <c r="M75" s="601"/>
      <c r="N75" s="601"/>
      <c r="O75" s="601"/>
      <c r="P75" s="601"/>
      <c r="Q75" s="601"/>
      <c r="R75" s="601"/>
      <c r="S75" s="724"/>
      <c r="T75" s="724"/>
      <c r="U75" s="724"/>
      <c r="V75" s="724"/>
      <c r="W75" s="601"/>
      <c r="X75" s="601"/>
      <c r="Y75" s="724"/>
      <c r="Z75" s="724"/>
      <c r="AA75" s="601"/>
      <c r="AB75" s="601"/>
      <c r="AC75" s="601"/>
      <c r="AD75" s="724"/>
      <c r="AE75" s="724"/>
      <c r="AF75" s="724"/>
      <c r="AG75" s="724"/>
      <c r="AH75" s="724"/>
      <c r="AI75" s="724"/>
      <c r="AJ75" s="724"/>
      <c r="AK75" s="724"/>
      <c r="AL75" s="724"/>
      <c r="AM75" s="724"/>
      <c r="AN75" s="724"/>
      <c r="AO75" s="724"/>
      <c r="AP75" s="724"/>
      <c r="AQ75" s="724"/>
      <c r="AR75" s="724"/>
      <c r="AS75" s="724"/>
      <c r="AT75" s="724"/>
      <c r="AU75" s="724"/>
      <c r="AV75" s="724"/>
      <c r="AW75" s="724"/>
      <c r="AX75" s="724"/>
      <c r="AY75" s="598"/>
      <c r="AZ75" s="598"/>
      <c r="BA75" s="604"/>
      <c r="BB75" s="723"/>
      <c r="BC75" s="571"/>
      <c r="BD75" s="572"/>
      <c r="BE75" s="710"/>
      <c r="BF75" s="710" t="s">
        <v>442</v>
      </c>
      <c r="BG75" s="710"/>
      <c r="BH75" s="710"/>
      <c r="BI75" s="710"/>
      <c r="BJ75" s="710"/>
      <c r="BK75" s="710"/>
      <c r="BL75" s="710"/>
      <c r="BM75" s="710"/>
      <c r="BN75" s="710"/>
      <c r="BO75" s="710"/>
      <c r="BP75" s="710"/>
      <c r="BQ75" s="710"/>
      <c r="BR75" s="710"/>
      <c r="BS75" s="710"/>
      <c r="BT75" s="710"/>
    </row>
    <row r="76" spans="1:72" s="709" customFormat="1" ht="15.75">
      <c r="A76" s="556"/>
      <c r="B76" s="598"/>
      <c r="C76" s="601"/>
      <c r="D76" s="601"/>
      <c r="E76" s="601"/>
      <c r="F76" s="601"/>
      <c r="G76" s="601"/>
      <c r="H76" s="601"/>
      <c r="I76" s="601"/>
      <c r="J76" s="601"/>
      <c r="K76" s="601"/>
      <c r="L76" s="601"/>
      <c r="M76" s="601"/>
      <c r="N76" s="601"/>
      <c r="O76" s="601"/>
      <c r="P76" s="601"/>
      <c r="Q76" s="601"/>
      <c r="R76" s="601"/>
      <c r="S76" s="724"/>
      <c r="T76" s="724"/>
      <c r="U76" s="724"/>
      <c r="V76" s="724"/>
      <c r="W76" s="601"/>
      <c r="X76" s="601"/>
      <c r="Y76" s="724"/>
      <c r="Z76" s="724"/>
      <c r="AA76" s="601"/>
      <c r="AB76" s="601"/>
      <c r="AC76" s="601"/>
      <c r="AD76" s="724"/>
      <c r="AE76" s="724"/>
      <c r="AF76" s="724"/>
      <c r="AG76" s="724"/>
      <c r="AH76" s="724"/>
      <c r="AI76" s="724"/>
      <c r="AJ76" s="724"/>
      <c r="AK76" s="724"/>
      <c r="AL76" s="724"/>
      <c r="AM76" s="724"/>
      <c r="AN76" s="724"/>
      <c r="AO76" s="724"/>
      <c r="AP76" s="724"/>
      <c r="AQ76" s="724"/>
      <c r="AR76" s="724"/>
      <c r="AS76" s="724"/>
      <c r="AT76" s="724"/>
      <c r="AU76" s="724"/>
      <c r="AV76" s="724"/>
      <c r="AW76" s="724"/>
      <c r="AX76" s="724"/>
      <c r="AY76" s="598"/>
      <c r="AZ76" s="598"/>
      <c r="BA76" s="604"/>
      <c r="BB76" s="723"/>
      <c r="BC76" s="571"/>
      <c r="BD76" s="572"/>
      <c r="BE76" s="710"/>
      <c r="BF76" s="710" t="s">
        <v>443</v>
      </c>
      <c r="BG76" s="710"/>
      <c r="BH76" s="710"/>
      <c r="BI76" s="710"/>
      <c r="BJ76" s="710"/>
      <c r="BK76" s="710"/>
      <c r="BL76" s="710"/>
      <c r="BM76" s="710"/>
      <c r="BN76" s="710"/>
      <c r="BO76" s="710"/>
      <c r="BP76" s="710"/>
      <c r="BQ76" s="710"/>
      <c r="BR76" s="710"/>
      <c r="BS76" s="710"/>
      <c r="BT76" s="710"/>
    </row>
    <row r="77" spans="1:72" s="709" customFormat="1" ht="15.75">
      <c r="A77" s="556"/>
      <c r="B77" s="598"/>
      <c r="C77" s="601"/>
      <c r="D77" s="601"/>
      <c r="E77" s="601"/>
      <c r="F77" s="601"/>
      <c r="G77" s="601"/>
      <c r="H77" s="601"/>
      <c r="I77" s="601"/>
      <c r="J77" s="601"/>
      <c r="K77" s="601"/>
      <c r="L77" s="601"/>
      <c r="M77" s="601"/>
      <c r="N77" s="601"/>
      <c r="O77" s="601"/>
      <c r="P77" s="601"/>
      <c r="Q77" s="601"/>
      <c r="R77" s="601"/>
      <c r="S77" s="724"/>
      <c r="T77" s="724"/>
      <c r="U77" s="724"/>
      <c r="V77" s="724"/>
      <c r="W77" s="601"/>
      <c r="X77" s="601"/>
      <c r="Y77" s="724"/>
      <c r="Z77" s="724"/>
      <c r="AA77" s="601"/>
      <c r="AB77" s="601"/>
      <c r="AC77" s="601"/>
      <c r="AD77" s="724"/>
      <c r="AE77" s="724"/>
      <c r="AF77" s="724"/>
      <c r="AG77" s="724"/>
      <c r="AH77" s="724"/>
      <c r="AI77" s="724"/>
      <c r="AJ77" s="724"/>
      <c r="AK77" s="724"/>
      <c r="AL77" s="724"/>
      <c r="AM77" s="724"/>
      <c r="AN77" s="724"/>
      <c r="AO77" s="724"/>
      <c r="AP77" s="724"/>
      <c r="AQ77" s="724"/>
      <c r="AR77" s="724"/>
      <c r="AS77" s="724"/>
      <c r="AT77" s="724"/>
      <c r="AU77" s="724"/>
      <c r="AV77" s="724"/>
      <c r="AW77" s="724"/>
      <c r="AX77" s="724"/>
      <c r="AY77" s="598"/>
      <c r="AZ77" s="598"/>
      <c r="BA77" s="604"/>
      <c r="BB77" s="723"/>
      <c r="BC77" s="571"/>
      <c r="BD77" s="572"/>
      <c r="BE77" s="710"/>
      <c r="BF77" s="710" t="s">
        <v>444</v>
      </c>
      <c r="BG77" s="710"/>
      <c r="BH77" s="710"/>
      <c r="BI77" s="710"/>
      <c r="BJ77" s="710"/>
      <c r="BK77" s="710"/>
      <c r="BL77" s="710"/>
      <c r="BM77" s="710"/>
      <c r="BN77" s="710"/>
      <c r="BO77" s="710"/>
      <c r="BP77" s="710"/>
      <c r="BQ77" s="710"/>
      <c r="BR77" s="710"/>
      <c r="BS77" s="710"/>
      <c r="BT77" s="710"/>
    </row>
    <row r="78" spans="1:72" s="709" customFormat="1" ht="15.75">
      <c r="A78" s="556"/>
      <c r="B78" s="598"/>
      <c r="C78" s="601"/>
      <c r="D78" s="601"/>
      <c r="E78" s="601"/>
      <c r="F78" s="601"/>
      <c r="G78" s="601"/>
      <c r="H78" s="601"/>
      <c r="I78" s="601"/>
      <c r="J78" s="601"/>
      <c r="K78" s="601"/>
      <c r="L78" s="601"/>
      <c r="M78" s="601"/>
      <c r="N78" s="601"/>
      <c r="O78" s="601"/>
      <c r="P78" s="601"/>
      <c r="Q78" s="601"/>
      <c r="R78" s="601"/>
      <c r="S78" s="724"/>
      <c r="T78" s="724"/>
      <c r="U78" s="724"/>
      <c r="V78" s="724"/>
      <c r="W78" s="601"/>
      <c r="X78" s="601"/>
      <c r="Y78" s="724"/>
      <c r="Z78" s="724"/>
      <c r="AA78" s="601"/>
      <c r="AB78" s="601"/>
      <c r="AC78" s="601"/>
      <c r="AD78" s="724"/>
      <c r="AE78" s="724"/>
      <c r="AF78" s="724"/>
      <c r="AG78" s="724"/>
      <c r="AH78" s="724"/>
      <c r="AI78" s="724"/>
      <c r="AJ78" s="724"/>
      <c r="AK78" s="724"/>
      <c r="AL78" s="724"/>
      <c r="AM78" s="724"/>
      <c r="AN78" s="724"/>
      <c r="AO78" s="724"/>
      <c r="AP78" s="724"/>
      <c r="AQ78" s="724"/>
      <c r="AR78" s="724"/>
      <c r="AS78" s="724"/>
      <c r="AT78" s="724"/>
      <c r="AU78" s="724"/>
      <c r="AV78" s="724"/>
      <c r="AW78" s="724"/>
      <c r="AX78" s="724"/>
      <c r="AY78" s="598"/>
      <c r="AZ78" s="598"/>
      <c r="BA78" s="604"/>
      <c r="BB78" s="723"/>
      <c r="BC78" s="571"/>
      <c r="BD78" s="572"/>
      <c r="BE78" s="710"/>
      <c r="BF78" s="710"/>
      <c r="BG78" s="710" t="s">
        <v>445</v>
      </c>
      <c r="BH78" s="710"/>
      <c r="BI78" s="710"/>
      <c r="BJ78" s="710"/>
      <c r="BK78" s="710"/>
      <c r="BL78" s="710"/>
      <c r="BM78" s="710"/>
      <c r="BN78" s="710"/>
      <c r="BO78" s="710"/>
      <c r="BP78" s="710"/>
      <c r="BQ78" s="710"/>
      <c r="BR78" s="710"/>
      <c r="BS78" s="710"/>
      <c r="BT78" s="710"/>
    </row>
    <row r="79" spans="1:72" s="709" customFormat="1" ht="15.75">
      <c r="A79" s="556"/>
      <c r="B79" s="598"/>
      <c r="C79" s="601"/>
      <c r="D79" s="601"/>
      <c r="E79" s="601"/>
      <c r="F79" s="601"/>
      <c r="G79" s="601"/>
      <c r="H79" s="601"/>
      <c r="I79" s="601"/>
      <c r="J79" s="601"/>
      <c r="K79" s="601"/>
      <c r="L79" s="601"/>
      <c r="M79" s="601"/>
      <c r="N79" s="601"/>
      <c r="O79" s="601"/>
      <c r="P79" s="601"/>
      <c r="Q79" s="601"/>
      <c r="R79" s="601"/>
      <c r="S79" s="724"/>
      <c r="T79" s="724"/>
      <c r="U79" s="724"/>
      <c r="V79" s="724"/>
      <c r="W79" s="601"/>
      <c r="X79" s="601"/>
      <c r="Y79" s="724"/>
      <c r="Z79" s="724"/>
      <c r="AA79" s="601"/>
      <c r="AB79" s="601"/>
      <c r="AC79" s="601"/>
      <c r="AD79" s="724"/>
      <c r="AE79" s="724"/>
      <c r="AF79" s="724"/>
      <c r="AG79" s="724"/>
      <c r="AH79" s="724"/>
      <c r="AI79" s="724"/>
      <c r="AJ79" s="724"/>
      <c r="AK79" s="724"/>
      <c r="AL79" s="724"/>
      <c r="AM79" s="724"/>
      <c r="AN79" s="724"/>
      <c r="AO79" s="724"/>
      <c r="AP79" s="724"/>
      <c r="AQ79" s="724"/>
      <c r="AR79" s="724"/>
      <c r="AS79" s="724"/>
      <c r="AT79" s="724"/>
      <c r="AU79" s="724"/>
      <c r="AV79" s="724"/>
      <c r="AW79" s="724"/>
      <c r="AX79" s="724"/>
      <c r="AY79" s="598"/>
      <c r="AZ79" s="598"/>
      <c r="BA79" s="604"/>
      <c r="BB79" s="723"/>
      <c r="BC79" s="571"/>
      <c r="BD79" s="572"/>
      <c r="BE79" s="710"/>
      <c r="BF79" s="710"/>
      <c r="BG79" s="710" t="s">
        <v>446</v>
      </c>
      <c r="BH79" s="710"/>
      <c r="BI79" s="710"/>
      <c r="BJ79" s="710"/>
      <c r="BK79" s="710"/>
      <c r="BL79" s="710"/>
      <c r="BM79" s="710"/>
      <c r="BN79" s="710"/>
      <c r="BO79" s="710"/>
      <c r="BP79" s="710"/>
      <c r="BQ79" s="710"/>
      <c r="BR79" s="710"/>
      <c r="BS79" s="710"/>
      <c r="BT79" s="710"/>
    </row>
    <row r="80" spans="1:72" s="709" customFormat="1" ht="15.75">
      <c r="A80" s="556"/>
      <c r="B80" s="598"/>
      <c r="C80" s="601"/>
      <c r="D80" s="601"/>
      <c r="E80" s="601"/>
      <c r="F80" s="601"/>
      <c r="G80" s="601"/>
      <c r="H80" s="601"/>
      <c r="I80" s="601"/>
      <c r="J80" s="601"/>
      <c r="K80" s="601"/>
      <c r="L80" s="601"/>
      <c r="M80" s="601"/>
      <c r="N80" s="601"/>
      <c r="O80" s="601"/>
      <c r="P80" s="601"/>
      <c r="Q80" s="601"/>
      <c r="R80" s="601"/>
      <c r="S80" s="724"/>
      <c r="T80" s="724"/>
      <c r="U80" s="724"/>
      <c r="V80" s="724"/>
      <c r="W80" s="601"/>
      <c r="X80" s="601"/>
      <c r="Y80" s="724"/>
      <c r="Z80" s="724"/>
      <c r="AA80" s="601"/>
      <c r="AB80" s="601"/>
      <c r="AC80" s="601"/>
      <c r="AD80" s="724"/>
      <c r="AE80" s="724"/>
      <c r="AF80" s="724"/>
      <c r="AG80" s="724"/>
      <c r="AH80" s="724"/>
      <c r="AI80" s="724"/>
      <c r="AJ80" s="724"/>
      <c r="AK80" s="724"/>
      <c r="AL80" s="724"/>
      <c r="AM80" s="724"/>
      <c r="AN80" s="724"/>
      <c r="AO80" s="724"/>
      <c r="AP80" s="724"/>
      <c r="AQ80" s="724"/>
      <c r="AR80" s="724"/>
      <c r="AS80" s="724"/>
      <c r="AT80" s="724"/>
      <c r="AU80" s="724"/>
      <c r="AV80" s="724"/>
      <c r="AW80" s="724"/>
      <c r="AX80" s="724"/>
      <c r="AY80" s="598"/>
      <c r="AZ80" s="598"/>
      <c r="BA80" s="604"/>
      <c r="BB80" s="723"/>
      <c r="BC80" s="571"/>
      <c r="BD80" s="572"/>
      <c r="BE80" s="710"/>
      <c r="BF80" s="710"/>
      <c r="BG80" s="710" t="s">
        <v>447</v>
      </c>
      <c r="BH80" s="710"/>
      <c r="BI80" s="710"/>
      <c r="BJ80" s="710"/>
      <c r="BK80" s="710"/>
      <c r="BL80" s="710"/>
      <c r="BM80" s="710"/>
      <c r="BN80" s="710"/>
      <c r="BO80" s="710"/>
      <c r="BP80" s="710"/>
      <c r="BQ80" s="710"/>
      <c r="BR80" s="710"/>
      <c r="BS80" s="710"/>
      <c r="BT80" s="710"/>
    </row>
    <row r="81" spans="1:72" s="709" customFormat="1" ht="15.75">
      <c r="A81" s="556"/>
      <c r="B81" s="598"/>
      <c r="C81" s="601"/>
      <c r="D81" s="601"/>
      <c r="E81" s="601"/>
      <c r="F81" s="601"/>
      <c r="G81" s="601"/>
      <c r="H81" s="601"/>
      <c r="I81" s="601"/>
      <c r="J81" s="601"/>
      <c r="K81" s="601"/>
      <c r="L81" s="601"/>
      <c r="M81" s="601"/>
      <c r="N81" s="601"/>
      <c r="O81" s="601"/>
      <c r="P81" s="601"/>
      <c r="Q81" s="601"/>
      <c r="R81" s="601"/>
      <c r="S81" s="724"/>
      <c r="T81" s="724"/>
      <c r="U81" s="724"/>
      <c r="V81" s="724"/>
      <c r="W81" s="601"/>
      <c r="X81" s="601"/>
      <c r="Y81" s="724"/>
      <c r="Z81" s="724"/>
      <c r="AA81" s="601"/>
      <c r="AB81" s="601"/>
      <c r="AC81" s="601"/>
      <c r="AD81" s="724"/>
      <c r="AE81" s="724"/>
      <c r="AF81" s="724"/>
      <c r="AG81" s="724"/>
      <c r="AH81" s="724"/>
      <c r="AI81" s="724"/>
      <c r="AJ81" s="724"/>
      <c r="AK81" s="724"/>
      <c r="AL81" s="724"/>
      <c r="AM81" s="724"/>
      <c r="AN81" s="724"/>
      <c r="AO81" s="724"/>
      <c r="AP81" s="724"/>
      <c r="AQ81" s="724"/>
      <c r="AR81" s="724"/>
      <c r="AS81" s="724"/>
      <c r="AT81" s="724"/>
      <c r="AU81" s="724"/>
      <c r="AV81" s="724"/>
      <c r="AW81" s="724"/>
      <c r="AX81" s="724"/>
      <c r="AY81" s="598"/>
      <c r="AZ81" s="598"/>
      <c r="BA81" s="604"/>
      <c r="BB81" s="723"/>
      <c r="BC81" s="571"/>
      <c r="BD81" s="572"/>
      <c r="BE81" s="710"/>
      <c r="BF81" s="710"/>
      <c r="BG81" s="710"/>
      <c r="BH81" s="710"/>
      <c r="BI81" s="710"/>
      <c r="BJ81" s="710"/>
      <c r="BK81" s="710"/>
      <c r="BL81" s="710"/>
      <c r="BM81" s="710"/>
      <c r="BN81" s="710"/>
      <c r="BO81" s="710"/>
      <c r="BP81" s="710"/>
      <c r="BQ81" s="710"/>
      <c r="BR81" s="710"/>
      <c r="BS81" s="710"/>
      <c r="BT81" s="710"/>
    </row>
    <row r="82" spans="1:72" s="709" customFormat="1" ht="15.75">
      <c r="A82" s="556"/>
      <c r="B82" s="598"/>
      <c r="C82" s="601"/>
      <c r="D82" s="601"/>
      <c r="E82" s="601"/>
      <c r="F82" s="601"/>
      <c r="G82" s="601"/>
      <c r="H82" s="601"/>
      <c r="I82" s="601"/>
      <c r="J82" s="601"/>
      <c r="K82" s="601"/>
      <c r="L82" s="601"/>
      <c r="M82" s="601"/>
      <c r="N82" s="601"/>
      <c r="O82" s="601"/>
      <c r="P82" s="601"/>
      <c r="Q82" s="601"/>
      <c r="R82" s="601"/>
      <c r="S82" s="724"/>
      <c r="T82" s="724"/>
      <c r="U82" s="724"/>
      <c r="V82" s="724"/>
      <c r="W82" s="601"/>
      <c r="X82" s="601"/>
      <c r="Y82" s="724"/>
      <c r="Z82" s="724"/>
      <c r="AA82" s="601"/>
      <c r="AB82" s="601"/>
      <c r="AC82" s="601"/>
      <c r="AD82" s="724"/>
      <c r="AE82" s="724"/>
      <c r="AF82" s="724"/>
      <c r="AG82" s="724"/>
      <c r="AH82" s="724"/>
      <c r="AI82" s="724"/>
      <c r="AJ82" s="724"/>
      <c r="AK82" s="724"/>
      <c r="AL82" s="724"/>
      <c r="AM82" s="724"/>
      <c r="AN82" s="724"/>
      <c r="AO82" s="724"/>
      <c r="AP82" s="724"/>
      <c r="AQ82" s="724"/>
      <c r="AR82" s="724"/>
      <c r="AS82" s="724"/>
      <c r="AT82" s="724"/>
      <c r="AU82" s="724"/>
      <c r="AV82" s="724"/>
      <c r="AW82" s="724"/>
      <c r="AX82" s="724"/>
      <c r="AY82" s="598"/>
      <c r="AZ82" s="598"/>
      <c r="BA82" s="604"/>
      <c r="BB82" s="723"/>
      <c r="BC82" s="571"/>
      <c r="BD82" s="572"/>
      <c r="BE82" s="710"/>
      <c r="BF82" s="710"/>
      <c r="BG82" s="710" t="s">
        <v>448</v>
      </c>
      <c r="BH82" s="710"/>
      <c r="BI82" s="710"/>
      <c r="BJ82" s="710"/>
      <c r="BK82" s="710"/>
      <c r="BL82" s="710"/>
      <c r="BM82" s="710"/>
      <c r="BN82" s="710"/>
      <c r="BO82" s="710"/>
      <c r="BP82" s="710"/>
      <c r="BQ82" s="710"/>
      <c r="BR82" s="710"/>
      <c r="BS82" s="710"/>
      <c r="BT82" s="710"/>
    </row>
    <row r="83" spans="1:72" s="709" customFormat="1" ht="15.75">
      <c r="A83" s="556"/>
      <c r="B83" s="598"/>
      <c r="C83" s="601"/>
      <c r="D83" s="601"/>
      <c r="E83" s="601"/>
      <c r="F83" s="601"/>
      <c r="G83" s="601"/>
      <c r="H83" s="601"/>
      <c r="I83" s="601"/>
      <c r="J83" s="601"/>
      <c r="K83" s="601"/>
      <c r="L83" s="601"/>
      <c r="M83" s="601"/>
      <c r="N83" s="601"/>
      <c r="O83" s="601"/>
      <c r="P83" s="601"/>
      <c r="Q83" s="601"/>
      <c r="R83" s="601"/>
      <c r="S83" s="724"/>
      <c r="T83" s="724"/>
      <c r="U83" s="724"/>
      <c r="V83" s="724"/>
      <c r="W83" s="601"/>
      <c r="X83" s="601"/>
      <c r="Y83" s="724"/>
      <c r="Z83" s="724"/>
      <c r="AA83" s="601"/>
      <c r="AB83" s="601"/>
      <c r="AC83" s="601"/>
      <c r="AD83" s="724"/>
      <c r="AE83" s="724"/>
      <c r="AF83" s="724"/>
      <c r="AG83" s="724"/>
      <c r="AH83" s="724"/>
      <c r="AI83" s="724"/>
      <c r="AJ83" s="724"/>
      <c r="AK83" s="724"/>
      <c r="AL83" s="724"/>
      <c r="AM83" s="724"/>
      <c r="AN83" s="724"/>
      <c r="AO83" s="724"/>
      <c r="AP83" s="724"/>
      <c r="AQ83" s="724"/>
      <c r="AR83" s="724"/>
      <c r="AS83" s="724"/>
      <c r="AT83" s="724"/>
      <c r="AU83" s="724"/>
      <c r="AV83" s="724"/>
      <c r="AW83" s="724"/>
      <c r="AX83" s="724"/>
      <c r="AY83" s="598"/>
      <c r="AZ83" s="598"/>
      <c r="BA83" s="604"/>
      <c r="BB83" s="723"/>
      <c r="BC83" s="571"/>
      <c r="BD83" s="572"/>
      <c r="BE83" s="710"/>
      <c r="BF83" s="710"/>
      <c r="BG83" s="710" t="s">
        <v>449</v>
      </c>
      <c r="BH83" s="710"/>
      <c r="BI83" s="710"/>
      <c r="BJ83" s="710"/>
      <c r="BK83" s="710"/>
      <c r="BL83" s="710"/>
      <c r="BM83" s="710"/>
      <c r="BN83" s="710"/>
      <c r="BO83" s="710"/>
      <c r="BP83" s="710"/>
      <c r="BQ83" s="710"/>
      <c r="BR83" s="710"/>
      <c r="BS83" s="710"/>
      <c r="BT83" s="710"/>
    </row>
    <row r="84" spans="1:72" s="709" customFormat="1" ht="15.75">
      <c r="A84" s="556"/>
      <c r="B84" s="598"/>
      <c r="C84" s="601"/>
      <c r="D84" s="601"/>
      <c r="E84" s="601"/>
      <c r="F84" s="601"/>
      <c r="G84" s="601"/>
      <c r="H84" s="601"/>
      <c r="I84" s="601"/>
      <c r="J84" s="601"/>
      <c r="K84" s="601"/>
      <c r="L84" s="601"/>
      <c r="M84" s="601"/>
      <c r="N84" s="601"/>
      <c r="O84" s="601"/>
      <c r="P84" s="601"/>
      <c r="Q84" s="601"/>
      <c r="R84" s="601"/>
      <c r="S84" s="724"/>
      <c r="T84" s="724"/>
      <c r="U84" s="724"/>
      <c r="V84" s="724"/>
      <c r="W84" s="601"/>
      <c r="X84" s="601"/>
      <c r="Y84" s="724"/>
      <c r="Z84" s="724"/>
      <c r="AA84" s="601"/>
      <c r="AB84" s="601"/>
      <c r="AC84" s="601"/>
      <c r="AD84" s="724"/>
      <c r="AE84" s="724"/>
      <c r="AF84" s="724"/>
      <c r="AG84" s="724"/>
      <c r="AH84" s="724"/>
      <c r="AI84" s="724"/>
      <c r="AJ84" s="724"/>
      <c r="AK84" s="724"/>
      <c r="AL84" s="724"/>
      <c r="AM84" s="724"/>
      <c r="AN84" s="724"/>
      <c r="AO84" s="724"/>
      <c r="AP84" s="724"/>
      <c r="AQ84" s="724"/>
      <c r="AR84" s="724"/>
      <c r="AS84" s="724"/>
      <c r="AT84" s="724"/>
      <c r="AU84" s="724"/>
      <c r="AV84" s="724"/>
      <c r="AW84" s="724"/>
      <c r="AX84" s="724"/>
      <c r="AY84" s="598"/>
      <c r="AZ84" s="598"/>
      <c r="BA84" s="604"/>
      <c r="BB84" s="723"/>
      <c r="BC84" s="571"/>
      <c r="BD84" s="572"/>
      <c r="BE84" s="710"/>
      <c r="BF84" s="710"/>
      <c r="BG84" s="710"/>
      <c r="BH84" s="710"/>
      <c r="BI84" s="710"/>
      <c r="BJ84" s="710"/>
      <c r="BK84" s="710"/>
      <c r="BL84" s="710"/>
      <c r="BM84" s="710"/>
      <c r="BN84" s="710"/>
      <c r="BO84" s="710"/>
      <c r="BP84" s="710"/>
      <c r="BQ84" s="710"/>
      <c r="BR84" s="710"/>
      <c r="BS84" s="710"/>
      <c r="BT84" s="710"/>
    </row>
    <row r="85" spans="1:72" s="709" customFormat="1" ht="15.75">
      <c r="A85" s="556"/>
      <c r="B85" s="598"/>
      <c r="C85" s="601"/>
      <c r="D85" s="601"/>
      <c r="E85" s="601"/>
      <c r="F85" s="601"/>
      <c r="G85" s="601"/>
      <c r="H85" s="601"/>
      <c r="I85" s="601"/>
      <c r="J85" s="601"/>
      <c r="K85" s="601"/>
      <c r="L85" s="601"/>
      <c r="M85" s="601"/>
      <c r="N85" s="601"/>
      <c r="O85" s="601"/>
      <c r="P85" s="601"/>
      <c r="Q85" s="601"/>
      <c r="R85" s="601"/>
      <c r="S85" s="724"/>
      <c r="T85" s="724"/>
      <c r="U85" s="724"/>
      <c r="V85" s="724"/>
      <c r="W85" s="601"/>
      <c r="X85" s="601"/>
      <c r="Y85" s="724"/>
      <c r="Z85" s="724"/>
      <c r="AA85" s="601"/>
      <c r="AB85" s="601"/>
      <c r="AC85" s="601"/>
      <c r="AD85" s="724"/>
      <c r="AE85" s="724"/>
      <c r="AF85" s="724"/>
      <c r="AG85" s="724"/>
      <c r="AH85" s="724"/>
      <c r="AI85" s="724"/>
      <c r="AJ85" s="724"/>
      <c r="AK85" s="724"/>
      <c r="AL85" s="724"/>
      <c r="AM85" s="724"/>
      <c r="AN85" s="724"/>
      <c r="AO85" s="724"/>
      <c r="AP85" s="724"/>
      <c r="AQ85" s="724"/>
      <c r="AR85" s="724"/>
      <c r="AS85" s="724"/>
      <c r="AT85" s="724"/>
      <c r="AU85" s="724"/>
      <c r="AV85" s="724"/>
      <c r="AW85" s="724"/>
      <c r="AX85" s="724"/>
      <c r="AY85" s="598"/>
      <c r="AZ85" s="598"/>
      <c r="BA85" s="604"/>
      <c r="BB85" s="723"/>
      <c r="BC85" s="571"/>
      <c r="BD85" s="572"/>
      <c r="BE85" s="710"/>
      <c r="BF85" s="710" t="s">
        <v>408</v>
      </c>
      <c r="BG85" s="710"/>
      <c r="BH85" s="710"/>
      <c r="BI85" s="710"/>
      <c r="BJ85" s="710"/>
      <c r="BK85" s="710"/>
      <c r="BL85" s="710"/>
      <c r="BM85" s="710"/>
      <c r="BN85" s="710"/>
      <c r="BO85" s="710"/>
      <c r="BP85" s="710"/>
      <c r="BQ85" s="710"/>
      <c r="BR85" s="710"/>
      <c r="BS85" s="710"/>
      <c r="BT85" s="710"/>
    </row>
    <row r="86" spans="1:72" s="709" customFormat="1" ht="15.75">
      <c r="A86" s="556"/>
      <c r="B86" s="598"/>
      <c r="C86" s="601"/>
      <c r="D86" s="601"/>
      <c r="E86" s="601"/>
      <c r="F86" s="601"/>
      <c r="G86" s="601"/>
      <c r="H86" s="601"/>
      <c r="I86" s="601"/>
      <c r="J86" s="601"/>
      <c r="K86" s="601"/>
      <c r="L86" s="601"/>
      <c r="M86" s="601"/>
      <c r="N86" s="601"/>
      <c r="O86" s="601"/>
      <c r="P86" s="601"/>
      <c r="Q86" s="601"/>
      <c r="R86" s="601"/>
      <c r="S86" s="724"/>
      <c r="T86" s="724"/>
      <c r="U86" s="724"/>
      <c r="V86" s="724"/>
      <c r="W86" s="601"/>
      <c r="X86" s="601"/>
      <c r="Y86" s="724"/>
      <c r="Z86" s="724"/>
      <c r="AA86" s="601"/>
      <c r="AB86" s="601"/>
      <c r="AC86" s="601"/>
      <c r="AD86" s="724"/>
      <c r="AE86" s="724"/>
      <c r="AF86" s="724"/>
      <c r="AG86" s="724"/>
      <c r="AH86" s="724"/>
      <c r="AI86" s="724"/>
      <c r="AJ86" s="724"/>
      <c r="AK86" s="724"/>
      <c r="AL86" s="724"/>
      <c r="AM86" s="724"/>
      <c r="AN86" s="724"/>
      <c r="AO86" s="724"/>
      <c r="AP86" s="724"/>
      <c r="AQ86" s="724"/>
      <c r="AR86" s="724"/>
      <c r="AS86" s="724"/>
      <c r="AT86" s="724"/>
      <c r="AU86" s="724"/>
      <c r="AV86" s="724"/>
      <c r="AW86" s="724"/>
      <c r="AX86" s="724"/>
      <c r="AY86" s="598"/>
      <c r="AZ86" s="598"/>
      <c r="BA86" s="604"/>
      <c r="BB86" s="723"/>
      <c r="BC86" s="571"/>
      <c r="BD86" s="572"/>
      <c r="BE86" s="710"/>
      <c r="BF86" s="710" t="s">
        <v>409</v>
      </c>
      <c r="BG86" s="710"/>
      <c r="BH86" s="710"/>
      <c r="BI86" s="710"/>
      <c r="BJ86" s="710"/>
      <c r="BK86" s="710"/>
      <c r="BL86" s="710"/>
      <c r="BM86" s="710"/>
      <c r="BN86" s="710"/>
      <c r="BO86" s="710"/>
      <c r="BP86" s="710"/>
      <c r="BQ86" s="710"/>
      <c r="BR86" s="710"/>
      <c r="BS86" s="710"/>
      <c r="BT86" s="710"/>
    </row>
    <row r="87" spans="1:72" s="709" customFormat="1" ht="15.75">
      <c r="A87" s="556"/>
      <c r="B87" s="598"/>
      <c r="C87" s="601"/>
      <c r="D87" s="601"/>
      <c r="E87" s="601"/>
      <c r="F87" s="601"/>
      <c r="G87" s="601"/>
      <c r="H87" s="601"/>
      <c r="I87" s="601"/>
      <c r="J87" s="601"/>
      <c r="K87" s="601"/>
      <c r="L87" s="601"/>
      <c r="M87" s="601"/>
      <c r="N87" s="601"/>
      <c r="O87" s="601"/>
      <c r="P87" s="601"/>
      <c r="Q87" s="601"/>
      <c r="R87" s="601"/>
      <c r="S87" s="724"/>
      <c r="T87" s="724"/>
      <c r="U87" s="724"/>
      <c r="V87" s="724"/>
      <c r="W87" s="601"/>
      <c r="X87" s="601"/>
      <c r="Y87" s="724"/>
      <c r="Z87" s="724"/>
      <c r="AA87" s="601"/>
      <c r="AB87" s="601"/>
      <c r="AC87" s="601"/>
      <c r="AD87" s="724"/>
      <c r="AE87" s="724"/>
      <c r="AF87" s="724"/>
      <c r="AG87" s="724"/>
      <c r="AH87" s="724"/>
      <c r="AI87" s="724"/>
      <c r="AJ87" s="724"/>
      <c r="AK87" s="724"/>
      <c r="AL87" s="724"/>
      <c r="AM87" s="724"/>
      <c r="AN87" s="724"/>
      <c r="AO87" s="724"/>
      <c r="AP87" s="724"/>
      <c r="AQ87" s="724"/>
      <c r="AR87" s="724"/>
      <c r="AS87" s="724"/>
      <c r="AT87" s="724"/>
      <c r="AU87" s="724"/>
      <c r="AV87" s="724"/>
      <c r="AW87" s="724"/>
      <c r="AX87" s="724"/>
      <c r="AY87" s="598"/>
      <c r="AZ87" s="598"/>
      <c r="BA87" s="604"/>
      <c r="BB87" s="723"/>
      <c r="BC87" s="571"/>
      <c r="BD87" s="572"/>
      <c r="BE87" s="710"/>
      <c r="BF87" s="710" t="s">
        <v>410</v>
      </c>
      <c r="BG87" s="710"/>
      <c r="BH87" s="710"/>
      <c r="BI87" s="710"/>
      <c r="BJ87" s="710"/>
      <c r="BK87" s="710"/>
      <c r="BL87" s="710"/>
      <c r="BM87" s="710"/>
      <c r="BN87" s="710"/>
      <c r="BO87" s="710"/>
      <c r="BP87" s="710"/>
      <c r="BQ87" s="710"/>
      <c r="BR87" s="710"/>
      <c r="BS87" s="710"/>
      <c r="BT87" s="710"/>
    </row>
    <row r="88" spans="1:72" s="709" customFormat="1" ht="15.75">
      <c r="A88" s="556"/>
      <c r="B88" s="598"/>
      <c r="C88" s="601"/>
      <c r="D88" s="601"/>
      <c r="E88" s="601"/>
      <c r="F88" s="601"/>
      <c r="G88" s="601"/>
      <c r="H88" s="601"/>
      <c r="I88" s="601"/>
      <c r="J88" s="601"/>
      <c r="K88" s="601"/>
      <c r="L88" s="601"/>
      <c r="M88" s="601"/>
      <c r="N88" s="601"/>
      <c r="O88" s="601"/>
      <c r="P88" s="601"/>
      <c r="Q88" s="601"/>
      <c r="R88" s="601"/>
      <c r="S88" s="724"/>
      <c r="T88" s="724"/>
      <c r="U88" s="724"/>
      <c r="V88" s="724"/>
      <c r="W88" s="601"/>
      <c r="X88" s="601"/>
      <c r="Y88" s="724"/>
      <c r="Z88" s="724"/>
      <c r="AA88" s="601"/>
      <c r="AB88" s="601"/>
      <c r="AC88" s="601"/>
      <c r="AD88" s="724"/>
      <c r="AE88" s="724"/>
      <c r="AF88" s="724"/>
      <c r="AG88" s="724"/>
      <c r="AH88" s="724"/>
      <c r="AI88" s="724"/>
      <c r="AJ88" s="724"/>
      <c r="AK88" s="724"/>
      <c r="AL88" s="724"/>
      <c r="AM88" s="724"/>
      <c r="AN88" s="724"/>
      <c r="AO88" s="724"/>
      <c r="AP88" s="724"/>
      <c r="AQ88" s="724"/>
      <c r="AR88" s="724"/>
      <c r="AS88" s="724"/>
      <c r="AT88" s="724"/>
      <c r="AU88" s="724"/>
      <c r="AV88" s="724"/>
      <c r="AW88" s="724"/>
      <c r="AX88" s="724"/>
      <c r="AY88" s="598"/>
      <c r="AZ88" s="598"/>
      <c r="BA88" s="604"/>
      <c r="BB88" s="723"/>
      <c r="BC88" s="571"/>
      <c r="BD88" s="572"/>
      <c r="BE88" s="710"/>
      <c r="BF88" s="710" t="s">
        <v>411</v>
      </c>
      <c r="BG88" s="713"/>
      <c r="BH88" s="710"/>
      <c r="BI88" s="710"/>
      <c r="BJ88" s="710"/>
      <c r="BK88" s="710"/>
      <c r="BL88" s="710"/>
      <c r="BM88" s="710"/>
      <c r="BN88" s="710"/>
      <c r="BO88" s="710"/>
      <c r="BP88" s="710"/>
      <c r="BQ88" s="710"/>
      <c r="BR88" s="710"/>
      <c r="BS88" s="710"/>
      <c r="BT88" s="710"/>
    </row>
    <row r="89" spans="1:72" s="709" customFormat="1" ht="15.75">
      <c r="A89" s="556"/>
      <c r="B89" s="598"/>
      <c r="C89" s="601"/>
      <c r="D89" s="601"/>
      <c r="E89" s="601"/>
      <c r="F89" s="601"/>
      <c r="G89" s="601"/>
      <c r="H89" s="601"/>
      <c r="I89" s="601"/>
      <c r="J89" s="601"/>
      <c r="K89" s="601"/>
      <c r="L89" s="601"/>
      <c r="M89" s="601"/>
      <c r="N89" s="601"/>
      <c r="O89" s="601"/>
      <c r="P89" s="601"/>
      <c r="Q89" s="601"/>
      <c r="R89" s="601"/>
      <c r="S89" s="724"/>
      <c r="T89" s="724"/>
      <c r="U89" s="724"/>
      <c r="V89" s="724"/>
      <c r="W89" s="601"/>
      <c r="X89" s="601"/>
      <c r="Y89" s="724"/>
      <c r="Z89" s="724"/>
      <c r="AA89" s="601"/>
      <c r="AB89" s="601"/>
      <c r="AC89" s="601"/>
      <c r="AD89" s="724"/>
      <c r="AE89" s="724"/>
      <c r="AF89" s="724"/>
      <c r="AG89" s="724"/>
      <c r="AH89" s="724"/>
      <c r="AI89" s="724"/>
      <c r="AJ89" s="724"/>
      <c r="AK89" s="724"/>
      <c r="AL89" s="724"/>
      <c r="AM89" s="724"/>
      <c r="AN89" s="724"/>
      <c r="AO89" s="724"/>
      <c r="AP89" s="724"/>
      <c r="AQ89" s="724"/>
      <c r="AR89" s="724"/>
      <c r="AS89" s="724"/>
      <c r="AT89" s="724"/>
      <c r="AU89" s="724"/>
      <c r="AV89" s="724"/>
      <c r="AW89" s="724"/>
      <c r="AX89" s="724"/>
      <c r="AY89" s="598"/>
      <c r="AZ89" s="598"/>
      <c r="BA89" s="604"/>
      <c r="BB89" s="723"/>
      <c r="BC89" s="571"/>
      <c r="BD89" s="572"/>
      <c r="BE89" s="710"/>
      <c r="BF89" s="710"/>
      <c r="BG89" s="713" t="s">
        <v>412</v>
      </c>
      <c r="BH89" s="710"/>
      <c r="BI89" s="710"/>
      <c r="BJ89" s="710"/>
      <c r="BK89" s="710"/>
      <c r="BL89" s="710"/>
      <c r="BM89" s="710"/>
      <c r="BN89" s="710"/>
      <c r="BO89" s="710"/>
      <c r="BP89" s="710"/>
      <c r="BQ89" s="710"/>
      <c r="BR89" s="710"/>
      <c r="BS89" s="710"/>
      <c r="BT89" s="710"/>
    </row>
    <row r="90" spans="1:72" s="709" customFormat="1" ht="15.75">
      <c r="A90" s="556"/>
      <c r="B90" s="598"/>
      <c r="C90" s="601"/>
      <c r="D90" s="601"/>
      <c r="E90" s="601"/>
      <c r="F90" s="601"/>
      <c r="G90" s="601"/>
      <c r="H90" s="601"/>
      <c r="I90" s="601"/>
      <c r="J90" s="601"/>
      <c r="K90" s="601"/>
      <c r="L90" s="601"/>
      <c r="M90" s="601"/>
      <c r="N90" s="601"/>
      <c r="O90" s="601"/>
      <c r="P90" s="601"/>
      <c r="Q90" s="601"/>
      <c r="R90" s="601"/>
      <c r="S90" s="724"/>
      <c r="T90" s="724"/>
      <c r="U90" s="724"/>
      <c r="V90" s="724"/>
      <c r="W90" s="601"/>
      <c r="X90" s="601"/>
      <c r="Y90" s="724"/>
      <c r="Z90" s="724"/>
      <c r="AA90" s="601"/>
      <c r="AB90" s="601"/>
      <c r="AC90" s="601"/>
      <c r="AD90" s="724"/>
      <c r="AE90" s="724"/>
      <c r="AF90" s="724"/>
      <c r="AG90" s="724"/>
      <c r="AH90" s="724"/>
      <c r="AI90" s="724"/>
      <c r="AJ90" s="724"/>
      <c r="AK90" s="724"/>
      <c r="AL90" s="724"/>
      <c r="AM90" s="724"/>
      <c r="AN90" s="724"/>
      <c r="AO90" s="724"/>
      <c r="AP90" s="724"/>
      <c r="AQ90" s="724"/>
      <c r="AR90" s="724"/>
      <c r="AS90" s="724"/>
      <c r="AT90" s="724"/>
      <c r="AU90" s="724"/>
      <c r="AV90" s="724"/>
      <c r="AW90" s="724"/>
      <c r="AX90" s="724"/>
      <c r="AY90" s="598"/>
      <c r="AZ90" s="598"/>
      <c r="BA90" s="604"/>
      <c r="BB90" s="723"/>
      <c r="BC90" s="571"/>
      <c r="BD90" s="572"/>
      <c r="BE90" s="710"/>
      <c r="BF90" s="710" t="s">
        <v>413</v>
      </c>
      <c r="BG90" s="713"/>
      <c r="BH90" s="710"/>
      <c r="BI90" s="710"/>
      <c r="BJ90" s="710"/>
      <c r="BK90" s="710"/>
      <c r="BL90" s="710"/>
      <c r="BM90" s="710"/>
      <c r="BN90" s="710"/>
      <c r="BO90" s="710"/>
      <c r="BP90" s="710"/>
      <c r="BQ90" s="710"/>
      <c r="BR90" s="710"/>
      <c r="BS90" s="710"/>
      <c r="BT90" s="710"/>
    </row>
    <row r="91" spans="1:72" s="709" customFormat="1" ht="15.75">
      <c r="A91" s="556"/>
      <c r="B91" s="598"/>
      <c r="C91" s="601"/>
      <c r="D91" s="601"/>
      <c r="E91" s="601"/>
      <c r="F91" s="601"/>
      <c r="G91" s="601"/>
      <c r="H91" s="601"/>
      <c r="I91" s="601"/>
      <c r="J91" s="601"/>
      <c r="K91" s="601"/>
      <c r="L91" s="601"/>
      <c r="M91" s="601"/>
      <c r="N91" s="601"/>
      <c r="O91" s="601"/>
      <c r="P91" s="601"/>
      <c r="Q91" s="601"/>
      <c r="R91" s="601"/>
      <c r="S91" s="724"/>
      <c r="T91" s="724"/>
      <c r="U91" s="724"/>
      <c r="V91" s="724"/>
      <c r="W91" s="601"/>
      <c r="X91" s="601"/>
      <c r="Y91" s="724"/>
      <c r="Z91" s="724"/>
      <c r="AA91" s="601"/>
      <c r="AB91" s="601"/>
      <c r="AC91" s="601"/>
      <c r="AD91" s="724"/>
      <c r="AE91" s="724"/>
      <c r="AF91" s="724"/>
      <c r="AG91" s="724"/>
      <c r="AH91" s="724"/>
      <c r="AI91" s="724"/>
      <c r="AJ91" s="724"/>
      <c r="AK91" s="724"/>
      <c r="AL91" s="724"/>
      <c r="AM91" s="724"/>
      <c r="AN91" s="724"/>
      <c r="AO91" s="724"/>
      <c r="AP91" s="724"/>
      <c r="AQ91" s="724"/>
      <c r="AR91" s="724"/>
      <c r="AS91" s="724"/>
      <c r="AT91" s="724"/>
      <c r="AU91" s="724"/>
      <c r="AV91" s="724"/>
      <c r="AW91" s="724"/>
      <c r="AX91" s="724"/>
      <c r="AY91" s="598"/>
      <c r="AZ91" s="598"/>
      <c r="BA91" s="604"/>
      <c r="BB91" s="723"/>
      <c r="BC91" s="571"/>
      <c r="BD91" s="572"/>
      <c r="BE91" s="710"/>
      <c r="BF91" s="710"/>
      <c r="BG91" s="713" t="s">
        <v>414</v>
      </c>
      <c r="BH91" s="710"/>
      <c r="BI91" s="710"/>
      <c r="BJ91" s="710"/>
      <c r="BK91" s="710"/>
      <c r="BL91" s="710"/>
      <c r="BM91" s="710"/>
      <c r="BN91" s="710"/>
      <c r="BO91" s="710"/>
      <c r="BP91" s="710"/>
      <c r="BQ91" s="710"/>
      <c r="BR91" s="710"/>
      <c r="BS91" s="710"/>
      <c r="BT91" s="710"/>
    </row>
    <row r="92" spans="1:72" s="709" customFormat="1" ht="15.75">
      <c r="A92" s="556"/>
      <c r="B92" s="598"/>
      <c r="C92" s="601"/>
      <c r="D92" s="601"/>
      <c r="E92" s="601"/>
      <c r="F92" s="601"/>
      <c r="G92" s="601"/>
      <c r="H92" s="601"/>
      <c r="I92" s="601"/>
      <c r="J92" s="601"/>
      <c r="K92" s="601"/>
      <c r="L92" s="601"/>
      <c r="M92" s="601"/>
      <c r="N92" s="601"/>
      <c r="O92" s="601"/>
      <c r="P92" s="601"/>
      <c r="Q92" s="601"/>
      <c r="R92" s="601"/>
      <c r="S92" s="724"/>
      <c r="T92" s="724"/>
      <c r="U92" s="724"/>
      <c r="V92" s="724"/>
      <c r="W92" s="601"/>
      <c r="X92" s="601"/>
      <c r="Y92" s="724"/>
      <c r="Z92" s="724"/>
      <c r="AA92" s="601"/>
      <c r="AB92" s="601"/>
      <c r="AC92" s="601"/>
      <c r="AD92" s="724"/>
      <c r="AE92" s="724"/>
      <c r="AF92" s="724"/>
      <c r="AG92" s="724"/>
      <c r="AH92" s="724"/>
      <c r="AI92" s="724"/>
      <c r="AJ92" s="724"/>
      <c r="AK92" s="724"/>
      <c r="AL92" s="724"/>
      <c r="AM92" s="724"/>
      <c r="AN92" s="724"/>
      <c r="AO92" s="724"/>
      <c r="AP92" s="724"/>
      <c r="AQ92" s="724"/>
      <c r="AR92" s="724"/>
      <c r="AS92" s="724"/>
      <c r="AT92" s="724"/>
      <c r="AU92" s="724"/>
      <c r="AV92" s="724"/>
      <c r="AW92" s="724"/>
      <c r="AX92" s="724"/>
      <c r="AY92" s="598"/>
      <c r="AZ92" s="598"/>
      <c r="BA92" s="604"/>
      <c r="BB92" s="723"/>
      <c r="BC92" s="571"/>
      <c r="BD92" s="572"/>
      <c r="BE92" s="710"/>
      <c r="BF92" s="710"/>
      <c r="BG92" s="713" t="s">
        <v>415</v>
      </c>
      <c r="BH92" s="710"/>
      <c r="BI92" s="710"/>
      <c r="BJ92" s="710"/>
      <c r="BK92" s="710"/>
      <c r="BL92" s="710"/>
      <c r="BM92" s="710"/>
      <c r="BN92" s="710"/>
      <c r="BO92" s="710"/>
      <c r="BP92" s="710"/>
      <c r="BQ92" s="710"/>
      <c r="BR92" s="710"/>
      <c r="BS92" s="710"/>
      <c r="BT92" s="710"/>
    </row>
    <row r="93" spans="1:72" s="709" customFormat="1" ht="15.75">
      <c r="A93" s="556"/>
      <c r="B93" s="598"/>
      <c r="C93" s="601"/>
      <c r="D93" s="601"/>
      <c r="E93" s="601"/>
      <c r="F93" s="601"/>
      <c r="G93" s="601"/>
      <c r="H93" s="601"/>
      <c r="I93" s="601"/>
      <c r="J93" s="601"/>
      <c r="K93" s="601"/>
      <c r="L93" s="601"/>
      <c r="M93" s="601"/>
      <c r="N93" s="601"/>
      <c r="O93" s="601"/>
      <c r="P93" s="601"/>
      <c r="Q93" s="601"/>
      <c r="R93" s="601"/>
      <c r="S93" s="724"/>
      <c r="T93" s="724"/>
      <c r="U93" s="724"/>
      <c r="V93" s="724"/>
      <c r="W93" s="601"/>
      <c r="X93" s="601"/>
      <c r="Y93" s="724"/>
      <c r="Z93" s="724"/>
      <c r="AA93" s="601"/>
      <c r="AB93" s="601"/>
      <c r="AC93" s="601"/>
      <c r="AD93" s="724"/>
      <c r="AE93" s="724"/>
      <c r="AF93" s="724"/>
      <c r="AG93" s="724"/>
      <c r="AH93" s="724"/>
      <c r="AI93" s="724"/>
      <c r="AJ93" s="724"/>
      <c r="AK93" s="724"/>
      <c r="AL93" s="724"/>
      <c r="AM93" s="724"/>
      <c r="AN93" s="724"/>
      <c r="AO93" s="724"/>
      <c r="AP93" s="724"/>
      <c r="AQ93" s="724"/>
      <c r="AR93" s="724"/>
      <c r="AS93" s="724"/>
      <c r="AT93" s="724"/>
      <c r="AU93" s="724"/>
      <c r="AV93" s="724"/>
      <c r="AW93" s="724"/>
      <c r="AX93" s="724"/>
      <c r="AY93" s="598"/>
      <c r="AZ93" s="598"/>
      <c r="BA93" s="604"/>
      <c r="BB93" s="723"/>
      <c r="BC93" s="571"/>
      <c r="BD93" s="572"/>
      <c r="BE93" s="710"/>
      <c r="BF93" s="710"/>
      <c r="BG93" s="713" t="s">
        <v>416</v>
      </c>
      <c r="BH93" s="710"/>
      <c r="BI93" s="710"/>
      <c r="BJ93" s="710"/>
      <c r="BK93" s="710"/>
      <c r="BL93" s="710"/>
      <c r="BM93" s="710"/>
      <c r="BN93" s="710"/>
      <c r="BO93" s="710"/>
      <c r="BP93" s="710"/>
      <c r="BQ93" s="710"/>
      <c r="BR93" s="710"/>
      <c r="BS93" s="710"/>
      <c r="BT93" s="710"/>
    </row>
    <row r="94" spans="1:72" s="709" customFormat="1" ht="15.75">
      <c r="A94" s="556"/>
      <c r="B94" s="598"/>
      <c r="C94" s="601"/>
      <c r="D94" s="601"/>
      <c r="E94" s="601"/>
      <c r="F94" s="601"/>
      <c r="G94" s="601"/>
      <c r="H94" s="601"/>
      <c r="I94" s="601"/>
      <c r="J94" s="601"/>
      <c r="K94" s="601"/>
      <c r="L94" s="601"/>
      <c r="M94" s="601"/>
      <c r="N94" s="601"/>
      <c r="O94" s="601"/>
      <c r="P94" s="601"/>
      <c r="Q94" s="601"/>
      <c r="R94" s="601"/>
      <c r="S94" s="724"/>
      <c r="T94" s="724"/>
      <c r="U94" s="724"/>
      <c r="V94" s="724"/>
      <c r="W94" s="601"/>
      <c r="X94" s="601"/>
      <c r="Y94" s="724"/>
      <c r="Z94" s="724"/>
      <c r="AA94" s="601"/>
      <c r="AB94" s="601"/>
      <c r="AC94" s="601"/>
      <c r="AD94" s="724"/>
      <c r="AE94" s="724"/>
      <c r="AF94" s="724"/>
      <c r="AG94" s="724"/>
      <c r="AH94" s="724"/>
      <c r="AI94" s="724"/>
      <c r="AJ94" s="724"/>
      <c r="AK94" s="724"/>
      <c r="AL94" s="724"/>
      <c r="AM94" s="724"/>
      <c r="AN94" s="724"/>
      <c r="AO94" s="724"/>
      <c r="AP94" s="724"/>
      <c r="AQ94" s="724"/>
      <c r="AR94" s="724"/>
      <c r="AS94" s="724"/>
      <c r="AT94" s="724"/>
      <c r="AU94" s="724"/>
      <c r="AV94" s="724"/>
      <c r="AW94" s="724"/>
      <c r="AX94" s="724"/>
      <c r="AY94" s="598"/>
      <c r="AZ94" s="598"/>
      <c r="BA94" s="604"/>
      <c r="BB94" s="723"/>
      <c r="BC94" s="571"/>
      <c r="BD94" s="572"/>
      <c r="BE94" s="710"/>
      <c r="BF94" s="710"/>
      <c r="BG94" s="710"/>
      <c r="BH94" s="710"/>
      <c r="BJ94" s="710"/>
      <c r="BK94" s="710"/>
      <c r="BL94" s="710"/>
      <c r="BM94" s="710"/>
      <c r="BN94" s="710"/>
      <c r="BO94" s="710"/>
      <c r="BP94" s="710"/>
      <c r="BQ94" s="710"/>
      <c r="BR94" s="710"/>
      <c r="BS94" s="710"/>
      <c r="BT94" s="710"/>
    </row>
    <row r="95" spans="1:72" s="709" customFormat="1" ht="15.75">
      <c r="A95" s="556"/>
      <c r="B95" s="598"/>
      <c r="C95" s="601"/>
      <c r="D95" s="601"/>
      <c r="E95" s="601"/>
      <c r="F95" s="601"/>
      <c r="G95" s="601"/>
      <c r="H95" s="601"/>
      <c r="I95" s="601"/>
      <c r="J95" s="601"/>
      <c r="K95" s="601"/>
      <c r="L95" s="601"/>
      <c r="M95" s="601"/>
      <c r="N95" s="601"/>
      <c r="O95" s="601"/>
      <c r="P95" s="601"/>
      <c r="Q95" s="601"/>
      <c r="R95" s="601"/>
      <c r="S95" s="724"/>
      <c r="T95" s="724"/>
      <c r="U95" s="724"/>
      <c r="V95" s="724"/>
      <c r="W95" s="601"/>
      <c r="X95" s="601"/>
      <c r="Y95" s="724"/>
      <c r="Z95" s="724"/>
      <c r="AA95" s="601"/>
      <c r="AB95" s="601"/>
      <c r="AC95" s="601"/>
      <c r="AD95" s="724"/>
      <c r="AE95" s="724"/>
      <c r="AF95" s="724"/>
      <c r="AG95" s="724"/>
      <c r="AH95" s="724"/>
      <c r="AI95" s="724"/>
      <c r="AJ95" s="724"/>
      <c r="AK95" s="724"/>
      <c r="AL95" s="724"/>
      <c r="AM95" s="724"/>
      <c r="AN95" s="724"/>
      <c r="AO95" s="724"/>
      <c r="AP95" s="724"/>
      <c r="AQ95" s="724"/>
      <c r="AR95" s="724"/>
      <c r="AS95" s="724"/>
      <c r="AT95" s="724"/>
      <c r="AU95" s="724"/>
      <c r="AV95" s="724"/>
      <c r="AW95" s="724"/>
      <c r="AX95" s="724"/>
      <c r="AY95" s="598"/>
      <c r="AZ95" s="598"/>
      <c r="BA95" s="604"/>
      <c r="BB95" s="723"/>
      <c r="BC95" s="571"/>
      <c r="BD95" s="572"/>
      <c r="BE95" s="710"/>
      <c r="BF95" s="710" t="s">
        <v>417</v>
      </c>
      <c r="BG95" s="710"/>
      <c r="BH95" s="710"/>
      <c r="BI95" s="710"/>
      <c r="BJ95" s="710"/>
      <c r="BK95" s="710"/>
      <c r="BL95" s="710"/>
      <c r="BM95" s="710"/>
      <c r="BN95" s="710"/>
      <c r="BO95" s="710"/>
      <c r="BP95" s="710"/>
      <c r="BQ95" s="710"/>
      <c r="BR95" s="710"/>
      <c r="BS95" s="710"/>
      <c r="BT95" s="710"/>
    </row>
    <row r="96" spans="1:72" s="709" customFormat="1" ht="15.75">
      <c r="A96" s="556"/>
      <c r="B96" s="598"/>
      <c r="C96" s="601"/>
      <c r="D96" s="601"/>
      <c r="E96" s="601"/>
      <c r="F96" s="601"/>
      <c r="G96" s="601"/>
      <c r="H96" s="601"/>
      <c r="I96" s="601"/>
      <c r="J96" s="601"/>
      <c r="K96" s="601"/>
      <c r="L96" s="601"/>
      <c r="M96" s="601"/>
      <c r="N96" s="601"/>
      <c r="O96" s="601"/>
      <c r="P96" s="601"/>
      <c r="Q96" s="601"/>
      <c r="R96" s="601"/>
      <c r="S96" s="724"/>
      <c r="T96" s="724"/>
      <c r="U96" s="724"/>
      <c r="V96" s="724"/>
      <c r="W96" s="601"/>
      <c r="X96" s="601"/>
      <c r="Y96" s="724"/>
      <c r="Z96" s="724"/>
      <c r="AA96" s="601"/>
      <c r="AB96" s="601"/>
      <c r="AC96" s="601"/>
      <c r="AD96" s="724"/>
      <c r="AE96" s="724"/>
      <c r="AF96" s="724"/>
      <c r="AG96" s="724"/>
      <c r="AH96" s="724"/>
      <c r="AI96" s="724"/>
      <c r="AJ96" s="724"/>
      <c r="AK96" s="724"/>
      <c r="AL96" s="724"/>
      <c r="AM96" s="724"/>
      <c r="AN96" s="724"/>
      <c r="AO96" s="724"/>
      <c r="AP96" s="724"/>
      <c r="AQ96" s="724"/>
      <c r="AR96" s="724"/>
      <c r="AS96" s="724"/>
      <c r="AT96" s="724"/>
      <c r="AU96" s="724"/>
      <c r="AV96" s="724"/>
      <c r="AW96" s="724"/>
      <c r="AX96" s="724"/>
      <c r="AY96" s="598"/>
      <c r="AZ96" s="598"/>
      <c r="BA96" s="604"/>
      <c r="BB96" s="723"/>
      <c r="BC96" s="571"/>
      <c r="BD96" s="572"/>
      <c r="BE96" s="710"/>
      <c r="BF96" s="710"/>
      <c r="BG96" s="710" t="s">
        <v>418</v>
      </c>
      <c r="BH96" s="710"/>
      <c r="BI96" s="710"/>
      <c r="BJ96" s="710"/>
      <c r="BK96" s="710"/>
      <c r="BL96" s="710"/>
      <c r="BM96" s="710"/>
      <c r="BN96" s="710"/>
      <c r="BO96" s="710"/>
      <c r="BP96" s="710"/>
      <c r="BQ96" s="710"/>
      <c r="BR96" s="710"/>
      <c r="BS96" s="710"/>
      <c r="BT96" s="710"/>
    </row>
    <row r="97" spans="1:72" s="709" customFormat="1" ht="15.75">
      <c r="A97" s="556"/>
      <c r="B97" s="598"/>
      <c r="C97" s="601"/>
      <c r="D97" s="601"/>
      <c r="E97" s="601"/>
      <c r="F97" s="601"/>
      <c r="G97" s="601"/>
      <c r="H97" s="601"/>
      <c r="I97" s="601"/>
      <c r="J97" s="601"/>
      <c r="K97" s="601"/>
      <c r="L97" s="601"/>
      <c r="M97" s="601"/>
      <c r="N97" s="601"/>
      <c r="O97" s="601"/>
      <c r="P97" s="601"/>
      <c r="Q97" s="601"/>
      <c r="R97" s="601"/>
      <c r="S97" s="724"/>
      <c r="T97" s="724"/>
      <c r="U97" s="724"/>
      <c r="V97" s="724"/>
      <c r="W97" s="601"/>
      <c r="X97" s="601"/>
      <c r="Y97" s="724"/>
      <c r="Z97" s="724"/>
      <c r="AA97" s="601"/>
      <c r="AB97" s="601"/>
      <c r="AC97" s="601"/>
      <c r="AD97" s="724"/>
      <c r="AE97" s="724"/>
      <c r="AF97" s="724"/>
      <c r="AG97" s="724"/>
      <c r="AH97" s="724"/>
      <c r="AI97" s="724"/>
      <c r="AJ97" s="724"/>
      <c r="AK97" s="724"/>
      <c r="AL97" s="724"/>
      <c r="AM97" s="724"/>
      <c r="AN97" s="724"/>
      <c r="AO97" s="724"/>
      <c r="AP97" s="724"/>
      <c r="AQ97" s="724"/>
      <c r="AR97" s="724"/>
      <c r="AS97" s="724"/>
      <c r="AT97" s="724"/>
      <c r="AU97" s="724"/>
      <c r="AV97" s="724"/>
      <c r="AW97" s="724"/>
      <c r="AX97" s="724"/>
      <c r="AY97" s="598"/>
      <c r="AZ97" s="598"/>
      <c r="BA97" s="604"/>
      <c r="BB97" s="723"/>
      <c r="BC97" s="571"/>
      <c r="BD97" s="572"/>
      <c r="BE97" s="710"/>
      <c r="BF97" s="710"/>
      <c r="BG97" s="710" t="s">
        <v>419</v>
      </c>
      <c r="BH97" s="710"/>
      <c r="BI97" s="710"/>
      <c r="BJ97" s="710"/>
      <c r="BK97" s="710"/>
      <c r="BL97" s="710"/>
      <c r="BM97" s="710"/>
      <c r="BN97" s="710"/>
      <c r="BO97" s="710"/>
      <c r="BP97" s="710"/>
      <c r="BQ97" s="710"/>
      <c r="BR97" s="710"/>
      <c r="BS97" s="710"/>
      <c r="BT97" s="710"/>
    </row>
    <row r="98" spans="1:72" s="709" customFormat="1" ht="15.75">
      <c r="A98" s="556"/>
      <c r="B98" s="598"/>
      <c r="C98" s="601"/>
      <c r="D98" s="601"/>
      <c r="E98" s="601"/>
      <c r="F98" s="601"/>
      <c r="G98" s="601"/>
      <c r="H98" s="601"/>
      <c r="I98" s="601"/>
      <c r="J98" s="601"/>
      <c r="K98" s="601"/>
      <c r="L98" s="601"/>
      <c r="M98" s="601"/>
      <c r="N98" s="601"/>
      <c r="O98" s="601"/>
      <c r="P98" s="601"/>
      <c r="Q98" s="601"/>
      <c r="R98" s="601"/>
      <c r="S98" s="724"/>
      <c r="T98" s="724"/>
      <c r="U98" s="724"/>
      <c r="V98" s="724"/>
      <c r="W98" s="601"/>
      <c r="X98" s="601"/>
      <c r="Y98" s="724"/>
      <c r="Z98" s="724"/>
      <c r="AA98" s="601"/>
      <c r="AB98" s="601"/>
      <c r="AC98" s="601"/>
      <c r="AD98" s="724"/>
      <c r="AE98" s="724"/>
      <c r="AF98" s="724"/>
      <c r="AG98" s="724"/>
      <c r="AH98" s="724"/>
      <c r="AI98" s="724"/>
      <c r="AJ98" s="724"/>
      <c r="AK98" s="724"/>
      <c r="AL98" s="724"/>
      <c r="AM98" s="724"/>
      <c r="AN98" s="724"/>
      <c r="AO98" s="724"/>
      <c r="AP98" s="724"/>
      <c r="AQ98" s="724"/>
      <c r="AR98" s="724"/>
      <c r="AS98" s="724"/>
      <c r="AT98" s="724"/>
      <c r="AU98" s="724"/>
      <c r="AV98" s="724"/>
      <c r="AW98" s="724"/>
      <c r="AX98" s="724"/>
      <c r="AY98" s="598"/>
      <c r="AZ98" s="598"/>
      <c r="BA98" s="604"/>
      <c r="BB98" s="723"/>
      <c r="BC98" s="571"/>
      <c r="BD98" s="572"/>
      <c r="BE98" s="710"/>
      <c r="BF98" s="710"/>
      <c r="BG98" s="710" t="s">
        <v>420</v>
      </c>
      <c r="BH98" s="710"/>
      <c r="BI98" s="710"/>
      <c r="BJ98" s="710"/>
      <c r="BK98" s="710"/>
      <c r="BL98" s="710"/>
      <c r="BM98" s="710"/>
      <c r="BN98" s="710"/>
      <c r="BO98" s="710"/>
      <c r="BP98" s="710"/>
      <c r="BQ98" s="710"/>
      <c r="BR98" s="710"/>
      <c r="BS98" s="710"/>
      <c r="BT98" s="710"/>
    </row>
    <row r="99" spans="1:72" s="709" customFormat="1" ht="15.75">
      <c r="A99" s="556"/>
      <c r="B99" s="598"/>
      <c r="C99" s="601"/>
      <c r="D99" s="601"/>
      <c r="E99" s="601"/>
      <c r="F99" s="601"/>
      <c r="G99" s="601"/>
      <c r="H99" s="601"/>
      <c r="I99" s="601"/>
      <c r="J99" s="601"/>
      <c r="K99" s="601"/>
      <c r="L99" s="601"/>
      <c r="M99" s="601"/>
      <c r="N99" s="601"/>
      <c r="O99" s="601"/>
      <c r="P99" s="601"/>
      <c r="Q99" s="601"/>
      <c r="R99" s="601"/>
      <c r="S99" s="724"/>
      <c r="T99" s="724"/>
      <c r="U99" s="724"/>
      <c r="V99" s="724"/>
      <c r="W99" s="601"/>
      <c r="X99" s="601"/>
      <c r="Y99" s="724"/>
      <c r="Z99" s="724"/>
      <c r="AA99" s="601"/>
      <c r="AB99" s="601"/>
      <c r="AC99" s="601"/>
      <c r="AD99" s="724"/>
      <c r="AE99" s="724"/>
      <c r="AF99" s="724"/>
      <c r="AG99" s="724"/>
      <c r="AH99" s="724"/>
      <c r="AI99" s="724"/>
      <c r="AJ99" s="724"/>
      <c r="AK99" s="724"/>
      <c r="AL99" s="724"/>
      <c r="AM99" s="724"/>
      <c r="AN99" s="724"/>
      <c r="AO99" s="724"/>
      <c r="AP99" s="724"/>
      <c r="AQ99" s="724"/>
      <c r="AR99" s="724"/>
      <c r="AS99" s="724"/>
      <c r="AT99" s="724"/>
      <c r="AU99" s="724"/>
      <c r="AV99" s="724"/>
      <c r="AW99" s="724"/>
      <c r="AX99" s="724"/>
      <c r="AY99" s="598"/>
      <c r="AZ99" s="598"/>
      <c r="BA99" s="604"/>
      <c r="BB99" s="723"/>
      <c r="BC99" s="571"/>
      <c r="BD99" s="572"/>
      <c r="BE99" s="710"/>
      <c r="BF99" s="710"/>
      <c r="BG99" s="710" t="s">
        <v>421</v>
      </c>
      <c r="BH99" s="710"/>
      <c r="BI99" s="710"/>
      <c r="BJ99" s="710"/>
      <c r="BK99" s="710"/>
      <c r="BL99" s="710"/>
      <c r="BM99" s="710"/>
      <c r="BN99" s="710"/>
      <c r="BO99" s="710"/>
      <c r="BP99" s="710"/>
      <c r="BQ99" s="710"/>
      <c r="BR99" s="710"/>
      <c r="BS99" s="710"/>
      <c r="BT99" s="710"/>
    </row>
    <row r="100" spans="1:72" s="709" customFormat="1" ht="15.75">
      <c r="A100" s="556"/>
      <c r="B100" s="598"/>
      <c r="C100" s="601"/>
      <c r="D100" s="601"/>
      <c r="E100" s="601"/>
      <c r="F100" s="601"/>
      <c r="G100" s="601"/>
      <c r="H100" s="601"/>
      <c r="I100" s="601"/>
      <c r="J100" s="601"/>
      <c r="K100" s="601"/>
      <c r="L100" s="601"/>
      <c r="M100" s="601"/>
      <c r="N100" s="601"/>
      <c r="O100" s="601"/>
      <c r="P100" s="601"/>
      <c r="Q100" s="601"/>
      <c r="R100" s="601"/>
      <c r="S100" s="724"/>
      <c r="T100" s="724"/>
      <c r="U100" s="724"/>
      <c r="V100" s="724"/>
      <c r="W100" s="601"/>
      <c r="X100" s="601"/>
      <c r="Y100" s="724"/>
      <c r="Z100" s="724"/>
      <c r="AA100" s="601"/>
      <c r="AB100" s="601"/>
      <c r="AC100" s="601"/>
      <c r="AD100" s="724"/>
      <c r="AE100" s="724"/>
      <c r="AF100" s="724"/>
      <c r="AG100" s="724"/>
      <c r="AH100" s="724"/>
      <c r="AI100" s="724"/>
      <c r="AJ100" s="724"/>
      <c r="AK100" s="724"/>
      <c r="AL100" s="724"/>
      <c r="AM100" s="724"/>
      <c r="AN100" s="724"/>
      <c r="AO100" s="724"/>
      <c r="AP100" s="724"/>
      <c r="AQ100" s="724"/>
      <c r="AR100" s="724"/>
      <c r="AS100" s="724"/>
      <c r="AT100" s="724"/>
      <c r="AU100" s="724"/>
      <c r="AV100" s="724"/>
      <c r="AW100" s="724"/>
      <c r="AX100" s="724"/>
      <c r="AY100" s="598"/>
      <c r="AZ100" s="598"/>
      <c r="BA100" s="604"/>
      <c r="BB100" s="723"/>
      <c r="BC100" s="571"/>
      <c r="BD100" s="572"/>
      <c r="BE100" s="710"/>
      <c r="BF100" s="710" t="s">
        <v>422</v>
      </c>
      <c r="BG100" s="710"/>
      <c r="BH100" s="710"/>
      <c r="BI100" s="710"/>
      <c r="BJ100" s="710"/>
      <c r="BK100" s="710"/>
      <c r="BL100" s="710"/>
      <c r="BM100" s="710"/>
      <c r="BN100" s="710"/>
      <c r="BO100" s="710"/>
      <c r="BP100" s="710"/>
      <c r="BQ100" s="710"/>
      <c r="BR100" s="710"/>
      <c r="BS100" s="710"/>
      <c r="BT100" s="710"/>
    </row>
    <row r="101" spans="1:72" s="709" customFormat="1" ht="15.75">
      <c r="A101" s="556"/>
      <c r="B101" s="598"/>
      <c r="C101" s="601"/>
      <c r="D101" s="601"/>
      <c r="E101" s="601"/>
      <c r="F101" s="601"/>
      <c r="G101" s="601"/>
      <c r="H101" s="601"/>
      <c r="I101" s="601"/>
      <c r="J101" s="601"/>
      <c r="K101" s="601"/>
      <c r="L101" s="601"/>
      <c r="M101" s="601"/>
      <c r="N101" s="601"/>
      <c r="O101" s="601"/>
      <c r="P101" s="601"/>
      <c r="Q101" s="601"/>
      <c r="R101" s="601"/>
      <c r="S101" s="724"/>
      <c r="T101" s="724"/>
      <c r="U101" s="724"/>
      <c r="V101" s="724"/>
      <c r="W101" s="601"/>
      <c r="X101" s="601"/>
      <c r="Y101" s="724"/>
      <c r="Z101" s="724"/>
      <c r="AA101" s="601"/>
      <c r="AB101" s="601"/>
      <c r="AC101" s="601"/>
      <c r="AD101" s="724"/>
      <c r="AE101" s="724"/>
      <c r="AF101" s="724"/>
      <c r="AG101" s="724"/>
      <c r="AH101" s="724"/>
      <c r="AI101" s="724"/>
      <c r="AJ101" s="724"/>
      <c r="AK101" s="724"/>
      <c r="AL101" s="724"/>
      <c r="AM101" s="724"/>
      <c r="AN101" s="724"/>
      <c r="AO101" s="724"/>
      <c r="AP101" s="724"/>
      <c r="AQ101" s="724"/>
      <c r="AR101" s="724"/>
      <c r="AS101" s="724"/>
      <c r="AT101" s="724"/>
      <c r="AU101" s="724"/>
      <c r="AV101" s="724"/>
      <c r="AW101" s="724"/>
      <c r="AX101" s="724"/>
      <c r="AY101" s="598"/>
      <c r="AZ101" s="598"/>
      <c r="BA101" s="604"/>
      <c r="BB101" s="723"/>
      <c r="BC101" s="571"/>
      <c r="BD101" s="572"/>
      <c r="BE101" s="710"/>
      <c r="BF101" s="710"/>
      <c r="BG101" s="710" t="s">
        <v>423</v>
      </c>
      <c r="BH101" s="710"/>
      <c r="BI101" s="710"/>
      <c r="BJ101" s="710"/>
      <c r="BK101" s="710"/>
      <c r="BL101" s="710"/>
      <c r="BM101" s="710"/>
      <c r="BN101" s="710"/>
      <c r="BO101" s="710"/>
      <c r="BP101" s="710"/>
      <c r="BQ101" s="710"/>
      <c r="BR101" s="710"/>
      <c r="BS101" s="710"/>
      <c r="BT101" s="710"/>
    </row>
    <row r="102" spans="1:72" s="709" customFormat="1" ht="15.75">
      <c r="A102" s="556"/>
      <c r="B102" s="598"/>
      <c r="C102" s="601"/>
      <c r="D102" s="601"/>
      <c r="E102" s="601"/>
      <c r="F102" s="601"/>
      <c r="G102" s="601"/>
      <c r="H102" s="601"/>
      <c r="I102" s="601"/>
      <c r="J102" s="601"/>
      <c r="K102" s="601"/>
      <c r="L102" s="601"/>
      <c r="M102" s="601"/>
      <c r="N102" s="601"/>
      <c r="O102" s="601"/>
      <c r="P102" s="601"/>
      <c r="Q102" s="601"/>
      <c r="R102" s="601"/>
      <c r="S102" s="724"/>
      <c r="T102" s="724"/>
      <c r="U102" s="724"/>
      <c r="V102" s="724"/>
      <c r="W102" s="601"/>
      <c r="X102" s="601"/>
      <c r="Y102" s="724"/>
      <c r="Z102" s="724"/>
      <c r="AA102" s="601"/>
      <c r="AB102" s="601"/>
      <c r="AC102" s="601"/>
      <c r="AD102" s="724"/>
      <c r="AE102" s="724"/>
      <c r="AF102" s="724"/>
      <c r="AG102" s="724"/>
      <c r="AH102" s="724"/>
      <c r="AI102" s="724"/>
      <c r="AJ102" s="724"/>
      <c r="AK102" s="724"/>
      <c r="AL102" s="724"/>
      <c r="AM102" s="724"/>
      <c r="AN102" s="724"/>
      <c r="AO102" s="724"/>
      <c r="AP102" s="724"/>
      <c r="AQ102" s="724"/>
      <c r="AR102" s="724"/>
      <c r="AS102" s="724"/>
      <c r="AT102" s="724"/>
      <c r="AU102" s="724"/>
      <c r="AV102" s="724"/>
      <c r="AW102" s="724"/>
      <c r="AX102" s="724"/>
      <c r="AY102" s="598"/>
      <c r="AZ102" s="598"/>
      <c r="BA102" s="604"/>
      <c r="BB102" s="723"/>
      <c r="BC102" s="571"/>
      <c r="BD102" s="572"/>
      <c r="BE102" s="710"/>
      <c r="BF102" s="710"/>
      <c r="BG102" s="710" t="s">
        <v>424</v>
      </c>
      <c r="BH102" s="710"/>
      <c r="BI102" s="710"/>
      <c r="BJ102" s="710"/>
      <c r="BK102" s="710"/>
      <c r="BL102" s="710"/>
      <c r="BM102" s="710"/>
      <c r="BN102" s="710"/>
      <c r="BO102" s="710"/>
      <c r="BP102" s="710"/>
      <c r="BQ102" s="710"/>
      <c r="BR102" s="710"/>
      <c r="BS102" s="710"/>
      <c r="BT102" s="710"/>
    </row>
    <row r="103" spans="1:72" s="709" customFormat="1" ht="15.75">
      <c r="A103" s="556"/>
      <c r="B103" s="598"/>
      <c r="C103" s="601"/>
      <c r="D103" s="601"/>
      <c r="E103" s="601"/>
      <c r="F103" s="601"/>
      <c r="G103" s="601"/>
      <c r="H103" s="601"/>
      <c r="I103" s="601"/>
      <c r="J103" s="601"/>
      <c r="K103" s="601"/>
      <c r="L103" s="601"/>
      <c r="M103" s="601"/>
      <c r="N103" s="601"/>
      <c r="O103" s="601"/>
      <c r="P103" s="601"/>
      <c r="Q103" s="601"/>
      <c r="R103" s="601"/>
      <c r="S103" s="724"/>
      <c r="T103" s="724"/>
      <c r="U103" s="724"/>
      <c r="V103" s="724"/>
      <c r="W103" s="601"/>
      <c r="X103" s="601"/>
      <c r="Y103" s="724"/>
      <c r="Z103" s="724"/>
      <c r="AA103" s="601"/>
      <c r="AB103" s="601"/>
      <c r="AC103" s="601"/>
      <c r="AD103" s="724"/>
      <c r="AE103" s="724"/>
      <c r="AF103" s="724"/>
      <c r="AG103" s="724"/>
      <c r="AH103" s="724"/>
      <c r="AI103" s="724"/>
      <c r="AJ103" s="724"/>
      <c r="AK103" s="724"/>
      <c r="AL103" s="724"/>
      <c r="AM103" s="724"/>
      <c r="AN103" s="724"/>
      <c r="AO103" s="724"/>
      <c r="AP103" s="724"/>
      <c r="AQ103" s="724"/>
      <c r="AR103" s="724"/>
      <c r="AS103" s="724"/>
      <c r="AT103" s="724"/>
      <c r="AU103" s="724"/>
      <c r="AV103" s="724"/>
      <c r="AW103" s="724"/>
      <c r="AX103" s="724"/>
      <c r="AY103" s="598"/>
      <c r="AZ103" s="598"/>
      <c r="BA103" s="604"/>
      <c r="BB103" s="723"/>
      <c r="BC103" s="571"/>
      <c r="BD103" s="572"/>
      <c r="BE103" s="710"/>
      <c r="BF103" s="710"/>
      <c r="BG103" s="710"/>
      <c r="BH103" s="710"/>
      <c r="BI103" s="710" t="s">
        <v>425</v>
      </c>
      <c r="BJ103" s="710"/>
      <c r="BK103" s="710"/>
      <c r="BL103" s="710"/>
      <c r="BM103" s="710"/>
      <c r="BN103" s="710"/>
      <c r="BO103" s="710"/>
      <c r="BP103" s="710"/>
      <c r="BQ103" s="710"/>
      <c r="BR103" s="710"/>
      <c r="BS103" s="710"/>
      <c r="BT103" s="710"/>
    </row>
    <row r="104" spans="1:72" s="709" customFormat="1" ht="15.75">
      <c r="A104" s="556"/>
      <c r="B104" s="598"/>
      <c r="C104" s="601"/>
      <c r="D104" s="601"/>
      <c r="E104" s="601"/>
      <c r="F104" s="601"/>
      <c r="G104" s="601"/>
      <c r="H104" s="601"/>
      <c r="I104" s="601"/>
      <c r="J104" s="601"/>
      <c r="K104" s="601"/>
      <c r="L104" s="601"/>
      <c r="M104" s="601"/>
      <c r="N104" s="601"/>
      <c r="O104" s="601"/>
      <c r="P104" s="601"/>
      <c r="Q104" s="601"/>
      <c r="R104" s="601"/>
      <c r="S104" s="724"/>
      <c r="T104" s="724"/>
      <c r="U104" s="724"/>
      <c r="V104" s="724"/>
      <c r="W104" s="601"/>
      <c r="X104" s="601"/>
      <c r="Y104" s="724"/>
      <c r="Z104" s="724"/>
      <c r="AA104" s="601"/>
      <c r="AB104" s="601"/>
      <c r="AC104" s="601"/>
      <c r="AD104" s="724"/>
      <c r="AE104" s="724"/>
      <c r="AF104" s="724"/>
      <c r="AG104" s="724"/>
      <c r="AH104" s="724"/>
      <c r="AI104" s="724"/>
      <c r="AJ104" s="724"/>
      <c r="AK104" s="724"/>
      <c r="AL104" s="724"/>
      <c r="AM104" s="724"/>
      <c r="AN104" s="724"/>
      <c r="AO104" s="724"/>
      <c r="AP104" s="724"/>
      <c r="AQ104" s="724"/>
      <c r="AR104" s="724"/>
      <c r="AS104" s="724"/>
      <c r="AT104" s="724"/>
      <c r="AU104" s="724"/>
      <c r="AV104" s="724"/>
      <c r="AW104" s="724"/>
      <c r="AX104" s="724"/>
      <c r="AY104" s="598"/>
      <c r="AZ104" s="598"/>
      <c r="BA104" s="604"/>
      <c r="BB104" s="723"/>
      <c r="BC104" s="571"/>
      <c r="BD104" s="572"/>
      <c r="BE104" s="710"/>
      <c r="BF104" s="710"/>
      <c r="BG104" s="710"/>
      <c r="BH104" s="710"/>
      <c r="BI104" s="710"/>
      <c r="BJ104" s="710"/>
      <c r="BK104" s="710"/>
      <c r="BL104" s="710"/>
      <c r="BM104" s="710" t="s">
        <v>426</v>
      </c>
      <c r="BN104" s="710"/>
      <c r="BO104" s="710"/>
      <c r="BP104" s="710"/>
      <c r="BQ104" s="710"/>
      <c r="BR104" s="710"/>
      <c r="BS104" s="710"/>
      <c r="BT104" s="710"/>
    </row>
    <row r="105" spans="1:72" s="709" customFormat="1" ht="15.75">
      <c r="A105" s="556"/>
      <c r="B105" s="598"/>
      <c r="C105" s="601"/>
      <c r="D105" s="601"/>
      <c r="E105" s="601"/>
      <c r="F105" s="601"/>
      <c r="G105" s="601"/>
      <c r="H105" s="601"/>
      <c r="I105" s="601"/>
      <c r="J105" s="601"/>
      <c r="K105" s="601"/>
      <c r="L105" s="601"/>
      <c r="M105" s="601"/>
      <c r="N105" s="601"/>
      <c r="O105" s="601"/>
      <c r="P105" s="601"/>
      <c r="Q105" s="601"/>
      <c r="R105" s="601"/>
      <c r="S105" s="724"/>
      <c r="T105" s="724"/>
      <c r="U105" s="724"/>
      <c r="V105" s="724"/>
      <c r="W105" s="601"/>
      <c r="X105" s="601"/>
      <c r="Y105" s="724"/>
      <c r="Z105" s="724"/>
      <c r="AA105" s="601"/>
      <c r="AB105" s="601"/>
      <c r="AC105" s="601"/>
      <c r="AD105" s="724"/>
      <c r="AE105" s="724"/>
      <c r="AF105" s="724"/>
      <c r="AG105" s="724"/>
      <c r="AH105" s="724"/>
      <c r="AI105" s="724"/>
      <c r="AJ105" s="724"/>
      <c r="AK105" s="724"/>
      <c r="AL105" s="724"/>
      <c r="AM105" s="724"/>
      <c r="AN105" s="724"/>
      <c r="AO105" s="724"/>
      <c r="AP105" s="724"/>
      <c r="AQ105" s="724"/>
      <c r="AR105" s="724"/>
      <c r="AS105" s="724"/>
      <c r="AT105" s="724"/>
      <c r="AU105" s="724"/>
      <c r="AV105" s="724"/>
      <c r="AW105" s="724"/>
      <c r="AX105" s="724"/>
      <c r="AY105" s="598"/>
      <c r="AZ105" s="598"/>
      <c r="BA105" s="604"/>
      <c r="BB105" s="723"/>
      <c r="BC105" s="571"/>
      <c r="BD105" s="572"/>
      <c r="BE105" s="710"/>
      <c r="BF105" s="710"/>
      <c r="BG105" s="710"/>
      <c r="BH105" s="710"/>
      <c r="BI105" s="710"/>
      <c r="BJ105" s="710"/>
      <c r="BK105" s="710"/>
      <c r="BL105" s="710"/>
      <c r="BM105" s="710"/>
      <c r="BN105" s="710"/>
      <c r="BO105" s="710"/>
      <c r="BP105" s="710"/>
      <c r="BQ105" s="710"/>
      <c r="BR105" s="710"/>
      <c r="BS105" s="710"/>
      <c r="BT105" s="710"/>
    </row>
    <row r="106" spans="1:72" s="709" customFormat="1" ht="15.75">
      <c r="A106" s="556"/>
      <c r="B106" s="598"/>
      <c r="C106" s="601"/>
      <c r="D106" s="601"/>
      <c r="E106" s="601"/>
      <c r="F106" s="601"/>
      <c r="G106" s="601"/>
      <c r="H106" s="601"/>
      <c r="I106" s="601"/>
      <c r="J106" s="601"/>
      <c r="K106" s="601"/>
      <c r="L106" s="601"/>
      <c r="M106" s="601"/>
      <c r="N106" s="601"/>
      <c r="O106" s="601"/>
      <c r="P106" s="601"/>
      <c r="Q106" s="601"/>
      <c r="R106" s="601"/>
      <c r="S106" s="724"/>
      <c r="T106" s="724"/>
      <c r="U106" s="724"/>
      <c r="V106" s="724"/>
      <c r="W106" s="601"/>
      <c r="X106" s="601"/>
      <c r="Y106" s="724"/>
      <c r="Z106" s="724"/>
      <c r="AA106" s="601"/>
      <c r="AB106" s="601"/>
      <c r="AC106" s="601"/>
      <c r="AD106" s="724"/>
      <c r="AE106" s="724"/>
      <c r="AF106" s="724"/>
      <c r="AG106" s="724"/>
      <c r="AH106" s="724"/>
      <c r="AI106" s="724"/>
      <c r="AJ106" s="724"/>
      <c r="AK106" s="724"/>
      <c r="AL106" s="724"/>
      <c r="AM106" s="724"/>
      <c r="AN106" s="724"/>
      <c r="AO106" s="724"/>
      <c r="AP106" s="724"/>
      <c r="AQ106" s="724"/>
      <c r="AR106" s="724"/>
      <c r="AS106" s="724"/>
      <c r="AT106" s="724"/>
      <c r="AU106" s="724"/>
      <c r="AV106" s="724"/>
      <c r="AW106" s="724"/>
      <c r="AX106" s="724"/>
      <c r="AY106" s="598"/>
      <c r="AZ106" s="598"/>
      <c r="BA106" s="604"/>
      <c r="BB106" s="723"/>
      <c r="BC106" s="571"/>
      <c r="BD106" s="572"/>
      <c r="BE106" s="710"/>
      <c r="BF106" s="710"/>
      <c r="BG106" s="710"/>
      <c r="BH106" s="710"/>
      <c r="BI106" s="710"/>
      <c r="BJ106" s="710" t="s">
        <v>427</v>
      </c>
      <c r="BK106" s="710"/>
      <c r="BL106" s="710"/>
      <c r="BM106" s="710"/>
      <c r="BN106" s="710"/>
      <c r="BO106" s="710"/>
      <c r="BP106" s="710"/>
      <c r="BQ106" s="710"/>
      <c r="BR106" s="710"/>
      <c r="BS106" s="710"/>
      <c r="BT106" s="710"/>
    </row>
    <row r="107" spans="1:72" s="709" customFormat="1" ht="15.75">
      <c r="A107" s="556"/>
      <c r="B107" s="598"/>
      <c r="C107" s="601"/>
      <c r="D107" s="601"/>
      <c r="E107" s="601"/>
      <c r="F107" s="601"/>
      <c r="G107" s="601"/>
      <c r="H107" s="601"/>
      <c r="I107" s="601"/>
      <c r="J107" s="601"/>
      <c r="K107" s="601"/>
      <c r="L107" s="601"/>
      <c r="M107" s="601"/>
      <c r="N107" s="601"/>
      <c r="O107" s="601"/>
      <c r="P107" s="601"/>
      <c r="Q107" s="601"/>
      <c r="R107" s="601"/>
      <c r="S107" s="724"/>
      <c r="T107" s="724"/>
      <c r="U107" s="724"/>
      <c r="V107" s="724"/>
      <c r="W107" s="601"/>
      <c r="X107" s="601"/>
      <c r="Y107" s="724"/>
      <c r="Z107" s="724"/>
      <c r="AA107" s="601"/>
      <c r="AB107" s="601"/>
      <c r="AC107" s="601"/>
      <c r="AD107" s="724"/>
      <c r="AE107" s="724"/>
      <c r="AF107" s="724"/>
      <c r="AG107" s="724"/>
      <c r="AH107" s="724"/>
      <c r="AI107" s="724"/>
      <c r="AJ107" s="724"/>
      <c r="AK107" s="724"/>
      <c r="AL107" s="724"/>
      <c r="AM107" s="724"/>
      <c r="AN107" s="724"/>
      <c r="AO107" s="724"/>
      <c r="AP107" s="724"/>
      <c r="AQ107" s="724"/>
      <c r="AR107" s="724"/>
      <c r="AS107" s="724"/>
      <c r="AT107" s="724"/>
      <c r="AU107" s="724"/>
      <c r="AV107" s="724"/>
      <c r="AW107" s="724"/>
      <c r="AX107" s="724"/>
      <c r="AY107" s="598"/>
      <c r="AZ107" s="598"/>
      <c r="BA107" s="604"/>
      <c r="BB107" s="723"/>
      <c r="BC107" s="571"/>
      <c r="BD107" s="572"/>
      <c r="BE107" s="710"/>
      <c r="BF107" s="710"/>
      <c r="BG107" s="710"/>
      <c r="BH107" s="710"/>
      <c r="BI107" s="710"/>
      <c r="BJ107" s="710" t="s">
        <v>428</v>
      </c>
      <c r="BK107" s="710"/>
      <c r="BL107" s="710"/>
      <c r="BM107" s="710"/>
      <c r="BN107" s="710"/>
      <c r="BO107" s="710"/>
      <c r="BP107" s="710"/>
      <c r="BQ107" s="710"/>
      <c r="BR107" s="710"/>
      <c r="BS107" s="710"/>
      <c r="BT107" s="710"/>
    </row>
    <row r="108" spans="1:72" s="709" customFormat="1" ht="15.75">
      <c r="A108" s="556"/>
      <c r="B108" s="598"/>
      <c r="C108" s="601"/>
      <c r="D108" s="601"/>
      <c r="E108" s="601"/>
      <c r="F108" s="601"/>
      <c r="G108" s="601"/>
      <c r="H108" s="601"/>
      <c r="I108" s="601"/>
      <c r="J108" s="601"/>
      <c r="K108" s="601"/>
      <c r="L108" s="601"/>
      <c r="M108" s="601"/>
      <c r="N108" s="601"/>
      <c r="O108" s="601"/>
      <c r="P108" s="601"/>
      <c r="Q108" s="601"/>
      <c r="R108" s="601"/>
      <c r="S108" s="724"/>
      <c r="T108" s="724"/>
      <c r="U108" s="724"/>
      <c r="V108" s="724"/>
      <c r="W108" s="601"/>
      <c r="X108" s="601"/>
      <c r="Y108" s="724"/>
      <c r="Z108" s="724"/>
      <c r="AA108" s="601"/>
      <c r="AB108" s="601"/>
      <c r="AC108" s="601"/>
      <c r="AD108" s="724"/>
      <c r="AE108" s="724"/>
      <c r="AF108" s="724"/>
      <c r="AG108" s="724"/>
      <c r="AH108" s="724"/>
      <c r="AI108" s="724"/>
      <c r="AJ108" s="724"/>
      <c r="AK108" s="724"/>
      <c r="AL108" s="724"/>
      <c r="AM108" s="724"/>
      <c r="AN108" s="724"/>
      <c r="AO108" s="724"/>
      <c r="AP108" s="724"/>
      <c r="AQ108" s="724"/>
      <c r="AR108" s="724"/>
      <c r="AS108" s="724"/>
      <c r="AT108" s="724"/>
      <c r="AU108" s="724"/>
      <c r="AV108" s="724"/>
      <c r="AW108" s="724"/>
      <c r="AX108" s="724"/>
      <c r="AY108" s="598"/>
      <c r="AZ108" s="598"/>
      <c r="BA108" s="604"/>
      <c r="BB108" s="723"/>
      <c r="BC108" s="571"/>
      <c r="BD108" s="572"/>
      <c r="BE108" s="710"/>
      <c r="BF108" s="710"/>
      <c r="BG108" s="710"/>
      <c r="BH108" s="710"/>
      <c r="BI108" s="710"/>
      <c r="BJ108" s="710" t="s">
        <v>429</v>
      </c>
      <c r="BK108" s="710"/>
      <c r="BL108" s="710"/>
      <c r="BM108" s="710"/>
      <c r="BN108" s="710"/>
      <c r="BO108" s="710"/>
      <c r="BP108" s="710"/>
      <c r="BQ108" s="710"/>
      <c r="BR108" s="710"/>
      <c r="BS108" s="710"/>
      <c r="BT108" s="710"/>
    </row>
    <row r="109" spans="1:72" s="709" customFormat="1" ht="15.75">
      <c r="A109" s="556"/>
      <c r="B109" s="598"/>
      <c r="C109" s="601"/>
      <c r="D109" s="601"/>
      <c r="E109" s="601"/>
      <c r="F109" s="601"/>
      <c r="G109" s="601"/>
      <c r="H109" s="601"/>
      <c r="I109" s="601"/>
      <c r="J109" s="601"/>
      <c r="K109" s="601"/>
      <c r="L109" s="601"/>
      <c r="M109" s="601"/>
      <c r="N109" s="601"/>
      <c r="O109" s="601"/>
      <c r="P109" s="601"/>
      <c r="Q109" s="601"/>
      <c r="R109" s="601"/>
      <c r="S109" s="724"/>
      <c r="T109" s="724"/>
      <c r="U109" s="724"/>
      <c r="V109" s="724"/>
      <c r="W109" s="601"/>
      <c r="X109" s="601"/>
      <c r="Y109" s="724"/>
      <c r="Z109" s="724"/>
      <c r="AA109" s="601"/>
      <c r="AB109" s="601"/>
      <c r="AC109" s="601"/>
      <c r="AD109" s="724"/>
      <c r="AE109" s="724"/>
      <c r="AF109" s="724"/>
      <c r="AG109" s="724"/>
      <c r="AH109" s="724"/>
      <c r="AI109" s="724"/>
      <c r="AJ109" s="724"/>
      <c r="AK109" s="724"/>
      <c r="AL109" s="724"/>
      <c r="AM109" s="724"/>
      <c r="AN109" s="724"/>
      <c r="AO109" s="724"/>
      <c r="AP109" s="724"/>
      <c r="AQ109" s="724"/>
      <c r="AR109" s="724"/>
      <c r="AS109" s="724"/>
      <c r="AT109" s="724"/>
      <c r="AU109" s="724"/>
      <c r="AV109" s="724"/>
      <c r="AW109" s="724"/>
      <c r="AX109" s="724"/>
      <c r="AY109" s="598"/>
      <c r="AZ109" s="598"/>
      <c r="BA109" s="604"/>
      <c r="BB109" s="723"/>
      <c r="BC109" s="571"/>
      <c r="BD109" s="572"/>
      <c r="BE109" s="710"/>
      <c r="BF109" s="710"/>
      <c r="BG109" s="710"/>
      <c r="BH109" s="710"/>
      <c r="BI109" s="710" t="s">
        <v>430</v>
      </c>
      <c r="BJ109" s="710"/>
      <c r="BK109" s="710"/>
      <c r="BL109" s="710"/>
      <c r="BM109" s="710"/>
      <c r="BN109" s="710"/>
      <c r="BO109" s="710"/>
      <c r="BP109" s="710"/>
      <c r="BQ109" s="710"/>
      <c r="BR109" s="710"/>
      <c r="BS109" s="710"/>
      <c r="BT109" s="710"/>
    </row>
    <row r="110" spans="1:72" s="709" customFormat="1" ht="15.75">
      <c r="A110" s="556"/>
      <c r="B110" s="598"/>
      <c r="C110" s="601"/>
      <c r="D110" s="601"/>
      <c r="E110" s="601"/>
      <c r="F110" s="601"/>
      <c r="G110" s="601"/>
      <c r="H110" s="601"/>
      <c r="I110" s="601"/>
      <c r="J110" s="601"/>
      <c r="K110" s="601"/>
      <c r="L110" s="601"/>
      <c r="M110" s="601"/>
      <c r="N110" s="601"/>
      <c r="O110" s="601"/>
      <c r="P110" s="601"/>
      <c r="Q110" s="601"/>
      <c r="R110" s="601"/>
      <c r="S110" s="724"/>
      <c r="T110" s="724"/>
      <c r="U110" s="724"/>
      <c r="V110" s="724"/>
      <c r="W110" s="601"/>
      <c r="X110" s="601"/>
      <c r="Y110" s="724"/>
      <c r="Z110" s="724"/>
      <c r="AA110" s="601"/>
      <c r="AB110" s="601"/>
      <c r="AC110" s="601"/>
      <c r="AD110" s="724"/>
      <c r="AE110" s="724"/>
      <c r="AF110" s="724"/>
      <c r="AG110" s="724"/>
      <c r="AH110" s="724"/>
      <c r="AI110" s="724"/>
      <c r="AJ110" s="724"/>
      <c r="AK110" s="724"/>
      <c r="AL110" s="724"/>
      <c r="AM110" s="724"/>
      <c r="AN110" s="724"/>
      <c r="AO110" s="724"/>
      <c r="AP110" s="724"/>
      <c r="AQ110" s="724"/>
      <c r="AR110" s="724"/>
      <c r="AS110" s="724"/>
      <c r="AT110" s="724"/>
      <c r="AU110" s="724"/>
      <c r="AV110" s="724"/>
      <c r="AW110" s="724"/>
      <c r="AX110" s="724"/>
      <c r="AY110" s="598"/>
      <c r="AZ110" s="598"/>
      <c r="BA110" s="604"/>
      <c r="BB110" s="723"/>
      <c r="BC110" s="571"/>
      <c r="BD110" s="572"/>
      <c r="BE110" s="710"/>
      <c r="BF110" s="710"/>
      <c r="BG110" s="710"/>
      <c r="BH110" s="710"/>
      <c r="BI110" s="710"/>
      <c r="BJ110" s="710" t="s">
        <v>431</v>
      </c>
      <c r="BK110" s="710"/>
      <c r="BL110" s="710"/>
      <c r="BM110" s="710"/>
      <c r="BN110" s="710"/>
      <c r="BO110" s="710"/>
      <c r="BP110" s="710"/>
      <c r="BQ110" s="710"/>
      <c r="BR110" s="710"/>
      <c r="BS110" s="710"/>
      <c r="BT110" s="710"/>
    </row>
    <row r="111" spans="1:72" s="709" customFormat="1" ht="15.75">
      <c r="A111" s="556"/>
      <c r="B111" s="598"/>
      <c r="C111" s="601"/>
      <c r="D111" s="601"/>
      <c r="E111" s="601"/>
      <c r="F111" s="601"/>
      <c r="G111" s="601"/>
      <c r="H111" s="601"/>
      <c r="I111" s="601"/>
      <c r="J111" s="601"/>
      <c r="K111" s="601"/>
      <c r="L111" s="601"/>
      <c r="M111" s="601"/>
      <c r="N111" s="601"/>
      <c r="O111" s="601"/>
      <c r="P111" s="601"/>
      <c r="Q111" s="601"/>
      <c r="R111" s="601"/>
      <c r="S111" s="724"/>
      <c r="T111" s="724"/>
      <c r="U111" s="724"/>
      <c r="V111" s="724"/>
      <c r="W111" s="601"/>
      <c r="X111" s="601"/>
      <c r="Y111" s="724"/>
      <c r="Z111" s="724"/>
      <c r="AA111" s="601"/>
      <c r="AB111" s="601"/>
      <c r="AC111" s="601"/>
      <c r="AD111" s="724"/>
      <c r="AE111" s="724"/>
      <c r="AF111" s="724"/>
      <c r="AG111" s="724"/>
      <c r="AH111" s="724"/>
      <c r="AI111" s="724"/>
      <c r="AJ111" s="724"/>
      <c r="AK111" s="724"/>
      <c r="AL111" s="724"/>
      <c r="AM111" s="724"/>
      <c r="AN111" s="724"/>
      <c r="AO111" s="724"/>
      <c r="AP111" s="724"/>
      <c r="AQ111" s="724"/>
      <c r="AR111" s="724"/>
      <c r="AS111" s="724"/>
      <c r="AT111" s="724"/>
      <c r="AU111" s="724"/>
      <c r="AV111" s="724"/>
      <c r="AW111" s="724"/>
      <c r="AX111" s="724"/>
      <c r="AY111" s="598"/>
      <c r="AZ111" s="598"/>
      <c r="BA111" s="604"/>
      <c r="BB111" s="723"/>
      <c r="BC111" s="571"/>
      <c r="BD111" s="572"/>
      <c r="BE111" s="710"/>
      <c r="BF111" s="710" t="s">
        <v>432</v>
      </c>
      <c r="BG111" s="710"/>
      <c r="BH111" s="710"/>
      <c r="BI111" s="710"/>
      <c r="BJ111" s="710"/>
      <c r="BK111" s="710"/>
      <c r="BL111" s="710"/>
      <c r="BM111" s="710"/>
      <c r="BN111" s="710"/>
      <c r="BO111" s="710"/>
      <c r="BP111" s="710"/>
      <c r="BQ111" s="710"/>
      <c r="BR111" s="710"/>
      <c r="BS111" s="710"/>
      <c r="BT111" s="710"/>
    </row>
    <row r="112" spans="1:72" s="709" customFormat="1" ht="15.75">
      <c r="A112" s="556"/>
      <c r="B112" s="598"/>
      <c r="C112" s="601"/>
      <c r="D112" s="601"/>
      <c r="E112" s="601"/>
      <c r="F112" s="601"/>
      <c r="G112" s="601"/>
      <c r="H112" s="601"/>
      <c r="I112" s="601"/>
      <c r="J112" s="601"/>
      <c r="K112" s="601"/>
      <c r="L112" s="601"/>
      <c r="M112" s="601"/>
      <c r="N112" s="601"/>
      <c r="O112" s="601"/>
      <c r="P112" s="601"/>
      <c r="Q112" s="601"/>
      <c r="R112" s="601"/>
      <c r="S112" s="724"/>
      <c r="T112" s="724"/>
      <c r="U112" s="724"/>
      <c r="V112" s="724"/>
      <c r="W112" s="601"/>
      <c r="X112" s="601"/>
      <c r="Y112" s="724"/>
      <c r="Z112" s="724"/>
      <c r="AA112" s="601"/>
      <c r="AB112" s="601"/>
      <c r="AC112" s="601"/>
      <c r="AD112" s="724"/>
      <c r="AE112" s="724"/>
      <c r="AF112" s="724"/>
      <c r="AG112" s="724"/>
      <c r="AH112" s="724"/>
      <c r="AI112" s="724"/>
      <c r="AJ112" s="724"/>
      <c r="AK112" s="724"/>
      <c r="AL112" s="724"/>
      <c r="AM112" s="724"/>
      <c r="AN112" s="724"/>
      <c r="AO112" s="724"/>
      <c r="AP112" s="724"/>
      <c r="AQ112" s="724"/>
      <c r="AR112" s="724"/>
      <c r="AS112" s="724"/>
      <c r="AT112" s="724"/>
      <c r="AU112" s="724"/>
      <c r="AV112" s="724"/>
      <c r="AW112" s="724"/>
      <c r="AX112" s="724"/>
      <c r="AY112" s="598"/>
      <c r="AZ112" s="598"/>
      <c r="BA112" s="604"/>
      <c r="BB112" s="723"/>
      <c r="BC112" s="571"/>
      <c r="BD112" s="572"/>
      <c r="BE112" s="710"/>
      <c r="BF112" s="710"/>
      <c r="BG112" s="710" t="s">
        <v>433</v>
      </c>
      <c r="BH112" s="710"/>
      <c r="BI112" s="710"/>
      <c r="BJ112" s="710"/>
      <c r="BK112" s="710"/>
      <c r="BL112" s="710"/>
      <c r="BM112" s="710"/>
      <c r="BN112" s="710"/>
      <c r="BO112" s="710"/>
      <c r="BP112" s="710"/>
      <c r="BQ112" s="710"/>
      <c r="BR112" s="710"/>
      <c r="BS112" s="710"/>
      <c r="BT112" s="710"/>
    </row>
    <row r="113" spans="1:72" s="709" customFormat="1" ht="15.75">
      <c r="A113" s="556"/>
      <c r="B113" s="598"/>
      <c r="C113" s="601"/>
      <c r="D113" s="601"/>
      <c r="E113" s="601"/>
      <c r="F113" s="601"/>
      <c r="G113" s="601"/>
      <c r="H113" s="601"/>
      <c r="I113" s="601"/>
      <c r="J113" s="601"/>
      <c r="K113" s="601"/>
      <c r="L113" s="601"/>
      <c r="M113" s="601"/>
      <c r="N113" s="601"/>
      <c r="O113" s="601"/>
      <c r="P113" s="601"/>
      <c r="Q113" s="601"/>
      <c r="R113" s="601"/>
      <c r="S113" s="724"/>
      <c r="T113" s="724"/>
      <c r="U113" s="724"/>
      <c r="V113" s="724"/>
      <c r="W113" s="601"/>
      <c r="X113" s="601"/>
      <c r="Y113" s="724"/>
      <c r="Z113" s="724"/>
      <c r="AA113" s="601"/>
      <c r="AB113" s="601"/>
      <c r="AC113" s="601"/>
      <c r="AD113" s="724"/>
      <c r="AE113" s="724"/>
      <c r="AF113" s="724"/>
      <c r="AG113" s="724"/>
      <c r="AH113" s="724"/>
      <c r="AI113" s="724"/>
      <c r="AJ113" s="724"/>
      <c r="AK113" s="724"/>
      <c r="AL113" s="724"/>
      <c r="AM113" s="724"/>
      <c r="AN113" s="724"/>
      <c r="AO113" s="724"/>
      <c r="AP113" s="724"/>
      <c r="AQ113" s="724"/>
      <c r="AR113" s="724"/>
      <c r="AS113" s="724"/>
      <c r="AT113" s="724"/>
      <c r="AU113" s="724"/>
      <c r="AV113" s="724"/>
      <c r="AW113" s="724"/>
      <c r="AX113" s="724"/>
      <c r="AY113" s="598"/>
      <c r="AZ113" s="598"/>
      <c r="BA113" s="604"/>
      <c r="BB113" s="723"/>
      <c r="BC113" s="571"/>
      <c r="BD113" s="572"/>
      <c r="BE113" s="710"/>
      <c r="BF113" s="710"/>
      <c r="BG113" s="710" t="s">
        <v>434</v>
      </c>
      <c r="BH113" s="710"/>
      <c r="BI113" s="710"/>
      <c r="BJ113" s="710"/>
      <c r="BK113" s="710"/>
      <c r="BL113" s="710"/>
      <c r="BM113" s="710"/>
      <c r="BN113" s="710"/>
      <c r="BO113" s="710"/>
      <c r="BP113" s="710"/>
      <c r="BQ113" s="710"/>
      <c r="BR113" s="710"/>
      <c r="BS113" s="710"/>
      <c r="BT113" s="710"/>
    </row>
    <row r="114" spans="1:72" s="709" customFormat="1" ht="15.75">
      <c r="A114" s="556"/>
      <c r="B114" s="598"/>
      <c r="C114" s="601"/>
      <c r="D114" s="601"/>
      <c r="E114" s="601"/>
      <c r="F114" s="601"/>
      <c r="G114" s="601"/>
      <c r="H114" s="601"/>
      <c r="I114" s="601"/>
      <c r="J114" s="601"/>
      <c r="K114" s="601"/>
      <c r="L114" s="601"/>
      <c r="M114" s="601"/>
      <c r="N114" s="601"/>
      <c r="O114" s="601"/>
      <c r="P114" s="601"/>
      <c r="Q114" s="601"/>
      <c r="R114" s="601"/>
      <c r="S114" s="724"/>
      <c r="T114" s="724"/>
      <c r="U114" s="724"/>
      <c r="V114" s="724"/>
      <c r="W114" s="601"/>
      <c r="X114" s="601"/>
      <c r="Y114" s="724"/>
      <c r="Z114" s="724"/>
      <c r="AA114" s="601"/>
      <c r="AB114" s="601"/>
      <c r="AC114" s="601"/>
      <c r="AD114" s="724"/>
      <c r="AE114" s="724"/>
      <c r="AF114" s="724"/>
      <c r="AG114" s="724"/>
      <c r="AH114" s="724"/>
      <c r="AI114" s="724"/>
      <c r="AJ114" s="724"/>
      <c r="AK114" s="724"/>
      <c r="AL114" s="724"/>
      <c r="AM114" s="724"/>
      <c r="AN114" s="724"/>
      <c r="AO114" s="724"/>
      <c r="AP114" s="724"/>
      <c r="AQ114" s="724"/>
      <c r="AR114" s="724"/>
      <c r="AS114" s="724"/>
      <c r="AT114" s="724"/>
      <c r="AU114" s="724"/>
      <c r="AV114" s="724"/>
      <c r="AW114" s="724"/>
      <c r="AX114" s="724"/>
      <c r="AY114" s="598"/>
      <c r="AZ114" s="598"/>
      <c r="BA114" s="604"/>
      <c r="BB114" s="723"/>
      <c r="BC114" s="571"/>
      <c r="BD114" s="572"/>
      <c r="BE114" s="710"/>
      <c r="BF114" s="710"/>
      <c r="BG114" s="710"/>
      <c r="BH114" s="710"/>
      <c r="BI114" s="710"/>
      <c r="BJ114" s="710"/>
      <c r="BK114" s="710"/>
      <c r="BL114" s="710"/>
      <c r="BM114" s="710"/>
      <c r="BN114" s="710"/>
      <c r="BO114" s="710"/>
      <c r="BP114" s="710"/>
      <c r="BQ114" s="710"/>
      <c r="BR114" s="710"/>
      <c r="BS114" s="710"/>
      <c r="BT114" s="710"/>
    </row>
    <row r="115" spans="1:72" s="709" customFormat="1" ht="15.75">
      <c r="A115" s="556"/>
      <c r="B115" s="598"/>
      <c r="C115" s="601"/>
      <c r="D115" s="601"/>
      <c r="E115" s="601"/>
      <c r="F115" s="601"/>
      <c r="G115" s="601"/>
      <c r="H115" s="601"/>
      <c r="I115" s="601"/>
      <c r="J115" s="601"/>
      <c r="K115" s="601"/>
      <c r="L115" s="601"/>
      <c r="M115" s="601"/>
      <c r="N115" s="601"/>
      <c r="O115" s="601"/>
      <c r="P115" s="601"/>
      <c r="Q115" s="601"/>
      <c r="R115" s="601"/>
      <c r="S115" s="724"/>
      <c r="T115" s="724"/>
      <c r="U115" s="724"/>
      <c r="V115" s="724"/>
      <c r="W115" s="601"/>
      <c r="X115" s="601"/>
      <c r="Y115" s="724"/>
      <c r="Z115" s="724"/>
      <c r="AA115" s="601"/>
      <c r="AB115" s="601"/>
      <c r="AC115" s="601"/>
      <c r="AD115" s="724"/>
      <c r="AE115" s="724"/>
      <c r="AF115" s="724"/>
      <c r="AG115" s="724"/>
      <c r="AH115" s="724"/>
      <c r="AI115" s="724"/>
      <c r="AJ115" s="724"/>
      <c r="AK115" s="724"/>
      <c r="AL115" s="724"/>
      <c r="AM115" s="724"/>
      <c r="AN115" s="724"/>
      <c r="AO115" s="724"/>
      <c r="AP115" s="724"/>
      <c r="AQ115" s="724"/>
      <c r="AR115" s="724"/>
      <c r="AS115" s="724"/>
      <c r="AT115" s="724"/>
      <c r="AU115" s="724"/>
      <c r="AV115" s="724"/>
      <c r="AW115" s="724"/>
      <c r="AX115" s="724"/>
      <c r="AY115" s="598"/>
      <c r="AZ115" s="598"/>
      <c r="BA115" s="604"/>
      <c r="BB115" s="723"/>
      <c r="BC115" s="571"/>
      <c r="BD115" s="572"/>
      <c r="BE115" s="710"/>
      <c r="BF115" s="710"/>
      <c r="BG115" s="710" t="s">
        <v>435</v>
      </c>
      <c r="BH115" s="710"/>
      <c r="BI115" s="710"/>
      <c r="BJ115" s="710"/>
      <c r="BK115" s="710"/>
      <c r="BL115" s="710"/>
      <c r="BM115" s="710"/>
      <c r="BN115" s="710"/>
      <c r="BO115" s="710"/>
      <c r="BP115" s="710"/>
      <c r="BQ115" s="710"/>
      <c r="BR115" s="710"/>
      <c r="BS115" s="710"/>
      <c r="BT115" s="710"/>
    </row>
    <row r="116" spans="1:72" s="709" customFormat="1" ht="15.75">
      <c r="A116" s="556"/>
      <c r="B116" s="598"/>
      <c r="C116" s="601"/>
      <c r="D116" s="601"/>
      <c r="E116" s="601"/>
      <c r="F116" s="601"/>
      <c r="G116" s="601"/>
      <c r="H116" s="601"/>
      <c r="I116" s="601"/>
      <c r="J116" s="601"/>
      <c r="K116" s="601"/>
      <c r="L116" s="601"/>
      <c r="M116" s="601"/>
      <c r="N116" s="601"/>
      <c r="O116" s="601"/>
      <c r="P116" s="601"/>
      <c r="Q116" s="601"/>
      <c r="R116" s="601"/>
      <c r="S116" s="724"/>
      <c r="T116" s="724"/>
      <c r="U116" s="724"/>
      <c r="V116" s="724"/>
      <c r="W116" s="601"/>
      <c r="X116" s="601"/>
      <c r="Y116" s="724"/>
      <c r="Z116" s="724"/>
      <c r="AA116" s="601"/>
      <c r="AB116" s="601"/>
      <c r="AC116" s="601"/>
      <c r="AD116" s="724"/>
      <c r="AE116" s="724"/>
      <c r="AF116" s="724"/>
      <c r="AG116" s="724"/>
      <c r="AH116" s="724"/>
      <c r="AI116" s="724"/>
      <c r="AJ116" s="724"/>
      <c r="AK116" s="724"/>
      <c r="AL116" s="724"/>
      <c r="AM116" s="724"/>
      <c r="AN116" s="724"/>
      <c r="AO116" s="724"/>
      <c r="AP116" s="724"/>
      <c r="AQ116" s="724"/>
      <c r="AR116" s="724"/>
      <c r="AS116" s="724"/>
      <c r="AT116" s="724"/>
      <c r="AU116" s="724"/>
      <c r="AV116" s="724"/>
      <c r="AW116" s="724"/>
      <c r="AX116" s="724"/>
      <c r="AY116" s="598"/>
      <c r="AZ116" s="598"/>
      <c r="BA116" s="604"/>
      <c r="BB116" s="723"/>
      <c r="BC116" s="571"/>
      <c r="BD116" s="572"/>
      <c r="BE116" s="710"/>
      <c r="BF116" s="710"/>
      <c r="BG116" s="710"/>
      <c r="BH116" s="710"/>
      <c r="BI116" s="710"/>
      <c r="BJ116" s="710"/>
      <c r="BK116" s="710"/>
      <c r="BL116" s="710"/>
      <c r="BM116" s="710"/>
      <c r="BN116" s="710"/>
      <c r="BO116" s="710"/>
      <c r="BP116" s="710"/>
      <c r="BQ116" s="710"/>
      <c r="BR116" s="710"/>
      <c r="BS116" s="710"/>
      <c r="BT116" s="710"/>
    </row>
    <row r="117" spans="1:72" s="709" customFormat="1" ht="15.75">
      <c r="A117" s="556"/>
      <c r="B117" s="598"/>
      <c r="C117" s="601"/>
      <c r="D117" s="601"/>
      <c r="E117" s="601"/>
      <c r="F117" s="601"/>
      <c r="G117" s="601"/>
      <c r="H117" s="601"/>
      <c r="I117" s="601"/>
      <c r="J117" s="601"/>
      <c r="K117" s="601"/>
      <c r="L117" s="601"/>
      <c r="M117" s="601"/>
      <c r="N117" s="601"/>
      <c r="O117" s="601"/>
      <c r="P117" s="601"/>
      <c r="Q117" s="601"/>
      <c r="R117" s="601"/>
      <c r="S117" s="724"/>
      <c r="T117" s="724"/>
      <c r="U117" s="724"/>
      <c r="V117" s="724"/>
      <c r="W117" s="601"/>
      <c r="X117" s="601"/>
      <c r="Y117" s="724"/>
      <c r="Z117" s="724"/>
      <c r="AA117" s="601"/>
      <c r="AB117" s="601"/>
      <c r="AC117" s="601"/>
      <c r="AD117" s="724"/>
      <c r="AE117" s="724"/>
      <c r="AF117" s="724"/>
      <c r="AG117" s="724"/>
      <c r="AH117" s="724"/>
      <c r="AI117" s="724"/>
      <c r="AJ117" s="724"/>
      <c r="AK117" s="724"/>
      <c r="AL117" s="724"/>
      <c r="AM117" s="724"/>
      <c r="AN117" s="724"/>
      <c r="AO117" s="724"/>
      <c r="AP117" s="724"/>
      <c r="AQ117" s="724"/>
      <c r="AR117" s="724"/>
      <c r="AS117" s="724"/>
      <c r="AT117" s="724"/>
      <c r="AU117" s="724"/>
      <c r="AV117" s="724"/>
      <c r="AW117" s="724"/>
      <c r="AX117" s="724"/>
      <c r="AY117" s="598"/>
      <c r="AZ117" s="598"/>
      <c r="BA117" s="604"/>
      <c r="BB117" s="723"/>
      <c r="BC117" s="571"/>
      <c r="BD117" s="572"/>
      <c r="BE117" s="710"/>
      <c r="BF117" s="710" t="s">
        <v>436</v>
      </c>
      <c r="BG117" s="710"/>
      <c r="BH117" s="710"/>
      <c r="BI117" s="710"/>
      <c r="BJ117" s="710"/>
      <c r="BK117" s="710"/>
      <c r="BL117" s="710"/>
      <c r="BM117" s="710"/>
      <c r="BN117" s="710"/>
      <c r="BO117" s="710"/>
      <c r="BP117" s="710"/>
      <c r="BQ117" s="710"/>
      <c r="BR117" s="710"/>
      <c r="BS117" s="710"/>
      <c r="BT117" s="710"/>
    </row>
    <row r="118" spans="1:72" s="709" customFormat="1" ht="15.75">
      <c r="A118" s="556"/>
      <c r="B118" s="598"/>
      <c r="C118" s="601"/>
      <c r="D118" s="601"/>
      <c r="E118" s="601"/>
      <c r="F118" s="601"/>
      <c r="G118" s="601"/>
      <c r="H118" s="601"/>
      <c r="I118" s="601"/>
      <c r="J118" s="601"/>
      <c r="K118" s="601"/>
      <c r="L118" s="601"/>
      <c r="M118" s="601"/>
      <c r="N118" s="601"/>
      <c r="O118" s="601"/>
      <c r="P118" s="601"/>
      <c r="Q118" s="601"/>
      <c r="R118" s="601"/>
      <c r="S118" s="724"/>
      <c r="T118" s="724"/>
      <c r="U118" s="724"/>
      <c r="V118" s="724"/>
      <c r="W118" s="601"/>
      <c r="X118" s="601"/>
      <c r="Y118" s="724"/>
      <c r="Z118" s="724"/>
      <c r="AA118" s="601"/>
      <c r="AB118" s="601"/>
      <c r="AC118" s="601"/>
      <c r="AD118" s="724"/>
      <c r="AE118" s="724"/>
      <c r="AF118" s="724"/>
      <c r="AG118" s="724"/>
      <c r="AH118" s="724"/>
      <c r="AI118" s="724"/>
      <c r="AJ118" s="724"/>
      <c r="AK118" s="724"/>
      <c r="AL118" s="724"/>
      <c r="AM118" s="724"/>
      <c r="AN118" s="724"/>
      <c r="AO118" s="724"/>
      <c r="AP118" s="724"/>
      <c r="AQ118" s="724"/>
      <c r="AR118" s="724"/>
      <c r="AS118" s="724"/>
      <c r="AT118" s="724"/>
      <c r="AU118" s="724"/>
      <c r="AV118" s="724"/>
      <c r="AW118" s="724"/>
      <c r="AX118" s="724"/>
      <c r="AY118" s="598"/>
      <c r="AZ118" s="598"/>
      <c r="BA118" s="604"/>
      <c r="BB118" s="723"/>
      <c r="BC118" s="571"/>
      <c r="BD118" s="572"/>
      <c r="BE118" s="710"/>
      <c r="BF118" s="710"/>
      <c r="BG118" s="710" t="s">
        <v>437</v>
      </c>
      <c r="BH118" s="710"/>
      <c r="BI118" s="710"/>
      <c r="BJ118" s="710"/>
      <c r="BK118" s="710"/>
      <c r="BL118" s="710"/>
      <c r="BM118" s="710"/>
      <c r="BN118" s="710"/>
      <c r="BO118" s="710"/>
      <c r="BP118" s="710"/>
      <c r="BQ118" s="710"/>
      <c r="BR118" s="710"/>
      <c r="BS118" s="710"/>
      <c r="BT118" s="710"/>
    </row>
    <row r="119" spans="1:72" s="709" customFormat="1" ht="15.75">
      <c r="A119" s="556"/>
      <c r="B119" s="598"/>
      <c r="C119" s="601"/>
      <c r="D119" s="601"/>
      <c r="E119" s="601"/>
      <c r="F119" s="601"/>
      <c r="G119" s="601"/>
      <c r="H119" s="601"/>
      <c r="I119" s="601"/>
      <c r="J119" s="601"/>
      <c r="K119" s="601"/>
      <c r="L119" s="601"/>
      <c r="M119" s="601"/>
      <c r="N119" s="601"/>
      <c r="O119" s="601"/>
      <c r="P119" s="601"/>
      <c r="Q119" s="601"/>
      <c r="R119" s="601"/>
      <c r="S119" s="724"/>
      <c r="T119" s="724"/>
      <c r="U119" s="724"/>
      <c r="V119" s="724"/>
      <c r="W119" s="601"/>
      <c r="X119" s="601"/>
      <c r="Y119" s="724"/>
      <c r="Z119" s="724"/>
      <c r="AA119" s="601"/>
      <c r="AB119" s="601"/>
      <c r="AC119" s="601"/>
      <c r="AD119" s="724"/>
      <c r="AE119" s="724"/>
      <c r="AF119" s="724"/>
      <c r="AG119" s="724"/>
      <c r="AH119" s="724"/>
      <c r="AI119" s="724"/>
      <c r="AJ119" s="724"/>
      <c r="AK119" s="724"/>
      <c r="AL119" s="724"/>
      <c r="AM119" s="724"/>
      <c r="AN119" s="724"/>
      <c r="AO119" s="724"/>
      <c r="AP119" s="724"/>
      <c r="AQ119" s="724"/>
      <c r="AR119" s="724"/>
      <c r="AS119" s="724"/>
      <c r="AT119" s="724"/>
      <c r="AU119" s="724"/>
      <c r="AV119" s="724"/>
      <c r="AW119" s="724"/>
      <c r="AX119" s="724"/>
      <c r="AY119" s="598"/>
      <c r="AZ119" s="598"/>
      <c r="BA119" s="604"/>
      <c r="BB119" s="723"/>
      <c r="BC119" s="571"/>
      <c r="BD119" s="572"/>
      <c r="BE119" s="710"/>
      <c r="BF119" s="710"/>
      <c r="BG119" s="710"/>
      <c r="BH119" s="710"/>
      <c r="BI119" s="710"/>
      <c r="BJ119" s="710"/>
      <c r="BK119" s="710"/>
      <c r="BL119" s="710"/>
      <c r="BM119" s="710"/>
      <c r="BN119" s="710"/>
      <c r="BO119" s="710"/>
      <c r="BP119" s="710"/>
      <c r="BQ119" s="710"/>
      <c r="BR119" s="710"/>
      <c r="BS119" s="710"/>
      <c r="BT119" s="710"/>
    </row>
    <row r="120" spans="1:72" s="709" customFormat="1" ht="15.75">
      <c r="A120" s="556"/>
      <c r="B120" s="598"/>
      <c r="C120" s="601"/>
      <c r="D120" s="601"/>
      <c r="E120" s="601"/>
      <c r="F120" s="601"/>
      <c r="G120" s="601"/>
      <c r="H120" s="601"/>
      <c r="I120" s="601"/>
      <c r="J120" s="601"/>
      <c r="K120" s="601"/>
      <c r="L120" s="601"/>
      <c r="M120" s="601"/>
      <c r="N120" s="601"/>
      <c r="O120" s="601"/>
      <c r="P120" s="601"/>
      <c r="Q120" s="601"/>
      <c r="R120" s="601"/>
      <c r="S120" s="724"/>
      <c r="T120" s="724"/>
      <c r="U120" s="724"/>
      <c r="V120" s="724"/>
      <c r="W120" s="601"/>
      <c r="X120" s="601"/>
      <c r="Y120" s="724"/>
      <c r="Z120" s="724"/>
      <c r="AA120" s="601"/>
      <c r="AB120" s="601"/>
      <c r="AC120" s="601"/>
      <c r="AD120" s="724"/>
      <c r="AE120" s="724"/>
      <c r="AF120" s="724"/>
      <c r="AG120" s="724"/>
      <c r="AH120" s="724"/>
      <c r="AI120" s="724"/>
      <c r="AJ120" s="724"/>
      <c r="AK120" s="724"/>
      <c r="AL120" s="724"/>
      <c r="AM120" s="724"/>
      <c r="AN120" s="724"/>
      <c r="AO120" s="724"/>
      <c r="AP120" s="724"/>
      <c r="AQ120" s="724"/>
      <c r="AR120" s="724"/>
      <c r="AS120" s="724"/>
      <c r="AT120" s="724"/>
      <c r="AU120" s="724"/>
      <c r="AV120" s="724"/>
      <c r="AW120" s="724"/>
      <c r="AX120" s="724"/>
      <c r="AY120" s="598"/>
      <c r="AZ120" s="598"/>
      <c r="BA120" s="604"/>
      <c r="BB120" s="723"/>
      <c r="BC120" s="571"/>
      <c r="BD120" s="572"/>
      <c r="BE120" s="710" t="s">
        <v>438</v>
      </c>
      <c r="BF120" s="710"/>
      <c r="BG120" s="710"/>
      <c r="BH120" s="710"/>
      <c r="BI120" s="710"/>
      <c r="BJ120" s="710"/>
      <c r="BK120" s="710"/>
      <c r="BL120" s="710"/>
      <c r="BM120" s="710"/>
      <c r="BN120" s="710"/>
      <c r="BO120" s="710"/>
      <c r="BP120" s="710"/>
      <c r="BQ120" s="710"/>
      <c r="BR120" s="710"/>
      <c r="BS120" s="710"/>
      <c r="BT120" s="710"/>
    </row>
    <row r="121" spans="1:72" s="709" customFormat="1" ht="15.75">
      <c r="A121" s="556"/>
      <c r="B121" s="598"/>
      <c r="C121" s="601"/>
      <c r="D121" s="601"/>
      <c r="E121" s="601"/>
      <c r="F121" s="601"/>
      <c r="G121" s="601"/>
      <c r="H121" s="601"/>
      <c r="I121" s="601"/>
      <c r="J121" s="601"/>
      <c r="K121" s="601"/>
      <c r="L121" s="601"/>
      <c r="M121" s="601"/>
      <c r="N121" s="601"/>
      <c r="O121" s="601"/>
      <c r="P121" s="601"/>
      <c r="Q121" s="601"/>
      <c r="R121" s="601"/>
      <c r="S121" s="724"/>
      <c r="T121" s="724"/>
      <c r="U121" s="724"/>
      <c r="V121" s="724"/>
      <c r="W121" s="601"/>
      <c r="X121" s="601"/>
      <c r="Y121" s="724"/>
      <c r="Z121" s="724"/>
      <c r="AA121" s="601"/>
      <c r="AB121" s="601"/>
      <c r="AC121" s="601"/>
      <c r="AD121" s="724"/>
      <c r="AE121" s="724"/>
      <c r="AF121" s="724"/>
      <c r="AG121" s="724"/>
      <c r="AH121" s="724"/>
      <c r="AI121" s="724"/>
      <c r="AJ121" s="724"/>
      <c r="AK121" s="724"/>
      <c r="AL121" s="724"/>
      <c r="AM121" s="724"/>
      <c r="AN121" s="724"/>
      <c r="AO121" s="724"/>
      <c r="AP121" s="724"/>
      <c r="AQ121" s="724"/>
      <c r="AR121" s="724"/>
      <c r="AS121" s="724"/>
      <c r="AT121" s="724"/>
      <c r="AU121" s="724"/>
      <c r="AV121" s="724"/>
      <c r="AW121" s="724"/>
      <c r="AX121" s="724"/>
      <c r="AY121" s="598"/>
      <c r="AZ121" s="598"/>
      <c r="BA121" s="604"/>
      <c r="BB121" s="723"/>
      <c r="BC121" s="571"/>
      <c r="BD121" s="572"/>
      <c r="BE121" s="710"/>
      <c r="BF121" s="710" t="s">
        <v>439</v>
      </c>
      <c r="BG121" s="710"/>
      <c r="BH121" s="710"/>
      <c r="BI121" s="710"/>
      <c r="BJ121" s="710"/>
      <c r="BK121" s="710"/>
      <c r="BL121" s="710"/>
      <c r="BM121" s="710"/>
      <c r="BN121" s="710"/>
      <c r="BO121" s="710"/>
      <c r="BP121" s="710"/>
      <c r="BQ121" s="710"/>
      <c r="BR121" s="710"/>
      <c r="BS121" s="710"/>
      <c r="BT121" s="710"/>
    </row>
    <row r="122" spans="1:72" s="709" customFormat="1" ht="15.75">
      <c r="A122" s="556"/>
      <c r="B122" s="598"/>
      <c r="C122" s="601"/>
      <c r="D122" s="601"/>
      <c r="E122" s="601"/>
      <c r="F122" s="601"/>
      <c r="G122" s="601"/>
      <c r="H122" s="601"/>
      <c r="I122" s="601"/>
      <c r="J122" s="601"/>
      <c r="K122" s="601"/>
      <c r="L122" s="601"/>
      <c r="M122" s="601"/>
      <c r="N122" s="601"/>
      <c r="O122" s="601"/>
      <c r="P122" s="601"/>
      <c r="Q122" s="601"/>
      <c r="R122" s="601"/>
      <c r="S122" s="724"/>
      <c r="T122" s="724"/>
      <c r="U122" s="724"/>
      <c r="V122" s="724"/>
      <c r="W122" s="601"/>
      <c r="X122" s="601"/>
      <c r="Y122" s="724"/>
      <c r="Z122" s="724"/>
      <c r="AA122" s="601"/>
      <c r="AB122" s="601"/>
      <c r="AC122" s="601"/>
      <c r="AD122" s="724"/>
      <c r="AE122" s="724"/>
      <c r="AF122" s="724"/>
      <c r="AG122" s="724"/>
      <c r="AH122" s="724"/>
      <c r="AI122" s="724"/>
      <c r="AJ122" s="724"/>
      <c r="AK122" s="724"/>
      <c r="AL122" s="724"/>
      <c r="AM122" s="724"/>
      <c r="AN122" s="724"/>
      <c r="AO122" s="724"/>
      <c r="AP122" s="724"/>
      <c r="AQ122" s="724"/>
      <c r="AR122" s="724"/>
      <c r="AS122" s="724"/>
      <c r="AT122" s="724"/>
      <c r="AU122" s="724"/>
      <c r="AV122" s="724"/>
      <c r="AW122" s="724"/>
      <c r="AX122" s="724"/>
      <c r="AY122" s="598"/>
      <c r="AZ122" s="598"/>
      <c r="BA122" s="604"/>
      <c r="BB122" s="723"/>
      <c r="BC122" s="571"/>
      <c r="BD122" s="572"/>
      <c r="BE122" s="710"/>
      <c r="BF122" s="710" t="s">
        <v>440</v>
      </c>
      <c r="BG122" s="710"/>
      <c r="BH122" s="710"/>
      <c r="BI122" s="710"/>
      <c r="BJ122" s="710"/>
      <c r="BK122" s="710"/>
      <c r="BL122" s="710"/>
      <c r="BM122" s="710"/>
      <c r="BN122" s="710"/>
      <c r="BO122" s="710"/>
      <c r="BP122" s="710"/>
      <c r="BQ122" s="710"/>
      <c r="BR122" s="710"/>
      <c r="BS122" s="710"/>
      <c r="BT122" s="710"/>
    </row>
    <row r="123" spans="1:72" s="709" customFormat="1" ht="15.75">
      <c r="A123" s="556"/>
      <c r="B123" s="598"/>
      <c r="C123" s="601"/>
      <c r="D123" s="601"/>
      <c r="E123" s="601"/>
      <c r="F123" s="601"/>
      <c r="G123" s="601"/>
      <c r="H123" s="601"/>
      <c r="I123" s="601"/>
      <c r="J123" s="601"/>
      <c r="K123" s="601"/>
      <c r="L123" s="601"/>
      <c r="M123" s="601"/>
      <c r="N123" s="601"/>
      <c r="O123" s="601"/>
      <c r="P123" s="601"/>
      <c r="Q123" s="601"/>
      <c r="R123" s="601"/>
      <c r="S123" s="724"/>
      <c r="T123" s="724"/>
      <c r="U123" s="724"/>
      <c r="V123" s="724"/>
      <c r="W123" s="601"/>
      <c r="X123" s="601"/>
      <c r="Y123" s="724"/>
      <c r="Z123" s="724"/>
      <c r="AA123" s="601"/>
      <c r="AB123" s="601"/>
      <c r="AC123" s="601"/>
      <c r="AD123" s="724"/>
      <c r="AE123" s="724"/>
      <c r="AF123" s="724"/>
      <c r="AG123" s="724"/>
      <c r="AH123" s="724"/>
      <c r="AI123" s="724"/>
      <c r="AJ123" s="724"/>
      <c r="AK123" s="724"/>
      <c r="AL123" s="724"/>
      <c r="AM123" s="724"/>
      <c r="AN123" s="724"/>
      <c r="AO123" s="724"/>
      <c r="AP123" s="724"/>
      <c r="AQ123" s="724"/>
      <c r="AR123" s="724"/>
      <c r="AS123" s="724"/>
      <c r="AT123" s="724"/>
      <c r="AU123" s="724"/>
      <c r="AV123" s="724"/>
      <c r="AW123" s="724"/>
      <c r="AX123" s="724"/>
      <c r="AY123" s="598"/>
      <c r="AZ123" s="598"/>
      <c r="BA123" s="604"/>
      <c r="BB123" s="723"/>
      <c r="BC123" s="571"/>
      <c r="BD123" s="572"/>
      <c r="BE123" s="710"/>
      <c r="BF123" s="710" t="s">
        <v>441</v>
      </c>
      <c r="BG123" s="710"/>
      <c r="BH123" s="710"/>
      <c r="BI123" s="710"/>
      <c r="BJ123" s="710"/>
      <c r="BK123" s="710"/>
      <c r="BL123" s="710"/>
      <c r="BM123" s="710"/>
      <c r="BN123" s="710"/>
      <c r="BO123" s="710"/>
      <c r="BP123" s="710"/>
      <c r="BQ123" s="710"/>
      <c r="BR123" s="710"/>
      <c r="BS123" s="710"/>
      <c r="BT123" s="710"/>
    </row>
    <row r="124" spans="1:72" s="709" customFormat="1" ht="15.75">
      <c r="A124" s="556"/>
      <c r="B124" s="598"/>
      <c r="C124" s="601"/>
      <c r="D124" s="601"/>
      <c r="E124" s="601"/>
      <c r="F124" s="601"/>
      <c r="G124" s="601"/>
      <c r="H124" s="601"/>
      <c r="I124" s="601"/>
      <c r="J124" s="601"/>
      <c r="K124" s="601"/>
      <c r="L124" s="601"/>
      <c r="M124" s="601"/>
      <c r="N124" s="601"/>
      <c r="O124" s="601"/>
      <c r="P124" s="601"/>
      <c r="Q124" s="601"/>
      <c r="R124" s="601"/>
      <c r="S124" s="724"/>
      <c r="T124" s="724"/>
      <c r="U124" s="724"/>
      <c r="V124" s="724"/>
      <c r="W124" s="601"/>
      <c r="X124" s="601"/>
      <c r="Y124" s="724"/>
      <c r="Z124" s="724"/>
      <c r="AA124" s="601"/>
      <c r="AB124" s="601"/>
      <c r="AC124" s="601"/>
      <c r="AD124" s="724"/>
      <c r="AE124" s="724"/>
      <c r="AF124" s="724"/>
      <c r="AG124" s="724"/>
      <c r="AH124" s="724"/>
      <c r="AI124" s="724"/>
      <c r="AJ124" s="724"/>
      <c r="AK124" s="724"/>
      <c r="AL124" s="724"/>
      <c r="AM124" s="724"/>
      <c r="AN124" s="724"/>
      <c r="AO124" s="724"/>
      <c r="AP124" s="724"/>
      <c r="AQ124" s="724"/>
      <c r="AR124" s="724"/>
      <c r="AS124" s="724"/>
      <c r="AT124" s="724"/>
      <c r="AU124" s="724"/>
      <c r="AV124" s="724"/>
      <c r="AW124" s="724"/>
      <c r="AX124" s="724"/>
      <c r="AY124" s="598"/>
      <c r="AZ124" s="598"/>
      <c r="BA124" s="604"/>
      <c r="BB124" s="723"/>
      <c r="BC124" s="571"/>
      <c r="BD124" s="572"/>
      <c r="BE124" s="710"/>
      <c r="BF124" s="710" t="s">
        <v>442</v>
      </c>
      <c r="BG124" s="710"/>
      <c r="BH124" s="710"/>
      <c r="BI124" s="710"/>
      <c r="BJ124" s="710"/>
      <c r="BK124" s="710"/>
      <c r="BL124" s="710"/>
      <c r="BM124" s="710"/>
      <c r="BN124" s="710"/>
      <c r="BO124" s="710"/>
      <c r="BP124" s="710"/>
      <c r="BQ124" s="710"/>
      <c r="BR124" s="710"/>
      <c r="BS124" s="710"/>
      <c r="BT124" s="710"/>
    </row>
    <row r="125" spans="1:72" s="709" customFormat="1" ht="15.75">
      <c r="A125" s="556"/>
      <c r="B125" s="598"/>
      <c r="C125" s="601"/>
      <c r="D125" s="601"/>
      <c r="E125" s="601"/>
      <c r="F125" s="601"/>
      <c r="G125" s="601"/>
      <c r="H125" s="601"/>
      <c r="I125" s="601"/>
      <c r="J125" s="601"/>
      <c r="K125" s="601"/>
      <c r="L125" s="601"/>
      <c r="M125" s="601"/>
      <c r="N125" s="601"/>
      <c r="O125" s="601"/>
      <c r="P125" s="601"/>
      <c r="Q125" s="601"/>
      <c r="R125" s="601"/>
      <c r="S125" s="724"/>
      <c r="T125" s="724"/>
      <c r="U125" s="724"/>
      <c r="V125" s="724"/>
      <c r="W125" s="601"/>
      <c r="X125" s="601"/>
      <c r="Y125" s="724"/>
      <c r="Z125" s="724"/>
      <c r="AA125" s="601"/>
      <c r="AB125" s="601"/>
      <c r="AC125" s="601"/>
      <c r="AD125" s="724"/>
      <c r="AE125" s="724"/>
      <c r="AF125" s="724"/>
      <c r="AG125" s="724"/>
      <c r="AH125" s="724"/>
      <c r="AI125" s="724"/>
      <c r="AJ125" s="724"/>
      <c r="AK125" s="724"/>
      <c r="AL125" s="724"/>
      <c r="AM125" s="724"/>
      <c r="AN125" s="724"/>
      <c r="AO125" s="724"/>
      <c r="AP125" s="724"/>
      <c r="AQ125" s="724"/>
      <c r="AR125" s="724"/>
      <c r="AS125" s="724"/>
      <c r="AT125" s="724"/>
      <c r="AU125" s="724"/>
      <c r="AV125" s="724"/>
      <c r="AW125" s="724"/>
      <c r="AX125" s="724"/>
      <c r="AY125" s="598"/>
      <c r="AZ125" s="598"/>
      <c r="BA125" s="604"/>
      <c r="BB125" s="723"/>
      <c r="BC125" s="571"/>
      <c r="BD125" s="572"/>
      <c r="BE125" s="710"/>
      <c r="BF125" s="710" t="s">
        <v>443</v>
      </c>
      <c r="BG125" s="710"/>
      <c r="BH125" s="710"/>
      <c r="BI125" s="710"/>
      <c r="BJ125" s="710"/>
      <c r="BK125" s="710"/>
      <c r="BL125" s="710"/>
      <c r="BM125" s="710"/>
      <c r="BN125" s="710"/>
      <c r="BO125" s="710"/>
      <c r="BP125" s="710"/>
      <c r="BQ125" s="710"/>
      <c r="BR125" s="710"/>
      <c r="BS125" s="710"/>
      <c r="BT125" s="710"/>
    </row>
    <row r="126" spans="1:72" s="709" customFormat="1" ht="15.75">
      <c r="A126" s="556"/>
      <c r="B126" s="598"/>
      <c r="C126" s="601"/>
      <c r="D126" s="601"/>
      <c r="E126" s="601"/>
      <c r="F126" s="601"/>
      <c r="G126" s="601"/>
      <c r="H126" s="601"/>
      <c r="I126" s="601"/>
      <c r="J126" s="601"/>
      <c r="K126" s="601"/>
      <c r="L126" s="601"/>
      <c r="M126" s="601"/>
      <c r="N126" s="601"/>
      <c r="O126" s="601"/>
      <c r="P126" s="601"/>
      <c r="Q126" s="601"/>
      <c r="R126" s="601"/>
      <c r="S126" s="724"/>
      <c r="T126" s="724"/>
      <c r="U126" s="724"/>
      <c r="V126" s="724"/>
      <c r="W126" s="601"/>
      <c r="X126" s="601"/>
      <c r="Y126" s="724"/>
      <c r="Z126" s="724"/>
      <c r="AA126" s="601"/>
      <c r="AB126" s="601"/>
      <c r="AC126" s="601"/>
      <c r="AD126" s="724"/>
      <c r="AE126" s="724"/>
      <c r="AF126" s="724"/>
      <c r="AG126" s="724"/>
      <c r="AH126" s="724"/>
      <c r="AI126" s="724"/>
      <c r="AJ126" s="724"/>
      <c r="AK126" s="724"/>
      <c r="AL126" s="724"/>
      <c r="AM126" s="724"/>
      <c r="AN126" s="724"/>
      <c r="AO126" s="724"/>
      <c r="AP126" s="724"/>
      <c r="AQ126" s="724"/>
      <c r="AR126" s="724"/>
      <c r="AS126" s="724"/>
      <c r="AT126" s="724"/>
      <c r="AU126" s="724"/>
      <c r="AV126" s="724"/>
      <c r="AW126" s="724"/>
      <c r="AX126" s="724"/>
      <c r="AY126" s="598"/>
      <c r="AZ126" s="598"/>
      <c r="BA126" s="604"/>
      <c r="BB126" s="723"/>
      <c r="BC126" s="571"/>
      <c r="BD126" s="572"/>
      <c r="BE126" s="710"/>
      <c r="BF126" s="710" t="s">
        <v>444</v>
      </c>
      <c r="BG126" s="710"/>
      <c r="BH126" s="710"/>
      <c r="BI126" s="710"/>
      <c r="BJ126" s="710"/>
      <c r="BK126" s="710"/>
      <c r="BL126" s="710"/>
      <c r="BM126" s="710"/>
      <c r="BN126" s="710"/>
      <c r="BO126" s="710"/>
      <c r="BP126" s="710"/>
      <c r="BQ126" s="710"/>
      <c r="BR126" s="710"/>
      <c r="BS126" s="710"/>
      <c r="BT126" s="710"/>
    </row>
    <row r="127" spans="1:72" s="709" customFormat="1" ht="15.75">
      <c r="A127" s="556"/>
      <c r="B127" s="598"/>
      <c r="C127" s="601"/>
      <c r="D127" s="601"/>
      <c r="E127" s="601"/>
      <c r="F127" s="601"/>
      <c r="G127" s="601"/>
      <c r="H127" s="601"/>
      <c r="I127" s="601"/>
      <c r="J127" s="601"/>
      <c r="K127" s="601"/>
      <c r="L127" s="601"/>
      <c r="M127" s="601"/>
      <c r="N127" s="601"/>
      <c r="O127" s="601"/>
      <c r="P127" s="601"/>
      <c r="Q127" s="601"/>
      <c r="R127" s="601"/>
      <c r="S127" s="724"/>
      <c r="T127" s="724"/>
      <c r="U127" s="724"/>
      <c r="V127" s="724"/>
      <c r="W127" s="601"/>
      <c r="X127" s="601"/>
      <c r="Y127" s="724"/>
      <c r="Z127" s="724"/>
      <c r="AA127" s="601"/>
      <c r="AB127" s="601"/>
      <c r="AC127" s="601"/>
      <c r="AD127" s="724"/>
      <c r="AE127" s="724"/>
      <c r="AF127" s="724"/>
      <c r="AG127" s="724"/>
      <c r="AH127" s="724"/>
      <c r="AI127" s="724"/>
      <c r="AJ127" s="724"/>
      <c r="AK127" s="724"/>
      <c r="AL127" s="724"/>
      <c r="AM127" s="724"/>
      <c r="AN127" s="724"/>
      <c r="AO127" s="724"/>
      <c r="AP127" s="724"/>
      <c r="AQ127" s="724"/>
      <c r="AR127" s="724"/>
      <c r="AS127" s="724"/>
      <c r="AT127" s="724"/>
      <c r="AU127" s="724"/>
      <c r="AV127" s="724"/>
      <c r="AW127" s="724"/>
      <c r="AX127" s="724"/>
      <c r="AY127" s="598"/>
      <c r="AZ127" s="598"/>
      <c r="BA127" s="604"/>
      <c r="BB127" s="723"/>
      <c r="BC127" s="571"/>
      <c r="BD127" s="572"/>
      <c r="BE127" s="710"/>
      <c r="BF127" s="710"/>
      <c r="BG127" s="710" t="s">
        <v>445</v>
      </c>
      <c r="BH127" s="710"/>
      <c r="BI127" s="710"/>
      <c r="BJ127" s="710"/>
      <c r="BK127" s="710"/>
      <c r="BL127" s="710"/>
      <c r="BM127" s="710"/>
      <c r="BN127" s="710"/>
      <c r="BO127" s="710"/>
      <c r="BP127" s="710"/>
      <c r="BQ127" s="710"/>
      <c r="BR127" s="710"/>
      <c r="BS127" s="710"/>
      <c r="BT127" s="710"/>
    </row>
    <row r="128" spans="1:72" s="709" customFormat="1" ht="15.75">
      <c r="A128" s="556"/>
      <c r="B128" s="598"/>
      <c r="C128" s="601"/>
      <c r="D128" s="601"/>
      <c r="E128" s="601"/>
      <c r="F128" s="601"/>
      <c r="G128" s="601"/>
      <c r="H128" s="601"/>
      <c r="I128" s="601"/>
      <c r="J128" s="601"/>
      <c r="K128" s="601"/>
      <c r="L128" s="601"/>
      <c r="M128" s="601"/>
      <c r="N128" s="601"/>
      <c r="O128" s="601"/>
      <c r="P128" s="601"/>
      <c r="Q128" s="601"/>
      <c r="R128" s="601"/>
      <c r="S128" s="724"/>
      <c r="T128" s="724"/>
      <c r="U128" s="724"/>
      <c r="V128" s="724"/>
      <c r="W128" s="601"/>
      <c r="X128" s="601"/>
      <c r="Y128" s="724"/>
      <c r="Z128" s="724"/>
      <c r="AA128" s="601"/>
      <c r="AB128" s="601"/>
      <c r="AC128" s="601"/>
      <c r="AD128" s="724"/>
      <c r="AE128" s="724"/>
      <c r="AF128" s="724"/>
      <c r="AG128" s="724"/>
      <c r="AH128" s="724"/>
      <c r="AI128" s="724"/>
      <c r="AJ128" s="724"/>
      <c r="AK128" s="724"/>
      <c r="AL128" s="724"/>
      <c r="AM128" s="724"/>
      <c r="AN128" s="724"/>
      <c r="AO128" s="724"/>
      <c r="AP128" s="724"/>
      <c r="AQ128" s="724"/>
      <c r="AR128" s="724"/>
      <c r="AS128" s="724"/>
      <c r="AT128" s="724"/>
      <c r="AU128" s="724"/>
      <c r="AV128" s="724"/>
      <c r="AW128" s="724"/>
      <c r="AX128" s="724"/>
      <c r="AY128" s="598"/>
      <c r="AZ128" s="598"/>
      <c r="BA128" s="604"/>
      <c r="BB128" s="723"/>
      <c r="BC128" s="571"/>
      <c r="BD128" s="572"/>
      <c r="BE128" s="710"/>
      <c r="BF128" s="710"/>
      <c r="BG128" s="710" t="s">
        <v>446</v>
      </c>
      <c r="BH128" s="710"/>
      <c r="BI128" s="710"/>
      <c r="BJ128" s="710"/>
      <c r="BK128" s="710"/>
      <c r="BL128" s="710"/>
      <c r="BM128" s="710"/>
      <c r="BN128" s="710"/>
      <c r="BO128" s="710"/>
      <c r="BP128" s="710"/>
      <c r="BQ128" s="710"/>
      <c r="BR128" s="710"/>
      <c r="BS128" s="710"/>
      <c r="BT128" s="710"/>
    </row>
    <row r="129" spans="1:72" s="709" customFormat="1" ht="15.75">
      <c r="A129" s="556"/>
      <c r="B129" s="598"/>
      <c r="C129" s="601"/>
      <c r="D129" s="601"/>
      <c r="E129" s="601"/>
      <c r="F129" s="601"/>
      <c r="G129" s="601"/>
      <c r="H129" s="601"/>
      <c r="I129" s="601"/>
      <c r="J129" s="601"/>
      <c r="K129" s="601"/>
      <c r="L129" s="601"/>
      <c r="M129" s="601"/>
      <c r="N129" s="601"/>
      <c r="O129" s="601"/>
      <c r="P129" s="601"/>
      <c r="Q129" s="601"/>
      <c r="R129" s="601"/>
      <c r="S129" s="724"/>
      <c r="T129" s="724"/>
      <c r="U129" s="724"/>
      <c r="V129" s="724"/>
      <c r="W129" s="601"/>
      <c r="X129" s="601"/>
      <c r="Y129" s="724"/>
      <c r="Z129" s="724"/>
      <c r="AA129" s="601"/>
      <c r="AB129" s="601"/>
      <c r="AC129" s="601"/>
      <c r="AD129" s="724"/>
      <c r="AE129" s="724"/>
      <c r="AF129" s="724"/>
      <c r="AG129" s="724"/>
      <c r="AH129" s="724"/>
      <c r="AI129" s="724"/>
      <c r="AJ129" s="724"/>
      <c r="AK129" s="724"/>
      <c r="AL129" s="724"/>
      <c r="AM129" s="724"/>
      <c r="AN129" s="724"/>
      <c r="AO129" s="724"/>
      <c r="AP129" s="724"/>
      <c r="AQ129" s="724"/>
      <c r="AR129" s="724"/>
      <c r="AS129" s="724"/>
      <c r="AT129" s="724"/>
      <c r="AU129" s="724"/>
      <c r="AV129" s="724"/>
      <c r="AW129" s="724"/>
      <c r="AX129" s="724"/>
      <c r="AY129" s="598"/>
      <c r="AZ129" s="598"/>
      <c r="BA129" s="604"/>
      <c r="BB129" s="723"/>
      <c r="BC129" s="571"/>
      <c r="BD129" s="572"/>
      <c r="BE129" s="710"/>
      <c r="BF129" s="710"/>
      <c r="BG129" s="710" t="s">
        <v>447</v>
      </c>
      <c r="BH129" s="710"/>
      <c r="BI129" s="710"/>
      <c r="BJ129" s="710"/>
      <c r="BK129" s="710"/>
      <c r="BL129" s="710"/>
      <c r="BM129" s="710"/>
      <c r="BN129" s="710"/>
      <c r="BO129" s="710"/>
      <c r="BP129" s="710"/>
      <c r="BQ129" s="710"/>
      <c r="BR129" s="710"/>
      <c r="BS129" s="710"/>
      <c r="BT129" s="710"/>
    </row>
    <row r="130" spans="1:72" s="709" customFormat="1" ht="15.75">
      <c r="A130" s="556"/>
      <c r="B130" s="598"/>
      <c r="C130" s="601"/>
      <c r="D130" s="601"/>
      <c r="E130" s="601"/>
      <c r="F130" s="601"/>
      <c r="G130" s="601"/>
      <c r="H130" s="601"/>
      <c r="I130" s="601"/>
      <c r="J130" s="601"/>
      <c r="K130" s="601"/>
      <c r="L130" s="601"/>
      <c r="M130" s="601"/>
      <c r="N130" s="601"/>
      <c r="O130" s="601"/>
      <c r="P130" s="601"/>
      <c r="Q130" s="601"/>
      <c r="R130" s="601"/>
      <c r="S130" s="724"/>
      <c r="T130" s="724"/>
      <c r="U130" s="724"/>
      <c r="V130" s="724"/>
      <c r="W130" s="601"/>
      <c r="X130" s="601"/>
      <c r="Y130" s="724"/>
      <c r="Z130" s="724"/>
      <c r="AA130" s="601"/>
      <c r="AB130" s="601"/>
      <c r="AC130" s="601"/>
      <c r="AD130" s="724"/>
      <c r="AE130" s="724"/>
      <c r="AF130" s="724"/>
      <c r="AG130" s="724"/>
      <c r="AH130" s="724"/>
      <c r="AI130" s="724"/>
      <c r="AJ130" s="724"/>
      <c r="AK130" s="724"/>
      <c r="AL130" s="724"/>
      <c r="AM130" s="724"/>
      <c r="AN130" s="724"/>
      <c r="AO130" s="724"/>
      <c r="AP130" s="724"/>
      <c r="AQ130" s="724"/>
      <c r="AR130" s="724"/>
      <c r="AS130" s="724"/>
      <c r="AT130" s="724"/>
      <c r="AU130" s="724"/>
      <c r="AV130" s="724"/>
      <c r="AW130" s="724"/>
      <c r="AX130" s="724"/>
      <c r="AY130" s="598"/>
      <c r="AZ130" s="598"/>
      <c r="BA130" s="604"/>
      <c r="BB130" s="723"/>
      <c r="BC130" s="571"/>
      <c r="BD130" s="572"/>
      <c r="BE130" s="710"/>
      <c r="BF130" s="710"/>
      <c r="BG130" s="710"/>
      <c r="BH130" s="710"/>
      <c r="BI130" s="710"/>
      <c r="BJ130" s="710"/>
      <c r="BK130" s="710"/>
      <c r="BL130" s="710"/>
      <c r="BM130" s="710"/>
      <c r="BN130" s="710"/>
      <c r="BO130" s="710"/>
      <c r="BP130" s="710"/>
      <c r="BQ130" s="710"/>
      <c r="BR130" s="710"/>
      <c r="BS130" s="710"/>
      <c r="BT130" s="710"/>
    </row>
    <row r="131" spans="1:72" s="709" customFormat="1" ht="15.75">
      <c r="A131" s="556"/>
      <c r="B131" s="598"/>
      <c r="C131" s="601"/>
      <c r="D131" s="601"/>
      <c r="E131" s="601"/>
      <c r="F131" s="601"/>
      <c r="G131" s="601"/>
      <c r="H131" s="601"/>
      <c r="I131" s="601"/>
      <c r="J131" s="601"/>
      <c r="K131" s="601"/>
      <c r="L131" s="601"/>
      <c r="M131" s="601"/>
      <c r="N131" s="601"/>
      <c r="O131" s="601"/>
      <c r="P131" s="601"/>
      <c r="Q131" s="601"/>
      <c r="R131" s="601"/>
      <c r="S131" s="724"/>
      <c r="T131" s="724"/>
      <c r="U131" s="724"/>
      <c r="V131" s="724"/>
      <c r="W131" s="601"/>
      <c r="X131" s="601"/>
      <c r="Y131" s="724"/>
      <c r="Z131" s="724"/>
      <c r="AA131" s="601"/>
      <c r="AB131" s="601"/>
      <c r="AC131" s="601"/>
      <c r="AD131" s="724"/>
      <c r="AE131" s="724"/>
      <c r="AF131" s="724"/>
      <c r="AG131" s="724"/>
      <c r="AH131" s="724"/>
      <c r="AI131" s="724"/>
      <c r="AJ131" s="724"/>
      <c r="AK131" s="724"/>
      <c r="AL131" s="724"/>
      <c r="AM131" s="724"/>
      <c r="AN131" s="724"/>
      <c r="AO131" s="724"/>
      <c r="AP131" s="724"/>
      <c r="AQ131" s="724"/>
      <c r="AR131" s="724"/>
      <c r="AS131" s="724"/>
      <c r="AT131" s="724"/>
      <c r="AU131" s="724"/>
      <c r="AV131" s="724"/>
      <c r="AW131" s="724"/>
      <c r="AX131" s="724"/>
      <c r="AY131" s="598"/>
      <c r="AZ131" s="598"/>
      <c r="BA131" s="604"/>
      <c r="BB131" s="723"/>
      <c r="BC131" s="571"/>
      <c r="BD131" s="572"/>
      <c r="BE131" s="710"/>
      <c r="BF131" s="710"/>
      <c r="BG131" s="710" t="s">
        <v>448</v>
      </c>
      <c r="BH131" s="710"/>
      <c r="BI131" s="710"/>
      <c r="BJ131" s="710"/>
      <c r="BK131" s="710"/>
      <c r="BL131" s="710"/>
      <c r="BM131" s="710"/>
      <c r="BN131" s="710"/>
      <c r="BO131" s="710"/>
      <c r="BP131" s="710"/>
      <c r="BQ131" s="710"/>
      <c r="BR131" s="710"/>
      <c r="BS131" s="710"/>
      <c r="BT131" s="710"/>
    </row>
    <row r="132" spans="1:72" s="709" customFormat="1" ht="15.75">
      <c r="A132" s="556"/>
      <c r="B132" s="598"/>
      <c r="C132" s="601"/>
      <c r="D132" s="601"/>
      <c r="E132" s="601"/>
      <c r="F132" s="601"/>
      <c r="G132" s="601"/>
      <c r="H132" s="601"/>
      <c r="I132" s="601"/>
      <c r="J132" s="601"/>
      <c r="K132" s="601"/>
      <c r="L132" s="601"/>
      <c r="M132" s="601"/>
      <c r="N132" s="601"/>
      <c r="O132" s="601"/>
      <c r="P132" s="601"/>
      <c r="Q132" s="601"/>
      <c r="R132" s="601"/>
      <c r="S132" s="724"/>
      <c r="T132" s="724"/>
      <c r="U132" s="724"/>
      <c r="V132" s="724"/>
      <c r="W132" s="601"/>
      <c r="X132" s="601"/>
      <c r="Y132" s="724"/>
      <c r="Z132" s="724"/>
      <c r="AA132" s="601"/>
      <c r="AB132" s="601"/>
      <c r="AC132" s="601"/>
      <c r="AD132" s="724"/>
      <c r="AE132" s="724"/>
      <c r="AF132" s="724"/>
      <c r="AG132" s="724"/>
      <c r="AH132" s="724"/>
      <c r="AI132" s="724"/>
      <c r="AJ132" s="724"/>
      <c r="AK132" s="724"/>
      <c r="AL132" s="724"/>
      <c r="AM132" s="724"/>
      <c r="AN132" s="724"/>
      <c r="AO132" s="724"/>
      <c r="AP132" s="724"/>
      <c r="AQ132" s="724"/>
      <c r="AR132" s="724"/>
      <c r="AS132" s="724"/>
      <c r="AT132" s="724"/>
      <c r="AU132" s="724"/>
      <c r="AV132" s="724"/>
      <c r="AW132" s="724"/>
      <c r="AX132" s="724"/>
      <c r="AY132" s="598"/>
      <c r="AZ132" s="598"/>
      <c r="BA132" s="604"/>
      <c r="BB132" s="723"/>
      <c r="BC132" s="571"/>
      <c r="BD132" s="572"/>
      <c r="BE132" s="710"/>
      <c r="BF132" s="710"/>
      <c r="BG132" s="710" t="s">
        <v>449</v>
      </c>
      <c r="BH132" s="710"/>
      <c r="BI132" s="710"/>
      <c r="BJ132" s="710"/>
      <c r="BK132" s="710"/>
      <c r="BL132" s="710"/>
      <c r="BM132" s="710"/>
      <c r="BN132" s="710"/>
      <c r="BO132" s="710"/>
      <c r="BP132" s="710"/>
      <c r="BQ132" s="710"/>
      <c r="BR132" s="710"/>
      <c r="BS132" s="710"/>
      <c r="BT132" s="710"/>
    </row>
    <row r="133" spans="1:72" s="709" customFormat="1" ht="15.75">
      <c r="A133" s="556"/>
      <c r="B133" s="598"/>
      <c r="C133" s="601"/>
      <c r="D133" s="601"/>
      <c r="E133" s="601"/>
      <c r="F133" s="601"/>
      <c r="G133" s="601"/>
      <c r="H133" s="601"/>
      <c r="I133" s="601"/>
      <c r="J133" s="601"/>
      <c r="K133" s="601"/>
      <c r="L133" s="601"/>
      <c r="M133" s="601"/>
      <c r="N133" s="601"/>
      <c r="O133" s="601"/>
      <c r="P133" s="601"/>
      <c r="Q133" s="601"/>
      <c r="R133" s="601"/>
      <c r="S133" s="724"/>
      <c r="T133" s="724"/>
      <c r="U133" s="724"/>
      <c r="V133" s="724"/>
      <c r="W133" s="601"/>
      <c r="X133" s="601"/>
      <c r="Y133" s="724"/>
      <c r="Z133" s="724"/>
      <c r="AA133" s="601"/>
      <c r="AB133" s="601"/>
      <c r="AC133" s="601"/>
      <c r="AD133" s="724"/>
      <c r="AE133" s="724"/>
      <c r="AF133" s="724"/>
      <c r="AG133" s="724"/>
      <c r="AH133" s="724"/>
      <c r="AI133" s="724"/>
      <c r="AJ133" s="724"/>
      <c r="AK133" s="724"/>
      <c r="AL133" s="724"/>
      <c r="AM133" s="724"/>
      <c r="AN133" s="724"/>
      <c r="AO133" s="724"/>
      <c r="AP133" s="724"/>
      <c r="AQ133" s="724"/>
      <c r="AR133" s="724"/>
      <c r="AS133" s="724"/>
      <c r="AT133" s="724"/>
      <c r="AU133" s="724"/>
      <c r="AV133" s="724"/>
      <c r="AW133" s="724"/>
      <c r="AX133" s="724"/>
      <c r="AY133" s="598"/>
      <c r="AZ133" s="598"/>
      <c r="BA133" s="604"/>
      <c r="BB133" s="723"/>
      <c r="BC133" s="571"/>
      <c r="BD133" s="572"/>
      <c r="BE133" s="710"/>
      <c r="BF133" s="710"/>
      <c r="BG133" s="710"/>
      <c r="BH133" s="710"/>
      <c r="BI133" s="710"/>
      <c r="BJ133" s="710"/>
      <c r="BK133" s="710"/>
      <c r="BL133" s="710"/>
      <c r="BM133" s="710"/>
      <c r="BN133" s="710"/>
      <c r="BO133" s="710"/>
      <c r="BP133" s="710"/>
      <c r="BQ133" s="710"/>
      <c r="BR133" s="710"/>
      <c r="BS133" s="710"/>
      <c r="BT133" s="710"/>
    </row>
    <row r="134" spans="1:72" s="709" customFormat="1" ht="15.75">
      <c r="A134" s="573"/>
      <c r="B134" s="715"/>
      <c r="C134" s="716"/>
      <c r="D134" s="716"/>
      <c r="E134" s="716"/>
      <c r="F134" s="716"/>
      <c r="G134" s="716"/>
      <c r="H134" s="716"/>
      <c r="I134" s="716"/>
      <c r="J134" s="716"/>
      <c r="K134" s="716"/>
      <c r="L134" s="716"/>
      <c r="M134" s="716"/>
      <c r="N134" s="716"/>
      <c r="O134" s="716"/>
      <c r="P134" s="716"/>
      <c r="Q134" s="716"/>
      <c r="R134" s="716"/>
      <c r="S134" s="717"/>
      <c r="T134" s="717"/>
      <c r="U134" s="717"/>
      <c r="V134" s="717"/>
      <c r="W134" s="716"/>
      <c r="X134" s="716"/>
      <c r="Y134" s="717"/>
      <c r="Z134" s="717"/>
      <c r="AA134" s="716"/>
      <c r="AB134" s="716"/>
      <c r="AC134" s="716"/>
      <c r="AD134" s="717"/>
      <c r="AE134" s="717"/>
      <c r="AF134" s="717"/>
      <c r="AG134" s="717"/>
      <c r="AH134" s="717"/>
      <c r="AI134" s="717"/>
      <c r="AJ134" s="717"/>
      <c r="AK134" s="717"/>
      <c r="AL134" s="717"/>
      <c r="AM134" s="717"/>
      <c r="AN134" s="717"/>
      <c r="AO134" s="717"/>
      <c r="AP134" s="717"/>
      <c r="AQ134" s="717"/>
      <c r="AR134" s="717"/>
      <c r="AS134" s="717"/>
      <c r="AT134" s="717"/>
      <c r="AU134" s="717"/>
      <c r="AV134" s="717"/>
      <c r="AW134" s="717"/>
      <c r="AX134" s="717"/>
      <c r="AY134" s="715"/>
      <c r="AZ134" s="715"/>
      <c r="BA134" s="620"/>
      <c r="BB134" s="723"/>
      <c r="BC134" s="571"/>
      <c r="BD134" s="572"/>
      <c r="BE134" s="710"/>
      <c r="BF134" s="710"/>
      <c r="BG134" s="710"/>
      <c r="BH134" s="710"/>
      <c r="BI134" s="710"/>
      <c r="BJ134" s="710"/>
      <c r="BK134" s="710"/>
      <c r="BL134" s="710"/>
      <c r="BM134" s="710"/>
      <c r="BN134" s="710"/>
      <c r="BO134" s="710"/>
      <c r="BP134" s="710"/>
      <c r="BQ134" s="710"/>
      <c r="BR134" s="710"/>
      <c r="BS134" s="710"/>
      <c r="BT134" s="710"/>
    </row>
    <row r="135" spans="1:72" s="709" customFormat="1" ht="15.75">
      <c r="A135" s="545"/>
      <c r="B135" s="545"/>
      <c r="C135" s="545"/>
      <c r="D135" s="545"/>
      <c r="E135" s="545"/>
      <c r="F135" s="545"/>
      <c r="G135" s="545"/>
      <c r="H135" s="545"/>
      <c r="I135" s="545"/>
      <c r="J135" s="545"/>
      <c r="K135" s="545"/>
      <c r="L135" s="545"/>
      <c r="M135" s="545"/>
      <c r="N135" s="545"/>
      <c r="O135" s="545"/>
      <c r="P135" s="545"/>
      <c r="Q135" s="545"/>
      <c r="R135" s="545"/>
      <c r="S135" s="576"/>
      <c r="T135" s="576"/>
      <c r="U135" s="576"/>
      <c r="V135" s="576"/>
      <c r="W135" s="545"/>
      <c r="X135" s="545"/>
      <c r="Y135" s="576"/>
      <c r="Z135" s="576"/>
      <c r="AA135" s="545"/>
      <c r="AB135" s="545"/>
      <c r="AC135" s="545"/>
      <c r="AD135" s="576"/>
      <c r="AE135" s="576"/>
      <c r="AF135" s="576"/>
      <c r="AG135" s="576"/>
      <c r="AH135" s="576"/>
      <c r="AI135" s="576"/>
      <c r="AJ135" s="576"/>
      <c r="AK135" s="576"/>
      <c r="AL135" s="576"/>
      <c r="AM135" s="576"/>
      <c r="AN135" s="576"/>
      <c r="AO135" s="576"/>
      <c r="AP135" s="576"/>
      <c r="AQ135" s="576"/>
      <c r="AR135" s="576"/>
      <c r="AS135" s="576"/>
      <c r="AT135" s="576"/>
      <c r="AU135" s="576"/>
      <c r="AV135" s="576"/>
      <c r="AW135" s="576"/>
      <c r="AX135" s="576"/>
      <c r="AY135" s="576"/>
      <c r="AZ135" s="576"/>
      <c r="BA135" s="576"/>
      <c r="BB135" s="576"/>
      <c r="BC135" s="576"/>
      <c r="BD135" s="572"/>
      <c r="BE135" s="710"/>
      <c r="BF135" s="710"/>
      <c r="BG135" s="710"/>
      <c r="BH135" s="710"/>
      <c r="BI135" s="710"/>
      <c r="BJ135" s="710"/>
      <c r="BK135" s="710"/>
      <c r="BL135" s="710"/>
      <c r="BM135" s="710"/>
      <c r="BN135" s="710"/>
      <c r="BO135" s="710"/>
      <c r="BP135" s="710"/>
      <c r="BQ135" s="710"/>
      <c r="BR135" s="710"/>
      <c r="BS135" s="710"/>
      <c r="BT135" s="710"/>
    </row>
    <row r="136" spans="1:72" s="709" customFormat="1" ht="15.75">
      <c r="A136" s="545"/>
      <c r="B136" s="545"/>
      <c r="C136" s="545"/>
      <c r="D136" s="545"/>
      <c r="E136" s="545"/>
      <c r="F136" s="545"/>
      <c r="G136" s="545"/>
      <c r="H136" s="545"/>
      <c r="I136" s="545"/>
      <c r="J136" s="545"/>
      <c r="K136" s="545"/>
      <c r="L136" s="545"/>
      <c r="M136" s="545"/>
      <c r="N136" s="545"/>
      <c r="O136" s="545"/>
      <c r="P136" s="545"/>
      <c r="Q136" s="545"/>
      <c r="R136" s="545"/>
      <c r="S136" s="576"/>
      <c r="T136" s="576"/>
      <c r="U136" s="576"/>
      <c r="V136" s="576"/>
      <c r="W136" s="545"/>
      <c r="X136" s="545"/>
      <c r="Y136" s="576"/>
      <c r="Z136" s="576"/>
      <c r="AA136" s="545"/>
      <c r="AB136" s="545"/>
      <c r="AC136" s="545"/>
      <c r="AD136" s="576"/>
      <c r="AE136" s="576"/>
      <c r="AF136" s="576"/>
      <c r="AG136" s="576"/>
      <c r="AH136" s="576"/>
      <c r="AI136" s="576"/>
      <c r="AJ136" s="576"/>
      <c r="AK136" s="576"/>
      <c r="AL136" s="576"/>
      <c r="AM136" s="576"/>
      <c r="AN136" s="576"/>
      <c r="AO136" s="576"/>
      <c r="AP136" s="576"/>
      <c r="AQ136" s="576"/>
      <c r="AR136" s="576"/>
      <c r="AS136" s="576"/>
      <c r="AT136" s="576"/>
      <c r="AU136" s="576"/>
      <c r="AV136" s="576"/>
      <c r="AW136" s="576"/>
      <c r="AX136" s="576"/>
      <c r="AY136" s="576"/>
      <c r="AZ136" s="576"/>
      <c r="BA136" s="576"/>
      <c r="BB136" s="576"/>
      <c r="BC136" s="576"/>
      <c r="BD136" s="572"/>
      <c r="BE136" s="710"/>
      <c r="BF136" s="710"/>
      <c r="BG136" s="710"/>
      <c r="BH136" s="710"/>
      <c r="BI136" s="710"/>
      <c r="BJ136" s="710"/>
      <c r="BK136" s="710"/>
      <c r="BL136" s="710"/>
      <c r="BM136" s="710"/>
      <c r="BN136" s="710"/>
      <c r="BO136" s="710"/>
      <c r="BP136" s="710"/>
      <c r="BQ136" s="710"/>
      <c r="BR136" s="710"/>
      <c r="BS136" s="710"/>
      <c r="BT136" s="710"/>
    </row>
    <row r="137" spans="1:72" s="709" customFormat="1" ht="15.75">
      <c r="A137" s="545"/>
      <c r="B137" s="545"/>
      <c r="C137" s="545"/>
      <c r="D137" s="545"/>
      <c r="E137" s="545"/>
      <c r="F137" s="545"/>
      <c r="G137" s="545"/>
      <c r="H137" s="545"/>
      <c r="I137" s="545"/>
      <c r="J137" s="545"/>
      <c r="K137" s="545"/>
      <c r="L137" s="545"/>
      <c r="M137" s="545"/>
      <c r="N137" s="545"/>
      <c r="O137" s="545"/>
      <c r="P137" s="545"/>
      <c r="Q137" s="545"/>
      <c r="R137" s="545"/>
      <c r="S137" s="576"/>
      <c r="T137" s="576"/>
      <c r="U137" s="576"/>
      <c r="V137" s="576"/>
      <c r="W137" s="545"/>
      <c r="X137" s="545"/>
      <c r="Y137" s="576"/>
      <c r="Z137" s="576"/>
      <c r="AA137" s="545"/>
      <c r="AB137" s="545"/>
      <c r="AC137" s="545"/>
      <c r="AD137" s="576"/>
      <c r="AE137" s="576"/>
      <c r="AF137" s="576"/>
      <c r="AG137" s="576"/>
      <c r="AH137" s="576"/>
      <c r="AI137" s="576"/>
      <c r="AJ137" s="576"/>
      <c r="AK137" s="576"/>
      <c r="AL137" s="576"/>
      <c r="AM137" s="576"/>
      <c r="AN137" s="576"/>
      <c r="AO137" s="576"/>
      <c r="AP137" s="576"/>
      <c r="AQ137" s="576"/>
      <c r="AR137" s="576"/>
      <c r="AS137" s="576"/>
      <c r="AT137" s="576"/>
      <c r="AU137" s="576"/>
      <c r="AV137" s="576"/>
      <c r="AW137" s="576"/>
      <c r="AX137" s="576"/>
      <c r="AY137" s="576"/>
      <c r="AZ137" s="576"/>
      <c r="BA137" s="576"/>
      <c r="BB137" s="576"/>
      <c r="BC137" s="576"/>
      <c r="BD137" s="572"/>
      <c r="BE137" s="710"/>
      <c r="BF137" s="710"/>
      <c r="BG137" s="710"/>
      <c r="BH137" s="710"/>
      <c r="BI137" s="710"/>
      <c r="BJ137" s="710"/>
      <c r="BK137" s="710"/>
      <c r="BL137" s="710"/>
      <c r="BM137" s="710"/>
      <c r="BN137" s="710"/>
      <c r="BO137" s="710"/>
      <c r="BP137" s="710"/>
      <c r="BQ137" s="710"/>
      <c r="BR137" s="710"/>
      <c r="BS137" s="710"/>
      <c r="BT137" s="710"/>
    </row>
    <row r="138" spans="1:72" s="709" customFormat="1" ht="15.75">
      <c r="A138" s="545"/>
      <c r="B138" s="545"/>
      <c r="C138" s="545"/>
      <c r="D138" s="545"/>
      <c r="E138" s="545"/>
      <c r="F138" s="545"/>
      <c r="G138" s="545"/>
      <c r="H138" s="545"/>
      <c r="I138" s="545"/>
      <c r="J138" s="545"/>
      <c r="K138" s="545"/>
      <c r="L138" s="545"/>
      <c r="M138" s="545"/>
      <c r="N138" s="545"/>
      <c r="O138" s="545"/>
      <c r="P138" s="545"/>
      <c r="Q138" s="545"/>
      <c r="R138" s="545"/>
      <c r="S138" s="576"/>
      <c r="T138" s="576"/>
      <c r="U138" s="576"/>
      <c r="V138" s="576"/>
      <c r="W138" s="545"/>
      <c r="X138" s="545"/>
      <c r="Y138" s="576"/>
      <c r="Z138" s="576"/>
      <c r="AA138" s="545"/>
      <c r="AB138" s="545"/>
      <c r="AC138" s="545"/>
      <c r="AD138" s="576"/>
      <c r="AE138" s="576"/>
      <c r="AF138" s="576"/>
      <c r="AG138" s="576"/>
      <c r="AH138" s="576"/>
      <c r="AI138" s="576"/>
      <c r="AJ138" s="576"/>
      <c r="AK138" s="576"/>
      <c r="AL138" s="576"/>
      <c r="AM138" s="576"/>
      <c r="AN138" s="576"/>
      <c r="AO138" s="576"/>
      <c r="AP138" s="576"/>
      <c r="AQ138" s="576"/>
      <c r="AR138" s="576"/>
      <c r="AS138" s="576"/>
      <c r="AT138" s="576"/>
      <c r="AU138" s="576"/>
      <c r="AV138" s="576"/>
      <c r="AW138" s="576"/>
      <c r="AX138" s="576"/>
      <c r="AY138" s="576"/>
      <c r="AZ138" s="576"/>
      <c r="BA138" s="576"/>
      <c r="BB138" s="576"/>
      <c r="BC138" s="576"/>
      <c r="BD138" s="572"/>
      <c r="BE138" s="710"/>
      <c r="BF138" s="710"/>
      <c r="BG138" s="710"/>
      <c r="BH138" s="710"/>
      <c r="BI138" s="710"/>
      <c r="BJ138" s="710"/>
      <c r="BK138" s="710"/>
      <c r="BL138" s="710"/>
      <c r="BM138" s="710"/>
      <c r="BN138" s="710"/>
      <c r="BO138" s="710"/>
      <c r="BP138" s="710"/>
      <c r="BQ138" s="710"/>
      <c r="BR138" s="710"/>
      <c r="BS138" s="710"/>
      <c r="BT138" s="710"/>
    </row>
    <row r="139" spans="1:72" s="709" customFormat="1" ht="15.75">
      <c r="A139" s="545"/>
      <c r="B139" s="545"/>
      <c r="C139" s="545"/>
      <c r="D139" s="545"/>
      <c r="E139" s="545"/>
      <c r="F139" s="545"/>
      <c r="G139" s="545"/>
      <c r="H139" s="545"/>
      <c r="I139" s="545"/>
      <c r="J139" s="545"/>
      <c r="K139" s="545"/>
      <c r="L139" s="545"/>
      <c r="M139" s="545"/>
      <c r="N139" s="545"/>
      <c r="O139" s="545"/>
      <c r="P139" s="545"/>
      <c r="Q139" s="545"/>
      <c r="R139" s="545"/>
      <c r="S139" s="576"/>
      <c r="T139" s="576"/>
      <c r="U139" s="576"/>
      <c r="V139" s="576"/>
      <c r="W139" s="545"/>
      <c r="X139" s="545"/>
      <c r="Y139" s="576"/>
      <c r="Z139" s="576"/>
      <c r="AA139" s="545"/>
      <c r="AB139" s="545"/>
      <c r="AC139" s="545"/>
      <c r="AD139" s="576"/>
      <c r="AE139" s="576"/>
      <c r="AF139" s="576"/>
      <c r="AG139" s="576"/>
      <c r="AH139" s="576"/>
      <c r="AI139" s="576"/>
      <c r="AJ139" s="576"/>
      <c r="AK139" s="576"/>
      <c r="AL139" s="576"/>
      <c r="AM139" s="576"/>
      <c r="AN139" s="576"/>
      <c r="AO139" s="576"/>
      <c r="AP139" s="576"/>
      <c r="AQ139" s="576"/>
      <c r="AR139" s="576"/>
      <c r="AS139" s="576"/>
      <c r="AT139" s="576"/>
      <c r="AU139" s="576"/>
      <c r="AV139" s="576"/>
      <c r="AW139" s="576"/>
      <c r="AX139" s="576"/>
      <c r="AY139" s="576"/>
      <c r="AZ139" s="576"/>
      <c r="BA139" s="576"/>
      <c r="BB139" s="576"/>
      <c r="BC139" s="576"/>
      <c r="BD139" s="572"/>
      <c r="BE139" s="710"/>
      <c r="BF139" s="710"/>
      <c r="BG139" s="710"/>
      <c r="BH139" s="710"/>
      <c r="BI139" s="710"/>
      <c r="BJ139" s="710"/>
      <c r="BK139" s="710"/>
      <c r="BL139" s="710"/>
      <c r="BM139" s="710"/>
      <c r="BN139" s="710"/>
      <c r="BO139" s="710"/>
      <c r="BP139" s="710"/>
      <c r="BQ139" s="710"/>
      <c r="BR139" s="710"/>
      <c r="BS139" s="710"/>
      <c r="BT139" s="710"/>
    </row>
    <row r="140" spans="1:72" s="709" customFormat="1" ht="15.75">
      <c r="A140" s="545"/>
      <c r="B140" s="545"/>
      <c r="C140" s="545"/>
      <c r="D140" s="545"/>
      <c r="E140" s="545"/>
      <c r="F140" s="545"/>
      <c r="G140" s="545"/>
      <c r="H140" s="545"/>
      <c r="I140" s="545"/>
      <c r="J140" s="545"/>
      <c r="K140" s="545"/>
      <c r="L140" s="545"/>
      <c r="M140" s="545"/>
      <c r="N140" s="545"/>
      <c r="O140" s="545"/>
      <c r="P140" s="545"/>
      <c r="Q140" s="545"/>
      <c r="R140" s="545"/>
      <c r="S140" s="576"/>
      <c r="T140" s="576"/>
      <c r="U140" s="576"/>
      <c r="V140" s="576"/>
      <c r="W140" s="545"/>
      <c r="X140" s="545"/>
      <c r="Y140" s="576"/>
      <c r="Z140" s="576"/>
      <c r="AA140" s="545"/>
      <c r="AB140" s="545"/>
      <c r="AC140" s="545"/>
      <c r="AD140" s="576"/>
      <c r="AE140" s="576"/>
      <c r="AF140" s="576"/>
      <c r="AG140" s="576"/>
      <c r="AH140" s="576"/>
      <c r="AI140" s="576"/>
      <c r="AJ140" s="576"/>
      <c r="AK140" s="576"/>
      <c r="AL140" s="576"/>
      <c r="AM140" s="576"/>
      <c r="AN140" s="576"/>
      <c r="AO140" s="576"/>
      <c r="AP140" s="576"/>
      <c r="AQ140" s="576"/>
      <c r="AR140" s="576"/>
      <c r="AS140" s="576"/>
      <c r="AT140" s="576"/>
      <c r="AU140" s="576"/>
      <c r="AV140" s="576"/>
      <c r="AW140" s="576"/>
      <c r="AX140" s="576"/>
      <c r="AY140" s="576"/>
      <c r="AZ140" s="576"/>
      <c r="BA140" s="576"/>
      <c r="BB140" s="576"/>
      <c r="BC140" s="576"/>
      <c r="BD140" s="572"/>
      <c r="BE140" s="710"/>
      <c r="BF140" s="710"/>
      <c r="BG140" s="710"/>
      <c r="BH140" s="710"/>
      <c r="BI140" s="710"/>
      <c r="BJ140" s="710"/>
      <c r="BK140" s="710"/>
      <c r="BL140" s="710"/>
      <c r="BM140" s="710"/>
      <c r="BN140" s="710"/>
      <c r="BO140" s="710"/>
      <c r="BP140" s="710"/>
      <c r="BQ140" s="710"/>
      <c r="BR140" s="710"/>
      <c r="BS140" s="710"/>
      <c r="BT140" s="710"/>
    </row>
    <row r="141" spans="1:72" s="709" customFormat="1" ht="15.75">
      <c r="A141" s="545"/>
      <c r="B141" s="545"/>
      <c r="C141" s="545"/>
      <c r="D141" s="545"/>
      <c r="E141" s="545"/>
      <c r="F141" s="545"/>
      <c r="G141" s="545"/>
      <c r="H141" s="545"/>
      <c r="I141" s="545"/>
      <c r="J141" s="545"/>
      <c r="K141" s="545"/>
      <c r="L141" s="545"/>
      <c r="M141" s="545"/>
      <c r="N141" s="545"/>
      <c r="O141" s="545"/>
      <c r="P141" s="545"/>
      <c r="Q141" s="545"/>
      <c r="R141" s="545"/>
      <c r="S141" s="576"/>
      <c r="T141" s="576"/>
      <c r="U141" s="576"/>
      <c r="V141" s="576"/>
      <c r="W141" s="545"/>
      <c r="X141" s="545"/>
      <c r="Y141" s="576"/>
      <c r="Z141" s="576"/>
      <c r="AA141" s="545"/>
      <c r="AB141" s="545"/>
      <c r="AC141" s="545"/>
      <c r="AD141" s="576"/>
      <c r="AE141" s="576"/>
      <c r="AF141" s="576"/>
      <c r="AG141" s="576"/>
      <c r="AH141" s="576"/>
      <c r="AI141" s="576"/>
      <c r="AJ141" s="576"/>
      <c r="AK141" s="576"/>
      <c r="AL141" s="576"/>
      <c r="AM141" s="576"/>
      <c r="AN141" s="576"/>
      <c r="AO141" s="576"/>
      <c r="AP141" s="576"/>
      <c r="AQ141" s="576"/>
      <c r="AR141" s="576"/>
      <c r="AS141" s="576"/>
      <c r="AT141" s="576"/>
      <c r="AU141" s="576"/>
      <c r="AV141" s="576"/>
      <c r="AW141" s="576"/>
      <c r="AX141" s="576"/>
      <c r="AY141" s="576"/>
      <c r="AZ141" s="576"/>
      <c r="BA141" s="576"/>
      <c r="BB141" s="576"/>
      <c r="BC141" s="576"/>
      <c r="BD141" s="572"/>
      <c r="BE141" s="710"/>
      <c r="BF141" s="710"/>
      <c r="BG141" s="710"/>
      <c r="BH141" s="710"/>
      <c r="BI141" s="710"/>
      <c r="BJ141" s="710"/>
      <c r="BK141" s="710"/>
      <c r="BL141" s="710"/>
      <c r="BM141" s="710"/>
      <c r="BN141" s="710"/>
      <c r="BO141" s="710"/>
      <c r="BP141" s="710"/>
      <c r="BQ141" s="710"/>
      <c r="BR141" s="710"/>
      <c r="BS141" s="710"/>
      <c r="BT141" s="710"/>
    </row>
    <row r="142" spans="1:72" s="709" customFormat="1" ht="15.75">
      <c r="A142" s="545"/>
      <c r="B142" s="545"/>
      <c r="C142" s="545"/>
      <c r="D142" s="545"/>
      <c r="E142" s="545"/>
      <c r="F142" s="545"/>
      <c r="G142" s="545"/>
      <c r="H142" s="545"/>
      <c r="I142" s="545"/>
      <c r="J142" s="545"/>
      <c r="K142" s="545"/>
      <c r="L142" s="545"/>
      <c r="M142" s="545"/>
      <c r="N142" s="545"/>
      <c r="O142" s="545"/>
      <c r="P142" s="545"/>
      <c r="Q142" s="545"/>
      <c r="R142" s="545"/>
      <c r="S142" s="576"/>
      <c r="T142" s="576"/>
      <c r="U142" s="576"/>
      <c r="V142" s="576"/>
      <c r="W142" s="545"/>
      <c r="X142" s="545"/>
      <c r="Y142" s="576"/>
      <c r="Z142" s="576"/>
      <c r="AA142" s="545"/>
      <c r="AB142" s="545"/>
      <c r="AC142" s="545"/>
      <c r="AD142" s="576"/>
      <c r="AE142" s="576"/>
      <c r="AF142" s="576"/>
      <c r="AG142" s="576"/>
      <c r="AH142" s="576"/>
      <c r="AI142" s="576"/>
      <c r="AJ142" s="576"/>
      <c r="AK142" s="576"/>
      <c r="AL142" s="576"/>
      <c r="AM142" s="576"/>
      <c r="AN142" s="576"/>
      <c r="AO142" s="576"/>
      <c r="AP142" s="576"/>
      <c r="AQ142" s="576"/>
      <c r="AR142" s="576"/>
      <c r="AS142" s="576"/>
      <c r="AT142" s="576"/>
      <c r="AU142" s="576"/>
      <c r="AV142" s="576"/>
      <c r="AW142" s="576"/>
      <c r="AX142" s="576"/>
      <c r="AY142" s="576"/>
      <c r="AZ142" s="576"/>
      <c r="BA142" s="576"/>
      <c r="BB142" s="576"/>
      <c r="BC142" s="576"/>
      <c r="BD142" s="572"/>
      <c r="BE142" s="710"/>
      <c r="BF142" s="710"/>
      <c r="BG142" s="710"/>
      <c r="BH142" s="710"/>
      <c r="BI142" s="710"/>
      <c r="BJ142" s="710"/>
      <c r="BK142" s="710"/>
      <c r="BL142" s="710"/>
      <c r="BM142" s="710"/>
      <c r="BN142" s="710"/>
      <c r="BO142" s="710"/>
      <c r="BP142" s="710"/>
      <c r="BQ142" s="710"/>
      <c r="BR142" s="710"/>
      <c r="BS142" s="710"/>
      <c r="BT142" s="710"/>
    </row>
    <row r="143" spans="1:72" s="709" customFormat="1" ht="15.75">
      <c r="A143" s="545"/>
      <c r="B143" s="545"/>
      <c r="C143" s="545"/>
      <c r="D143" s="545"/>
      <c r="E143" s="545"/>
      <c r="F143" s="545"/>
      <c r="G143" s="545"/>
      <c r="H143" s="545"/>
      <c r="I143" s="545"/>
      <c r="J143" s="545"/>
      <c r="K143" s="545"/>
      <c r="L143" s="545"/>
      <c r="M143" s="545"/>
      <c r="N143" s="545"/>
      <c r="O143" s="545"/>
      <c r="P143" s="545"/>
      <c r="Q143" s="545"/>
      <c r="R143" s="545"/>
      <c r="S143" s="576"/>
      <c r="T143" s="576"/>
      <c r="U143" s="576"/>
      <c r="V143" s="576"/>
      <c r="W143" s="545"/>
      <c r="X143" s="545"/>
      <c r="Y143" s="576"/>
      <c r="Z143" s="576"/>
      <c r="AA143" s="545"/>
      <c r="AB143" s="545"/>
      <c r="AC143" s="545"/>
      <c r="AD143" s="576"/>
      <c r="AE143" s="576"/>
      <c r="AF143" s="576"/>
      <c r="AG143" s="576"/>
      <c r="AH143" s="576"/>
      <c r="AI143" s="576"/>
      <c r="AJ143" s="576"/>
      <c r="AK143" s="576"/>
      <c r="AL143" s="576"/>
      <c r="AM143" s="576"/>
      <c r="AN143" s="576"/>
      <c r="AO143" s="576"/>
      <c r="AP143" s="576"/>
      <c r="AQ143" s="576"/>
      <c r="AR143" s="576"/>
      <c r="AS143" s="576"/>
      <c r="AT143" s="576"/>
      <c r="AU143" s="576"/>
      <c r="AV143" s="576"/>
      <c r="AW143" s="576"/>
      <c r="AX143" s="576"/>
      <c r="AY143" s="576"/>
      <c r="AZ143" s="576"/>
      <c r="BA143" s="576"/>
      <c r="BB143" s="576"/>
      <c r="BC143" s="576"/>
      <c r="BD143" s="572"/>
      <c r="BE143" s="710"/>
      <c r="BF143" s="710"/>
      <c r="BG143" s="710"/>
      <c r="BH143" s="710"/>
      <c r="BI143" s="710"/>
      <c r="BJ143" s="710"/>
      <c r="BK143" s="710"/>
      <c r="BL143" s="710"/>
      <c r="BM143" s="710"/>
      <c r="BN143" s="710"/>
      <c r="BO143" s="710"/>
      <c r="BP143" s="710"/>
      <c r="BQ143" s="710"/>
      <c r="BR143" s="710"/>
      <c r="BS143" s="710"/>
      <c r="BT143" s="710"/>
    </row>
    <row r="144" spans="1:72" s="709" customFormat="1" ht="15.75">
      <c r="A144" s="545"/>
      <c r="B144" s="545"/>
      <c r="C144" s="545"/>
      <c r="D144" s="545"/>
      <c r="E144" s="545"/>
      <c r="F144" s="545"/>
      <c r="G144" s="545"/>
      <c r="H144" s="545"/>
      <c r="I144" s="545"/>
      <c r="J144" s="545"/>
      <c r="K144" s="545"/>
      <c r="L144" s="545"/>
      <c r="M144" s="545"/>
      <c r="N144" s="545"/>
      <c r="O144" s="545"/>
      <c r="P144" s="545"/>
      <c r="Q144" s="545"/>
      <c r="R144" s="545"/>
      <c r="S144" s="576"/>
      <c r="T144" s="576"/>
      <c r="U144" s="576"/>
      <c r="V144" s="576"/>
      <c r="W144" s="545"/>
      <c r="X144" s="545"/>
      <c r="Y144" s="576"/>
      <c r="Z144" s="576"/>
      <c r="AA144" s="545"/>
      <c r="AB144" s="545"/>
      <c r="AC144" s="545"/>
      <c r="AD144" s="576"/>
      <c r="AE144" s="576"/>
      <c r="AF144" s="576"/>
      <c r="AG144" s="576"/>
      <c r="AH144" s="576"/>
      <c r="AI144" s="576"/>
      <c r="AJ144" s="576"/>
      <c r="AK144" s="576"/>
      <c r="AL144" s="576"/>
      <c r="AM144" s="576"/>
      <c r="AN144" s="576"/>
      <c r="AO144" s="576"/>
      <c r="AP144" s="576"/>
      <c r="AQ144" s="576"/>
      <c r="AR144" s="576"/>
      <c r="AS144" s="576"/>
      <c r="AT144" s="576"/>
      <c r="AU144" s="576"/>
      <c r="AV144" s="576"/>
      <c r="AW144" s="576"/>
      <c r="AX144" s="576"/>
      <c r="AY144" s="576"/>
      <c r="AZ144" s="576"/>
      <c r="BA144" s="576"/>
      <c r="BB144" s="576"/>
      <c r="BC144" s="576"/>
      <c r="BD144" s="572"/>
      <c r="BE144" s="710"/>
      <c r="BF144" s="710"/>
      <c r="BG144" s="710"/>
      <c r="BH144" s="710"/>
      <c r="BI144" s="710"/>
      <c r="BJ144" s="710"/>
      <c r="BK144" s="710"/>
      <c r="BL144" s="710"/>
      <c r="BM144" s="710"/>
      <c r="BN144" s="710"/>
      <c r="BO144" s="710"/>
      <c r="BP144" s="710"/>
      <c r="BQ144" s="710"/>
      <c r="BR144" s="710"/>
      <c r="BS144" s="710"/>
      <c r="BT144" s="710"/>
    </row>
    <row r="145" spans="1:72" s="709" customFormat="1" ht="15.75">
      <c r="A145" s="545"/>
      <c r="B145" s="545"/>
      <c r="C145" s="545"/>
      <c r="D145" s="545"/>
      <c r="E145" s="545"/>
      <c r="F145" s="545"/>
      <c r="G145" s="545"/>
      <c r="H145" s="545"/>
      <c r="I145" s="545"/>
      <c r="J145" s="545"/>
      <c r="K145" s="545"/>
      <c r="L145" s="545"/>
      <c r="M145" s="545"/>
      <c r="N145" s="545"/>
      <c r="O145" s="545"/>
      <c r="P145" s="545"/>
      <c r="Q145" s="545"/>
      <c r="R145" s="545"/>
      <c r="S145" s="576"/>
      <c r="T145" s="576"/>
      <c r="U145" s="576"/>
      <c r="V145" s="576"/>
      <c r="W145" s="545"/>
      <c r="X145" s="545"/>
      <c r="Y145" s="576"/>
      <c r="Z145" s="576"/>
      <c r="AA145" s="545"/>
      <c r="AB145" s="545"/>
      <c r="AC145" s="545"/>
      <c r="AD145" s="576"/>
      <c r="AE145" s="576"/>
      <c r="AF145" s="576"/>
      <c r="AG145" s="576"/>
      <c r="AH145" s="576"/>
      <c r="AI145" s="576"/>
      <c r="AJ145" s="576"/>
      <c r="AK145" s="576"/>
      <c r="AL145" s="576"/>
      <c r="AM145" s="576"/>
      <c r="AN145" s="576"/>
      <c r="AO145" s="576"/>
      <c r="AP145" s="576"/>
      <c r="AQ145" s="576"/>
      <c r="AR145" s="576"/>
      <c r="AS145" s="576"/>
      <c r="AT145" s="576"/>
      <c r="AU145" s="576"/>
      <c r="AV145" s="576"/>
      <c r="AW145" s="576"/>
      <c r="AX145" s="576"/>
      <c r="AY145" s="576"/>
      <c r="AZ145" s="576"/>
      <c r="BA145" s="576"/>
      <c r="BB145" s="576"/>
      <c r="BC145" s="576"/>
      <c r="BD145" s="572"/>
      <c r="BE145" s="710"/>
      <c r="BF145" s="710"/>
      <c r="BG145" s="710"/>
      <c r="BH145" s="710"/>
      <c r="BI145" s="710"/>
      <c r="BJ145" s="710"/>
      <c r="BK145" s="710"/>
      <c r="BL145" s="710"/>
      <c r="BM145" s="710"/>
      <c r="BN145" s="710"/>
      <c r="BO145" s="710"/>
      <c r="BP145" s="710"/>
      <c r="BQ145" s="710"/>
      <c r="BR145" s="710"/>
      <c r="BS145" s="710"/>
      <c r="BT145" s="710"/>
    </row>
    <row r="146" spans="1:72" s="709" customFormat="1" ht="15.75">
      <c r="A146" s="545"/>
      <c r="B146" s="545"/>
      <c r="C146" s="545"/>
      <c r="D146" s="545"/>
      <c r="E146" s="545"/>
      <c r="F146" s="545"/>
      <c r="G146" s="545"/>
      <c r="H146" s="545"/>
      <c r="I146" s="545"/>
      <c r="J146" s="545"/>
      <c r="K146" s="545"/>
      <c r="L146" s="545"/>
      <c r="M146" s="545"/>
      <c r="N146" s="545"/>
      <c r="O146" s="545"/>
      <c r="P146" s="545"/>
      <c r="Q146" s="545"/>
      <c r="R146" s="545"/>
      <c r="S146" s="576"/>
      <c r="T146" s="576"/>
      <c r="U146" s="576"/>
      <c r="V146" s="576"/>
      <c r="W146" s="545"/>
      <c r="X146" s="545"/>
      <c r="Y146" s="576"/>
      <c r="Z146" s="576"/>
      <c r="AA146" s="545"/>
      <c r="AB146" s="545"/>
      <c r="AC146" s="545"/>
      <c r="AD146" s="576"/>
      <c r="AE146" s="576"/>
      <c r="AF146" s="576"/>
      <c r="AG146" s="576"/>
      <c r="AH146" s="576"/>
      <c r="AI146" s="576"/>
      <c r="AJ146" s="576"/>
      <c r="AK146" s="576"/>
      <c r="AL146" s="576"/>
      <c r="AM146" s="576"/>
      <c r="AN146" s="576"/>
      <c r="AO146" s="576"/>
      <c r="AP146" s="576"/>
      <c r="AQ146" s="576"/>
      <c r="AR146" s="576"/>
      <c r="AS146" s="576"/>
      <c r="AT146" s="576"/>
      <c r="AU146" s="576"/>
      <c r="AV146" s="576"/>
      <c r="AW146" s="576"/>
      <c r="AX146" s="576"/>
      <c r="AY146" s="576"/>
      <c r="AZ146" s="576"/>
      <c r="BA146" s="576"/>
      <c r="BB146" s="576"/>
      <c r="BC146" s="576"/>
      <c r="BD146" s="572"/>
      <c r="BE146" s="710"/>
      <c r="BF146" s="710"/>
      <c r="BG146" s="710"/>
      <c r="BH146" s="710"/>
      <c r="BI146" s="710"/>
      <c r="BJ146" s="710"/>
      <c r="BK146" s="710"/>
      <c r="BL146" s="710"/>
      <c r="BM146" s="710"/>
      <c r="BN146" s="710"/>
      <c r="BO146" s="710"/>
      <c r="BP146" s="710"/>
      <c r="BQ146" s="710"/>
      <c r="BR146" s="710"/>
      <c r="BS146" s="710"/>
      <c r="BT146" s="710"/>
    </row>
    <row r="147" spans="1:72" s="709" customFormat="1" ht="15.75">
      <c r="A147" s="545"/>
      <c r="B147" s="545"/>
      <c r="C147" s="545"/>
      <c r="D147" s="545"/>
      <c r="E147" s="545"/>
      <c r="F147" s="545"/>
      <c r="G147" s="545"/>
      <c r="H147" s="545"/>
      <c r="I147" s="545"/>
      <c r="J147" s="545"/>
      <c r="K147" s="545"/>
      <c r="L147" s="545"/>
      <c r="M147" s="545"/>
      <c r="N147" s="545"/>
      <c r="O147" s="545"/>
      <c r="P147" s="545"/>
      <c r="Q147" s="545"/>
      <c r="R147" s="545"/>
      <c r="S147" s="576"/>
      <c r="T147" s="576"/>
      <c r="U147" s="576"/>
      <c r="V147" s="576"/>
      <c r="W147" s="545"/>
      <c r="X147" s="545"/>
      <c r="Y147" s="576"/>
      <c r="Z147" s="576"/>
      <c r="AA147" s="545"/>
      <c r="AB147" s="545"/>
      <c r="AC147" s="545"/>
      <c r="AD147" s="576"/>
      <c r="AE147" s="576"/>
      <c r="AF147" s="576"/>
      <c r="AG147" s="576"/>
      <c r="AH147" s="576"/>
      <c r="AI147" s="576"/>
      <c r="AJ147" s="576"/>
      <c r="AK147" s="576"/>
      <c r="AL147" s="576"/>
      <c r="AM147" s="576"/>
      <c r="AN147" s="576"/>
      <c r="AO147" s="576"/>
      <c r="AP147" s="576"/>
      <c r="AQ147" s="576"/>
      <c r="AR147" s="576"/>
      <c r="AS147" s="576"/>
      <c r="AT147" s="576"/>
      <c r="AU147" s="576"/>
      <c r="AV147" s="576"/>
      <c r="AW147" s="576"/>
      <c r="AX147" s="576"/>
      <c r="AY147" s="576"/>
      <c r="AZ147" s="576"/>
      <c r="BA147" s="576"/>
      <c r="BB147" s="576"/>
      <c r="BC147" s="576"/>
      <c r="BD147" s="572"/>
      <c r="BE147" s="710"/>
      <c r="BF147" s="710"/>
      <c r="BG147" s="710"/>
      <c r="BH147" s="710"/>
      <c r="BI147" s="710"/>
      <c r="BJ147" s="710"/>
      <c r="BK147" s="710"/>
      <c r="BL147" s="710"/>
      <c r="BM147" s="710"/>
      <c r="BN147" s="710"/>
      <c r="BO147" s="710"/>
      <c r="BP147" s="710"/>
      <c r="BQ147" s="710"/>
      <c r="BR147" s="710"/>
      <c r="BS147" s="710"/>
      <c r="BT147" s="710"/>
    </row>
    <row r="148" spans="1:72" s="709" customFormat="1" ht="15.75">
      <c r="A148" s="545"/>
      <c r="B148" s="545"/>
      <c r="C148" s="545"/>
      <c r="D148" s="545"/>
      <c r="E148" s="545"/>
      <c r="F148" s="545"/>
      <c r="G148" s="545"/>
      <c r="H148" s="545"/>
      <c r="I148" s="545"/>
      <c r="J148" s="545"/>
      <c r="K148" s="545"/>
      <c r="L148" s="545"/>
      <c r="M148" s="545"/>
      <c r="N148" s="545"/>
      <c r="O148" s="545"/>
      <c r="P148" s="545"/>
      <c r="Q148" s="545"/>
      <c r="R148" s="545"/>
      <c r="S148" s="576"/>
      <c r="T148" s="576"/>
      <c r="U148" s="576"/>
      <c r="V148" s="576"/>
      <c r="W148" s="545"/>
      <c r="X148" s="545"/>
      <c r="Y148" s="576"/>
      <c r="Z148" s="576"/>
      <c r="AA148" s="545"/>
      <c r="AB148" s="545"/>
      <c r="AC148" s="545"/>
      <c r="AD148" s="576"/>
      <c r="AE148" s="576"/>
      <c r="AF148" s="576"/>
      <c r="AG148" s="576"/>
      <c r="AH148" s="576"/>
      <c r="AI148" s="576"/>
      <c r="AJ148" s="576"/>
      <c r="AK148" s="576"/>
      <c r="AL148" s="576"/>
      <c r="AM148" s="576"/>
      <c r="AN148" s="576"/>
      <c r="AO148" s="576"/>
      <c r="AP148" s="576"/>
      <c r="AQ148" s="576"/>
      <c r="AR148" s="576"/>
      <c r="AS148" s="576"/>
      <c r="AT148" s="576"/>
      <c r="AU148" s="576"/>
      <c r="AV148" s="576"/>
      <c r="AW148" s="576"/>
      <c r="AX148" s="576"/>
      <c r="AY148" s="576"/>
      <c r="AZ148" s="576"/>
      <c r="BA148" s="576"/>
      <c r="BB148" s="576"/>
      <c r="BC148" s="576"/>
      <c r="BD148" s="572"/>
      <c r="BE148" s="710"/>
      <c r="BF148" s="710"/>
      <c r="BG148" s="710"/>
      <c r="BH148" s="710"/>
      <c r="BI148" s="710"/>
      <c r="BJ148" s="710"/>
      <c r="BK148" s="710"/>
      <c r="BL148" s="710"/>
      <c r="BM148" s="710"/>
      <c r="BN148" s="710"/>
      <c r="BO148" s="710"/>
      <c r="BP148" s="710"/>
      <c r="BQ148" s="710"/>
      <c r="BR148" s="710"/>
      <c r="BS148" s="710"/>
      <c r="BT148" s="710"/>
    </row>
    <row r="149" spans="1:72" s="709" customFormat="1" ht="15.75">
      <c r="A149" s="545"/>
      <c r="B149" s="545"/>
      <c r="C149" s="545"/>
      <c r="D149" s="545"/>
      <c r="E149" s="545"/>
      <c r="F149" s="545"/>
      <c r="G149" s="545"/>
      <c r="H149" s="545"/>
      <c r="I149" s="545"/>
      <c r="J149" s="545"/>
      <c r="K149" s="545"/>
      <c r="L149" s="545"/>
      <c r="M149" s="545"/>
      <c r="N149" s="545"/>
      <c r="O149" s="545"/>
      <c r="P149" s="545"/>
      <c r="Q149" s="545"/>
      <c r="R149" s="545"/>
      <c r="S149" s="576"/>
      <c r="T149" s="576"/>
      <c r="U149" s="576"/>
      <c r="V149" s="576"/>
      <c r="W149" s="545"/>
      <c r="X149" s="545"/>
      <c r="Y149" s="576"/>
      <c r="Z149" s="576"/>
      <c r="AA149" s="545"/>
      <c r="AB149" s="545"/>
      <c r="AC149" s="545"/>
      <c r="AD149" s="576"/>
      <c r="AE149" s="576"/>
      <c r="AF149" s="576"/>
      <c r="AG149" s="576"/>
      <c r="AH149" s="576"/>
      <c r="AI149" s="576"/>
      <c r="AJ149" s="576"/>
      <c r="AK149" s="576"/>
      <c r="AL149" s="576"/>
      <c r="AM149" s="576"/>
      <c r="AN149" s="576"/>
      <c r="AO149" s="576"/>
      <c r="AP149" s="576"/>
      <c r="AQ149" s="576"/>
      <c r="AR149" s="576"/>
      <c r="AS149" s="576"/>
      <c r="AT149" s="576"/>
      <c r="AU149" s="576"/>
      <c r="AV149" s="576"/>
      <c r="AW149" s="576"/>
      <c r="AX149" s="576"/>
      <c r="AY149" s="576"/>
      <c r="AZ149" s="576"/>
      <c r="BA149" s="576"/>
      <c r="BB149" s="576"/>
      <c r="BC149" s="576"/>
      <c r="BD149" s="572"/>
      <c r="BE149" s="710"/>
      <c r="BF149" s="710"/>
      <c r="BG149" s="710"/>
      <c r="BH149" s="710"/>
      <c r="BI149" s="710"/>
      <c r="BJ149" s="710"/>
      <c r="BK149" s="710"/>
      <c r="BL149" s="710"/>
      <c r="BM149" s="710"/>
      <c r="BN149" s="710"/>
      <c r="BO149" s="710"/>
      <c r="BP149" s="710"/>
      <c r="BQ149" s="710"/>
      <c r="BR149" s="710"/>
      <c r="BS149" s="710"/>
      <c r="BT149" s="710"/>
    </row>
    <row r="150" spans="1:72" s="709" customFormat="1" ht="15.75">
      <c r="A150" s="545"/>
      <c r="B150" s="545"/>
      <c r="C150" s="545"/>
      <c r="D150" s="545"/>
      <c r="E150" s="545"/>
      <c r="F150" s="545"/>
      <c r="G150" s="545"/>
      <c r="H150" s="545"/>
      <c r="I150" s="545"/>
      <c r="J150" s="545"/>
      <c r="K150" s="545"/>
      <c r="L150" s="545"/>
      <c r="M150" s="545"/>
      <c r="N150" s="545"/>
      <c r="O150" s="545"/>
      <c r="P150" s="545"/>
      <c r="Q150" s="545"/>
      <c r="R150" s="545"/>
      <c r="S150" s="576"/>
      <c r="T150" s="576"/>
      <c r="U150" s="576"/>
      <c r="V150" s="576"/>
      <c r="W150" s="545"/>
      <c r="X150" s="545"/>
      <c r="Y150" s="576"/>
      <c r="Z150" s="576"/>
      <c r="AA150" s="545"/>
      <c r="AB150" s="545"/>
      <c r="AC150" s="545"/>
      <c r="AD150" s="576"/>
      <c r="AE150" s="576"/>
      <c r="AF150" s="576"/>
      <c r="AG150" s="576"/>
      <c r="AH150" s="576"/>
      <c r="AI150" s="576"/>
      <c r="AJ150" s="576"/>
      <c r="AK150" s="576"/>
      <c r="AL150" s="576"/>
      <c r="AM150" s="576"/>
      <c r="AN150" s="576"/>
      <c r="AO150" s="576"/>
      <c r="AP150" s="576"/>
      <c r="AQ150" s="576"/>
      <c r="AR150" s="576"/>
      <c r="AS150" s="576"/>
      <c r="AT150" s="576"/>
      <c r="AU150" s="576"/>
      <c r="AV150" s="576"/>
      <c r="AW150" s="576"/>
      <c r="AX150" s="576"/>
      <c r="AY150" s="576"/>
      <c r="AZ150" s="576"/>
      <c r="BA150" s="576"/>
      <c r="BB150" s="576"/>
      <c r="BC150" s="576"/>
      <c r="BD150" s="572"/>
      <c r="BE150" s="710"/>
      <c r="BF150" s="710"/>
      <c r="BG150" s="710"/>
      <c r="BH150" s="710"/>
      <c r="BI150" s="710"/>
      <c r="BJ150" s="710"/>
      <c r="BK150" s="710"/>
      <c r="BL150" s="710"/>
      <c r="BM150" s="710"/>
      <c r="BN150" s="710"/>
      <c r="BO150" s="710"/>
      <c r="BP150" s="710"/>
      <c r="BQ150" s="710"/>
      <c r="BR150" s="710"/>
      <c r="BS150" s="710"/>
      <c r="BT150" s="710"/>
    </row>
    <row r="151" spans="1:72" s="709" customFormat="1" ht="15.75">
      <c r="A151" s="545"/>
      <c r="B151" s="545"/>
      <c r="C151" s="545"/>
      <c r="D151" s="545"/>
      <c r="E151" s="545"/>
      <c r="F151" s="545"/>
      <c r="G151" s="545"/>
      <c r="H151" s="545"/>
      <c r="I151" s="545"/>
      <c r="J151" s="545"/>
      <c r="K151" s="545"/>
      <c r="L151" s="545"/>
      <c r="M151" s="545"/>
      <c r="N151" s="545"/>
      <c r="O151" s="545"/>
      <c r="P151" s="545"/>
      <c r="Q151" s="545"/>
      <c r="R151" s="545"/>
      <c r="S151" s="576"/>
      <c r="T151" s="576"/>
      <c r="U151" s="576"/>
      <c r="V151" s="576"/>
      <c r="W151" s="545"/>
      <c r="X151" s="545"/>
      <c r="Y151" s="576"/>
      <c r="Z151" s="576"/>
      <c r="AA151" s="545"/>
      <c r="AB151" s="545"/>
      <c r="AC151" s="545"/>
      <c r="AD151" s="576"/>
      <c r="AE151" s="576"/>
      <c r="AF151" s="576"/>
      <c r="AG151" s="576"/>
      <c r="AH151" s="576"/>
      <c r="AI151" s="576"/>
      <c r="AJ151" s="576"/>
      <c r="AK151" s="576"/>
      <c r="AL151" s="576"/>
      <c r="AM151" s="576"/>
      <c r="AN151" s="576"/>
      <c r="AO151" s="576"/>
      <c r="AP151" s="576"/>
      <c r="AQ151" s="576"/>
      <c r="AR151" s="576"/>
      <c r="AS151" s="576"/>
      <c r="AT151" s="576"/>
      <c r="AU151" s="576"/>
      <c r="AV151" s="576"/>
      <c r="AW151" s="576"/>
      <c r="AX151" s="576"/>
      <c r="AY151" s="576"/>
      <c r="AZ151" s="576"/>
      <c r="BA151" s="576"/>
      <c r="BB151" s="576"/>
      <c r="BC151" s="576"/>
      <c r="BD151" s="572"/>
      <c r="BE151" s="710"/>
      <c r="BF151" s="710"/>
      <c r="BG151" s="710"/>
      <c r="BH151" s="710"/>
      <c r="BI151" s="710"/>
      <c r="BJ151" s="710"/>
      <c r="BK151" s="710"/>
      <c r="BL151" s="710"/>
      <c r="BM151" s="710"/>
      <c r="BN151" s="710"/>
      <c r="BO151" s="710"/>
      <c r="BP151" s="710"/>
      <c r="BQ151" s="710"/>
      <c r="BR151" s="710"/>
      <c r="BS151" s="710"/>
      <c r="BT151" s="710"/>
    </row>
    <row r="152" spans="1:72" s="709" customFormat="1" ht="15.75">
      <c r="A152" s="545"/>
      <c r="B152" s="545"/>
      <c r="C152" s="545"/>
      <c r="D152" s="545"/>
      <c r="E152" s="545"/>
      <c r="F152" s="545"/>
      <c r="G152" s="545"/>
      <c r="H152" s="545"/>
      <c r="I152" s="545"/>
      <c r="J152" s="545"/>
      <c r="K152" s="545"/>
      <c r="L152" s="545"/>
      <c r="M152" s="545"/>
      <c r="N152" s="545"/>
      <c r="O152" s="545"/>
      <c r="P152" s="545"/>
      <c r="Q152" s="545"/>
      <c r="R152" s="545"/>
      <c r="S152" s="576"/>
      <c r="T152" s="576"/>
      <c r="U152" s="576"/>
      <c r="V152" s="576"/>
      <c r="W152" s="545"/>
      <c r="X152" s="545"/>
      <c r="Y152" s="576"/>
      <c r="Z152" s="576"/>
      <c r="AA152" s="545"/>
      <c r="AB152" s="545"/>
      <c r="AC152" s="545"/>
      <c r="AD152" s="576"/>
      <c r="AE152" s="576"/>
      <c r="AF152" s="576"/>
      <c r="AG152" s="576"/>
      <c r="AH152" s="576"/>
      <c r="AI152" s="576"/>
      <c r="AJ152" s="576"/>
      <c r="AK152" s="576"/>
      <c r="AL152" s="576"/>
      <c r="AM152" s="576"/>
      <c r="AN152" s="576"/>
      <c r="AO152" s="576"/>
      <c r="AP152" s="576"/>
      <c r="AQ152" s="576"/>
      <c r="AR152" s="576"/>
      <c r="AS152" s="576"/>
      <c r="AT152" s="576"/>
      <c r="AU152" s="576"/>
      <c r="AV152" s="576"/>
      <c r="AW152" s="576"/>
      <c r="AX152" s="576"/>
      <c r="AY152" s="576"/>
      <c r="AZ152" s="576"/>
      <c r="BA152" s="576"/>
      <c r="BB152" s="576"/>
      <c r="BC152" s="576"/>
      <c r="BD152" s="572"/>
      <c r="BE152" s="710"/>
      <c r="BF152" s="710"/>
      <c r="BG152" s="710"/>
      <c r="BH152" s="710"/>
      <c r="BI152" s="710"/>
      <c r="BJ152" s="710"/>
      <c r="BK152" s="710"/>
      <c r="BL152" s="710"/>
      <c r="BM152" s="710"/>
      <c r="BN152" s="710"/>
      <c r="BO152" s="710"/>
      <c r="BP152" s="710"/>
      <c r="BQ152" s="710"/>
      <c r="BR152" s="710"/>
      <c r="BS152" s="710"/>
      <c r="BT152" s="710"/>
    </row>
    <row r="153" spans="1:72" s="709" customFormat="1" ht="15.75">
      <c r="A153" s="545"/>
      <c r="B153" s="545"/>
      <c r="C153" s="545"/>
      <c r="D153" s="545"/>
      <c r="E153" s="545"/>
      <c r="F153" s="545"/>
      <c r="G153" s="545"/>
      <c r="H153" s="545"/>
      <c r="I153" s="545"/>
      <c r="J153" s="545"/>
      <c r="K153" s="545"/>
      <c r="L153" s="545"/>
      <c r="M153" s="545"/>
      <c r="N153" s="545"/>
      <c r="O153" s="545"/>
      <c r="P153" s="545"/>
      <c r="Q153" s="545"/>
      <c r="R153" s="545"/>
      <c r="S153" s="576"/>
      <c r="T153" s="576"/>
      <c r="U153" s="576"/>
      <c r="V153" s="576"/>
      <c r="W153" s="545"/>
      <c r="X153" s="545"/>
      <c r="Y153" s="576"/>
      <c r="Z153" s="576"/>
      <c r="AA153" s="545"/>
      <c r="AB153" s="545"/>
      <c r="AC153" s="545"/>
      <c r="AD153" s="576"/>
      <c r="AE153" s="576"/>
      <c r="AF153" s="576"/>
      <c r="AG153" s="576"/>
      <c r="AH153" s="576"/>
      <c r="AI153" s="576"/>
      <c r="AJ153" s="576"/>
      <c r="AK153" s="576"/>
      <c r="AL153" s="576"/>
      <c r="AM153" s="576"/>
      <c r="AN153" s="576"/>
      <c r="AO153" s="576"/>
      <c r="AP153" s="576"/>
      <c r="AQ153" s="576"/>
      <c r="AR153" s="576"/>
      <c r="AS153" s="576"/>
      <c r="AT153" s="576"/>
      <c r="AU153" s="576"/>
      <c r="AV153" s="576"/>
      <c r="AW153" s="576"/>
      <c r="AX153" s="576"/>
      <c r="AY153" s="576"/>
      <c r="AZ153" s="576"/>
      <c r="BA153" s="576"/>
      <c r="BB153" s="576"/>
      <c r="BC153" s="576"/>
      <c r="BD153" s="572"/>
      <c r="BE153" s="710"/>
      <c r="BF153" s="710"/>
      <c r="BG153" s="710"/>
      <c r="BH153" s="710"/>
      <c r="BI153" s="710"/>
      <c r="BJ153" s="710"/>
      <c r="BK153" s="710"/>
      <c r="BL153" s="710"/>
      <c r="BM153" s="710"/>
      <c r="BN153" s="710"/>
      <c r="BO153" s="710"/>
      <c r="BP153" s="710"/>
      <c r="BQ153" s="710"/>
      <c r="BR153" s="710"/>
      <c r="BS153" s="710"/>
      <c r="BT153" s="710"/>
    </row>
    <row r="154" spans="1:72" s="709" customFormat="1" ht="15.75">
      <c r="A154" s="545"/>
      <c r="B154" s="545"/>
      <c r="C154" s="545"/>
      <c r="D154" s="545"/>
      <c r="E154" s="545"/>
      <c r="F154" s="545"/>
      <c r="G154" s="545"/>
      <c r="H154" s="545"/>
      <c r="I154" s="545"/>
      <c r="J154" s="545"/>
      <c r="K154" s="545"/>
      <c r="L154" s="545"/>
      <c r="M154" s="545"/>
      <c r="N154" s="545"/>
      <c r="O154" s="545"/>
      <c r="P154" s="545"/>
      <c r="Q154" s="545"/>
      <c r="R154" s="545"/>
      <c r="S154" s="576"/>
      <c r="T154" s="576"/>
      <c r="U154" s="576"/>
      <c r="V154" s="576"/>
      <c r="W154" s="545"/>
      <c r="X154" s="545"/>
      <c r="Y154" s="576"/>
      <c r="Z154" s="576"/>
      <c r="AA154" s="545"/>
      <c r="AB154" s="545"/>
      <c r="AC154" s="545"/>
      <c r="AD154" s="576"/>
      <c r="AE154" s="576"/>
      <c r="AF154" s="576"/>
      <c r="AG154" s="576"/>
      <c r="AH154" s="576"/>
      <c r="AI154" s="576"/>
      <c r="AJ154" s="576"/>
      <c r="AK154" s="576"/>
      <c r="AL154" s="576"/>
      <c r="AM154" s="576"/>
      <c r="AN154" s="576"/>
      <c r="AO154" s="576"/>
      <c r="AP154" s="576"/>
      <c r="AQ154" s="576"/>
      <c r="AR154" s="576"/>
      <c r="AS154" s="576"/>
      <c r="AT154" s="576"/>
      <c r="AU154" s="576"/>
      <c r="AV154" s="576"/>
      <c r="AW154" s="576"/>
      <c r="AX154" s="576"/>
      <c r="AY154" s="576"/>
      <c r="AZ154" s="576"/>
      <c r="BA154" s="576"/>
      <c r="BB154" s="576"/>
      <c r="BC154" s="576"/>
      <c r="BD154" s="572"/>
      <c r="BE154" s="710"/>
      <c r="BF154" s="710"/>
      <c r="BG154" s="710"/>
      <c r="BH154" s="710"/>
      <c r="BI154" s="710"/>
      <c r="BJ154" s="710"/>
      <c r="BK154" s="710"/>
      <c r="BL154" s="710"/>
      <c r="BM154" s="710"/>
      <c r="BN154" s="710"/>
      <c r="BO154" s="710"/>
      <c r="BP154" s="710"/>
      <c r="BQ154" s="710"/>
      <c r="BR154" s="710"/>
      <c r="BS154" s="710"/>
      <c r="BT154" s="710"/>
    </row>
    <row r="155" spans="1:72" s="709" customFormat="1" ht="15.75">
      <c r="A155" s="545"/>
      <c r="B155" s="545"/>
      <c r="C155" s="545"/>
      <c r="D155" s="545"/>
      <c r="E155" s="545"/>
      <c r="F155" s="545"/>
      <c r="G155" s="545"/>
      <c r="H155" s="545"/>
      <c r="I155" s="545"/>
      <c r="J155" s="545"/>
      <c r="K155" s="545"/>
      <c r="L155" s="545"/>
      <c r="M155" s="545"/>
      <c r="N155" s="545"/>
      <c r="O155" s="545"/>
      <c r="P155" s="545"/>
      <c r="Q155" s="545"/>
      <c r="R155" s="545"/>
      <c r="S155" s="576"/>
      <c r="T155" s="576"/>
      <c r="U155" s="576"/>
      <c r="V155" s="576"/>
      <c r="W155" s="545"/>
      <c r="X155" s="545"/>
      <c r="Y155" s="576"/>
      <c r="Z155" s="576"/>
      <c r="AA155" s="545"/>
      <c r="AB155" s="545"/>
      <c r="AC155" s="545"/>
      <c r="AD155" s="576"/>
      <c r="AE155" s="576"/>
      <c r="AF155" s="576"/>
      <c r="AG155" s="576"/>
      <c r="AH155" s="576"/>
      <c r="AI155" s="576"/>
      <c r="AJ155" s="576"/>
      <c r="AK155" s="576"/>
      <c r="AL155" s="576"/>
      <c r="AM155" s="576"/>
      <c r="AN155" s="576"/>
      <c r="AO155" s="576"/>
      <c r="AP155" s="576"/>
      <c r="AQ155" s="576"/>
      <c r="AR155" s="576"/>
      <c r="AS155" s="576"/>
      <c r="AT155" s="576"/>
      <c r="AU155" s="576"/>
      <c r="AV155" s="576"/>
      <c r="AW155" s="576"/>
      <c r="AX155" s="576"/>
      <c r="AY155" s="576"/>
      <c r="AZ155" s="576"/>
      <c r="BA155" s="576"/>
      <c r="BB155" s="576"/>
      <c r="BC155" s="576"/>
      <c r="BD155" s="572"/>
      <c r="BE155" s="710"/>
      <c r="BF155" s="710"/>
      <c r="BG155" s="710"/>
      <c r="BH155" s="710"/>
      <c r="BI155" s="710"/>
      <c r="BJ155" s="710"/>
      <c r="BK155" s="710"/>
      <c r="BL155" s="710"/>
      <c r="BM155" s="710"/>
      <c r="BN155" s="710"/>
      <c r="BO155" s="710"/>
      <c r="BP155" s="710"/>
      <c r="BQ155" s="710"/>
      <c r="BR155" s="710"/>
      <c r="BS155" s="710"/>
      <c r="BT155" s="710"/>
    </row>
    <row r="156" spans="1:72" s="709" customFormat="1" ht="15.75">
      <c r="A156" s="545"/>
      <c r="B156" s="545"/>
      <c r="C156" s="545"/>
      <c r="D156" s="545"/>
      <c r="E156" s="545"/>
      <c r="F156" s="545"/>
      <c r="G156" s="545"/>
      <c r="H156" s="545"/>
      <c r="I156" s="545"/>
      <c r="J156" s="545"/>
      <c r="K156" s="545"/>
      <c r="L156" s="545"/>
      <c r="M156" s="545"/>
      <c r="N156" s="545"/>
      <c r="O156" s="545"/>
      <c r="P156" s="545"/>
      <c r="Q156" s="545"/>
      <c r="R156" s="545"/>
      <c r="S156" s="576"/>
      <c r="T156" s="576"/>
      <c r="U156" s="576"/>
      <c r="V156" s="576"/>
      <c r="W156" s="545"/>
      <c r="X156" s="545"/>
      <c r="Y156" s="576"/>
      <c r="Z156" s="576"/>
      <c r="AA156" s="545"/>
      <c r="AB156" s="545"/>
      <c r="AC156" s="545"/>
      <c r="AD156" s="576"/>
      <c r="AE156" s="576"/>
      <c r="AF156" s="576"/>
      <c r="AG156" s="576"/>
      <c r="AH156" s="576"/>
      <c r="AI156" s="576"/>
      <c r="AJ156" s="576"/>
      <c r="AK156" s="576"/>
      <c r="AL156" s="576"/>
      <c r="AM156" s="576"/>
      <c r="AN156" s="576"/>
      <c r="AO156" s="576"/>
      <c r="AP156" s="576"/>
      <c r="AQ156" s="576"/>
      <c r="AR156" s="576"/>
      <c r="AS156" s="576"/>
      <c r="AT156" s="576"/>
      <c r="AU156" s="576"/>
      <c r="AV156" s="576"/>
      <c r="AW156" s="576"/>
      <c r="AX156" s="576"/>
      <c r="AY156" s="576"/>
      <c r="AZ156" s="576"/>
      <c r="BA156" s="576"/>
      <c r="BB156" s="576"/>
      <c r="BC156" s="576"/>
      <c r="BD156" s="572"/>
      <c r="BE156" s="710"/>
      <c r="BF156" s="710"/>
      <c r="BG156" s="710"/>
      <c r="BH156" s="710"/>
      <c r="BI156" s="710"/>
      <c r="BJ156" s="710"/>
      <c r="BK156" s="710"/>
      <c r="BL156" s="710"/>
      <c r="BM156" s="710"/>
      <c r="BN156" s="710"/>
      <c r="BO156" s="710"/>
      <c r="BP156" s="710"/>
      <c r="BQ156" s="710"/>
      <c r="BR156" s="710"/>
      <c r="BS156" s="710"/>
      <c r="BT156" s="710"/>
    </row>
    <row r="157" spans="1:72" s="709" customFormat="1" ht="15.75">
      <c r="A157" s="545"/>
      <c r="B157" s="545"/>
      <c r="C157" s="545"/>
      <c r="D157" s="545"/>
      <c r="E157" s="545"/>
      <c r="F157" s="545"/>
      <c r="G157" s="545"/>
      <c r="H157" s="545"/>
      <c r="I157" s="545"/>
      <c r="J157" s="545"/>
      <c r="K157" s="545"/>
      <c r="L157" s="545"/>
      <c r="M157" s="545"/>
      <c r="N157" s="545"/>
      <c r="O157" s="545"/>
      <c r="P157" s="545"/>
      <c r="Q157" s="545"/>
      <c r="R157" s="545"/>
      <c r="S157" s="576"/>
      <c r="T157" s="576"/>
      <c r="U157" s="576"/>
      <c r="V157" s="576"/>
      <c r="W157" s="545"/>
      <c r="X157" s="545"/>
      <c r="Y157" s="576"/>
      <c r="Z157" s="576"/>
      <c r="AA157" s="545"/>
      <c r="AB157" s="545"/>
      <c r="AC157" s="545"/>
      <c r="AD157" s="576"/>
      <c r="AE157" s="576"/>
      <c r="AF157" s="576"/>
      <c r="AG157" s="576"/>
      <c r="AH157" s="576"/>
      <c r="AI157" s="576"/>
      <c r="AJ157" s="576"/>
      <c r="AK157" s="576"/>
      <c r="AL157" s="576"/>
      <c r="AM157" s="576"/>
      <c r="AN157" s="576"/>
      <c r="AO157" s="576"/>
      <c r="AP157" s="576"/>
      <c r="AQ157" s="576"/>
      <c r="AR157" s="576"/>
      <c r="AS157" s="576"/>
      <c r="AT157" s="576"/>
      <c r="AU157" s="576"/>
      <c r="AV157" s="576"/>
      <c r="AW157" s="576"/>
      <c r="AX157" s="576"/>
      <c r="AY157" s="576"/>
      <c r="AZ157" s="576"/>
      <c r="BA157" s="576"/>
      <c r="BB157" s="576"/>
      <c r="BC157" s="576"/>
      <c r="BD157" s="572"/>
      <c r="BE157" s="710"/>
      <c r="BF157" s="710"/>
      <c r="BG157" s="710"/>
      <c r="BH157" s="710"/>
      <c r="BI157" s="710"/>
      <c r="BJ157" s="710"/>
      <c r="BK157" s="710"/>
      <c r="BL157" s="710"/>
      <c r="BM157" s="710"/>
      <c r="BN157" s="710"/>
      <c r="BO157" s="710"/>
      <c r="BP157" s="710"/>
      <c r="BQ157" s="710"/>
      <c r="BR157" s="710"/>
      <c r="BS157" s="710"/>
      <c r="BT157" s="710"/>
    </row>
    <row r="158" spans="1:72" s="709" customFormat="1" ht="15.75">
      <c r="A158" s="545"/>
      <c r="B158" s="545"/>
      <c r="C158" s="545"/>
      <c r="D158" s="545"/>
      <c r="E158" s="545"/>
      <c r="F158" s="545"/>
      <c r="G158" s="545"/>
      <c r="H158" s="545"/>
      <c r="I158" s="545"/>
      <c r="J158" s="545"/>
      <c r="K158" s="545"/>
      <c r="L158" s="545"/>
      <c r="M158" s="545"/>
      <c r="N158" s="545"/>
      <c r="O158" s="545"/>
      <c r="P158" s="545"/>
      <c r="Q158" s="545"/>
      <c r="R158" s="545"/>
      <c r="S158" s="576"/>
      <c r="T158" s="576"/>
      <c r="U158" s="576"/>
      <c r="V158" s="576"/>
      <c r="W158" s="545"/>
      <c r="X158" s="545"/>
      <c r="Y158" s="576"/>
      <c r="Z158" s="576"/>
      <c r="AA158" s="545"/>
      <c r="AB158" s="545"/>
      <c r="AC158" s="545"/>
      <c r="AD158" s="576"/>
      <c r="AE158" s="576"/>
      <c r="AF158" s="576"/>
      <c r="AG158" s="576"/>
      <c r="AH158" s="576"/>
      <c r="AI158" s="576"/>
      <c r="AJ158" s="576"/>
      <c r="AK158" s="576"/>
      <c r="AL158" s="576"/>
      <c r="AM158" s="576"/>
      <c r="AN158" s="576"/>
      <c r="AO158" s="576"/>
      <c r="AP158" s="576"/>
      <c r="AQ158" s="576"/>
      <c r="AR158" s="576"/>
      <c r="AS158" s="576"/>
      <c r="AT158" s="576"/>
      <c r="AU158" s="576"/>
      <c r="AV158" s="576"/>
      <c r="AW158" s="576"/>
      <c r="AX158" s="576"/>
      <c r="AY158" s="576"/>
      <c r="AZ158" s="576"/>
      <c r="BA158" s="576"/>
      <c r="BB158" s="576"/>
      <c r="BC158" s="576"/>
      <c r="BD158" s="572"/>
      <c r="BE158" s="710"/>
      <c r="BF158" s="710"/>
      <c r="BG158" s="710"/>
      <c r="BH158" s="710"/>
      <c r="BI158" s="710"/>
      <c r="BJ158" s="710"/>
      <c r="BK158" s="710"/>
      <c r="BL158" s="710"/>
      <c r="BM158" s="710"/>
      <c r="BN158" s="710"/>
      <c r="BO158" s="710"/>
      <c r="BP158" s="710"/>
      <c r="BQ158" s="710"/>
      <c r="BR158" s="710"/>
      <c r="BS158" s="710"/>
      <c r="BT158" s="710"/>
    </row>
    <row r="159" spans="1:72" s="709" customFormat="1" ht="15.75">
      <c r="A159" s="545"/>
      <c r="B159" s="545"/>
      <c r="C159" s="545"/>
      <c r="D159" s="545"/>
      <c r="E159" s="545"/>
      <c r="F159" s="545"/>
      <c r="G159" s="545"/>
      <c r="H159" s="545"/>
      <c r="I159" s="545"/>
      <c r="J159" s="545"/>
      <c r="K159" s="545"/>
      <c r="L159" s="545"/>
      <c r="M159" s="545"/>
      <c r="N159" s="545"/>
      <c r="O159" s="545"/>
      <c r="P159" s="545"/>
      <c r="Q159" s="545"/>
      <c r="R159" s="545"/>
      <c r="S159" s="576"/>
      <c r="T159" s="576"/>
      <c r="U159" s="576"/>
      <c r="V159" s="576"/>
      <c r="W159" s="545"/>
      <c r="X159" s="545"/>
      <c r="Y159" s="576"/>
      <c r="Z159" s="576"/>
      <c r="AA159" s="545"/>
      <c r="AB159" s="545"/>
      <c r="AC159" s="545"/>
      <c r="AD159" s="576"/>
      <c r="AE159" s="576"/>
      <c r="AF159" s="576"/>
      <c r="AG159" s="576"/>
      <c r="AH159" s="576"/>
      <c r="AI159" s="576"/>
      <c r="AJ159" s="576"/>
      <c r="AK159" s="576"/>
      <c r="AL159" s="576"/>
      <c r="AM159" s="576"/>
      <c r="AN159" s="576"/>
      <c r="AO159" s="576"/>
      <c r="AP159" s="576"/>
      <c r="AQ159" s="576"/>
      <c r="AR159" s="576"/>
      <c r="AS159" s="576"/>
      <c r="AT159" s="576"/>
      <c r="AU159" s="576"/>
      <c r="AV159" s="576"/>
      <c r="AW159" s="576"/>
      <c r="AX159" s="576"/>
      <c r="AY159" s="576"/>
      <c r="AZ159" s="576"/>
      <c r="BA159" s="576"/>
      <c r="BB159" s="576"/>
      <c r="BC159" s="576"/>
      <c r="BD159" s="572"/>
      <c r="BE159" s="710"/>
      <c r="BF159" s="710"/>
      <c r="BG159" s="710"/>
      <c r="BH159" s="710"/>
      <c r="BI159" s="710"/>
      <c r="BJ159" s="710"/>
      <c r="BK159" s="710"/>
      <c r="BL159" s="710"/>
      <c r="BM159" s="710"/>
      <c r="BN159" s="710"/>
      <c r="BO159" s="710"/>
      <c r="BP159" s="710"/>
      <c r="BQ159" s="710"/>
      <c r="BR159" s="710"/>
      <c r="BS159" s="710"/>
      <c r="BT159" s="710"/>
    </row>
    <row r="160" spans="1:72" s="709" customFormat="1" ht="15.75">
      <c r="A160" s="545"/>
      <c r="B160" s="545"/>
      <c r="C160" s="545"/>
      <c r="D160" s="545"/>
      <c r="E160" s="545"/>
      <c r="F160" s="545"/>
      <c r="G160" s="545"/>
      <c r="H160" s="545"/>
      <c r="I160" s="545"/>
      <c r="J160" s="545"/>
      <c r="K160" s="545"/>
      <c r="L160" s="545"/>
      <c r="M160" s="545"/>
      <c r="N160" s="545"/>
      <c r="O160" s="545"/>
      <c r="P160" s="545"/>
      <c r="Q160" s="545"/>
      <c r="R160" s="545"/>
      <c r="S160" s="576"/>
      <c r="T160" s="576"/>
      <c r="U160" s="576"/>
      <c r="V160" s="576"/>
      <c r="W160" s="545"/>
      <c r="X160" s="545"/>
      <c r="Y160" s="576"/>
      <c r="Z160" s="576"/>
      <c r="AA160" s="545"/>
      <c r="AB160" s="545"/>
      <c r="AC160" s="545"/>
      <c r="AD160" s="576"/>
      <c r="AE160" s="576"/>
      <c r="AF160" s="576"/>
      <c r="AG160" s="576"/>
      <c r="AH160" s="576"/>
      <c r="AI160" s="576"/>
      <c r="AJ160" s="576"/>
      <c r="AK160" s="576"/>
      <c r="AL160" s="576"/>
      <c r="AM160" s="576"/>
      <c r="AN160" s="576"/>
      <c r="AO160" s="576"/>
      <c r="AP160" s="576"/>
      <c r="AQ160" s="576"/>
      <c r="AR160" s="576"/>
      <c r="AS160" s="576"/>
      <c r="AT160" s="576"/>
      <c r="AU160" s="576"/>
      <c r="AV160" s="576"/>
      <c r="AW160" s="576"/>
      <c r="AX160" s="576"/>
      <c r="AY160" s="576"/>
      <c r="AZ160" s="576"/>
      <c r="BA160" s="576"/>
      <c r="BB160" s="576"/>
      <c r="BC160" s="576"/>
      <c r="BD160" s="572"/>
      <c r="BE160" s="710"/>
      <c r="BF160" s="710"/>
      <c r="BG160" s="710"/>
      <c r="BH160" s="710"/>
      <c r="BI160" s="710"/>
      <c r="BJ160" s="710"/>
      <c r="BK160" s="710"/>
      <c r="BL160" s="710"/>
      <c r="BM160" s="710"/>
      <c r="BN160" s="710"/>
      <c r="BO160" s="710"/>
      <c r="BP160" s="710"/>
      <c r="BQ160" s="710"/>
      <c r="BR160" s="710"/>
      <c r="BS160" s="710"/>
      <c r="BT160" s="710"/>
    </row>
    <row r="161" spans="1:72" s="709" customFormat="1" ht="15.75">
      <c r="A161" s="545"/>
      <c r="B161" s="545"/>
      <c r="C161" s="545"/>
      <c r="D161" s="545"/>
      <c r="E161" s="545"/>
      <c r="F161" s="545"/>
      <c r="G161" s="545"/>
      <c r="H161" s="545"/>
      <c r="I161" s="545"/>
      <c r="J161" s="545"/>
      <c r="K161" s="545"/>
      <c r="L161" s="545"/>
      <c r="M161" s="545"/>
      <c r="N161" s="545"/>
      <c r="O161" s="545"/>
      <c r="P161" s="545"/>
      <c r="Q161" s="545"/>
      <c r="R161" s="545"/>
      <c r="S161" s="576"/>
      <c r="T161" s="576"/>
      <c r="U161" s="576"/>
      <c r="V161" s="576"/>
      <c r="W161" s="545"/>
      <c r="X161" s="545"/>
      <c r="Y161" s="576"/>
      <c r="Z161" s="576"/>
      <c r="AA161" s="545"/>
      <c r="AB161" s="545"/>
      <c r="AC161" s="545"/>
      <c r="AD161" s="576"/>
      <c r="AE161" s="576"/>
      <c r="AF161" s="576"/>
      <c r="AG161" s="576"/>
      <c r="AH161" s="576"/>
      <c r="AI161" s="576"/>
      <c r="AJ161" s="576"/>
      <c r="AK161" s="576"/>
      <c r="AL161" s="576"/>
      <c r="AM161" s="576"/>
      <c r="AN161" s="576"/>
      <c r="AO161" s="576"/>
      <c r="AP161" s="576"/>
      <c r="AQ161" s="576"/>
      <c r="AR161" s="576"/>
      <c r="AS161" s="576"/>
      <c r="AT161" s="576"/>
      <c r="AU161" s="576"/>
      <c r="AV161" s="576"/>
      <c r="AW161" s="576"/>
      <c r="AX161" s="576"/>
      <c r="AY161" s="576"/>
      <c r="AZ161" s="576"/>
      <c r="BA161" s="576"/>
      <c r="BB161" s="576"/>
      <c r="BC161" s="576"/>
      <c r="BD161" s="572"/>
      <c r="BE161" s="710"/>
      <c r="BF161" s="710"/>
      <c r="BG161" s="710"/>
      <c r="BH161" s="710"/>
      <c r="BI161" s="710"/>
      <c r="BJ161" s="710"/>
      <c r="BK161" s="710"/>
      <c r="BL161" s="710"/>
      <c r="BM161" s="710"/>
      <c r="BN161" s="710"/>
      <c r="BO161" s="710"/>
      <c r="BP161" s="710"/>
      <c r="BQ161" s="710"/>
      <c r="BR161" s="710"/>
      <c r="BS161" s="710"/>
      <c r="BT161" s="710"/>
    </row>
    <row r="162" spans="1:72" s="709" customFormat="1" ht="15.75">
      <c r="A162" s="545"/>
      <c r="B162" s="545"/>
      <c r="C162" s="545"/>
      <c r="D162" s="545"/>
      <c r="E162" s="545"/>
      <c r="F162" s="545"/>
      <c r="G162" s="545"/>
      <c r="H162" s="545"/>
      <c r="I162" s="545"/>
      <c r="J162" s="545"/>
      <c r="K162" s="545"/>
      <c r="L162" s="545"/>
      <c r="M162" s="545"/>
      <c r="N162" s="545"/>
      <c r="O162" s="545"/>
      <c r="P162" s="545"/>
      <c r="Q162" s="545"/>
      <c r="R162" s="545"/>
      <c r="S162" s="576"/>
      <c r="T162" s="576"/>
      <c r="U162" s="576"/>
      <c r="V162" s="576"/>
      <c r="W162" s="545"/>
      <c r="X162" s="545"/>
      <c r="Y162" s="576"/>
      <c r="Z162" s="576"/>
      <c r="AA162" s="545"/>
      <c r="AB162" s="545"/>
      <c r="AC162" s="545"/>
      <c r="AD162" s="576"/>
      <c r="AE162" s="576"/>
      <c r="AF162" s="576"/>
      <c r="AG162" s="576"/>
      <c r="AH162" s="576"/>
      <c r="AI162" s="576"/>
      <c r="AJ162" s="576"/>
      <c r="AK162" s="576"/>
      <c r="AL162" s="576"/>
      <c r="AM162" s="576"/>
      <c r="AN162" s="576"/>
      <c r="AO162" s="576"/>
      <c r="AP162" s="576"/>
      <c r="AQ162" s="576"/>
      <c r="AR162" s="576"/>
      <c r="AS162" s="576"/>
      <c r="AT162" s="576"/>
      <c r="AU162" s="576"/>
      <c r="AV162" s="576"/>
      <c r="AW162" s="576"/>
      <c r="AX162" s="576"/>
      <c r="AY162" s="576"/>
      <c r="AZ162" s="576"/>
      <c r="BA162" s="576"/>
      <c r="BB162" s="576"/>
      <c r="BC162" s="576"/>
      <c r="BD162" s="572"/>
      <c r="BE162" s="710"/>
      <c r="BF162" s="710"/>
      <c r="BG162" s="710"/>
      <c r="BH162" s="710"/>
      <c r="BI162" s="710"/>
      <c r="BJ162" s="710"/>
      <c r="BK162" s="710"/>
      <c r="BL162" s="710"/>
      <c r="BM162" s="710"/>
      <c r="BN162" s="710"/>
      <c r="BO162" s="710"/>
      <c r="BP162" s="710"/>
      <c r="BQ162" s="710"/>
      <c r="BR162" s="710"/>
      <c r="BS162" s="710"/>
      <c r="BT162" s="710"/>
    </row>
    <row r="163" spans="1:72" s="709" customFormat="1" ht="15.75">
      <c r="A163" s="545"/>
      <c r="B163" s="545"/>
      <c r="C163" s="545"/>
      <c r="D163" s="545"/>
      <c r="E163" s="545"/>
      <c r="F163" s="545"/>
      <c r="G163" s="545"/>
      <c r="H163" s="545"/>
      <c r="I163" s="545"/>
      <c r="J163" s="545"/>
      <c r="K163" s="545"/>
      <c r="L163" s="545"/>
      <c r="M163" s="545"/>
      <c r="N163" s="545"/>
      <c r="O163" s="545"/>
      <c r="P163" s="545"/>
      <c r="Q163" s="545"/>
      <c r="R163" s="545"/>
      <c r="S163" s="576"/>
      <c r="T163" s="576"/>
      <c r="U163" s="576"/>
      <c r="V163" s="576"/>
      <c r="W163" s="545"/>
      <c r="X163" s="545"/>
      <c r="Y163" s="576"/>
      <c r="Z163" s="576"/>
      <c r="AA163" s="545"/>
      <c r="AB163" s="545"/>
      <c r="AC163" s="545"/>
      <c r="AD163" s="576"/>
      <c r="AE163" s="576"/>
      <c r="AF163" s="576"/>
      <c r="AG163" s="576"/>
      <c r="AH163" s="576"/>
      <c r="AI163" s="576"/>
      <c r="AJ163" s="576"/>
      <c r="AK163" s="576"/>
      <c r="AL163" s="576"/>
      <c r="AM163" s="576"/>
      <c r="AN163" s="576"/>
      <c r="AO163" s="576"/>
      <c r="AP163" s="576"/>
      <c r="AQ163" s="576"/>
      <c r="AR163" s="576"/>
      <c r="AS163" s="576"/>
      <c r="AT163" s="576"/>
      <c r="AU163" s="576"/>
      <c r="AV163" s="576"/>
      <c r="AW163" s="576"/>
      <c r="AX163" s="576"/>
      <c r="AY163" s="576"/>
      <c r="AZ163" s="576"/>
      <c r="BA163" s="576"/>
      <c r="BB163" s="576"/>
      <c r="BC163" s="576"/>
      <c r="BD163" s="572"/>
      <c r="BE163" s="710"/>
      <c r="BF163" s="710"/>
      <c r="BG163" s="710"/>
      <c r="BH163" s="710"/>
      <c r="BI163" s="710"/>
      <c r="BJ163" s="710"/>
      <c r="BK163" s="710"/>
      <c r="BL163" s="710"/>
      <c r="BM163" s="710"/>
      <c r="BN163" s="710"/>
      <c r="BO163" s="710"/>
      <c r="BP163" s="710"/>
      <c r="BQ163" s="710"/>
      <c r="BR163" s="710"/>
      <c r="BS163" s="710"/>
      <c r="BT163" s="710"/>
    </row>
    <row r="164" spans="1:72" s="709" customFormat="1" ht="15.75">
      <c r="A164" s="545"/>
      <c r="B164" s="545"/>
      <c r="C164" s="545"/>
      <c r="D164" s="545"/>
      <c r="E164" s="545"/>
      <c r="F164" s="545"/>
      <c r="G164" s="545"/>
      <c r="H164" s="545"/>
      <c r="I164" s="545"/>
      <c r="J164" s="545"/>
      <c r="K164" s="545"/>
      <c r="L164" s="545"/>
      <c r="M164" s="545"/>
      <c r="N164" s="545"/>
      <c r="O164" s="545"/>
      <c r="P164" s="545"/>
      <c r="Q164" s="545"/>
      <c r="R164" s="545"/>
      <c r="S164" s="576"/>
      <c r="T164" s="576"/>
      <c r="U164" s="576"/>
      <c r="V164" s="576"/>
      <c r="W164" s="545"/>
      <c r="X164" s="545"/>
      <c r="Y164" s="576"/>
      <c r="Z164" s="576"/>
      <c r="AA164" s="545"/>
      <c r="AB164" s="545"/>
      <c r="AC164" s="545"/>
      <c r="AD164" s="576"/>
      <c r="AE164" s="576"/>
      <c r="AF164" s="576"/>
      <c r="AG164" s="576"/>
      <c r="AH164" s="576"/>
      <c r="AI164" s="576"/>
      <c r="AJ164" s="576"/>
      <c r="AK164" s="576"/>
      <c r="AL164" s="576"/>
      <c r="AM164" s="576"/>
      <c r="AN164" s="576"/>
      <c r="AO164" s="576"/>
      <c r="AP164" s="576"/>
      <c r="AQ164" s="576"/>
      <c r="AR164" s="576"/>
      <c r="AS164" s="576"/>
      <c r="AT164" s="576"/>
      <c r="AU164" s="576"/>
      <c r="AV164" s="576"/>
      <c r="AW164" s="576"/>
      <c r="AX164" s="576"/>
      <c r="AY164" s="576"/>
      <c r="AZ164" s="576"/>
      <c r="BA164" s="576"/>
      <c r="BB164" s="576"/>
      <c r="BC164" s="576"/>
      <c r="BD164" s="572"/>
      <c r="BE164" s="710"/>
      <c r="BF164" s="710"/>
      <c r="BG164" s="710"/>
      <c r="BH164" s="710"/>
      <c r="BI164" s="710"/>
      <c r="BJ164" s="710"/>
      <c r="BK164" s="710"/>
      <c r="BL164" s="710"/>
      <c r="BM164" s="710"/>
      <c r="BN164" s="710"/>
      <c r="BO164" s="710"/>
      <c r="BP164" s="710"/>
      <c r="BQ164" s="710"/>
      <c r="BR164" s="710"/>
      <c r="BS164" s="710"/>
      <c r="BT164" s="710"/>
    </row>
    <row r="165" spans="1:72" s="709" customFormat="1" ht="15.75">
      <c r="A165" s="545"/>
      <c r="B165" s="545"/>
      <c r="C165" s="545"/>
      <c r="D165" s="545"/>
      <c r="E165" s="545"/>
      <c r="F165" s="545"/>
      <c r="G165" s="545"/>
      <c r="H165" s="545"/>
      <c r="I165" s="545"/>
      <c r="J165" s="545"/>
      <c r="K165" s="545"/>
      <c r="L165" s="545"/>
      <c r="M165" s="545"/>
      <c r="N165" s="545"/>
      <c r="O165" s="545"/>
      <c r="P165" s="545"/>
      <c r="Q165" s="545"/>
      <c r="R165" s="545"/>
      <c r="S165" s="576"/>
      <c r="T165" s="576"/>
      <c r="U165" s="576"/>
      <c r="V165" s="576"/>
      <c r="W165" s="545"/>
      <c r="X165" s="545"/>
      <c r="Y165" s="576"/>
      <c r="Z165" s="576"/>
      <c r="AA165" s="545"/>
      <c r="AB165" s="545"/>
      <c r="AC165" s="545"/>
      <c r="AD165" s="576"/>
      <c r="AE165" s="576"/>
      <c r="AF165" s="576"/>
      <c r="AG165" s="576"/>
      <c r="AH165" s="576"/>
      <c r="AI165" s="576"/>
      <c r="AJ165" s="576"/>
      <c r="AK165" s="576"/>
      <c r="AL165" s="576"/>
      <c r="AM165" s="576"/>
      <c r="AN165" s="576"/>
      <c r="AO165" s="576"/>
      <c r="AP165" s="576"/>
      <c r="AQ165" s="576"/>
      <c r="AR165" s="576"/>
      <c r="AS165" s="576"/>
      <c r="AT165" s="576"/>
      <c r="AU165" s="576"/>
      <c r="AV165" s="576"/>
      <c r="AW165" s="576"/>
      <c r="AX165" s="576"/>
      <c r="AY165" s="576"/>
      <c r="AZ165" s="576"/>
      <c r="BA165" s="576"/>
      <c r="BB165" s="576"/>
      <c r="BC165" s="576"/>
      <c r="BD165" s="572"/>
      <c r="BE165" s="710"/>
      <c r="BF165" s="710"/>
      <c r="BG165" s="710"/>
      <c r="BH165" s="710"/>
      <c r="BI165" s="710"/>
      <c r="BJ165" s="710"/>
      <c r="BK165" s="710"/>
      <c r="BL165" s="710"/>
      <c r="BM165" s="710"/>
      <c r="BN165" s="710"/>
      <c r="BO165" s="710"/>
      <c r="BP165" s="710"/>
      <c r="BQ165" s="710"/>
      <c r="BR165" s="710"/>
      <c r="BS165" s="710"/>
      <c r="BT165" s="710"/>
    </row>
    <row r="166" spans="1:72" s="709" customFormat="1" ht="15.75">
      <c r="A166" s="545"/>
      <c r="B166" s="545"/>
      <c r="C166" s="545"/>
      <c r="D166" s="545"/>
      <c r="E166" s="545"/>
      <c r="F166" s="545"/>
      <c r="G166" s="545"/>
      <c r="H166" s="545"/>
      <c r="I166" s="545"/>
      <c r="J166" s="545"/>
      <c r="K166" s="545"/>
      <c r="L166" s="545"/>
      <c r="M166" s="545"/>
      <c r="N166" s="545"/>
      <c r="O166" s="545"/>
      <c r="P166" s="545"/>
      <c r="Q166" s="545"/>
      <c r="R166" s="545"/>
      <c r="S166" s="576"/>
      <c r="T166" s="576"/>
      <c r="U166" s="576"/>
      <c r="V166" s="576"/>
      <c r="W166" s="545"/>
      <c r="X166" s="545"/>
      <c r="Y166" s="576"/>
      <c r="Z166" s="576"/>
      <c r="AA166" s="545"/>
      <c r="AB166" s="545"/>
      <c r="AC166" s="545"/>
      <c r="AD166" s="576"/>
      <c r="AE166" s="576"/>
      <c r="AF166" s="576"/>
      <c r="AG166" s="576"/>
      <c r="AH166" s="576"/>
      <c r="AI166" s="576"/>
      <c r="AJ166" s="576"/>
      <c r="AK166" s="576"/>
      <c r="AL166" s="576"/>
      <c r="AM166" s="576"/>
      <c r="AN166" s="576"/>
      <c r="AO166" s="576"/>
      <c r="AP166" s="576"/>
      <c r="AQ166" s="576"/>
      <c r="AR166" s="576"/>
      <c r="AS166" s="576"/>
      <c r="AT166" s="576"/>
      <c r="AU166" s="576"/>
      <c r="AV166" s="576"/>
      <c r="AW166" s="576"/>
      <c r="AX166" s="576"/>
      <c r="AY166" s="576"/>
      <c r="AZ166" s="576"/>
      <c r="BA166" s="576"/>
      <c r="BB166" s="576"/>
      <c r="BC166" s="576"/>
      <c r="BD166" s="572"/>
      <c r="BE166" s="710"/>
      <c r="BF166" s="710"/>
      <c r="BG166" s="710"/>
      <c r="BH166" s="710"/>
      <c r="BI166" s="710"/>
      <c r="BJ166" s="710"/>
      <c r="BK166" s="710"/>
      <c r="BL166" s="710"/>
      <c r="BM166" s="710"/>
      <c r="BN166" s="710"/>
      <c r="BO166" s="710"/>
      <c r="BP166" s="710"/>
      <c r="BQ166" s="710"/>
      <c r="BR166" s="710"/>
      <c r="BS166" s="710"/>
      <c r="BT166" s="710"/>
    </row>
    <row r="167" spans="1:72" s="709" customFormat="1" ht="15.75">
      <c r="A167" s="545"/>
      <c r="B167" s="545"/>
      <c r="C167" s="545"/>
      <c r="D167" s="545"/>
      <c r="E167" s="545"/>
      <c r="F167" s="545"/>
      <c r="G167" s="545"/>
      <c r="H167" s="545"/>
      <c r="I167" s="545"/>
      <c r="J167" s="545"/>
      <c r="K167" s="545"/>
      <c r="L167" s="545"/>
      <c r="M167" s="545"/>
      <c r="N167" s="545"/>
      <c r="O167" s="545"/>
      <c r="P167" s="545"/>
      <c r="Q167" s="545"/>
      <c r="R167" s="545"/>
      <c r="S167" s="576"/>
      <c r="T167" s="576"/>
      <c r="U167" s="576"/>
      <c r="V167" s="576"/>
      <c r="W167" s="545"/>
      <c r="X167" s="545"/>
      <c r="Y167" s="576"/>
      <c r="Z167" s="576"/>
      <c r="AA167" s="545"/>
      <c r="AB167" s="545"/>
      <c r="AC167" s="545"/>
      <c r="AD167" s="576"/>
      <c r="AE167" s="576"/>
      <c r="AF167" s="576"/>
      <c r="AG167" s="576"/>
      <c r="AH167" s="576"/>
      <c r="AI167" s="576"/>
      <c r="AJ167" s="576"/>
      <c r="AK167" s="576"/>
      <c r="AL167" s="576"/>
      <c r="AM167" s="576"/>
      <c r="AN167" s="576"/>
      <c r="AO167" s="576"/>
      <c r="AP167" s="576"/>
      <c r="AQ167" s="576"/>
      <c r="AR167" s="576"/>
      <c r="AS167" s="576"/>
      <c r="AT167" s="576"/>
      <c r="AU167" s="576"/>
      <c r="AV167" s="576"/>
      <c r="AW167" s="576"/>
      <c r="AX167" s="576"/>
      <c r="AY167" s="576"/>
      <c r="AZ167" s="576"/>
      <c r="BA167" s="576"/>
      <c r="BB167" s="576"/>
      <c r="BC167" s="576"/>
      <c r="BD167" s="572"/>
      <c r="BE167" s="710"/>
      <c r="BF167" s="710"/>
      <c r="BG167" s="710"/>
      <c r="BH167" s="710"/>
      <c r="BI167" s="710"/>
      <c r="BJ167" s="710"/>
      <c r="BK167" s="710"/>
      <c r="BL167" s="710"/>
      <c r="BM167" s="710"/>
      <c r="BN167" s="710"/>
      <c r="BO167" s="710"/>
      <c r="BP167" s="710"/>
      <c r="BQ167" s="710"/>
      <c r="BR167" s="710"/>
      <c r="BS167" s="710"/>
      <c r="BT167" s="710"/>
    </row>
    <row r="168" spans="1:72" s="709" customFormat="1" ht="15.75">
      <c r="A168" s="545"/>
      <c r="B168" s="545"/>
      <c r="C168" s="545"/>
      <c r="D168" s="545"/>
      <c r="E168" s="545"/>
      <c r="F168" s="545"/>
      <c r="G168" s="545"/>
      <c r="H168" s="545"/>
      <c r="I168" s="545"/>
      <c r="J168" s="545"/>
      <c r="K168" s="545"/>
      <c r="L168" s="545"/>
      <c r="M168" s="545"/>
      <c r="N168" s="545"/>
      <c r="O168" s="545"/>
      <c r="P168" s="545"/>
      <c r="Q168" s="545"/>
      <c r="R168" s="545"/>
      <c r="S168" s="576"/>
      <c r="T168" s="576"/>
      <c r="U168" s="576"/>
      <c r="V168" s="576"/>
      <c r="W168" s="545"/>
      <c r="X168" s="545"/>
      <c r="Y168" s="576"/>
      <c r="Z168" s="576"/>
      <c r="AA168" s="545"/>
      <c r="AB168" s="545"/>
      <c r="AC168" s="545"/>
      <c r="AD168" s="576"/>
      <c r="AE168" s="576"/>
      <c r="AF168" s="576"/>
      <c r="AG168" s="576"/>
      <c r="AH168" s="576"/>
      <c r="AI168" s="576"/>
      <c r="AJ168" s="576"/>
      <c r="AK168" s="576"/>
      <c r="AL168" s="576"/>
      <c r="AM168" s="576"/>
      <c r="AN168" s="576"/>
      <c r="AO168" s="576"/>
      <c r="AP168" s="576"/>
      <c r="AQ168" s="576"/>
      <c r="AR168" s="576"/>
      <c r="AS168" s="576"/>
      <c r="AT168" s="576"/>
      <c r="AU168" s="576"/>
      <c r="AV168" s="576"/>
      <c r="AW168" s="576"/>
      <c r="AX168" s="576"/>
      <c r="AY168" s="576"/>
      <c r="AZ168" s="576"/>
      <c r="BA168" s="576"/>
      <c r="BB168" s="576"/>
      <c r="BC168" s="576"/>
      <c r="BD168" s="572"/>
      <c r="BE168" s="710"/>
      <c r="BF168" s="710"/>
      <c r="BG168" s="710"/>
      <c r="BH168" s="710"/>
      <c r="BI168" s="710"/>
      <c r="BJ168" s="710"/>
      <c r="BK168" s="710"/>
      <c r="BL168" s="710"/>
      <c r="BM168" s="710"/>
      <c r="BN168" s="710"/>
      <c r="BO168" s="710"/>
      <c r="BP168" s="710"/>
      <c r="BQ168" s="710"/>
      <c r="BR168" s="710"/>
      <c r="BS168" s="710"/>
      <c r="BT168" s="710"/>
    </row>
    <row r="169" spans="1:72" s="709" customFormat="1" ht="15.75">
      <c r="A169" s="545"/>
      <c r="B169" s="545"/>
      <c r="C169" s="545"/>
      <c r="D169" s="545"/>
      <c r="E169" s="545"/>
      <c r="F169" s="545"/>
      <c r="G169" s="545"/>
      <c r="H169" s="545"/>
      <c r="I169" s="545"/>
      <c r="J169" s="545"/>
      <c r="K169" s="545"/>
      <c r="L169" s="545"/>
      <c r="M169" s="545"/>
      <c r="N169" s="545"/>
      <c r="O169" s="545"/>
      <c r="P169" s="545"/>
      <c r="Q169" s="545"/>
      <c r="R169" s="545"/>
      <c r="S169" s="576"/>
      <c r="T169" s="576"/>
      <c r="U169" s="576"/>
      <c r="V169" s="576"/>
      <c r="W169" s="545"/>
      <c r="X169" s="545"/>
      <c r="Y169" s="576"/>
      <c r="Z169" s="576"/>
      <c r="AA169" s="545"/>
      <c r="AB169" s="545"/>
      <c r="AC169" s="545"/>
      <c r="AD169" s="576"/>
      <c r="AE169" s="576"/>
      <c r="AF169" s="576"/>
      <c r="AG169" s="576"/>
      <c r="AH169" s="576"/>
      <c r="AI169" s="576"/>
      <c r="AJ169" s="576"/>
      <c r="AK169" s="576"/>
      <c r="AL169" s="576"/>
      <c r="AM169" s="576"/>
      <c r="AN169" s="576"/>
      <c r="AO169" s="576"/>
      <c r="AP169" s="576"/>
      <c r="AQ169" s="576"/>
      <c r="AR169" s="576"/>
      <c r="AS169" s="576"/>
      <c r="AT169" s="576"/>
      <c r="AU169" s="576"/>
      <c r="AV169" s="576"/>
      <c r="AW169" s="576"/>
      <c r="AX169" s="576"/>
      <c r="AY169" s="576"/>
      <c r="AZ169" s="576"/>
      <c r="BA169" s="576"/>
      <c r="BB169" s="576"/>
      <c r="BC169" s="576"/>
      <c r="BD169" s="572"/>
      <c r="BE169" s="710"/>
      <c r="BF169" s="710"/>
      <c r="BG169" s="710"/>
      <c r="BH169" s="710"/>
      <c r="BI169" s="710"/>
      <c r="BJ169" s="710"/>
      <c r="BK169" s="710"/>
      <c r="BL169" s="710"/>
      <c r="BM169" s="710"/>
      <c r="BN169" s="710"/>
      <c r="BO169" s="710"/>
      <c r="BP169" s="710"/>
      <c r="BQ169" s="710"/>
      <c r="BR169" s="710"/>
      <c r="BS169" s="710"/>
      <c r="BT169" s="710"/>
    </row>
    <row r="170" spans="1:72" s="709" customFormat="1" ht="15.75">
      <c r="A170" s="545"/>
      <c r="B170" s="545"/>
      <c r="C170" s="545"/>
      <c r="D170" s="545"/>
      <c r="E170" s="545"/>
      <c r="F170" s="545"/>
      <c r="G170" s="545"/>
      <c r="H170" s="545"/>
      <c r="I170" s="545"/>
      <c r="J170" s="545"/>
      <c r="K170" s="545"/>
      <c r="L170" s="545"/>
      <c r="M170" s="545"/>
      <c r="N170" s="545"/>
      <c r="O170" s="545"/>
      <c r="P170" s="545"/>
      <c r="Q170" s="545"/>
      <c r="R170" s="545"/>
      <c r="S170" s="576"/>
      <c r="T170" s="576"/>
      <c r="U170" s="576"/>
      <c r="V170" s="576"/>
      <c r="W170" s="545"/>
      <c r="X170" s="545"/>
      <c r="Y170" s="576"/>
      <c r="Z170" s="576"/>
      <c r="AA170" s="545"/>
      <c r="AB170" s="545"/>
      <c r="AC170" s="545"/>
      <c r="AD170" s="576"/>
      <c r="AE170" s="576"/>
      <c r="AF170" s="576"/>
      <c r="AG170" s="576"/>
      <c r="AH170" s="576"/>
      <c r="AI170" s="576"/>
      <c r="AJ170" s="576"/>
      <c r="AK170" s="576"/>
      <c r="AL170" s="576"/>
      <c r="AM170" s="576"/>
      <c r="AN170" s="576"/>
      <c r="AO170" s="576"/>
      <c r="AP170" s="576"/>
      <c r="AQ170" s="576"/>
      <c r="AR170" s="576"/>
      <c r="AS170" s="576"/>
      <c r="AT170" s="576"/>
      <c r="AU170" s="576"/>
      <c r="AV170" s="576"/>
      <c r="AW170" s="576"/>
      <c r="AX170" s="576"/>
      <c r="AY170" s="576"/>
      <c r="AZ170" s="576"/>
      <c r="BA170" s="576"/>
      <c r="BB170" s="576"/>
      <c r="BC170" s="576"/>
      <c r="BD170" s="572"/>
      <c r="BE170" s="710"/>
      <c r="BF170" s="710"/>
      <c r="BG170" s="710"/>
      <c r="BH170" s="710"/>
      <c r="BI170" s="710"/>
      <c r="BJ170" s="710"/>
      <c r="BK170" s="710"/>
      <c r="BL170" s="710"/>
      <c r="BM170" s="710"/>
      <c r="BN170" s="710"/>
      <c r="BO170" s="710"/>
      <c r="BP170" s="710"/>
      <c r="BQ170" s="710"/>
      <c r="BR170" s="710"/>
      <c r="BS170" s="710"/>
      <c r="BT170" s="710"/>
    </row>
    <row r="171" spans="1:72" s="709" customFormat="1" ht="15.75">
      <c r="A171" s="545"/>
      <c r="B171" s="545"/>
      <c r="C171" s="545"/>
      <c r="D171" s="545"/>
      <c r="E171" s="545"/>
      <c r="F171" s="545"/>
      <c r="G171" s="545"/>
      <c r="H171" s="545"/>
      <c r="I171" s="545"/>
      <c r="J171" s="545"/>
      <c r="K171" s="545"/>
      <c r="L171" s="545"/>
      <c r="M171" s="545"/>
      <c r="N171" s="545"/>
      <c r="O171" s="545"/>
      <c r="P171" s="545"/>
      <c r="Q171" s="545"/>
      <c r="R171" s="545"/>
      <c r="S171" s="576"/>
      <c r="T171" s="576"/>
      <c r="U171" s="576"/>
      <c r="V171" s="576"/>
      <c r="W171" s="545"/>
      <c r="X171" s="545"/>
      <c r="Y171" s="576"/>
      <c r="Z171" s="576"/>
      <c r="AA171" s="545"/>
      <c r="AB171" s="545"/>
      <c r="AC171" s="545"/>
      <c r="AD171" s="576"/>
      <c r="AE171" s="576"/>
      <c r="AF171" s="576"/>
      <c r="AG171" s="576"/>
      <c r="AH171" s="576"/>
      <c r="AI171" s="576"/>
      <c r="AJ171" s="576"/>
      <c r="AK171" s="576"/>
      <c r="AL171" s="576"/>
      <c r="AM171" s="576"/>
      <c r="AN171" s="576"/>
      <c r="AO171" s="576"/>
      <c r="AP171" s="576"/>
      <c r="AQ171" s="576"/>
      <c r="AR171" s="576"/>
      <c r="AS171" s="576"/>
      <c r="AT171" s="576"/>
      <c r="AU171" s="576"/>
      <c r="AV171" s="576"/>
      <c r="AW171" s="576"/>
      <c r="AX171" s="576"/>
      <c r="AY171" s="576"/>
      <c r="AZ171" s="576"/>
      <c r="BA171" s="576"/>
      <c r="BB171" s="576"/>
      <c r="BC171" s="576"/>
      <c r="BD171" s="572"/>
      <c r="BE171" s="710"/>
      <c r="BF171" s="710"/>
      <c r="BG171" s="710"/>
      <c r="BH171" s="710"/>
      <c r="BI171" s="710"/>
      <c r="BJ171" s="710"/>
      <c r="BK171" s="710"/>
      <c r="BL171" s="710"/>
      <c r="BM171" s="710"/>
      <c r="BN171" s="710"/>
      <c r="BO171" s="710"/>
      <c r="BP171" s="710"/>
      <c r="BQ171" s="710"/>
      <c r="BR171" s="710"/>
      <c r="BS171" s="710"/>
      <c r="BT171" s="710"/>
    </row>
    <row r="172" spans="1:72" s="709" customFormat="1" ht="15.75">
      <c r="A172" s="545"/>
      <c r="B172" s="545"/>
      <c r="C172" s="545"/>
      <c r="D172" s="545"/>
      <c r="E172" s="545"/>
      <c r="F172" s="545"/>
      <c r="G172" s="545"/>
      <c r="H172" s="545"/>
      <c r="I172" s="545"/>
      <c r="J172" s="545"/>
      <c r="K172" s="545"/>
      <c r="L172" s="545"/>
      <c r="M172" s="545"/>
      <c r="N172" s="545"/>
      <c r="O172" s="545"/>
      <c r="P172" s="545"/>
      <c r="Q172" s="545"/>
      <c r="R172" s="545"/>
      <c r="S172" s="576"/>
      <c r="T172" s="576"/>
      <c r="U172" s="576"/>
      <c r="V172" s="576"/>
      <c r="W172" s="545"/>
      <c r="X172" s="545"/>
      <c r="Y172" s="576"/>
      <c r="Z172" s="576"/>
      <c r="AA172" s="545"/>
      <c r="AB172" s="545"/>
      <c r="AC172" s="545"/>
      <c r="AD172" s="576"/>
      <c r="AE172" s="576"/>
      <c r="AF172" s="576"/>
      <c r="AG172" s="576"/>
      <c r="AH172" s="576"/>
      <c r="AI172" s="576"/>
      <c r="AJ172" s="576"/>
      <c r="AK172" s="576"/>
      <c r="AL172" s="576"/>
      <c r="AM172" s="576"/>
      <c r="AN172" s="576"/>
      <c r="AO172" s="576"/>
      <c r="AP172" s="576"/>
      <c r="AQ172" s="576"/>
      <c r="AR172" s="576"/>
      <c r="AS172" s="576"/>
      <c r="AT172" s="576"/>
      <c r="AU172" s="576"/>
      <c r="AV172" s="576"/>
      <c r="AW172" s="576"/>
      <c r="AX172" s="576"/>
      <c r="AY172" s="576"/>
      <c r="AZ172" s="576"/>
      <c r="BA172" s="576"/>
      <c r="BB172" s="576"/>
      <c r="BC172" s="576"/>
      <c r="BD172" s="572"/>
      <c r="BE172" s="710"/>
      <c r="BF172" s="710"/>
      <c r="BG172" s="710"/>
      <c r="BH172" s="710"/>
      <c r="BI172" s="710"/>
      <c r="BJ172" s="710"/>
      <c r="BK172" s="710"/>
      <c r="BL172" s="710"/>
      <c r="BM172" s="710"/>
      <c r="BN172" s="710"/>
      <c r="BO172" s="710"/>
      <c r="BP172" s="710"/>
      <c r="BQ172" s="710"/>
      <c r="BR172" s="710"/>
      <c r="BS172" s="710"/>
      <c r="BT172" s="710"/>
    </row>
    <row r="173" spans="1:72" s="709" customFormat="1" ht="15.75">
      <c r="A173" s="545"/>
      <c r="B173" s="545"/>
      <c r="C173" s="545"/>
      <c r="D173" s="545"/>
      <c r="E173" s="545"/>
      <c r="F173" s="545"/>
      <c r="G173" s="545"/>
      <c r="H173" s="545"/>
      <c r="I173" s="545"/>
      <c r="J173" s="545"/>
      <c r="K173" s="545"/>
      <c r="L173" s="545"/>
      <c r="M173" s="545"/>
      <c r="N173" s="545"/>
      <c r="O173" s="545"/>
      <c r="P173" s="545"/>
      <c r="Q173" s="545"/>
      <c r="R173" s="545"/>
      <c r="S173" s="576"/>
      <c r="T173" s="576"/>
      <c r="U173" s="576"/>
      <c r="V173" s="576"/>
      <c r="W173" s="545"/>
      <c r="X173" s="545"/>
      <c r="Y173" s="576"/>
      <c r="Z173" s="576"/>
      <c r="AA173" s="545"/>
      <c r="AB173" s="545"/>
      <c r="AC173" s="545"/>
      <c r="AD173" s="576"/>
      <c r="AE173" s="576"/>
      <c r="AF173" s="576"/>
      <c r="AG173" s="576"/>
      <c r="AH173" s="576"/>
      <c r="AI173" s="576"/>
      <c r="AJ173" s="576"/>
      <c r="AK173" s="576"/>
      <c r="AL173" s="576"/>
      <c r="AM173" s="576"/>
      <c r="AN173" s="576"/>
      <c r="AO173" s="576"/>
      <c r="AP173" s="576"/>
      <c r="AQ173" s="576"/>
      <c r="AR173" s="576"/>
      <c r="AS173" s="576"/>
      <c r="AT173" s="576"/>
      <c r="AU173" s="576"/>
      <c r="AV173" s="576"/>
      <c r="AW173" s="576"/>
      <c r="AX173" s="576"/>
      <c r="AY173" s="576"/>
      <c r="AZ173" s="576"/>
      <c r="BA173" s="576"/>
      <c r="BB173" s="576"/>
      <c r="BC173" s="576"/>
      <c r="BD173" s="572"/>
      <c r="BE173" s="710"/>
      <c r="BF173" s="710"/>
      <c r="BG173" s="710"/>
      <c r="BH173" s="710"/>
      <c r="BI173" s="710"/>
      <c r="BJ173" s="710"/>
      <c r="BK173" s="710"/>
      <c r="BL173" s="710"/>
      <c r="BM173" s="710"/>
      <c r="BN173" s="710"/>
      <c r="BO173" s="710"/>
      <c r="BP173" s="710"/>
      <c r="BQ173" s="710"/>
      <c r="BR173" s="710"/>
      <c r="BS173" s="710"/>
      <c r="BT173" s="710"/>
    </row>
    <row r="174" spans="1:72" s="709" customFormat="1" ht="15.75">
      <c r="A174" s="545"/>
      <c r="B174" s="545"/>
      <c r="C174" s="545"/>
      <c r="D174" s="545"/>
      <c r="E174" s="545"/>
      <c r="F174" s="545"/>
      <c r="G174" s="545"/>
      <c r="H174" s="545"/>
      <c r="I174" s="545"/>
      <c r="J174" s="545"/>
      <c r="K174" s="545"/>
      <c r="L174" s="545"/>
      <c r="M174" s="545"/>
      <c r="N174" s="545"/>
      <c r="O174" s="545"/>
      <c r="P174" s="545"/>
      <c r="Q174" s="545"/>
      <c r="R174" s="545"/>
      <c r="S174" s="576"/>
      <c r="T174" s="576"/>
      <c r="U174" s="576"/>
      <c r="V174" s="576"/>
      <c r="W174" s="545"/>
      <c r="X174" s="545"/>
      <c r="Y174" s="576"/>
      <c r="Z174" s="576"/>
      <c r="AA174" s="545"/>
      <c r="AB174" s="545"/>
      <c r="AC174" s="545"/>
      <c r="AD174" s="576"/>
      <c r="AE174" s="576"/>
      <c r="AF174" s="576"/>
      <c r="AG174" s="576"/>
      <c r="AH174" s="576"/>
      <c r="AI174" s="576"/>
      <c r="AJ174" s="576"/>
      <c r="AK174" s="576"/>
      <c r="AL174" s="576"/>
      <c r="AM174" s="576"/>
      <c r="AN174" s="576"/>
      <c r="AO174" s="576"/>
      <c r="AP174" s="576"/>
      <c r="AQ174" s="576"/>
      <c r="AR174" s="576"/>
      <c r="AS174" s="576"/>
      <c r="AT174" s="576"/>
      <c r="AU174" s="576"/>
      <c r="AV174" s="576"/>
      <c r="AW174" s="576"/>
      <c r="AX174" s="576"/>
      <c r="AY174" s="576"/>
      <c r="AZ174" s="576"/>
      <c r="BA174" s="576"/>
      <c r="BB174" s="576"/>
      <c r="BC174" s="576"/>
      <c r="BD174" s="572"/>
      <c r="BE174" s="710"/>
      <c r="BF174" s="710"/>
      <c r="BG174" s="710"/>
      <c r="BH174" s="710"/>
      <c r="BI174" s="710"/>
      <c r="BJ174" s="710"/>
      <c r="BK174" s="710"/>
      <c r="BL174" s="710"/>
      <c r="BM174" s="710"/>
      <c r="BN174" s="710"/>
      <c r="BO174" s="710"/>
      <c r="BP174" s="710"/>
      <c r="BQ174" s="710"/>
      <c r="BR174" s="710"/>
      <c r="BS174" s="710"/>
      <c r="BT174" s="710"/>
    </row>
    <row r="175" spans="1:72" s="709" customFormat="1" ht="15.75">
      <c r="A175" s="545"/>
      <c r="B175" s="545"/>
      <c r="C175" s="545"/>
      <c r="D175" s="545"/>
      <c r="E175" s="545"/>
      <c r="F175" s="545"/>
      <c r="G175" s="545"/>
      <c r="H175" s="545"/>
      <c r="I175" s="545"/>
      <c r="J175" s="545"/>
      <c r="K175" s="545"/>
      <c r="L175" s="545"/>
      <c r="M175" s="545"/>
      <c r="N175" s="545"/>
      <c r="O175" s="545"/>
      <c r="P175" s="545"/>
      <c r="Q175" s="545"/>
      <c r="R175" s="545"/>
      <c r="S175" s="576"/>
      <c r="T175" s="576"/>
      <c r="U175" s="576"/>
      <c r="V175" s="576"/>
      <c r="W175" s="545"/>
      <c r="X175" s="545"/>
      <c r="Y175" s="576"/>
      <c r="Z175" s="576"/>
      <c r="AA175" s="545"/>
      <c r="AB175" s="545"/>
      <c r="AC175" s="545"/>
      <c r="AD175" s="576"/>
      <c r="AE175" s="576"/>
      <c r="AF175" s="576"/>
      <c r="AG175" s="576"/>
      <c r="AH175" s="576"/>
      <c r="AI175" s="576"/>
      <c r="AJ175" s="576"/>
      <c r="AK175" s="576"/>
      <c r="AL175" s="576"/>
      <c r="AM175" s="576"/>
      <c r="AN175" s="576"/>
      <c r="AO175" s="576"/>
      <c r="AP175" s="576"/>
      <c r="AQ175" s="576"/>
      <c r="AR175" s="576"/>
      <c r="AS175" s="576"/>
      <c r="AT175" s="576"/>
      <c r="AU175" s="576"/>
      <c r="AV175" s="576"/>
      <c r="AW175" s="576"/>
      <c r="AX175" s="576"/>
      <c r="AY175" s="576"/>
      <c r="AZ175" s="576"/>
      <c r="BA175" s="576"/>
      <c r="BB175" s="576"/>
      <c r="BC175" s="576"/>
      <c r="BD175" s="572"/>
      <c r="BE175" s="710"/>
      <c r="BF175" s="710"/>
      <c r="BG175" s="710"/>
      <c r="BH175" s="710"/>
      <c r="BI175" s="710"/>
      <c r="BJ175" s="710"/>
      <c r="BK175" s="710"/>
      <c r="BL175" s="710"/>
      <c r="BM175" s="710"/>
      <c r="BN175" s="710"/>
      <c r="BO175" s="710"/>
      <c r="BP175" s="710"/>
      <c r="BQ175" s="710"/>
      <c r="BR175" s="710"/>
      <c r="BS175" s="710"/>
      <c r="BT175" s="710"/>
    </row>
    <row r="176" spans="1:72" s="709" customFormat="1" ht="15.75">
      <c r="A176" s="545"/>
      <c r="B176" s="545"/>
      <c r="C176" s="545"/>
      <c r="D176" s="545"/>
      <c r="E176" s="545"/>
      <c r="F176" s="545"/>
      <c r="G176" s="545"/>
      <c r="H176" s="545"/>
      <c r="I176" s="545"/>
      <c r="J176" s="545"/>
      <c r="K176" s="545"/>
      <c r="L176" s="545"/>
      <c r="M176" s="545"/>
      <c r="N176" s="545"/>
      <c r="O176" s="545"/>
      <c r="P176" s="545"/>
      <c r="Q176" s="545"/>
      <c r="R176" s="545"/>
      <c r="S176" s="576"/>
      <c r="T176" s="576"/>
      <c r="U176" s="576"/>
      <c r="V176" s="576"/>
      <c r="W176" s="545"/>
      <c r="X176" s="545"/>
      <c r="Y176" s="576"/>
      <c r="Z176" s="576"/>
      <c r="AA176" s="545"/>
      <c r="AB176" s="545"/>
      <c r="AC176" s="545"/>
      <c r="AD176" s="576"/>
      <c r="AE176" s="576"/>
      <c r="AF176" s="576"/>
      <c r="AG176" s="576"/>
      <c r="AH176" s="576"/>
      <c r="AI176" s="576"/>
      <c r="AJ176" s="576"/>
      <c r="AK176" s="576"/>
      <c r="AL176" s="576"/>
      <c r="AM176" s="576"/>
      <c r="AN176" s="576"/>
      <c r="AO176" s="576"/>
      <c r="AP176" s="576"/>
      <c r="AQ176" s="576"/>
      <c r="AR176" s="576"/>
      <c r="AS176" s="576"/>
      <c r="AT176" s="576"/>
      <c r="AU176" s="576"/>
      <c r="AV176" s="576"/>
      <c r="AW176" s="576"/>
      <c r="AX176" s="576"/>
      <c r="AY176" s="576"/>
      <c r="AZ176" s="576"/>
      <c r="BA176" s="576"/>
      <c r="BB176" s="576"/>
      <c r="BC176" s="576"/>
      <c r="BD176" s="572"/>
      <c r="BE176" s="710"/>
      <c r="BF176" s="710"/>
      <c r="BG176" s="710"/>
      <c r="BH176" s="710"/>
      <c r="BI176" s="710"/>
      <c r="BJ176" s="710"/>
      <c r="BK176" s="710"/>
      <c r="BL176" s="710"/>
      <c r="BM176" s="710"/>
      <c r="BN176" s="710"/>
      <c r="BO176" s="710"/>
      <c r="BP176" s="710"/>
      <c r="BQ176" s="710"/>
      <c r="BR176" s="710"/>
      <c r="BS176" s="710"/>
      <c r="BT176" s="710"/>
    </row>
    <row r="177" spans="1:72" s="709" customFormat="1" ht="15.75">
      <c r="A177" s="545"/>
      <c r="B177" s="545"/>
      <c r="C177" s="545"/>
      <c r="D177" s="545"/>
      <c r="E177" s="545"/>
      <c r="F177" s="545"/>
      <c r="G177" s="545"/>
      <c r="H177" s="545"/>
      <c r="I177" s="545"/>
      <c r="J177" s="545"/>
      <c r="K177" s="545"/>
      <c r="L177" s="545"/>
      <c r="M177" s="545"/>
      <c r="N177" s="545"/>
      <c r="O177" s="545"/>
      <c r="P177" s="545"/>
      <c r="Q177" s="545"/>
      <c r="R177" s="545"/>
      <c r="S177" s="576"/>
      <c r="T177" s="576"/>
      <c r="U177" s="576"/>
      <c r="V177" s="576"/>
      <c r="W177" s="545"/>
      <c r="X177" s="545"/>
      <c r="Y177" s="576"/>
      <c r="Z177" s="576"/>
      <c r="AA177" s="545"/>
      <c r="AB177" s="545"/>
      <c r="AC177" s="545"/>
      <c r="AD177" s="576"/>
      <c r="AE177" s="576"/>
      <c r="AF177" s="576"/>
      <c r="AG177" s="576"/>
      <c r="AH177" s="576"/>
      <c r="AI177" s="576"/>
      <c r="AJ177" s="576"/>
      <c r="AK177" s="576"/>
      <c r="AL177" s="576"/>
      <c r="AM177" s="576"/>
      <c r="AN177" s="576"/>
      <c r="AO177" s="576"/>
      <c r="AP177" s="576"/>
      <c r="AQ177" s="576"/>
      <c r="AR177" s="576"/>
      <c r="AS177" s="576"/>
      <c r="AT177" s="576"/>
      <c r="AU177" s="576"/>
      <c r="AV177" s="576"/>
      <c r="AW177" s="576"/>
      <c r="AX177" s="576"/>
      <c r="AY177" s="576"/>
      <c r="AZ177" s="576"/>
      <c r="BA177" s="576"/>
      <c r="BB177" s="576"/>
      <c r="BC177" s="576"/>
      <c r="BD177" s="572"/>
      <c r="BE177" s="710"/>
      <c r="BF177" s="710"/>
      <c r="BG177" s="710"/>
      <c r="BH177" s="710"/>
      <c r="BI177" s="710"/>
      <c r="BJ177" s="710"/>
      <c r="BK177" s="710"/>
      <c r="BL177" s="710"/>
      <c r="BM177" s="710"/>
      <c r="BN177" s="710"/>
      <c r="BO177" s="710"/>
      <c r="BP177" s="710"/>
      <c r="BQ177" s="710"/>
      <c r="BR177" s="710"/>
      <c r="BS177" s="710"/>
      <c r="BT177" s="710"/>
    </row>
    <row r="178" spans="1:72" s="709" customFormat="1" ht="15.75">
      <c r="A178" s="545"/>
      <c r="B178" s="545"/>
      <c r="C178" s="545"/>
      <c r="D178" s="545"/>
      <c r="E178" s="545"/>
      <c r="F178" s="545"/>
      <c r="G178" s="545"/>
      <c r="H178" s="545"/>
      <c r="I178" s="545"/>
      <c r="J178" s="545"/>
      <c r="K178" s="545"/>
      <c r="L178" s="545"/>
      <c r="M178" s="545"/>
      <c r="N178" s="545"/>
      <c r="O178" s="545"/>
      <c r="P178" s="545"/>
      <c r="Q178" s="545"/>
      <c r="R178" s="545"/>
      <c r="S178" s="576"/>
      <c r="T178" s="576"/>
      <c r="U178" s="576"/>
      <c r="V178" s="576"/>
      <c r="W178" s="545"/>
      <c r="X178" s="545"/>
      <c r="Y178" s="576"/>
      <c r="Z178" s="576"/>
      <c r="AA178" s="545"/>
      <c r="AB178" s="545"/>
      <c r="AC178" s="545"/>
      <c r="AD178" s="576"/>
      <c r="AE178" s="576"/>
      <c r="AF178" s="576"/>
      <c r="AG178" s="576"/>
      <c r="AH178" s="576"/>
      <c r="AI178" s="576"/>
      <c r="AJ178" s="576"/>
      <c r="AK178" s="576"/>
      <c r="AL178" s="576"/>
      <c r="AM178" s="576"/>
      <c r="AN178" s="576"/>
      <c r="AO178" s="576"/>
      <c r="AP178" s="576"/>
      <c r="AQ178" s="576"/>
      <c r="AR178" s="576"/>
      <c r="AS178" s="576"/>
      <c r="AT178" s="576"/>
      <c r="AU178" s="576"/>
      <c r="AV178" s="576"/>
      <c r="AW178" s="576"/>
      <c r="AX178" s="576"/>
      <c r="AY178" s="576"/>
      <c r="AZ178" s="576"/>
      <c r="BA178" s="576"/>
      <c r="BB178" s="576"/>
      <c r="BC178" s="576"/>
      <c r="BD178" s="572"/>
      <c r="BE178" s="710"/>
      <c r="BF178" s="710"/>
      <c r="BG178" s="710"/>
      <c r="BH178" s="710"/>
      <c r="BI178" s="710"/>
      <c r="BJ178" s="710"/>
      <c r="BK178" s="710"/>
      <c r="BL178" s="710"/>
      <c r="BM178" s="710"/>
      <c r="BN178" s="710"/>
      <c r="BO178" s="710"/>
      <c r="BP178" s="710"/>
      <c r="BQ178" s="710"/>
      <c r="BR178" s="710"/>
      <c r="BS178" s="710"/>
      <c r="BT178" s="710"/>
    </row>
    <row r="179" spans="1:72" s="709" customFormat="1" ht="15.75">
      <c r="A179" s="545"/>
      <c r="B179" s="545"/>
      <c r="C179" s="545"/>
      <c r="D179" s="545"/>
      <c r="E179" s="545"/>
      <c r="F179" s="545"/>
      <c r="G179" s="545"/>
      <c r="H179" s="545"/>
      <c r="I179" s="545"/>
      <c r="J179" s="545"/>
      <c r="K179" s="545"/>
      <c r="L179" s="545"/>
      <c r="M179" s="545"/>
      <c r="N179" s="545"/>
      <c r="O179" s="545"/>
      <c r="P179" s="545"/>
      <c r="Q179" s="545"/>
      <c r="R179" s="545"/>
      <c r="S179" s="576"/>
      <c r="T179" s="576"/>
      <c r="U179" s="576"/>
      <c r="V179" s="576"/>
      <c r="W179" s="545"/>
      <c r="X179" s="545"/>
      <c r="Y179" s="576"/>
      <c r="Z179" s="576"/>
      <c r="AA179" s="545"/>
      <c r="AB179" s="545"/>
      <c r="AC179" s="545"/>
      <c r="AD179" s="576"/>
      <c r="AE179" s="576"/>
      <c r="AF179" s="576"/>
      <c r="AG179" s="576"/>
      <c r="AH179" s="576"/>
      <c r="AI179" s="576"/>
      <c r="AJ179" s="576"/>
      <c r="AK179" s="576"/>
      <c r="AL179" s="576"/>
      <c r="AM179" s="576"/>
      <c r="AN179" s="576"/>
      <c r="AO179" s="576"/>
      <c r="AP179" s="576"/>
      <c r="AQ179" s="576"/>
      <c r="AR179" s="576"/>
      <c r="AS179" s="576"/>
      <c r="AT179" s="576"/>
      <c r="AU179" s="576"/>
      <c r="AV179" s="576"/>
      <c r="AW179" s="576"/>
      <c r="AX179" s="576"/>
      <c r="AY179" s="576"/>
      <c r="AZ179" s="576"/>
      <c r="BA179" s="576"/>
      <c r="BB179" s="576"/>
      <c r="BC179" s="576"/>
      <c r="BD179" s="572"/>
      <c r="BE179" s="710"/>
      <c r="BF179" s="710"/>
      <c r="BG179" s="710"/>
      <c r="BH179" s="710"/>
      <c r="BI179" s="710"/>
      <c r="BJ179" s="710"/>
      <c r="BK179" s="710"/>
      <c r="BL179" s="710"/>
      <c r="BM179" s="710"/>
      <c r="BN179" s="710"/>
      <c r="BO179" s="710"/>
      <c r="BP179" s="710"/>
      <c r="BQ179" s="710"/>
      <c r="BR179" s="710"/>
      <c r="BS179" s="710"/>
      <c r="BT179" s="710"/>
    </row>
    <row r="180" spans="1:72" s="709" customFormat="1" ht="15.75">
      <c r="A180" s="545"/>
      <c r="B180" s="545"/>
      <c r="C180" s="545"/>
      <c r="D180" s="545"/>
      <c r="E180" s="545"/>
      <c r="F180" s="545"/>
      <c r="G180" s="545"/>
      <c r="H180" s="545"/>
      <c r="I180" s="545"/>
      <c r="J180" s="545"/>
      <c r="K180" s="545"/>
      <c r="L180" s="545"/>
      <c r="M180" s="545"/>
      <c r="N180" s="545"/>
      <c r="O180" s="545"/>
      <c r="P180" s="545"/>
      <c r="Q180" s="545"/>
      <c r="R180" s="545"/>
      <c r="S180" s="576"/>
      <c r="T180" s="576"/>
      <c r="U180" s="576"/>
      <c r="V180" s="576"/>
      <c r="W180" s="545"/>
      <c r="X180" s="545"/>
      <c r="Y180" s="576"/>
      <c r="Z180" s="576"/>
      <c r="AA180" s="545"/>
      <c r="AB180" s="545"/>
      <c r="AC180" s="545"/>
      <c r="AD180" s="576"/>
      <c r="AE180" s="576"/>
      <c r="AF180" s="576"/>
      <c r="AG180" s="576"/>
      <c r="AH180" s="576"/>
      <c r="AI180" s="576"/>
      <c r="AJ180" s="576"/>
      <c r="AK180" s="576"/>
      <c r="AL180" s="576"/>
      <c r="AM180" s="576"/>
      <c r="AN180" s="576"/>
      <c r="AO180" s="576"/>
      <c r="AP180" s="576"/>
      <c r="AQ180" s="576"/>
      <c r="AR180" s="576"/>
      <c r="AS180" s="576"/>
      <c r="AT180" s="576"/>
      <c r="AU180" s="576"/>
      <c r="AV180" s="576"/>
      <c r="AW180" s="576"/>
      <c r="AX180" s="576"/>
      <c r="AY180" s="576"/>
      <c r="AZ180" s="576"/>
      <c r="BA180" s="576"/>
      <c r="BB180" s="576"/>
      <c r="BC180" s="576"/>
      <c r="BD180" s="572"/>
      <c r="BE180" s="710"/>
      <c r="BF180" s="710"/>
      <c r="BG180" s="710"/>
      <c r="BH180" s="710"/>
      <c r="BI180" s="710"/>
      <c r="BJ180" s="710"/>
      <c r="BK180" s="710"/>
      <c r="BL180" s="710"/>
      <c r="BM180" s="710"/>
      <c r="BN180" s="710"/>
      <c r="BO180" s="710"/>
      <c r="BP180" s="710"/>
      <c r="BQ180" s="710"/>
      <c r="BR180" s="710"/>
      <c r="BS180" s="710"/>
      <c r="BT180" s="710"/>
    </row>
    <row r="181" spans="1:72" s="709" customFormat="1" ht="15.75">
      <c r="A181" s="545"/>
      <c r="B181" s="545"/>
      <c r="C181" s="545"/>
      <c r="D181" s="545"/>
      <c r="E181" s="545"/>
      <c r="F181" s="545"/>
      <c r="G181" s="545"/>
      <c r="H181" s="545"/>
      <c r="I181" s="545"/>
      <c r="J181" s="545"/>
      <c r="K181" s="545"/>
      <c r="L181" s="545"/>
      <c r="M181" s="545"/>
      <c r="N181" s="545"/>
      <c r="O181" s="545"/>
      <c r="P181" s="545"/>
      <c r="Q181" s="545"/>
      <c r="R181" s="545"/>
      <c r="S181" s="576"/>
      <c r="T181" s="576"/>
      <c r="U181" s="576"/>
      <c r="V181" s="576"/>
      <c r="W181" s="545"/>
      <c r="X181" s="545"/>
      <c r="Y181" s="576"/>
      <c r="Z181" s="576"/>
      <c r="AA181" s="545"/>
      <c r="AB181" s="545"/>
      <c r="AC181" s="545"/>
      <c r="AD181" s="576"/>
      <c r="AE181" s="576"/>
      <c r="AF181" s="576"/>
      <c r="AG181" s="576"/>
      <c r="AH181" s="576"/>
      <c r="AI181" s="576"/>
      <c r="AJ181" s="576"/>
      <c r="AK181" s="576"/>
      <c r="AL181" s="576"/>
      <c r="AM181" s="576"/>
      <c r="AN181" s="576"/>
      <c r="AO181" s="576"/>
      <c r="AP181" s="576"/>
      <c r="AQ181" s="576"/>
      <c r="AR181" s="576"/>
      <c r="AS181" s="576"/>
      <c r="AT181" s="576"/>
      <c r="AU181" s="576"/>
      <c r="AV181" s="576"/>
      <c r="AW181" s="576"/>
      <c r="AX181" s="576"/>
      <c r="AY181" s="576"/>
      <c r="AZ181" s="576"/>
      <c r="BA181" s="576"/>
      <c r="BB181" s="576"/>
      <c r="BC181" s="576"/>
      <c r="BD181" s="572"/>
      <c r="BE181" s="710"/>
      <c r="BF181" s="710"/>
      <c r="BG181" s="710"/>
      <c r="BH181" s="710"/>
      <c r="BI181" s="710"/>
      <c r="BJ181" s="710"/>
      <c r="BK181" s="710"/>
      <c r="BL181" s="710"/>
      <c r="BM181" s="710"/>
      <c r="BN181" s="710"/>
      <c r="BO181" s="710"/>
      <c r="BP181" s="710"/>
      <c r="BQ181" s="710"/>
      <c r="BR181" s="710"/>
      <c r="BS181" s="710"/>
      <c r="BT181" s="710"/>
    </row>
    <row r="182" spans="1:72" s="709" customFormat="1" ht="15.75">
      <c r="A182" s="545"/>
      <c r="B182" s="545"/>
      <c r="C182" s="545"/>
      <c r="D182" s="545"/>
      <c r="E182" s="545"/>
      <c r="F182" s="545"/>
      <c r="G182" s="545"/>
      <c r="H182" s="545"/>
      <c r="I182" s="545"/>
      <c r="J182" s="545"/>
      <c r="K182" s="545"/>
      <c r="L182" s="545"/>
      <c r="M182" s="545"/>
      <c r="N182" s="545"/>
      <c r="O182" s="545"/>
      <c r="P182" s="545"/>
      <c r="Q182" s="545"/>
      <c r="R182" s="545"/>
      <c r="S182" s="576"/>
      <c r="T182" s="576"/>
      <c r="U182" s="576"/>
      <c r="V182" s="576"/>
      <c r="W182" s="545"/>
      <c r="X182" s="545"/>
      <c r="Y182" s="576"/>
      <c r="Z182" s="576"/>
      <c r="AA182" s="545"/>
      <c r="AB182" s="545"/>
      <c r="AC182" s="545"/>
      <c r="AD182" s="576"/>
      <c r="AE182" s="576"/>
      <c r="AF182" s="576"/>
      <c r="AG182" s="576"/>
      <c r="AH182" s="576"/>
      <c r="AI182" s="576"/>
      <c r="AJ182" s="576"/>
      <c r="AK182" s="576"/>
      <c r="AL182" s="576"/>
      <c r="AM182" s="576"/>
      <c r="AN182" s="576"/>
      <c r="AO182" s="576"/>
      <c r="AP182" s="576"/>
      <c r="AQ182" s="576"/>
      <c r="AR182" s="576"/>
      <c r="AS182" s="576"/>
      <c r="AT182" s="576"/>
      <c r="AU182" s="576"/>
      <c r="AV182" s="576"/>
      <c r="AW182" s="576"/>
      <c r="AX182" s="576"/>
      <c r="AY182" s="576"/>
      <c r="AZ182" s="576"/>
      <c r="BA182" s="576"/>
      <c r="BB182" s="576"/>
      <c r="BC182" s="576"/>
      <c r="BD182" s="572"/>
      <c r="BE182" s="710"/>
      <c r="BF182" s="710"/>
      <c r="BG182" s="710"/>
      <c r="BH182" s="710"/>
      <c r="BI182" s="710"/>
      <c r="BJ182" s="710"/>
      <c r="BK182" s="710"/>
      <c r="BL182" s="710"/>
      <c r="BM182" s="710"/>
      <c r="BN182" s="710"/>
      <c r="BO182" s="710"/>
      <c r="BP182" s="710"/>
      <c r="BQ182" s="710"/>
      <c r="BR182" s="710"/>
      <c r="BS182" s="710"/>
      <c r="BT182" s="710"/>
    </row>
    <row r="183" spans="1:72" s="709" customFormat="1" ht="15.75">
      <c r="A183" s="545"/>
      <c r="B183" s="545"/>
      <c r="C183" s="545"/>
      <c r="D183" s="545"/>
      <c r="E183" s="545"/>
      <c r="F183" s="545"/>
      <c r="G183" s="545"/>
      <c r="H183" s="545"/>
      <c r="I183" s="545"/>
      <c r="J183" s="545"/>
      <c r="K183" s="545"/>
      <c r="L183" s="545"/>
      <c r="M183" s="545"/>
      <c r="N183" s="545"/>
      <c r="O183" s="545"/>
      <c r="P183" s="545"/>
      <c r="Q183" s="545"/>
      <c r="R183" s="545"/>
      <c r="S183" s="576"/>
      <c r="T183" s="576"/>
      <c r="U183" s="576"/>
      <c r="V183" s="576"/>
      <c r="W183" s="545"/>
      <c r="X183" s="545"/>
      <c r="Y183" s="576"/>
      <c r="Z183" s="576"/>
      <c r="AA183" s="545"/>
      <c r="AB183" s="545"/>
      <c r="AC183" s="545"/>
      <c r="AD183" s="576"/>
      <c r="AE183" s="576"/>
      <c r="AF183" s="576"/>
      <c r="AG183" s="576"/>
      <c r="AH183" s="576"/>
      <c r="AI183" s="576"/>
      <c r="AJ183" s="576"/>
      <c r="AK183" s="576"/>
      <c r="AL183" s="576"/>
      <c r="AM183" s="576"/>
      <c r="AN183" s="576"/>
      <c r="AO183" s="576"/>
      <c r="AP183" s="576"/>
      <c r="AQ183" s="576"/>
      <c r="AR183" s="576"/>
      <c r="AS183" s="576"/>
      <c r="AT183" s="576"/>
      <c r="AU183" s="576"/>
      <c r="AV183" s="576"/>
      <c r="AW183" s="576"/>
      <c r="AX183" s="576"/>
      <c r="AY183" s="576"/>
      <c r="AZ183" s="576"/>
      <c r="BA183" s="576"/>
      <c r="BB183" s="576"/>
      <c r="BC183" s="576"/>
      <c r="BD183" s="572"/>
      <c r="BE183" s="710"/>
      <c r="BF183" s="710"/>
      <c r="BG183" s="710"/>
      <c r="BH183" s="710"/>
      <c r="BI183" s="710"/>
      <c r="BJ183" s="710"/>
      <c r="BK183" s="710"/>
      <c r="BL183" s="710"/>
      <c r="BM183" s="710"/>
      <c r="BN183" s="710"/>
      <c r="BO183" s="710"/>
      <c r="BP183" s="710"/>
      <c r="BQ183" s="710"/>
      <c r="BR183" s="710"/>
      <c r="BS183" s="710"/>
      <c r="BT183" s="710"/>
    </row>
    <row r="184" spans="1:72" s="709" customFormat="1" ht="15.75">
      <c r="A184" s="545"/>
      <c r="B184" s="545"/>
      <c r="C184" s="545"/>
      <c r="D184" s="545"/>
      <c r="E184" s="545"/>
      <c r="F184" s="545"/>
      <c r="G184" s="545"/>
      <c r="H184" s="545"/>
      <c r="I184" s="545"/>
      <c r="J184" s="545"/>
      <c r="K184" s="545"/>
      <c r="L184" s="545"/>
      <c r="M184" s="545"/>
      <c r="N184" s="545"/>
      <c r="O184" s="545"/>
      <c r="P184" s="545"/>
      <c r="Q184" s="545"/>
      <c r="R184" s="545"/>
      <c r="S184" s="576"/>
      <c r="T184" s="576"/>
      <c r="U184" s="576"/>
      <c r="V184" s="576"/>
      <c r="W184" s="545"/>
      <c r="X184" s="545"/>
      <c r="Y184" s="576"/>
      <c r="Z184" s="576"/>
      <c r="AA184" s="545"/>
      <c r="AB184" s="545"/>
      <c r="AC184" s="545"/>
      <c r="AD184" s="576"/>
      <c r="AE184" s="576"/>
      <c r="AF184" s="576"/>
      <c r="AG184" s="576"/>
      <c r="AH184" s="576"/>
      <c r="AI184" s="576"/>
      <c r="AJ184" s="576"/>
      <c r="AK184" s="576"/>
      <c r="AL184" s="576"/>
      <c r="AM184" s="576"/>
      <c r="AN184" s="576"/>
      <c r="AO184" s="576"/>
      <c r="AP184" s="576"/>
      <c r="AQ184" s="576"/>
      <c r="AR184" s="576"/>
      <c r="AS184" s="576"/>
      <c r="AT184" s="576"/>
      <c r="AU184" s="576"/>
      <c r="AV184" s="576"/>
      <c r="AW184" s="576"/>
      <c r="AX184" s="576"/>
      <c r="AY184" s="576"/>
      <c r="AZ184" s="576"/>
      <c r="BA184" s="576"/>
      <c r="BB184" s="576"/>
      <c r="BC184" s="576"/>
      <c r="BD184" s="572"/>
      <c r="BE184" s="710"/>
      <c r="BF184" s="710"/>
      <c r="BG184" s="710"/>
      <c r="BH184" s="710"/>
      <c r="BI184" s="710"/>
      <c r="BJ184" s="710"/>
      <c r="BK184" s="710"/>
      <c r="BL184" s="710"/>
      <c r="BM184" s="710"/>
      <c r="BN184" s="710"/>
      <c r="BO184" s="710"/>
      <c r="BP184" s="710"/>
      <c r="BQ184" s="710"/>
      <c r="BR184" s="710"/>
      <c r="BS184" s="710"/>
      <c r="BT184" s="710"/>
    </row>
    <row r="185" spans="1:72" s="709" customFormat="1" ht="15.75">
      <c r="A185" s="545"/>
      <c r="B185" s="545"/>
      <c r="C185" s="545"/>
      <c r="D185" s="545"/>
      <c r="E185" s="545"/>
      <c r="F185" s="545"/>
      <c r="G185" s="545"/>
      <c r="H185" s="545"/>
      <c r="I185" s="545"/>
      <c r="J185" s="545"/>
      <c r="K185" s="545"/>
      <c r="L185" s="545"/>
      <c r="M185" s="545"/>
      <c r="N185" s="545"/>
      <c r="O185" s="545"/>
      <c r="P185" s="545"/>
      <c r="Q185" s="545"/>
      <c r="R185" s="545"/>
      <c r="S185" s="576"/>
      <c r="T185" s="576"/>
      <c r="U185" s="576"/>
      <c r="V185" s="576"/>
      <c r="W185" s="545"/>
      <c r="X185" s="545"/>
      <c r="Y185" s="576"/>
      <c r="Z185" s="576"/>
      <c r="AA185" s="545"/>
      <c r="AB185" s="545"/>
      <c r="AC185" s="545"/>
      <c r="AD185" s="576"/>
      <c r="AE185" s="576"/>
      <c r="AF185" s="576"/>
      <c r="AG185" s="576"/>
      <c r="AH185" s="576"/>
      <c r="AI185" s="576"/>
      <c r="AJ185" s="576"/>
      <c r="AK185" s="576"/>
      <c r="AL185" s="576"/>
      <c r="AM185" s="576"/>
      <c r="AN185" s="576"/>
      <c r="AO185" s="576"/>
      <c r="AP185" s="576"/>
      <c r="AQ185" s="576"/>
      <c r="AR185" s="576"/>
      <c r="AS185" s="576"/>
      <c r="AT185" s="576"/>
      <c r="AU185" s="576"/>
      <c r="AV185" s="576"/>
      <c r="AW185" s="576"/>
      <c r="AX185" s="576"/>
      <c r="AY185" s="576"/>
      <c r="AZ185" s="576"/>
      <c r="BA185" s="576"/>
      <c r="BB185" s="576"/>
      <c r="BC185" s="576"/>
      <c r="BD185" s="572"/>
      <c r="BE185" s="710"/>
      <c r="BF185" s="710"/>
      <c r="BG185" s="710"/>
      <c r="BH185" s="710"/>
      <c r="BI185" s="710"/>
      <c r="BJ185" s="710"/>
      <c r="BK185" s="710"/>
      <c r="BL185" s="710"/>
      <c r="BM185" s="710"/>
      <c r="BN185" s="710"/>
      <c r="BO185" s="710"/>
      <c r="BP185" s="710"/>
      <c r="BQ185" s="710"/>
      <c r="BR185" s="710"/>
      <c r="BS185" s="710"/>
      <c r="BT185" s="710"/>
    </row>
    <row r="186" spans="1:72" s="709" customFormat="1" ht="15.75">
      <c r="A186" s="545"/>
      <c r="B186" s="545"/>
      <c r="C186" s="545"/>
      <c r="D186" s="545"/>
      <c r="E186" s="545"/>
      <c r="F186" s="545"/>
      <c r="G186" s="545"/>
      <c r="H186" s="545"/>
      <c r="I186" s="545"/>
      <c r="J186" s="545"/>
      <c r="K186" s="545"/>
      <c r="L186" s="545"/>
      <c r="M186" s="545"/>
      <c r="N186" s="545"/>
      <c r="O186" s="545"/>
      <c r="P186" s="545"/>
      <c r="Q186" s="545"/>
      <c r="R186" s="545"/>
      <c r="S186" s="576"/>
      <c r="T186" s="576"/>
      <c r="U186" s="576"/>
      <c r="V186" s="576"/>
      <c r="W186" s="545"/>
      <c r="X186" s="545"/>
      <c r="Y186" s="576"/>
      <c r="Z186" s="576"/>
      <c r="AA186" s="545"/>
      <c r="AB186" s="545"/>
      <c r="AC186" s="545"/>
      <c r="AD186" s="576"/>
      <c r="AE186" s="576"/>
      <c r="AF186" s="576"/>
      <c r="AG186" s="576"/>
      <c r="AH186" s="576"/>
      <c r="AI186" s="576"/>
      <c r="AJ186" s="576"/>
      <c r="AK186" s="576"/>
      <c r="AL186" s="576"/>
      <c r="AM186" s="576"/>
      <c r="AN186" s="576"/>
      <c r="AO186" s="576"/>
      <c r="AP186" s="576"/>
      <c r="AQ186" s="576"/>
      <c r="AR186" s="576"/>
      <c r="AS186" s="576"/>
      <c r="AT186" s="576"/>
      <c r="AU186" s="576"/>
      <c r="AV186" s="576"/>
      <c r="AW186" s="576"/>
      <c r="AX186" s="576"/>
      <c r="AY186" s="576"/>
      <c r="AZ186" s="576"/>
      <c r="BA186" s="576"/>
      <c r="BB186" s="576"/>
      <c r="BC186" s="576"/>
      <c r="BD186" s="572"/>
      <c r="BE186" s="710"/>
      <c r="BF186" s="710"/>
      <c r="BG186" s="710"/>
      <c r="BH186" s="710"/>
      <c r="BI186" s="710"/>
      <c r="BJ186" s="710"/>
      <c r="BK186" s="710"/>
      <c r="BL186" s="710"/>
      <c r="BM186" s="710"/>
      <c r="BN186" s="710"/>
      <c r="BO186" s="710"/>
      <c r="BP186" s="710"/>
      <c r="BQ186" s="710"/>
      <c r="BR186" s="710"/>
      <c r="BS186" s="710"/>
      <c r="BT186" s="710"/>
    </row>
    <row r="187" spans="1:72" s="709" customFormat="1" ht="15.75">
      <c r="A187" s="545"/>
      <c r="B187" s="545"/>
      <c r="C187" s="545"/>
      <c r="D187" s="545"/>
      <c r="E187" s="545"/>
      <c r="F187" s="545"/>
      <c r="G187" s="545"/>
      <c r="H187" s="545"/>
      <c r="I187" s="545"/>
      <c r="J187" s="545"/>
      <c r="K187" s="545"/>
      <c r="L187" s="545"/>
      <c r="M187" s="545"/>
      <c r="N187" s="545"/>
      <c r="O187" s="545"/>
      <c r="P187" s="545"/>
      <c r="Q187" s="545"/>
      <c r="R187" s="545"/>
      <c r="S187" s="576"/>
      <c r="T187" s="576"/>
      <c r="U187" s="576"/>
      <c r="V187" s="576"/>
      <c r="W187" s="545"/>
      <c r="X187" s="545"/>
      <c r="Y187" s="576"/>
      <c r="Z187" s="576"/>
      <c r="AA187" s="545"/>
      <c r="AB187" s="545"/>
      <c r="AC187" s="545"/>
      <c r="AD187" s="576"/>
      <c r="AE187" s="576"/>
      <c r="AF187" s="576"/>
      <c r="AG187" s="576"/>
      <c r="AH187" s="576"/>
      <c r="AI187" s="576"/>
      <c r="AJ187" s="576"/>
      <c r="AK187" s="576"/>
      <c r="AL187" s="576"/>
      <c r="AM187" s="576"/>
      <c r="AN187" s="576"/>
      <c r="AO187" s="576"/>
      <c r="AP187" s="576"/>
      <c r="AQ187" s="576"/>
      <c r="AR187" s="576"/>
      <c r="AS187" s="576"/>
      <c r="AT187" s="576"/>
      <c r="AU187" s="576"/>
      <c r="AV187" s="576"/>
      <c r="AW187" s="576"/>
      <c r="AX187" s="576"/>
      <c r="AY187" s="576"/>
      <c r="AZ187" s="576"/>
      <c r="BA187" s="576"/>
      <c r="BB187" s="576"/>
      <c r="BC187" s="576"/>
      <c r="BD187" s="572"/>
      <c r="BE187" s="710"/>
      <c r="BF187" s="710"/>
      <c r="BG187" s="710"/>
      <c r="BH187" s="710"/>
      <c r="BI187" s="710"/>
      <c r="BJ187" s="710"/>
      <c r="BK187" s="710"/>
      <c r="BL187" s="710"/>
      <c r="BM187" s="710"/>
      <c r="BN187" s="710"/>
      <c r="BO187" s="710"/>
      <c r="BP187" s="710"/>
      <c r="BQ187" s="710"/>
      <c r="BR187" s="710"/>
      <c r="BS187" s="710"/>
      <c r="BT187" s="710"/>
    </row>
    <row r="188" spans="1:72" s="709" customFormat="1" ht="15.75">
      <c r="A188" s="545"/>
      <c r="B188" s="545"/>
      <c r="C188" s="545"/>
      <c r="D188" s="545"/>
      <c r="E188" s="545"/>
      <c r="F188" s="545"/>
      <c r="G188" s="545"/>
      <c r="H188" s="545"/>
      <c r="I188" s="545"/>
      <c r="J188" s="545"/>
      <c r="K188" s="545"/>
      <c r="L188" s="545"/>
      <c r="M188" s="545"/>
      <c r="N188" s="545"/>
      <c r="O188" s="545"/>
      <c r="P188" s="545"/>
      <c r="Q188" s="545"/>
      <c r="R188" s="545"/>
      <c r="S188" s="576"/>
      <c r="T188" s="576"/>
      <c r="U188" s="576"/>
      <c r="V188" s="576"/>
      <c r="W188" s="545"/>
      <c r="X188" s="545"/>
      <c r="Y188" s="576"/>
      <c r="Z188" s="576"/>
      <c r="AA188" s="545"/>
      <c r="AB188" s="545"/>
      <c r="AC188" s="545"/>
      <c r="AD188" s="576"/>
      <c r="AE188" s="576"/>
      <c r="AF188" s="576"/>
      <c r="AG188" s="576"/>
      <c r="AH188" s="576"/>
      <c r="AI188" s="576"/>
      <c r="AJ188" s="576"/>
      <c r="AK188" s="576"/>
      <c r="AL188" s="576"/>
      <c r="AM188" s="576"/>
      <c r="AN188" s="576"/>
      <c r="AO188" s="576"/>
      <c r="AP188" s="576"/>
      <c r="AQ188" s="576"/>
      <c r="AR188" s="576"/>
      <c r="AS188" s="576"/>
      <c r="AT188" s="576"/>
      <c r="AU188" s="576"/>
      <c r="AV188" s="576"/>
      <c r="AW188" s="576"/>
      <c r="AX188" s="576"/>
      <c r="AY188" s="576"/>
      <c r="AZ188" s="576"/>
      <c r="BA188" s="576"/>
      <c r="BB188" s="576"/>
      <c r="BC188" s="576"/>
      <c r="BD188" s="572"/>
      <c r="BE188" s="710"/>
      <c r="BF188" s="710"/>
      <c r="BG188" s="710"/>
      <c r="BH188" s="710"/>
      <c r="BI188" s="710"/>
      <c r="BJ188" s="710"/>
      <c r="BK188" s="710"/>
      <c r="BL188" s="710"/>
      <c r="BM188" s="710"/>
      <c r="BN188" s="710"/>
      <c r="BO188" s="710"/>
      <c r="BP188" s="710"/>
      <c r="BQ188" s="710"/>
      <c r="BR188" s="710"/>
      <c r="BS188" s="710"/>
      <c r="BT188" s="710"/>
    </row>
    <row r="189" spans="1:72" s="709" customFormat="1" ht="15.75">
      <c r="A189" s="545"/>
      <c r="B189" s="545"/>
      <c r="C189" s="545"/>
      <c r="D189" s="545"/>
      <c r="E189" s="545"/>
      <c r="F189" s="545"/>
      <c r="G189" s="545"/>
      <c r="H189" s="545"/>
      <c r="I189" s="545"/>
      <c r="J189" s="545"/>
      <c r="K189" s="545"/>
      <c r="L189" s="545"/>
      <c r="M189" s="545"/>
      <c r="N189" s="545"/>
      <c r="O189" s="545"/>
      <c r="P189" s="545"/>
      <c r="Q189" s="545"/>
      <c r="R189" s="545"/>
      <c r="S189" s="576"/>
      <c r="T189" s="576"/>
      <c r="U189" s="576"/>
      <c r="V189" s="576"/>
      <c r="W189" s="545"/>
      <c r="X189" s="545"/>
      <c r="Y189" s="576"/>
      <c r="Z189" s="576"/>
      <c r="AA189" s="545"/>
      <c r="AB189" s="545"/>
      <c r="AC189" s="545"/>
      <c r="AD189" s="576"/>
      <c r="AE189" s="576"/>
      <c r="AF189" s="576"/>
      <c r="AG189" s="576"/>
      <c r="AH189" s="576"/>
      <c r="AI189" s="576"/>
      <c r="AJ189" s="576"/>
      <c r="AK189" s="576"/>
      <c r="AL189" s="576"/>
      <c r="AM189" s="576"/>
      <c r="AN189" s="576"/>
      <c r="AO189" s="576"/>
      <c r="AP189" s="576"/>
      <c r="AQ189" s="576"/>
      <c r="AR189" s="576"/>
      <c r="AS189" s="576"/>
      <c r="AT189" s="576"/>
      <c r="AU189" s="576"/>
      <c r="AV189" s="576"/>
      <c r="AW189" s="576"/>
      <c r="AX189" s="576"/>
      <c r="AY189" s="576"/>
      <c r="AZ189" s="576"/>
      <c r="BA189" s="576"/>
      <c r="BB189" s="576"/>
      <c r="BC189" s="576"/>
      <c r="BD189" s="572"/>
      <c r="BE189" s="710"/>
      <c r="BF189" s="710"/>
      <c r="BG189" s="710"/>
      <c r="BH189" s="710"/>
      <c r="BI189" s="710"/>
      <c r="BJ189" s="710"/>
      <c r="BK189" s="710"/>
      <c r="BL189" s="710"/>
      <c r="BM189" s="710"/>
      <c r="BN189" s="710"/>
      <c r="BO189" s="710"/>
      <c r="BP189" s="710"/>
      <c r="BQ189" s="710"/>
      <c r="BR189" s="710"/>
      <c r="BS189" s="710"/>
      <c r="BT189" s="710"/>
    </row>
    <row r="190" spans="1:72" s="709" customFormat="1" ht="15.75">
      <c r="A190" s="545"/>
      <c r="B190" s="545"/>
      <c r="C190" s="545"/>
      <c r="D190" s="545"/>
      <c r="E190" s="545"/>
      <c r="F190" s="545"/>
      <c r="G190" s="545"/>
      <c r="H190" s="545"/>
      <c r="I190" s="545"/>
      <c r="J190" s="545"/>
      <c r="K190" s="545"/>
      <c r="L190" s="545"/>
      <c r="M190" s="545"/>
      <c r="N190" s="545"/>
      <c r="O190" s="545"/>
      <c r="P190" s="545"/>
      <c r="Q190" s="545"/>
      <c r="R190" s="545"/>
      <c r="S190" s="576"/>
      <c r="T190" s="576"/>
      <c r="U190" s="576"/>
      <c r="V190" s="576"/>
      <c r="W190" s="545"/>
      <c r="X190" s="545"/>
      <c r="Y190" s="576"/>
      <c r="Z190" s="576"/>
      <c r="AA190" s="545"/>
      <c r="AB190" s="545"/>
      <c r="AC190" s="545"/>
      <c r="AD190" s="576"/>
      <c r="AE190" s="576"/>
      <c r="AF190" s="576"/>
      <c r="AG190" s="576"/>
      <c r="AH190" s="576"/>
      <c r="AI190" s="576"/>
      <c r="AJ190" s="576"/>
      <c r="AK190" s="576"/>
      <c r="AL190" s="576"/>
      <c r="AM190" s="576"/>
      <c r="AN190" s="576"/>
      <c r="AO190" s="576"/>
      <c r="AP190" s="576"/>
      <c r="AQ190" s="576"/>
      <c r="AR190" s="576"/>
      <c r="AS190" s="576"/>
      <c r="AT190" s="576"/>
      <c r="AU190" s="576"/>
      <c r="AV190" s="576"/>
      <c r="AW190" s="576"/>
      <c r="AX190" s="576"/>
      <c r="AY190" s="576"/>
      <c r="AZ190" s="576"/>
      <c r="BA190" s="576"/>
      <c r="BB190" s="576"/>
      <c r="BC190" s="576"/>
      <c r="BD190" s="572"/>
      <c r="BE190" s="710"/>
      <c r="BF190" s="710"/>
      <c r="BG190" s="710"/>
      <c r="BH190" s="710"/>
      <c r="BI190" s="710"/>
      <c r="BJ190" s="710"/>
      <c r="BK190" s="710"/>
      <c r="BL190" s="710"/>
      <c r="BM190" s="710"/>
      <c r="BN190" s="710"/>
      <c r="BO190" s="710"/>
      <c r="BP190" s="710"/>
      <c r="BQ190" s="710"/>
      <c r="BR190" s="710"/>
      <c r="BS190" s="710"/>
      <c r="BT190" s="710"/>
    </row>
    <row r="191" spans="1:72" s="709" customFormat="1" ht="15.75">
      <c r="A191" s="545"/>
      <c r="B191" s="545"/>
      <c r="C191" s="545"/>
      <c r="D191" s="545"/>
      <c r="E191" s="545"/>
      <c r="F191" s="545"/>
      <c r="G191" s="545"/>
      <c r="H191" s="545"/>
      <c r="I191" s="545"/>
      <c r="J191" s="545"/>
      <c r="K191" s="545"/>
      <c r="L191" s="545"/>
      <c r="M191" s="545"/>
      <c r="N191" s="545"/>
      <c r="O191" s="545"/>
      <c r="P191" s="545"/>
      <c r="Q191" s="545"/>
      <c r="R191" s="545"/>
      <c r="S191" s="576"/>
      <c r="T191" s="576"/>
      <c r="U191" s="576"/>
      <c r="V191" s="576"/>
      <c r="W191" s="545"/>
      <c r="X191" s="545"/>
      <c r="Y191" s="576"/>
      <c r="Z191" s="576"/>
      <c r="AA191" s="545"/>
      <c r="AB191" s="545"/>
      <c r="AC191" s="545"/>
      <c r="AD191" s="576"/>
      <c r="AE191" s="576"/>
      <c r="AF191" s="576"/>
      <c r="AG191" s="576"/>
      <c r="AH191" s="576"/>
      <c r="AI191" s="576"/>
      <c r="AJ191" s="576"/>
      <c r="AK191" s="576"/>
      <c r="AL191" s="576"/>
      <c r="AM191" s="576"/>
      <c r="AN191" s="576"/>
      <c r="AO191" s="576"/>
      <c r="AP191" s="576"/>
      <c r="AQ191" s="576"/>
      <c r="AR191" s="576"/>
      <c r="AS191" s="576"/>
      <c r="AT191" s="576"/>
      <c r="AU191" s="576"/>
      <c r="AV191" s="576"/>
      <c r="AW191" s="576"/>
      <c r="AX191" s="576"/>
      <c r="AY191" s="576"/>
      <c r="AZ191" s="576"/>
      <c r="BA191" s="576"/>
      <c r="BB191" s="576"/>
      <c r="BC191" s="576"/>
      <c r="BD191" s="572"/>
      <c r="BE191" s="710"/>
      <c r="BF191" s="710"/>
      <c r="BG191" s="710"/>
      <c r="BH191" s="710"/>
      <c r="BI191" s="710"/>
      <c r="BJ191" s="710"/>
      <c r="BK191" s="710"/>
      <c r="BL191" s="710"/>
      <c r="BM191" s="710"/>
      <c r="BN191" s="710"/>
      <c r="BO191" s="710"/>
      <c r="BP191" s="710"/>
      <c r="BQ191" s="710"/>
      <c r="BR191" s="710"/>
      <c r="BS191" s="710"/>
      <c r="BT191" s="710"/>
    </row>
    <row r="192" spans="1:72" s="709" customFormat="1" ht="15.75">
      <c r="A192" s="545"/>
      <c r="B192" s="545"/>
      <c r="C192" s="545"/>
      <c r="D192" s="545"/>
      <c r="E192" s="545"/>
      <c r="F192" s="545"/>
      <c r="G192" s="545"/>
      <c r="H192" s="545"/>
      <c r="I192" s="545"/>
      <c r="J192" s="545"/>
      <c r="K192" s="545"/>
      <c r="L192" s="545"/>
      <c r="M192" s="545"/>
      <c r="N192" s="545"/>
      <c r="O192" s="545"/>
      <c r="P192" s="545"/>
      <c r="Q192" s="545"/>
      <c r="R192" s="545"/>
      <c r="S192" s="576"/>
      <c r="T192" s="576"/>
      <c r="U192" s="576"/>
      <c r="V192" s="576"/>
      <c r="W192" s="545"/>
      <c r="X192" s="545"/>
      <c r="Y192" s="576"/>
      <c r="Z192" s="576"/>
      <c r="AA192" s="545"/>
      <c r="AB192" s="545"/>
      <c r="AC192" s="545"/>
      <c r="AD192" s="576"/>
      <c r="AE192" s="576"/>
      <c r="AF192" s="576"/>
      <c r="AG192" s="576"/>
      <c r="AH192" s="576"/>
      <c r="AI192" s="576"/>
      <c r="AJ192" s="576"/>
      <c r="AK192" s="576"/>
      <c r="AL192" s="576"/>
      <c r="AM192" s="576"/>
      <c r="AN192" s="576"/>
      <c r="AO192" s="576"/>
      <c r="AP192" s="576"/>
      <c r="AQ192" s="576"/>
      <c r="AR192" s="576"/>
      <c r="AS192" s="576"/>
      <c r="AT192" s="576"/>
      <c r="AU192" s="576"/>
      <c r="AV192" s="576"/>
      <c r="AW192" s="576"/>
      <c r="AX192" s="576"/>
      <c r="AY192" s="576"/>
      <c r="AZ192" s="576"/>
      <c r="BA192" s="576"/>
      <c r="BB192" s="576"/>
      <c r="BC192" s="576"/>
      <c r="BD192" s="572"/>
      <c r="BE192" s="710"/>
      <c r="BF192" s="710"/>
      <c r="BG192" s="710"/>
      <c r="BH192" s="710"/>
      <c r="BI192" s="710"/>
      <c r="BJ192" s="710"/>
      <c r="BK192" s="710"/>
      <c r="BL192" s="710"/>
      <c r="BM192" s="710"/>
      <c r="BN192" s="710"/>
      <c r="BO192" s="710"/>
      <c r="BP192" s="710"/>
      <c r="BQ192" s="710"/>
      <c r="BR192" s="710"/>
      <c r="BS192" s="710"/>
      <c r="BT192" s="710"/>
    </row>
    <row r="193" spans="1:72" s="709" customFormat="1" ht="15.75">
      <c r="A193" s="545"/>
      <c r="B193" s="545"/>
      <c r="C193" s="545"/>
      <c r="D193" s="545"/>
      <c r="E193" s="545"/>
      <c r="F193" s="545"/>
      <c r="G193" s="545"/>
      <c r="H193" s="545"/>
      <c r="I193" s="545"/>
      <c r="J193" s="545"/>
      <c r="K193" s="545"/>
      <c r="L193" s="545"/>
      <c r="M193" s="545"/>
      <c r="N193" s="545"/>
      <c r="O193" s="545"/>
      <c r="P193" s="545"/>
      <c r="Q193" s="545"/>
      <c r="R193" s="545"/>
      <c r="S193" s="576"/>
      <c r="T193" s="576"/>
      <c r="U193" s="576"/>
      <c r="V193" s="576"/>
      <c r="W193" s="545"/>
      <c r="X193" s="545"/>
      <c r="Y193" s="576"/>
      <c r="Z193" s="576"/>
      <c r="AA193" s="545"/>
      <c r="AB193" s="545"/>
      <c r="AC193" s="545"/>
      <c r="AD193" s="576"/>
      <c r="AE193" s="576"/>
      <c r="AF193" s="576"/>
      <c r="AG193" s="576"/>
      <c r="AH193" s="576"/>
      <c r="AI193" s="576"/>
      <c r="AJ193" s="576"/>
      <c r="AK193" s="576"/>
      <c r="AL193" s="576"/>
      <c r="AM193" s="576"/>
      <c r="AN193" s="576"/>
      <c r="AO193" s="576"/>
      <c r="AP193" s="576"/>
      <c r="AQ193" s="576"/>
      <c r="AR193" s="576"/>
      <c r="AS193" s="576"/>
      <c r="AT193" s="576"/>
      <c r="AU193" s="576"/>
      <c r="AV193" s="576"/>
      <c r="AW193" s="576"/>
      <c r="AX193" s="576"/>
      <c r="AY193" s="576"/>
      <c r="AZ193" s="576"/>
      <c r="BA193" s="576"/>
      <c r="BB193" s="576"/>
      <c r="BC193" s="576"/>
      <c r="BD193" s="572"/>
      <c r="BE193" s="710"/>
      <c r="BF193" s="710"/>
      <c r="BG193" s="710"/>
      <c r="BH193" s="710"/>
      <c r="BI193" s="710"/>
      <c r="BJ193" s="710"/>
      <c r="BK193" s="710"/>
      <c r="BL193" s="710"/>
      <c r="BM193" s="710"/>
      <c r="BN193" s="710"/>
      <c r="BO193" s="710"/>
      <c r="BP193" s="710"/>
      <c r="BQ193" s="710"/>
      <c r="BR193" s="710"/>
      <c r="BS193" s="710"/>
      <c r="BT193" s="710"/>
    </row>
    <row r="194" spans="1:72" s="709" customFormat="1" ht="15.75">
      <c r="A194" s="545"/>
      <c r="B194" s="545"/>
      <c r="C194" s="545"/>
      <c r="D194" s="545"/>
      <c r="E194" s="545"/>
      <c r="F194" s="545"/>
      <c r="G194" s="545"/>
      <c r="H194" s="545"/>
      <c r="I194" s="545"/>
      <c r="J194" s="545"/>
      <c r="K194" s="545"/>
      <c r="L194" s="545"/>
      <c r="M194" s="545"/>
      <c r="N194" s="545"/>
      <c r="O194" s="545"/>
      <c r="P194" s="545"/>
      <c r="Q194" s="545"/>
      <c r="R194" s="545"/>
      <c r="S194" s="576"/>
      <c r="T194" s="576"/>
      <c r="U194" s="576"/>
      <c r="V194" s="576"/>
      <c r="W194" s="545"/>
      <c r="X194" s="545"/>
      <c r="Y194" s="576"/>
      <c r="Z194" s="576"/>
      <c r="AA194" s="545"/>
      <c r="AB194" s="545"/>
      <c r="AC194" s="545"/>
      <c r="AD194" s="576"/>
      <c r="AE194" s="576"/>
      <c r="AF194" s="576"/>
      <c r="AG194" s="576"/>
      <c r="AH194" s="576"/>
      <c r="AI194" s="576"/>
      <c r="AJ194" s="576"/>
      <c r="AK194" s="576"/>
      <c r="AL194" s="576"/>
      <c r="AM194" s="576"/>
      <c r="AN194" s="576"/>
      <c r="AO194" s="576"/>
      <c r="AP194" s="576"/>
      <c r="AQ194" s="576"/>
      <c r="AR194" s="576"/>
      <c r="AS194" s="576"/>
      <c r="AT194" s="576"/>
      <c r="AU194" s="576"/>
      <c r="AV194" s="576"/>
      <c r="AW194" s="576"/>
      <c r="AX194" s="576"/>
      <c r="AY194" s="576"/>
      <c r="AZ194" s="576"/>
      <c r="BA194" s="576"/>
      <c r="BB194" s="576"/>
      <c r="BC194" s="576"/>
      <c r="BD194" s="572"/>
      <c r="BE194" s="710"/>
      <c r="BF194" s="710"/>
      <c r="BG194" s="710"/>
      <c r="BH194" s="710"/>
      <c r="BI194" s="710"/>
      <c r="BJ194" s="710"/>
      <c r="BK194" s="710"/>
      <c r="BL194" s="710"/>
      <c r="BM194" s="710"/>
      <c r="BN194" s="710"/>
      <c r="BO194" s="710"/>
      <c r="BP194" s="710"/>
      <c r="BQ194" s="710"/>
      <c r="BR194" s="710"/>
      <c r="BS194" s="710"/>
      <c r="BT194" s="710"/>
    </row>
    <row r="195" spans="1:72" s="709" customFormat="1" ht="15.75">
      <c r="A195" s="545"/>
      <c r="B195" s="545"/>
      <c r="C195" s="545"/>
      <c r="D195" s="545"/>
      <c r="E195" s="545"/>
      <c r="F195" s="545"/>
      <c r="G195" s="545"/>
      <c r="H195" s="545"/>
      <c r="I195" s="545"/>
      <c r="J195" s="545"/>
      <c r="K195" s="545"/>
      <c r="L195" s="545"/>
      <c r="M195" s="545"/>
      <c r="N195" s="545"/>
      <c r="O195" s="545"/>
      <c r="P195" s="545"/>
      <c r="Q195" s="545"/>
      <c r="R195" s="545"/>
      <c r="S195" s="576"/>
      <c r="T195" s="576"/>
      <c r="U195" s="576"/>
      <c r="V195" s="576"/>
      <c r="W195" s="545"/>
      <c r="X195" s="545"/>
      <c r="Y195" s="576"/>
      <c r="Z195" s="576"/>
      <c r="AA195" s="545"/>
      <c r="AB195" s="545"/>
      <c r="AC195" s="545"/>
      <c r="AD195" s="576"/>
      <c r="AE195" s="576"/>
      <c r="AF195" s="576"/>
      <c r="AG195" s="576"/>
      <c r="AH195" s="576"/>
      <c r="AI195" s="576"/>
      <c r="AJ195" s="576"/>
      <c r="AK195" s="576"/>
      <c r="AL195" s="576"/>
      <c r="AM195" s="576"/>
      <c r="AN195" s="576"/>
      <c r="AO195" s="576"/>
      <c r="AP195" s="576"/>
      <c r="AQ195" s="576"/>
      <c r="AR195" s="576"/>
      <c r="AS195" s="576"/>
      <c r="AT195" s="576"/>
      <c r="AU195" s="576"/>
      <c r="AV195" s="576"/>
      <c r="AW195" s="576"/>
      <c r="AX195" s="576"/>
      <c r="AY195" s="576"/>
      <c r="AZ195" s="576"/>
      <c r="BA195" s="576"/>
      <c r="BB195" s="576"/>
      <c r="BC195" s="576"/>
      <c r="BD195" s="572"/>
      <c r="BE195" s="710"/>
      <c r="BF195" s="710"/>
      <c r="BG195" s="710"/>
      <c r="BH195" s="710"/>
      <c r="BI195" s="710"/>
      <c r="BJ195" s="710"/>
      <c r="BK195" s="710"/>
      <c r="BL195" s="710"/>
      <c r="BM195" s="710"/>
      <c r="BN195" s="710"/>
      <c r="BO195" s="710"/>
      <c r="BP195" s="710"/>
      <c r="BQ195" s="710"/>
      <c r="BR195" s="710"/>
      <c r="BS195" s="710"/>
      <c r="BT195" s="710"/>
    </row>
    <row r="196" spans="1:72" s="709" customFormat="1" ht="15.75">
      <c r="A196" s="545"/>
      <c r="B196" s="545"/>
      <c r="C196" s="545"/>
      <c r="D196" s="545"/>
      <c r="E196" s="545"/>
      <c r="F196" s="545"/>
      <c r="G196" s="545"/>
      <c r="H196" s="545"/>
      <c r="I196" s="545"/>
      <c r="J196" s="545"/>
      <c r="K196" s="545"/>
      <c r="L196" s="545"/>
      <c r="M196" s="545"/>
      <c r="N196" s="545"/>
      <c r="O196" s="545"/>
      <c r="P196" s="545"/>
      <c r="Q196" s="545"/>
      <c r="R196" s="545"/>
      <c r="S196" s="576"/>
      <c r="T196" s="576"/>
      <c r="U196" s="576"/>
      <c r="V196" s="576"/>
      <c r="W196" s="545"/>
      <c r="X196" s="545"/>
      <c r="Y196" s="576"/>
      <c r="Z196" s="576"/>
      <c r="AA196" s="545"/>
      <c r="AB196" s="545"/>
      <c r="AC196" s="545"/>
      <c r="AD196" s="576"/>
      <c r="AE196" s="576"/>
      <c r="AF196" s="576"/>
      <c r="AG196" s="576"/>
      <c r="AH196" s="576"/>
      <c r="AI196" s="576"/>
      <c r="AJ196" s="576"/>
      <c r="AK196" s="576"/>
      <c r="AL196" s="576"/>
      <c r="AM196" s="576"/>
      <c r="AN196" s="576"/>
      <c r="AO196" s="576"/>
      <c r="AP196" s="576"/>
      <c r="AQ196" s="576"/>
      <c r="AR196" s="576"/>
      <c r="AS196" s="576"/>
      <c r="AT196" s="576"/>
      <c r="AU196" s="576"/>
      <c r="AV196" s="576"/>
      <c r="AW196" s="576"/>
      <c r="AX196" s="576"/>
      <c r="AY196" s="576"/>
      <c r="AZ196" s="576"/>
      <c r="BA196" s="576"/>
      <c r="BB196" s="576"/>
      <c r="BC196" s="576"/>
      <c r="BD196" s="572"/>
      <c r="BE196" s="710"/>
      <c r="BF196" s="710"/>
      <c r="BG196" s="710"/>
      <c r="BH196" s="710"/>
      <c r="BI196" s="710"/>
      <c r="BJ196" s="710"/>
      <c r="BK196" s="710"/>
      <c r="BL196" s="710"/>
      <c r="BM196" s="710"/>
      <c r="BN196" s="710"/>
      <c r="BO196" s="710"/>
      <c r="BP196" s="710"/>
      <c r="BQ196" s="710"/>
      <c r="BR196" s="710"/>
      <c r="BS196" s="710"/>
      <c r="BT196" s="710"/>
    </row>
    <row r="197" spans="1:72" s="709" customFormat="1" ht="15.75">
      <c r="A197" s="545"/>
      <c r="B197" s="545"/>
      <c r="C197" s="545"/>
      <c r="D197" s="545"/>
      <c r="E197" s="545"/>
      <c r="F197" s="545"/>
      <c r="G197" s="545"/>
      <c r="H197" s="545"/>
      <c r="I197" s="545"/>
      <c r="J197" s="545"/>
      <c r="K197" s="545"/>
      <c r="L197" s="545"/>
      <c r="M197" s="545"/>
      <c r="N197" s="545"/>
      <c r="O197" s="545"/>
      <c r="P197" s="545"/>
      <c r="Q197" s="545"/>
      <c r="R197" s="545"/>
      <c r="S197" s="576"/>
      <c r="T197" s="576"/>
      <c r="U197" s="576"/>
      <c r="V197" s="576"/>
      <c r="W197" s="545"/>
      <c r="X197" s="545"/>
      <c r="Y197" s="576"/>
      <c r="Z197" s="576"/>
      <c r="AA197" s="545"/>
      <c r="AB197" s="545"/>
      <c r="AC197" s="545"/>
      <c r="AD197" s="576"/>
      <c r="AE197" s="576"/>
      <c r="AF197" s="576"/>
      <c r="AG197" s="576"/>
      <c r="AH197" s="576"/>
      <c r="AI197" s="576"/>
      <c r="AJ197" s="576"/>
      <c r="AK197" s="576"/>
      <c r="AL197" s="576"/>
      <c r="AM197" s="576"/>
      <c r="AN197" s="576"/>
      <c r="AO197" s="576"/>
      <c r="AP197" s="576"/>
      <c r="AQ197" s="576"/>
      <c r="AR197" s="576"/>
      <c r="AS197" s="576"/>
      <c r="AT197" s="576"/>
      <c r="AU197" s="576"/>
      <c r="AV197" s="576"/>
      <c r="AW197" s="576"/>
      <c r="AX197" s="576"/>
      <c r="AY197" s="576"/>
      <c r="AZ197" s="576"/>
      <c r="BA197" s="576"/>
      <c r="BB197" s="576"/>
      <c r="BC197" s="576"/>
      <c r="BD197" s="572"/>
      <c r="BE197" s="710"/>
      <c r="BF197" s="710"/>
      <c r="BG197" s="710"/>
      <c r="BH197" s="710"/>
      <c r="BI197" s="710"/>
      <c r="BJ197" s="710"/>
      <c r="BK197" s="710"/>
      <c r="BL197" s="710"/>
      <c r="BM197" s="710"/>
      <c r="BN197" s="710"/>
      <c r="BO197" s="710"/>
      <c r="BP197" s="710"/>
      <c r="BQ197" s="710"/>
      <c r="BR197" s="710"/>
      <c r="BS197" s="710"/>
      <c r="BT197" s="710"/>
    </row>
    <row r="198" spans="1:72" s="709" customFormat="1" ht="15.75">
      <c r="A198" s="545"/>
      <c r="B198" s="545"/>
      <c r="C198" s="545"/>
      <c r="D198" s="545"/>
      <c r="E198" s="545"/>
      <c r="F198" s="545"/>
      <c r="G198" s="545"/>
      <c r="H198" s="545"/>
      <c r="I198" s="545"/>
      <c r="J198" s="545"/>
      <c r="K198" s="545"/>
      <c r="L198" s="545"/>
      <c r="M198" s="545"/>
      <c r="N198" s="545"/>
      <c r="O198" s="545"/>
      <c r="P198" s="545"/>
      <c r="Q198" s="545"/>
      <c r="R198" s="545"/>
      <c r="S198" s="576"/>
      <c r="T198" s="576"/>
      <c r="U198" s="576"/>
      <c r="V198" s="576"/>
      <c r="W198" s="545"/>
      <c r="X198" s="545"/>
      <c r="Y198" s="576"/>
      <c r="Z198" s="576"/>
      <c r="AA198" s="545"/>
      <c r="AB198" s="545"/>
      <c r="AC198" s="545"/>
      <c r="AD198" s="576"/>
      <c r="AE198" s="576"/>
      <c r="AF198" s="576"/>
      <c r="AG198" s="576"/>
      <c r="AH198" s="576"/>
      <c r="AI198" s="576"/>
      <c r="AJ198" s="576"/>
      <c r="AK198" s="576"/>
      <c r="AL198" s="576"/>
      <c r="AM198" s="576"/>
      <c r="AN198" s="576"/>
      <c r="AO198" s="576"/>
      <c r="AP198" s="576"/>
      <c r="AQ198" s="576"/>
      <c r="AR198" s="576"/>
      <c r="AS198" s="576"/>
      <c r="AT198" s="576"/>
      <c r="AU198" s="576"/>
      <c r="AV198" s="576"/>
      <c r="AW198" s="576"/>
      <c r="AX198" s="576"/>
      <c r="AY198" s="576"/>
      <c r="AZ198" s="576"/>
      <c r="BA198" s="576"/>
      <c r="BB198" s="576"/>
      <c r="BC198" s="576"/>
      <c r="BD198" s="572"/>
      <c r="BE198" s="710"/>
      <c r="BF198" s="710"/>
      <c r="BG198" s="710"/>
      <c r="BH198" s="710"/>
      <c r="BI198" s="710"/>
      <c r="BJ198" s="710"/>
      <c r="BK198" s="710"/>
      <c r="BL198" s="710"/>
      <c r="BM198" s="710"/>
      <c r="BN198" s="710"/>
      <c r="BO198" s="710"/>
      <c r="BP198" s="710"/>
      <c r="BQ198" s="710"/>
      <c r="BR198" s="710"/>
      <c r="BS198" s="710"/>
      <c r="BT198" s="710"/>
    </row>
    <row r="199" spans="1:72" s="709" customFormat="1" ht="15.75">
      <c r="A199" s="545"/>
      <c r="B199" s="545"/>
      <c r="C199" s="545"/>
      <c r="D199" s="545"/>
      <c r="E199" s="545"/>
      <c r="F199" s="545"/>
      <c r="G199" s="545"/>
      <c r="H199" s="545"/>
      <c r="I199" s="545"/>
      <c r="J199" s="545"/>
      <c r="K199" s="545"/>
      <c r="L199" s="545"/>
      <c r="M199" s="545"/>
      <c r="N199" s="545"/>
      <c r="O199" s="545"/>
      <c r="P199" s="545"/>
      <c r="Q199" s="545"/>
      <c r="R199" s="545"/>
      <c r="S199" s="576"/>
      <c r="T199" s="576"/>
      <c r="U199" s="576"/>
      <c r="V199" s="576"/>
      <c r="W199" s="545"/>
      <c r="X199" s="545"/>
      <c r="Y199" s="576"/>
      <c r="Z199" s="576"/>
      <c r="AA199" s="545"/>
      <c r="AB199" s="545"/>
      <c r="AC199" s="545"/>
      <c r="AD199" s="576"/>
      <c r="AE199" s="576"/>
      <c r="AF199" s="576"/>
      <c r="AG199" s="576"/>
      <c r="AH199" s="576"/>
      <c r="AI199" s="576"/>
      <c r="AJ199" s="576"/>
      <c r="AK199" s="576"/>
      <c r="AL199" s="576"/>
      <c r="AM199" s="576"/>
      <c r="AN199" s="576"/>
      <c r="AO199" s="576"/>
      <c r="AP199" s="576"/>
      <c r="AQ199" s="576"/>
      <c r="AR199" s="576"/>
      <c r="AS199" s="576"/>
      <c r="AT199" s="576"/>
      <c r="AU199" s="576"/>
      <c r="AV199" s="576"/>
      <c r="AW199" s="576"/>
      <c r="AX199" s="576"/>
      <c r="AY199" s="576"/>
      <c r="AZ199" s="576"/>
      <c r="BA199" s="576"/>
      <c r="BB199" s="576"/>
      <c r="BC199" s="576"/>
      <c r="BD199" s="572"/>
      <c r="BE199" s="710"/>
      <c r="BF199" s="710"/>
      <c r="BG199" s="710"/>
      <c r="BH199" s="710"/>
      <c r="BI199" s="710"/>
      <c r="BJ199" s="710"/>
      <c r="BK199" s="710"/>
      <c r="BL199" s="710"/>
      <c r="BM199" s="710"/>
      <c r="BN199" s="710"/>
      <c r="BO199" s="710"/>
      <c r="BP199" s="710"/>
      <c r="BQ199" s="710"/>
      <c r="BR199" s="710"/>
      <c r="BS199" s="710"/>
      <c r="BT199" s="710"/>
    </row>
    <row r="200" spans="1:72" s="709" customFormat="1" ht="15.75">
      <c r="A200" s="545"/>
      <c r="B200" s="545"/>
      <c r="C200" s="545"/>
      <c r="D200" s="545"/>
      <c r="E200" s="545"/>
      <c r="F200" s="545"/>
      <c r="G200" s="545"/>
      <c r="H200" s="545"/>
      <c r="I200" s="545"/>
      <c r="J200" s="545"/>
      <c r="K200" s="545"/>
      <c r="L200" s="545"/>
      <c r="M200" s="545"/>
      <c r="N200" s="545"/>
      <c r="O200" s="545"/>
      <c r="P200" s="545"/>
      <c r="Q200" s="545"/>
      <c r="R200" s="545"/>
      <c r="S200" s="576"/>
      <c r="T200" s="576"/>
      <c r="U200" s="576"/>
      <c r="V200" s="576"/>
      <c r="W200" s="545"/>
      <c r="X200" s="545"/>
      <c r="Y200" s="576"/>
      <c r="Z200" s="576"/>
      <c r="AA200" s="545"/>
      <c r="AB200" s="545"/>
      <c r="AC200" s="545"/>
      <c r="AD200" s="576"/>
      <c r="AE200" s="576"/>
      <c r="AF200" s="576"/>
      <c r="AG200" s="576"/>
      <c r="AH200" s="576"/>
      <c r="AI200" s="576"/>
      <c r="AJ200" s="576"/>
      <c r="AK200" s="576"/>
      <c r="AL200" s="576"/>
      <c r="AM200" s="576"/>
      <c r="AN200" s="576"/>
      <c r="AO200" s="576"/>
      <c r="AP200" s="576"/>
      <c r="AQ200" s="576"/>
      <c r="AR200" s="576"/>
      <c r="AS200" s="576"/>
      <c r="AT200" s="576"/>
      <c r="AU200" s="576"/>
      <c r="AV200" s="576"/>
      <c r="AW200" s="576"/>
      <c r="AX200" s="576"/>
      <c r="AY200" s="576"/>
      <c r="AZ200" s="576"/>
      <c r="BA200" s="576"/>
      <c r="BB200" s="576"/>
      <c r="BC200" s="576"/>
      <c r="BD200" s="572"/>
      <c r="BE200" s="710"/>
      <c r="BF200" s="710"/>
      <c r="BG200" s="710"/>
      <c r="BH200" s="710"/>
      <c r="BI200" s="710"/>
      <c r="BJ200" s="710"/>
      <c r="BK200" s="710"/>
      <c r="BL200" s="710"/>
      <c r="BM200" s="710"/>
      <c r="BN200" s="710"/>
      <c r="BO200" s="710"/>
      <c r="BP200" s="710"/>
      <c r="BQ200" s="710"/>
      <c r="BR200" s="710"/>
      <c r="BS200" s="710"/>
      <c r="BT200" s="710"/>
    </row>
    <row r="201" spans="1:72" s="709" customFormat="1" ht="15.75">
      <c r="A201" s="545"/>
      <c r="B201" s="545"/>
      <c r="C201" s="545"/>
      <c r="D201" s="545"/>
      <c r="E201" s="545"/>
      <c r="F201" s="545"/>
      <c r="G201" s="545"/>
      <c r="H201" s="545"/>
      <c r="I201" s="545"/>
      <c r="J201" s="545"/>
      <c r="K201" s="545"/>
      <c r="L201" s="545"/>
      <c r="M201" s="545"/>
      <c r="N201" s="545"/>
      <c r="O201" s="545"/>
      <c r="P201" s="545"/>
      <c r="Q201" s="545"/>
      <c r="R201" s="545"/>
      <c r="S201" s="576"/>
      <c r="T201" s="576"/>
      <c r="U201" s="576"/>
      <c r="V201" s="576"/>
      <c r="W201" s="545"/>
      <c r="X201" s="545"/>
      <c r="Y201" s="576"/>
      <c r="Z201" s="576"/>
      <c r="AA201" s="545"/>
      <c r="AB201" s="545"/>
      <c r="AC201" s="545"/>
      <c r="AD201" s="576"/>
      <c r="AE201" s="576"/>
      <c r="AF201" s="576"/>
      <c r="AG201" s="576"/>
      <c r="AH201" s="576"/>
      <c r="AI201" s="576"/>
      <c r="AJ201" s="576"/>
      <c r="AK201" s="576"/>
      <c r="AL201" s="576"/>
      <c r="AM201" s="576"/>
      <c r="AN201" s="576"/>
      <c r="AO201" s="576"/>
      <c r="AP201" s="576"/>
      <c r="AQ201" s="576"/>
      <c r="AR201" s="576"/>
      <c r="AS201" s="576"/>
      <c r="AT201" s="576"/>
      <c r="AU201" s="576"/>
      <c r="AV201" s="576"/>
      <c r="AW201" s="576"/>
      <c r="AX201" s="576"/>
      <c r="AY201" s="576"/>
      <c r="AZ201" s="576"/>
      <c r="BA201" s="576"/>
      <c r="BB201" s="576"/>
      <c r="BC201" s="576"/>
      <c r="BD201" s="572"/>
      <c r="BE201" s="710"/>
      <c r="BF201" s="710"/>
      <c r="BG201" s="710"/>
      <c r="BH201" s="710"/>
      <c r="BI201" s="710"/>
      <c r="BJ201" s="710"/>
      <c r="BK201" s="710"/>
      <c r="BL201" s="710"/>
      <c r="BM201" s="710"/>
      <c r="BN201" s="710"/>
      <c r="BO201" s="710"/>
      <c r="BP201" s="710"/>
      <c r="BQ201" s="710"/>
      <c r="BR201" s="710"/>
      <c r="BS201" s="710"/>
      <c r="BT201" s="710"/>
    </row>
    <row r="202" spans="1:72" s="709" customFormat="1" ht="15.75">
      <c r="A202" s="545"/>
      <c r="B202" s="545"/>
      <c r="C202" s="545"/>
      <c r="D202" s="545"/>
      <c r="E202" s="545"/>
      <c r="F202" s="545"/>
      <c r="G202" s="545"/>
      <c r="H202" s="545"/>
      <c r="I202" s="545"/>
      <c r="J202" s="545"/>
      <c r="K202" s="545"/>
      <c r="L202" s="545"/>
      <c r="M202" s="545"/>
      <c r="N202" s="545"/>
      <c r="O202" s="545"/>
      <c r="P202" s="545"/>
      <c r="Q202" s="545"/>
      <c r="R202" s="545"/>
      <c r="S202" s="576"/>
      <c r="T202" s="576"/>
      <c r="U202" s="576"/>
      <c r="V202" s="576"/>
      <c r="W202" s="545"/>
      <c r="X202" s="545"/>
      <c r="Y202" s="576"/>
      <c r="Z202" s="576"/>
      <c r="AA202" s="545"/>
      <c r="AB202" s="545"/>
      <c r="AC202" s="545"/>
      <c r="AD202" s="576"/>
      <c r="AE202" s="576"/>
      <c r="AF202" s="576"/>
      <c r="AG202" s="576"/>
      <c r="AH202" s="576"/>
      <c r="AI202" s="576"/>
      <c r="AJ202" s="576"/>
      <c r="AK202" s="576"/>
      <c r="AL202" s="576"/>
      <c r="AM202" s="576"/>
      <c r="AN202" s="576"/>
      <c r="AO202" s="576"/>
      <c r="AP202" s="576"/>
      <c r="AQ202" s="576"/>
      <c r="AR202" s="576"/>
      <c r="AS202" s="576"/>
      <c r="AT202" s="576"/>
      <c r="AU202" s="576"/>
      <c r="AV202" s="576"/>
      <c r="AW202" s="576"/>
      <c r="AX202" s="576"/>
      <c r="AY202" s="576"/>
      <c r="AZ202" s="576"/>
      <c r="BA202" s="576"/>
      <c r="BB202" s="576"/>
      <c r="BC202" s="576"/>
      <c r="BD202" s="572"/>
      <c r="BE202" s="710"/>
      <c r="BF202" s="710"/>
      <c r="BG202" s="710"/>
      <c r="BH202" s="710"/>
      <c r="BI202" s="710"/>
      <c r="BJ202" s="710"/>
      <c r="BK202" s="710"/>
      <c r="BL202" s="710"/>
      <c r="BM202" s="710"/>
      <c r="BN202" s="710"/>
      <c r="BO202" s="710"/>
      <c r="BP202" s="710"/>
      <c r="BQ202" s="710"/>
      <c r="BR202" s="710"/>
      <c r="BS202" s="710"/>
      <c r="BT202" s="710"/>
    </row>
    <row r="203" spans="1:72" s="709" customFormat="1" ht="15.75">
      <c r="A203" s="545"/>
      <c r="B203" s="545"/>
      <c r="C203" s="545"/>
      <c r="D203" s="545"/>
      <c r="E203" s="545"/>
      <c r="F203" s="545"/>
      <c r="G203" s="545"/>
      <c r="H203" s="545"/>
      <c r="I203" s="545"/>
      <c r="J203" s="545"/>
      <c r="K203" s="545"/>
      <c r="L203" s="545"/>
      <c r="M203" s="545"/>
      <c r="N203" s="545"/>
      <c r="O203" s="545"/>
      <c r="P203" s="545"/>
      <c r="Q203" s="545"/>
      <c r="R203" s="545"/>
      <c r="S203" s="576"/>
      <c r="T203" s="576"/>
      <c r="U203" s="576"/>
      <c r="V203" s="576"/>
      <c r="W203" s="545"/>
      <c r="X203" s="545"/>
      <c r="Y203" s="576"/>
      <c r="Z203" s="576"/>
      <c r="AA203" s="545"/>
      <c r="AB203" s="545"/>
      <c r="AC203" s="545"/>
      <c r="AD203" s="576"/>
      <c r="AE203" s="576"/>
      <c r="AF203" s="576"/>
      <c r="AG203" s="576"/>
      <c r="AH203" s="576"/>
      <c r="AI203" s="576"/>
      <c r="AJ203" s="576"/>
      <c r="AK203" s="576"/>
      <c r="AL203" s="576"/>
      <c r="AM203" s="576"/>
      <c r="AN203" s="576"/>
      <c r="AO203" s="576"/>
      <c r="AP203" s="576"/>
      <c r="AQ203" s="576"/>
      <c r="AR203" s="576"/>
      <c r="AS203" s="576"/>
      <c r="AT203" s="576"/>
      <c r="AU203" s="576"/>
      <c r="AV203" s="576"/>
      <c r="AW203" s="576"/>
      <c r="AX203" s="576"/>
      <c r="AY203" s="576"/>
      <c r="AZ203" s="576"/>
      <c r="BA203" s="576"/>
      <c r="BB203" s="576"/>
      <c r="BC203" s="576"/>
      <c r="BD203" s="572"/>
      <c r="BE203" s="710"/>
      <c r="BF203" s="710"/>
      <c r="BG203" s="710"/>
      <c r="BH203" s="710"/>
      <c r="BI203" s="710"/>
      <c r="BJ203" s="710"/>
      <c r="BK203" s="710"/>
      <c r="BL203" s="710"/>
      <c r="BM203" s="710"/>
      <c r="BN203" s="710"/>
      <c r="BO203" s="710"/>
      <c r="BP203" s="710"/>
      <c r="BQ203" s="710"/>
      <c r="BR203" s="710"/>
      <c r="BS203" s="710"/>
      <c r="BT203" s="710"/>
    </row>
    <row r="204" spans="1:72" s="709" customFormat="1" ht="15.75">
      <c r="A204" s="545"/>
      <c r="B204" s="545"/>
      <c r="C204" s="545"/>
      <c r="D204" s="545"/>
      <c r="E204" s="545"/>
      <c r="F204" s="545"/>
      <c r="G204" s="545"/>
      <c r="H204" s="545"/>
      <c r="I204" s="545"/>
      <c r="J204" s="545"/>
      <c r="K204" s="545"/>
      <c r="L204" s="545"/>
      <c r="M204" s="545"/>
      <c r="N204" s="545"/>
      <c r="O204" s="545"/>
      <c r="P204" s="545"/>
      <c r="Q204" s="545"/>
      <c r="R204" s="545"/>
      <c r="S204" s="576"/>
      <c r="T204" s="576"/>
      <c r="U204" s="576"/>
      <c r="V204" s="576"/>
      <c r="W204" s="545"/>
      <c r="X204" s="545"/>
      <c r="Y204" s="576"/>
      <c r="Z204" s="576"/>
      <c r="AA204" s="545"/>
      <c r="AB204" s="545"/>
      <c r="AC204" s="545"/>
      <c r="AD204" s="576"/>
      <c r="AE204" s="576"/>
      <c r="AF204" s="576"/>
      <c r="AG204" s="576"/>
      <c r="AH204" s="576"/>
      <c r="AI204" s="576"/>
      <c r="AJ204" s="576"/>
      <c r="AK204" s="576"/>
      <c r="AL204" s="576"/>
      <c r="AM204" s="576"/>
      <c r="AN204" s="576"/>
      <c r="AO204" s="576"/>
      <c r="AP204" s="576"/>
      <c r="AQ204" s="576"/>
      <c r="AR204" s="576"/>
      <c r="AS204" s="576"/>
      <c r="AT204" s="576"/>
      <c r="AU204" s="576"/>
      <c r="AV204" s="576"/>
      <c r="AW204" s="576"/>
      <c r="AX204" s="576"/>
      <c r="AY204" s="576"/>
      <c r="AZ204" s="576"/>
      <c r="BA204" s="576"/>
      <c r="BB204" s="576"/>
      <c r="BC204" s="576"/>
      <c r="BD204" s="572"/>
      <c r="BE204" s="710"/>
      <c r="BF204" s="710"/>
      <c r="BG204" s="710"/>
      <c r="BH204" s="710"/>
      <c r="BI204" s="710"/>
      <c r="BJ204" s="710"/>
      <c r="BK204" s="710"/>
      <c r="BL204" s="710"/>
      <c r="BM204" s="710"/>
      <c r="BN204" s="710"/>
      <c r="BO204" s="710"/>
      <c r="BP204" s="710"/>
      <c r="BQ204" s="710"/>
      <c r="BR204" s="710"/>
      <c r="BS204" s="710"/>
      <c r="BT204" s="710"/>
    </row>
    <row r="205" spans="1:72" s="709" customFormat="1" ht="15.75">
      <c r="A205" s="545"/>
      <c r="B205" s="545"/>
      <c r="C205" s="545"/>
      <c r="D205" s="545"/>
      <c r="E205" s="545"/>
      <c r="F205" s="545"/>
      <c r="G205" s="545"/>
      <c r="H205" s="545"/>
      <c r="I205" s="545"/>
      <c r="J205" s="545"/>
      <c r="K205" s="545"/>
      <c r="L205" s="545"/>
      <c r="M205" s="545"/>
      <c r="N205" s="545"/>
      <c r="O205" s="545"/>
      <c r="P205" s="545"/>
      <c r="Q205" s="545"/>
      <c r="R205" s="545"/>
      <c r="S205" s="576"/>
      <c r="T205" s="576"/>
      <c r="U205" s="576"/>
      <c r="V205" s="576"/>
      <c r="W205" s="545"/>
      <c r="X205" s="545"/>
      <c r="Y205" s="576"/>
      <c r="Z205" s="576"/>
      <c r="AA205" s="545"/>
      <c r="AB205" s="545"/>
      <c r="AC205" s="545"/>
      <c r="AD205" s="576"/>
      <c r="AE205" s="576"/>
      <c r="AF205" s="576"/>
      <c r="AG205" s="576"/>
      <c r="AH205" s="576"/>
      <c r="AI205" s="576"/>
      <c r="AJ205" s="576"/>
      <c r="AK205" s="576"/>
      <c r="AL205" s="576"/>
      <c r="AM205" s="576"/>
      <c r="AN205" s="576"/>
      <c r="AO205" s="576"/>
      <c r="AP205" s="576"/>
      <c r="AQ205" s="576"/>
      <c r="AR205" s="576"/>
      <c r="AS205" s="576"/>
      <c r="AT205" s="576"/>
      <c r="AU205" s="576"/>
      <c r="AV205" s="576"/>
      <c r="AW205" s="576"/>
      <c r="AX205" s="576"/>
      <c r="AY205" s="576"/>
      <c r="AZ205" s="576"/>
      <c r="BA205" s="576"/>
      <c r="BB205" s="576"/>
      <c r="BC205" s="576"/>
      <c r="BD205" s="572"/>
      <c r="BE205" s="710"/>
      <c r="BF205" s="710"/>
      <c r="BG205" s="710"/>
      <c r="BH205" s="710"/>
      <c r="BI205" s="710"/>
      <c r="BJ205" s="710"/>
      <c r="BK205" s="710"/>
      <c r="BL205" s="710"/>
      <c r="BM205" s="710"/>
      <c r="BN205" s="710"/>
      <c r="BO205" s="710"/>
      <c r="BP205" s="710"/>
      <c r="BQ205" s="710"/>
      <c r="BR205" s="710"/>
      <c r="BS205" s="710"/>
      <c r="BT205" s="710"/>
    </row>
    <row r="206" spans="1:72" s="709" customFormat="1" ht="15.75">
      <c r="A206" s="545"/>
      <c r="B206" s="545"/>
      <c r="C206" s="545"/>
      <c r="D206" s="545"/>
      <c r="E206" s="545"/>
      <c r="F206" s="545"/>
      <c r="G206" s="545"/>
      <c r="H206" s="545"/>
      <c r="I206" s="545"/>
      <c r="J206" s="545"/>
      <c r="K206" s="545"/>
      <c r="L206" s="545"/>
      <c r="M206" s="545"/>
      <c r="N206" s="545"/>
      <c r="O206" s="545"/>
      <c r="P206" s="545"/>
      <c r="Q206" s="545"/>
      <c r="R206" s="545"/>
      <c r="S206" s="576"/>
      <c r="T206" s="576"/>
      <c r="U206" s="576"/>
      <c r="V206" s="576"/>
      <c r="W206" s="545"/>
      <c r="X206" s="545"/>
      <c r="Y206" s="576"/>
      <c r="Z206" s="576"/>
      <c r="AA206" s="545"/>
      <c r="AB206" s="545"/>
      <c r="AC206" s="545"/>
      <c r="AD206" s="576"/>
      <c r="AE206" s="576"/>
      <c r="AF206" s="576"/>
      <c r="AG206" s="576"/>
      <c r="AH206" s="576"/>
      <c r="AI206" s="576"/>
      <c r="AJ206" s="576"/>
      <c r="AK206" s="576"/>
      <c r="AL206" s="576"/>
      <c r="AM206" s="576"/>
      <c r="AN206" s="576"/>
      <c r="AO206" s="576"/>
      <c r="AP206" s="576"/>
      <c r="AQ206" s="576"/>
      <c r="AR206" s="576"/>
      <c r="AS206" s="576"/>
      <c r="AT206" s="576"/>
      <c r="AU206" s="576"/>
      <c r="AV206" s="576"/>
      <c r="AW206" s="576"/>
      <c r="AX206" s="576"/>
      <c r="AY206" s="576"/>
      <c r="AZ206" s="576"/>
      <c r="BA206" s="576"/>
      <c r="BB206" s="576"/>
      <c r="BC206" s="576"/>
      <c r="BD206" s="572"/>
      <c r="BE206" s="710"/>
      <c r="BF206" s="710"/>
      <c r="BG206" s="710"/>
      <c r="BH206" s="710"/>
      <c r="BI206" s="710"/>
      <c r="BJ206" s="710"/>
      <c r="BK206" s="710"/>
      <c r="BL206" s="710"/>
      <c r="BM206" s="710"/>
      <c r="BN206" s="710"/>
      <c r="BO206" s="710"/>
      <c r="BP206" s="710"/>
      <c r="BQ206" s="710"/>
      <c r="BR206" s="710"/>
      <c r="BS206" s="710"/>
      <c r="BT206" s="710"/>
    </row>
    <row r="207" spans="1:72" s="709" customFormat="1" ht="15.75">
      <c r="A207" s="545"/>
      <c r="B207" s="545"/>
      <c r="C207" s="545"/>
      <c r="D207" s="545"/>
      <c r="E207" s="545"/>
      <c r="F207" s="545"/>
      <c r="G207" s="545"/>
      <c r="H207" s="545"/>
      <c r="I207" s="545"/>
      <c r="J207" s="545"/>
      <c r="K207" s="545"/>
      <c r="L207" s="545"/>
      <c r="M207" s="545"/>
      <c r="N207" s="545"/>
      <c r="O207" s="545"/>
      <c r="P207" s="545"/>
      <c r="Q207" s="545"/>
      <c r="R207" s="545"/>
      <c r="S207" s="576"/>
      <c r="T207" s="576"/>
      <c r="U207" s="576"/>
      <c r="V207" s="576"/>
      <c r="W207" s="545"/>
      <c r="X207" s="545"/>
      <c r="Y207" s="576"/>
      <c r="Z207" s="576"/>
      <c r="AA207" s="545"/>
      <c r="AB207" s="545"/>
      <c r="AC207" s="545"/>
      <c r="AD207" s="576"/>
      <c r="AE207" s="576"/>
      <c r="AF207" s="576"/>
      <c r="AG207" s="576"/>
      <c r="AH207" s="576"/>
      <c r="AI207" s="576"/>
      <c r="AJ207" s="576"/>
      <c r="AK207" s="576"/>
      <c r="AL207" s="576"/>
      <c r="AM207" s="576"/>
      <c r="AN207" s="576"/>
      <c r="AO207" s="576"/>
      <c r="AP207" s="576"/>
      <c r="AQ207" s="576"/>
      <c r="AR207" s="576"/>
      <c r="AS207" s="576"/>
      <c r="AT207" s="576"/>
      <c r="AU207" s="576"/>
      <c r="AV207" s="576"/>
      <c r="AW207" s="576"/>
      <c r="AX207" s="576"/>
      <c r="AY207" s="576"/>
      <c r="AZ207" s="576"/>
      <c r="BA207" s="576"/>
      <c r="BB207" s="576"/>
      <c r="BC207" s="576"/>
      <c r="BD207" s="572"/>
      <c r="BE207" s="710"/>
      <c r="BF207" s="710"/>
      <c r="BG207" s="710"/>
      <c r="BH207" s="710"/>
      <c r="BI207" s="710"/>
      <c r="BJ207" s="710"/>
      <c r="BK207" s="710"/>
      <c r="BL207" s="710"/>
      <c r="BM207" s="710"/>
      <c r="BN207" s="710"/>
      <c r="BO207" s="710"/>
      <c r="BP207" s="710"/>
      <c r="BQ207" s="710"/>
      <c r="BR207" s="710"/>
      <c r="BS207" s="710"/>
      <c r="BT207" s="710"/>
    </row>
    <row r="208" spans="1:72" s="709" customFormat="1" ht="15.75">
      <c r="A208" s="545"/>
      <c r="B208" s="545"/>
      <c r="C208" s="545"/>
      <c r="D208" s="545"/>
      <c r="E208" s="545"/>
      <c r="F208" s="545"/>
      <c r="G208" s="545"/>
      <c r="H208" s="545"/>
      <c r="I208" s="545"/>
      <c r="J208" s="545"/>
      <c r="K208" s="545"/>
      <c r="L208" s="545"/>
      <c r="M208" s="545"/>
      <c r="N208" s="545"/>
      <c r="O208" s="545"/>
      <c r="P208" s="545"/>
      <c r="Q208" s="545"/>
      <c r="R208" s="545"/>
      <c r="S208" s="576"/>
      <c r="T208" s="576"/>
      <c r="U208" s="576"/>
      <c r="V208" s="576"/>
      <c r="W208" s="545"/>
      <c r="X208" s="545"/>
      <c r="Y208" s="576"/>
      <c r="Z208" s="576"/>
      <c r="AA208" s="545"/>
      <c r="AB208" s="545"/>
      <c r="AC208" s="545"/>
      <c r="AD208" s="576"/>
      <c r="AE208" s="576"/>
      <c r="AF208" s="576"/>
      <c r="AG208" s="576"/>
      <c r="AH208" s="576"/>
      <c r="AI208" s="576"/>
      <c r="AJ208" s="576"/>
      <c r="AK208" s="576"/>
      <c r="AL208" s="576"/>
      <c r="AM208" s="576"/>
      <c r="AN208" s="576"/>
      <c r="AO208" s="576"/>
      <c r="AP208" s="576"/>
      <c r="AQ208" s="576"/>
      <c r="AR208" s="576"/>
      <c r="AS208" s="576"/>
      <c r="AT208" s="576"/>
      <c r="AU208" s="576"/>
      <c r="AV208" s="576"/>
      <c r="AW208" s="576"/>
      <c r="AX208" s="576"/>
      <c r="AY208" s="576"/>
      <c r="AZ208" s="576"/>
      <c r="BA208" s="576"/>
      <c r="BB208" s="576"/>
      <c r="BC208" s="576"/>
      <c r="BD208" s="572"/>
      <c r="BE208" s="710"/>
      <c r="BF208" s="710"/>
      <c r="BG208" s="710"/>
      <c r="BH208" s="710"/>
      <c r="BI208" s="710"/>
      <c r="BJ208" s="710"/>
      <c r="BK208" s="710"/>
      <c r="BL208" s="710"/>
      <c r="BM208" s="710"/>
      <c r="BN208" s="710"/>
      <c r="BO208" s="710"/>
      <c r="BP208" s="710"/>
      <c r="BQ208" s="710"/>
      <c r="BR208" s="710"/>
      <c r="BS208" s="710"/>
      <c r="BT208" s="710"/>
    </row>
    <row r="209" spans="1:72" s="709" customFormat="1" ht="15.75">
      <c r="A209" s="545"/>
      <c r="B209" s="545"/>
      <c r="C209" s="545"/>
      <c r="D209" s="545"/>
      <c r="E209" s="545"/>
      <c r="F209" s="545"/>
      <c r="G209" s="545"/>
      <c r="H209" s="545"/>
      <c r="I209" s="545"/>
      <c r="J209" s="545"/>
      <c r="K209" s="545"/>
      <c r="L209" s="545"/>
      <c r="M209" s="545"/>
      <c r="N209" s="545"/>
      <c r="O209" s="545"/>
      <c r="P209" s="545"/>
      <c r="Q209" s="545"/>
      <c r="R209" s="545"/>
      <c r="S209" s="576"/>
      <c r="T209" s="576"/>
      <c r="U209" s="576"/>
      <c r="V209" s="576"/>
      <c r="W209" s="545"/>
      <c r="X209" s="545"/>
      <c r="Y209" s="576"/>
      <c r="Z209" s="576"/>
      <c r="AA209" s="545"/>
      <c r="AB209" s="545"/>
      <c r="AC209" s="545"/>
      <c r="AD209" s="576"/>
      <c r="AE209" s="576"/>
      <c r="AF209" s="576"/>
      <c r="AG209" s="576"/>
      <c r="AH209" s="576"/>
      <c r="AI209" s="576"/>
      <c r="AJ209" s="576"/>
      <c r="AK209" s="576"/>
      <c r="AL209" s="576"/>
      <c r="AM209" s="576"/>
      <c r="AN209" s="576"/>
      <c r="AO209" s="576"/>
      <c r="AP209" s="576"/>
      <c r="AQ209" s="576"/>
      <c r="AR209" s="576"/>
      <c r="AS209" s="576"/>
      <c r="AT209" s="576"/>
      <c r="AU209" s="576"/>
      <c r="AV209" s="576"/>
      <c r="AW209" s="576"/>
      <c r="AX209" s="576"/>
      <c r="AY209" s="576"/>
      <c r="AZ209" s="576"/>
      <c r="BA209" s="576"/>
      <c r="BB209" s="576"/>
      <c r="BC209" s="576"/>
      <c r="BD209" s="572"/>
      <c r="BE209" s="710"/>
      <c r="BF209" s="710"/>
      <c r="BG209" s="710"/>
      <c r="BH209" s="710"/>
      <c r="BI209" s="710"/>
      <c r="BJ209" s="710"/>
      <c r="BK209" s="710"/>
      <c r="BL209" s="710"/>
      <c r="BM209" s="710"/>
      <c r="BN209" s="710"/>
      <c r="BO209" s="710"/>
      <c r="BP209" s="710"/>
      <c r="BQ209" s="710"/>
      <c r="BR209" s="710"/>
      <c r="BS209" s="710"/>
      <c r="BT209" s="710"/>
    </row>
    <row r="210" spans="1:72" s="709" customFormat="1" ht="15.75">
      <c r="A210" s="545"/>
      <c r="B210" s="545"/>
      <c r="C210" s="545"/>
      <c r="D210" s="545"/>
      <c r="E210" s="545"/>
      <c r="F210" s="545"/>
      <c r="G210" s="545"/>
      <c r="H210" s="545"/>
      <c r="I210" s="545"/>
      <c r="J210" s="545"/>
      <c r="K210" s="545"/>
      <c r="L210" s="545"/>
      <c r="M210" s="545"/>
      <c r="N210" s="545"/>
      <c r="O210" s="545"/>
      <c r="P210" s="545"/>
      <c r="Q210" s="545"/>
      <c r="R210" s="545"/>
      <c r="S210" s="576"/>
      <c r="T210" s="576"/>
      <c r="U210" s="576"/>
      <c r="V210" s="576"/>
      <c r="W210" s="545"/>
      <c r="X210" s="545"/>
      <c r="Y210" s="576"/>
      <c r="Z210" s="576"/>
      <c r="AA210" s="545"/>
      <c r="AB210" s="545"/>
      <c r="AC210" s="545"/>
      <c r="AD210" s="576"/>
      <c r="AE210" s="576"/>
      <c r="AF210" s="576"/>
      <c r="AG210" s="576"/>
      <c r="AH210" s="576"/>
      <c r="AI210" s="576"/>
      <c r="AJ210" s="576"/>
      <c r="AK210" s="576"/>
      <c r="AL210" s="576"/>
      <c r="AM210" s="576"/>
      <c r="AN210" s="576"/>
      <c r="AO210" s="576"/>
      <c r="AP210" s="576"/>
      <c r="AQ210" s="576"/>
      <c r="AR210" s="576"/>
      <c r="AS210" s="576"/>
      <c r="AT210" s="576"/>
      <c r="AU210" s="576"/>
      <c r="AV210" s="576"/>
      <c r="AW210" s="576"/>
      <c r="AX210" s="576"/>
      <c r="AY210" s="576"/>
      <c r="AZ210" s="576"/>
      <c r="BA210" s="576"/>
      <c r="BB210" s="576"/>
      <c r="BC210" s="576"/>
      <c r="BD210" s="572"/>
      <c r="BE210" s="710"/>
      <c r="BF210" s="710"/>
      <c r="BG210" s="710"/>
      <c r="BH210" s="710"/>
      <c r="BI210" s="710"/>
      <c r="BJ210" s="710"/>
      <c r="BK210" s="710"/>
      <c r="BL210" s="710"/>
      <c r="BM210" s="710"/>
      <c r="BN210" s="710"/>
      <c r="BO210" s="710"/>
      <c r="BP210" s="710"/>
      <c r="BQ210" s="710"/>
      <c r="BR210" s="710"/>
      <c r="BS210" s="710"/>
      <c r="BT210" s="710"/>
    </row>
    <row r="211" spans="1:72" s="709" customFormat="1" ht="15.75">
      <c r="A211" s="545"/>
      <c r="B211" s="545"/>
      <c r="C211" s="545"/>
      <c r="D211" s="545"/>
      <c r="E211" s="545"/>
      <c r="F211" s="545"/>
      <c r="G211" s="545"/>
      <c r="H211" s="545"/>
      <c r="I211" s="545"/>
      <c r="J211" s="545"/>
      <c r="K211" s="545"/>
      <c r="L211" s="545"/>
      <c r="M211" s="545"/>
      <c r="N211" s="545"/>
      <c r="O211" s="545"/>
      <c r="P211" s="545"/>
      <c r="Q211" s="545"/>
      <c r="R211" s="545"/>
      <c r="S211" s="576"/>
      <c r="T211" s="576"/>
      <c r="U211" s="576"/>
      <c r="V211" s="576"/>
      <c r="W211" s="545"/>
      <c r="X211" s="545"/>
      <c r="Y211" s="576"/>
      <c r="Z211" s="576"/>
      <c r="AA211" s="545"/>
      <c r="AB211" s="545"/>
      <c r="AC211" s="545"/>
      <c r="AD211" s="576"/>
      <c r="AE211" s="576"/>
      <c r="AF211" s="576"/>
      <c r="AG211" s="576"/>
      <c r="AH211" s="576"/>
      <c r="AI211" s="576"/>
      <c r="AJ211" s="576"/>
      <c r="AK211" s="576"/>
      <c r="AL211" s="576"/>
      <c r="AM211" s="576"/>
      <c r="AN211" s="576"/>
      <c r="AO211" s="576"/>
      <c r="AP211" s="576"/>
      <c r="AQ211" s="576"/>
      <c r="AR211" s="576"/>
      <c r="AS211" s="576"/>
      <c r="AT211" s="576"/>
      <c r="AU211" s="576"/>
      <c r="AV211" s="576"/>
      <c r="AW211" s="576"/>
      <c r="AX211" s="576"/>
      <c r="AY211" s="576"/>
      <c r="AZ211" s="576"/>
      <c r="BA211" s="576"/>
      <c r="BB211" s="576"/>
      <c r="BC211" s="576"/>
      <c r="BD211" s="572"/>
      <c r="BE211" s="710"/>
      <c r="BF211" s="710"/>
      <c r="BG211" s="710"/>
      <c r="BH211" s="710"/>
      <c r="BI211" s="710"/>
      <c r="BJ211" s="710"/>
      <c r="BK211" s="710"/>
      <c r="BL211" s="710"/>
      <c r="BM211" s="710"/>
      <c r="BN211" s="710"/>
      <c r="BO211" s="710"/>
      <c r="BP211" s="710"/>
      <c r="BQ211" s="710"/>
      <c r="BR211" s="710"/>
      <c r="BS211" s="710"/>
      <c r="BT211" s="710"/>
    </row>
  </sheetData>
  <mergeCells count="96">
    <mergeCell ref="AT47:AW48"/>
    <mergeCell ref="V47:Y48"/>
    <mergeCell ref="Z47:AC48"/>
    <mergeCell ref="AD47:AG48"/>
    <mergeCell ref="AH47:AK48"/>
    <mergeCell ref="AL47:AO48"/>
    <mergeCell ref="AP47:AS48"/>
    <mergeCell ref="B47:E48"/>
    <mergeCell ref="F47:I48"/>
    <mergeCell ref="J47:M48"/>
    <mergeCell ref="N47:Q48"/>
    <mergeCell ref="R47:U48"/>
    <mergeCell ref="AL43:AO44"/>
    <mergeCell ref="AP43:AS44"/>
    <mergeCell ref="AT43:AW44"/>
    <mergeCell ref="B45:E46"/>
    <mergeCell ref="F45:I46"/>
    <mergeCell ref="J45:M46"/>
    <mergeCell ref="N45:Q46"/>
    <mergeCell ref="R45:U46"/>
    <mergeCell ref="V45:Y46"/>
    <mergeCell ref="Z45:AC46"/>
    <mergeCell ref="AD45:AG46"/>
    <mergeCell ref="AH45:AK46"/>
    <mergeCell ref="AL45:AO46"/>
    <mergeCell ref="AP45:AS46"/>
    <mergeCell ref="AT45:AW46"/>
    <mergeCell ref="AT41:AW42"/>
    <mergeCell ref="B43:E44"/>
    <mergeCell ref="F43:I44"/>
    <mergeCell ref="J43:M44"/>
    <mergeCell ref="N43:Q44"/>
    <mergeCell ref="R43:U44"/>
    <mergeCell ref="V43:Y44"/>
    <mergeCell ref="Z43:AC44"/>
    <mergeCell ref="AD43:AG44"/>
    <mergeCell ref="AH43:AK44"/>
    <mergeCell ref="V41:Y42"/>
    <mergeCell ref="Z41:AC42"/>
    <mergeCell ref="AD41:AG42"/>
    <mergeCell ref="AH41:AK42"/>
    <mergeCell ref="AL41:AO42"/>
    <mergeCell ref="AP41:AS42"/>
    <mergeCell ref="AD39:AG40"/>
    <mergeCell ref="AH39:AK40"/>
    <mergeCell ref="AL39:AO40"/>
    <mergeCell ref="AP39:AS40"/>
    <mergeCell ref="AT39:AW40"/>
    <mergeCell ref="B41:E42"/>
    <mergeCell ref="F41:I42"/>
    <mergeCell ref="J41:M42"/>
    <mergeCell ref="N41:Q42"/>
    <mergeCell ref="R41:U42"/>
    <mergeCell ref="AV3:AY3"/>
    <mergeCell ref="A5:BA5"/>
    <mergeCell ref="BB5:BC5"/>
    <mergeCell ref="J24:M24"/>
    <mergeCell ref="B39:E40"/>
    <mergeCell ref="F39:I40"/>
    <mergeCell ref="J39:M40"/>
    <mergeCell ref="N39:Q40"/>
    <mergeCell ref="R39:U40"/>
    <mergeCell ref="V39:Y40"/>
    <mergeCell ref="Z39:AC40"/>
    <mergeCell ref="H28:L29"/>
    <mergeCell ref="M28:Q29"/>
    <mergeCell ref="R28:V29"/>
    <mergeCell ref="W28:Z29"/>
    <mergeCell ref="AA28:AD29"/>
    <mergeCell ref="A3:H3"/>
    <mergeCell ref="I3:L3"/>
    <mergeCell ref="M3:W3"/>
    <mergeCell ref="X3:Z3"/>
    <mergeCell ref="AA3:AR3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V2:AY2"/>
    <mergeCell ref="AZ2:BC3"/>
    <mergeCell ref="AE28:AH29"/>
    <mergeCell ref="AI28:AM29"/>
    <mergeCell ref="AN28:AS29"/>
    <mergeCell ref="AN1:AR1"/>
    <mergeCell ref="AS1:AU1"/>
    <mergeCell ref="AS3:AU3"/>
  </mergeCells>
  <phoneticPr fontId="54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7388F-305C-4A6A-83C2-FAED49C29600}">
  <dimension ref="A1:DX215"/>
  <sheetViews>
    <sheetView showGridLines="0" topLeftCell="A5" zoomScale="90" zoomScaleNormal="90" zoomScaleSheetLayoutView="100" workbookViewId="0">
      <pane ySplit="2" topLeftCell="A54" activePane="bottomLeft" state="frozen"/>
      <selection sqref="A1:I1"/>
      <selection pane="bottomLeft" activeCell="BK74" sqref="BK74"/>
    </sheetView>
  </sheetViews>
  <sheetFormatPr defaultColWidth="9" defaultRowHeight="13.5"/>
  <cols>
    <col min="1" max="18" width="2.625" style="35" customWidth="1"/>
    <col min="19" max="22" width="2.625" style="25" customWidth="1"/>
    <col min="23" max="24" width="2.625" style="35" customWidth="1"/>
    <col min="25" max="26" width="2.625" style="25" customWidth="1"/>
    <col min="27" max="29" width="2.625" style="35" customWidth="1"/>
    <col min="30" max="55" width="2.625" style="25" customWidth="1"/>
    <col min="56" max="56" width="2.625" style="81" customWidth="1"/>
    <col min="57" max="128" width="2.625" style="709" customWidth="1"/>
    <col min="129" max="16384" width="9" style="35"/>
  </cols>
  <sheetData>
    <row r="1" spans="1:72" ht="12" customHeight="1">
      <c r="A1" s="846" t="s">
        <v>4</v>
      </c>
      <c r="B1" s="846"/>
      <c r="C1" s="846"/>
      <c r="D1" s="846"/>
      <c r="E1" s="846"/>
      <c r="F1" s="846"/>
      <c r="G1" s="846"/>
      <c r="H1" s="846"/>
      <c r="I1" s="829" t="s">
        <v>5</v>
      </c>
      <c r="J1" s="829"/>
      <c r="K1" s="829"/>
      <c r="L1" s="829"/>
      <c r="M1" s="844" t="str">
        <f>変更来歴!M1</f>
        <v>ヒロセ電機株式会社</v>
      </c>
      <c r="N1" s="844"/>
      <c r="O1" s="844"/>
      <c r="P1" s="844"/>
      <c r="Q1" s="844"/>
      <c r="R1" s="844"/>
      <c r="S1" s="844"/>
      <c r="T1" s="844"/>
      <c r="U1" s="844"/>
      <c r="V1" s="844"/>
      <c r="W1" s="844"/>
      <c r="X1" s="829" t="s">
        <v>7</v>
      </c>
      <c r="Y1" s="829"/>
      <c r="Z1" s="829"/>
      <c r="AA1" s="848" t="str">
        <f>変更来歴!AA1</f>
        <v>契約書DB</v>
      </c>
      <c r="AB1" s="848"/>
      <c r="AC1" s="848"/>
      <c r="AD1" s="848"/>
      <c r="AE1" s="848"/>
      <c r="AF1" s="848"/>
      <c r="AG1" s="848"/>
      <c r="AH1" s="848"/>
      <c r="AI1" s="848"/>
      <c r="AJ1" s="848"/>
      <c r="AK1" s="833" t="s">
        <v>8</v>
      </c>
      <c r="AL1" s="833"/>
      <c r="AM1" s="833"/>
      <c r="AN1" s="834" t="str">
        <f>変更来歴!AP7</f>
        <v>古竹</v>
      </c>
      <c r="AO1" s="834"/>
      <c r="AP1" s="834"/>
      <c r="AQ1" s="834"/>
      <c r="AR1" s="834"/>
      <c r="AS1" s="833" t="s">
        <v>9</v>
      </c>
      <c r="AT1" s="833"/>
      <c r="AU1" s="833"/>
      <c r="AV1" s="836">
        <f>変更来歴!AL7</f>
        <v>46125</v>
      </c>
      <c r="AW1" s="849"/>
      <c r="AX1" s="849"/>
      <c r="AY1" s="849"/>
      <c r="AZ1" s="825" t="s">
        <v>10</v>
      </c>
      <c r="BA1" s="826"/>
      <c r="BB1" s="826"/>
      <c r="BC1" s="827"/>
    </row>
    <row r="2" spans="1:72">
      <c r="A2" s="828" t="s">
        <v>16</v>
      </c>
      <c r="B2" s="828"/>
      <c r="C2" s="828"/>
      <c r="D2" s="828"/>
      <c r="E2" s="828"/>
      <c r="F2" s="828"/>
      <c r="G2" s="828"/>
      <c r="H2" s="828"/>
      <c r="I2" s="829" t="s">
        <v>11</v>
      </c>
      <c r="J2" s="829"/>
      <c r="K2" s="829"/>
      <c r="L2" s="829"/>
      <c r="M2" s="862" t="str">
        <f>変更来歴!M2</f>
        <v>　</v>
      </c>
      <c r="N2" s="862"/>
      <c r="O2" s="862"/>
      <c r="P2" s="862"/>
      <c r="Q2" s="862"/>
      <c r="R2" s="862"/>
      <c r="S2" s="862"/>
      <c r="T2" s="862"/>
      <c r="U2" s="862"/>
      <c r="V2" s="862"/>
      <c r="W2" s="862"/>
      <c r="X2" s="829"/>
      <c r="Y2" s="829"/>
      <c r="Z2" s="829"/>
      <c r="AA2" s="848"/>
      <c r="AB2" s="848"/>
      <c r="AC2" s="848"/>
      <c r="AD2" s="848"/>
      <c r="AE2" s="848"/>
      <c r="AF2" s="848"/>
      <c r="AG2" s="848"/>
      <c r="AH2" s="848"/>
      <c r="AI2" s="848"/>
      <c r="AJ2" s="848"/>
      <c r="AK2" s="833" t="s">
        <v>12</v>
      </c>
      <c r="AL2" s="833"/>
      <c r="AM2" s="833"/>
      <c r="AN2" s="834" t="str">
        <f ca="1">INDIRECT("変更来歴!AP" &amp; COUNTA(変更来歴!AP7:'変更来歴'!AP39) + 6)</f>
        <v>古竹</v>
      </c>
      <c r="AO2" s="834"/>
      <c r="AP2" s="834"/>
      <c r="AQ2" s="834"/>
      <c r="AR2" s="834"/>
      <c r="AS2" s="833" t="s">
        <v>13</v>
      </c>
      <c r="AT2" s="833"/>
      <c r="AU2" s="833"/>
      <c r="AV2" s="836">
        <f ca="1">INDIRECT("変更来歴!AL" &amp; COUNTA(変更来歴!AL7:'変更来歴'!AL39) + 6)</f>
        <v>46134</v>
      </c>
      <c r="AW2" s="849"/>
      <c r="AX2" s="849"/>
      <c r="AY2" s="849"/>
      <c r="AZ2" s="837" t="str">
        <f>変更来歴!AX2</f>
        <v>IMWF-53</v>
      </c>
      <c r="BA2" s="838"/>
      <c r="BB2" s="838"/>
      <c r="BC2" s="839"/>
    </row>
    <row r="3" spans="1:72" ht="12" customHeight="1">
      <c r="A3" s="843" t="str">
        <f>変更来歴!A3</f>
        <v>画面設計書</v>
      </c>
      <c r="B3" s="843"/>
      <c r="C3" s="843"/>
      <c r="D3" s="843"/>
      <c r="E3" s="843"/>
      <c r="F3" s="843"/>
      <c r="G3" s="843"/>
      <c r="H3" s="843"/>
      <c r="I3" s="829" t="s">
        <v>14</v>
      </c>
      <c r="J3" s="829"/>
      <c r="K3" s="829"/>
      <c r="L3" s="829"/>
      <c r="M3" s="844" t="str">
        <f ca="1">RIGHT(CELL("filename",A1),LEN(CELL("filename",A1))-FIND("]",CELL("filename",A1)))</f>
        <v>化学物質データ画面(日英併記)</v>
      </c>
      <c r="N3" s="844"/>
      <c r="O3" s="844"/>
      <c r="P3" s="844"/>
      <c r="Q3" s="844"/>
      <c r="R3" s="844"/>
      <c r="S3" s="844"/>
      <c r="T3" s="844"/>
      <c r="U3" s="844"/>
      <c r="V3" s="844"/>
      <c r="W3" s="844"/>
      <c r="X3" s="829" t="s">
        <v>27</v>
      </c>
      <c r="Y3" s="829"/>
      <c r="Z3" s="829"/>
      <c r="AA3" s="845" t="str">
        <f ca="1">MID(CELL("filename"),FIND("]",CELL("filename"))+1,LEN(CELL("filename"))) &amp; "画面"</f>
        <v>化学物質データ画面(日英併記)画面</v>
      </c>
      <c r="AB3" s="845"/>
      <c r="AC3" s="845"/>
      <c r="AD3" s="845"/>
      <c r="AE3" s="845"/>
      <c r="AF3" s="845"/>
      <c r="AG3" s="845"/>
      <c r="AH3" s="845"/>
      <c r="AI3" s="845"/>
      <c r="AJ3" s="845"/>
      <c r="AK3" s="845"/>
      <c r="AL3" s="845"/>
      <c r="AM3" s="845"/>
      <c r="AN3" s="845"/>
      <c r="AO3" s="845"/>
      <c r="AP3" s="845"/>
      <c r="AQ3" s="845"/>
      <c r="AR3" s="845"/>
      <c r="AS3" s="833" t="s">
        <v>15</v>
      </c>
      <c r="AT3" s="833"/>
      <c r="AU3" s="833"/>
      <c r="AV3" s="849" t="str">
        <f ca="1">INDIRECT("変更来歴!A" &amp; COUNTA(変更来歴!A7:'変更来歴'!A39) + 6)</f>
        <v>r1.1</v>
      </c>
      <c r="AW3" s="849"/>
      <c r="AX3" s="849"/>
      <c r="AY3" s="849"/>
      <c r="AZ3" s="840"/>
      <c r="BA3" s="841"/>
      <c r="BB3" s="841"/>
      <c r="BC3" s="842"/>
    </row>
    <row r="4" spans="1:72" ht="5.85" customHeight="1"/>
    <row r="5" spans="1:72" ht="13.5" customHeight="1">
      <c r="A5" s="864" t="str">
        <f ca="1">"画面レイアウト"&amp;"("&amp;MID(CELL("filename"),FIND("]",CELL("filename"))+1,LEN(CELL("filename")))&amp;")"</f>
        <v>画面レイアウト(化学物質データ画面(日英併記))</v>
      </c>
      <c r="B5" s="865"/>
      <c r="C5" s="865"/>
      <c r="D5" s="865"/>
      <c r="E5" s="865"/>
      <c r="F5" s="865"/>
      <c r="G5" s="865"/>
      <c r="H5" s="865"/>
      <c r="I5" s="865"/>
      <c r="J5" s="865"/>
      <c r="K5" s="865"/>
      <c r="L5" s="865"/>
      <c r="M5" s="865"/>
      <c r="N5" s="865"/>
      <c r="O5" s="865"/>
      <c r="P5" s="865"/>
      <c r="Q5" s="865"/>
      <c r="R5" s="865"/>
      <c r="S5" s="865"/>
      <c r="T5" s="865"/>
      <c r="U5" s="865"/>
      <c r="V5" s="865"/>
      <c r="W5" s="865"/>
      <c r="X5" s="865"/>
      <c r="Y5" s="865"/>
      <c r="Z5" s="865"/>
      <c r="AA5" s="865"/>
      <c r="AB5" s="865"/>
      <c r="AC5" s="865"/>
      <c r="AD5" s="865"/>
      <c r="AE5" s="865"/>
      <c r="AF5" s="865"/>
      <c r="AG5" s="865"/>
      <c r="AH5" s="865"/>
      <c r="AI5" s="865"/>
      <c r="AJ5" s="865"/>
      <c r="AK5" s="865"/>
      <c r="AL5" s="865"/>
      <c r="AM5" s="865"/>
      <c r="AN5" s="865"/>
      <c r="AO5" s="865"/>
      <c r="AP5" s="865"/>
      <c r="AQ5" s="865"/>
      <c r="AR5" s="865"/>
      <c r="AS5" s="865"/>
      <c r="AT5" s="865"/>
      <c r="AU5" s="865"/>
      <c r="AV5" s="865"/>
      <c r="AW5" s="865"/>
      <c r="AX5" s="865"/>
      <c r="AY5" s="865"/>
      <c r="AZ5" s="865"/>
      <c r="BA5" s="866"/>
      <c r="BB5" s="867" t="s">
        <v>24</v>
      </c>
      <c r="BC5" s="868"/>
      <c r="BD5" s="28"/>
    </row>
    <row r="6" spans="1:72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72" ht="21" customHeight="1">
      <c r="A7" s="556"/>
      <c r="B7" s="701"/>
      <c r="C7" s="706" t="s">
        <v>375</v>
      </c>
      <c r="D7" s="702"/>
      <c r="E7" s="703"/>
      <c r="F7" s="703"/>
      <c r="G7" s="703"/>
      <c r="H7" s="659"/>
      <c r="I7" s="659"/>
      <c r="J7" s="660"/>
      <c r="K7" s="660"/>
      <c r="L7" s="660"/>
      <c r="M7" s="660"/>
      <c r="N7" s="664"/>
      <c r="O7" s="662"/>
      <c r="P7" s="664"/>
      <c r="Q7" s="659"/>
      <c r="R7" s="659"/>
      <c r="S7" s="659"/>
      <c r="T7" s="661"/>
      <c r="U7" s="661"/>
      <c r="V7" s="661"/>
      <c r="W7" s="661"/>
      <c r="X7" s="661"/>
      <c r="Y7" s="662"/>
      <c r="Z7" s="661"/>
      <c r="AA7" s="659"/>
      <c r="AB7" s="662"/>
      <c r="AC7" s="661"/>
      <c r="AD7" s="659"/>
      <c r="AE7" s="662"/>
      <c r="AF7" s="659"/>
      <c r="AG7" s="659"/>
      <c r="AH7" s="662"/>
      <c r="AI7" s="659"/>
      <c r="AJ7" s="659"/>
      <c r="AK7" s="704"/>
      <c r="AL7" s="659"/>
      <c r="AM7" s="659"/>
      <c r="AN7" s="659"/>
      <c r="AO7" s="659"/>
      <c r="AP7" s="659"/>
      <c r="AQ7" s="659"/>
      <c r="AR7" s="659"/>
      <c r="AS7" s="659"/>
      <c r="AT7" s="703"/>
      <c r="AU7" s="703"/>
      <c r="AV7" s="703"/>
      <c r="AW7" s="703"/>
      <c r="AX7" s="703"/>
      <c r="AY7" s="703"/>
      <c r="AZ7" s="705"/>
      <c r="BA7" s="604"/>
      <c r="BB7" s="570"/>
      <c r="BC7" s="571"/>
      <c r="BD7" s="544"/>
      <c r="BE7" s="710" t="s">
        <v>384</v>
      </c>
      <c r="BF7" s="710"/>
      <c r="BG7" s="710"/>
      <c r="BH7" s="710"/>
      <c r="BI7" s="710"/>
      <c r="BJ7" s="710"/>
      <c r="BK7" s="710"/>
      <c r="BL7" s="710"/>
      <c r="BM7" s="710"/>
      <c r="BN7" s="710"/>
      <c r="BO7" s="710"/>
      <c r="BP7" s="710"/>
      <c r="BQ7" s="710"/>
      <c r="BR7" s="710"/>
      <c r="BS7" s="710"/>
      <c r="BT7" s="710"/>
    </row>
    <row r="8" spans="1:72" ht="12.6" customHeight="1">
      <c r="A8" s="556"/>
      <c r="B8" s="600"/>
      <c r="C8" s="614"/>
      <c r="D8" s="615"/>
      <c r="E8" s="603"/>
      <c r="F8" s="603"/>
      <c r="G8" s="603"/>
      <c r="H8" s="653"/>
      <c r="I8" s="653"/>
      <c r="J8" s="653"/>
      <c r="K8" s="653"/>
      <c r="L8" s="653"/>
      <c r="M8" s="653"/>
      <c r="N8" s="653"/>
      <c r="O8" s="653"/>
      <c r="P8" s="653"/>
      <c r="Q8" s="653"/>
      <c r="R8" s="653"/>
      <c r="S8" s="653"/>
      <c r="T8" s="653"/>
      <c r="U8" s="653"/>
      <c r="V8" s="653"/>
      <c r="W8" s="653"/>
      <c r="X8" s="653"/>
      <c r="Y8" s="653"/>
      <c r="Z8" s="653"/>
      <c r="AA8" s="653"/>
      <c r="AB8" s="653"/>
      <c r="AC8" s="653"/>
      <c r="AD8" s="653"/>
      <c r="AE8" s="653"/>
      <c r="AF8" s="653"/>
      <c r="AG8" s="653"/>
      <c r="AH8" s="653"/>
      <c r="AI8" s="653"/>
      <c r="AJ8" s="653"/>
      <c r="AK8" s="653"/>
      <c r="AL8" s="653"/>
      <c r="AM8" s="653"/>
      <c r="AN8" s="653"/>
      <c r="AO8" s="653"/>
      <c r="AP8" s="653"/>
      <c r="AQ8" s="653"/>
      <c r="AR8" s="653"/>
      <c r="AS8" s="655"/>
      <c r="AT8" s="616"/>
      <c r="AU8" s="616"/>
      <c r="AV8" s="616"/>
      <c r="AW8" s="616"/>
      <c r="AX8" s="616"/>
      <c r="AY8" s="616"/>
      <c r="AZ8" s="604"/>
      <c r="BA8" s="604"/>
      <c r="BB8" s="570"/>
      <c r="BC8" s="571"/>
      <c r="BD8" s="544"/>
      <c r="BE8" s="615" t="s">
        <v>385</v>
      </c>
      <c r="BF8" s="615"/>
      <c r="BG8" s="711"/>
      <c r="BH8" s="711"/>
      <c r="BI8" s="711"/>
      <c r="BJ8" s="711"/>
      <c r="BK8" s="711"/>
      <c r="BL8" s="711"/>
      <c r="BM8" s="711"/>
      <c r="BN8" s="711"/>
      <c r="BO8" s="711"/>
      <c r="BP8" s="711"/>
      <c r="BQ8" s="711"/>
      <c r="BR8" s="711"/>
      <c r="BS8" s="710"/>
      <c r="BT8" s="710"/>
    </row>
    <row r="9" spans="1:72" ht="24" customHeight="1">
      <c r="A9" s="556"/>
      <c r="B9" s="557"/>
      <c r="C9" s="560"/>
      <c r="D9" s="560"/>
      <c r="E9" s="560"/>
      <c r="F9" s="558"/>
      <c r="G9" s="558"/>
      <c r="H9" s="591"/>
      <c r="I9" s="592"/>
      <c r="J9" s="592"/>
      <c r="K9" s="592"/>
      <c r="L9" s="592"/>
      <c r="M9" s="592"/>
      <c r="N9" s="592"/>
      <c r="O9" s="592"/>
      <c r="P9" s="592"/>
      <c r="Q9" s="592"/>
      <c r="R9" s="592"/>
      <c r="S9" s="592"/>
      <c r="T9" s="593"/>
      <c r="U9" s="593"/>
      <c r="V9" s="593"/>
      <c r="W9" s="789"/>
      <c r="X9" s="591" t="s">
        <v>374</v>
      </c>
      <c r="Y9" s="591"/>
      <c r="Z9" s="591"/>
      <c r="AA9" s="593"/>
      <c r="AB9" s="595"/>
      <c r="AC9" s="593"/>
      <c r="AD9" s="596"/>
      <c r="AE9" s="596"/>
      <c r="AF9" s="596"/>
      <c r="AG9" s="596"/>
      <c r="AH9" s="596"/>
      <c r="AI9" s="592"/>
      <c r="AJ9" s="593"/>
      <c r="AK9" s="593"/>
      <c r="AL9" s="593"/>
      <c r="AM9" s="593"/>
      <c r="AN9" s="597"/>
      <c r="AO9" s="594"/>
      <c r="AP9" s="594"/>
      <c r="AQ9" s="593"/>
      <c r="AR9" s="593"/>
      <c r="AS9" s="593"/>
      <c r="AT9" s="563"/>
      <c r="AU9" s="561"/>
      <c r="AV9" s="564"/>
      <c r="AW9" s="564"/>
      <c r="AX9" s="564"/>
      <c r="AY9" s="558"/>
      <c r="AZ9" s="559"/>
      <c r="BA9" s="559"/>
      <c r="BB9" s="542"/>
      <c r="BC9" s="543"/>
      <c r="BD9" s="544"/>
      <c r="BE9" s="711"/>
      <c r="BF9" s="615" t="s">
        <v>386</v>
      </c>
      <c r="BG9" s="615"/>
      <c r="BH9" s="615"/>
      <c r="BI9" s="711"/>
      <c r="BJ9" s="711"/>
      <c r="BK9" s="711"/>
      <c r="BL9" s="711"/>
      <c r="BM9" s="711"/>
      <c r="BN9" s="711"/>
      <c r="BO9" s="711"/>
      <c r="BP9" s="711"/>
      <c r="BQ9" s="711"/>
      <c r="BR9" s="711"/>
      <c r="BS9" s="710"/>
      <c r="BT9" s="710"/>
    </row>
    <row r="10" spans="1:72" ht="12" customHeight="1">
      <c r="A10" s="556"/>
      <c r="B10" s="565"/>
      <c r="C10" s="566"/>
      <c r="D10" s="544"/>
      <c r="E10" s="544"/>
      <c r="F10" s="544"/>
      <c r="G10" s="544"/>
      <c r="H10" s="567"/>
      <c r="I10" s="562"/>
      <c r="J10" s="561"/>
      <c r="K10" s="562"/>
      <c r="L10" s="561"/>
      <c r="M10" s="568"/>
      <c r="N10" s="568"/>
      <c r="O10" s="564"/>
      <c r="P10" s="568"/>
      <c r="Q10" s="564"/>
      <c r="R10" s="568"/>
      <c r="S10" s="545"/>
      <c r="T10" s="544"/>
      <c r="U10" s="544"/>
      <c r="V10" s="544"/>
      <c r="W10" s="544"/>
      <c r="X10" s="544"/>
      <c r="Y10" s="567"/>
      <c r="Z10" s="562"/>
      <c r="AA10" s="561"/>
      <c r="AB10" s="562"/>
      <c r="AC10" s="561"/>
      <c r="AD10" s="568"/>
      <c r="AE10" s="568"/>
      <c r="AF10" s="564"/>
      <c r="AG10" s="568"/>
      <c r="AH10" s="568"/>
      <c r="AI10" s="563"/>
      <c r="AJ10" s="568"/>
      <c r="AK10" s="564"/>
      <c r="AL10" s="544"/>
      <c r="AM10" s="544"/>
      <c r="AN10" s="544"/>
      <c r="AO10" s="544"/>
      <c r="AP10" s="544"/>
      <c r="AQ10" s="544"/>
      <c r="AR10" s="544"/>
      <c r="AS10" s="561"/>
      <c r="AT10" s="563"/>
      <c r="AU10" s="561"/>
      <c r="AV10" s="564"/>
      <c r="AW10" s="564"/>
      <c r="AX10" s="564"/>
      <c r="AY10" s="558"/>
      <c r="AZ10" s="559"/>
      <c r="BA10" s="559"/>
      <c r="BB10" s="542"/>
      <c r="BC10" s="543"/>
      <c r="BD10" s="544"/>
      <c r="BE10" s="615"/>
      <c r="BF10" s="615"/>
      <c r="BG10" s="615" t="s">
        <v>387</v>
      </c>
      <c r="BH10" s="712"/>
      <c r="BI10" s="711"/>
      <c r="BJ10" s="711"/>
      <c r="BK10" s="711"/>
      <c r="BL10" s="711"/>
      <c r="BM10" s="711"/>
      <c r="BN10" s="711"/>
      <c r="BO10" s="711"/>
      <c r="BP10" s="711"/>
      <c r="BQ10" s="711"/>
      <c r="BR10" s="711"/>
      <c r="BS10" s="710"/>
      <c r="BT10" s="710"/>
    </row>
    <row r="11" spans="1:72" ht="12.6" customHeight="1">
      <c r="A11" s="556"/>
      <c r="B11" s="557"/>
      <c r="C11" s="544"/>
      <c r="D11" s="544"/>
      <c r="E11" s="544"/>
      <c r="F11" s="545"/>
      <c r="G11" s="560"/>
      <c r="H11" s="621"/>
      <c r="I11" s="621"/>
      <c r="J11" s="621"/>
      <c r="K11" s="621"/>
      <c r="L11" s="621"/>
      <c r="M11" s="621"/>
      <c r="N11" s="621"/>
      <c r="O11" s="621"/>
      <c r="P11" s="621"/>
      <c r="Q11" s="621"/>
      <c r="R11" s="621"/>
      <c r="S11" s="621"/>
      <c r="T11" s="622"/>
      <c r="U11" s="622"/>
      <c r="V11" s="622"/>
      <c r="W11" s="622"/>
      <c r="X11" s="623"/>
      <c r="Y11" s="622"/>
      <c r="Z11" s="622"/>
      <c r="AA11" s="622"/>
      <c r="AB11" s="624"/>
      <c r="AC11" s="622"/>
      <c r="AD11" s="625"/>
      <c r="AE11" s="625"/>
      <c r="AF11" s="625"/>
      <c r="AG11" s="625"/>
      <c r="AH11" s="625"/>
      <c r="AI11" s="621"/>
      <c r="AJ11" s="622"/>
      <c r="AK11" s="622"/>
      <c r="AL11" s="622"/>
      <c r="AM11" s="622"/>
      <c r="AN11" s="626"/>
      <c r="AO11" s="623"/>
      <c r="AP11" s="623"/>
      <c r="AQ11" s="622"/>
      <c r="AR11" s="622"/>
      <c r="AS11" s="622"/>
      <c r="AT11" s="563"/>
      <c r="AU11" s="561"/>
      <c r="AV11" s="564"/>
      <c r="AW11" s="564"/>
      <c r="AX11" s="564"/>
      <c r="AY11" s="558"/>
      <c r="AZ11" s="559"/>
      <c r="BA11" s="559"/>
      <c r="BB11" s="542"/>
      <c r="BC11" s="543"/>
      <c r="BD11" s="544"/>
      <c r="BE11" s="615"/>
      <c r="BF11" s="615"/>
      <c r="BG11" s="615" t="s">
        <v>388</v>
      </c>
      <c r="BH11" s="712"/>
      <c r="BI11" s="615"/>
      <c r="BJ11" s="711"/>
      <c r="BK11" s="711"/>
      <c r="BL11" s="711"/>
      <c r="BM11" s="711"/>
      <c r="BN11" s="711"/>
      <c r="BO11" s="711"/>
      <c r="BP11" s="711"/>
      <c r="BQ11" s="711"/>
      <c r="BR11" s="711"/>
      <c r="BS11" s="710"/>
      <c r="BT11" s="710"/>
    </row>
    <row r="12" spans="1:72" ht="12.6" customHeight="1">
      <c r="A12" s="556"/>
      <c r="B12" s="600"/>
      <c r="C12" s="598"/>
      <c r="D12" s="601"/>
      <c r="E12" s="601"/>
      <c r="F12" s="601"/>
      <c r="G12" s="598"/>
      <c r="H12" s="621"/>
      <c r="I12" s="621" t="s">
        <v>694</v>
      </c>
      <c r="J12" s="621"/>
      <c r="K12" s="621"/>
      <c r="L12" s="621"/>
      <c r="M12" s="621"/>
      <c r="N12" s="621"/>
      <c r="O12" s="621"/>
      <c r="P12" s="621"/>
      <c r="Q12" s="621"/>
      <c r="R12" s="621"/>
      <c r="S12" s="621"/>
      <c r="T12" s="622"/>
      <c r="U12" s="622"/>
      <c r="V12" s="622"/>
      <c r="W12" s="622"/>
      <c r="X12" s="623"/>
      <c r="Y12" s="622"/>
      <c r="Z12" s="621"/>
      <c r="AA12" s="621"/>
      <c r="AB12" s="621"/>
      <c r="AC12" s="621"/>
      <c r="AD12" s="621"/>
      <c r="AE12" s="621"/>
      <c r="AF12" s="621"/>
      <c r="AG12" s="621"/>
      <c r="AH12" s="621"/>
      <c r="AI12" s="621"/>
      <c r="AJ12" s="621"/>
      <c r="AK12" s="621"/>
      <c r="AL12" s="621"/>
      <c r="AM12" s="621"/>
      <c r="AN12" s="621"/>
      <c r="AO12" s="621"/>
      <c r="AP12" s="621"/>
      <c r="AQ12" s="621"/>
      <c r="AR12" s="621"/>
      <c r="AS12" s="621"/>
      <c r="AT12" s="598"/>
      <c r="AU12" s="598"/>
      <c r="AV12" s="598"/>
      <c r="AW12" s="598"/>
      <c r="AX12" s="603"/>
      <c r="AY12" s="598"/>
      <c r="AZ12" s="604"/>
      <c r="BA12" s="604"/>
      <c r="BB12" s="542"/>
      <c r="BC12" s="543"/>
      <c r="BD12" s="544"/>
      <c r="BE12" s="710"/>
      <c r="BF12" s="710"/>
      <c r="BG12" s="713"/>
      <c r="BH12" s="710"/>
      <c r="BI12" s="710"/>
      <c r="BJ12" s="710"/>
      <c r="BK12" s="710"/>
      <c r="BL12" s="710"/>
      <c r="BM12" s="710"/>
      <c r="BN12" s="710"/>
      <c r="BO12" s="710"/>
      <c r="BP12" s="710"/>
      <c r="BQ12" s="710"/>
      <c r="BR12" s="710"/>
      <c r="BS12" s="710"/>
      <c r="BT12" s="710"/>
    </row>
    <row r="13" spans="1:72" ht="12.6" customHeight="1">
      <c r="A13" s="556"/>
      <c r="B13" s="600"/>
      <c r="C13" s="605"/>
      <c r="D13" s="601"/>
      <c r="E13" s="601"/>
      <c r="F13" s="601"/>
      <c r="G13" s="603"/>
      <c r="H13" s="621"/>
      <c r="I13" s="627" t="s">
        <v>652</v>
      </c>
      <c r="J13" s="628"/>
      <c r="K13" s="627"/>
      <c r="L13" s="627"/>
      <c r="M13" s="627"/>
      <c r="N13" s="627"/>
      <c r="O13" s="627"/>
      <c r="P13" s="627"/>
      <c r="Q13" s="627"/>
      <c r="R13" s="627"/>
      <c r="S13" s="627"/>
      <c r="T13" s="627"/>
      <c r="U13" s="627"/>
      <c r="V13" s="627"/>
      <c r="W13" s="627"/>
      <c r="X13" s="629"/>
      <c r="Y13" s="621"/>
      <c r="Z13" s="621"/>
      <c r="AA13" s="630"/>
      <c r="AB13" s="621"/>
      <c r="AC13" s="631"/>
      <c r="AD13" s="631"/>
      <c r="AE13" s="632"/>
      <c r="AF13" s="631"/>
      <c r="AG13" s="632"/>
      <c r="AH13" s="631"/>
      <c r="AI13" s="633"/>
      <c r="AJ13" s="631"/>
      <c r="AK13" s="632"/>
      <c r="AL13" s="632"/>
      <c r="AM13" s="632"/>
      <c r="AN13" s="632"/>
      <c r="AO13" s="632"/>
      <c r="AP13" s="632"/>
      <c r="AQ13" s="632"/>
      <c r="AR13" s="632"/>
      <c r="AS13" s="632"/>
      <c r="AT13" s="603"/>
      <c r="AU13" s="603"/>
      <c r="AV13" s="603"/>
      <c r="AW13" s="603"/>
      <c r="AX13" s="603"/>
      <c r="AY13" s="598"/>
      <c r="AZ13" s="604"/>
      <c r="BA13" s="604"/>
      <c r="BB13" s="542"/>
      <c r="BC13" s="543"/>
      <c r="BD13" s="544"/>
      <c r="BE13" s="615" t="s">
        <v>389</v>
      </c>
      <c r="BF13" s="710"/>
      <c r="BG13" s="710"/>
      <c r="BH13" s="710"/>
      <c r="BI13" s="710"/>
      <c r="BJ13" s="710"/>
      <c r="BK13" s="710"/>
      <c r="BL13" s="710"/>
      <c r="BM13" s="710"/>
      <c r="BN13" s="710"/>
      <c r="BO13" s="710"/>
      <c r="BP13" s="710"/>
      <c r="BQ13" s="710"/>
      <c r="BR13" s="710"/>
      <c r="BS13" s="710"/>
      <c r="BT13" s="710"/>
    </row>
    <row r="14" spans="1:72" ht="12.6" customHeight="1">
      <c r="A14" s="556"/>
      <c r="B14" s="600"/>
      <c r="C14" s="608"/>
      <c r="D14" s="603"/>
      <c r="E14" s="603"/>
      <c r="F14" s="603"/>
      <c r="G14" s="603"/>
      <c r="H14" s="634"/>
      <c r="I14" s="629"/>
      <c r="J14" s="627"/>
      <c r="K14" s="629"/>
      <c r="L14" s="627"/>
      <c r="M14" s="627"/>
      <c r="N14" s="627"/>
      <c r="O14" s="627"/>
      <c r="P14" s="627"/>
      <c r="Q14" s="627"/>
      <c r="R14" s="627"/>
      <c r="S14" s="627"/>
      <c r="T14" s="627"/>
      <c r="U14" s="627"/>
      <c r="V14" s="627"/>
      <c r="W14" s="627"/>
      <c r="X14" s="629"/>
      <c r="Y14" s="621"/>
      <c r="Z14" s="630"/>
      <c r="AA14" s="621"/>
      <c r="AB14" s="630"/>
      <c r="AC14" s="621"/>
      <c r="AD14" s="631"/>
      <c r="AE14" s="631"/>
      <c r="AF14" s="632"/>
      <c r="AG14" s="631"/>
      <c r="AH14" s="631"/>
      <c r="AI14" s="633"/>
      <c r="AJ14" s="631"/>
      <c r="AK14" s="632"/>
      <c r="AL14" s="632"/>
      <c r="AM14" s="632"/>
      <c r="AN14" s="632"/>
      <c r="AO14" s="632"/>
      <c r="AP14" s="632"/>
      <c r="AQ14" s="632"/>
      <c r="AR14" s="632"/>
      <c r="AS14" s="621"/>
      <c r="AT14" s="607"/>
      <c r="AU14" s="598"/>
      <c r="AV14" s="603"/>
      <c r="AW14" s="603"/>
      <c r="AX14" s="603"/>
      <c r="AY14" s="598"/>
      <c r="AZ14" s="604"/>
      <c r="BA14" s="604"/>
      <c r="BB14" s="542"/>
      <c r="BC14" s="543"/>
      <c r="BD14" s="544"/>
      <c r="BE14" s="710"/>
      <c r="BF14" s="615" t="s">
        <v>390</v>
      </c>
      <c r="BG14" s="615"/>
      <c r="BH14" s="710"/>
      <c r="BI14" s="710"/>
      <c r="BJ14" s="710"/>
      <c r="BK14" s="710"/>
      <c r="BL14" s="710"/>
      <c r="BM14" s="710"/>
      <c r="BN14" s="710"/>
      <c r="BO14" s="710"/>
      <c r="BP14" s="710"/>
      <c r="BQ14" s="710"/>
      <c r="BR14" s="710"/>
      <c r="BS14" s="710"/>
      <c r="BT14" s="710"/>
    </row>
    <row r="15" spans="1:72" ht="12.6" customHeight="1">
      <c r="A15" s="556"/>
      <c r="B15" s="600"/>
      <c r="C15" s="598"/>
      <c r="D15" s="603"/>
      <c r="E15" s="603"/>
      <c r="F15" s="603"/>
      <c r="G15" s="603"/>
      <c r="H15" s="634"/>
      <c r="I15" s="627" t="s">
        <v>312</v>
      </c>
      <c r="J15" s="628" t="s">
        <v>313</v>
      </c>
      <c r="K15" s="627"/>
      <c r="L15" s="627"/>
      <c r="M15" s="627"/>
      <c r="N15" s="627"/>
      <c r="O15" s="627" t="s">
        <v>649</v>
      </c>
      <c r="P15" s="627"/>
      <c r="Q15" s="627"/>
      <c r="R15" s="627"/>
      <c r="S15" s="627"/>
      <c r="T15" s="627"/>
      <c r="U15" s="627"/>
      <c r="V15" s="627"/>
      <c r="W15" s="627"/>
      <c r="X15" s="629"/>
      <c r="Y15" s="621"/>
      <c r="Z15" s="632"/>
      <c r="AA15" s="632"/>
      <c r="AB15" s="632"/>
      <c r="AC15" s="632"/>
      <c r="AD15" s="632"/>
      <c r="AE15" s="632"/>
      <c r="AF15" s="632"/>
      <c r="AG15" s="632"/>
      <c r="AH15" s="632"/>
      <c r="AI15" s="632"/>
      <c r="AJ15" s="632"/>
      <c r="AK15" s="632"/>
      <c r="AL15" s="632"/>
      <c r="AM15" s="621"/>
      <c r="AN15" s="621"/>
      <c r="AO15" s="621"/>
      <c r="AP15" s="621"/>
      <c r="AQ15" s="621"/>
      <c r="AR15" s="621"/>
      <c r="AS15" s="621"/>
      <c r="AT15" s="598"/>
      <c r="AU15" s="598"/>
      <c r="AV15" s="598"/>
      <c r="AW15" s="598"/>
      <c r="AX15" s="603"/>
      <c r="AY15" s="598"/>
      <c r="AZ15" s="604"/>
      <c r="BA15" s="604"/>
      <c r="BB15" s="542"/>
      <c r="BC15" s="543"/>
      <c r="BD15" s="544"/>
      <c r="BE15" s="710"/>
      <c r="BF15" s="615"/>
      <c r="BG15" s="615" t="s">
        <v>391</v>
      </c>
      <c r="BH15" s="710"/>
      <c r="BI15" s="710"/>
      <c r="BJ15" s="710"/>
      <c r="BK15" s="710"/>
      <c r="BL15" s="710"/>
      <c r="BM15" s="710"/>
      <c r="BN15" s="710"/>
      <c r="BO15" s="710"/>
      <c r="BP15" s="710"/>
      <c r="BQ15" s="710"/>
      <c r="BR15" s="710"/>
      <c r="BS15" s="710"/>
      <c r="BT15" s="710"/>
    </row>
    <row r="16" spans="1:72" ht="12.6" customHeight="1">
      <c r="A16" s="556"/>
      <c r="B16" s="600"/>
      <c r="C16" s="598"/>
      <c r="D16" s="598"/>
      <c r="E16" s="598"/>
      <c r="F16" s="598"/>
      <c r="G16" s="598"/>
      <c r="H16" s="630"/>
      <c r="I16" s="629"/>
      <c r="J16" s="627"/>
      <c r="K16" s="629"/>
      <c r="L16" s="627"/>
      <c r="M16" s="627"/>
      <c r="N16" s="627"/>
      <c r="O16" s="627" t="s">
        <v>648</v>
      </c>
      <c r="P16" s="627"/>
      <c r="Q16" s="627"/>
      <c r="R16" s="627"/>
      <c r="S16" s="627"/>
      <c r="T16" s="627"/>
      <c r="U16" s="627"/>
      <c r="V16" s="627"/>
      <c r="W16" s="627"/>
      <c r="X16" s="629"/>
      <c r="Y16" s="621"/>
      <c r="Z16" s="621"/>
      <c r="AA16" s="621"/>
      <c r="AB16" s="633"/>
      <c r="AC16" s="621"/>
      <c r="AD16" s="632"/>
      <c r="AE16" s="632"/>
      <c r="AF16" s="632"/>
      <c r="AG16" s="632"/>
      <c r="AH16" s="632"/>
      <c r="AI16" s="621"/>
      <c r="AJ16" s="621"/>
      <c r="AK16" s="621"/>
      <c r="AL16" s="621"/>
      <c r="AM16" s="621"/>
      <c r="AN16" s="635"/>
      <c r="AO16" s="630"/>
      <c r="AP16" s="630"/>
      <c r="AQ16" s="636"/>
      <c r="AR16" s="621"/>
      <c r="AS16" s="621"/>
      <c r="AT16" s="607"/>
      <c r="AU16" s="598"/>
      <c r="AV16" s="603"/>
      <c r="AW16" s="603"/>
      <c r="AX16" s="603"/>
      <c r="AY16" s="598"/>
      <c r="AZ16" s="604"/>
      <c r="BA16" s="604"/>
      <c r="BB16" s="542"/>
      <c r="BC16" s="543"/>
      <c r="BD16" s="544"/>
      <c r="BE16" s="713"/>
      <c r="BF16" s="615"/>
      <c r="BG16" s="615" t="s">
        <v>392</v>
      </c>
      <c r="BH16" s="710"/>
      <c r="BI16" s="710"/>
      <c r="BJ16" s="710"/>
      <c r="BK16" s="710"/>
      <c r="BL16" s="710"/>
      <c r="BM16" s="710"/>
      <c r="BN16" s="710"/>
      <c r="BO16" s="710"/>
      <c r="BP16" s="710"/>
      <c r="BQ16" s="710"/>
      <c r="BR16" s="710"/>
      <c r="BS16" s="710"/>
      <c r="BT16" s="710"/>
    </row>
    <row r="17" spans="1:72" ht="12.6" customHeight="1">
      <c r="A17" s="556"/>
      <c r="B17" s="600"/>
      <c r="C17" s="598"/>
      <c r="D17" s="598"/>
      <c r="E17" s="598"/>
      <c r="F17" s="598"/>
      <c r="G17" s="598"/>
      <c r="H17" s="630"/>
      <c r="I17" s="629"/>
      <c r="J17" s="627"/>
      <c r="K17" s="629"/>
      <c r="L17" s="627"/>
      <c r="M17" s="627"/>
      <c r="N17" s="627"/>
      <c r="O17" s="627"/>
      <c r="P17" s="627"/>
      <c r="Q17" s="627"/>
      <c r="R17" s="627"/>
      <c r="S17" s="627"/>
      <c r="T17" s="627"/>
      <c r="U17" s="627"/>
      <c r="V17" s="627"/>
      <c r="W17" s="627"/>
      <c r="X17" s="629"/>
      <c r="Y17" s="621"/>
      <c r="Z17" s="621"/>
      <c r="AA17" s="621"/>
      <c r="AB17" s="621"/>
      <c r="AC17" s="633"/>
      <c r="AD17" s="621"/>
      <c r="AE17" s="632"/>
      <c r="AF17" s="632"/>
      <c r="AG17" s="632"/>
      <c r="AH17" s="632"/>
      <c r="AI17" s="621"/>
      <c r="AJ17" s="621"/>
      <c r="AK17" s="621"/>
      <c r="AL17" s="621"/>
      <c r="AM17" s="621"/>
      <c r="AN17" s="621"/>
      <c r="AO17" s="621"/>
      <c r="AP17" s="630"/>
      <c r="AQ17" s="621"/>
      <c r="AR17" s="621"/>
      <c r="AS17" s="621"/>
      <c r="AT17" s="607"/>
      <c r="AU17" s="598"/>
      <c r="AV17" s="603"/>
      <c r="AW17" s="603"/>
      <c r="AX17" s="603"/>
      <c r="AY17" s="598"/>
      <c r="AZ17" s="604"/>
      <c r="BA17" s="604"/>
      <c r="BB17" s="542"/>
      <c r="BC17" s="543"/>
      <c r="BD17" s="544"/>
      <c r="BE17" s="710"/>
      <c r="BF17" s="710"/>
      <c r="BG17" s="710"/>
      <c r="BH17" s="710"/>
      <c r="BI17" s="710"/>
      <c r="BJ17" s="710"/>
      <c r="BK17" s="710"/>
      <c r="BL17" s="710"/>
      <c r="BM17" s="710"/>
      <c r="BN17" s="710"/>
      <c r="BO17" s="710"/>
      <c r="BP17" s="710"/>
      <c r="BQ17" s="710"/>
      <c r="BR17" s="710"/>
      <c r="BS17" s="710"/>
      <c r="BT17" s="710"/>
    </row>
    <row r="18" spans="1:72" s="709" customFormat="1" ht="12.6" customHeight="1">
      <c r="A18" s="556"/>
      <c r="B18" s="600"/>
      <c r="C18" s="598"/>
      <c r="D18" s="598"/>
      <c r="E18" s="598"/>
      <c r="F18" s="598"/>
      <c r="G18" s="598"/>
      <c r="H18" s="630"/>
      <c r="I18" s="627" t="s">
        <v>312</v>
      </c>
      <c r="J18" s="628" t="s">
        <v>316</v>
      </c>
      <c r="K18" s="627"/>
      <c r="L18" s="627"/>
      <c r="M18" s="627"/>
      <c r="N18" s="627"/>
      <c r="O18" s="627" t="s">
        <v>650</v>
      </c>
      <c r="P18" s="627"/>
      <c r="Q18" s="627"/>
      <c r="R18" s="627"/>
      <c r="S18" s="627"/>
      <c r="T18" s="627"/>
      <c r="U18" s="627"/>
      <c r="V18" s="627"/>
      <c r="W18" s="627"/>
      <c r="X18" s="629"/>
      <c r="Y18" s="621"/>
      <c r="Z18" s="621"/>
      <c r="AA18" s="621"/>
      <c r="AB18" s="621"/>
      <c r="AC18" s="633"/>
      <c r="AD18" s="621"/>
      <c r="AE18" s="632"/>
      <c r="AF18" s="632"/>
      <c r="AG18" s="632"/>
      <c r="AH18" s="632"/>
      <c r="AI18" s="621"/>
      <c r="AJ18" s="621"/>
      <c r="AK18" s="621"/>
      <c r="AL18" s="621"/>
      <c r="AM18" s="621"/>
      <c r="AN18" s="635"/>
      <c r="AO18" s="630"/>
      <c r="AP18" s="630"/>
      <c r="AQ18" s="621"/>
      <c r="AR18" s="621"/>
      <c r="AS18" s="621"/>
      <c r="AT18" s="607"/>
      <c r="AU18" s="598"/>
      <c r="AV18" s="603"/>
      <c r="AW18" s="603"/>
      <c r="AX18" s="603"/>
      <c r="AY18" s="598"/>
      <c r="AZ18" s="604"/>
      <c r="BA18" s="604"/>
      <c r="BB18" s="542"/>
      <c r="BC18" s="543"/>
      <c r="BD18" s="544"/>
      <c r="BE18" s="710" t="s">
        <v>394</v>
      </c>
      <c r="BF18" s="710"/>
      <c r="BG18" s="710"/>
      <c r="BH18" s="710"/>
      <c r="BI18" s="710"/>
      <c r="BJ18" s="710"/>
      <c r="BK18" s="710"/>
      <c r="BL18" s="710"/>
      <c r="BM18" s="710"/>
      <c r="BN18" s="710"/>
      <c r="BO18" s="710"/>
      <c r="BP18" s="710"/>
      <c r="BQ18" s="710"/>
      <c r="BR18" s="710"/>
      <c r="BS18" s="710"/>
      <c r="BT18" s="710"/>
    </row>
    <row r="19" spans="1:72" s="709" customFormat="1" ht="12.6" customHeight="1">
      <c r="A19" s="556"/>
      <c r="B19" s="600"/>
      <c r="C19" s="605"/>
      <c r="D19" s="598"/>
      <c r="E19" s="598"/>
      <c r="F19" s="598"/>
      <c r="G19" s="598"/>
      <c r="H19" s="630"/>
      <c r="I19" s="629"/>
      <c r="J19" s="627"/>
      <c r="K19" s="627"/>
      <c r="L19" s="627"/>
      <c r="M19" s="627"/>
      <c r="N19" s="627"/>
      <c r="O19" s="627" t="s">
        <v>651</v>
      </c>
      <c r="P19" s="627"/>
      <c r="Q19" s="621"/>
      <c r="R19" s="621"/>
      <c r="S19" s="621"/>
      <c r="T19" s="621"/>
      <c r="U19" s="621"/>
      <c r="V19" s="621"/>
      <c r="W19" s="621"/>
      <c r="X19" s="630"/>
      <c r="Y19" s="621"/>
      <c r="Z19" s="621"/>
      <c r="AA19" s="621"/>
      <c r="AB19" s="621"/>
      <c r="AC19" s="633"/>
      <c r="AD19" s="621"/>
      <c r="AE19" s="632"/>
      <c r="AF19" s="632"/>
      <c r="AG19" s="632"/>
      <c r="AH19" s="632"/>
      <c r="AI19" s="621"/>
      <c r="AJ19" s="621"/>
      <c r="AK19" s="621"/>
      <c r="AL19" s="621"/>
      <c r="AM19" s="621"/>
      <c r="AN19" s="635"/>
      <c r="AO19" s="630"/>
      <c r="AP19" s="630"/>
      <c r="AQ19" s="621"/>
      <c r="AR19" s="621"/>
      <c r="AS19" s="621"/>
      <c r="AT19" s="607"/>
      <c r="AU19" s="598"/>
      <c r="AV19" s="603"/>
      <c r="AW19" s="603"/>
      <c r="AX19" s="603"/>
      <c r="AY19" s="598"/>
      <c r="AZ19" s="604"/>
      <c r="BA19" s="604"/>
      <c r="BB19" s="542"/>
      <c r="BC19" s="543"/>
      <c r="BD19" s="544"/>
      <c r="BE19" s="710"/>
      <c r="BF19" s="710" t="s">
        <v>395</v>
      </c>
      <c r="BG19" s="710"/>
      <c r="BH19" s="710"/>
      <c r="BI19" s="710"/>
      <c r="BJ19" s="710"/>
      <c r="BK19" s="710"/>
      <c r="BL19" s="710"/>
      <c r="BM19" s="710"/>
      <c r="BN19" s="710"/>
      <c r="BO19" s="710"/>
      <c r="BP19" s="710"/>
      <c r="BQ19" s="710"/>
      <c r="BR19" s="710"/>
      <c r="BS19" s="710"/>
      <c r="BT19" s="710"/>
    </row>
    <row r="20" spans="1:72" s="709" customFormat="1" ht="12.6" customHeight="1">
      <c r="A20" s="556"/>
      <c r="B20" s="600"/>
      <c r="C20" s="605"/>
      <c r="D20" s="598"/>
      <c r="E20" s="598"/>
      <c r="F20" s="598"/>
      <c r="G20" s="598"/>
      <c r="H20" s="630"/>
      <c r="I20" s="637"/>
      <c r="J20" s="637"/>
      <c r="K20" s="637"/>
      <c r="L20" s="637"/>
      <c r="M20" s="637"/>
      <c r="N20" s="637"/>
      <c r="O20" s="637"/>
      <c r="P20" s="637"/>
      <c r="Q20" s="637"/>
      <c r="R20" s="637"/>
      <c r="S20" s="637"/>
      <c r="T20" s="637"/>
      <c r="U20" s="637"/>
      <c r="V20" s="637"/>
      <c r="W20" s="637"/>
      <c r="X20" s="638"/>
      <c r="Y20" s="637"/>
      <c r="Z20" s="637"/>
      <c r="AA20" s="637"/>
      <c r="AB20" s="637"/>
      <c r="AC20" s="639"/>
      <c r="AD20" s="637"/>
      <c r="AE20" s="640"/>
      <c r="AF20" s="640"/>
      <c r="AG20" s="640"/>
      <c r="AH20" s="640"/>
      <c r="AI20" s="637"/>
      <c r="AJ20" s="637"/>
      <c r="AK20" s="637"/>
      <c r="AL20" s="637"/>
      <c r="AM20" s="637"/>
      <c r="AN20" s="641"/>
      <c r="AO20" s="638"/>
      <c r="AP20" s="638"/>
      <c r="AQ20" s="637"/>
      <c r="AR20" s="637"/>
      <c r="AS20" s="621"/>
      <c r="AT20" s="607"/>
      <c r="AU20" s="598"/>
      <c r="AV20" s="603"/>
      <c r="AW20" s="603"/>
      <c r="AX20" s="603"/>
      <c r="AY20" s="598"/>
      <c r="AZ20" s="604"/>
      <c r="BA20" s="604"/>
      <c r="BB20" s="542"/>
      <c r="BC20" s="543"/>
      <c r="BD20" s="544"/>
      <c r="BE20" s="710"/>
      <c r="BF20" s="710"/>
      <c r="BG20" s="710"/>
      <c r="BH20" s="710"/>
      <c r="BI20" s="710"/>
      <c r="BJ20" s="710"/>
      <c r="BK20" s="710"/>
      <c r="BL20" s="710"/>
      <c r="BM20" s="710"/>
      <c r="BN20" s="710"/>
      <c r="BO20" s="710"/>
      <c r="BP20" s="710"/>
      <c r="BQ20" s="710"/>
      <c r="BR20" s="710"/>
      <c r="BS20" s="710"/>
      <c r="BT20" s="710"/>
    </row>
    <row r="21" spans="1:72" s="709" customFormat="1" ht="12.6" customHeight="1">
      <c r="A21" s="556"/>
      <c r="B21" s="600"/>
      <c r="C21" s="598"/>
      <c r="D21" s="598"/>
      <c r="E21" s="598"/>
      <c r="F21" s="598"/>
      <c r="G21" s="598"/>
      <c r="H21" s="653"/>
      <c r="I21" s="653"/>
      <c r="J21" s="653"/>
      <c r="K21" s="653"/>
      <c r="L21" s="653"/>
      <c r="M21" s="653"/>
      <c r="N21" s="653"/>
      <c r="O21" s="653"/>
      <c r="P21" s="653"/>
      <c r="Q21" s="653"/>
      <c r="R21" s="653"/>
      <c r="S21" s="653"/>
      <c r="T21" s="653"/>
      <c r="U21" s="653"/>
      <c r="V21" s="653"/>
      <c r="W21" s="653"/>
      <c r="X21" s="653"/>
      <c r="Y21" s="653"/>
      <c r="Z21" s="653"/>
      <c r="AA21" s="653"/>
      <c r="AB21" s="653"/>
      <c r="AC21" s="653"/>
      <c r="AD21" s="653"/>
      <c r="AE21" s="653"/>
      <c r="AF21" s="653"/>
      <c r="AG21" s="653"/>
      <c r="AH21" s="653"/>
      <c r="AI21" s="653"/>
      <c r="AJ21" s="653"/>
      <c r="AK21" s="653"/>
      <c r="AL21" s="653"/>
      <c r="AM21" s="653"/>
      <c r="AN21" s="653"/>
      <c r="AO21" s="653"/>
      <c r="AP21" s="653"/>
      <c r="AQ21" s="653"/>
      <c r="AR21" s="653"/>
      <c r="AS21" s="654"/>
      <c r="AT21" s="607"/>
      <c r="AU21" s="598"/>
      <c r="AV21" s="603"/>
      <c r="AW21" s="603"/>
      <c r="AX21" s="603"/>
      <c r="AY21" s="598"/>
      <c r="AZ21" s="604"/>
      <c r="BA21" s="604"/>
      <c r="BB21" s="542"/>
      <c r="BC21" s="543"/>
      <c r="BD21" s="545"/>
      <c r="BE21" s="710"/>
      <c r="BF21" s="710"/>
      <c r="BG21" s="710" t="s">
        <v>396</v>
      </c>
      <c r="BH21" s="710"/>
      <c r="BI21" s="710"/>
      <c r="BJ21" s="710"/>
      <c r="BK21" s="710"/>
      <c r="BL21" s="710"/>
      <c r="BM21" s="710"/>
      <c r="BN21" s="710"/>
      <c r="BO21" s="710"/>
      <c r="BP21" s="710"/>
      <c r="BQ21" s="710"/>
      <c r="BR21" s="710"/>
      <c r="BS21" s="710"/>
      <c r="BT21" s="710"/>
    </row>
    <row r="22" spans="1:72" s="709" customFormat="1" ht="12.6" customHeight="1">
      <c r="A22" s="556"/>
      <c r="B22" s="600"/>
      <c r="C22" s="614"/>
      <c r="D22" s="615"/>
      <c r="E22" s="603"/>
      <c r="F22" s="603"/>
      <c r="G22" s="603"/>
      <c r="H22" s="653"/>
      <c r="I22" s="653"/>
      <c r="J22" s="653"/>
      <c r="K22" s="653"/>
      <c r="L22" s="653"/>
      <c r="M22" s="653"/>
      <c r="N22" s="653"/>
      <c r="O22" s="653"/>
      <c r="P22" s="653"/>
      <c r="Q22" s="653"/>
      <c r="R22" s="653"/>
      <c r="S22" s="653"/>
      <c r="T22" s="653"/>
      <c r="U22" s="653"/>
      <c r="V22" s="653"/>
      <c r="W22" s="653"/>
      <c r="X22" s="653"/>
      <c r="Y22" s="653"/>
      <c r="Z22" s="653"/>
      <c r="AA22" s="653"/>
      <c r="AB22" s="653"/>
      <c r="AC22" s="653"/>
      <c r="AD22" s="653"/>
      <c r="AE22" s="653"/>
      <c r="AF22" s="653"/>
      <c r="AG22" s="653"/>
      <c r="AH22" s="653"/>
      <c r="AI22" s="653"/>
      <c r="AJ22" s="653"/>
      <c r="AK22" s="653"/>
      <c r="AL22" s="653"/>
      <c r="AM22" s="653"/>
      <c r="AN22" s="653"/>
      <c r="AO22" s="653"/>
      <c r="AP22" s="653"/>
      <c r="AQ22" s="653"/>
      <c r="AR22" s="653"/>
      <c r="AS22" s="653"/>
      <c r="AT22" s="609"/>
      <c r="AU22" s="603"/>
      <c r="AV22" s="603"/>
      <c r="AW22" s="603"/>
      <c r="AX22" s="603"/>
      <c r="AY22" s="603"/>
      <c r="AZ22" s="604"/>
      <c r="BA22" s="604"/>
      <c r="BB22" s="570"/>
      <c r="BC22" s="571"/>
      <c r="BD22" s="544"/>
      <c r="BE22" s="710"/>
      <c r="BF22" s="710"/>
      <c r="BG22" s="710"/>
      <c r="BH22" s="710"/>
      <c r="BI22" s="710"/>
      <c r="BJ22" s="710"/>
      <c r="BK22" s="710"/>
      <c r="BL22" s="710"/>
      <c r="BM22" s="710"/>
      <c r="BN22" s="710"/>
      <c r="BO22" s="710"/>
      <c r="BP22" s="710"/>
      <c r="BQ22" s="710"/>
      <c r="BR22" s="710"/>
      <c r="BS22" s="710"/>
      <c r="BT22" s="710"/>
    </row>
    <row r="23" spans="1:72" s="709" customFormat="1" ht="12.6" customHeight="1">
      <c r="A23" s="556"/>
      <c r="B23" s="600"/>
      <c r="C23" s="614"/>
      <c r="D23" s="615"/>
      <c r="E23" s="603"/>
      <c r="F23" s="603"/>
      <c r="G23" s="603"/>
      <c r="H23" s="653"/>
      <c r="I23" s="653"/>
      <c r="J23" s="653"/>
      <c r="K23" s="653"/>
      <c r="L23" s="653"/>
      <c r="M23" s="653"/>
      <c r="N23" s="653"/>
      <c r="O23" s="653"/>
      <c r="P23" s="653"/>
      <c r="Q23" s="653"/>
      <c r="R23" s="653"/>
      <c r="S23" s="653"/>
      <c r="T23" s="653"/>
      <c r="U23" s="653"/>
      <c r="V23" s="653"/>
      <c r="W23" s="653"/>
      <c r="X23" s="653"/>
      <c r="Y23" s="653"/>
      <c r="Z23" s="653"/>
      <c r="AA23" s="653"/>
      <c r="AB23" s="653"/>
      <c r="AC23" s="653"/>
      <c r="AD23" s="653"/>
      <c r="AE23" s="653"/>
      <c r="AF23" s="653"/>
      <c r="AG23" s="653"/>
      <c r="AH23" s="653"/>
      <c r="AI23" s="653"/>
      <c r="AJ23" s="653"/>
      <c r="AK23" s="653"/>
      <c r="AL23" s="653"/>
      <c r="AM23" s="653"/>
      <c r="AN23" s="653"/>
      <c r="AO23" s="653"/>
      <c r="AP23" s="653"/>
      <c r="AQ23" s="653"/>
      <c r="AR23" s="653"/>
      <c r="AS23" s="655"/>
      <c r="AT23" s="616"/>
      <c r="AU23" s="616"/>
      <c r="AV23" s="616"/>
      <c r="AW23" s="616"/>
      <c r="AX23" s="616"/>
      <c r="AY23" s="616"/>
      <c r="AZ23" s="604"/>
      <c r="BA23" s="604"/>
      <c r="BB23" s="570"/>
      <c r="BC23" s="571"/>
      <c r="BD23" s="544"/>
      <c r="BE23" s="710"/>
      <c r="BF23" s="710" t="s">
        <v>397</v>
      </c>
      <c r="BG23" s="710"/>
      <c r="BH23" s="710"/>
      <c r="BI23" s="710"/>
      <c r="BJ23" s="710"/>
      <c r="BK23" s="710"/>
      <c r="BL23" s="710"/>
      <c r="BM23" s="710"/>
      <c r="BN23" s="710"/>
      <c r="BO23" s="710"/>
      <c r="BP23" s="710"/>
      <c r="BQ23" s="710"/>
      <c r="BR23" s="710"/>
      <c r="BS23" s="710"/>
      <c r="BT23" s="710"/>
    </row>
    <row r="24" spans="1:72" s="709" customFormat="1" ht="12.6" customHeight="1">
      <c r="A24" s="556"/>
      <c r="B24" s="600"/>
      <c r="C24" s="614"/>
      <c r="D24" s="615"/>
      <c r="E24" s="603"/>
      <c r="F24" s="603"/>
      <c r="G24" s="603"/>
      <c r="H24" s="653"/>
      <c r="I24" s="653"/>
      <c r="J24" s="863"/>
      <c r="K24" s="863"/>
      <c r="L24" s="863"/>
      <c r="M24" s="863"/>
      <c r="N24" s="656"/>
      <c r="O24" s="657"/>
      <c r="P24" s="656"/>
      <c r="Q24" s="653"/>
      <c r="R24" s="653"/>
      <c r="S24" s="653"/>
      <c r="T24" s="654"/>
      <c r="U24" s="654"/>
      <c r="V24" s="654"/>
      <c r="W24" s="654"/>
      <c r="X24" s="654"/>
      <c r="Y24" s="657"/>
      <c r="Z24" s="654"/>
      <c r="AA24" s="653"/>
      <c r="AB24" s="657"/>
      <c r="AC24" s="654"/>
      <c r="AD24" s="653"/>
      <c r="AE24" s="657"/>
      <c r="AF24" s="653"/>
      <c r="AG24" s="653"/>
      <c r="AH24" s="657"/>
      <c r="AI24" s="653"/>
      <c r="AJ24" s="653"/>
      <c r="AK24" s="658"/>
      <c r="AL24" s="653"/>
      <c r="AM24" s="653"/>
      <c r="AN24" s="653"/>
      <c r="AO24" s="653"/>
      <c r="AP24" s="653"/>
      <c r="AQ24" s="653"/>
      <c r="AR24" s="653"/>
      <c r="AS24" s="653"/>
      <c r="AT24" s="603"/>
      <c r="AU24" s="603"/>
      <c r="AV24" s="603"/>
      <c r="AW24" s="603"/>
      <c r="AX24" s="603"/>
      <c r="AY24" s="603"/>
      <c r="AZ24" s="604"/>
      <c r="BA24" s="604"/>
      <c r="BB24" s="570"/>
      <c r="BC24" s="571"/>
      <c r="BD24" s="544"/>
      <c r="BE24" s="710"/>
      <c r="BF24" s="710"/>
      <c r="BG24" s="710" t="s">
        <v>398</v>
      </c>
      <c r="BH24" s="710"/>
      <c r="BI24" s="710"/>
      <c r="BJ24" s="710"/>
      <c r="BK24" s="710"/>
      <c r="BL24" s="710"/>
      <c r="BM24" s="710"/>
      <c r="BN24" s="710"/>
      <c r="BO24" s="710"/>
      <c r="BP24" s="710"/>
      <c r="BQ24" s="710"/>
      <c r="BR24" s="710"/>
      <c r="BS24" s="710"/>
      <c r="BT24" s="710"/>
    </row>
    <row r="25" spans="1:72" s="709" customFormat="1" ht="15" customHeight="1">
      <c r="A25" s="556"/>
      <c r="B25" s="610"/>
      <c r="C25" s="606"/>
      <c r="D25" s="606"/>
      <c r="E25" s="606"/>
      <c r="F25" s="606"/>
      <c r="G25" s="606"/>
      <c r="H25" s="659"/>
      <c r="I25" s="887" t="s">
        <v>691</v>
      </c>
      <c r="J25" s="888"/>
      <c r="K25" s="888"/>
      <c r="L25" s="888"/>
      <c r="M25" s="888"/>
      <c r="N25" s="888"/>
      <c r="O25" s="888"/>
      <c r="P25" s="888"/>
      <c r="Q25" s="888"/>
      <c r="R25" s="888"/>
      <c r="S25" s="888"/>
      <c r="T25" s="888"/>
      <c r="U25" s="888"/>
      <c r="V25" s="888"/>
      <c r="W25" s="888"/>
      <c r="X25" s="888"/>
      <c r="Y25" s="888"/>
      <c r="Z25" s="888"/>
      <c r="AA25" s="888"/>
      <c r="AB25" s="888"/>
      <c r="AC25" s="888"/>
      <c r="AD25" s="888"/>
      <c r="AE25" s="888"/>
      <c r="AF25" s="888"/>
      <c r="AG25" s="888"/>
      <c r="AH25" s="888"/>
      <c r="AI25" s="888"/>
      <c r="AJ25" s="888"/>
      <c r="AK25" s="888"/>
      <c r="AL25" s="888"/>
      <c r="AM25" s="888"/>
      <c r="AN25" s="888"/>
      <c r="AO25" s="888"/>
      <c r="AP25" s="888"/>
      <c r="AQ25" s="888"/>
      <c r="AR25" s="888"/>
      <c r="AS25" s="888"/>
      <c r="AT25" s="603"/>
      <c r="AU25" s="603"/>
      <c r="AV25" s="603"/>
      <c r="AW25" s="603"/>
      <c r="AX25" s="607"/>
      <c r="AY25" s="598"/>
      <c r="AZ25" s="604"/>
      <c r="BA25" s="604"/>
      <c r="BB25" s="542"/>
      <c r="BC25" s="543"/>
      <c r="BD25" s="544"/>
      <c r="BE25" s="710"/>
      <c r="BF25" s="710"/>
      <c r="BG25" s="710" t="s">
        <v>399</v>
      </c>
      <c r="BH25" s="710"/>
      <c r="BI25" s="710"/>
      <c r="BJ25" s="710"/>
      <c r="BK25" s="710"/>
      <c r="BL25" s="710"/>
      <c r="BM25" s="710"/>
      <c r="BN25" s="710"/>
      <c r="BO25" s="710"/>
      <c r="BP25" s="710"/>
      <c r="BQ25" s="710"/>
      <c r="BR25" s="710"/>
      <c r="BS25" s="710"/>
      <c r="BT25" s="710"/>
    </row>
    <row r="26" spans="1:72" s="709" customFormat="1" ht="15" customHeight="1">
      <c r="A26" s="556"/>
      <c r="B26" s="610"/>
      <c r="C26" s="606"/>
      <c r="D26" s="606"/>
      <c r="E26" s="606"/>
      <c r="F26" s="606"/>
      <c r="G26" s="606"/>
      <c r="H26" s="659"/>
      <c r="I26" s="888"/>
      <c r="J26" s="888"/>
      <c r="K26" s="888"/>
      <c r="L26" s="888"/>
      <c r="M26" s="888"/>
      <c r="N26" s="888"/>
      <c r="O26" s="888"/>
      <c r="P26" s="888"/>
      <c r="Q26" s="888"/>
      <c r="R26" s="888"/>
      <c r="S26" s="888"/>
      <c r="T26" s="888"/>
      <c r="U26" s="888"/>
      <c r="V26" s="888"/>
      <c r="W26" s="888"/>
      <c r="X26" s="888"/>
      <c r="Y26" s="888"/>
      <c r="Z26" s="888"/>
      <c r="AA26" s="888"/>
      <c r="AB26" s="888"/>
      <c r="AC26" s="888"/>
      <c r="AD26" s="888"/>
      <c r="AE26" s="888"/>
      <c r="AF26" s="888"/>
      <c r="AG26" s="888"/>
      <c r="AH26" s="888"/>
      <c r="AI26" s="888"/>
      <c r="AJ26" s="888"/>
      <c r="AK26" s="888"/>
      <c r="AL26" s="888"/>
      <c r="AM26" s="888"/>
      <c r="AN26" s="888"/>
      <c r="AO26" s="888"/>
      <c r="AP26" s="888"/>
      <c r="AQ26" s="888"/>
      <c r="AR26" s="888"/>
      <c r="AS26" s="888"/>
      <c r="AT26" s="603"/>
      <c r="AU26" s="603"/>
      <c r="AV26" s="603"/>
      <c r="AW26" s="603"/>
      <c r="AX26" s="607"/>
      <c r="AY26" s="598"/>
      <c r="AZ26" s="604"/>
      <c r="BA26" s="604"/>
      <c r="BB26" s="542"/>
      <c r="BC26" s="543"/>
      <c r="BD26" s="544"/>
      <c r="BE26" s="710"/>
      <c r="BF26" s="710"/>
      <c r="BG26" s="713" t="s">
        <v>400</v>
      </c>
      <c r="BH26" s="710"/>
      <c r="BI26" s="710"/>
      <c r="BJ26" s="710"/>
      <c r="BK26" s="710"/>
      <c r="BL26" s="710"/>
      <c r="BM26" s="710"/>
      <c r="BN26" s="710"/>
      <c r="BO26" s="710"/>
      <c r="BP26" s="710"/>
      <c r="BQ26" s="710"/>
      <c r="BR26" s="710"/>
      <c r="BS26" s="710"/>
      <c r="BT26" s="710"/>
    </row>
    <row r="27" spans="1:72" s="709" customFormat="1" ht="12.6" customHeight="1">
      <c r="A27" s="556"/>
      <c r="B27" s="600"/>
      <c r="C27" s="602"/>
      <c r="D27" s="602"/>
      <c r="E27" s="602"/>
      <c r="F27" s="602"/>
      <c r="G27" s="602"/>
      <c r="H27" s="602"/>
      <c r="I27" s="602"/>
      <c r="J27" s="602"/>
      <c r="K27" s="602"/>
      <c r="L27" s="602"/>
      <c r="M27" s="602"/>
      <c r="N27" s="602"/>
      <c r="O27" s="602"/>
      <c r="P27" s="602"/>
      <c r="Q27" s="602"/>
      <c r="R27" s="602"/>
      <c r="S27" s="602"/>
      <c r="T27" s="602"/>
      <c r="U27" s="602"/>
      <c r="V27" s="602"/>
      <c r="W27" s="602"/>
      <c r="X27" s="602"/>
      <c r="Y27" s="602"/>
      <c r="Z27" s="602"/>
      <c r="AA27" s="602"/>
      <c r="AB27" s="602"/>
      <c r="AC27" s="602"/>
      <c r="AD27" s="602"/>
      <c r="AE27" s="602"/>
      <c r="AF27" s="602"/>
      <c r="AG27" s="602"/>
      <c r="AH27" s="602"/>
      <c r="AI27" s="602"/>
      <c r="AJ27" s="602"/>
      <c r="AK27" s="602"/>
      <c r="AL27" s="602"/>
      <c r="AM27" s="602"/>
      <c r="AN27" s="602"/>
      <c r="AO27" s="602"/>
      <c r="AP27" s="602"/>
      <c r="AQ27" s="602"/>
      <c r="AR27" s="602"/>
      <c r="AS27" s="602"/>
      <c r="AT27" s="602"/>
      <c r="AU27" s="602"/>
      <c r="AV27" s="602"/>
      <c r="AW27" s="602"/>
      <c r="AX27" s="602"/>
      <c r="AY27" s="602"/>
      <c r="AZ27" s="604"/>
      <c r="BA27" s="604"/>
      <c r="BB27" s="570"/>
      <c r="BC27" s="571"/>
      <c r="BD27" s="544"/>
      <c r="BE27" s="710"/>
      <c r="BF27" s="710"/>
      <c r="BG27" s="713"/>
      <c r="BH27" s="710"/>
      <c r="BI27" s="710"/>
      <c r="BJ27" s="710"/>
      <c r="BK27" s="710"/>
      <c r="BL27" s="710"/>
      <c r="BM27" s="710"/>
      <c r="BN27" s="710"/>
      <c r="BO27" s="710"/>
      <c r="BP27" s="710"/>
      <c r="BQ27" s="710"/>
      <c r="BR27" s="710"/>
      <c r="BS27" s="710"/>
      <c r="BT27" s="710"/>
    </row>
    <row r="28" spans="1:72" s="709" customFormat="1" ht="12.6" customHeight="1">
      <c r="A28" s="556"/>
      <c r="B28" s="600"/>
      <c r="C28" s="602"/>
      <c r="D28" s="602"/>
      <c r="E28" s="602"/>
      <c r="F28" s="602"/>
      <c r="G28" s="602"/>
      <c r="H28" s="602"/>
      <c r="I28" s="602"/>
      <c r="J28" s="602"/>
      <c r="K28" s="602"/>
      <c r="L28" s="602"/>
      <c r="M28" s="602"/>
      <c r="N28" s="602"/>
      <c r="O28" s="602"/>
      <c r="P28" s="602"/>
      <c r="Q28" s="602"/>
      <c r="R28" s="602"/>
      <c r="S28" s="602"/>
      <c r="T28" s="602"/>
      <c r="U28" s="602"/>
      <c r="V28" s="602"/>
      <c r="W28" s="602"/>
      <c r="X28" s="602"/>
      <c r="Y28" s="602"/>
      <c r="Z28" s="602"/>
      <c r="AA28" s="602"/>
      <c r="AB28" s="602"/>
      <c r="AC28" s="602"/>
      <c r="AD28" s="602"/>
      <c r="AE28" s="602"/>
      <c r="AF28" s="602"/>
      <c r="AG28" s="602"/>
      <c r="AH28" s="602"/>
      <c r="AI28" s="602"/>
      <c r="AJ28" s="602"/>
      <c r="AK28" s="602"/>
      <c r="AL28" s="602"/>
      <c r="AM28" s="602"/>
      <c r="AN28" s="602"/>
      <c r="AO28" s="602"/>
      <c r="AP28" s="602"/>
      <c r="AQ28" s="602"/>
      <c r="AR28" s="602"/>
      <c r="AS28" s="602"/>
      <c r="AT28" s="602"/>
      <c r="AU28" s="602"/>
      <c r="AV28" s="602"/>
      <c r="AW28" s="602"/>
      <c r="AX28" s="602"/>
      <c r="AY28" s="602"/>
      <c r="AZ28" s="604"/>
      <c r="BA28" s="604"/>
      <c r="BB28" s="570"/>
      <c r="BC28" s="571"/>
      <c r="BD28" s="544"/>
      <c r="BE28" s="710"/>
      <c r="BF28" s="710" t="s">
        <v>401</v>
      </c>
      <c r="BG28" s="713"/>
      <c r="BH28" s="710"/>
      <c r="BI28" s="710"/>
      <c r="BJ28" s="710"/>
      <c r="BK28" s="710"/>
      <c r="BL28" s="710"/>
      <c r="BM28" s="710"/>
      <c r="BN28" s="710"/>
      <c r="BO28" s="710"/>
      <c r="BP28" s="710"/>
      <c r="BQ28" s="710"/>
      <c r="BR28" s="710"/>
      <c r="BS28" s="710"/>
      <c r="BT28" s="710"/>
    </row>
    <row r="29" spans="1:72" s="709" customFormat="1" ht="17.100000000000001" customHeight="1">
      <c r="A29" s="556"/>
      <c r="B29" s="600"/>
      <c r="C29" s="598"/>
      <c r="D29" s="598"/>
      <c r="E29" s="598"/>
      <c r="F29" s="598"/>
      <c r="G29" s="598"/>
      <c r="H29" s="869" t="s">
        <v>677</v>
      </c>
      <c r="I29" s="870"/>
      <c r="J29" s="870"/>
      <c r="K29" s="870"/>
      <c r="L29" s="871"/>
      <c r="M29" s="875" t="s">
        <v>684</v>
      </c>
      <c r="N29" s="876"/>
      <c r="O29" s="876"/>
      <c r="P29" s="876"/>
      <c r="Q29" s="877"/>
      <c r="R29" s="869" t="s">
        <v>678</v>
      </c>
      <c r="S29" s="870"/>
      <c r="T29" s="870"/>
      <c r="U29" s="870"/>
      <c r="V29" s="871"/>
      <c r="W29" s="881" t="s">
        <v>679</v>
      </c>
      <c r="X29" s="882"/>
      <c r="Y29" s="882"/>
      <c r="Z29" s="883"/>
      <c r="AA29" s="881" t="s">
        <v>680</v>
      </c>
      <c r="AB29" s="882"/>
      <c r="AC29" s="882"/>
      <c r="AD29" s="883"/>
      <c r="AE29" s="869" t="s">
        <v>681</v>
      </c>
      <c r="AF29" s="870"/>
      <c r="AG29" s="870"/>
      <c r="AH29" s="871"/>
      <c r="AI29" s="869" t="s">
        <v>682</v>
      </c>
      <c r="AJ29" s="870"/>
      <c r="AK29" s="870"/>
      <c r="AL29" s="870"/>
      <c r="AM29" s="871"/>
      <c r="AN29" s="869" t="s">
        <v>683</v>
      </c>
      <c r="AO29" s="870"/>
      <c r="AP29" s="870"/>
      <c r="AQ29" s="870"/>
      <c r="AR29" s="870"/>
      <c r="AS29" s="871"/>
      <c r="AT29" s="607"/>
      <c r="AU29" s="598"/>
      <c r="AV29" s="603"/>
      <c r="AW29" s="603"/>
      <c r="AX29" s="603"/>
      <c r="AY29" s="598"/>
      <c r="AZ29" s="604"/>
      <c r="BA29" s="604"/>
      <c r="BB29" s="542"/>
      <c r="BC29" s="543"/>
      <c r="BD29" s="545"/>
      <c r="BE29" s="710"/>
      <c r="BF29" s="710"/>
      <c r="BG29" s="710" t="s">
        <v>402</v>
      </c>
      <c r="BH29" s="710"/>
      <c r="BI29" s="710"/>
      <c r="BJ29" s="710"/>
      <c r="BK29" s="710"/>
      <c r="BL29" s="710"/>
      <c r="BM29" s="710"/>
      <c r="BN29" s="710"/>
      <c r="BO29" s="710"/>
      <c r="BP29" s="710"/>
      <c r="BQ29" s="710"/>
      <c r="BR29" s="710"/>
      <c r="BS29" s="710"/>
      <c r="BT29" s="710"/>
    </row>
    <row r="30" spans="1:72" s="709" customFormat="1" ht="17.100000000000001" customHeight="1">
      <c r="A30" s="556"/>
      <c r="B30" s="600"/>
      <c r="C30" s="598"/>
      <c r="D30" s="598"/>
      <c r="E30" s="598"/>
      <c r="F30" s="598"/>
      <c r="G30" s="598"/>
      <c r="H30" s="872"/>
      <c r="I30" s="873"/>
      <c r="J30" s="873"/>
      <c r="K30" s="873"/>
      <c r="L30" s="874"/>
      <c r="M30" s="878"/>
      <c r="N30" s="879"/>
      <c r="O30" s="879"/>
      <c r="P30" s="879"/>
      <c r="Q30" s="880"/>
      <c r="R30" s="872"/>
      <c r="S30" s="873"/>
      <c r="T30" s="873"/>
      <c r="U30" s="873"/>
      <c r="V30" s="874"/>
      <c r="W30" s="884"/>
      <c r="X30" s="885"/>
      <c r="Y30" s="885"/>
      <c r="Z30" s="886"/>
      <c r="AA30" s="884"/>
      <c r="AB30" s="885"/>
      <c r="AC30" s="885"/>
      <c r="AD30" s="886"/>
      <c r="AE30" s="872"/>
      <c r="AF30" s="873"/>
      <c r="AG30" s="873"/>
      <c r="AH30" s="874"/>
      <c r="AI30" s="872"/>
      <c r="AJ30" s="873"/>
      <c r="AK30" s="873"/>
      <c r="AL30" s="873"/>
      <c r="AM30" s="874"/>
      <c r="AN30" s="872"/>
      <c r="AO30" s="873"/>
      <c r="AP30" s="873"/>
      <c r="AQ30" s="873"/>
      <c r="AR30" s="873"/>
      <c r="AS30" s="874"/>
      <c r="AT30" s="607"/>
      <c r="AU30" s="598"/>
      <c r="AV30" s="603"/>
      <c r="AW30" s="603"/>
      <c r="AX30" s="603"/>
      <c r="AY30" s="598"/>
      <c r="AZ30" s="604"/>
      <c r="BA30" s="604"/>
      <c r="BB30" s="542"/>
      <c r="BC30" s="543"/>
      <c r="BD30" s="545"/>
      <c r="BE30" s="710"/>
      <c r="BF30" s="710"/>
      <c r="BG30" s="713" t="s">
        <v>403</v>
      </c>
      <c r="BH30" s="710"/>
      <c r="BI30" s="710"/>
      <c r="BJ30" s="710"/>
      <c r="BK30" s="710"/>
      <c r="BL30" s="710"/>
      <c r="BM30" s="710"/>
      <c r="BN30" s="710"/>
      <c r="BO30" s="710"/>
      <c r="BP30" s="710"/>
      <c r="BQ30" s="710"/>
      <c r="BR30" s="710"/>
      <c r="BS30" s="710"/>
      <c r="BT30" s="710"/>
    </row>
    <row r="31" spans="1:72" s="709" customFormat="1" ht="16.5" customHeight="1">
      <c r="A31" s="556"/>
      <c r="B31" s="600"/>
      <c r="C31" s="614"/>
      <c r="D31" s="615"/>
      <c r="E31" s="603"/>
      <c r="F31" s="603"/>
      <c r="G31" s="603"/>
      <c r="H31" s="674" t="s">
        <v>346</v>
      </c>
      <c r="I31" s="675"/>
      <c r="J31" s="675"/>
      <c r="K31" s="675"/>
      <c r="L31" s="676"/>
      <c r="M31" s="798" t="s">
        <v>685</v>
      </c>
      <c r="N31" s="675"/>
      <c r="O31" s="675"/>
      <c r="P31" s="675"/>
      <c r="Q31" s="676"/>
      <c r="R31" s="798" t="s">
        <v>685</v>
      </c>
      <c r="S31" s="678"/>
      <c r="T31" s="679"/>
      <c r="U31" s="679"/>
      <c r="V31" s="680"/>
      <c r="W31" s="707" t="s">
        <v>381</v>
      </c>
      <c r="X31" s="679"/>
      <c r="Y31" s="680"/>
      <c r="Z31" s="681"/>
      <c r="AA31" s="688" t="s">
        <v>380</v>
      </c>
      <c r="AB31" s="678"/>
      <c r="AC31" s="679"/>
      <c r="AD31" s="680"/>
      <c r="AE31" s="681" t="s">
        <v>382</v>
      </c>
      <c r="AF31" s="678"/>
      <c r="AG31" s="678"/>
      <c r="AH31" s="685"/>
      <c r="AI31" s="799" t="s">
        <v>693</v>
      </c>
      <c r="AJ31" s="678"/>
      <c r="AK31" s="678"/>
      <c r="AL31" s="678"/>
      <c r="AM31" s="685"/>
      <c r="AN31" s="689"/>
      <c r="AO31" s="678"/>
      <c r="AP31" s="678"/>
      <c r="AQ31" s="678"/>
      <c r="AR31" s="678"/>
      <c r="AS31" s="686"/>
      <c r="AT31" s="609"/>
      <c r="AU31" s="603"/>
      <c r="AV31" s="603"/>
      <c r="AW31" s="603"/>
      <c r="AX31" s="603"/>
      <c r="AY31" s="603"/>
      <c r="AZ31" s="604"/>
      <c r="BA31" s="604"/>
      <c r="BB31" s="570"/>
      <c r="BC31" s="571"/>
      <c r="BD31" s="544"/>
      <c r="BE31" s="710"/>
      <c r="BF31" s="710"/>
      <c r="BG31" s="710" t="s">
        <v>404</v>
      </c>
      <c r="BH31" s="710"/>
      <c r="BI31" s="710"/>
      <c r="BJ31" s="710"/>
      <c r="BK31" s="710"/>
      <c r="BL31" s="710"/>
      <c r="BM31" s="710"/>
      <c r="BN31" s="710"/>
      <c r="BO31" s="710"/>
      <c r="BP31" s="710"/>
      <c r="BQ31" s="710"/>
      <c r="BR31" s="710"/>
      <c r="BS31" s="710"/>
      <c r="BT31" s="710"/>
    </row>
    <row r="32" spans="1:72" s="709" customFormat="1" ht="16.5" customHeight="1">
      <c r="A32" s="556"/>
      <c r="B32" s="600"/>
      <c r="C32" s="614"/>
      <c r="D32" s="615"/>
      <c r="E32" s="603"/>
      <c r="F32" s="603"/>
      <c r="G32" s="603"/>
      <c r="H32" s="674" t="s">
        <v>347</v>
      </c>
      <c r="I32" s="675"/>
      <c r="J32" s="675"/>
      <c r="K32" s="675"/>
      <c r="L32" s="676"/>
      <c r="M32" s="798" t="s">
        <v>686</v>
      </c>
      <c r="N32" s="675"/>
      <c r="O32" s="675"/>
      <c r="P32" s="675"/>
      <c r="Q32" s="676"/>
      <c r="R32" s="798" t="s">
        <v>686</v>
      </c>
      <c r="S32" s="678"/>
      <c r="T32" s="679"/>
      <c r="U32" s="679"/>
      <c r="V32" s="680"/>
      <c r="W32" s="707" t="s">
        <v>381</v>
      </c>
      <c r="X32" s="679"/>
      <c r="Y32" s="680"/>
      <c r="Z32" s="681"/>
      <c r="AA32" s="688" t="s">
        <v>380</v>
      </c>
      <c r="AB32" s="678"/>
      <c r="AC32" s="679"/>
      <c r="AD32" s="680"/>
      <c r="AE32" s="681" t="s">
        <v>383</v>
      </c>
      <c r="AF32" s="678"/>
      <c r="AG32" s="678"/>
      <c r="AH32" s="685"/>
      <c r="AI32" s="677" t="s">
        <v>352</v>
      </c>
      <c r="AJ32" s="678"/>
      <c r="AK32" s="678"/>
      <c r="AL32" s="678"/>
      <c r="AM32" s="685"/>
      <c r="AN32" s="689"/>
      <c r="AO32" s="678"/>
      <c r="AP32" s="678"/>
      <c r="AQ32" s="678"/>
      <c r="AR32" s="678"/>
      <c r="AS32" s="686"/>
      <c r="AT32" s="616"/>
      <c r="AU32" s="616"/>
      <c r="AV32" s="616"/>
      <c r="AW32" s="616"/>
      <c r="AX32" s="616"/>
      <c r="AY32" s="616"/>
      <c r="AZ32" s="604"/>
      <c r="BA32" s="604"/>
      <c r="BB32" s="570"/>
      <c r="BC32" s="571"/>
      <c r="BD32" s="544"/>
      <c r="BE32" s="710"/>
      <c r="BF32" s="710"/>
      <c r="BG32" s="713" t="s">
        <v>405</v>
      </c>
      <c r="BH32" s="710"/>
      <c r="BI32" s="710"/>
      <c r="BJ32" s="710"/>
      <c r="BK32" s="710"/>
      <c r="BL32" s="710"/>
      <c r="BM32" s="710"/>
      <c r="BN32" s="710"/>
      <c r="BO32" s="710"/>
      <c r="BP32" s="710"/>
      <c r="BQ32" s="710"/>
      <c r="BR32" s="710"/>
      <c r="BS32" s="710"/>
      <c r="BT32" s="710"/>
    </row>
    <row r="33" spans="1:72" s="709" customFormat="1" ht="16.5" customHeight="1">
      <c r="A33" s="556"/>
      <c r="B33" s="600"/>
      <c r="C33" s="602"/>
      <c r="D33" s="602"/>
      <c r="E33" s="602"/>
      <c r="F33" s="602"/>
      <c r="G33" s="602"/>
      <c r="H33" s="674" t="s">
        <v>348</v>
      </c>
      <c r="I33" s="675"/>
      <c r="J33" s="675"/>
      <c r="K33" s="675"/>
      <c r="L33" s="676"/>
      <c r="M33" s="798" t="s">
        <v>687</v>
      </c>
      <c r="N33" s="675"/>
      <c r="O33" s="675"/>
      <c r="P33" s="675"/>
      <c r="Q33" s="676"/>
      <c r="R33" s="798" t="s">
        <v>687</v>
      </c>
      <c r="S33" s="678"/>
      <c r="T33" s="679"/>
      <c r="U33" s="679"/>
      <c r="V33" s="680"/>
      <c r="W33" s="707" t="s">
        <v>381</v>
      </c>
      <c r="X33" s="679"/>
      <c r="Y33" s="680"/>
      <c r="Z33" s="681"/>
      <c r="AA33" s="688" t="s">
        <v>380</v>
      </c>
      <c r="AB33" s="678"/>
      <c r="AC33" s="679"/>
      <c r="AD33" s="680"/>
      <c r="AE33" s="681" t="s">
        <v>382</v>
      </c>
      <c r="AF33" s="678"/>
      <c r="AG33" s="678"/>
      <c r="AH33" s="685"/>
      <c r="AI33" s="799" t="s">
        <v>692</v>
      </c>
      <c r="AJ33" s="678"/>
      <c r="AK33" s="678"/>
      <c r="AL33" s="678"/>
      <c r="AM33" s="685"/>
      <c r="AN33" s="689"/>
      <c r="AO33" s="678"/>
      <c r="AP33" s="678"/>
      <c r="AQ33" s="678"/>
      <c r="AR33" s="678"/>
      <c r="AS33" s="686"/>
      <c r="AT33" s="602"/>
      <c r="AU33" s="602"/>
      <c r="AV33" s="602"/>
      <c r="AW33" s="602"/>
      <c r="AX33" s="602"/>
      <c r="AY33" s="602"/>
      <c r="AZ33" s="604"/>
      <c r="BA33" s="604"/>
      <c r="BB33" s="570"/>
      <c r="BC33" s="571"/>
      <c r="BD33" s="544"/>
      <c r="BE33" s="710"/>
      <c r="BF33" s="710"/>
      <c r="BG33" s="713" t="s">
        <v>406</v>
      </c>
      <c r="BH33" s="710"/>
      <c r="BI33" s="710"/>
      <c r="BJ33" s="710"/>
      <c r="BK33" s="710"/>
      <c r="BL33" s="710"/>
      <c r="BM33" s="710"/>
      <c r="BN33" s="710"/>
      <c r="BO33" s="710"/>
      <c r="BP33" s="710"/>
      <c r="BQ33" s="710"/>
      <c r="BR33" s="710"/>
      <c r="BS33" s="710"/>
      <c r="BT33" s="710"/>
    </row>
    <row r="34" spans="1:72" s="709" customFormat="1" ht="12.6" customHeight="1">
      <c r="A34" s="556"/>
      <c r="B34" s="600"/>
      <c r="C34" s="602"/>
      <c r="D34" s="602"/>
      <c r="E34" s="602"/>
      <c r="F34" s="602"/>
      <c r="G34" s="602"/>
      <c r="H34" s="602"/>
      <c r="I34" s="602"/>
      <c r="J34" s="602"/>
      <c r="K34" s="602"/>
      <c r="L34" s="602"/>
      <c r="M34" s="602"/>
      <c r="N34" s="602"/>
      <c r="O34" s="602"/>
      <c r="P34" s="602"/>
      <c r="Q34" s="602"/>
      <c r="R34" s="602"/>
      <c r="S34" s="602"/>
      <c r="T34" s="602"/>
      <c r="U34" s="602"/>
      <c r="V34" s="602"/>
      <c r="W34" s="602"/>
      <c r="X34" s="602"/>
      <c r="Y34" s="602"/>
      <c r="Z34" s="602"/>
      <c r="AA34" s="602"/>
      <c r="AB34" s="602"/>
      <c r="AC34" s="602"/>
      <c r="AD34" s="602"/>
      <c r="AE34" s="602"/>
      <c r="AF34" s="602"/>
      <c r="AG34" s="602"/>
      <c r="AH34" s="602"/>
      <c r="AI34" s="602"/>
      <c r="AJ34" s="602"/>
      <c r="AK34" s="602"/>
      <c r="AL34" s="602"/>
      <c r="AM34" s="602"/>
      <c r="AN34" s="602"/>
      <c r="AO34" s="602"/>
      <c r="AP34" s="602"/>
      <c r="AQ34" s="602"/>
      <c r="AR34" s="602"/>
      <c r="AS34" s="602"/>
      <c r="AT34" s="602"/>
      <c r="AU34" s="602"/>
      <c r="AV34" s="602"/>
      <c r="AW34" s="602"/>
      <c r="AX34" s="602"/>
      <c r="AY34" s="602"/>
      <c r="AZ34" s="604"/>
      <c r="BA34" s="604"/>
      <c r="BB34" s="570"/>
      <c r="BC34" s="571"/>
      <c r="BD34" s="544"/>
      <c r="BE34" s="710"/>
      <c r="BF34" s="710"/>
      <c r="BG34" s="713" t="s">
        <v>407</v>
      </c>
      <c r="BH34" s="710"/>
      <c r="BI34" s="710"/>
      <c r="BJ34" s="710"/>
      <c r="BK34" s="710"/>
      <c r="BL34" s="710"/>
      <c r="BM34" s="710"/>
      <c r="BN34" s="710"/>
      <c r="BO34" s="710"/>
      <c r="BP34" s="710"/>
      <c r="BQ34" s="710"/>
      <c r="BR34" s="710"/>
      <c r="BS34" s="710"/>
      <c r="BT34" s="710"/>
    </row>
    <row r="35" spans="1:72" s="709" customFormat="1" ht="12.6" customHeight="1">
      <c r="A35" s="556"/>
      <c r="B35" s="600"/>
      <c r="C35" s="602"/>
      <c r="D35" s="602"/>
      <c r="E35" s="602"/>
      <c r="F35" s="602"/>
      <c r="G35" s="602"/>
      <c r="H35" s="602"/>
      <c r="I35" s="602"/>
      <c r="J35" s="602"/>
      <c r="K35" s="602"/>
      <c r="L35" s="602"/>
      <c r="M35" s="602"/>
      <c r="N35" s="602"/>
      <c r="O35" s="775"/>
      <c r="P35" s="775"/>
      <c r="Q35" s="775"/>
      <c r="R35" s="775"/>
      <c r="S35" s="775"/>
      <c r="T35" s="775"/>
      <c r="U35" s="775"/>
      <c r="V35" s="775"/>
      <c r="W35" s="775"/>
      <c r="X35" s="775"/>
      <c r="Y35" s="775"/>
      <c r="Z35" s="775"/>
      <c r="AA35" s="775"/>
      <c r="AB35" s="775"/>
      <c r="AC35" s="775"/>
      <c r="AD35" s="775"/>
      <c r="AE35" s="776"/>
      <c r="AF35" s="776"/>
      <c r="AG35" s="602"/>
      <c r="AH35" s="602"/>
      <c r="AI35" s="602"/>
      <c r="AJ35" s="602"/>
      <c r="AK35" s="602"/>
      <c r="AL35" s="602"/>
      <c r="AM35" s="602"/>
      <c r="AN35" s="602"/>
      <c r="AO35" s="602"/>
      <c r="AP35" s="602"/>
      <c r="AQ35" s="602"/>
      <c r="AR35" s="602"/>
      <c r="AS35" s="602"/>
      <c r="AT35" s="602"/>
      <c r="AU35" s="602"/>
      <c r="AV35" s="602"/>
      <c r="AW35" s="602"/>
      <c r="AX35" s="602"/>
      <c r="AY35" s="602"/>
      <c r="AZ35" s="604"/>
      <c r="BA35" s="604"/>
      <c r="BB35" s="542"/>
      <c r="BC35" s="543"/>
      <c r="BD35" s="545"/>
      <c r="BE35" s="710"/>
      <c r="BF35" s="710"/>
      <c r="BG35" s="713"/>
      <c r="BH35" s="710"/>
      <c r="BI35" s="710"/>
      <c r="BJ35" s="710"/>
      <c r="BK35" s="710"/>
      <c r="BL35" s="710"/>
      <c r="BM35" s="710"/>
      <c r="BN35" s="710"/>
      <c r="BO35" s="710"/>
      <c r="BP35" s="710"/>
      <c r="BQ35" s="710"/>
      <c r="BR35" s="710"/>
      <c r="BS35" s="710"/>
      <c r="BT35" s="710"/>
    </row>
    <row r="36" spans="1:72" s="709" customFormat="1" ht="14.25">
      <c r="A36" s="556"/>
      <c r="B36" s="610"/>
      <c r="C36" s="603"/>
      <c r="D36" s="603"/>
      <c r="E36" s="603"/>
      <c r="F36" s="603"/>
      <c r="G36" s="603"/>
      <c r="H36" s="603"/>
      <c r="I36" s="603"/>
      <c r="J36" s="603"/>
      <c r="K36" s="603"/>
      <c r="L36" s="603"/>
      <c r="M36" s="603"/>
      <c r="N36" s="603"/>
      <c r="O36" s="603"/>
      <c r="P36" s="603"/>
      <c r="Q36" s="603"/>
      <c r="R36" s="603"/>
      <c r="S36" s="609"/>
      <c r="T36" s="609"/>
      <c r="U36" s="609"/>
      <c r="V36" s="609"/>
      <c r="W36" s="603"/>
      <c r="X36" s="603"/>
      <c r="Y36" s="609"/>
      <c r="Z36" s="777"/>
      <c r="AA36" s="603"/>
      <c r="AB36" s="603"/>
      <c r="AC36" s="603"/>
      <c r="AD36" s="609"/>
      <c r="AE36" s="609"/>
      <c r="AF36" s="609"/>
      <c r="AG36" s="609"/>
      <c r="AH36" s="609"/>
      <c r="AI36" s="609"/>
      <c r="AJ36" s="609"/>
      <c r="AK36" s="609"/>
      <c r="AL36" s="609"/>
      <c r="AM36" s="609"/>
      <c r="AN36" s="609"/>
      <c r="AO36" s="609"/>
      <c r="AP36" s="609"/>
      <c r="AQ36" s="609"/>
      <c r="AR36" s="609"/>
      <c r="AS36" s="609"/>
      <c r="AT36" s="609"/>
      <c r="AU36" s="609"/>
      <c r="AV36" s="609"/>
      <c r="AW36" s="609"/>
      <c r="AX36" s="609"/>
      <c r="AY36" s="598"/>
      <c r="AZ36" s="604"/>
      <c r="BA36" s="604"/>
      <c r="BB36" s="570"/>
      <c r="BC36" s="571"/>
      <c r="BD36" s="572"/>
      <c r="BE36" s="710"/>
      <c r="BF36" s="710" t="s">
        <v>408</v>
      </c>
      <c r="BG36" s="710"/>
      <c r="BH36" s="710"/>
      <c r="BI36" s="710"/>
      <c r="BJ36" s="710"/>
      <c r="BK36" s="710"/>
      <c r="BL36" s="710"/>
      <c r="BM36" s="710"/>
      <c r="BN36" s="710"/>
      <c r="BO36" s="710"/>
      <c r="BP36" s="710"/>
      <c r="BQ36" s="710"/>
      <c r="BR36" s="710"/>
      <c r="BS36" s="710"/>
      <c r="BT36" s="710"/>
    </row>
    <row r="37" spans="1:72" ht="15.75">
      <c r="A37" s="556"/>
      <c r="B37" s="718"/>
      <c r="C37" s="719"/>
      <c r="D37" s="719"/>
      <c r="E37" s="719"/>
      <c r="F37" s="719"/>
      <c r="G37" s="719"/>
      <c r="H37" s="719"/>
      <c r="I37" s="719"/>
      <c r="J37" s="719"/>
      <c r="K37" s="719"/>
      <c r="L37" s="719"/>
      <c r="M37" s="719"/>
      <c r="N37" s="719"/>
      <c r="O37" s="719"/>
      <c r="P37" s="719"/>
      <c r="Q37" s="719"/>
      <c r="R37" s="719"/>
      <c r="S37" s="720"/>
      <c r="T37" s="720"/>
      <c r="U37" s="720"/>
      <c r="V37" s="720"/>
      <c r="W37" s="719"/>
      <c r="X37" s="719"/>
      <c r="Y37" s="720"/>
      <c r="Z37" s="720"/>
      <c r="AA37" s="719"/>
      <c r="AB37" s="719"/>
      <c r="AC37" s="719"/>
      <c r="AD37" s="720"/>
      <c r="AE37" s="720"/>
      <c r="AF37" s="720"/>
      <c r="AG37" s="720"/>
      <c r="AH37" s="720"/>
      <c r="AI37" s="720"/>
      <c r="AJ37" s="720"/>
      <c r="AK37" s="720"/>
      <c r="AL37" s="720"/>
      <c r="AM37" s="720"/>
      <c r="AN37" s="720"/>
      <c r="AO37" s="720"/>
      <c r="AP37" s="720"/>
      <c r="AQ37" s="720"/>
      <c r="AR37" s="720"/>
      <c r="AS37" s="720"/>
      <c r="AT37" s="720"/>
      <c r="AU37" s="720"/>
      <c r="AV37" s="720"/>
      <c r="AW37" s="720"/>
      <c r="AX37" s="720"/>
      <c r="AY37" s="718"/>
      <c r="AZ37" s="718"/>
      <c r="BA37" s="604"/>
      <c r="BB37" s="721"/>
      <c r="BC37" s="722"/>
      <c r="BD37" s="572"/>
      <c r="BE37" s="710"/>
      <c r="BF37" s="710" t="s">
        <v>409</v>
      </c>
      <c r="BG37" s="710"/>
      <c r="BH37" s="710"/>
      <c r="BI37" s="710"/>
      <c r="BJ37" s="710"/>
      <c r="BK37" s="710"/>
      <c r="BL37" s="710"/>
      <c r="BM37" s="710"/>
      <c r="BN37" s="710"/>
      <c r="BO37" s="710"/>
      <c r="BP37" s="710"/>
      <c r="BQ37" s="710"/>
      <c r="BR37" s="710"/>
      <c r="BS37" s="710"/>
      <c r="BT37" s="710"/>
    </row>
    <row r="38" spans="1:72" ht="15.75">
      <c r="A38" s="545"/>
      <c r="B38" s="545"/>
      <c r="C38" s="545"/>
      <c r="D38" s="545"/>
      <c r="E38" s="545"/>
      <c r="F38" s="545"/>
      <c r="G38" s="545"/>
      <c r="H38" s="545"/>
      <c r="I38" s="545"/>
      <c r="J38" s="545"/>
      <c r="K38" s="545"/>
      <c r="L38" s="545"/>
      <c r="M38" s="545"/>
      <c r="N38" s="545"/>
      <c r="O38" s="545"/>
      <c r="P38" s="545"/>
      <c r="Q38" s="545"/>
      <c r="R38" s="545"/>
      <c r="S38" s="576"/>
      <c r="T38" s="576"/>
      <c r="U38" s="576"/>
      <c r="V38" s="576"/>
      <c r="W38" s="545"/>
      <c r="X38" s="545"/>
      <c r="Y38" s="576"/>
      <c r="Z38" s="576"/>
      <c r="AA38" s="545"/>
      <c r="AB38" s="545"/>
      <c r="AC38" s="545"/>
      <c r="AD38" s="576"/>
      <c r="AE38" s="576"/>
      <c r="AF38" s="576"/>
      <c r="AG38" s="576"/>
      <c r="AH38" s="576"/>
      <c r="AI38" s="576"/>
      <c r="AJ38" s="576"/>
      <c r="AK38" s="576"/>
      <c r="AL38" s="576"/>
      <c r="AM38" s="576"/>
      <c r="AN38" s="576"/>
      <c r="AO38" s="576"/>
      <c r="AP38" s="576"/>
      <c r="AQ38" s="576"/>
      <c r="AR38" s="576"/>
      <c r="AS38" s="576"/>
      <c r="AT38" s="576"/>
      <c r="AU38" s="576"/>
      <c r="AV38" s="576"/>
      <c r="AW38" s="576"/>
      <c r="AX38" s="576"/>
      <c r="AY38" s="576"/>
      <c r="AZ38" s="576"/>
      <c r="BA38" s="604"/>
      <c r="BB38" s="723"/>
      <c r="BC38" s="571"/>
      <c r="BD38" s="572"/>
      <c r="BE38" s="710"/>
      <c r="BF38" s="710" t="s">
        <v>410</v>
      </c>
      <c r="BG38" s="710"/>
      <c r="BH38" s="710"/>
      <c r="BI38" s="710"/>
      <c r="BJ38" s="710"/>
      <c r="BK38" s="710"/>
      <c r="BL38" s="710"/>
      <c r="BM38" s="710"/>
      <c r="BN38" s="710"/>
      <c r="BO38" s="710"/>
      <c r="BP38" s="710"/>
      <c r="BQ38" s="710"/>
      <c r="BR38" s="710"/>
      <c r="BS38" s="710"/>
      <c r="BT38" s="710"/>
    </row>
    <row r="39" spans="1:72" ht="15.75">
      <c r="A39" s="545"/>
      <c r="B39" s="545"/>
      <c r="C39" s="545"/>
      <c r="D39" s="545"/>
      <c r="E39" s="545"/>
      <c r="F39" s="545"/>
      <c r="G39" s="545"/>
      <c r="H39" s="545"/>
      <c r="I39" s="545"/>
      <c r="J39" s="545"/>
      <c r="K39" s="545"/>
      <c r="L39" s="545"/>
      <c r="M39" s="545"/>
      <c r="N39" s="545"/>
      <c r="O39" s="545"/>
      <c r="P39" s="545"/>
      <c r="Q39" s="545"/>
      <c r="R39" s="545"/>
      <c r="S39" s="576"/>
      <c r="T39" s="576"/>
      <c r="U39" s="576"/>
      <c r="V39" s="576"/>
      <c r="W39" s="545"/>
      <c r="X39" s="545"/>
      <c r="Y39" s="576"/>
      <c r="Z39" s="576"/>
      <c r="AA39" s="545"/>
      <c r="AB39" s="545"/>
      <c r="AC39" s="545"/>
      <c r="AD39" s="576"/>
      <c r="AE39" s="576"/>
      <c r="AF39" s="576"/>
      <c r="AG39" s="576"/>
      <c r="AH39" s="576"/>
      <c r="AI39" s="576"/>
      <c r="AJ39" s="576"/>
      <c r="AK39" s="576"/>
      <c r="AL39" s="576"/>
      <c r="AM39" s="576"/>
      <c r="AN39" s="576"/>
      <c r="AO39" s="576"/>
      <c r="AP39" s="576"/>
      <c r="AQ39" s="576"/>
      <c r="AR39" s="576"/>
      <c r="AS39" s="576"/>
      <c r="AT39" s="576"/>
      <c r="AU39" s="576"/>
      <c r="AV39" s="576"/>
      <c r="AW39" s="576"/>
      <c r="AX39" s="576"/>
      <c r="AY39" s="576"/>
      <c r="AZ39" s="576"/>
      <c r="BA39" s="604"/>
      <c r="BB39" s="723"/>
      <c r="BC39" s="571"/>
      <c r="BD39" s="572"/>
      <c r="BE39" s="710"/>
      <c r="BF39" s="710" t="s">
        <v>411</v>
      </c>
      <c r="BG39" s="713"/>
      <c r="BH39" s="710"/>
      <c r="BI39" s="710"/>
      <c r="BJ39" s="710"/>
      <c r="BK39" s="710"/>
      <c r="BL39" s="710"/>
      <c r="BM39" s="710"/>
      <c r="BN39" s="710"/>
      <c r="BO39" s="710"/>
      <c r="BP39" s="710"/>
      <c r="BQ39" s="710"/>
      <c r="BR39" s="710"/>
      <c r="BS39" s="710"/>
      <c r="BT39" s="710"/>
    </row>
    <row r="40" spans="1:72" ht="15.75">
      <c r="A40" s="545"/>
      <c r="B40" s="861" t="s">
        <v>450</v>
      </c>
      <c r="C40" s="861"/>
      <c r="D40" s="861"/>
      <c r="E40" s="861"/>
      <c r="F40" s="861" t="s">
        <v>451</v>
      </c>
      <c r="G40" s="861"/>
      <c r="H40" s="861"/>
      <c r="I40" s="861"/>
      <c r="J40" s="861" t="s">
        <v>452</v>
      </c>
      <c r="K40" s="861"/>
      <c r="L40" s="861"/>
      <c r="M40" s="861"/>
      <c r="N40" s="861" t="s">
        <v>453</v>
      </c>
      <c r="O40" s="861"/>
      <c r="P40" s="861"/>
      <c r="Q40" s="861"/>
      <c r="R40" s="861" t="s">
        <v>454</v>
      </c>
      <c r="S40" s="861"/>
      <c r="T40" s="861"/>
      <c r="U40" s="861"/>
      <c r="V40" s="861" t="s">
        <v>455</v>
      </c>
      <c r="W40" s="861"/>
      <c r="X40" s="861"/>
      <c r="Y40" s="861"/>
      <c r="Z40" s="861" t="s">
        <v>456</v>
      </c>
      <c r="AA40" s="861"/>
      <c r="AB40" s="861"/>
      <c r="AC40" s="861"/>
      <c r="AD40" s="861" t="s">
        <v>457</v>
      </c>
      <c r="AE40" s="861"/>
      <c r="AF40" s="861"/>
      <c r="AG40" s="861"/>
      <c r="AH40" s="861" t="s">
        <v>458</v>
      </c>
      <c r="AI40" s="861"/>
      <c r="AJ40" s="861"/>
      <c r="AK40" s="861"/>
      <c r="AL40" s="854" t="s">
        <v>459</v>
      </c>
      <c r="AM40" s="855"/>
      <c r="AN40" s="855"/>
      <c r="AO40" s="856"/>
      <c r="AP40" s="854" t="s">
        <v>460</v>
      </c>
      <c r="AQ40" s="855"/>
      <c r="AR40" s="855"/>
      <c r="AS40" s="856"/>
      <c r="AT40" s="854" t="s">
        <v>461</v>
      </c>
      <c r="AU40" s="855"/>
      <c r="AV40" s="855"/>
      <c r="AW40" s="856"/>
      <c r="AX40" s="576"/>
      <c r="AY40" s="576"/>
      <c r="AZ40" s="576"/>
      <c r="BA40" s="604"/>
      <c r="BB40" s="723"/>
      <c r="BC40" s="571"/>
      <c r="BD40" s="572"/>
      <c r="BE40" s="710"/>
      <c r="BF40" s="710"/>
      <c r="BG40" s="713" t="s">
        <v>412</v>
      </c>
      <c r="BH40" s="710"/>
      <c r="BI40" s="710"/>
      <c r="BJ40" s="710"/>
      <c r="BK40" s="710"/>
      <c r="BL40" s="710"/>
      <c r="BM40" s="710"/>
      <c r="BN40" s="710"/>
      <c r="BO40" s="710"/>
      <c r="BP40" s="710"/>
      <c r="BQ40" s="710"/>
      <c r="BR40" s="710"/>
      <c r="BS40" s="710"/>
      <c r="BT40" s="710"/>
    </row>
    <row r="41" spans="1:72" ht="15.75">
      <c r="A41" s="545"/>
      <c r="B41" s="861"/>
      <c r="C41" s="861"/>
      <c r="D41" s="861"/>
      <c r="E41" s="861"/>
      <c r="F41" s="861"/>
      <c r="G41" s="861"/>
      <c r="H41" s="861"/>
      <c r="I41" s="861"/>
      <c r="J41" s="861"/>
      <c r="K41" s="861"/>
      <c r="L41" s="861"/>
      <c r="M41" s="861"/>
      <c r="N41" s="861"/>
      <c r="O41" s="861"/>
      <c r="P41" s="861"/>
      <c r="Q41" s="861"/>
      <c r="R41" s="861"/>
      <c r="S41" s="861"/>
      <c r="T41" s="861"/>
      <c r="U41" s="861"/>
      <c r="V41" s="861"/>
      <c r="W41" s="861"/>
      <c r="X41" s="861"/>
      <c r="Y41" s="861"/>
      <c r="Z41" s="861"/>
      <c r="AA41" s="861"/>
      <c r="AB41" s="861"/>
      <c r="AC41" s="861"/>
      <c r="AD41" s="861"/>
      <c r="AE41" s="861"/>
      <c r="AF41" s="861"/>
      <c r="AG41" s="861"/>
      <c r="AH41" s="861"/>
      <c r="AI41" s="861"/>
      <c r="AJ41" s="861"/>
      <c r="AK41" s="861"/>
      <c r="AL41" s="857"/>
      <c r="AM41" s="858"/>
      <c r="AN41" s="858"/>
      <c r="AO41" s="859"/>
      <c r="AP41" s="857"/>
      <c r="AQ41" s="858"/>
      <c r="AR41" s="858"/>
      <c r="AS41" s="859"/>
      <c r="AT41" s="857"/>
      <c r="AU41" s="858"/>
      <c r="AV41" s="858"/>
      <c r="AW41" s="859"/>
      <c r="AX41" s="576"/>
      <c r="AY41" s="576"/>
      <c r="AZ41" s="576"/>
      <c r="BA41" s="604"/>
      <c r="BB41" s="723"/>
      <c r="BC41" s="571"/>
      <c r="BD41" s="572"/>
      <c r="BE41" s="710"/>
      <c r="BF41" s="710" t="s">
        <v>413</v>
      </c>
      <c r="BG41" s="713"/>
      <c r="BH41" s="710"/>
      <c r="BI41" s="710"/>
      <c r="BJ41" s="710"/>
      <c r="BK41" s="710"/>
      <c r="BL41" s="710"/>
      <c r="BM41" s="710"/>
      <c r="BN41" s="710"/>
      <c r="BO41" s="710"/>
      <c r="BP41" s="710"/>
      <c r="BQ41" s="710"/>
      <c r="BR41" s="710"/>
      <c r="BS41" s="710"/>
      <c r="BT41" s="710"/>
    </row>
    <row r="42" spans="1:72" ht="15.75">
      <c r="A42" s="545"/>
      <c r="B42" s="852" t="s">
        <v>462</v>
      </c>
      <c r="C42" s="852"/>
      <c r="D42" s="852"/>
      <c r="E42" s="852"/>
      <c r="F42" s="852" t="s">
        <v>463</v>
      </c>
      <c r="G42" s="852"/>
      <c r="H42" s="852"/>
      <c r="I42" s="852"/>
      <c r="J42" s="852" t="s">
        <v>464</v>
      </c>
      <c r="K42" s="852"/>
      <c r="L42" s="852"/>
      <c r="M42" s="852"/>
      <c r="N42" s="852" t="s">
        <v>465</v>
      </c>
      <c r="O42" s="852"/>
      <c r="P42" s="852"/>
      <c r="Q42" s="852"/>
      <c r="R42" s="860" t="s">
        <v>466</v>
      </c>
      <c r="S42" s="852"/>
      <c r="T42" s="852"/>
      <c r="U42" s="852"/>
      <c r="V42" s="852" t="s">
        <v>467</v>
      </c>
      <c r="W42" s="852"/>
      <c r="X42" s="852"/>
      <c r="Y42" s="852"/>
      <c r="Z42" s="852" t="s">
        <v>468</v>
      </c>
      <c r="AA42" s="852"/>
      <c r="AB42" s="852"/>
      <c r="AC42" s="852"/>
      <c r="AD42" s="852" t="s">
        <v>467</v>
      </c>
      <c r="AE42" s="852"/>
      <c r="AF42" s="852"/>
      <c r="AG42" s="852"/>
      <c r="AH42" s="852" t="s">
        <v>468</v>
      </c>
      <c r="AI42" s="852"/>
      <c r="AJ42" s="852"/>
      <c r="AK42" s="852"/>
      <c r="AL42" s="852" t="s">
        <v>468</v>
      </c>
      <c r="AM42" s="852"/>
      <c r="AN42" s="852"/>
      <c r="AO42" s="852"/>
      <c r="AP42" s="852" t="s">
        <v>467</v>
      </c>
      <c r="AQ42" s="852"/>
      <c r="AR42" s="852"/>
      <c r="AS42" s="852"/>
      <c r="AT42" s="852" t="s">
        <v>468</v>
      </c>
      <c r="AU42" s="852"/>
      <c r="AV42" s="852"/>
      <c r="AW42" s="852"/>
      <c r="AX42" s="576"/>
      <c r="AY42" s="576"/>
      <c r="AZ42" s="576"/>
      <c r="BA42" s="604"/>
      <c r="BB42" s="723"/>
      <c r="BC42" s="571"/>
      <c r="BD42" s="572"/>
      <c r="BE42" s="710"/>
      <c r="BF42" s="710"/>
      <c r="BG42" s="713" t="s">
        <v>414</v>
      </c>
      <c r="BH42" s="710"/>
      <c r="BI42" s="710"/>
      <c r="BJ42" s="710"/>
      <c r="BK42" s="710"/>
      <c r="BL42" s="710"/>
      <c r="BM42" s="710"/>
      <c r="BN42" s="710"/>
      <c r="BO42" s="710"/>
      <c r="BP42" s="710"/>
      <c r="BQ42" s="710"/>
      <c r="BR42" s="710"/>
      <c r="BS42" s="710"/>
      <c r="BT42" s="710"/>
    </row>
    <row r="43" spans="1:72" ht="15.75">
      <c r="A43" s="545"/>
      <c r="B43" s="852"/>
      <c r="C43" s="852"/>
      <c r="D43" s="852"/>
      <c r="E43" s="852"/>
      <c r="F43" s="852"/>
      <c r="G43" s="852"/>
      <c r="H43" s="852"/>
      <c r="I43" s="852"/>
      <c r="J43" s="852"/>
      <c r="K43" s="852"/>
      <c r="L43" s="852"/>
      <c r="M43" s="852"/>
      <c r="N43" s="852"/>
      <c r="O43" s="852"/>
      <c r="P43" s="852"/>
      <c r="Q43" s="852"/>
      <c r="R43" s="852"/>
      <c r="S43" s="852"/>
      <c r="T43" s="852"/>
      <c r="U43" s="852"/>
      <c r="V43" s="852"/>
      <c r="W43" s="852"/>
      <c r="X43" s="852"/>
      <c r="Y43" s="852"/>
      <c r="Z43" s="852"/>
      <c r="AA43" s="852"/>
      <c r="AB43" s="852"/>
      <c r="AC43" s="852"/>
      <c r="AD43" s="852"/>
      <c r="AE43" s="852"/>
      <c r="AF43" s="852"/>
      <c r="AG43" s="852"/>
      <c r="AH43" s="852"/>
      <c r="AI43" s="852"/>
      <c r="AJ43" s="852"/>
      <c r="AK43" s="852"/>
      <c r="AL43" s="852"/>
      <c r="AM43" s="852"/>
      <c r="AN43" s="852"/>
      <c r="AO43" s="852"/>
      <c r="AP43" s="852"/>
      <c r="AQ43" s="852"/>
      <c r="AR43" s="852"/>
      <c r="AS43" s="852"/>
      <c r="AT43" s="852"/>
      <c r="AU43" s="852"/>
      <c r="AV43" s="852"/>
      <c r="AW43" s="852"/>
      <c r="AX43" s="576"/>
      <c r="AY43" s="576"/>
      <c r="AZ43" s="576"/>
      <c r="BA43" s="604"/>
      <c r="BB43" s="723"/>
      <c r="BC43" s="571"/>
      <c r="BD43" s="572"/>
      <c r="BE43" s="710"/>
      <c r="BF43" s="710"/>
      <c r="BG43" s="713" t="s">
        <v>415</v>
      </c>
      <c r="BH43" s="710"/>
      <c r="BI43" s="710"/>
      <c r="BJ43" s="710"/>
      <c r="BK43" s="710"/>
      <c r="BL43" s="710"/>
      <c r="BM43" s="710"/>
      <c r="BN43" s="710"/>
      <c r="BO43" s="710"/>
      <c r="BP43" s="710"/>
      <c r="BQ43" s="710"/>
      <c r="BR43" s="710"/>
      <c r="BS43" s="710"/>
      <c r="BT43" s="710"/>
    </row>
    <row r="44" spans="1:72" ht="15.75">
      <c r="A44" s="545"/>
      <c r="B44" s="852" t="s">
        <v>469</v>
      </c>
      <c r="C44" s="852"/>
      <c r="D44" s="852"/>
      <c r="E44" s="852"/>
      <c r="F44" s="852" t="s">
        <v>470</v>
      </c>
      <c r="G44" s="852"/>
      <c r="H44" s="852"/>
      <c r="I44" s="852"/>
      <c r="J44" s="852" t="s">
        <v>471</v>
      </c>
      <c r="K44" s="852"/>
      <c r="L44" s="852"/>
      <c r="M44" s="852"/>
      <c r="N44" s="852" t="s">
        <v>472</v>
      </c>
      <c r="O44" s="852"/>
      <c r="P44" s="852"/>
      <c r="Q44" s="852"/>
      <c r="R44" s="853" t="s">
        <v>473</v>
      </c>
      <c r="S44" s="852"/>
      <c r="T44" s="852"/>
      <c r="U44" s="852"/>
      <c r="V44" s="852" t="s">
        <v>467</v>
      </c>
      <c r="W44" s="852"/>
      <c r="X44" s="852"/>
      <c r="Y44" s="852"/>
      <c r="Z44" s="852" t="s">
        <v>468</v>
      </c>
      <c r="AA44" s="852"/>
      <c r="AB44" s="852"/>
      <c r="AC44" s="852"/>
      <c r="AD44" s="852" t="s">
        <v>467</v>
      </c>
      <c r="AE44" s="852"/>
      <c r="AF44" s="852"/>
      <c r="AG44" s="852"/>
      <c r="AH44" s="852" t="s">
        <v>468</v>
      </c>
      <c r="AI44" s="852"/>
      <c r="AJ44" s="852"/>
      <c r="AK44" s="852"/>
      <c r="AL44" s="852" t="s">
        <v>468</v>
      </c>
      <c r="AM44" s="852"/>
      <c r="AN44" s="852"/>
      <c r="AO44" s="852"/>
      <c r="AP44" s="852" t="s">
        <v>467</v>
      </c>
      <c r="AQ44" s="852"/>
      <c r="AR44" s="852"/>
      <c r="AS44" s="852"/>
      <c r="AT44" s="852" t="s">
        <v>468</v>
      </c>
      <c r="AU44" s="852"/>
      <c r="AV44" s="852"/>
      <c r="AW44" s="852"/>
      <c r="AX44" s="576"/>
      <c r="AY44" s="576"/>
      <c r="AZ44" s="576"/>
      <c r="BA44" s="604"/>
      <c r="BB44" s="723"/>
      <c r="BC44" s="571"/>
      <c r="BD44" s="572"/>
      <c r="BE44" s="710"/>
      <c r="BF44" s="710"/>
      <c r="BG44" s="713" t="s">
        <v>416</v>
      </c>
      <c r="BH44" s="710"/>
      <c r="BI44" s="710"/>
      <c r="BJ44" s="710"/>
      <c r="BK44" s="710"/>
      <c r="BL44" s="710"/>
      <c r="BM44" s="710"/>
      <c r="BN44" s="710"/>
      <c r="BO44" s="710"/>
      <c r="BP44" s="710"/>
      <c r="BQ44" s="710"/>
      <c r="BR44" s="710"/>
      <c r="BS44" s="710"/>
      <c r="BT44" s="710"/>
    </row>
    <row r="45" spans="1:72" ht="15.75">
      <c r="A45" s="545"/>
      <c r="B45" s="852"/>
      <c r="C45" s="852"/>
      <c r="D45" s="852"/>
      <c r="E45" s="852"/>
      <c r="F45" s="852"/>
      <c r="G45" s="852"/>
      <c r="H45" s="852"/>
      <c r="I45" s="852"/>
      <c r="J45" s="852"/>
      <c r="K45" s="852"/>
      <c r="L45" s="852"/>
      <c r="M45" s="852"/>
      <c r="N45" s="852"/>
      <c r="O45" s="852"/>
      <c r="P45" s="852"/>
      <c r="Q45" s="852"/>
      <c r="R45" s="852"/>
      <c r="S45" s="852"/>
      <c r="T45" s="852"/>
      <c r="U45" s="852"/>
      <c r="V45" s="852"/>
      <c r="W45" s="852"/>
      <c r="X45" s="852"/>
      <c r="Y45" s="852"/>
      <c r="Z45" s="852"/>
      <c r="AA45" s="852"/>
      <c r="AB45" s="852"/>
      <c r="AC45" s="852"/>
      <c r="AD45" s="852"/>
      <c r="AE45" s="852"/>
      <c r="AF45" s="852"/>
      <c r="AG45" s="852"/>
      <c r="AH45" s="852"/>
      <c r="AI45" s="852"/>
      <c r="AJ45" s="852"/>
      <c r="AK45" s="852"/>
      <c r="AL45" s="852"/>
      <c r="AM45" s="852"/>
      <c r="AN45" s="852"/>
      <c r="AO45" s="852"/>
      <c r="AP45" s="852"/>
      <c r="AQ45" s="852"/>
      <c r="AR45" s="852"/>
      <c r="AS45" s="852"/>
      <c r="AT45" s="852"/>
      <c r="AU45" s="852"/>
      <c r="AV45" s="852"/>
      <c r="AW45" s="852"/>
      <c r="AX45" s="576"/>
      <c r="AY45" s="576"/>
      <c r="AZ45" s="576"/>
      <c r="BA45" s="604"/>
      <c r="BB45" s="723"/>
      <c r="BC45" s="571"/>
      <c r="BD45" s="572"/>
      <c r="BE45" s="710"/>
      <c r="BF45" s="710"/>
      <c r="BG45" s="710"/>
      <c r="BH45" s="710"/>
      <c r="BJ45" s="710"/>
      <c r="BK45" s="710"/>
      <c r="BL45" s="710"/>
      <c r="BM45" s="710"/>
      <c r="BN45" s="710"/>
      <c r="BO45" s="710"/>
      <c r="BP45" s="710"/>
      <c r="BQ45" s="710"/>
      <c r="BR45" s="710"/>
      <c r="BS45" s="710"/>
      <c r="BT45" s="710"/>
    </row>
    <row r="46" spans="1:72" ht="15.75">
      <c r="A46" s="545"/>
      <c r="B46" s="852" t="s">
        <v>474</v>
      </c>
      <c r="C46" s="852"/>
      <c r="D46" s="852"/>
      <c r="E46" s="852"/>
      <c r="F46" s="852" t="s">
        <v>475</v>
      </c>
      <c r="G46" s="852"/>
      <c r="H46" s="852"/>
      <c r="I46" s="852"/>
      <c r="J46" s="852" t="s">
        <v>476</v>
      </c>
      <c r="K46" s="852"/>
      <c r="L46" s="852"/>
      <c r="M46" s="852"/>
      <c r="N46" s="852" t="s">
        <v>477</v>
      </c>
      <c r="O46" s="852"/>
      <c r="P46" s="852"/>
      <c r="Q46" s="852"/>
      <c r="R46" s="853" t="s">
        <v>468</v>
      </c>
      <c r="S46" s="852"/>
      <c r="T46" s="852"/>
      <c r="U46" s="852"/>
      <c r="V46" s="852" t="s">
        <v>467</v>
      </c>
      <c r="W46" s="852"/>
      <c r="X46" s="852"/>
      <c r="Y46" s="852"/>
      <c r="Z46" s="852" t="s">
        <v>468</v>
      </c>
      <c r="AA46" s="852"/>
      <c r="AB46" s="852"/>
      <c r="AC46" s="852"/>
      <c r="AD46" s="852" t="s">
        <v>467</v>
      </c>
      <c r="AE46" s="852"/>
      <c r="AF46" s="852"/>
      <c r="AG46" s="852"/>
      <c r="AH46" s="852" t="s">
        <v>468</v>
      </c>
      <c r="AI46" s="852"/>
      <c r="AJ46" s="852"/>
      <c r="AK46" s="852"/>
      <c r="AL46" s="852" t="s">
        <v>468</v>
      </c>
      <c r="AM46" s="852"/>
      <c r="AN46" s="852"/>
      <c r="AO46" s="852"/>
      <c r="AP46" s="852" t="s">
        <v>467</v>
      </c>
      <c r="AQ46" s="852"/>
      <c r="AR46" s="852"/>
      <c r="AS46" s="852"/>
      <c r="AT46" s="852" t="s">
        <v>468</v>
      </c>
      <c r="AU46" s="852"/>
      <c r="AV46" s="852"/>
      <c r="AW46" s="852"/>
      <c r="AX46" s="576"/>
      <c r="AY46" s="576"/>
      <c r="AZ46" s="576"/>
      <c r="BA46" s="604"/>
      <c r="BB46" s="723"/>
      <c r="BC46" s="571"/>
      <c r="BD46" s="572"/>
      <c r="BE46" s="710"/>
      <c r="BF46" s="710" t="s">
        <v>417</v>
      </c>
      <c r="BG46" s="710"/>
      <c r="BH46" s="710"/>
      <c r="BI46" s="710"/>
      <c r="BJ46" s="710"/>
      <c r="BK46" s="710"/>
      <c r="BL46" s="710"/>
      <c r="BM46" s="710"/>
      <c r="BN46" s="710"/>
      <c r="BO46" s="710"/>
      <c r="BP46" s="710"/>
      <c r="BQ46" s="710"/>
      <c r="BR46" s="710"/>
      <c r="BS46" s="710"/>
      <c r="BT46" s="710"/>
    </row>
    <row r="47" spans="1:72" ht="15.75">
      <c r="A47" s="545"/>
      <c r="B47" s="852"/>
      <c r="C47" s="852"/>
      <c r="D47" s="852"/>
      <c r="E47" s="852"/>
      <c r="F47" s="852"/>
      <c r="G47" s="852"/>
      <c r="H47" s="852"/>
      <c r="I47" s="852"/>
      <c r="J47" s="852"/>
      <c r="K47" s="852"/>
      <c r="L47" s="852"/>
      <c r="M47" s="852"/>
      <c r="N47" s="852"/>
      <c r="O47" s="852"/>
      <c r="P47" s="852"/>
      <c r="Q47" s="852"/>
      <c r="R47" s="852"/>
      <c r="S47" s="852"/>
      <c r="T47" s="852"/>
      <c r="U47" s="852"/>
      <c r="V47" s="852"/>
      <c r="W47" s="852"/>
      <c r="X47" s="852"/>
      <c r="Y47" s="852"/>
      <c r="Z47" s="852"/>
      <c r="AA47" s="852"/>
      <c r="AB47" s="852"/>
      <c r="AC47" s="852"/>
      <c r="AD47" s="852"/>
      <c r="AE47" s="852"/>
      <c r="AF47" s="852"/>
      <c r="AG47" s="852"/>
      <c r="AH47" s="852"/>
      <c r="AI47" s="852"/>
      <c r="AJ47" s="852"/>
      <c r="AK47" s="852"/>
      <c r="AL47" s="852"/>
      <c r="AM47" s="852"/>
      <c r="AN47" s="852"/>
      <c r="AO47" s="852"/>
      <c r="AP47" s="852"/>
      <c r="AQ47" s="852"/>
      <c r="AR47" s="852"/>
      <c r="AS47" s="852"/>
      <c r="AT47" s="852"/>
      <c r="AU47" s="852"/>
      <c r="AV47" s="852"/>
      <c r="AW47" s="852"/>
      <c r="AX47" s="576"/>
      <c r="AY47" s="576"/>
      <c r="AZ47" s="576"/>
      <c r="BA47" s="604"/>
      <c r="BB47" s="723"/>
      <c r="BC47" s="571"/>
      <c r="BD47" s="572"/>
      <c r="BE47" s="710"/>
      <c r="BF47" s="710"/>
      <c r="BG47" s="710" t="s">
        <v>418</v>
      </c>
      <c r="BH47" s="710"/>
      <c r="BI47" s="710"/>
      <c r="BJ47" s="710"/>
      <c r="BK47" s="710"/>
      <c r="BL47" s="710"/>
      <c r="BM47" s="710"/>
      <c r="BN47" s="710"/>
      <c r="BO47" s="710"/>
      <c r="BP47" s="710"/>
      <c r="BQ47" s="710"/>
      <c r="BR47" s="710"/>
      <c r="BS47" s="710"/>
      <c r="BT47" s="710"/>
    </row>
    <row r="48" spans="1:72" ht="15.75">
      <c r="A48" s="545"/>
      <c r="B48" s="852" t="s">
        <v>478</v>
      </c>
      <c r="C48" s="852"/>
      <c r="D48" s="852"/>
      <c r="E48" s="852"/>
      <c r="F48" s="852" t="s">
        <v>479</v>
      </c>
      <c r="G48" s="852"/>
      <c r="H48" s="852"/>
      <c r="I48" s="852"/>
      <c r="J48" s="852" t="s">
        <v>480</v>
      </c>
      <c r="K48" s="852"/>
      <c r="L48" s="852"/>
      <c r="M48" s="852"/>
      <c r="N48" s="852" t="s">
        <v>481</v>
      </c>
      <c r="O48" s="852"/>
      <c r="P48" s="852"/>
      <c r="Q48" s="852"/>
      <c r="R48" s="853" t="s">
        <v>468</v>
      </c>
      <c r="S48" s="852"/>
      <c r="T48" s="852"/>
      <c r="U48" s="852"/>
      <c r="V48" s="852" t="s">
        <v>467</v>
      </c>
      <c r="W48" s="852"/>
      <c r="X48" s="852"/>
      <c r="Y48" s="852"/>
      <c r="Z48" s="852" t="s">
        <v>468</v>
      </c>
      <c r="AA48" s="852"/>
      <c r="AB48" s="852"/>
      <c r="AC48" s="852"/>
      <c r="AD48" s="852" t="s">
        <v>467</v>
      </c>
      <c r="AE48" s="852"/>
      <c r="AF48" s="852"/>
      <c r="AG48" s="852"/>
      <c r="AH48" s="852" t="s">
        <v>468</v>
      </c>
      <c r="AI48" s="852"/>
      <c r="AJ48" s="852"/>
      <c r="AK48" s="852"/>
      <c r="AL48" s="852" t="s">
        <v>468</v>
      </c>
      <c r="AM48" s="852"/>
      <c r="AN48" s="852"/>
      <c r="AO48" s="852"/>
      <c r="AP48" s="852" t="s">
        <v>467</v>
      </c>
      <c r="AQ48" s="852"/>
      <c r="AR48" s="852"/>
      <c r="AS48" s="852"/>
      <c r="AT48" s="852" t="s">
        <v>468</v>
      </c>
      <c r="AU48" s="852"/>
      <c r="AV48" s="852"/>
      <c r="AW48" s="852"/>
      <c r="AX48" s="576"/>
      <c r="AY48" s="576"/>
      <c r="AZ48" s="576"/>
      <c r="BA48" s="604"/>
      <c r="BB48" s="723"/>
      <c r="BC48" s="571"/>
      <c r="BD48" s="572"/>
      <c r="BE48" s="710"/>
      <c r="BF48" s="710"/>
      <c r="BG48" s="710" t="s">
        <v>419</v>
      </c>
      <c r="BH48" s="710"/>
      <c r="BI48" s="710"/>
      <c r="BJ48" s="710"/>
      <c r="BK48" s="710"/>
      <c r="BL48" s="710"/>
      <c r="BM48" s="710"/>
      <c r="BN48" s="710"/>
      <c r="BO48" s="710"/>
      <c r="BP48" s="710"/>
      <c r="BQ48" s="710"/>
      <c r="BR48" s="710"/>
      <c r="BS48" s="710"/>
      <c r="BT48" s="710"/>
    </row>
    <row r="49" spans="1:72" ht="15.75">
      <c r="A49" s="545"/>
      <c r="B49" s="852"/>
      <c r="C49" s="852"/>
      <c r="D49" s="852"/>
      <c r="E49" s="852"/>
      <c r="F49" s="852"/>
      <c r="G49" s="852"/>
      <c r="H49" s="852"/>
      <c r="I49" s="852"/>
      <c r="J49" s="852"/>
      <c r="K49" s="852"/>
      <c r="L49" s="852"/>
      <c r="M49" s="852"/>
      <c r="N49" s="852"/>
      <c r="O49" s="852"/>
      <c r="P49" s="852"/>
      <c r="Q49" s="852"/>
      <c r="R49" s="852"/>
      <c r="S49" s="852"/>
      <c r="T49" s="852"/>
      <c r="U49" s="852"/>
      <c r="V49" s="852"/>
      <c r="W49" s="852"/>
      <c r="X49" s="852"/>
      <c r="Y49" s="852"/>
      <c r="Z49" s="852"/>
      <c r="AA49" s="852"/>
      <c r="AB49" s="852"/>
      <c r="AC49" s="852"/>
      <c r="AD49" s="852"/>
      <c r="AE49" s="852"/>
      <c r="AF49" s="852"/>
      <c r="AG49" s="852"/>
      <c r="AH49" s="852"/>
      <c r="AI49" s="852"/>
      <c r="AJ49" s="852"/>
      <c r="AK49" s="852"/>
      <c r="AL49" s="852"/>
      <c r="AM49" s="852"/>
      <c r="AN49" s="852"/>
      <c r="AO49" s="852"/>
      <c r="AP49" s="852"/>
      <c r="AQ49" s="852"/>
      <c r="AR49" s="852"/>
      <c r="AS49" s="852"/>
      <c r="AT49" s="852"/>
      <c r="AU49" s="852"/>
      <c r="AV49" s="852"/>
      <c r="AW49" s="852"/>
      <c r="AX49" s="576"/>
      <c r="AY49" s="576"/>
      <c r="AZ49" s="576"/>
      <c r="BA49" s="604"/>
      <c r="BB49" s="723"/>
      <c r="BC49" s="571"/>
      <c r="BD49" s="572"/>
      <c r="BE49" s="710"/>
      <c r="BF49" s="710"/>
      <c r="BG49" s="710" t="s">
        <v>420</v>
      </c>
      <c r="BH49" s="710"/>
      <c r="BI49" s="710"/>
      <c r="BJ49" s="710"/>
      <c r="BK49" s="710"/>
      <c r="BL49" s="710"/>
      <c r="BM49" s="710"/>
      <c r="BN49" s="710"/>
      <c r="BO49" s="710"/>
      <c r="BP49" s="710"/>
      <c r="BQ49" s="710"/>
      <c r="BR49" s="710"/>
      <c r="BS49" s="710"/>
      <c r="BT49" s="710"/>
    </row>
    <row r="50" spans="1:72" ht="15.75">
      <c r="A50" s="545"/>
      <c r="B50" s="708"/>
      <c r="C50" s="708"/>
      <c r="D50" s="708"/>
      <c r="E50" s="708"/>
      <c r="F50" s="714"/>
      <c r="G50" s="714"/>
      <c r="H50" s="714"/>
      <c r="I50" s="714"/>
      <c r="J50" s="714"/>
      <c r="K50" s="714"/>
      <c r="L50" s="714"/>
      <c r="M50" s="714"/>
      <c r="N50" s="714"/>
      <c r="O50" s="714"/>
      <c r="P50" s="714"/>
      <c r="Q50" s="714"/>
      <c r="R50" s="714"/>
      <c r="S50" s="714"/>
      <c r="T50" s="714"/>
      <c r="U50" s="714"/>
      <c r="V50" s="714"/>
      <c r="W50" s="714"/>
      <c r="X50" s="714"/>
      <c r="Y50" s="714"/>
      <c r="Z50" s="714"/>
      <c r="AA50" s="714"/>
      <c r="AB50" s="714"/>
      <c r="AC50" s="714"/>
      <c r="AD50" s="714"/>
      <c r="AE50" s="714"/>
      <c r="AF50" s="714"/>
      <c r="AG50" s="714"/>
      <c r="AH50" s="714"/>
      <c r="AI50" s="714"/>
      <c r="AJ50" s="714"/>
      <c r="AK50" s="714"/>
      <c r="AL50" s="714"/>
      <c r="AM50" s="714"/>
      <c r="AN50" s="714"/>
      <c r="AO50" s="714"/>
      <c r="AP50" s="714"/>
      <c r="AQ50" s="714"/>
      <c r="AR50" s="714"/>
      <c r="AS50" s="714"/>
      <c r="AT50" s="714"/>
      <c r="AU50" s="714"/>
      <c r="AV50" s="714"/>
      <c r="AW50" s="714"/>
      <c r="AX50" s="576"/>
      <c r="AY50" s="576"/>
      <c r="AZ50" s="576"/>
      <c r="BA50" s="604"/>
      <c r="BB50" s="723"/>
      <c r="BC50" s="571"/>
      <c r="BD50" s="572"/>
      <c r="BE50" s="710"/>
      <c r="BF50" s="710"/>
      <c r="BG50" s="710" t="s">
        <v>421</v>
      </c>
      <c r="BH50" s="710"/>
      <c r="BI50" s="710"/>
      <c r="BJ50" s="710"/>
      <c r="BK50" s="710"/>
      <c r="BL50" s="710"/>
      <c r="BM50" s="710"/>
      <c r="BN50" s="710"/>
      <c r="BO50" s="710"/>
      <c r="BP50" s="710"/>
      <c r="BQ50" s="710"/>
      <c r="BR50" s="710"/>
      <c r="BS50" s="710"/>
      <c r="BT50" s="710"/>
    </row>
    <row r="51" spans="1:72" ht="15.75">
      <c r="A51" s="545"/>
      <c r="B51" s="708" t="s">
        <v>482</v>
      </c>
      <c r="C51" s="708"/>
      <c r="D51" s="708"/>
      <c r="E51" s="708"/>
      <c r="F51" s="714"/>
      <c r="G51" s="714"/>
      <c r="H51" s="714"/>
      <c r="I51" s="714"/>
      <c r="J51" s="714"/>
      <c r="K51" s="714"/>
      <c r="L51" s="714"/>
      <c r="M51" s="601"/>
      <c r="N51" s="714"/>
      <c r="O51" s="714"/>
      <c r="P51" s="714"/>
      <c r="Q51" s="714"/>
      <c r="R51" s="714"/>
      <c r="S51" s="714"/>
      <c r="T51" s="714"/>
      <c r="U51" s="714"/>
      <c r="V51" s="714"/>
      <c r="W51" s="714"/>
      <c r="X51" s="714"/>
      <c r="Y51" s="714"/>
      <c r="Z51" s="714"/>
      <c r="AA51" s="714"/>
      <c r="AB51" s="714"/>
      <c r="AC51" s="714"/>
      <c r="AD51" s="714"/>
      <c r="AE51" s="714"/>
      <c r="AF51" s="714"/>
      <c r="AG51" s="714"/>
      <c r="AH51" s="714"/>
      <c r="AI51" s="714"/>
      <c r="AJ51" s="714"/>
      <c r="AK51" s="714"/>
      <c r="AL51" s="714"/>
      <c r="AM51" s="714"/>
      <c r="AN51" s="714"/>
      <c r="AO51" s="714"/>
      <c r="AP51" s="714"/>
      <c r="AQ51" s="714"/>
      <c r="AR51" s="714"/>
      <c r="AS51" s="714"/>
      <c r="AT51" s="714"/>
      <c r="AU51" s="714"/>
      <c r="AV51" s="714"/>
      <c r="AW51" s="714"/>
      <c r="AX51" s="576"/>
      <c r="AY51" s="576"/>
      <c r="AZ51" s="576"/>
      <c r="BA51" s="604"/>
      <c r="BB51" s="723"/>
      <c r="BC51" s="571"/>
      <c r="BD51" s="572"/>
      <c r="BE51" s="710"/>
      <c r="BF51" s="710" t="s">
        <v>422</v>
      </c>
      <c r="BG51" s="710"/>
      <c r="BH51" s="710"/>
      <c r="BI51" s="710"/>
      <c r="BJ51" s="710"/>
      <c r="BK51" s="710"/>
      <c r="BL51" s="710"/>
      <c r="BM51" s="710"/>
      <c r="BN51" s="710"/>
      <c r="BO51" s="710"/>
      <c r="BP51" s="710"/>
      <c r="BQ51" s="710"/>
      <c r="BR51" s="710"/>
      <c r="BS51" s="710"/>
      <c r="BT51" s="710"/>
    </row>
    <row r="52" spans="1:72" ht="15.75">
      <c r="A52" s="545"/>
      <c r="B52" s="708" t="s">
        <v>483</v>
      </c>
      <c r="C52" s="708"/>
      <c r="D52" s="708"/>
      <c r="E52" s="708"/>
      <c r="F52" s="714"/>
      <c r="G52" s="714"/>
      <c r="H52" s="714"/>
      <c r="I52" s="714"/>
      <c r="J52" s="714"/>
      <c r="K52" s="714"/>
      <c r="L52" s="714"/>
      <c r="M52" s="714"/>
      <c r="N52" s="714"/>
      <c r="O52" s="601"/>
      <c r="P52" s="601"/>
      <c r="Q52" s="601"/>
      <c r="R52" s="601"/>
      <c r="S52" s="601"/>
      <c r="T52" s="601"/>
      <c r="U52" s="601"/>
      <c r="V52" s="601"/>
      <c r="W52" s="601"/>
      <c r="X52" s="601"/>
      <c r="Y52" s="601"/>
      <c r="Z52" s="601"/>
      <c r="AA52" s="601"/>
      <c r="AB52" s="601"/>
      <c r="AC52" s="601"/>
      <c r="AD52" s="601"/>
      <c r="AE52" s="601"/>
      <c r="AF52" s="601"/>
      <c r="AG52" s="601"/>
      <c r="AH52" s="601"/>
      <c r="AI52" s="601"/>
      <c r="AJ52" s="601"/>
      <c r="AK52" s="601"/>
      <c r="AL52" s="601"/>
      <c r="AM52" s="601"/>
      <c r="AN52" s="601"/>
      <c r="AO52" s="601"/>
      <c r="AP52" s="601"/>
      <c r="AQ52" s="714"/>
      <c r="AR52" s="714"/>
      <c r="AS52" s="714"/>
      <c r="AT52" s="714"/>
      <c r="AU52" s="714"/>
      <c r="AV52" s="714"/>
      <c r="AW52" s="714"/>
      <c r="AX52" s="576"/>
      <c r="AY52" s="576"/>
      <c r="AZ52" s="576"/>
      <c r="BA52" s="604"/>
      <c r="BB52" s="723"/>
      <c r="BC52" s="571"/>
      <c r="BD52" s="572"/>
      <c r="BE52" s="710"/>
      <c r="BF52" s="710"/>
      <c r="BG52" s="710" t="s">
        <v>423</v>
      </c>
      <c r="BH52" s="710"/>
      <c r="BI52" s="710"/>
      <c r="BJ52" s="710"/>
      <c r="BK52" s="710"/>
      <c r="BL52" s="710"/>
      <c r="BM52" s="710"/>
      <c r="BN52" s="710"/>
      <c r="BO52" s="710"/>
      <c r="BP52" s="710"/>
      <c r="BQ52" s="710"/>
      <c r="BR52" s="710"/>
      <c r="BS52" s="710"/>
      <c r="BT52" s="710"/>
    </row>
    <row r="53" spans="1:72" ht="15.75">
      <c r="A53" s="545"/>
      <c r="B53" s="708" t="s">
        <v>484</v>
      </c>
      <c r="C53" s="708"/>
      <c r="D53" s="708"/>
      <c r="E53" s="708"/>
      <c r="F53" s="714"/>
      <c r="G53" s="714"/>
      <c r="H53" s="714"/>
      <c r="I53" s="714"/>
      <c r="J53" s="714"/>
      <c r="K53" s="714"/>
      <c r="L53" s="714"/>
      <c r="M53" s="714"/>
      <c r="N53" s="714"/>
      <c r="O53" s="601"/>
      <c r="P53" s="601"/>
      <c r="Q53" s="601"/>
      <c r="R53" s="601"/>
      <c r="S53" s="601"/>
      <c r="T53" s="601"/>
      <c r="U53" s="601"/>
      <c r="V53" s="601"/>
      <c r="W53" s="601"/>
      <c r="X53" s="601"/>
      <c r="Y53" s="601"/>
      <c r="Z53" s="601"/>
      <c r="AA53" s="601"/>
      <c r="AB53" s="601"/>
      <c r="AC53" s="601"/>
      <c r="AD53" s="601"/>
      <c r="AE53" s="601"/>
      <c r="AF53" s="601"/>
      <c r="AG53" s="601"/>
      <c r="AH53" s="601"/>
      <c r="AI53" s="601"/>
      <c r="AJ53" s="601"/>
      <c r="AK53" s="601"/>
      <c r="AL53" s="601"/>
      <c r="AM53" s="601"/>
      <c r="AN53" s="601"/>
      <c r="AO53" s="601"/>
      <c r="AP53" s="601"/>
      <c r="AQ53" s="714"/>
      <c r="AR53" s="714"/>
      <c r="AS53" s="714"/>
      <c r="AT53" s="714"/>
      <c r="AU53" s="714"/>
      <c r="AV53" s="714"/>
      <c r="AW53" s="714"/>
      <c r="AX53" s="576"/>
      <c r="AY53" s="576"/>
      <c r="AZ53" s="576"/>
      <c r="BA53" s="604"/>
      <c r="BB53" s="723"/>
      <c r="BC53" s="571"/>
      <c r="BD53" s="572"/>
      <c r="BE53" s="710"/>
      <c r="BF53" s="710"/>
      <c r="BG53" s="710" t="s">
        <v>424</v>
      </c>
      <c r="BH53" s="710"/>
      <c r="BI53" s="710"/>
      <c r="BJ53" s="710"/>
      <c r="BK53" s="710"/>
      <c r="BL53" s="710"/>
      <c r="BM53" s="710"/>
      <c r="BN53" s="710"/>
      <c r="BO53" s="710"/>
      <c r="BP53" s="710"/>
      <c r="BQ53" s="710"/>
      <c r="BR53" s="710"/>
      <c r="BS53" s="710"/>
      <c r="BT53" s="710"/>
    </row>
    <row r="54" spans="1:72" s="709" customFormat="1" ht="15.75">
      <c r="A54" s="556"/>
      <c r="B54" s="718"/>
      <c r="C54" s="719"/>
      <c r="D54" s="719"/>
      <c r="E54" s="719"/>
      <c r="F54" s="719"/>
      <c r="G54" s="719"/>
      <c r="H54" s="719"/>
      <c r="I54" s="719"/>
      <c r="J54" s="719"/>
      <c r="K54" s="719"/>
      <c r="L54" s="719"/>
      <c r="M54" s="719"/>
      <c r="N54" s="719"/>
      <c r="O54" s="719"/>
      <c r="P54" s="719"/>
      <c r="Q54" s="719"/>
      <c r="R54" s="719"/>
      <c r="S54" s="720"/>
      <c r="T54" s="720"/>
      <c r="U54" s="720"/>
      <c r="V54" s="720"/>
      <c r="W54" s="719"/>
      <c r="X54" s="719"/>
      <c r="Y54" s="720"/>
      <c r="Z54" s="720"/>
      <c r="AA54" s="719"/>
      <c r="AB54" s="719"/>
      <c r="AC54" s="719"/>
      <c r="AD54" s="720"/>
      <c r="AE54" s="720"/>
      <c r="AF54" s="720"/>
      <c r="AG54" s="720"/>
      <c r="AH54" s="720"/>
      <c r="AI54" s="720"/>
      <c r="AJ54" s="720"/>
      <c r="AK54" s="720"/>
      <c r="AL54" s="720"/>
      <c r="AM54" s="720"/>
      <c r="AN54" s="720"/>
      <c r="AO54" s="720"/>
      <c r="AP54" s="720"/>
      <c r="AQ54" s="720"/>
      <c r="AR54" s="720"/>
      <c r="AS54" s="720"/>
      <c r="AT54" s="720"/>
      <c r="AU54" s="720"/>
      <c r="AV54" s="720"/>
      <c r="AW54" s="720"/>
      <c r="AX54" s="720"/>
      <c r="AY54" s="718"/>
      <c r="AZ54" s="718"/>
      <c r="BA54" s="604"/>
      <c r="BB54" s="721"/>
      <c r="BC54" s="722"/>
      <c r="BD54" s="572"/>
      <c r="BE54" s="710"/>
      <c r="BF54" s="710"/>
      <c r="BG54" s="710"/>
      <c r="BH54" s="710"/>
      <c r="BI54" s="710" t="s">
        <v>425</v>
      </c>
      <c r="BJ54" s="710"/>
      <c r="BK54" s="710"/>
      <c r="BL54" s="710"/>
      <c r="BM54" s="710"/>
      <c r="BN54" s="710"/>
      <c r="BO54" s="710"/>
      <c r="BP54" s="710"/>
      <c r="BQ54" s="710"/>
      <c r="BR54" s="710"/>
      <c r="BS54" s="710"/>
      <c r="BT54" s="710"/>
    </row>
    <row r="55" spans="1:72" s="709" customFormat="1" ht="15" customHeight="1">
      <c r="A55" s="545"/>
      <c r="B55" s="598"/>
      <c r="C55" s="601"/>
      <c r="D55" s="601"/>
      <c r="E55" s="601"/>
      <c r="F55" s="601"/>
      <c r="G55" s="601"/>
      <c r="H55" s="601"/>
      <c r="I55" s="601"/>
      <c r="J55" s="601"/>
      <c r="K55" s="601"/>
      <c r="L55" s="601"/>
      <c r="M55" s="601"/>
      <c r="N55" s="601"/>
      <c r="O55" s="601"/>
      <c r="P55" s="601"/>
      <c r="Q55" s="601"/>
      <c r="R55" s="601"/>
      <c r="S55" s="724"/>
      <c r="T55" s="724"/>
      <c r="U55" s="724"/>
      <c r="V55" s="724"/>
      <c r="W55" s="601"/>
      <c r="X55" s="601"/>
      <c r="Y55" s="724"/>
      <c r="Z55" s="724"/>
      <c r="AA55" s="601"/>
      <c r="AB55" s="601"/>
      <c r="AC55" s="601"/>
      <c r="AD55" s="724"/>
      <c r="AE55" s="724"/>
      <c r="AF55" s="724"/>
      <c r="AG55" s="724"/>
      <c r="AH55" s="724"/>
      <c r="AI55" s="724"/>
      <c r="AJ55" s="724"/>
      <c r="AK55" s="724"/>
      <c r="AL55" s="724"/>
      <c r="AM55" s="724"/>
      <c r="AN55" s="724"/>
      <c r="AO55" s="724"/>
      <c r="AP55" s="724"/>
      <c r="AQ55" s="724"/>
      <c r="AR55" s="724"/>
      <c r="AS55" s="724"/>
      <c r="AT55" s="724"/>
      <c r="AU55" s="724"/>
      <c r="AV55" s="724"/>
      <c r="AW55" s="724"/>
      <c r="AX55" s="724"/>
      <c r="AY55" s="598"/>
      <c r="AZ55" s="576"/>
      <c r="BA55" s="604"/>
      <c r="BB55" s="723"/>
      <c r="BC55" s="571"/>
      <c r="BD55" s="572"/>
      <c r="BE55" s="710"/>
      <c r="BF55" s="710"/>
      <c r="BG55" s="710"/>
      <c r="BH55" s="710"/>
      <c r="BI55" s="710"/>
      <c r="BJ55" s="710"/>
      <c r="BK55" s="710"/>
      <c r="BL55" s="710"/>
      <c r="BM55" s="710"/>
      <c r="BN55" s="710"/>
      <c r="BO55" s="710"/>
      <c r="BP55" s="710"/>
      <c r="BQ55" s="710"/>
      <c r="BR55" s="710"/>
      <c r="BS55" s="710"/>
      <c r="BT55" s="710"/>
    </row>
    <row r="56" spans="1:72" s="709" customFormat="1" ht="15.75">
      <c r="A56" s="545"/>
      <c r="B56" s="598"/>
      <c r="C56" s="601"/>
      <c r="D56" s="601"/>
      <c r="E56" s="601"/>
      <c r="F56" s="601"/>
      <c r="G56" s="601"/>
      <c r="H56" s="601"/>
      <c r="I56" s="601"/>
      <c r="J56" s="601"/>
      <c r="K56" s="601"/>
      <c r="L56" s="601"/>
      <c r="M56" s="601"/>
      <c r="N56" s="601"/>
      <c r="O56" s="601"/>
      <c r="P56" s="601"/>
      <c r="Q56" s="601"/>
      <c r="R56" s="601"/>
      <c r="S56" s="724"/>
      <c r="T56" s="724"/>
      <c r="U56" s="724"/>
      <c r="V56" s="724"/>
      <c r="W56" s="601"/>
      <c r="X56" s="601"/>
      <c r="Y56" s="724"/>
      <c r="Z56" s="724"/>
      <c r="AA56" s="601"/>
      <c r="AB56" s="601"/>
      <c r="AC56" s="601"/>
      <c r="AD56" s="724"/>
      <c r="AE56" s="724"/>
      <c r="AF56" s="724"/>
      <c r="AG56" s="724"/>
      <c r="AH56" s="724"/>
      <c r="AI56" s="724"/>
      <c r="AJ56" s="724"/>
      <c r="AK56" s="724"/>
      <c r="AL56" s="724"/>
      <c r="AM56" s="724"/>
      <c r="AN56" s="724"/>
      <c r="AO56" s="724"/>
      <c r="AP56" s="724"/>
      <c r="AQ56" s="724"/>
      <c r="AR56" s="724"/>
      <c r="AS56" s="724"/>
      <c r="AT56" s="724"/>
      <c r="AU56" s="724"/>
      <c r="AV56" s="724"/>
      <c r="AW56" s="724"/>
      <c r="AX56" s="724"/>
      <c r="AY56" s="598"/>
      <c r="AZ56" s="576"/>
      <c r="BA56" s="604"/>
      <c r="BB56" s="723"/>
      <c r="BC56" s="571"/>
      <c r="BD56" s="572"/>
      <c r="BE56" s="710"/>
      <c r="BF56" s="710"/>
      <c r="BG56" s="710"/>
      <c r="BH56" s="710"/>
      <c r="BI56" s="710"/>
      <c r="BJ56" s="710"/>
      <c r="BK56" s="710"/>
      <c r="BL56" s="710"/>
      <c r="BM56" s="710"/>
      <c r="BN56" s="710"/>
      <c r="BO56" s="710"/>
      <c r="BP56" s="710"/>
      <c r="BQ56" s="710"/>
      <c r="BR56" s="710"/>
      <c r="BS56" s="710"/>
      <c r="BT56" s="710"/>
    </row>
    <row r="57" spans="1:72" s="709" customFormat="1" ht="15" customHeight="1">
      <c r="A57" s="545"/>
      <c r="B57" s="598"/>
      <c r="C57" s="601"/>
      <c r="D57" s="601"/>
      <c r="E57" s="601"/>
      <c r="F57" s="601"/>
      <c r="G57" s="601"/>
      <c r="H57" s="601"/>
      <c r="I57" s="601"/>
      <c r="J57" s="601"/>
      <c r="K57" s="601"/>
      <c r="L57" s="601"/>
      <c r="M57" s="601"/>
      <c r="N57" s="601"/>
      <c r="O57" s="601"/>
      <c r="P57" s="601"/>
      <c r="Q57" s="601"/>
      <c r="R57" s="601"/>
      <c r="S57" s="724"/>
      <c r="T57" s="724"/>
      <c r="U57" s="724"/>
      <c r="V57" s="724"/>
      <c r="W57" s="601"/>
      <c r="X57" s="601"/>
      <c r="Y57" s="724"/>
      <c r="Z57" s="724"/>
      <c r="AA57" s="601"/>
      <c r="AB57" s="601"/>
      <c r="AC57" s="601"/>
      <c r="AD57" s="724"/>
      <c r="AE57" s="724"/>
      <c r="AF57" s="724"/>
      <c r="AG57" s="724"/>
      <c r="AH57" s="724"/>
      <c r="AI57" s="724"/>
      <c r="AJ57" s="724"/>
      <c r="AK57" s="724"/>
      <c r="AL57" s="724"/>
      <c r="AM57" s="724"/>
      <c r="AN57" s="724"/>
      <c r="AO57" s="724"/>
      <c r="AP57" s="724"/>
      <c r="AQ57" s="724"/>
      <c r="AR57" s="724"/>
      <c r="AS57" s="724"/>
      <c r="AT57" s="724"/>
      <c r="AU57" s="724"/>
      <c r="AV57" s="724"/>
      <c r="AW57" s="724"/>
      <c r="AX57" s="724"/>
      <c r="AY57" s="598"/>
      <c r="AZ57" s="576"/>
      <c r="BA57" s="604"/>
      <c r="BB57" s="723"/>
      <c r="BC57" s="571"/>
      <c r="BD57" s="572"/>
      <c r="BE57" s="710"/>
      <c r="BF57" s="710"/>
      <c r="BG57" s="710"/>
      <c r="BH57" s="710"/>
      <c r="BI57" s="710"/>
      <c r="BJ57" s="710" t="s">
        <v>427</v>
      </c>
      <c r="BK57" s="710"/>
      <c r="BL57" s="710"/>
      <c r="BM57" s="710"/>
      <c r="BN57" s="710"/>
      <c r="BO57" s="710"/>
      <c r="BP57" s="710"/>
      <c r="BQ57" s="710"/>
      <c r="BR57" s="710"/>
      <c r="BS57" s="710"/>
      <c r="BT57" s="710"/>
    </row>
    <row r="58" spans="1:72" s="709" customFormat="1" ht="15.75">
      <c r="A58" s="545"/>
      <c r="B58" s="598"/>
      <c r="C58" s="601"/>
      <c r="D58" s="601"/>
      <c r="E58" s="601"/>
      <c r="F58" s="601"/>
      <c r="G58" s="601"/>
      <c r="H58" s="601"/>
      <c r="I58" s="601"/>
      <c r="J58" s="601"/>
      <c r="K58" s="601"/>
      <c r="L58" s="601"/>
      <c r="M58" s="601"/>
      <c r="N58" s="601"/>
      <c r="O58" s="601"/>
      <c r="P58" s="601"/>
      <c r="Q58" s="601"/>
      <c r="R58" s="601"/>
      <c r="S58" s="724"/>
      <c r="T58" s="724"/>
      <c r="U58" s="724"/>
      <c r="V58" s="724"/>
      <c r="W58" s="601"/>
      <c r="X58" s="601"/>
      <c r="Y58" s="724"/>
      <c r="Z58" s="724"/>
      <c r="AA58" s="601"/>
      <c r="AB58" s="601"/>
      <c r="AC58" s="601"/>
      <c r="AD58" s="724"/>
      <c r="AE58" s="724"/>
      <c r="AF58" s="724"/>
      <c r="AG58" s="724"/>
      <c r="AH58" s="724"/>
      <c r="AI58" s="724"/>
      <c r="AJ58" s="724"/>
      <c r="AK58" s="724"/>
      <c r="AL58" s="724"/>
      <c r="AM58" s="724"/>
      <c r="AN58" s="724"/>
      <c r="AO58" s="724"/>
      <c r="AP58" s="724"/>
      <c r="AQ58" s="724"/>
      <c r="AR58" s="724"/>
      <c r="AS58" s="724"/>
      <c r="AT58" s="724"/>
      <c r="AU58" s="724"/>
      <c r="AV58" s="724"/>
      <c r="AW58" s="724"/>
      <c r="AX58" s="724"/>
      <c r="AY58" s="598"/>
      <c r="AZ58" s="576"/>
      <c r="BA58" s="604"/>
      <c r="BB58" s="723"/>
      <c r="BC58" s="571"/>
      <c r="BD58" s="572"/>
      <c r="BE58" s="710"/>
      <c r="BF58" s="710"/>
      <c r="BG58" s="710"/>
      <c r="BH58" s="710"/>
      <c r="BI58" s="710"/>
      <c r="BJ58" s="710" t="s">
        <v>428</v>
      </c>
      <c r="BK58" s="710"/>
      <c r="BL58" s="710"/>
      <c r="BM58" s="710"/>
      <c r="BN58" s="710"/>
      <c r="BO58" s="710"/>
      <c r="BP58" s="710"/>
      <c r="BQ58" s="710"/>
      <c r="BR58" s="710"/>
      <c r="BS58" s="710"/>
      <c r="BT58" s="710"/>
    </row>
    <row r="59" spans="1:72" s="709" customFormat="1" ht="15" customHeight="1">
      <c r="A59" s="545"/>
      <c r="B59" s="598"/>
      <c r="C59" s="601"/>
      <c r="D59" s="601"/>
      <c r="E59" s="601"/>
      <c r="F59" s="601"/>
      <c r="G59" s="601"/>
      <c r="H59" s="601"/>
      <c r="I59" s="601"/>
      <c r="J59" s="601"/>
      <c r="K59" s="601"/>
      <c r="L59" s="601"/>
      <c r="M59" s="601"/>
      <c r="N59" s="601"/>
      <c r="O59" s="601"/>
      <c r="P59" s="601"/>
      <c r="Q59" s="601"/>
      <c r="R59" s="601"/>
      <c r="S59" s="724"/>
      <c r="T59" s="724"/>
      <c r="U59" s="724"/>
      <c r="V59" s="724"/>
      <c r="W59" s="601"/>
      <c r="X59" s="601"/>
      <c r="Y59" s="724"/>
      <c r="Z59" s="724"/>
      <c r="AA59" s="601"/>
      <c r="AB59" s="601"/>
      <c r="AC59" s="601"/>
      <c r="AD59" s="724"/>
      <c r="AE59" s="724"/>
      <c r="AF59" s="724"/>
      <c r="AG59" s="724"/>
      <c r="AH59" s="724"/>
      <c r="AI59" s="724"/>
      <c r="AJ59" s="724"/>
      <c r="AK59" s="724"/>
      <c r="AL59" s="724"/>
      <c r="AM59" s="724"/>
      <c r="AN59" s="724"/>
      <c r="AO59" s="724"/>
      <c r="AP59" s="724"/>
      <c r="AQ59" s="724"/>
      <c r="AR59" s="724"/>
      <c r="AS59" s="724"/>
      <c r="AT59" s="724"/>
      <c r="AU59" s="724"/>
      <c r="AV59" s="724"/>
      <c r="AW59" s="724"/>
      <c r="AX59" s="724"/>
      <c r="AY59" s="598"/>
      <c r="AZ59" s="576"/>
      <c r="BA59" s="604"/>
      <c r="BB59" s="723"/>
      <c r="BC59" s="571"/>
      <c r="BD59" s="572"/>
      <c r="BE59" s="710"/>
      <c r="BF59" s="710"/>
      <c r="BG59" s="710"/>
      <c r="BH59" s="710"/>
      <c r="BI59" s="710"/>
      <c r="BJ59" s="710" t="s">
        <v>429</v>
      </c>
      <c r="BK59" s="710"/>
      <c r="BL59" s="710"/>
      <c r="BM59" s="710"/>
      <c r="BN59" s="710"/>
      <c r="BO59" s="710"/>
      <c r="BP59" s="710"/>
      <c r="BQ59" s="710"/>
      <c r="BR59" s="710"/>
      <c r="BS59" s="710"/>
      <c r="BT59" s="710"/>
    </row>
    <row r="60" spans="1:72" s="709" customFormat="1" ht="15.75">
      <c r="A60" s="545"/>
      <c r="B60" s="598"/>
      <c r="C60" s="601"/>
      <c r="D60" s="601"/>
      <c r="E60" s="601"/>
      <c r="F60" s="601"/>
      <c r="G60" s="601"/>
      <c r="H60" s="601"/>
      <c r="I60" s="601"/>
      <c r="J60" s="601"/>
      <c r="K60" s="601"/>
      <c r="L60" s="601"/>
      <c r="M60" s="601"/>
      <c r="N60" s="601"/>
      <c r="O60" s="601"/>
      <c r="P60" s="601"/>
      <c r="Q60" s="601"/>
      <c r="R60" s="601"/>
      <c r="S60" s="724"/>
      <c r="T60" s="724"/>
      <c r="U60" s="724"/>
      <c r="V60" s="724"/>
      <c r="W60" s="601"/>
      <c r="X60" s="601"/>
      <c r="Y60" s="724"/>
      <c r="Z60" s="724"/>
      <c r="AA60" s="601"/>
      <c r="AB60" s="601"/>
      <c r="AC60" s="601"/>
      <c r="AD60" s="724"/>
      <c r="AE60" s="724"/>
      <c r="AF60" s="724"/>
      <c r="AG60" s="724"/>
      <c r="AH60" s="724"/>
      <c r="AI60" s="724"/>
      <c r="AJ60" s="724"/>
      <c r="AK60" s="724"/>
      <c r="AL60" s="724"/>
      <c r="AM60" s="724"/>
      <c r="AN60" s="724"/>
      <c r="AO60" s="724"/>
      <c r="AP60" s="724"/>
      <c r="AQ60" s="724"/>
      <c r="AR60" s="724"/>
      <c r="AS60" s="724"/>
      <c r="AT60" s="724"/>
      <c r="AU60" s="724"/>
      <c r="AV60" s="724"/>
      <c r="AW60" s="724"/>
      <c r="AX60" s="724"/>
      <c r="AY60" s="598"/>
      <c r="AZ60" s="576"/>
      <c r="BA60" s="604"/>
      <c r="BB60" s="723"/>
      <c r="BC60" s="571"/>
      <c r="BD60" s="572"/>
      <c r="BE60" s="710"/>
      <c r="BF60" s="710"/>
      <c r="BG60" s="710"/>
      <c r="BH60" s="710"/>
      <c r="BI60" s="710" t="s">
        <v>430</v>
      </c>
      <c r="BJ60" s="710"/>
      <c r="BK60" s="710"/>
      <c r="BL60" s="710"/>
      <c r="BM60" s="710"/>
      <c r="BN60" s="710"/>
      <c r="BO60" s="710"/>
      <c r="BP60" s="710"/>
      <c r="BQ60" s="710"/>
      <c r="BR60" s="710"/>
      <c r="BS60" s="710"/>
      <c r="BT60" s="710"/>
    </row>
    <row r="61" spans="1:72" s="709" customFormat="1" ht="15" customHeight="1">
      <c r="A61" s="545"/>
      <c r="B61" s="598"/>
      <c r="C61" s="601"/>
      <c r="D61" s="601"/>
      <c r="E61" s="601"/>
      <c r="F61" s="601"/>
      <c r="G61" s="601"/>
      <c r="H61" s="601"/>
      <c r="I61" s="601"/>
      <c r="J61" s="601"/>
      <c r="K61" s="601"/>
      <c r="L61" s="601"/>
      <c r="M61" s="601"/>
      <c r="N61" s="601"/>
      <c r="O61" s="601"/>
      <c r="P61" s="601"/>
      <c r="Q61" s="601"/>
      <c r="R61" s="601"/>
      <c r="S61" s="724"/>
      <c r="T61" s="724"/>
      <c r="U61" s="724"/>
      <c r="V61" s="724"/>
      <c r="W61" s="601"/>
      <c r="X61" s="601"/>
      <c r="Y61" s="724"/>
      <c r="Z61" s="724"/>
      <c r="AA61" s="601"/>
      <c r="AB61" s="601"/>
      <c r="AC61" s="601"/>
      <c r="AD61" s="724"/>
      <c r="AE61" s="724"/>
      <c r="AF61" s="724"/>
      <c r="AG61" s="724"/>
      <c r="AH61" s="724"/>
      <c r="AI61" s="724"/>
      <c r="AJ61" s="724"/>
      <c r="AK61" s="724"/>
      <c r="AL61" s="724"/>
      <c r="AM61" s="724"/>
      <c r="AN61" s="724"/>
      <c r="AO61" s="724"/>
      <c r="AP61" s="724"/>
      <c r="AQ61" s="724"/>
      <c r="AR61" s="724"/>
      <c r="AS61" s="724"/>
      <c r="AT61" s="724"/>
      <c r="AU61" s="724"/>
      <c r="AV61" s="724"/>
      <c r="AW61" s="724"/>
      <c r="AX61" s="724"/>
      <c r="AY61" s="598"/>
      <c r="AZ61" s="576"/>
      <c r="BA61" s="604"/>
      <c r="BB61" s="723"/>
      <c r="BC61" s="571"/>
      <c r="BD61" s="572"/>
      <c r="BE61" s="710"/>
      <c r="BF61" s="710"/>
      <c r="BG61" s="710"/>
      <c r="BH61" s="710"/>
      <c r="BI61" s="710"/>
      <c r="BJ61" s="710" t="s">
        <v>431</v>
      </c>
      <c r="BK61" s="710"/>
      <c r="BL61" s="710"/>
      <c r="BM61" s="710"/>
      <c r="BN61" s="710"/>
      <c r="BO61" s="710"/>
      <c r="BP61" s="710"/>
      <c r="BQ61" s="710"/>
      <c r="BR61" s="710"/>
      <c r="BS61" s="710"/>
      <c r="BT61" s="710"/>
    </row>
    <row r="62" spans="1:72" s="709" customFormat="1" ht="15.75">
      <c r="A62" s="545"/>
      <c r="B62" s="598"/>
      <c r="C62" s="601"/>
      <c r="D62" s="601"/>
      <c r="E62" s="601"/>
      <c r="F62" s="601"/>
      <c r="G62" s="601"/>
      <c r="H62" s="601"/>
      <c r="I62" s="601"/>
      <c r="J62" s="601"/>
      <c r="K62" s="601"/>
      <c r="L62" s="601"/>
      <c r="M62" s="601"/>
      <c r="N62" s="601"/>
      <c r="O62" s="601"/>
      <c r="P62" s="601"/>
      <c r="Q62" s="601"/>
      <c r="R62" s="601"/>
      <c r="S62" s="724"/>
      <c r="T62" s="724"/>
      <c r="U62" s="724"/>
      <c r="V62" s="724"/>
      <c r="W62" s="601"/>
      <c r="X62" s="601"/>
      <c r="Y62" s="724"/>
      <c r="Z62" s="724"/>
      <c r="AA62" s="601"/>
      <c r="AB62" s="601"/>
      <c r="AC62" s="601"/>
      <c r="AD62" s="724"/>
      <c r="AE62" s="724"/>
      <c r="AF62" s="724"/>
      <c r="AG62" s="724"/>
      <c r="AH62" s="724"/>
      <c r="AI62" s="724"/>
      <c r="AJ62" s="724"/>
      <c r="AK62" s="724"/>
      <c r="AL62" s="724"/>
      <c r="AM62" s="724"/>
      <c r="AN62" s="724"/>
      <c r="AO62" s="724"/>
      <c r="AP62" s="724"/>
      <c r="AQ62" s="724"/>
      <c r="AR62" s="724"/>
      <c r="AS62" s="724"/>
      <c r="AT62" s="724"/>
      <c r="AU62" s="724"/>
      <c r="AV62" s="724"/>
      <c r="AW62" s="724"/>
      <c r="AX62" s="724"/>
      <c r="AY62" s="598"/>
      <c r="AZ62" s="576"/>
      <c r="BA62" s="604"/>
      <c r="BB62" s="723"/>
      <c r="BC62" s="571"/>
      <c r="BD62" s="572"/>
      <c r="BE62" s="710"/>
      <c r="BF62" s="710" t="s">
        <v>432</v>
      </c>
      <c r="BG62" s="710"/>
      <c r="BH62" s="710"/>
      <c r="BI62" s="710"/>
      <c r="BJ62" s="710"/>
      <c r="BK62" s="710"/>
      <c r="BL62" s="710"/>
      <c r="BM62" s="710"/>
      <c r="BN62" s="710"/>
      <c r="BO62" s="710"/>
      <c r="BP62" s="710"/>
      <c r="BQ62" s="710"/>
      <c r="BR62" s="710"/>
      <c r="BS62" s="710"/>
      <c r="BT62" s="710"/>
    </row>
    <row r="63" spans="1:72" s="709" customFormat="1" ht="15" customHeight="1">
      <c r="A63" s="545"/>
      <c r="B63" s="598"/>
      <c r="C63" s="601"/>
      <c r="D63" s="601"/>
      <c r="E63" s="601"/>
      <c r="F63" s="601"/>
      <c r="G63" s="601"/>
      <c r="H63" s="601"/>
      <c r="I63" s="601"/>
      <c r="J63" s="601"/>
      <c r="K63" s="601"/>
      <c r="L63" s="601"/>
      <c r="M63" s="601"/>
      <c r="N63" s="601"/>
      <c r="O63" s="601"/>
      <c r="P63" s="601"/>
      <c r="Q63" s="601"/>
      <c r="R63" s="601"/>
      <c r="S63" s="724"/>
      <c r="T63" s="724"/>
      <c r="U63" s="724"/>
      <c r="V63" s="724"/>
      <c r="W63" s="601"/>
      <c r="X63" s="601"/>
      <c r="Y63" s="724"/>
      <c r="Z63" s="724"/>
      <c r="AA63" s="601"/>
      <c r="AB63" s="601"/>
      <c r="AC63" s="601"/>
      <c r="AD63" s="724"/>
      <c r="AE63" s="724"/>
      <c r="AF63" s="724"/>
      <c r="AG63" s="724"/>
      <c r="AH63" s="724"/>
      <c r="AI63" s="724"/>
      <c r="AJ63" s="724"/>
      <c r="AK63" s="724"/>
      <c r="AL63" s="724"/>
      <c r="AM63" s="724"/>
      <c r="AN63" s="724"/>
      <c r="AO63" s="724"/>
      <c r="AP63" s="724"/>
      <c r="AQ63" s="724"/>
      <c r="AR63" s="724"/>
      <c r="AS63" s="724"/>
      <c r="AT63" s="724"/>
      <c r="AU63" s="724"/>
      <c r="AV63" s="724"/>
      <c r="AW63" s="724"/>
      <c r="AX63" s="724"/>
      <c r="AY63" s="598"/>
      <c r="AZ63" s="576"/>
      <c r="BA63" s="604"/>
      <c r="BB63" s="723"/>
      <c r="BC63" s="571"/>
      <c r="BD63" s="572"/>
      <c r="BE63" s="710"/>
      <c r="BF63" s="710"/>
      <c r="BG63" s="710" t="s">
        <v>433</v>
      </c>
      <c r="BH63" s="710"/>
      <c r="BI63" s="710"/>
      <c r="BJ63" s="710"/>
      <c r="BK63" s="710"/>
      <c r="BL63" s="710"/>
      <c r="BM63" s="710"/>
      <c r="BN63" s="710"/>
      <c r="BO63" s="710"/>
      <c r="BP63" s="710"/>
      <c r="BQ63" s="710"/>
      <c r="BR63" s="710"/>
      <c r="BS63" s="710"/>
      <c r="BT63" s="710"/>
    </row>
    <row r="64" spans="1:72" s="709" customFormat="1" ht="15.75">
      <c r="A64" s="545"/>
      <c r="B64" s="598"/>
      <c r="C64" s="601"/>
      <c r="D64" s="601"/>
      <c r="E64" s="601"/>
      <c r="F64" s="601"/>
      <c r="G64" s="601"/>
      <c r="H64" s="601"/>
      <c r="I64" s="601"/>
      <c r="J64" s="601"/>
      <c r="K64" s="601"/>
      <c r="L64" s="601"/>
      <c r="M64" s="601"/>
      <c r="N64" s="601"/>
      <c r="O64" s="601"/>
      <c r="P64" s="601"/>
      <c r="Q64" s="601"/>
      <c r="R64" s="601"/>
      <c r="S64" s="724"/>
      <c r="T64" s="724"/>
      <c r="U64" s="724"/>
      <c r="V64" s="724"/>
      <c r="W64" s="601"/>
      <c r="X64" s="601"/>
      <c r="Y64" s="724"/>
      <c r="Z64" s="724"/>
      <c r="AA64" s="601"/>
      <c r="AB64" s="601"/>
      <c r="AC64" s="601"/>
      <c r="AD64" s="724"/>
      <c r="AE64" s="724"/>
      <c r="AF64" s="724"/>
      <c r="AG64" s="724"/>
      <c r="AH64" s="724"/>
      <c r="AI64" s="724"/>
      <c r="AJ64" s="724"/>
      <c r="AK64" s="724"/>
      <c r="AL64" s="724"/>
      <c r="AM64" s="724"/>
      <c r="AN64" s="724"/>
      <c r="AO64" s="724"/>
      <c r="AP64" s="724"/>
      <c r="AQ64" s="724"/>
      <c r="AR64" s="724"/>
      <c r="AS64" s="724"/>
      <c r="AT64" s="724"/>
      <c r="AU64" s="724"/>
      <c r="AV64" s="724"/>
      <c r="AW64" s="724"/>
      <c r="AX64" s="724"/>
      <c r="AY64" s="598"/>
      <c r="AZ64" s="576"/>
      <c r="BA64" s="604"/>
      <c r="BB64" s="723"/>
      <c r="BC64" s="571"/>
      <c r="BD64" s="572"/>
      <c r="BE64" s="710"/>
      <c r="BF64" s="710"/>
      <c r="BG64" s="710" t="s">
        <v>434</v>
      </c>
      <c r="BH64" s="710"/>
      <c r="BI64" s="710"/>
      <c r="BJ64" s="710"/>
      <c r="BK64" s="710"/>
      <c r="BL64" s="710"/>
      <c r="BM64" s="710"/>
      <c r="BN64" s="710"/>
      <c r="BO64" s="710"/>
      <c r="BP64" s="710"/>
      <c r="BQ64" s="710"/>
      <c r="BR64" s="710"/>
      <c r="BS64" s="710"/>
      <c r="BT64" s="710"/>
    </row>
    <row r="65" spans="1:72" s="709" customFormat="1" ht="15" customHeight="1">
      <c r="A65" s="545"/>
      <c r="B65" s="598"/>
      <c r="C65" s="601"/>
      <c r="D65" s="601"/>
      <c r="E65" s="601"/>
      <c r="F65" s="601"/>
      <c r="G65" s="601"/>
      <c r="H65" s="601"/>
      <c r="I65" s="601"/>
      <c r="J65" s="601"/>
      <c r="K65" s="601"/>
      <c r="L65" s="601"/>
      <c r="M65" s="601"/>
      <c r="N65" s="601"/>
      <c r="O65" s="601"/>
      <c r="P65" s="601"/>
      <c r="Q65" s="601"/>
      <c r="R65" s="601"/>
      <c r="S65" s="724"/>
      <c r="T65" s="724"/>
      <c r="U65" s="724"/>
      <c r="V65" s="724"/>
      <c r="W65" s="601"/>
      <c r="X65" s="601"/>
      <c r="Y65" s="724"/>
      <c r="Z65" s="724"/>
      <c r="AA65" s="601"/>
      <c r="AB65" s="601"/>
      <c r="AC65" s="601"/>
      <c r="AD65" s="724"/>
      <c r="AE65" s="724"/>
      <c r="AF65" s="724"/>
      <c r="AG65" s="724"/>
      <c r="AH65" s="724"/>
      <c r="AI65" s="724"/>
      <c r="AJ65" s="724"/>
      <c r="AK65" s="724"/>
      <c r="AL65" s="724"/>
      <c r="AM65" s="724"/>
      <c r="AN65" s="724"/>
      <c r="AO65" s="724"/>
      <c r="AP65" s="724"/>
      <c r="AQ65" s="724"/>
      <c r="AR65" s="724"/>
      <c r="AS65" s="724"/>
      <c r="AT65" s="724"/>
      <c r="AU65" s="724"/>
      <c r="AV65" s="724"/>
      <c r="AW65" s="724"/>
      <c r="AX65" s="724"/>
      <c r="AY65" s="598"/>
      <c r="AZ65" s="576"/>
      <c r="BA65" s="604"/>
      <c r="BB65" s="723"/>
      <c r="BC65" s="571"/>
      <c r="BD65" s="572"/>
      <c r="BE65" s="710"/>
      <c r="BF65" s="710"/>
      <c r="BG65" s="710"/>
      <c r="BH65" s="710"/>
      <c r="BI65" s="710"/>
      <c r="BJ65" s="710"/>
      <c r="BK65" s="710"/>
      <c r="BL65" s="710"/>
      <c r="BM65" s="710"/>
      <c r="BN65" s="710"/>
      <c r="BO65" s="710"/>
      <c r="BP65" s="710"/>
      <c r="BQ65" s="710"/>
      <c r="BR65" s="710"/>
      <c r="BS65" s="710"/>
      <c r="BT65" s="710"/>
    </row>
    <row r="66" spans="1:72" s="709" customFormat="1" ht="15.75">
      <c r="A66" s="545"/>
      <c r="B66" s="598"/>
      <c r="C66" s="601"/>
      <c r="D66" s="601"/>
      <c r="E66" s="601"/>
      <c r="F66" s="601"/>
      <c r="G66" s="601"/>
      <c r="H66" s="601"/>
      <c r="I66" s="601"/>
      <c r="J66" s="601"/>
      <c r="K66" s="601"/>
      <c r="L66" s="601"/>
      <c r="M66" s="601"/>
      <c r="N66" s="601"/>
      <c r="O66" s="601"/>
      <c r="P66" s="601"/>
      <c r="Q66" s="601"/>
      <c r="R66" s="601"/>
      <c r="S66" s="724"/>
      <c r="T66" s="724"/>
      <c r="U66" s="724"/>
      <c r="V66" s="724"/>
      <c r="W66" s="601"/>
      <c r="X66" s="601"/>
      <c r="Y66" s="724"/>
      <c r="Z66" s="724"/>
      <c r="AA66" s="601"/>
      <c r="AB66" s="601"/>
      <c r="AC66" s="601"/>
      <c r="AD66" s="724"/>
      <c r="AE66" s="724"/>
      <c r="AF66" s="724"/>
      <c r="AG66" s="724"/>
      <c r="AH66" s="724"/>
      <c r="AI66" s="724"/>
      <c r="AJ66" s="724"/>
      <c r="AK66" s="724"/>
      <c r="AL66" s="724"/>
      <c r="AM66" s="724"/>
      <c r="AN66" s="724"/>
      <c r="AO66" s="724"/>
      <c r="AP66" s="724"/>
      <c r="AQ66" s="724"/>
      <c r="AR66" s="724"/>
      <c r="AS66" s="724"/>
      <c r="AT66" s="724"/>
      <c r="AU66" s="724"/>
      <c r="AV66" s="724"/>
      <c r="AW66" s="724"/>
      <c r="AX66" s="724"/>
      <c r="AY66" s="598"/>
      <c r="AZ66" s="576"/>
      <c r="BA66" s="604"/>
      <c r="BB66" s="723"/>
      <c r="BC66" s="571"/>
      <c r="BD66" s="572"/>
      <c r="BE66" s="710"/>
      <c r="BF66" s="710"/>
      <c r="BG66" s="710" t="s">
        <v>435</v>
      </c>
      <c r="BH66" s="710"/>
      <c r="BI66" s="710"/>
      <c r="BJ66" s="710"/>
      <c r="BK66" s="710"/>
      <c r="BL66" s="710"/>
      <c r="BM66" s="710"/>
      <c r="BN66" s="710"/>
      <c r="BO66" s="710"/>
      <c r="BP66" s="710"/>
      <c r="BQ66" s="710"/>
      <c r="BR66" s="710"/>
      <c r="BS66" s="710"/>
      <c r="BT66" s="710"/>
    </row>
    <row r="67" spans="1:72" s="709" customFormat="1" ht="15.75">
      <c r="A67" s="545"/>
      <c r="B67" s="598"/>
      <c r="C67" s="601"/>
      <c r="D67" s="601"/>
      <c r="E67" s="601"/>
      <c r="F67" s="601"/>
      <c r="G67" s="601"/>
      <c r="H67" s="601"/>
      <c r="I67" s="601"/>
      <c r="J67" s="601"/>
      <c r="K67" s="601"/>
      <c r="L67" s="601"/>
      <c r="M67" s="601"/>
      <c r="N67" s="601"/>
      <c r="O67" s="601"/>
      <c r="P67" s="601"/>
      <c r="Q67" s="601"/>
      <c r="R67" s="601"/>
      <c r="S67" s="724"/>
      <c r="T67" s="724"/>
      <c r="U67" s="724"/>
      <c r="V67" s="724"/>
      <c r="W67" s="601"/>
      <c r="X67" s="601"/>
      <c r="Y67" s="724"/>
      <c r="Z67" s="724"/>
      <c r="AA67" s="601"/>
      <c r="AB67" s="601"/>
      <c r="AC67" s="601"/>
      <c r="AD67" s="724"/>
      <c r="AE67" s="724"/>
      <c r="AF67" s="724"/>
      <c r="AG67" s="724"/>
      <c r="AH67" s="724"/>
      <c r="AI67" s="724"/>
      <c r="AJ67" s="724"/>
      <c r="AK67" s="724"/>
      <c r="AL67" s="724"/>
      <c r="AM67" s="724"/>
      <c r="AN67" s="724"/>
      <c r="AO67" s="724"/>
      <c r="AP67" s="724"/>
      <c r="AQ67" s="724"/>
      <c r="AR67" s="724"/>
      <c r="AS67" s="724"/>
      <c r="AT67" s="724"/>
      <c r="AU67" s="724"/>
      <c r="AV67" s="724"/>
      <c r="AW67" s="724"/>
      <c r="AX67" s="724"/>
      <c r="AY67" s="598"/>
      <c r="AZ67" s="576"/>
      <c r="BA67" s="604"/>
      <c r="BB67" s="723"/>
      <c r="BC67" s="571"/>
      <c r="BD67" s="572"/>
      <c r="BE67" s="710"/>
      <c r="BF67" s="710"/>
      <c r="BG67" s="710"/>
      <c r="BH67" s="710"/>
      <c r="BI67" s="710"/>
      <c r="BJ67" s="710"/>
      <c r="BK67" s="710"/>
      <c r="BL67" s="710"/>
      <c r="BM67" s="710"/>
      <c r="BN67" s="710"/>
      <c r="BO67" s="710"/>
      <c r="BP67" s="710"/>
      <c r="BQ67" s="710"/>
      <c r="BR67" s="710"/>
      <c r="BS67" s="710"/>
      <c r="BT67" s="710"/>
    </row>
    <row r="68" spans="1:72" s="709" customFormat="1" ht="15.75">
      <c r="A68" s="545"/>
      <c r="B68" s="598"/>
      <c r="C68" s="601"/>
      <c r="D68" s="601"/>
      <c r="E68" s="601"/>
      <c r="F68" s="601"/>
      <c r="G68" s="601"/>
      <c r="H68" s="601"/>
      <c r="I68" s="601"/>
      <c r="J68" s="601"/>
      <c r="K68" s="601"/>
      <c r="L68" s="601"/>
      <c r="M68" s="601"/>
      <c r="N68" s="601"/>
      <c r="O68" s="601"/>
      <c r="P68" s="601"/>
      <c r="Q68" s="601"/>
      <c r="R68" s="601"/>
      <c r="S68" s="724"/>
      <c r="T68" s="724"/>
      <c r="U68" s="724"/>
      <c r="V68" s="724"/>
      <c r="W68" s="601"/>
      <c r="X68" s="601"/>
      <c r="Y68" s="724"/>
      <c r="Z68" s="724"/>
      <c r="AA68" s="601"/>
      <c r="AB68" s="601"/>
      <c r="AC68" s="601"/>
      <c r="AD68" s="724"/>
      <c r="AE68" s="724"/>
      <c r="AF68" s="724"/>
      <c r="AG68" s="724"/>
      <c r="AH68" s="724"/>
      <c r="AI68" s="724"/>
      <c r="AJ68" s="724"/>
      <c r="AK68" s="724"/>
      <c r="AL68" s="724"/>
      <c r="AM68" s="724"/>
      <c r="AN68" s="724"/>
      <c r="AO68" s="724"/>
      <c r="AP68" s="724"/>
      <c r="AQ68" s="724"/>
      <c r="AR68" s="724"/>
      <c r="AS68" s="724"/>
      <c r="AT68" s="724"/>
      <c r="AU68" s="724"/>
      <c r="AV68" s="724"/>
      <c r="AW68" s="724"/>
      <c r="AX68" s="724"/>
      <c r="AY68" s="598"/>
      <c r="AZ68" s="576"/>
      <c r="BA68" s="604"/>
      <c r="BB68" s="723"/>
      <c r="BC68" s="571"/>
      <c r="BD68" s="572"/>
      <c r="BE68" s="710"/>
      <c r="BF68" s="710" t="s">
        <v>436</v>
      </c>
      <c r="BG68" s="710"/>
      <c r="BH68" s="710"/>
      <c r="BI68" s="710"/>
      <c r="BJ68" s="710"/>
      <c r="BK68" s="710"/>
      <c r="BL68" s="710"/>
      <c r="BM68" s="710"/>
      <c r="BN68" s="710"/>
      <c r="BO68" s="710"/>
      <c r="BP68" s="710"/>
      <c r="BQ68" s="710"/>
      <c r="BR68" s="710"/>
      <c r="BS68" s="710"/>
      <c r="BT68" s="710"/>
    </row>
    <row r="69" spans="1:72" s="709" customFormat="1" ht="15.75">
      <c r="A69" s="545"/>
      <c r="B69" s="598"/>
      <c r="C69" s="601"/>
      <c r="D69" s="601"/>
      <c r="E69" s="601"/>
      <c r="F69" s="601"/>
      <c r="G69" s="601"/>
      <c r="H69" s="601"/>
      <c r="I69" s="601"/>
      <c r="J69" s="601"/>
      <c r="K69" s="601"/>
      <c r="L69" s="601"/>
      <c r="M69" s="601"/>
      <c r="N69" s="601"/>
      <c r="O69" s="601"/>
      <c r="P69" s="601"/>
      <c r="Q69" s="601"/>
      <c r="R69" s="601"/>
      <c r="S69" s="724"/>
      <c r="T69" s="724"/>
      <c r="U69" s="724"/>
      <c r="V69" s="724"/>
      <c r="W69" s="601"/>
      <c r="X69" s="601"/>
      <c r="Y69" s="724"/>
      <c r="Z69" s="724"/>
      <c r="AA69" s="601"/>
      <c r="AB69" s="601"/>
      <c r="AC69" s="601"/>
      <c r="AD69" s="724"/>
      <c r="AE69" s="724"/>
      <c r="AF69" s="724"/>
      <c r="AG69" s="724"/>
      <c r="AH69" s="724"/>
      <c r="AI69" s="724"/>
      <c r="AJ69" s="724"/>
      <c r="AK69" s="724"/>
      <c r="AL69" s="724"/>
      <c r="AM69" s="724"/>
      <c r="AN69" s="724"/>
      <c r="AO69" s="724"/>
      <c r="AP69" s="724"/>
      <c r="AQ69" s="724"/>
      <c r="AR69" s="724"/>
      <c r="AS69" s="724"/>
      <c r="AT69" s="724"/>
      <c r="AU69" s="724"/>
      <c r="AV69" s="724"/>
      <c r="AW69" s="724"/>
      <c r="AX69" s="724"/>
      <c r="AY69" s="598"/>
      <c r="AZ69" s="576"/>
      <c r="BA69" s="604"/>
      <c r="BB69" s="723"/>
      <c r="BC69" s="571"/>
      <c r="BD69" s="572"/>
      <c r="BE69" s="710"/>
      <c r="BF69" s="710"/>
      <c r="BG69" s="710" t="s">
        <v>437</v>
      </c>
      <c r="BH69" s="710"/>
      <c r="BI69" s="710"/>
      <c r="BJ69" s="710"/>
      <c r="BK69" s="710"/>
      <c r="BL69" s="710"/>
      <c r="BM69" s="710"/>
      <c r="BN69" s="710"/>
      <c r="BO69" s="710"/>
      <c r="BP69" s="710"/>
      <c r="BQ69" s="710"/>
      <c r="BR69" s="710"/>
      <c r="BS69" s="710"/>
      <c r="BT69" s="710"/>
    </row>
    <row r="70" spans="1:72" s="709" customFormat="1" ht="15.75">
      <c r="A70" s="545"/>
      <c r="B70" s="598"/>
      <c r="C70" s="601"/>
      <c r="D70" s="601"/>
      <c r="E70" s="601"/>
      <c r="F70" s="601"/>
      <c r="G70" s="601"/>
      <c r="H70" s="601"/>
      <c r="I70" s="601"/>
      <c r="J70" s="601"/>
      <c r="K70" s="601"/>
      <c r="L70" s="601"/>
      <c r="M70" s="601"/>
      <c r="N70" s="601"/>
      <c r="O70" s="601"/>
      <c r="P70" s="601"/>
      <c r="Q70" s="601"/>
      <c r="R70" s="601"/>
      <c r="S70" s="724"/>
      <c r="T70" s="724"/>
      <c r="U70" s="724"/>
      <c r="V70" s="724"/>
      <c r="W70" s="601"/>
      <c r="X70" s="601"/>
      <c r="Y70" s="724"/>
      <c r="Z70" s="724"/>
      <c r="AA70" s="601"/>
      <c r="AB70" s="601"/>
      <c r="AC70" s="601"/>
      <c r="AD70" s="724"/>
      <c r="AE70" s="724"/>
      <c r="AF70" s="724"/>
      <c r="AG70" s="724"/>
      <c r="AH70" s="724"/>
      <c r="AI70" s="724"/>
      <c r="AJ70" s="724"/>
      <c r="AK70" s="724"/>
      <c r="AL70" s="724"/>
      <c r="AM70" s="724"/>
      <c r="AN70" s="724"/>
      <c r="AO70" s="724"/>
      <c r="AP70" s="724"/>
      <c r="AQ70" s="724"/>
      <c r="AR70" s="724"/>
      <c r="AS70" s="724"/>
      <c r="AT70" s="724"/>
      <c r="AU70" s="724"/>
      <c r="AV70" s="724"/>
      <c r="AW70" s="724"/>
      <c r="AX70" s="724"/>
      <c r="AY70" s="598"/>
      <c r="AZ70" s="576"/>
      <c r="BA70" s="604"/>
      <c r="BB70" s="723"/>
      <c r="BC70" s="571"/>
      <c r="BD70" s="572"/>
      <c r="BE70" s="710"/>
      <c r="BF70" s="710"/>
      <c r="BG70" s="710"/>
      <c r="BH70" s="710"/>
      <c r="BI70" s="710"/>
      <c r="BJ70" s="710"/>
      <c r="BK70" s="710"/>
      <c r="BL70" s="710"/>
      <c r="BM70" s="710"/>
      <c r="BN70" s="710"/>
      <c r="BO70" s="710"/>
      <c r="BP70" s="710"/>
      <c r="BQ70" s="710"/>
      <c r="BR70" s="710"/>
      <c r="BS70" s="710"/>
      <c r="BT70" s="710"/>
    </row>
    <row r="71" spans="1:72" s="709" customFormat="1" ht="15" customHeight="1">
      <c r="A71" s="556"/>
      <c r="B71" s="598"/>
      <c r="C71" s="601"/>
      <c r="D71" s="601"/>
      <c r="E71" s="601"/>
      <c r="F71" s="601"/>
      <c r="G71" s="601"/>
      <c r="H71" s="601"/>
      <c r="I71" s="601"/>
      <c r="J71" s="601"/>
      <c r="K71" s="601"/>
      <c r="L71" s="601"/>
      <c r="M71" s="601"/>
      <c r="N71" s="601"/>
      <c r="O71" s="601"/>
      <c r="P71" s="601"/>
      <c r="Q71" s="601"/>
      <c r="R71" s="601"/>
      <c r="S71" s="724"/>
      <c r="T71" s="724"/>
      <c r="U71" s="724"/>
      <c r="V71" s="724"/>
      <c r="W71" s="601"/>
      <c r="X71" s="601"/>
      <c r="Y71" s="724"/>
      <c r="Z71" s="724"/>
      <c r="AA71" s="601"/>
      <c r="AB71" s="601"/>
      <c r="AC71" s="601"/>
      <c r="AD71" s="724"/>
      <c r="AE71" s="724"/>
      <c r="AF71" s="724"/>
      <c r="AG71" s="724"/>
      <c r="AH71" s="724"/>
      <c r="AI71" s="724"/>
      <c r="AJ71" s="724"/>
      <c r="AK71" s="724"/>
      <c r="AL71" s="724"/>
      <c r="AM71" s="724"/>
      <c r="AN71" s="724"/>
      <c r="AO71" s="724"/>
      <c r="AP71" s="724"/>
      <c r="AQ71" s="724"/>
      <c r="AR71" s="724"/>
      <c r="AS71" s="724"/>
      <c r="AT71" s="724"/>
      <c r="AU71" s="724"/>
      <c r="AV71" s="724"/>
      <c r="AW71" s="724"/>
      <c r="AX71" s="724"/>
      <c r="AY71" s="598"/>
      <c r="AZ71" s="598"/>
      <c r="BA71" s="604"/>
      <c r="BB71" s="723"/>
      <c r="BC71" s="571"/>
      <c r="BD71" s="572"/>
      <c r="BE71" s="710" t="s">
        <v>438</v>
      </c>
      <c r="BF71" s="710"/>
      <c r="BG71" s="710"/>
      <c r="BH71" s="710"/>
      <c r="BI71" s="710"/>
      <c r="BJ71" s="710"/>
      <c r="BK71" s="710"/>
      <c r="BL71" s="710"/>
      <c r="BM71" s="710" t="s">
        <v>426</v>
      </c>
      <c r="BN71" s="710"/>
      <c r="BO71" s="710"/>
      <c r="BP71" s="710"/>
      <c r="BQ71" s="710"/>
      <c r="BR71" s="710"/>
      <c r="BS71" s="710"/>
      <c r="BT71" s="710"/>
    </row>
    <row r="72" spans="1:72" s="709" customFormat="1" ht="15" customHeight="1">
      <c r="A72" s="556"/>
      <c r="B72" s="598"/>
      <c r="C72" s="601"/>
      <c r="D72" s="601"/>
      <c r="E72" s="601"/>
      <c r="F72" s="601"/>
      <c r="G72" s="601"/>
      <c r="H72" s="601"/>
      <c r="I72" s="601"/>
      <c r="J72" s="601"/>
      <c r="K72" s="601"/>
      <c r="L72" s="601"/>
      <c r="M72" s="601"/>
      <c r="N72" s="601"/>
      <c r="O72" s="601"/>
      <c r="P72" s="601"/>
      <c r="Q72" s="601"/>
      <c r="R72" s="601"/>
      <c r="S72" s="724"/>
      <c r="T72" s="724"/>
      <c r="U72" s="724"/>
      <c r="V72" s="724"/>
      <c r="W72" s="601"/>
      <c r="X72" s="601"/>
      <c r="Y72" s="724"/>
      <c r="Z72" s="724"/>
      <c r="AA72" s="601"/>
      <c r="AB72" s="601"/>
      <c r="AC72" s="601"/>
      <c r="AD72" s="724"/>
      <c r="AE72" s="724"/>
      <c r="AF72" s="724"/>
      <c r="AG72" s="724"/>
      <c r="AH72" s="724"/>
      <c r="AI72" s="724"/>
      <c r="AJ72" s="724"/>
      <c r="AK72" s="724"/>
      <c r="AL72" s="724"/>
      <c r="AM72" s="724"/>
      <c r="AN72" s="724"/>
      <c r="AO72" s="724"/>
      <c r="AP72" s="724"/>
      <c r="AQ72" s="724"/>
      <c r="AR72" s="724"/>
      <c r="AS72" s="724"/>
      <c r="AT72" s="724"/>
      <c r="AU72" s="724"/>
      <c r="AV72" s="724"/>
      <c r="AW72" s="724"/>
      <c r="AX72" s="724"/>
      <c r="AY72" s="598"/>
      <c r="AZ72" s="598"/>
      <c r="BA72" s="604"/>
      <c r="BB72" s="723"/>
      <c r="BC72" s="571"/>
      <c r="BD72" s="572"/>
      <c r="BE72" s="710"/>
      <c r="BF72" s="710" t="s">
        <v>439</v>
      </c>
      <c r="BG72" s="710"/>
      <c r="BH72" s="710"/>
      <c r="BI72" s="710"/>
      <c r="BJ72" s="710"/>
      <c r="BK72" s="710"/>
      <c r="BL72" s="710"/>
      <c r="BM72" s="710"/>
      <c r="BN72" s="710"/>
      <c r="BO72" s="710"/>
      <c r="BP72" s="710"/>
      <c r="BQ72" s="710"/>
      <c r="BR72" s="710"/>
      <c r="BS72" s="710"/>
      <c r="BT72" s="710"/>
    </row>
    <row r="73" spans="1:72" s="709" customFormat="1" ht="15" customHeight="1">
      <c r="A73" s="556"/>
      <c r="B73" s="598"/>
      <c r="C73" s="601"/>
      <c r="D73" s="601"/>
      <c r="E73" s="601"/>
      <c r="F73" s="601"/>
      <c r="G73" s="601"/>
      <c r="H73" s="601"/>
      <c r="I73" s="601"/>
      <c r="J73" s="601"/>
      <c r="K73" s="601"/>
      <c r="L73" s="601"/>
      <c r="M73" s="601"/>
      <c r="N73" s="601"/>
      <c r="O73" s="601"/>
      <c r="P73" s="601"/>
      <c r="Q73" s="601"/>
      <c r="R73" s="601"/>
      <c r="S73" s="724"/>
      <c r="T73" s="724"/>
      <c r="U73" s="724"/>
      <c r="V73" s="724"/>
      <c r="W73" s="601"/>
      <c r="X73" s="601"/>
      <c r="Y73" s="724"/>
      <c r="Z73" s="724"/>
      <c r="AA73" s="601"/>
      <c r="AB73" s="601"/>
      <c r="AC73" s="601"/>
      <c r="AD73" s="724"/>
      <c r="AE73" s="724"/>
      <c r="AF73" s="724"/>
      <c r="AG73" s="724"/>
      <c r="AH73" s="724"/>
      <c r="AI73" s="724"/>
      <c r="AJ73" s="724"/>
      <c r="AK73" s="724"/>
      <c r="AL73" s="724"/>
      <c r="AM73" s="724"/>
      <c r="AN73" s="724"/>
      <c r="AO73" s="724"/>
      <c r="AP73" s="724"/>
      <c r="AQ73" s="724"/>
      <c r="AR73" s="724"/>
      <c r="AS73" s="724"/>
      <c r="AT73" s="724"/>
      <c r="AU73" s="724"/>
      <c r="AV73" s="724"/>
      <c r="AW73" s="724"/>
      <c r="AX73" s="724"/>
      <c r="AY73" s="598"/>
      <c r="AZ73" s="598"/>
      <c r="BA73" s="604"/>
      <c r="BB73" s="723"/>
      <c r="BC73" s="571"/>
      <c r="BD73" s="572"/>
      <c r="BE73" s="710"/>
      <c r="BF73" s="710" t="s">
        <v>440</v>
      </c>
      <c r="BG73" s="710"/>
      <c r="BH73" s="710"/>
      <c r="BI73" s="710"/>
      <c r="BJ73" s="710"/>
      <c r="BK73" s="710"/>
      <c r="BL73" s="710"/>
      <c r="BM73" s="710"/>
      <c r="BN73" s="710"/>
      <c r="BO73" s="710"/>
      <c r="BP73" s="710"/>
      <c r="BQ73" s="710"/>
      <c r="BR73" s="710"/>
      <c r="BS73" s="710"/>
      <c r="BT73" s="710"/>
    </row>
    <row r="74" spans="1:72" s="709" customFormat="1" ht="19.5" customHeight="1">
      <c r="A74" s="556"/>
      <c r="B74" s="598"/>
      <c r="C74" s="601"/>
      <c r="D74" s="601"/>
      <c r="E74" s="601"/>
      <c r="F74" s="601"/>
      <c r="G74" s="601"/>
      <c r="H74" s="601"/>
      <c r="I74" s="601"/>
      <c r="J74" s="601"/>
      <c r="K74" s="601"/>
      <c r="L74" s="601"/>
      <c r="M74" s="601"/>
      <c r="N74" s="601"/>
      <c r="O74" s="601"/>
      <c r="P74" s="601"/>
      <c r="Q74" s="601"/>
      <c r="R74" s="601"/>
      <c r="S74" s="724"/>
      <c r="T74" s="724"/>
      <c r="U74" s="724"/>
      <c r="V74" s="724"/>
      <c r="W74" s="601"/>
      <c r="X74" s="601"/>
      <c r="Y74" s="724"/>
      <c r="Z74" s="724"/>
      <c r="AA74" s="601"/>
      <c r="AB74" s="601"/>
      <c r="AC74" s="601"/>
      <c r="AD74" s="724"/>
      <c r="AE74" s="724"/>
      <c r="AF74" s="724"/>
      <c r="AG74" s="724"/>
      <c r="AH74" s="724"/>
      <c r="AI74" s="724"/>
      <c r="AJ74" s="724"/>
      <c r="AK74" s="724"/>
      <c r="AL74" s="724"/>
      <c r="AM74" s="724"/>
      <c r="AN74" s="724"/>
      <c r="AO74" s="724"/>
      <c r="AP74" s="724"/>
      <c r="AQ74" s="724"/>
      <c r="AR74" s="724"/>
      <c r="AS74" s="724"/>
      <c r="AT74" s="724"/>
      <c r="AU74" s="724"/>
      <c r="AV74" s="724"/>
      <c r="AW74" s="724"/>
      <c r="AX74" s="724"/>
      <c r="AY74" s="598"/>
      <c r="AZ74" s="598"/>
      <c r="BA74" s="604"/>
      <c r="BB74" s="723"/>
      <c r="BC74" s="571"/>
      <c r="BD74" s="572"/>
      <c r="BE74" s="710"/>
      <c r="BF74" s="710" t="s">
        <v>441</v>
      </c>
      <c r="BG74" s="710"/>
      <c r="BH74" s="710"/>
      <c r="BI74" s="710"/>
      <c r="BJ74" s="710"/>
      <c r="BK74" s="710"/>
      <c r="BL74" s="710"/>
      <c r="BM74" s="710"/>
      <c r="BN74" s="710"/>
      <c r="BO74" s="710"/>
      <c r="BP74" s="710"/>
      <c r="BQ74" s="710"/>
      <c r="BR74" s="710"/>
      <c r="BS74" s="710"/>
      <c r="BT74" s="710"/>
    </row>
    <row r="75" spans="1:72" s="709" customFormat="1" ht="15" customHeight="1">
      <c r="A75" s="556"/>
      <c r="B75" s="598"/>
      <c r="C75" s="601"/>
      <c r="D75" s="601"/>
      <c r="E75" s="601"/>
      <c r="F75" s="601"/>
      <c r="G75" s="601"/>
      <c r="H75" s="601"/>
      <c r="I75" s="601"/>
      <c r="J75" s="601"/>
      <c r="K75" s="601"/>
      <c r="L75" s="601"/>
      <c r="M75" s="601"/>
      <c r="N75" s="601"/>
      <c r="O75" s="601"/>
      <c r="P75" s="601"/>
      <c r="Q75" s="601"/>
      <c r="R75" s="601"/>
      <c r="S75" s="724"/>
      <c r="T75" s="724"/>
      <c r="U75" s="724"/>
      <c r="V75" s="724"/>
      <c r="W75" s="601"/>
      <c r="X75" s="601"/>
      <c r="Y75" s="724"/>
      <c r="Z75" s="724"/>
      <c r="AA75" s="601"/>
      <c r="AB75" s="601"/>
      <c r="AC75" s="601"/>
      <c r="AD75" s="724"/>
      <c r="AE75" s="724"/>
      <c r="AF75" s="724"/>
      <c r="AG75" s="724"/>
      <c r="AH75" s="724"/>
      <c r="AI75" s="724"/>
      <c r="AJ75" s="724"/>
      <c r="AK75" s="724"/>
      <c r="AL75" s="724"/>
      <c r="AM75" s="724"/>
      <c r="AN75" s="724"/>
      <c r="AO75" s="724"/>
      <c r="AP75" s="724"/>
      <c r="AQ75" s="724"/>
      <c r="AR75" s="724"/>
      <c r="AS75" s="724"/>
      <c r="AT75" s="724"/>
      <c r="AU75" s="724"/>
      <c r="AV75" s="724"/>
      <c r="AW75" s="724"/>
      <c r="AX75" s="724"/>
      <c r="AY75" s="598"/>
      <c r="AZ75" s="598"/>
      <c r="BA75" s="604"/>
      <c r="BB75" s="723"/>
      <c r="BC75" s="571"/>
      <c r="BD75" s="572"/>
      <c r="BE75" s="710"/>
      <c r="BF75" s="710" t="s">
        <v>442</v>
      </c>
      <c r="BG75" s="710"/>
      <c r="BH75" s="710"/>
      <c r="BI75" s="710"/>
      <c r="BJ75" s="710"/>
      <c r="BK75" s="710"/>
      <c r="BL75" s="710"/>
      <c r="BM75" s="710"/>
      <c r="BN75" s="710"/>
      <c r="BO75" s="710"/>
      <c r="BP75" s="710"/>
      <c r="BQ75" s="710"/>
      <c r="BR75" s="710"/>
      <c r="BS75" s="710"/>
      <c r="BT75" s="710"/>
    </row>
    <row r="76" spans="1:72" s="709" customFormat="1" ht="25.5" customHeight="1">
      <c r="A76" s="556"/>
      <c r="B76" s="598"/>
      <c r="C76" s="601"/>
      <c r="D76" s="601"/>
      <c r="E76" s="601"/>
      <c r="F76" s="601"/>
      <c r="G76" s="601"/>
      <c r="H76" s="601"/>
      <c r="I76" s="601"/>
      <c r="J76" s="601"/>
      <c r="K76" s="601"/>
      <c r="L76" s="601"/>
      <c r="M76" s="601"/>
      <c r="N76" s="601"/>
      <c r="O76" s="601"/>
      <c r="P76" s="601"/>
      <c r="Q76" s="601"/>
      <c r="R76" s="601"/>
      <c r="S76" s="724"/>
      <c r="T76" s="724"/>
      <c r="U76" s="724"/>
      <c r="V76" s="724"/>
      <c r="W76" s="601"/>
      <c r="X76" s="601"/>
      <c r="Y76" s="724"/>
      <c r="Z76" s="724"/>
      <c r="AA76" s="601"/>
      <c r="AB76" s="601"/>
      <c r="AC76" s="601"/>
      <c r="AD76" s="724"/>
      <c r="AE76" s="724"/>
      <c r="AF76" s="724"/>
      <c r="AG76" s="724"/>
      <c r="AH76" s="724"/>
      <c r="AI76" s="724"/>
      <c r="AJ76" s="724"/>
      <c r="AK76" s="724"/>
      <c r="AL76" s="724"/>
      <c r="AM76" s="724"/>
      <c r="AN76" s="724"/>
      <c r="AO76" s="724"/>
      <c r="AP76" s="724"/>
      <c r="AQ76" s="724"/>
      <c r="AR76" s="724"/>
      <c r="AS76" s="724"/>
      <c r="AT76" s="724"/>
      <c r="AU76" s="724"/>
      <c r="AV76" s="724"/>
      <c r="AW76" s="724"/>
      <c r="AX76" s="724"/>
      <c r="AY76" s="598"/>
      <c r="AZ76" s="598"/>
      <c r="BA76" s="604"/>
      <c r="BB76" s="723"/>
      <c r="BC76" s="571"/>
      <c r="BD76" s="572"/>
      <c r="BE76" s="710"/>
      <c r="BF76" s="710" t="s">
        <v>443</v>
      </c>
      <c r="BG76" s="710"/>
      <c r="BH76" s="710"/>
      <c r="BI76" s="710"/>
      <c r="BJ76" s="710"/>
      <c r="BK76" s="710"/>
      <c r="BL76" s="710"/>
      <c r="BM76" s="710"/>
      <c r="BN76" s="710"/>
      <c r="BO76" s="710"/>
      <c r="BP76" s="710"/>
      <c r="BQ76" s="710"/>
      <c r="BR76" s="710"/>
      <c r="BS76" s="710"/>
      <c r="BT76" s="710"/>
    </row>
    <row r="77" spans="1:72" s="709" customFormat="1" ht="27" customHeight="1">
      <c r="A77" s="556"/>
      <c r="B77" s="598"/>
      <c r="C77" s="601"/>
      <c r="D77" s="601"/>
      <c r="E77" s="601"/>
      <c r="F77" s="601"/>
      <c r="G77" s="601"/>
      <c r="H77" s="601"/>
      <c r="I77" s="601"/>
      <c r="J77" s="601"/>
      <c r="K77" s="601"/>
      <c r="L77" s="601"/>
      <c r="M77" s="601"/>
      <c r="N77" s="601"/>
      <c r="O77" s="601"/>
      <c r="P77" s="601"/>
      <c r="Q77" s="601"/>
      <c r="R77" s="601"/>
      <c r="S77" s="724"/>
      <c r="T77" s="724"/>
      <c r="U77" s="724"/>
      <c r="V77" s="724"/>
      <c r="W77" s="601"/>
      <c r="X77" s="601"/>
      <c r="Y77" s="724"/>
      <c r="Z77" s="724"/>
      <c r="AA77" s="601"/>
      <c r="AB77" s="601"/>
      <c r="AC77" s="601"/>
      <c r="AD77" s="724"/>
      <c r="AE77" s="724"/>
      <c r="AF77" s="724"/>
      <c r="AG77" s="724"/>
      <c r="AH77" s="724"/>
      <c r="AI77" s="724"/>
      <c r="AJ77" s="724"/>
      <c r="AK77" s="724"/>
      <c r="AL77" s="724"/>
      <c r="AM77" s="724"/>
      <c r="AN77" s="724"/>
      <c r="AO77" s="724"/>
      <c r="AP77" s="724"/>
      <c r="AQ77" s="724"/>
      <c r="AR77" s="724"/>
      <c r="AS77" s="724"/>
      <c r="AT77" s="724"/>
      <c r="AU77" s="724"/>
      <c r="AV77" s="724"/>
      <c r="AW77" s="724"/>
      <c r="AX77" s="724"/>
      <c r="AY77" s="598"/>
      <c r="AZ77" s="598"/>
      <c r="BA77" s="604"/>
      <c r="BB77" s="723"/>
      <c r="BC77" s="571"/>
      <c r="BD77" s="572"/>
      <c r="BE77" s="710"/>
      <c r="BF77" s="710" t="s">
        <v>444</v>
      </c>
      <c r="BG77" s="710"/>
      <c r="BH77" s="710"/>
      <c r="BI77" s="710"/>
      <c r="BJ77" s="710"/>
      <c r="BK77" s="710"/>
      <c r="BL77" s="710"/>
      <c r="BM77" s="710"/>
      <c r="BN77" s="710"/>
      <c r="BO77" s="710"/>
      <c r="BP77" s="710"/>
      <c r="BQ77" s="710"/>
      <c r="BR77" s="710"/>
      <c r="BS77" s="710"/>
      <c r="BT77" s="710"/>
    </row>
    <row r="78" spans="1:72" s="709" customFormat="1" ht="34.5" customHeight="1">
      <c r="A78" s="556"/>
      <c r="B78" s="598"/>
      <c r="C78" s="601"/>
      <c r="D78" s="601"/>
      <c r="E78" s="601"/>
      <c r="F78" s="601"/>
      <c r="G78" s="601"/>
      <c r="H78" s="601"/>
      <c r="I78" s="601"/>
      <c r="J78" s="601"/>
      <c r="K78" s="601"/>
      <c r="L78" s="601"/>
      <c r="M78" s="601"/>
      <c r="N78" s="601"/>
      <c r="O78" s="601"/>
      <c r="P78" s="601"/>
      <c r="Q78" s="601"/>
      <c r="R78" s="601"/>
      <c r="S78" s="724"/>
      <c r="T78" s="724"/>
      <c r="U78" s="724"/>
      <c r="V78" s="724"/>
      <c r="W78" s="601"/>
      <c r="X78" s="601"/>
      <c r="Y78" s="724"/>
      <c r="Z78" s="724"/>
      <c r="AA78" s="601"/>
      <c r="AB78" s="601"/>
      <c r="AC78" s="601"/>
      <c r="AD78" s="724"/>
      <c r="AE78" s="724"/>
      <c r="AF78" s="724"/>
      <c r="AG78" s="724"/>
      <c r="AH78" s="724"/>
      <c r="AI78" s="724"/>
      <c r="AJ78" s="724"/>
      <c r="AK78" s="724"/>
      <c r="AL78" s="724"/>
      <c r="AM78" s="724"/>
      <c r="AN78" s="724"/>
      <c r="AO78" s="724"/>
      <c r="AP78" s="724"/>
      <c r="AQ78" s="724"/>
      <c r="AR78" s="724"/>
      <c r="AS78" s="724"/>
      <c r="AT78" s="724"/>
      <c r="AU78" s="724"/>
      <c r="AV78" s="724"/>
      <c r="AW78" s="724"/>
      <c r="AX78" s="724"/>
      <c r="AY78" s="598"/>
      <c r="AZ78" s="598"/>
      <c r="BA78" s="604"/>
      <c r="BB78" s="723"/>
      <c r="BC78" s="571"/>
      <c r="BD78" s="572"/>
      <c r="BE78" s="710"/>
      <c r="BF78" s="710"/>
      <c r="BG78" s="710" t="s">
        <v>445</v>
      </c>
      <c r="BH78" s="710"/>
      <c r="BI78" s="710"/>
      <c r="BJ78" s="710"/>
      <c r="BK78" s="710"/>
      <c r="BL78" s="710"/>
      <c r="BM78" s="710"/>
      <c r="BN78" s="710"/>
      <c r="BO78" s="710"/>
      <c r="BP78" s="710"/>
      <c r="BQ78" s="710"/>
      <c r="BR78" s="710"/>
      <c r="BS78" s="710"/>
      <c r="BT78" s="710"/>
    </row>
    <row r="79" spans="1:72" s="709" customFormat="1" ht="34.5" customHeight="1">
      <c r="A79" s="556"/>
      <c r="B79" s="598"/>
      <c r="C79" s="601"/>
      <c r="D79" s="601"/>
      <c r="E79" s="601"/>
      <c r="F79" s="601"/>
      <c r="G79" s="601"/>
      <c r="H79" s="601"/>
      <c r="I79" s="601"/>
      <c r="J79" s="601"/>
      <c r="K79" s="601"/>
      <c r="L79" s="601"/>
      <c r="M79" s="601"/>
      <c r="N79" s="601"/>
      <c r="O79" s="601"/>
      <c r="P79" s="601"/>
      <c r="Q79" s="601"/>
      <c r="R79" s="601"/>
      <c r="S79" s="724"/>
      <c r="T79" s="724"/>
      <c r="U79" s="724"/>
      <c r="V79" s="724"/>
      <c r="W79" s="601"/>
      <c r="X79" s="601"/>
      <c r="Y79" s="724"/>
      <c r="Z79" s="724"/>
      <c r="AA79" s="601"/>
      <c r="AB79" s="601"/>
      <c r="AC79" s="601"/>
      <c r="AD79" s="724"/>
      <c r="AE79" s="724"/>
      <c r="AF79" s="724"/>
      <c r="AG79" s="724"/>
      <c r="AH79" s="724"/>
      <c r="AI79" s="724"/>
      <c r="AJ79" s="724"/>
      <c r="AK79" s="724"/>
      <c r="AL79" s="724"/>
      <c r="AM79" s="724"/>
      <c r="AN79" s="724"/>
      <c r="AO79" s="724"/>
      <c r="AP79" s="724"/>
      <c r="AQ79" s="724"/>
      <c r="AR79" s="724"/>
      <c r="AS79" s="724"/>
      <c r="AT79" s="724"/>
      <c r="AU79" s="724"/>
      <c r="AV79" s="724"/>
      <c r="AW79" s="724"/>
      <c r="AX79" s="724"/>
      <c r="AY79" s="598"/>
      <c r="AZ79" s="598"/>
      <c r="BA79" s="604"/>
      <c r="BB79" s="723"/>
      <c r="BC79" s="571"/>
      <c r="BD79" s="572"/>
      <c r="BE79" s="710"/>
      <c r="BF79" s="710"/>
      <c r="BG79" s="710" t="s">
        <v>446</v>
      </c>
      <c r="BH79" s="710"/>
      <c r="BI79" s="710"/>
      <c r="BJ79" s="710"/>
      <c r="BK79" s="710"/>
      <c r="BL79" s="710"/>
      <c r="BM79" s="710"/>
      <c r="BN79" s="710"/>
      <c r="BO79" s="710"/>
      <c r="BP79" s="710"/>
      <c r="BQ79" s="710"/>
      <c r="BR79" s="710"/>
      <c r="BS79" s="710"/>
      <c r="BT79" s="710"/>
    </row>
    <row r="80" spans="1:72" s="709" customFormat="1" ht="20.45" customHeight="1">
      <c r="A80" s="556"/>
      <c r="B80" s="598"/>
      <c r="C80" s="601"/>
      <c r="D80" s="601"/>
      <c r="E80" s="601"/>
      <c r="F80" s="601"/>
      <c r="G80" s="601"/>
      <c r="H80" s="601"/>
      <c r="I80" s="601"/>
      <c r="J80" s="601"/>
      <c r="K80" s="601"/>
      <c r="L80" s="601"/>
      <c r="M80" s="601"/>
      <c r="N80" s="601"/>
      <c r="O80" s="601"/>
      <c r="P80" s="601"/>
      <c r="Q80" s="601"/>
      <c r="R80" s="601"/>
      <c r="S80" s="724"/>
      <c r="T80" s="724"/>
      <c r="U80" s="724"/>
      <c r="V80" s="724"/>
      <c r="W80" s="601"/>
      <c r="X80" s="601"/>
      <c r="Y80" s="724"/>
      <c r="Z80" s="724"/>
      <c r="AA80" s="601"/>
      <c r="AB80" s="601"/>
      <c r="AC80" s="601"/>
      <c r="AD80" s="724"/>
      <c r="AE80" s="724"/>
      <c r="AF80" s="724"/>
      <c r="AG80" s="724"/>
      <c r="AH80" s="724"/>
      <c r="AI80" s="724"/>
      <c r="AJ80" s="724"/>
      <c r="AK80" s="724"/>
      <c r="AL80" s="724"/>
      <c r="AM80" s="724"/>
      <c r="AN80" s="724"/>
      <c r="AO80" s="724"/>
      <c r="AP80" s="724"/>
      <c r="AQ80" s="724"/>
      <c r="AR80" s="724"/>
      <c r="AS80" s="724"/>
      <c r="AT80" s="724"/>
      <c r="AU80" s="724"/>
      <c r="AV80" s="724"/>
      <c r="AW80" s="724"/>
      <c r="AX80" s="724"/>
      <c r="AY80" s="598"/>
      <c r="AZ80" s="598"/>
      <c r="BA80" s="604"/>
      <c r="BB80" s="723"/>
      <c r="BC80" s="571"/>
      <c r="BD80" s="572"/>
      <c r="BE80" s="710"/>
      <c r="BF80" s="710"/>
      <c r="BG80" s="710" t="s">
        <v>447</v>
      </c>
      <c r="BH80" s="710"/>
      <c r="BI80" s="710"/>
      <c r="BJ80" s="710"/>
      <c r="BK80" s="710"/>
      <c r="BL80" s="710"/>
      <c r="BM80" s="710"/>
      <c r="BN80" s="710"/>
      <c r="BO80" s="710"/>
      <c r="BP80" s="710"/>
      <c r="BQ80" s="710"/>
      <c r="BR80" s="710"/>
      <c r="BS80" s="710"/>
      <c r="BT80" s="710"/>
    </row>
    <row r="81" spans="1:72" s="709" customFormat="1" ht="19.5" customHeight="1">
      <c r="A81" s="556"/>
      <c r="B81" s="598"/>
      <c r="C81" s="601"/>
      <c r="D81" s="601"/>
      <c r="E81" s="601"/>
      <c r="F81" s="601"/>
      <c r="G81" s="601"/>
      <c r="H81" s="601"/>
      <c r="I81" s="601"/>
      <c r="J81" s="601"/>
      <c r="K81" s="601"/>
      <c r="L81" s="601"/>
      <c r="M81" s="601"/>
      <c r="N81" s="601"/>
      <c r="O81" s="601"/>
      <c r="P81" s="601"/>
      <c r="Q81" s="601"/>
      <c r="R81" s="601"/>
      <c r="S81" s="724"/>
      <c r="T81" s="724"/>
      <c r="U81" s="724"/>
      <c r="V81" s="724"/>
      <c r="W81" s="601"/>
      <c r="X81" s="601"/>
      <c r="Y81" s="724"/>
      <c r="Z81" s="724"/>
      <c r="AA81" s="601"/>
      <c r="AB81" s="601"/>
      <c r="AC81" s="601"/>
      <c r="AD81" s="724"/>
      <c r="AE81" s="724"/>
      <c r="AF81" s="724"/>
      <c r="AG81" s="724"/>
      <c r="AH81" s="724"/>
      <c r="AI81" s="724"/>
      <c r="AJ81" s="724"/>
      <c r="AK81" s="724"/>
      <c r="AL81" s="724"/>
      <c r="AM81" s="724"/>
      <c r="AN81" s="724"/>
      <c r="AO81" s="724"/>
      <c r="AP81" s="724"/>
      <c r="AQ81" s="724"/>
      <c r="AR81" s="724"/>
      <c r="AS81" s="724"/>
      <c r="AT81" s="724"/>
      <c r="AU81" s="724"/>
      <c r="AV81" s="724"/>
      <c r="AW81" s="724"/>
      <c r="AX81" s="724"/>
      <c r="AY81" s="598"/>
      <c r="AZ81" s="598"/>
      <c r="BA81" s="604"/>
      <c r="BB81" s="723"/>
      <c r="BC81" s="571"/>
      <c r="BD81" s="572"/>
      <c r="BE81" s="710"/>
      <c r="BF81" s="710"/>
      <c r="BG81" s="710"/>
      <c r="BH81" s="710"/>
      <c r="BI81" s="710"/>
      <c r="BJ81" s="710"/>
      <c r="BK81" s="710"/>
      <c r="BL81" s="710"/>
      <c r="BM81" s="710"/>
      <c r="BN81" s="710"/>
      <c r="BO81" s="710"/>
      <c r="BP81" s="710"/>
      <c r="BQ81" s="710"/>
      <c r="BR81" s="710"/>
      <c r="BS81" s="710"/>
      <c r="BT81" s="710"/>
    </row>
    <row r="82" spans="1:72" s="709" customFormat="1" ht="16.5" customHeight="1">
      <c r="A82" s="556"/>
      <c r="B82" s="598"/>
      <c r="C82" s="601"/>
      <c r="D82" s="601"/>
      <c r="E82" s="601"/>
      <c r="F82" s="601"/>
      <c r="G82" s="601"/>
      <c r="H82" s="601"/>
      <c r="I82" s="601"/>
      <c r="J82" s="601"/>
      <c r="K82" s="601"/>
      <c r="L82" s="601"/>
      <c r="M82" s="601"/>
      <c r="N82" s="601"/>
      <c r="O82" s="601"/>
      <c r="P82" s="601"/>
      <c r="Q82" s="601"/>
      <c r="R82" s="601"/>
      <c r="S82" s="724"/>
      <c r="T82" s="724"/>
      <c r="U82" s="724"/>
      <c r="V82" s="724"/>
      <c r="W82" s="601"/>
      <c r="X82" s="601"/>
      <c r="Y82" s="724"/>
      <c r="Z82" s="724"/>
      <c r="AA82" s="601"/>
      <c r="AB82" s="601"/>
      <c r="AC82" s="601"/>
      <c r="AD82" s="724"/>
      <c r="AE82" s="724"/>
      <c r="AF82" s="724"/>
      <c r="AG82" s="724"/>
      <c r="AH82" s="724"/>
      <c r="AI82" s="724"/>
      <c r="AJ82" s="724"/>
      <c r="AK82" s="724"/>
      <c r="AL82" s="724"/>
      <c r="AM82" s="724"/>
      <c r="AN82" s="724"/>
      <c r="AO82" s="724"/>
      <c r="AP82" s="724"/>
      <c r="AQ82" s="724"/>
      <c r="AR82" s="724"/>
      <c r="AS82" s="724"/>
      <c r="AT82" s="724"/>
      <c r="AU82" s="724"/>
      <c r="AV82" s="724"/>
      <c r="AW82" s="724"/>
      <c r="AX82" s="724"/>
      <c r="AY82" s="598"/>
      <c r="AZ82" s="598"/>
      <c r="BA82" s="604"/>
      <c r="BB82" s="723"/>
      <c r="BC82" s="571"/>
      <c r="BD82" s="572"/>
      <c r="BE82" s="710"/>
      <c r="BF82" s="710"/>
      <c r="BG82" s="710" t="s">
        <v>448</v>
      </c>
      <c r="BH82" s="710"/>
      <c r="BI82" s="710"/>
      <c r="BJ82" s="710"/>
      <c r="BK82" s="710"/>
      <c r="BL82" s="710"/>
      <c r="BM82" s="710"/>
      <c r="BN82" s="710"/>
      <c r="BO82" s="710"/>
      <c r="BP82" s="710"/>
      <c r="BQ82" s="710"/>
      <c r="BR82" s="710"/>
      <c r="BS82" s="710"/>
      <c r="BT82" s="710"/>
    </row>
    <row r="83" spans="1:72" s="709" customFormat="1" ht="16.5" customHeight="1">
      <c r="A83" s="556"/>
      <c r="B83" s="598"/>
      <c r="C83" s="601"/>
      <c r="D83" s="601"/>
      <c r="E83" s="601"/>
      <c r="F83" s="601"/>
      <c r="G83" s="601"/>
      <c r="H83" s="601"/>
      <c r="I83" s="601"/>
      <c r="J83" s="601"/>
      <c r="K83" s="601"/>
      <c r="L83" s="601"/>
      <c r="M83" s="601"/>
      <c r="N83" s="601"/>
      <c r="O83" s="601"/>
      <c r="P83" s="601"/>
      <c r="Q83" s="601"/>
      <c r="R83" s="601"/>
      <c r="S83" s="724"/>
      <c r="T83" s="724"/>
      <c r="U83" s="724"/>
      <c r="V83" s="724"/>
      <c r="W83" s="601"/>
      <c r="X83" s="601"/>
      <c r="Y83" s="724"/>
      <c r="Z83" s="724"/>
      <c r="AA83" s="601"/>
      <c r="AB83" s="601"/>
      <c r="AC83" s="601"/>
      <c r="AD83" s="724"/>
      <c r="AE83" s="724"/>
      <c r="AF83" s="724"/>
      <c r="AG83" s="724"/>
      <c r="AH83" s="724"/>
      <c r="AI83" s="724"/>
      <c r="AJ83" s="724"/>
      <c r="AK83" s="724"/>
      <c r="AL83" s="724"/>
      <c r="AM83" s="724"/>
      <c r="AN83" s="724"/>
      <c r="AO83" s="724"/>
      <c r="AP83" s="724"/>
      <c r="AQ83" s="724"/>
      <c r="AR83" s="724"/>
      <c r="AS83" s="724"/>
      <c r="AT83" s="724"/>
      <c r="AU83" s="724"/>
      <c r="AV83" s="724"/>
      <c r="AW83" s="724"/>
      <c r="AX83" s="724"/>
      <c r="AY83" s="598"/>
      <c r="AZ83" s="598"/>
      <c r="BA83" s="604"/>
      <c r="BB83" s="723"/>
      <c r="BC83" s="571"/>
      <c r="BD83" s="572"/>
      <c r="BE83" s="710"/>
      <c r="BF83" s="710"/>
      <c r="BG83" s="710" t="s">
        <v>449</v>
      </c>
      <c r="BH83" s="710"/>
      <c r="BI83" s="710"/>
      <c r="BJ83" s="710"/>
      <c r="BK83" s="710"/>
      <c r="BL83" s="710"/>
      <c r="BM83" s="710"/>
      <c r="BN83" s="710"/>
      <c r="BO83" s="710"/>
      <c r="BP83" s="710"/>
      <c r="BQ83" s="710"/>
      <c r="BR83" s="710"/>
      <c r="BS83" s="710"/>
      <c r="BT83" s="710"/>
    </row>
    <row r="84" spans="1:72" s="709" customFormat="1" ht="16.5" customHeight="1">
      <c r="A84" s="556"/>
      <c r="B84" s="598"/>
      <c r="C84" s="601"/>
      <c r="D84" s="601"/>
      <c r="E84" s="601"/>
      <c r="F84" s="601"/>
      <c r="G84" s="601"/>
      <c r="H84" s="601"/>
      <c r="I84" s="601"/>
      <c r="J84" s="601"/>
      <c r="K84" s="601"/>
      <c r="L84" s="601"/>
      <c r="M84" s="601"/>
      <c r="N84" s="601"/>
      <c r="O84" s="601"/>
      <c r="P84" s="601"/>
      <c r="Q84" s="601"/>
      <c r="R84" s="601"/>
      <c r="S84" s="724"/>
      <c r="T84" s="724"/>
      <c r="U84" s="724"/>
      <c r="V84" s="724"/>
      <c r="W84" s="601"/>
      <c r="X84" s="601"/>
      <c r="Y84" s="724"/>
      <c r="Z84" s="724"/>
      <c r="AA84" s="601"/>
      <c r="AB84" s="601"/>
      <c r="AC84" s="601"/>
      <c r="AD84" s="724"/>
      <c r="AE84" s="724"/>
      <c r="AF84" s="724"/>
      <c r="AG84" s="724"/>
      <c r="AH84" s="724"/>
      <c r="AI84" s="724"/>
      <c r="AJ84" s="724"/>
      <c r="AK84" s="724"/>
      <c r="AL84" s="724"/>
      <c r="AM84" s="724"/>
      <c r="AN84" s="724"/>
      <c r="AO84" s="724"/>
      <c r="AP84" s="724"/>
      <c r="AQ84" s="724"/>
      <c r="AR84" s="724"/>
      <c r="AS84" s="724"/>
      <c r="AT84" s="724"/>
      <c r="AU84" s="724"/>
      <c r="AV84" s="724"/>
      <c r="AW84" s="724"/>
      <c r="AX84" s="724"/>
      <c r="AY84" s="598"/>
      <c r="AZ84" s="598"/>
      <c r="BA84" s="604"/>
      <c r="BB84" s="723"/>
      <c r="BC84" s="571"/>
      <c r="BD84" s="572"/>
      <c r="BE84" s="710"/>
      <c r="BF84" s="710"/>
      <c r="BG84" s="710"/>
      <c r="BH84" s="710"/>
      <c r="BI84" s="710"/>
      <c r="BJ84" s="710"/>
      <c r="BK84" s="710"/>
      <c r="BL84" s="710"/>
      <c r="BM84" s="710"/>
      <c r="BN84" s="710"/>
      <c r="BO84" s="710"/>
      <c r="BP84" s="710"/>
      <c r="BQ84" s="710"/>
      <c r="BR84" s="710"/>
      <c r="BS84" s="710"/>
      <c r="BT84" s="710"/>
    </row>
    <row r="85" spans="1:72" s="709" customFormat="1" ht="15.75">
      <c r="A85" s="573"/>
      <c r="B85" s="715"/>
      <c r="C85" s="716"/>
      <c r="D85" s="716"/>
      <c r="E85" s="716"/>
      <c r="F85" s="716"/>
      <c r="G85" s="716"/>
      <c r="H85" s="716"/>
      <c r="I85" s="716"/>
      <c r="J85" s="716"/>
      <c r="K85" s="716"/>
      <c r="L85" s="716"/>
      <c r="M85" s="716"/>
      <c r="N85" s="716"/>
      <c r="O85" s="716"/>
      <c r="P85" s="716"/>
      <c r="Q85" s="716"/>
      <c r="R85" s="716"/>
      <c r="S85" s="717"/>
      <c r="T85" s="717"/>
      <c r="U85" s="717"/>
      <c r="V85" s="717"/>
      <c r="W85" s="716"/>
      <c r="X85" s="716"/>
      <c r="Y85" s="717"/>
      <c r="Z85" s="717"/>
      <c r="AA85" s="716"/>
      <c r="AB85" s="716"/>
      <c r="AC85" s="716"/>
      <c r="AD85" s="717"/>
      <c r="AE85" s="717"/>
      <c r="AF85" s="717"/>
      <c r="AG85" s="717"/>
      <c r="AH85" s="717"/>
      <c r="AI85" s="717"/>
      <c r="AJ85" s="717"/>
      <c r="AK85" s="717"/>
      <c r="AL85" s="717"/>
      <c r="AM85" s="717"/>
      <c r="AN85" s="717"/>
      <c r="AO85" s="717"/>
      <c r="AP85" s="717"/>
      <c r="AQ85" s="717"/>
      <c r="AR85" s="717"/>
      <c r="AS85" s="717"/>
      <c r="AT85" s="717"/>
      <c r="AU85" s="717"/>
      <c r="AV85" s="717"/>
      <c r="AW85" s="717"/>
      <c r="AX85" s="717"/>
      <c r="AY85" s="715"/>
      <c r="AZ85" s="715"/>
      <c r="BA85" s="620"/>
      <c r="BB85" s="778"/>
      <c r="BC85" s="575"/>
      <c r="BD85" s="572"/>
      <c r="BE85" s="710"/>
      <c r="BF85" s="710"/>
      <c r="BG85" s="710"/>
      <c r="BH85" s="710"/>
      <c r="BI85" s="710"/>
      <c r="BJ85" s="710"/>
      <c r="BK85" s="710"/>
      <c r="BL85" s="710"/>
      <c r="BM85" s="710"/>
      <c r="BN85" s="710"/>
      <c r="BO85" s="710"/>
      <c r="BP85" s="710"/>
      <c r="BQ85" s="710"/>
      <c r="BR85" s="710"/>
      <c r="BS85" s="710"/>
      <c r="BT85" s="710"/>
    </row>
    <row r="86" spans="1:72" s="709" customFormat="1" ht="15.75">
      <c r="A86" s="545"/>
      <c r="B86" s="545"/>
      <c r="C86" s="545"/>
      <c r="D86" s="545"/>
      <c r="E86" s="545"/>
      <c r="F86" s="545"/>
      <c r="G86" s="545"/>
      <c r="H86" s="545"/>
      <c r="I86" s="545"/>
      <c r="J86" s="545"/>
      <c r="K86" s="545"/>
      <c r="L86" s="545"/>
      <c r="M86" s="545"/>
      <c r="N86" s="545"/>
      <c r="O86" s="545"/>
      <c r="P86" s="545"/>
      <c r="Q86" s="545"/>
      <c r="R86" s="545"/>
      <c r="S86" s="576"/>
      <c r="T86" s="576"/>
      <c r="U86" s="576"/>
      <c r="V86" s="576"/>
      <c r="W86" s="545"/>
      <c r="X86" s="545"/>
      <c r="Y86" s="576"/>
      <c r="Z86" s="576"/>
      <c r="AA86" s="545"/>
      <c r="AB86" s="545"/>
      <c r="AC86" s="545"/>
      <c r="AD86" s="576"/>
      <c r="AE86" s="576"/>
      <c r="AF86" s="576"/>
      <c r="AG86" s="576"/>
      <c r="AH86" s="576"/>
      <c r="AI86" s="576"/>
      <c r="AJ86" s="576"/>
      <c r="AK86" s="576"/>
      <c r="AL86" s="576"/>
      <c r="AM86" s="576"/>
      <c r="AN86" s="576"/>
      <c r="AO86" s="576"/>
      <c r="AP86" s="576"/>
      <c r="AQ86" s="576"/>
      <c r="AR86" s="576"/>
      <c r="AS86" s="576"/>
      <c r="AT86" s="576"/>
      <c r="AU86" s="576"/>
      <c r="AV86" s="576"/>
      <c r="AW86" s="576"/>
      <c r="AX86" s="576"/>
      <c r="AY86" s="576"/>
      <c r="AZ86" s="576"/>
      <c r="BA86" s="576"/>
      <c r="BB86" s="576"/>
      <c r="BC86" s="576"/>
      <c r="BD86" s="572"/>
      <c r="BE86" s="710"/>
      <c r="BF86" s="710"/>
      <c r="BG86" s="710"/>
      <c r="BH86" s="710"/>
      <c r="BI86" s="710"/>
      <c r="BJ86" s="710"/>
      <c r="BK86" s="710"/>
      <c r="BL86" s="710"/>
      <c r="BM86" s="710"/>
      <c r="BN86" s="710"/>
      <c r="BO86" s="710"/>
      <c r="BP86" s="710"/>
      <c r="BQ86" s="710"/>
      <c r="BR86" s="710"/>
      <c r="BS86" s="710"/>
      <c r="BT86" s="710"/>
    </row>
    <row r="87" spans="1:72" s="709" customFormat="1" ht="15.75">
      <c r="A87" s="545"/>
      <c r="B87" s="545"/>
      <c r="C87" s="545"/>
      <c r="D87" s="545"/>
      <c r="E87" s="545"/>
      <c r="F87" s="545"/>
      <c r="G87" s="545"/>
      <c r="H87" s="545"/>
      <c r="I87" s="545"/>
      <c r="J87" s="545"/>
      <c r="K87" s="545"/>
      <c r="L87" s="545"/>
      <c r="M87" s="545"/>
      <c r="N87" s="545"/>
      <c r="O87" s="545"/>
      <c r="P87" s="545"/>
      <c r="Q87" s="545"/>
      <c r="R87" s="545"/>
      <c r="S87" s="576"/>
      <c r="T87" s="576"/>
      <c r="U87" s="576"/>
      <c r="V87" s="576"/>
      <c r="W87" s="545"/>
      <c r="X87" s="545"/>
      <c r="Y87" s="576"/>
      <c r="Z87" s="576"/>
      <c r="AA87" s="545"/>
      <c r="AB87" s="545"/>
      <c r="AC87" s="545"/>
      <c r="AD87" s="576"/>
      <c r="AE87" s="576"/>
      <c r="AF87" s="576"/>
      <c r="AG87" s="576"/>
      <c r="AH87" s="576"/>
      <c r="AI87" s="576"/>
      <c r="AJ87" s="576"/>
      <c r="AK87" s="576"/>
      <c r="AL87" s="576"/>
      <c r="AM87" s="576"/>
      <c r="AN87" s="576"/>
      <c r="AO87" s="576"/>
      <c r="AP87" s="576"/>
      <c r="AQ87" s="576"/>
      <c r="AR87" s="576"/>
      <c r="AS87" s="576"/>
      <c r="AT87" s="576"/>
      <c r="AU87" s="576"/>
      <c r="AV87" s="576"/>
      <c r="AW87" s="576"/>
      <c r="AX87" s="576"/>
      <c r="AY87" s="576"/>
      <c r="AZ87" s="576"/>
      <c r="BA87" s="576"/>
      <c r="BB87" s="576"/>
      <c r="BC87" s="576"/>
      <c r="BD87" s="572"/>
      <c r="BE87" s="710"/>
      <c r="BF87" s="710"/>
      <c r="BG87" s="710"/>
      <c r="BH87" s="710"/>
      <c r="BI87" s="710"/>
      <c r="BJ87" s="710"/>
      <c r="BK87" s="710"/>
      <c r="BL87" s="710"/>
      <c r="BM87" s="710"/>
      <c r="BN87" s="710"/>
      <c r="BO87" s="710"/>
      <c r="BP87" s="710"/>
      <c r="BQ87" s="710"/>
      <c r="BR87" s="710"/>
      <c r="BS87" s="710"/>
      <c r="BT87" s="710"/>
    </row>
    <row r="88" spans="1:72" s="709" customFormat="1" ht="15.75">
      <c r="A88" s="545"/>
      <c r="B88" s="545"/>
      <c r="C88" s="545"/>
      <c r="D88" s="545"/>
      <c r="E88" s="545"/>
      <c r="F88" s="545"/>
      <c r="G88" s="545"/>
      <c r="H88" s="545"/>
      <c r="I88" s="545"/>
      <c r="J88" s="545"/>
      <c r="K88" s="545"/>
      <c r="L88" s="545"/>
      <c r="M88" s="545"/>
      <c r="N88" s="545"/>
      <c r="O88" s="545"/>
      <c r="P88" s="545"/>
      <c r="Q88" s="545"/>
      <c r="R88" s="545"/>
      <c r="S88" s="576"/>
      <c r="T88" s="576"/>
      <c r="U88" s="576"/>
      <c r="V88" s="576"/>
      <c r="W88" s="545"/>
      <c r="X88" s="545"/>
      <c r="Y88" s="576"/>
      <c r="Z88" s="576"/>
      <c r="AA88" s="545"/>
      <c r="AB88" s="545"/>
      <c r="AC88" s="545"/>
      <c r="AD88" s="576"/>
      <c r="AE88" s="576"/>
      <c r="AF88" s="576"/>
      <c r="AG88" s="576"/>
      <c r="AH88" s="576"/>
      <c r="AI88" s="576"/>
      <c r="AJ88" s="576"/>
      <c r="AK88" s="576"/>
      <c r="AL88" s="576"/>
      <c r="AM88" s="576"/>
      <c r="AN88" s="576"/>
      <c r="AO88" s="576"/>
      <c r="AP88" s="576"/>
      <c r="AQ88" s="576"/>
      <c r="AR88" s="576"/>
      <c r="AS88" s="576"/>
      <c r="AT88" s="576"/>
      <c r="AU88" s="576"/>
      <c r="AV88" s="576"/>
      <c r="AW88" s="576"/>
      <c r="AX88" s="576"/>
      <c r="AY88" s="576"/>
      <c r="AZ88" s="576"/>
      <c r="BA88" s="576"/>
      <c r="BB88" s="576"/>
      <c r="BC88" s="576"/>
      <c r="BD88" s="572"/>
      <c r="BE88" s="710"/>
      <c r="BF88" s="710"/>
      <c r="BG88" s="710"/>
      <c r="BH88" s="710"/>
      <c r="BI88" s="710"/>
      <c r="BJ88" s="710"/>
      <c r="BK88" s="710"/>
      <c r="BL88" s="710"/>
      <c r="BM88" s="710"/>
      <c r="BN88" s="710"/>
      <c r="BO88" s="710"/>
      <c r="BP88" s="710"/>
      <c r="BQ88" s="710"/>
      <c r="BR88" s="710"/>
      <c r="BS88" s="710"/>
      <c r="BT88" s="710"/>
    </row>
    <row r="89" spans="1:72" s="709" customFormat="1" ht="15.75">
      <c r="A89" s="545"/>
      <c r="B89" s="545"/>
      <c r="C89" s="545"/>
      <c r="D89" s="545"/>
      <c r="E89" s="545"/>
      <c r="F89" s="545"/>
      <c r="G89" s="545"/>
      <c r="H89" s="545"/>
      <c r="I89" s="545"/>
      <c r="J89" s="545"/>
      <c r="K89" s="545"/>
      <c r="L89" s="545"/>
      <c r="M89" s="545"/>
      <c r="N89" s="545"/>
      <c r="O89" s="545"/>
      <c r="P89" s="545"/>
      <c r="Q89" s="545"/>
      <c r="R89" s="545"/>
      <c r="S89" s="576"/>
      <c r="T89" s="576"/>
      <c r="U89" s="576"/>
      <c r="V89" s="576"/>
      <c r="W89" s="545"/>
      <c r="X89" s="545"/>
      <c r="Y89" s="576"/>
      <c r="Z89" s="576"/>
      <c r="AA89" s="545"/>
      <c r="AB89" s="545"/>
      <c r="AC89" s="545"/>
      <c r="AD89" s="576"/>
      <c r="AE89" s="576"/>
      <c r="AF89" s="576"/>
      <c r="AG89" s="576"/>
      <c r="AH89" s="576"/>
      <c r="AI89" s="576"/>
      <c r="AJ89" s="576"/>
      <c r="AK89" s="576"/>
      <c r="AL89" s="576"/>
      <c r="AM89" s="576"/>
      <c r="AN89" s="576"/>
      <c r="AO89" s="576"/>
      <c r="AP89" s="576"/>
      <c r="AQ89" s="576"/>
      <c r="AR89" s="576"/>
      <c r="AS89" s="576"/>
      <c r="AT89" s="576"/>
      <c r="AU89" s="576"/>
      <c r="AV89" s="576"/>
      <c r="AW89" s="576"/>
      <c r="AX89" s="576"/>
      <c r="AY89" s="576"/>
      <c r="AZ89" s="576"/>
      <c r="BA89" s="576"/>
      <c r="BB89" s="576"/>
      <c r="BC89" s="576"/>
      <c r="BD89" s="572"/>
      <c r="BE89" s="710"/>
      <c r="BF89" s="710"/>
      <c r="BG89" s="710"/>
      <c r="BH89" s="710"/>
      <c r="BI89" s="710"/>
      <c r="BJ89" s="710"/>
      <c r="BK89" s="710"/>
      <c r="BL89" s="710"/>
      <c r="BM89" s="710"/>
      <c r="BN89" s="710"/>
      <c r="BO89" s="710"/>
      <c r="BP89" s="710"/>
      <c r="BQ89" s="710"/>
      <c r="BR89" s="710"/>
      <c r="BS89" s="710"/>
      <c r="BT89" s="710"/>
    </row>
    <row r="90" spans="1:72" s="709" customFormat="1" ht="15.75">
      <c r="A90" s="545"/>
      <c r="B90" s="545"/>
      <c r="C90" s="545"/>
      <c r="D90" s="545"/>
      <c r="E90" s="545"/>
      <c r="F90" s="545"/>
      <c r="G90" s="545"/>
      <c r="H90" s="545"/>
      <c r="I90" s="545"/>
      <c r="J90" s="545"/>
      <c r="K90" s="545"/>
      <c r="L90" s="545"/>
      <c r="M90" s="545"/>
      <c r="N90" s="545"/>
      <c r="O90" s="545"/>
      <c r="P90" s="545"/>
      <c r="Q90" s="545"/>
      <c r="R90" s="545"/>
      <c r="S90" s="576"/>
      <c r="T90" s="576"/>
      <c r="U90" s="576"/>
      <c r="V90" s="576"/>
      <c r="W90" s="545"/>
      <c r="X90" s="545"/>
      <c r="Y90" s="576"/>
      <c r="Z90" s="576"/>
      <c r="AA90" s="545"/>
      <c r="AB90" s="545"/>
      <c r="AC90" s="545"/>
      <c r="AD90" s="576"/>
      <c r="AE90" s="576"/>
      <c r="AF90" s="576"/>
      <c r="AG90" s="576"/>
      <c r="AH90" s="576"/>
      <c r="AI90" s="576"/>
      <c r="AJ90" s="576"/>
      <c r="AK90" s="576"/>
      <c r="AL90" s="576"/>
      <c r="AM90" s="576"/>
      <c r="AN90" s="576"/>
      <c r="AO90" s="576"/>
      <c r="AP90" s="576"/>
      <c r="AQ90" s="576"/>
      <c r="AR90" s="576"/>
      <c r="AS90" s="576"/>
      <c r="AT90" s="576"/>
      <c r="AU90" s="576"/>
      <c r="AV90" s="576"/>
      <c r="AW90" s="576"/>
      <c r="AX90" s="576"/>
      <c r="AY90" s="576"/>
      <c r="AZ90" s="576"/>
      <c r="BA90" s="576"/>
      <c r="BB90" s="576"/>
      <c r="BC90" s="576"/>
      <c r="BD90" s="572"/>
      <c r="BE90" s="710"/>
      <c r="BF90" s="710"/>
      <c r="BG90" s="710"/>
      <c r="BH90" s="710"/>
      <c r="BI90" s="710"/>
      <c r="BJ90" s="710"/>
      <c r="BK90" s="710"/>
      <c r="BL90" s="710"/>
      <c r="BM90" s="710"/>
      <c r="BN90" s="710"/>
      <c r="BO90" s="710"/>
      <c r="BP90" s="710"/>
      <c r="BQ90" s="710"/>
      <c r="BR90" s="710"/>
      <c r="BS90" s="710"/>
      <c r="BT90" s="710"/>
    </row>
    <row r="91" spans="1:72" s="709" customFormat="1" ht="15.75">
      <c r="A91" s="545"/>
      <c r="B91" s="545"/>
      <c r="C91" s="545"/>
      <c r="D91" s="545"/>
      <c r="E91" s="545"/>
      <c r="F91" s="545"/>
      <c r="G91" s="545"/>
      <c r="H91" s="545"/>
      <c r="I91" s="545"/>
      <c r="J91" s="545"/>
      <c r="K91" s="545"/>
      <c r="L91" s="545"/>
      <c r="M91" s="545"/>
      <c r="N91" s="545"/>
      <c r="O91" s="545"/>
      <c r="P91" s="545"/>
      <c r="Q91" s="545"/>
      <c r="R91" s="545"/>
      <c r="S91" s="576"/>
      <c r="T91" s="576"/>
      <c r="U91" s="576"/>
      <c r="V91" s="576"/>
      <c r="W91" s="545"/>
      <c r="X91" s="545"/>
      <c r="Y91" s="576"/>
      <c r="Z91" s="576"/>
      <c r="AA91" s="545"/>
      <c r="AB91" s="545"/>
      <c r="AC91" s="545"/>
      <c r="AD91" s="576"/>
      <c r="AE91" s="576"/>
      <c r="AF91" s="576"/>
      <c r="AG91" s="576"/>
      <c r="AH91" s="576"/>
      <c r="AI91" s="576"/>
      <c r="AJ91" s="576"/>
      <c r="AK91" s="576"/>
      <c r="AL91" s="576"/>
      <c r="AM91" s="576"/>
      <c r="AN91" s="576"/>
      <c r="AO91" s="576"/>
      <c r="AP91" s="576"/>
      <c r="AQ91" s="576"/>
      <c r="AR91" s="576"/>
      <c r="AS91" s="576"/>
      <c r="AT91" s="576"/>
      <c r="AU91" s="576"/>
      <c r="AV91" s="576"/>
      <c r="AW91" s="576"/>
      <c r="AX91" s="576"/>
      <c r="AY91" s="576"/>
      <c r="AZ91" s="576"/>
      <c r="BA91" s="576"/>
      <c r="BB91" s="576"/>
      <c r="BC91" s="576"/>
      <c r="BD91" s="572"/>
      <c r="BE91" s="710"/>
      <c r="BF91" s="710"/>
      <c r="BG91" s="710"/>
      <c r="BH91" s="710"/>
      <c r="BI91" s="710"/>
      <c r="BJ91" s="710"/>
      <c r="BK91" s="710"/>
      <c r="BL91" s="710"/>
      <c r="BM91" s="710"/>
      <c r="BN91" s="710"/>
      <c r="BO91" s="710"/>
      <c r="BP91" s="710"/>
      <c r="BQ91" s="710"/>
      <c r="BR91" s="710"/>
      <c r="BS91" s="710"/>
      <c r="BT91" s="710"/>
    </row>
    <row r="92" spans="1:72" s="709" customFormat="1" ht="15.75">
      <c r="A92" s="545"/>
      <c r="B92" s="545"/>
      <c r="C92" s="545"/>
      <c r="D92" s="545"/>
      <c r="E92" s="545"/>
      <c r="F92" s="545"/>
      <c r="G92" s="545"/>
      <c r="H92" s="545"/>
      <c r="I92" s="545"/>
      <c r="J92" s="545"/>
      <c r="K92" s="545"/>
      <c r="L92" s="545"/>
      <c r="M92" s="545"/>
      <c r="N92" s="545"/>
      <c r="O92" s="545"/>
      <c r="P92" s="545"/>
      <c r="Q92" s="545"/>
      <c r="R92" s="545"/>
      <c r="S92" s="576"/>
      <c r="T92" s="576"/>
      <c r="U92" s="576"/>
      <c r="V92" s="576"/>
      <c r="W92" s="545"/>
      <c r="X92" s="545"/>
      <c r="Y92" s="576"/>
      <c r="Z92" s="576"/>
      <c r="AA92" s="545"/>
      <c r="AB92" s="545"/>
      <c r="AC92" s="545"/>
      <c r="AD92" s="576"/>
      <c r="AE92" s="576"/>
      <c r="AF92" s="576"/>
      <c r="AG92" s="576"/>
      <c r="AH92" s="576"/>
      <c r="AI92" s="576"/>
      <c r="AJ92" s="576"/>
      <c r="AK92" s="576"/>
      <c r="AL92" s="576"/>
      <c r="AM92" s="576"/>
      <c r="AN92" s="576"/>
      <c r="AO92" s="576"/>
      <c r="AP92" s="576"/>
      <c r="AQ92" s="576"/>
      <c r="AR92" s="576"/>
      <c r="AS92" s="576"/>
      <c r="AT92" s="576"/>
      <c r="AU92" s="576"/>
      <c r="AV92" s="576"/>
      <c r="AW92" s="576"/>
      <c r="AX92" s="576"/>
      <c r="AY92" s="576"/>
      <c r="AZ92" s="576"/>
      <c r="BA92" s="576"/>
      <c r="BB92" s="576"/>
      <c r="BC92" s="576"/>
      <c r="BD92" s="572"/>
      <c r="BE92" s="710"/>
      <c r="BF92" s="710"/>
      <c r="BG92" s="710"/>
      <c r="BH92" s="710"/>
      <c r="BI92" s="710"/>
      <c r="BJ92" s="710"/>
      <c r="BK92" s="710"/>
      <c r="BL92" s="710"/>
      <c r="BM92" s="710"/>
      <c r="BN92" s="710"/>
      <c r="BO92" s="710"/>
      <c r="BP92" s="710"/>
      <c r="BQ92" s="710"/>
      <c r="BR92" s="710"/>
      <c r="BS92" s="710"/>
      <c r="BT92" s="710"/>
    </row>
    <row r="93" spans="1:72" s="709" customFormat="1" ht="15.75">
      <c r="A93" s="545"/>
      <c r="B93" s="545"/>
      <c r="C93" s="545"/>
      <c r="D93" s="545"/>
      <c r="E93" s="545"/>
      <c r="F93" s="545"/>
      <c r="G93" s="545"/>
      <c r="H93" s="545"/>
      <c r="I93" s="545"/>
      <c r="J93" s="545"/>
      <c r="K93" s="545"/>
      <c r="L93" s="545"/>
      <c r="M93" s="545"/>
      <c r="N93" s="545"/>
      <c r="O93" s="545"/>
      <c r="P93" s="545"/>
      <c r="Q93" s="545"/>
      <c r="R93" s="545"/>
      <c r="S93" s="576"/>
      <c r="T93" s="576"/>
      <c r="U93" s="576"/>
      <c r="V93" s="576"/>
      <c r="W93" s="545"/>
      <c r="X93" s="545"/>
      <c r="Y93" s="576"/>
      <c r="Z93" s="576"/>
      <c r="AA93" s="545"/>
      <c r="AB93" s="545"/>
      <c r="AC93" s="545"/>
      <c r="AD93" s="576"/>
      <c r="AE93" s="576"/>
      <c r="AF93" s="576"/>
      <c r="AG93" s="576"/>
      <c r="AH93" s="576"/>
      <c r="AI93" s="576"/>
      <c r="AJ93" s="576"/>
      <c r="AK93" s="576"/>
      <c r="AL93" s="576"/>
      <c r="AM93" s="576"/>
      <c r="AN93" s="576"/>
      <c r="AO93" s="576"/>
      <c r="AP93" s="576"/>
      <c r="AQ93" s="576"/>
      <c r="AR93" s="576"/>
      <c r="AS93" s="576"/>
      <c r="AT93" s="576"/>
      <c r="AU93" s="576"/>
      <c r="AV93" s="576"/>
      <c r="AW93" s="576"/>
      <c r="AX93" s="576"/>
      <c r="AY93" s="576"/>
      <c r="AZ93" s="576"/>
      <c r="BA93" s="576"/>
      <c r="BB93" s="576"/>
      <c r="BC93" s="576"/>
      <c r="BD93" s="572"/>
      <c r="BE93" s="710"/>
      <c r="BF93" s="710"/>
      <c r="BG93" s="710"/>
      <c r="BH93" s="710"/>
      <c r="BI93" s="710"/>
      <c r="BJ93" s="710"/>
      <c r="BK93" s="710"/>
      <c r="BL93" s="710"/>
      <c r="BM93" s="710"/>
      <c r="BN93" s="710"/>
      <c r="BO93" s="710"/>
      <c r="BP93" s="710"/>
      <c r="BQ93" s="710"/>
      <c r="BR93" s="710"/>
      <c r="BS93" s="710"/>
      <c r="BT93" s="710"/>
    </row>
    <row r="94" spans="1:72" s="709" customFormat="1" ht="15.75">
      <c r="A94" s="545"/>
      <c r="B94" s="545"/>
      <c r="C94" s="545"/>
      <c r="D94" s="545"/>
      <c r="E94" s="545"/>
      <c r="F94" s="545"/>
      <c r="G94" s="545"/>
      <c r="H94" s="545"/>
      <c r="I94" s="545"/>
      <c r="J94" s="545"/>
      <c r="K94" s="545"/>
      <c r="L94" s="545"/>
      <c r="M94" s="545"/>
      <c r="N94" s="545"/>
      <c r="O94" s="545"/>
      <c r="P94" s="545"/>
      <c r="Q94" s="545"/>
      <c r="R94" s="545"/>
      <c r="S94" s="576"/>
      <c r="T94" s="576"/>
      <c r="U94" s="576"/>
      <c r="V94" s="576"/>
      <c r="W94" s="545"/>
      <c r="X94" s="545"/>
      <c r="Y94" s="576"/>
      <c r="Z94" s="576"/>
      <c r="AA94" s="545"/>
      <c r="AB94" s="545"/>
      <c r="AC94" s="545"/>
      <c r="AD94" s="576"/>
      <c r="AE94" s="576"/>
      <c r="AF94" s="576"/>
      <c r="AG94" s="576"/>
      <c r="AH94" s="576"/>
      <c r="AI94" s="576"/>
      <c r="AJ94" s="576"/>
      <c r="AK94" s="576"/>
      <c r="AL94" s="576"/>
      <c r="AM94" s="576"/>
      <c r="AN94" s="576"/>
      <c r="AO94" s="576"/>
      <c r="AP94" s="576"/>
      <c r="AQ94" s="576"/>
      <c r="AR94" s="576"/>
      <c r="AS94" s="576"/>
      <c r="AT94" s="576"/>
      <c r="AU94" s="576"/>
      <c r="AV94" s="576"/>
      <c r="AW94" s="576"/>
      <c r="AX94" s="576"/>
      <c r="AY94" s="576"/>
      <c r="AZ94" s="576"/>
      <c r="BA94" s="576"/>
      <c r="BB94" s="576"/>
      <c r="BC94" s="576"/>
      <c r="BD94" s="572"/>
      <c r="BE94" s="710"/>
      <c r="BF94" s="710"/>
      <c r="BG94" s="710"/>
      <c r="BH94" s="710"/>
      <c r="BI94" s="710"/>
      <c r="BJ94" s="710"/>
      <c r="BK94" s="710"/>
      <c r="BL94" s="710"/>
      <c r="BM94" s="710"/>
      <c r="BN94" s="710"/>
      <c r="BO94" s="710"/>
      <c r="BP94" s="710"/>
      <c r="BQ94" s="710"/>
      <c r="BR94" s="710"/>
      <c r="BS94" s="710"/>
      <c r="BT94" s="710"/>
    </row>
    <row r="95" spans="1:72" s="709" customFormat="1" ht="15.75">
      <c r="A95" s="545"/>
      <c r="B95" s="545"/>
      <c r="C95" s="545"/>
      <c r="D95" s="545"/>
      <c r="E95" s="545"/>
      <c r="F95" s="545"/>
      <c r="G95" s="545"/>
      <c r="H95" s="545"/>
      <c r="I95" s="545"/>
      <c r="J95" s="545"/>
      <c r="K95" s="545"/>
      <c r="L95" s="545"/>
      <c r="M95" s="545"/>
      <c r="N95" s="545"/>
      <c r="O95" s="545"/>
      <c r="P95" s="545"/>
      <c r="Q95" s="545"/>
      <c r="R95" s="545"/>
      <c r="S95" s="576"/>
      <c r="T95" s="576"/>
      <c r="U95" s="576"/>
      <c r="V95" s="576"/>
      <c r="W95" s="545"/>
      <c r="X95" s="545"/>
      <c r="Y95" s="576"/>
      <c r="Z95" s="576"/>
      <c r="AA95" s="545"/>
      <c r="AB95" s="545"/>
      <c r="AC95" s="545"/>
      <c r="AD95" s="576"/>
      <c r="AE95" s="576"/>
      <c r="AF95" s="576"/>
      <c r="AG95" s="576"/>
      <c r="AH95" s="576"/>
      <c r="AI95" s="576"/>
      <c r="AJ95" s="576"/>
      <c r="AK95" s="576"/>
      <c r="AL95" s="576"/>
      <c r="AM95" s="576"/>
      <c r="AN95" s="576"/>
      <c r="AO95" s="576"/>
      <c r="AP95" s="576"/>
      <c r="AQ95" s="576"/>
      <c r="AR95" s="576"/>
      <c r="AS95" s="576"/>
      <c r="AT95" s="576"/>
      <c r="AU95" s="576"/>
      <c r="AV95" s="576"/>
      <c r="AW95" s="576"/>
      <c r="AX95" s="576"/>
      <c r="AY95" s="576"/>
      <c r="AZ95" s="576"/>
      <c r="BA95" s="576"/>
      <c r="BB95" s="576"/>
      <c r="BC95" s="576"/>
      <c r="BD95" s="572"/>
      <c r="BE95" s="710"/>
      <c r="BF95" s="710"/>
      <c r="BG95" s="710"/>
      <c r="BH95" s="710"/>
      <c r="BI95" s="710"/>
      <c r="BJ95" s="710"/>
      <c r="BK95" s="710"/>
      <c r="BL95" s="710"/>
      <c r="BM95" s="710"/>
      <c r="BN95" s="710"/>
      <c r="BO95" s="710"/>
      <c r="BP95" s="710"/>
      <c r="BQ95" s="710"/>
      <c r="BR95" s="710"/>
      <c r="BS95" s="710"/>
      <c r="BT95" s="710"/>
    </row>
    <row r="96" spans="1:72" s="709" customFormat="1" ht="15.75">
      <c r="A96" s="545"/>
      <c r="B96" s="545"/>
      <c r="C96" s="545"/>
      <c r="D96" s="545"/>
      <c r="E96" s="545"/>
      <c r="F96" s="545"/>
      <c r="G96" s="545"/>
      <c r="H96" s="545"/>
      <c r="I96" s="545"/>
      <c r="J96" s="545"/>
      <c r="K96" s="545"/>
      <c r="L96" s="545"/>
      <c r="M96" s="545"/>
      <c r="N96" s="545"/>
      <c r="O96" s="545"/>
      <c r="P96" s="545"/>
      <c r="Q96" s="545"/>
      <c r="R96" s="545"/>
      <c r="S96" s="576"/>
      <c r="T96" s="576"/>
      <c r="U96" s="576"/>
      <c r="V96" s="576"/>
      <c r="W96" s="545"/>
      <c r="X96" s="545"/>
      <c r="Y96" s="576"/>
      <c r="Z96" s="576"/>
      <c r="AA96" s="545"/>
      <c r="AB96" s="545"/>
      <c r="AC96" s="545"/>
      <c r="AD96" s="576"/>
      <c r="AE96" s="576"/>
      <c r="AF96" s="576"/>
      <c r="AG96" s="576"/>
      <c r="AH96" s="576"/>
      <c r="AI96" s="576"/>
      <c r="AJ96" s="576"/>
      <c r="AK96" s="576"/>
      <c r="AL96" s="576"/>
      <c r="AM96" s="576"/>
      <c r="AN96" s="576"/>
      <c r="AO96" s="576"/>
      <c r="AP96" s="576"/>
      <c r="AQ96" s="576"/>
      <c r="AR96" s="576"/>
      <c r="AS96" s="576"/>
      <c r="AT96" s="576"/>
      <c r="AU96" s="576"/>
      <c r="AV96" s="576"/>
      <c r="AW96" s="576"/>
      <c r="AX96" s="576"/>
      <c r="AY96" s="576"/>
      <c r="AZ96" s="576"/>
      <c r="BA96" s="576"/>
      <c r="BB96" s="576"/>
      <c r="BC96" s="576"/>
      <c r="BD96" s="572"/>
      <c r="BE96" s="710"/>
      <c r="BF96" s="710"/>
      <c r="BG96" s="710"/>
      <c r="BH96" s="710"/>
      <c r="BI96" s="710"/>
      <c r="BJ96" s="710"/>
      <c r="BK96" s="710"/>
      <c r="BL96" s="710"/>
      <c r="BM96" s="710"/>
      <c r="BN96" s="710"/>
      <c r="BO96" s="710"/>
      <c r="BP96" s="710"/>
      <c r="BQ96" s="710"/>
      <c r="BR96" s="710"/>
      <c r="BS96" s="710"/>
      <c r="BT96" s="710"/>
    </row>
    <row r="97" spans="1:72" s="709" customFormat="1" ht="15.75">
      <c r="A97" s="545"/>
      <c r="B97" s="545"/>
      <c r="C97" s="545"/>
      <c r="D97" s="545"/>
      <c r="E97" s="545"/>
      <c r="F97" s="545"/>
      <c r="G97" s="545"/>
      <c r="H97" s="545"/>
      <c r="I97" s="545"/>
      <c r="J97" s="545"/>
      <c r="K97" s="545"/>
      <c r="L97" s="545"/>
      <c r="M97" s="545"/>
      <c r="N97" s="545"/>
      <c r="O97" s="545"/>
      <c r="P97" s="545"/>
      <c r="Q97" s="545"/>
      <c r="R97" s="545"/>
      <c r="S97" s="576"/>
      <c r="T97" s="576"/>
      <c r="U97" s="576"/>
      <c r="V97" s="576"/>
      <c r="W97" s="545"/>
      <c r="X97" s="545"/>
      <c r="Y97" s="576"/>
      <c r="Z97" s="576"/>
      <c r="AA97" s="545"/>
      <c r="AB97" s="545"/>
      <c r="AC97" s="545"/>
      <c r="AD97" s="576"/>
      <c r="AE97" s="576"/>
      <c r="AF97" s="576"/>
      <c r="AG97" s="576"/>
      <c r="AH97" s="576"/>
      <c r="AI97" s="576"/>
      <c r="AJ97" s="576"/>
      <c r="AK97" s="576"/>
      <c r="AL97" s="576"/>
      <c r="AM97" s="576"/>
      <c r="AN97" s="576"/>
      <c r="AO97" s="576"/>
      <c r="AP97" s="576"/>
      <c r="AQ97" s="576"/>
      <c r="AR97" s="576"/>
      <c r="AS97" s="576"/>
      <c r="AT97" s="576"/>
      <c r="AU97" s="576"/>
      <c r="AV97" s="576"/>
      <c r="AW97" s="576"/>
      <c r="AX97" s="576"/>
      <c r="AY97" s="576"/>
      <c r="AZ97" s="576"/>
      <c r="BA97" s="576"/>
      <c r="BB97" s="576"/>
      <c r="BC97" s="576"/>
      <c r="BD97" s="572"/>
      <c r="BE97" s="710"/>
      <c r="BF97" s="710"/>
      <c r="BG97" s="710"/>
      <c r="BH97" s="710"/>
      <c r="BI97" s="710"/>
      <c r="BJ97" s="710"/>
      <c r="BK97" s="710"/>
      <c r="BL97" s="710"/>
      <c r="BM97" s="710"/>
      <c r="BN97" s="710"/>
      <c r="BO97" s="710"/>
      <c r="BP97" s="710"/>
      <c r="BQ97" s="710"/>
      <c r="BR97" s="710"/>
      <c r="BS97" s="710"/>
      <c r="BT97" s="710"/>
    </row>
    <row r="98" spans="1:72" s="709" customFormat="1" ht="15.75">
      <c r="A98" s="545"/>
      <c r="B98" s="545"/>
      <c r="C98" s="545"/>
      <c r="D98" s="545"/>
      <c r="E98" s="545"/>
      <c r="F98" s="545"/>
      <c r="G98" s="545"/>
      <c r="H98" s="545"/>
      <c r="I98" s="545"/>
      <c r="J98" s="545"/>
      <c r="K98" s="545"/>
      <c r="L98" s="545"/>
      <c r="M98" s="545"/>
      <c r="N98" s="545"/>
      <c r="O98" s="545"/>
      <c r="P98" s="545"/>
      <c r="Q98" s="545"/>
      <c r="R98" s="545"/>
      <c r="S98" s="576"/>
      <c r="T98" s="576"/>
      <c r="U98" s="576"/>
      <c r="V98" s="576"/>
      <c r="W98" s="545"/>
      <c r="X98" s="545"/>
      <c r="Y98" s="576"/>
      <c r="Z98" s="576"/>
      <c r="AA98" s="545"/>
      <c r="AB98" s="545"/>
      <c r="AC98" s="545"/>
      <c r="AD98" s="576"/>
      <c r="AE98" s="576"/>
      <c r="AF98" s="576"/>
      <c r="AG98" s="576"/>
      <c r="AH98" s="576"/>
      <c r="AI98" s="576"/>
      <c r="AJ98" s="576"/>
      <c r="AK98" s="576"/>
      <c r="AL98" s="576"/>
      <c r="AM98" s="576"/>
      <c r="AN98" s="576"/>
      <c r="AO98" s="576"/>
      <c r="AP98" s="576"/>
      <c r="AQ98" s="576"/>
      <c r="AR98" s="576"/>
      <c r="AS98" s="576"/>
      <c r="AT98" s="576"/>
      <c r="AU98" s="576"/>
      <c r="AV98" s="576"/>
      <c r="AW98" s="576"/>
      <c r="AX98" s="576"/>
      <c r="AY98" s="576"/>
      <c r="AZ98" s="576"/>
      <c r="BA98" s="576"/>
      <c r="BB98" s="576"/>
      <c r="BC98" s="576"/>
      <c r="BD98" s="572"/>
      <c r="BE98" s="710"/>
      <c r="BF98" s="710"/>
      <c r="BG98" s="710"/>
      <c r="BH98" s="710"/>
      <c r="BI98" s="710"/>
      <c r="BJ98" s="710"/>
      <c r="BK98" s="710"/>
      <c r="BL98" s="710"/>
      <c r="BM98" s="710"/>
      <c r="BN98" s="710"/>
      <c r="BO98" s="710"/>
      <c r="BP98" s="710"/>
      <c r="BQ98" s="710"/>
      <c r="BR98" s="710"/>
      <c r="BS98" s="710"/>
      <c r="BT98" s="710"/>
    </row>
    <row r="99" spans="1:72" s="709" customFormat="1" ht="15.75">
      <c r="A99" s="545"/>
      <c r="B99" s="545"/>
      <c r="C99" s="545"/>
      <c r="D99" s="545"/>
      <c r="E99" s="545"/>
      <c r="F99" s="545"/>
      <c r="G99" s="545"/>
      <c r="H99" s="545"/>
      <c r="I99" s="545"/>
      <c r="J99" s="545"/>
      <c r="K99" s="545"/>
      <c r="L99" s="545"/>
      <c r="M99" s="545"/>
      <c r="N99" s="545"/>
      <c r="O99" s="545"/>
      <c r="P99" s="545"/>
      <c r="Q99" s="545"/>
      <c r="R99" s="545"/>
      <c r="S99" s="576"/>
      <c r="T99" s="576"/>
      <c r="U99" s="576"/>
      <c r="V99" s="576"/>
      <c r="W99" s="545"/>
      <c r="X99" s="545"/>
      <c r="Y99" s="576"/>
      <c r="Z99" s="576"/>
      <c r="AA99" s="545"/>
      <c r="AB99" s="545"/>
      <c r="AC99" s="545"/>
      <c r="AD99" s="576"/>
      <c r="AE99" s="576"/>
      <c r="AF99" s="576"/>
      <c r="AG99" s="576"/>
      <c r="AH99" s="576"/>
      <c r="AI99" s="576"/>
      <c r="AJ99" s="576"/>
      <c r="AK99" s="576"/>
      <c r="AL99" s="576"/>
      <c r="AM99" s="576"/>
      <c r="AN99" s="576"/>
      <c r="AO99" s="576"/>
      <c r="AP99" s="576"/>
      <c r="AQ99" s="576"/>
      <c r="AR99" s="576"/>
      <c r="AS99" s="576"/>
      <c r="AT99" s="576"/>
      <c r="AU99" s="576"/>
      <c r="AV99" s="576"/>
      <c r="AW99" s="576"/>
      <c r="AX99" s="576"/>
      <c r="AY99" s="576"/>
      <c r="AZ99" s="576"/>
      <c r="BA99" s="576"/>
      <c r="BB99" s="576"/>
      <c r="BC99" s="576"/>
      <c r="BD99" s="572"/>
      <c r="BE99" s="710"/>
      <c r="BF99" s="710"/>
      <c r="BG99" s="710"/>
      <c r="BH99" s="710"/>
      <c r="BI99" s="710"/>
      <c r="BJ99" s="710"/>
      <c r="BK99" s="710"/>
      <c r="BL99" s="710"/>
      <c r="BM99" s="710"/>
      <c r="BN99" s="710"/>
      <c r="BO99" s="710"/>
      <c r="BP99" s="710"/>
      <c r="BQ99" s="710"/>
      <c r="BR99" s="710"/>
      <c r="BS99" s="710"/>
      <c r="BT99" s="710"/>
    </row>
    <row r="100" spans="1:72" s="709" customFormat="1" ht="15.75">
      <c r="A100" s="545"/>
      <c r="B100" s="545"/>
      <c r="C100" s="545"/>
      <c r="D100" s="545"/>
      <c r="E100" s="545"/>
      <c r="F100" s="545"/>
      <c r="G100" s="545"/>
      <c r="H100" s="545"/>
      <c r="I100" s="545"/>
      <c r="J100" s="545"/>
      <c r="K100" s="545"/>
      <c r="L100" s="545"/>
      <c r="M100" s="545"/>
      <c r="N100" s="545"/>
      <c r="O100" s="545"/>
      <c r="P100" s="545"/>
      <c r="Q100" s="545"/>
      <c r="R100" s="545"/>
      <c r="S100" s="576"/>
      <c r="T100" s="576"/>
      <c r="U100" s="576"/>
      <c r="V100" s="576"/>
      <c r="W100" s="545"/>
      <c r="X100" s="545"/>
      <c r="Y100" s="576"/>
      <c r="Z100" s="576"/>
      <c r="AA100" s="545"/>
      <c r="AB100" s="545"/>
      <c r="AC100" s="545"/>
      <c r="AD100" s="576"/>
      <c r="AE100" s="576"/>
      <c r="AF100" s="576"/>
      <c r="AG100" s="576"/>
      <c r="AH100" s="576"/>
      <c r="AI100" s="576"/>
      <c r="AJ100" s="576"/>
      <c r="AK100" s="576"/>
      <c r="AL100" s="576"/>
      <c r="AM100" s="576"/>
      <c r="AN100" s="576"/>
      <c r="AO100" s="576"/>
      <c r="AP100" s="576"/>
      <c r="AQ100" s="576"/>
      <c r="AR100" s="576"/>
      <c r="AS100" s="576"/>
      <c r="AT100" s="576"/>
      <c r="AU100" s="576"/>
      <c r="AV100" s="576"/>
      <c r="AW100" s="576"/>
      <c r="AX100" s="576"/>
      <c r="AY100" s="576"/>
      <c r="AZ100" s="576"/>
      <c r="BA100" s="576"/>
      <c r="BB100" s="576"/>
      <c r="BC100" s="576"/>
      <c r="BD100" s="572"/>
      <c r="BE100" s="710"/>
      <c r="BF100" s="710"/>
      <c r="BG100" s="710"/>
      <c r="BH100" s="710"/>
      <c r="BI100" s="710"/>
      <c r="BJ100" s="710"/>
      <c r="BK100" s="710"/>
      <c r="BL100" s="710"/>
      <c r="BM100" s="710"/>
      <c r="BN100" s="710"/>
      <c r="BO100" s="710"/>
      <c r="BP100" s="710"/>
      <c r="BQ100" s="710"/>
      <c r="BR100" s="710"/>
      <c r="BS100" s="710"/>
      <c r="BT100" s="710"/>
    </row>
    <row r="101" spans="1:72" s="709" customFormat="1" ht="15.75">
      <c r="A101" s="545"/>
      <c r="B101" s="545"/>
      <c r="C101" s="545"/>
      <c r="D101" s="545"/>
      <c r="E101" s="545"/>
      <c r="F101" s="545"/>
      <c r="G101" s="545"/>
      <c r="H101" s="545"/>
      <c r="I101" s="545"/>
      <c r="J101" s="545"/>
      <c r="K101" s="545"/>
      <c r="L101" s="545"/>
      <c r="M101" s="545"/>
      <c r="N101" s="545"/>
      <c r="O101" s="545"/>
      <c r="P101" s="545"/>
      <c r="Q101" s="545"/>
      <c r="R101" s="545"/>
      <c r="S101" s="576"/>
      <c r="T101" s="576"/>
      <c r="U101" s="576"/>
      <c r="V101" s="576"/>
      <c r="W101" s="545"/>
      <c r="X101" s="545"/>
      <c r="Y101" s="576"/>
      <c r="Z101" s="576"/>
      <c r="AA101" s="545"/>
      <c r="AB101" s="545"/>
      <c r="AC101" s="545"/>
      <c r="AD101" s="576"/>
      <c r="AE101" s="576"/>
      <c r="AF101" s="576"/>
      <c r="AG101" s="576"/>
      <c r="AH101" s="576"/>
      <c r="AI101" s="576"/>
      <c r="AJ101" s="576"/>
      <c r="AK101" s="576"/>
      <c r="AL101" s="576"/>
      <c r="AM101" s="576"/>
      <c r="AN101" s="576"/>
      <c r="AO101" s="576"/>
      <c r="AP101" s="576"/>
      <c r="AQ101" s="576"/>
      <c r="AR101" s="576"/>
      <c r="AS101" s="576"/>
      <c r="AT101" s="576"/>
      <c r="AU101" s="576"/>
      <c r="AV101" s="576"/>
      <c r="AW101" s="576"/>
      <c r="AX101" s="576"/>
      <c r="AY101" s="576"/>
      <c r="AZ101" s="576"/>
      <c r="BA101" s="576"/>
      <c r="BB101" s="576"/>
      <c r="BC101" s="576"/>
      <c r="BD101" s="572"/>
      <c r="BE101" s="710"/>
      <c r="BF101" s="710"/>
      <c r="BG101" s="710"/>
      <c r="BH101" s="710"/>
      <c r="BI101" s="710"/>
      <c r="BJ101" s="710"/>
      <c r="BK101" s="710"/>
      <c r="BL101" s="710"/>
      <c r="BM101" s="710"/>
      <c r="BN101" s="710"/>
      <c r="BO101" s="710"/>
      <c r="BP101" s="710"/>
      <c r="BQ101" s="710"/>
      <c r="BR101" s="710"/>
      <c r="BS101" s="710"/>
      <c r="BT101" s="710"/>
    </row>
    <row r="102" spans="1:72" s="709" customFormat="1" ht="15.75">
      <c r="A102" s="545"/>
      <c r="B102" s="545"/>
      <c r="C102" s="545"/>
      <c r="D102" s="545"/>
      <c r="E102" s="545"/>
      <c r="F102" s="545"/>
      <c r="G102" s="545"/>
      <c r="H102" s="545"/>
      <c r="I102" s="545"/>
      <c r="J102" s="545"/>
      <c r="K102" s="545"/>
      <c r="L102" s="545"/>
      <c r="M102" s="545"/>
      <c r="N102" s="545"/>
      <c r="O102" s="545"/>
      <c r="P102" s="545"/>
      <c r="Q102" s="545"/>
      <c r="R102" s="545"/>
      <c r="S102" s="576"/>
      <c r="T102" s="576"/>
      <c r="U102" s="576"/>
      <c r="V102" s="576"/>
      <c r="W102" s="545"/>
      <c r="X102" s="545"/>
      <c r="Y102" s="576"/>
      <c r="Z102" s="576"/>
      <c r="AA102" s="545"/>
      <c r="AB102" s="545"/>
      <c r="AC102" s="545"/>
      <c r="AD102" s="576"/>
      <c r="AE102" s="576"/>
      <c r="AF102" s="576"/>
      <c r="AG102" s="576"/>
      <c r="AH102" s="576"/>
      <c r="AI102" s="576"/>
      <c r="AJ102" s="576"/>
      <c r="AK102" s="576"/>
      <c r="AL102" s="576"/>
      <c r="AM102" s="576"/>
      <c r="AN102" s="576"/>
      <c r="AO102" s="576"/>
      <c r="AP102" s="576"/>
      <c r="AQ102" s="576"/>
      <c r="AR102" s="576"/>
      <c r="AS102" s="576"/>
      <c r="AT102" s="576"/>
      <c r="AU102" s="576"/>
      <c r="AV102" s="576"/>
      <c r="AW102" s="576"/>
      <c r="AX102" s="576"/>
      <c r="AY102" s="576"/>
      <c r="AZ102" s="576"/>
      <c r="BA102" s="576"/>
      <c r="BB102" s="576"/>
      <c r="BC102" s="576"/>
      <c r="BD102" s="572"/>
      <c r="BE102" s="710"/>
      <c r="BF102" s="710"/>
      <c r="BG102" s="710"/>
      <c r="BH102" s="710"/>
      <c r="BI102" s="710"/>
      <c r="BJ102" s="710"/>
      <c r="BK102" s="710"/>
      <c r="BL102" s="710"/>
      <c r="BM102" s="710"/>
      <c r="BN102" s="710"/>
      <c r="BO102" s="710"/>
      <c r="BP102" s="710"/>
      <c r="BQ102" s="710"/>
      <c r="BR102" s="710"/>
      <c r="BS102" s="710"/>
      <c r="BT102" s="710"/>
    </row>
    <row r="103" spans="1:72" s="709" customFormat="1" ht="15.75">
      <c r="A103" s="545"/>
      <c r="B103" s="545"/>
      <c r="C103" s="545"/>
      <c r="D103" s="545"/>
      <c r="E103" s="545"/>
      <c r="F103" s="545"/>
      <c r="G103" s="545"/>
      <c r="H103" s="545"/>
      <c r="I103" s="545"/>
      <c r="J103" s="545"/>
      <c r="K103" s="545"/>
      <c r="L103" s="545"/>
      <c r="M103" s="545"/>
      <c r="N103" s="545"/>
      <c r="O103" s="545"/>
      <c r="P103" s="545"/>
      <c r="Q103" s="545"/>
      <c r="R103" s="545"/>
      <c r="S103" s="576"/>
      <c r="T103" s="576"/>
      <c r="U103" s="576"/>
      <c r="V103" s="576"/>
      <c r="W103" s="545"/>
      <c r="X103" s="545"/>
      <c r="Y103" s="576"/>
      <c r="Z103" s="576"/>
      <c r="AA103" s="545"/>
      <c r="AB103" s="545"/>
      <c r="AC103" s="545"/>
      <c r="AD103" s="576"/>
      <c r="AE103" s="576"/>
      <c r="AF103" s="576"/>
      <c r="AG103" s="576"/>
      <c r="AH103" s="576"/>
      <c r="AI103" s="576"/>
      <c r="AJ103" s="576"/>
      <c r="AK103" s="576"/>
      <c r="AL103" s="576"/>
      <c r="AM103" s="576"/>
      <c r="AN103" s="576"/>
      <c r="AO103" s="576"/>
      <c r="AP103" s="576"/>
      <c r="AQ103" s="576"/>
      <c r="AR103" s="576"/>
      <c r="AS103" s="576"/>
      <c r="AT103" s="576"/>
      <c r="AU103" s="576"/>
      <c r="AV103" s="576"/>
      <c r="AW103" s="576"/>
      <c r="AX103" s="576"/>
      <c r="AY103" s="576"/>
      <c r="AZ103" s="576"/>
      <c r="BA103" s="576"/>
      <c r="BB103" s="576"/>
      <c r="BC103" s="576"/>
      <c r="BD103" s="572"/>
      <c r="BE103" s="710"/>
      <c r="BF103" s="710"/>
      <c r="BG103" s="710"/>
      <c r="BH103" s="710"/>
      <c r="BI103" s="710"/>
      <c r="BJ103" s="710"/>
      <c r="BK103" s="710"/>
      <c r="BL103" s="710"/>
      <c r="BM103" s="710"/>
      <c r="BN103" s="710"/>
      <c r="BO103" s="710"/>
      <c r="BP103" s="710"/>
      <c r="BQ103" s="710"/>
      <c r="BR103" s="710"/>
      <c r="BS103" s="710"/>
      <c r="BT103" s="710"/>
    </row>
    <row r="104" spans="1:72" s="709" customFormat="1" ht="15.75">
      <c r="A104" s="545"/>
      <c r="B104" s="545"/>
      <c r="C104" s="545"/>
      <c r="D104" s="545"/>
      <c r="E104" s="545"/>
      <c r="F104" s="545"/>
      <c r="G104" s="545"/>
      <c r="H104" s="545"/>
      <c r="I104" s="545"/>
      <c r="J104" s="545"/>
      <c r="K104" s="545"/>
      <c r="L104" s="545"/>
      <c r="M104" s="545"/>
      <c r="N104" s="545"/>
      <c r="O104" s="545"/>
      <c r="P104" s="545"/>
      <c r="Q104" s="545"/>
      <c r="R104" s="545"/>
      <c r="S104" s="576"/>
      <c r="T104" s="576"/>
      <c r="U104" s="576"/>
      <c r="V104" s="576"/>
      <c r="W104" s="545"/>
      <c r="X104" s="545"/>
      <c r="Y104" s="576"/>
      <c r="Z104" s="576"/>
      <c r="AA104" s="545"/>
      <c r="AB104" s="545"/>
      <c r="AC104" s="545"/>
      <c r="AD104" s="576"/>
      <c r="AE104" s="576"/>
      <c r="AF104" s="576"/>
      <c r="AG104" s="576"/>
      <c r="AH104" s="576"/>
      <c r="AI104" s="576"/>
      <c r="AJ104" s="576"/>
      <c r="AK104" s="576"/>
      <c r="AL104" s="576"/>
      <c r="AM104" s="576"/>
      <c r="AN104" s="576"/>
      <c r="AO104" s="576"/>
      <c r="AP104" s="576"/>
      <c r="AQ104" s="576"/>
      <c r="AR104" s="576"/>
      <c r="AS104" s="576"/>
      <c r="AT104" s="576"/>
      <c r="AU104" s="576"/>
      <c r="AV104" s="576"/>
      <c r="AW104" s="576"/>
      <c r="AX104" s="576"/>
      <c r="AY104" s="576"/>
      <c r="AZ104" s="576"/>
      <c r="BA104" s="576"/>
      <c r="BB104" s="576"/>
      <c r="BC104" s="576"/>
      <c r="BD104" s="572"/>
      <c r="BE104" s="710"/>
      <c r="BF104" s="710"/>
      <c r="BG104" s="710"/>
      <c r="BH104" s="710"/>
      <c r="BI104" s="710"/>
      <c r="BJ104" s="710"/>
      <c r="BK104" s="710"/>
      <c r="BL104" s="710"/>
      <c r="BM104" s="710"/>
      <c r="BN104" s="710"/>
      <c r="BO104" s="710"/>
      <c r="BP104" s="710"/>
      <c r="BQ104" s="710"/>
      <c r="BR104" s="710"/>
      <c r="BS104" s="710"/>
      <c r="BT104" s="710"/>
    </row>
    <row r="105" spans="1:72" s="709" customFormat="1" ht="15.75">
      <c r="A105" s="545"/>
      <c r="B105" s="545"/>
      <c r="C105" s="545"/>
      <c r="D105" s="545"/>
      <c r="E105" s="545"/>
      <c r="F105" s="545"/>
      <c r="G105" s="545"/>
      <c r="H105" s="545"/>
      <c r="I105" s="545"/>
      <c r="J105" s="545"/>
      <c r="K105" s="545"/>
      <c r="L105" s="545"/>
      <c r="M105" s="545"/>
      <c r="N105" s="545"/>
      <c r="O105" s="545"/>
      <c r="P105" s="545"/>
      <c r="Q105" s="545"/>
      <c r="R105" s="545"/>
      <c r="S105" s="576"/>
      <c r="T105" s="576"/>
      <c r="U105" s="576"/>
      <c r="V105" s="576"/>
      <c r="W105" s="545"/>
      <c r="X105" s="545"/>
      <c r="Y105" s="576"/>
      <c r="Z105" s="576"/>
      <c r="AA105" s="545"/>
      <c r="AB105" s="545"/>
      <c r="AC105" s="545"/>
      <c r="AD105" s="576"/>
      <c r="AE105" s="576"/>
      <c r="AF105" s="576"/>
      <c r="AG105" s="576"/>
      <c r="AH105" s="576"/>
      <c r="AI105" s="576"/>
      <c r="AJ105" s="576"/>
      <c r="AK105" s="576"/>
      <c r="AL105" s="576"/>
      <c r="AM105" s="576"/>
      <c r="AN105" s="576"/>
      <c r="AO105" s="576"/>
      <c r="AP105" s="576"/>
      <c r="AQ105" s="576"/>
      <c r="AR105" s="576"/>
      <c r="AS105" s="576"/>
      <c r="AT105" s="576"/>
      <c r="AU105" s="576"/>
      <c r="AV105" s="576"/>
      <c r="AW105" s="576"/>
      <c r="AX105" s="576"/>
      <c r="AY105" s="576"/>
      <c r="AZ105" s="576"/>
      <c r="BA105" s="576"/>
      <c r="BB105" s="576"/>
      <c r="BC105" s="576"/>
      <c r="BD105" s="572"/>
      <c r="BE105" s="710"/>
      <c r="BF105" s="710"/>
      <c r="BG105" s="710"/>
      <c r="BH105" s="710"/>
      <c r="BI105" s="710"/>
      <c r="BJ105" s="710"/>
      <c r="BK105" s="710"/>
      <c r="BL105" s="710"/>
      <c r="BM105" s="710"/>
      <c r="BN105" s="710"/>
      <c r="BO105" s="710"/>
      <c r="BP105" s="710"/>
      <c r="BQ105" s="710"/>
      <c r="BR105" s="710"/>
      <c r="BS105" s="710"/>
      <c r="BT105" s="710"/>
    </row>
    <row r="106" spans="1:72" s="709" customFormat="1" ht="15.75">
      <c r="A106" s="545"/>
      <c r="B106" s="545"/>
      <c r="C106" s="545"/>
      <c r="D106" s="545"/>
      <c r="E106" s="545"/>
      <c r="F106" s="545"/>
      <c r="G106" s="545"/>
      <c r="H106" s="545"/>
      <c r="I106" s="545"/>
      <c r="J106" s="545"/>
      <c r="K106" s="545"/>
      <c r="L106" s="545"/>
      <c r="M106" s="545"/>
      <c r="N106" s="545"/>
      <c r="O106" s="545"/>
      <c r="P106" s="545"/>
      <c r="Q106" s="545"/>
      <c r="R106" s="545"/>
      <c r="S106" s="576"/>
      <c r="T106" s="576"/>
      <c r="U106" s="576"/>
      <c r="V106" s="576"/>
      <c r="W106" s="545"/>
      <c r="X106" s="545"/>
      <c r="Y106" s="576"/>
      <c r="Z106" s="576"/>
      <c r="AA106" s="545"/>
      <c r="AB106" s="545"/>
      <c r="AC106" s="545"/>
      <c r="AD106" s="576"/>
      <c r="AE106" s="576"/>
      <c r="AF106" s="576"/>
      <c r="AG106" s="576"/>
      <c r="AH106" s="576"/>
      <c r="AI106" s="576"/>
      <c r="AJ106" s="576"/>
      <c r="AK106" s="576"/>
      <c r="AL106" s="576"/>
      <c r="AM106" s="576"/>
      <c r="AN106" s="576"/>
      <c r="AO106" s="576"/>
      <c r="AP106" s="576"/>
      <c r="AQ106" s="576"/>
      <c r="AR106" s="576"/>
      <c r="AS106" s="576"/>
      <c r="AT106" s="576"/>
      <c r="AU106" s="576"/>
      <c r="AV106" s="576"/>
      <c r="AW106" s="576"/>
      <c r="AX106" s="576"/>
      <c r="AY106" s="576"/>
      <c r="AZ106" s="576"/>
      <c r="BA106" s="576"/>
      <c r="BB106" s="576"/>
      <c r="BC106" s="576"/>
      <c r="BD106" s="572"/>
      <c r="BE106" s="710"/>
      <c r="BF106" s="710"/>
      <c r="BG106" s="710"/>
      <c r="BH106" s="710"/>
      <c r="BI106" s="710"/>
      <c r="BJ106" s="710"/>
      <c r="BK106" s="710"/>
      <c r="BL106" s="710"/>
      <c r="BM106" s="710"/>
      <c r="BN106" s="710"/>
      <c r="BO106" s="710"/>
      <c r="BP106" s="710"/>
      <c r="BQ106" s="710"/>
      <c r="BR106" s="710"/>
      <c r="BS106" s="710"/>
      <c r="BT106" s="710"/>
    </row>
    <row r="107" spans="1:72" s="709" customFormat="1" ht="15.75">
      <c r="A107" s="545"/>
      <c r="B107" s="545"/>
      <c r="C107" s="545"/>
      <c r="D107" s="545"/>
      <c r="E107" s="545"/>
      <c r="F107" s="545"/>
      <c r="G107" s="545"/>
      <c r="H107" s="545"/>
      <c r="I107" s="545"/>
      <c r="J107" s="545"/>
      <c r="K107" s="545"/>
      <c r="L107" s="545"/>
      <c r="M107" s="545"/>
      <c r="N107" s="545"/>
      <c r="O107" s="545"/>
      <c r="P107" s="545"/>
      <c r="Q107" s="545"/>
      <c r="R107" s="545"/>
      <c r="S107" s="576"/>
      <c r="T107" s="576"/>
      <c r="U107" s="576"/>
      <c r="V107" s="576"/>
      <c r="W107" s="545"/>
      <c r="X107" s="545"/>
      <c r="Y107" s="576"/>
      <c r="Z107" s="576"/>
      <c r="AA107" s="545"/>
      <c r="AB107" s="545"/>
      <c r="AC107" s="545"/>
      <c r="AD107" s="576"/>
      <c r="AE107" s="576"/>
      <c r="AF107" s="576"/>
      <c r="AG107" s="576"/>
      <c r="AH107" s="576"/>
      <c r="AI107" s="576"/>
      <c r="AJ107" s="576"/>
      <c r="AK107" s="576"/>
      <c r="AL107" s="576"/>
      <c r="AM107" s="576"/>
      <c r="AN107" s="576"/>
      <c r="AO107" s="576"/>
      <c r="AP107" s="576"/>
      <c r="AQ107" s="576"/>
      <c r="AR107" s="576"/>
      <c r="AS107" s="576"/>
      <c r="AT107" s="576"/>
      <c r="AU107" s="576"/>
      <c r="AV107" s="576"/>
      <c r="AW107" s="576"/>
      <c r="AX107" s="576"/>
      <c r="AY107" s="576"/>
      <c r="AZ107" s="576"/>
      <c r="BA107" s="576"/>
      <c r="BB107" s="576"/>
      <c r="BC107" s="576"/>
      <c r="BD107" s="572"/>
      <c r="BE107" s="710"/>
      <c r="BF107" s="710"/>
      <c r="BG107" s="710"/>
      <c r="BH107" s="710"/>
      <c r="BI107" s="710"/>
      <c r="BJ107" s="710"/>
      <c r="BK107" s="710"/>
      <c r="BL107" s="710"/>
      <c r="BM107" s="710"/>
      <c r="BN107" s="710"/>
      <c r="BO107" s="710"/>
      <c r="BP107" s="710"/>
      <c r="BQ107" s="710"/>
      <c r="BR107" s="710"/>
      <c r="BS107" s="710"/>
      <c r="BT107" s="710"/>
    </row>
    <row r="108" spans="1:72" s="709" customFormat="1" ht="15.75">
      <c r="A108" s="545"/>
      <c r="B108" s="545"/>
      <c r="C108" s="545"/>
      <c r="D108" s="545"/>
      <c r="E108" s="545"/>
      <c r="F108" s="545"/>
      <c r="G108" s="545"/>
      <c r="H108" s="545"/>
      <c r="I108" s="545"/>
      <c r="J108" s="545"/>
      <c r="K108" s="545"/>
      <c r="L108" s="545"/>
      <c r="M108" s="545"/>
      <c r="N108" s="545"/>
      <c r="O108" s="545"/>
      <c r="P108" s="545"/>
      <c r="Q108" s="545"/>
      <c r="R108" s="545"/>
      <c r="S108" s="576"/>
      <c r="T108" s="576"/>
      <c r="U108" s="576"/>
      <c r="V108" s="576"/>
      <c r="W108" s="545"/>
      <c r="X108" s="545"/>
      <c r="Y108" s="576"/>
      <c r="Z108" s="576"/>
      <c r="AA108" s="545"/>
      <c r="AB108" s="545"/>
      <c r="AC108" s="545"/>
      <c r="AD108" s="576"/>
      <c r="AE108" s="576"/>
      <c r="AF108" s="576"/>
      <c r="AG108" s="576"/>
      <c r="AH108" s="576"/>
      <c r="AI108" s="576"/>
      <c r="AJ108" s="576"/>
      <c r="AK108" s="576"/>
      <c r="AL108" s="576"/>
      <c r="AM108" s="576"/>
      <c r="AN108" s="576"/>
      <c r="AO108" s="576"/>
      <c r="AP108" s="576"/>
      <c r="AQ108" s="576"/>
      <c r="AR108" s="576"/>
      <c r="AS108" s="576"/>
      <c r="AT108" s="576"/>
      <c r="AU108" s="576"/>
      <c r="AV108" s="576"/>
      <c r="AW108" s="576"/>
      <c r="AX108" s="576"/>
      <c r="AY108" s="576"/>
      <c r="AZ108" s="576"/>
      <c r="BA108" s="576"/>
      <c r="BB108" s="576"/>
      <c r="BC108" s="576"/>
      <c r="BD108" s="572"/>
      <c r="BE108" s="710"/>
      <c r="BF108" s="710"/>
      <c r="BG108" s="710"/>
      <c r="BH108" s="710"/>
      <c r="BI108" s="710"/>
      <c r="BJ108" s="710"/>
      <c r="BK108" s="710"/>
      <c r="BL108" s="710"/>
      <c r="BM108" s="710"/>
      <c r="BN108" s="710"/>
      <c r="BO108" s="710"/>
      <c r="BP108" s="710"/>
      <c r="BQ108" s="710"/>
      <c r="BR108" s="710"/>
      <c r="BS108" s="710"/>
      <c r="BT108" s="710"/>
    </row>
    <row r="109" spans="1:72" s="709" customFormat="1" ht="15.75">
      <c r="A109" s="545"/>
      <c r="B109" s="545"/>
      <c r="C109" s="545"/>
      <c r="D109" s="545"/>
      <c r="E109" s="545"/>
      <c r="F109" s="545"/>
      <c r="G109" s="545"/>
      <c r="H109" s="545"/>
      <c r="I109" s="545"/>
      <c r="J109" s="545"/>
      <c r="K109" s="545"/>
      <c r="L109" s="545"/>
      <c r="M109" s="545"/>
      <c r="N109" s="545"/>
      <c r="O109" s="545"/>
      <c r="P109" s="545"/>
      <c r="Q109" s="545"/>
      <c r="R109" s="545"/>
      <c r="S109" s="576"/>
      <c r="T109" s="576"/>
      <c r="U109" s="576"/>
      <c r="V109" s="576"/>
      <c r="W109" s="545"/>
      <c r="X109" s="545"/>
      <c r="Y109" s="576"/>
      <c r="Z109" s="576"/>
      <c r="AA109" s="545"/>
      <c r="AB109" s="545"/>
      <c r="AC109" s="545"/>
      <c r="AD109" s="576"/>
      <c r="AE109" s="576"/>
      <c r="AF109" s="576"/>
      <c r="AG109" s="576"/>
      <c r="AH109" s="576"/>
      <c r="AI109" s="576"/>
      <c r="AJ109" s="576"/>
      <c r="AK109" s="576"/>
      <c r="AL109" s="576"/>
      <c r="AM109" s="576"/>
      <c r="AN109" s="576"/>
      <c r="AO109" s="576"/>
      <c r="AP109" s="576"/>
      <c r="AQ109" s="576"/>
      <c r="AR109" s="576"/>
      <c r="AS109" s="576"/>
      <c r="AT109" s="576"/>
      <c r="AU109" s="576"/>
      <c r="AV109" s="576"/>
      <c r="AW109" s="576"/>
      <c r="AX109" s="576"/>
      <c r="AY109" s="576"/>
      <c r="AZ109" s="576"/>
      <c r="BA109" s="576"/>
      <c r="BB109" s="576"/>
      <c r="BC109" s="576"/>
      <c r="BD109" s="572"/>
      <c r="BE109" s="710"/>
      <c r="BF109" s="710"/>
      <c r="BG109" s="710"/>
      <c r="BH109" s="710"/>
      <c r="BI109" s="710"/>
      <c r="BJ109" s="710"/>
      <c r="BK109" s="710"/>
      <c r="BL109" s="710"/>
      <c r="BM109" s="710"/>
      <c r="BN109" s="710"/>
      <c r="BO109" s="710"/>
      <c r="BP109" s="710"/>
      <c r="BQ109" s="710"/>
      <c r="BR109" s="710"/>
      <c r="BS109" s="710"/>
      <c r="BT109" s="710"/>
    </row>
    <row r="110" spans="1:72" s="709" customFormat="1" ht="15.75">
      <c r="A110" s="545"/>
      <c r="B110" s="545"/>
      <c r="C110" s="545"/>
      <c r="D110" s="545"/>
      <c r="E110" s="545"/>
      <c r="F110" s="545"/>
      <c r="G110" s="545"/>
      <c r="H110" s="545"/>
      <c r="I110" s="545"/>
      <c r="J110" s="545"/>
      <c r="K110" s="545"/>
      <c r="L110" s="545"/>
      <c r="M110" s="545"/>
      <c r="N110" s="545"/>
      <c r="O110" s="545"/>
      <c r="P110" s="545"/>
      <c r="Q110" s="545"/>
      <c r="R110" s="545"/>
      <c r="S110" s="576"/>
      <c r="T110" s="576"/>
      <c r="U110" s="576"/>
      <c r="V110" s="576"/>
      <c r="W110" s="545"/>
      <c r="X110" s="545"/>
      <c r="Y110" s="576"/>
      <c r="Z110" s="576"/>
      <c r="AA110" s="545"/>
      <c r="AB110" s="545"/>
      <c r="AC110" s="545"/>
      <c r="AD110" s="576"/>
      <c r="AE110" s="576"/>
      <c r="AF110" s="576"/>
      <c r="AG110" s="576"/>
      <c r="AH110" s="576"/>
      <c r="AI110" s="576"/>
      <c r="AJ110" s="576"/>
      <c r="AK110" s="576"/>
      <c r="AL110" s="576"/>
      <c r="AM110" s="576"/>
      <c r="AN110" s="576"/>
      <c r="AO110" s="576"/>
      <c r="AP110" s="576"/>
      <c r="AQ110" s="576"/>
      <c r="AR110" s="576"/>
      <c r="AS110" s="576"/>
      <c r="AT110" s="576"/>
      <c r="AU110" s="576"/>
      <c r="AV110" s="576"/>
      <c r="AW110" s="576"/>
      <c r="AX110" s="576"/>
      <c r="AY110" s="576"/>
      <c r="AZ110" s="576"/>
      <c r="BA110" s="576"/>
      <c r="BB110" s="576"/>
      <c r="BC110" s="576"/>
      <c r="BD110" s="572"/>
      <c r="BE110" s="710"/>
      <c r="BF110" s="710"/>
      <c r="BG110" s="710"/>
      <c r="BH110" s="710"/>
      <c r="BI110" s="710"/>
      <c r="BJ110" s="710"/>
      <c r="BK110" s="710"/>
      <c r="BL110" s="710"/>
      <c r="BM110" s="710"/>
      <c r="BN110" s="710"/>
      <c r="BO110" s="710"/>
      <c r="BP110" s="710"/>
      <c r="BQ110" s="710"/>
      <c r="BR110" s="710"/>
      <c r="BS110" s="710"/>
      <c r="BT110" s="710"/>
    </row>
    <row r="111" spans="1:72" s="709" customFormat="1" ht="15.75">
      <c r="A111" s="545"/>
      <c r="B111" s="545"/>
      <c r="C111" s="545"/>
      <c r="D111" s="545"/>
      <c r="E111" s="545"/>
      <c r="F111" s="545"/>
      <c r="G111" s="545"/>
      <c r="H111" s="545"/>
      <c r="I111" s="545"/>
      <c r="J111" s="545"/>
      <c r="K111" s="545"/>
      <c r="L111" s="545"/>
      <c r="M111" s="545"/>
      <c r="N111" s="545"/>
      <c r="O111" s="545"/>
      <c r="P111" s="545"/>
      <c r="Q111" s="545"/>
      <c r="R111" s="545"/>
      <c r="S111" s="576"/>
      <c r="T111" s="576"/>
      <c r="U111" s="576"/>
      <c r="V111" s="576"/>
      <c r="W111" s="545"/>
      <c r="X111" s="545"/>
      <c r="Y111" s="576"/>
      <c r="Z111" s="576"/>
      <c r="AA111" s="545"/>
      <c r="AB111" s="545"/>
      <c r="AC111" s="545"/>
      <c r="AD111" s="576"/>
      <c r="AE111" s="576"/>
      <c r="AF111" s="576"/>
      <c r="AG111" s="576"/>
      <c r="AH111" s="576"/>
      <c r="AI111" s="576"/>
      <c r="AJ111" s="576"/>
      <c r="AK111" s="576"/>
      <c r="AL111" s="576"/>
      <c r="AM111" s="576"/>
      <c r="AN111" s="576"/>
      <c r="AO111" s="576"/>
      <c r="AP111" s="576"/>
      <c r="AQ111" s="576"/>
      <c r="AR111" s="576"/>
      <c r="AS111" s="576"/>
      <c r="AT111" s="576"/>
      <c r="AU111" s="576"/>
      <c r="AV111" s="576"/>
      <c r="AW111" s="576"/>
      <c r="AX111" s="576"/>
      <c r="AY111" s="576"/>
      <c r="AZ111" s="576"/>
      <c r="BA111" s="576"/>
      <c r="BB111" s="576"/>
      <c r="BC111" s="576"/>
      <c r="BD111" s="572"/>
      <c r="BE111" s="710"/>
      <c r="BF111" s="710"/>
      <c r="BG111" s="710"/>
      <c r="BH111" s="710"/>
      <c r="BI111" s="710"/>
      <c r="BJ111" s="710"/>
      <c r="BK111" s="710"/>
      <c r="BL111" s="710"/>
      <c r="BM111" s="710"/>
      <c r="BN111" s="710"/>
      <c r="BO111" s="710"/>
      <c r="BP111" s="710"/>
      <c r="BQ111" s="710"/>
      <c r="BR111" s="710"/>
      <c r="BS111" s="710"/>
      <c r="BT111" s="710"/>
    </row>
    <row r="112" spans="1:72" s="709" customFormat="1" ht="15.75">
      <c r="A112" s="545"/>
      <c r="B112" s="545"/>
      <c r="C112" s="545"/>
      <c r="D112" s="545"/>
      <c r="E112" s="545"/>
      <c r="F112" s="545"/>
      <c r="G112" s="545"/>
      <c r="H112" s="545"/>
      <c r="I112" s="545"/>
      <c r="J112" s="545"/>
      <c r="K112" s="545"/>
      <c r="L112" s="545"/>
      <c r="M112" s="545"/>
      <c r="N112" s="545"/>
      <c r="O112" s="545"/>
      <c r="P112" s="545"/>
      <c r="Q112" s="545"/>
      <c r="R112" s="545"/>
      <c r="S112" s="576"/>
      <c r="T112" s="576"/>
      <c r="U112" s="576"/>
      <c r="V112" s="576"/>
      <c r="W112" s="545"/>
      <c r="X112" s="545"/>
      <c r="Y112" s="576"/>
      <c r="Z112" s="576"/>
      <c r="AA112" s="545"/>
      <c r="AB112" s="545"/>
      <c r="AC112" s="545"/>
      <c r="AD112" s="576"/>
      <c r="AE112" s="576"/>
      <c r="AF112" s="576"/>
      <c r="AG112" s="576"/>
      <c r="AH112" s="576"/>
      <c r="AI112" s="576"/>
      <c r="AJ112" s="576"/>
      <c r="AK112" s="576"/>
      <c r="AL112" s="576"/>
      <c r="AM112" s="576"/>
      <c r="AN112" s="576"/>
      <c r="AO112" s="576"/>
      <c r="AP112" s="576"/>
      <c r="AQ112" s="576"/>
      <c r="AR112" s="576"/>
      <c r="AS112" s="576"/>
      <c r="AT112" s="576"/>
      <c r="AU112" s="576"/>
      <c r="AV112" s="576"/>
      <c r="AW112" s="576"/>
      <c r="AX112" s="576"/>
      <c r="AY112" s="576"/>
      <c r="AZ112" s="576"/>
      <c r="BA112" s="576"/>
      <c r="BB112" s="576"/>
      <c r="BC112" s="576"/>
      <c r="BD112" s="572"/>
      <c r="BE112" s="710"/>
      <c r="BF112" s="710"/>
      <c r="BG112" s="710"/>
      <c r="BH112" s="710"/>
      <c r="BI112" s="710"/>
      <c r="BJ112" s="710"/>
      <c r="BK112" s="710"/>
      <c r="BL112" s="710"/>
      <c r="BM112" s="710"/>
      <c r="BN112" s="710"/>
      <c r="BO112" s="710"/>
      <c r="BP112" s="710"/>
      <c r="BQ112" s="710"/>
      <c r="BR112" s="710"/>
      <c r="BS112" s="710"/>
      <c r="BT112" s="710"/>
    </row>
    <row r="113" spans="1:72" s="709" customFormat="1" ht="15.75">
      <c r="A113" s="545"/>
      <c r="B113" s="545"/>
      <c r="C113" s="545"/>
      <c r="D113" s="545"/>
      <c r="E113" s="545"/>
      <c r="F113" s="545"/>
      <c r="G113" s="545"/>
      <c r="H113" s="545"/>
      <c r="I113" s="545"/>
      <c r="J113" s="545"/>
      <c r="K113" s="545"/>
      <c r="L113" s="545"/>
      <c r="M113" s="545"/>
      <c r="N113" s="545"/>
      <c r="O113" s="545"/>
      <c r="P113" s="545"/>
      <c r="Q113" s="545"/>
      <c r="R113" s="545"/>
      <c r="S113" s="576"/>
      <c r="T113" s="576"/>
      <c r="U113" s="576"/>
      <c r="V113" s="576"/>
      <c r="W113" s="545"/>
      <c r="X113" s="545"/>
      <c r="Y113" s="576"/>
      <c r="Z113" s="576"/>
      <c r="AA113" s="545"/>
      <c r="AB113" s="545"/>
      <c r="AC113" s="545"/>
      <c r="AD113" s="576"/>
      <c r="AE113" s="576"/>
      <c r="AF113" s="576"/>
      <c r="AG113" s="576"/>
      <c r="AH113" s="576"/>
      <c r="AI113" s="576"/>
      <c r="AJ113" s="576"/>
      <c r="AK113" s="576"/>
      <c r="AL113" s="576"/>
      <c r="AM113" s="576"/>
      <c r="AN113" s="576"/>
      <c r="AO113" s="576"/>
      <c r="AP113" s="576"/>
      <c r="AQ113" s="576"/>
      <c r="AR113" s="576"/>
      <c r="AS113" s="576"/>
      <c r="AT113" s="576"/>
      <c r="AU113" s="576"/>
      <c r="AV113" s="576"/>
      <c r="AW113" s="576"/>
      <c r="AX113" s="576"/>
      <c r="AY113" s="576"/>
      <c r="AZ113" s="576"/>
      <c r="BA113" s="576"/>
      <c r="BB113" s="576"/>
      <c r="BC113" s="576"/>
      <c r="BD113" s="572"/>
      <c r="BE113" s="710"/>
      <c r="BF113" s="710"/>
      <c r="BG113" s="710"/>
      <c r="BH113" s="710"/>
      <c r="BI113" s="710"/>
      <c r="BJ113" s="710"/>
      <c r="BK113" s="710"/>
      <c r="BL113" s="710"/>
      <c r="BM113" s="710"/>
      <c r="BN113" s="710"/>
      <c r="BO113" s="710"/>
      <c r="BP113" s="710"/>
      <c r="BQ113" s="710"/>
      <c r="BR113" s="710"/>
      <c r="BS113" s="710"/>
      <c r="BT113" s="710"/>
    </row>
    <row r="114" spans="1:72" s="709" customFormat="1" ht="15.75">
      <c r="A114" s="545"/>
      <c r="B114" s="545"/>
      <c r="C114" s="545"/>
      <c r="D114" s="545"/>
      <c r="E114" s="545"/>
      <c r="F114" s="545"/>
      <c r="G114" s="545"/>
      <c r="H114" s="545"/>
      <c r="I114" s="545"/>
      <c r="J114" s="545"/>
      <c r="K114" s="545"/>
      <c r="L114" s="545"/>
      <c r="M114" s="545"/>
      <c r="N114" s="545"/>
      <c r="O114" s="545"/>
      <c r="P114" s="545"/>
      <c r="Q114" s="545"/>
      <c r="R114" s="545"/>
      <c r="S114" s="576"/>
      <c r="T114" s="576"/>
      <c r="U114" s="576"/>
      <c r="V114" s="576"/>
      <c r="W114" s="545"/>
      <c r="X114" s="545"/>
      <c r="Y114" s="576"/>
      <c r="Z114" s="576"/>
      <c r="AA114" s="545"/>
      <c r="AB114" s="545"/>
      <c r="AC114" s="545"/>
      <c r="AD114" s="576"/>
      <c r="AE114" s="576"/>
      <c r="AF114" s="576"/>
      <c r="AG114" s="576"/>
      <c r="AH114" s="576"/>
      <c r="AI114" s="576"/>
      <c r="AJ114" s="576"/>
      <c r="AK114" s="576"/>
      <c r="AL114" s="576"/>
      <c r="AM114" s="576"/>
      <c r="AN114" s="576"/>
      <c r="AO114" s="576"/>
      <c r="AP114" s="576"/>
      <c r="AQ114" s="576"/>
      <c r="AR114" s="576"/>
      <c r="AS114" s="576"/>
      <c r="AT114" s="576"/>
      <c r="AU114" s="576"/>
      <c r="AV114" s="576"/>
      <c r="AW114" s="576"/>
      <c r="AX114" s="576"/>
      <c r="AY114" s="576"/>
      <c r="AZ114" s="576"/>
      <c r="BA114" s="576"/>
      <c r="BB114" s="576"/>
      <c r="BC114" s="576"/>
      <c r="BD114" s="572"/>
      <c r="BE114" s="710"/>
      <c r="BF114" s="710"/>
      <c r="BG114" s="710"/>
      <c r="BH114" s="710"/>
      <c r="BI114" s="710"/>
      <c r="BJ114" s="710"/>
      <c r="BK114" s="710"/>
      <c r="BL114" s="710"/>
      <c r="BM114" s="710"/>
      <c r="BN114" s="710"/>
      <c r="BO114" s="710"/>
      <c r="BP114" s="710"/>
      <c r="BQ114" s="710"/>
      <c r="BR114" s="710"/>
      <c r="BS114" s="710"/>
      <c r="BT114" s="710"/>
    </row>
    <row r="115" spans="1:72" s="709" customFormat="1" ht="15.75">
      <c r="A115" s="545"/>
      <c r="B115" s="545"/>
      <c r="C115" s="545"/>
      <c r="D115" s="545"/>
      <c r="E115" s="545"/>
      <c r="F115" s="545"/>
      <c r="G115" s="545"/>
      <c r="H115" s="545"/>
      <c r="I115" s="545"/>
      <c r="J115" s="545"/>
      <c r="K115" s="545"/>
      <c r="L115" s="545"/>
      <c r="M115" s="545"/>
      <c r="N115" s="545"/>
      <c r="O115" s="545"/>
      <c r="P115" s="545"/>
      <c r="Q115" s="545"/>
      <c r="R115" s="545"/>
      <c r="S115" s="576"/>
      <c r="T115" s="576"/>
      <c r="U115" s="576"/>
      <c r="V115" s="576"/>
      <c r="W115" s="545"/>
      <c r="X115" s="545"/>
      <c r="Y115" s="576"/>
      <c r="Z115" s="576"/>
      <c r="AA115" s="545"/>
      <c r="AB115" s="545"/>
      <c r="AC115" s="545"/>
      <c r="AD115" s="576"/>
      <c r="AE115" s="576"/>
      <c r="AF115" s="576"/>
      <c r="AG115" s="576"/>
      <c r="AH115" s="576"/>
      <c r="AI115" s="576"/>
      <c r="AJ115" s="576"/>
      <c r="AK115" s="576"/>
      <c r="AL115" s="576"/>
      <c r="AM115" s="576"/>
      <c r="AN115" s="576"/>
      <c r="AO115" s="576"/>
      <c r="AP115" s="576"/>
      <c r="AQ115" s="576"/>
      <c r="AR115" s="576"/>
      <c r="AS115" s="576"/>
      <c r="AT115" s="576"/>
      <c r="AU115" s="576"/>
      <c r="AV115" s="576"/>
      <c r="AW115" s="576"/>
      <c r="AX115" s="576"/>
      <c r="AY115" s="576"/>
      <c r="AZ115" s="576"/>
      <c r="BA115" s="576"/>
      <c r="BB115" s="576"/>
      <c r="BC115" s="576"/>
      <c r="BD115" s="572"/>
      <c r="BE115" s="710"/>
      <c r="BF115" s="710"/>
      <c r="BG115" s="710"/>
      <c r="BH115" s="710"/>
      <c r="BI115" s="710"/>
      <c r="BJ115" s="710"/>
      <c r="BK115" s="710"/>
      <c r="BL115" s="710"/>
      <c r="BM115" s="710"/>
      <c r="BN115" s="710"/>
      <c r="BO115" s="710"/>
      <c r="BP115" s="710"/>
      <c r="BQ115" s="710"/>
      <c r="BR115" s="710"/>
      <c r="BS115" s="710"/>
      <c r="BT115" s="710"/>
    </row>
    <row r="116" spans="1:72" s="709" customFormat="1" ht="15.75">
      <c r="A116" s="545"/>
      <c r="B116" s="545"/>
      <c r="C116" s="545"/>
      <c r="D116" s="545"/>
      <c r="E116" s="545"/>
      <c r="F116" s="545"/>
      <c r="G116" s="545"/>
      <c r="H116" s="545"/>
      <c r="I116" s="545"/>
      <c r="J116" s="545"/>
      <c r="K116" s="545"/>
      <c r="L116" s="545"/>
      <c r="M116" s="545"/>
      <c r="N116" s="545"/>
      <c r="O116" s="545"/>
      <c r="P116" s="545"/>
      <c r="Q116" s="545"/>
      <c r="R116" s="545"/>
      <c r="S116" s="576"/>
      <c r="T116" s="576"/>
      <c r="U116" s="576"/>
      <c r="V116" s="576"/>
      <c r="W116" s="545"/>
      <c r="X116" s="545"/>
      <c r="Y116" s="576"/>
      <c r="Z116" s="576"/>
      <c r="AA116" s="545"/>
      <c r="AB116" s="545"/>
      <c r="AC116" s="545"/>
      <c r="AD116" s="576"/>
      <c r="AE116" s="576"/>
      <c r="AF116" s="576"/>
      <c r="AG116" s="576"/>
      <c r="AH116" s="576"/>
      <c r="AI116" s="576"/>
      <c r="AJ116" s="576"/>
      <c r="AK116" s="576"/>
      <c r="AL116" s="576"/>
      <c r="AM116" s="576"/>
      <c r="AN116" s="576"/>
      <c r="AO116" s="576"/>
      <c r="AP116" s="576"/>
      <c r="AQ116" s="576"/>
      <c r="AR116" s="576"/>
      <c r="AS116" s="576"/>
      <c r="AT116" s="576"/>
      <c r="AU116" s="576"/>
      <c r="AV116" s="576"/>
      <c r="AW116" s="576"/>
      <c r="AX116" s="576"/>
      <c r="AY116" s="576"/>
      <c r="AZ116" s="576"/>
      <c r="BA116" s="576"/>
      <c r="BB116" s="576"/>
      <c r="BC116" s="576"/>
      <c r="BD116" s="572"/>
      <c r="BE116" s="710"/>
      <c r="BF116" s="710"/>
      <c r="BG116" s="710"/>
      <c r="BH116" s="710"/>
      <c r="BI116" s="710"/>
      <c r="BJ116" s="710"/>
      <c r="BK116" s="710"/>
      <c r="BL116" s="710"/>
      <c r="BM116" s="710"/>
      <c r="BN116" s="710"/>
      <c r="BO116" s="710"/>
      <c r="BP116" s="710"/>
      <c r="BQ116" s="710"/>
      <c r="BR116" s="710"/>
      <c r="BS116" s="710"/>
      <c r="BT116" s="710"/>
    </row>
    <row r="117" spans="1:72" s="709" customFormat="1" ht="15.75">
      <c r="A117" s="545"/>
      <c r="B117" s="545"/>
      <c r="C117" s="545"/>
      <c r="D117" s="545"/>
      <c r="E117" s="545"/>
      <c r="F117" s="545"/>
      <c r="G117" s="545"/>
      <c r="H117" s="545"/>
      <c r="I117" s="545"/>
      <c r="J117" s="545"/>
      <c r="K117" s="545"/>
      <c r="L117" s="545"/>
      <c r="M117" s="545"/>
      <c r="N117" s="545"/>
      <c r="O117" s="545"/>
      <c r="P117" s="545"/>
      <c r="Q117" s="545"/>
      <c r="R117" s="545"/>
      <c r="S117" s="576"/>
      <c r="T117" s="576"/>
      <c r="U117" s="576"/>
      <c r="V117" s="576"/>
      <c r="W117" s="545"/>
      <c r="X117" s="545"/>
      <c r="Y117" s="576"/>
      <c r="Z117" s="576"/>
      <c r="AA117" s="545"/>
      <c r="AB117" s="545"/>
      <c r="AC117" s="545"/>
      <c r="AD117" s="576"/>
      <c r="AE117" s="576"/>
      <c r="AF117" s="576"/>
      <c r="AG117" s="576"/>
      <c r="AH117" s="576"/>
      <c r="AI117" s="576"/>
      <c r="AJ117" s="576"/>
      <c r="AK117" s="576"/>
      <c r="AL117" s="576"/>
      <c r="AM117" s="576"/>
      <c r="AN117" s="576"/>
      <c r="AO117" s="576"/>
      <c r="AP117" s="576"/>
      <c r="AQ117" s="576"/>
      <c r="AR117" s="576"/>
      <c r="AS117" s="576"/>
      <c r="AT117" s="576"/>
      <c r="AU117" s="576"/>
      <c r="AV117" s="576"/>
      <c r="AW117" s="576"/>
      <c r="AX117" s="576"/>
      <c r="AY117" s="576"/>
      <c r="AZ117" s="576"/>
      <c r="BA117" s="576"/>
      <c r="BB117" s="576"/>
      <c r="BC117" s="576"/>
      <c r="BD117" s="572"/>
      <c r="BE117" s="710"/>
      <c r="BF117" s="710"/>
      <c r="BG117" s="710"/>
      <c r="BH117" s="710"/>
      <c r="BI117" s="710"/>
      <c r="BJ117" s="710"/>
      <c r="BK117" s="710"/>
      <c r="BL117" s="710"/>
      <c r="BM117" s="710"/>
      <c r="BN117" s="710"/>
      <c r="BO117" s="710"/>
      <c r="BP117" s="710"/>
      <c r="BQ117" s="710"/>
      <c r="BR117" s="710"/>
      <c r="BS117" s="710"/>
      <c r="BT117" s="710"/>
    </row>
    <row r="118" spans="1:72" s="709" customFormat="1" ht="15.75">
      <c r="A118" s="545"/>
      <c r="B118" s="545"/>
      <c r="C118" s="545"/>
      <c r="D118" s="545"/>
      <c r="E118" s="545"/>
      <c r="F118" s="545"/>
      <c r="G118" s="545"/>
      <c r="H118" s="545"/>
      <c r="I118" s="545"/>
      <c r="J118" s="545"/>
      <c r="K118" s="545"/>
      <c r="L118" s="545"/>
      <c r="M118" s="545"/>
      <c r="N118" s="545"/>
      <c r="O118" s="545"/>
      <c r="P118" s="545"/>
      <c r="Q118" s="545"/>
      <c r="R118" s="545"/>
      <c r="S118" s="576"/>
      <c r="T118" s="576"/>
      <c r="U118" s="576"/>
      <c r="V118" s="576"/>
      <c r="W118" s="545"/>
      <c r="X118" s="545"/>
      <c r="Y118" s="576"/>
      <c r="Z118" s="576"/>
      <c r="AA118" s="545"/>
      <c r="AB118" s="545"/>
      <c r="AC118" s="545"/>
      <c r="AD118" s="576"/>
      <c r="AE118" s="576"/>
      <c r="AF118" s="576"/>
      <c r="AG118" s="576"/>
      <c r="AH118" s="576"/>
      <c r="AI118" s="576"/>
      <c r="AJ118" s="576"/>
      <c r="AK118" s="576"/>
      <c r="AL118" s="576"/>
      <c r="AM118" s="576"/>
      <c r="AN118" s="576"/>
      <c r="AO118" s="576"/>
      <c r="AP118" s="576"/>
      <c r="AQ118" s="576"/>
      <c r="AR118" s="576"/>
      <c r="AS118" s="576"/>
      <c r="AT118" s="576"/>
      <c r="AU118" s="576"/>
      <c r="AV118" s="576"/>
      <c r="AW118" s="576"/>
      <c r="AX118" s="576"/>
      <c r="AY118" s="576"/>
      <c r="AZ118" s="576"/>
      <c r="BA118" s="576"/>
      <c r="BB118" s="576"/>
      <c r="BC118" s="576"/>
      <c r="BD118" s="572"/>
      <c r="BE118" s="710"/>
      <c r="BF118" s="710"/>
      <c r="BG118" s="710"/>
      <c r="BH118" s="710"/>
      <c r="BI118" s="710"/>
      <c r="BJ118" s="710"/>
      <c r="BK118" s="710"/>
      <c r="BL118" s="710"/>
      <c r="BM118" s="710"/>
      <c r="BN118" s="710"/>
      <c r="BO118" s="710"/>
      <c r="BP118" s="710"/>
      <c r="BQ118" s="710"/>
      <c r="BR118" s="710"/>
      <c r="BS118" s="710"/>
      <c r="BT118" s="710"/>
    </row>
    <row r="119" spans="1:72" s="709" customFormat="1" ht="15.75">
      <c r="A119" s="545"/>
      <c r="B119" s="545"/>
      <c r="C119" s="545"/>
      <c r="D119" s="545"/>
      <c r="E119" s="545"/>
      <c r="F119" s="545"/>
      <c r="G119" s="545"/>
      <c r="H119" s="545"/>
      <c r="I119" s="545"/>
      <c r="J119" s="545"/>
      <c r="K119" s="545"/>
      <c r="L119" s="545"/>
      <c r="M119" s="545"/>
      <c r="N119" s="545"/>
      <c r="O119" s="545"/>
      <c r="P119" s="545"/>
      <c r="Q119" s="545"/>
      <c r="R119" s="545"/>
      <c r="S119" s="576"/>
      <c r="T119" s="576"/>
      <c r="U119" s="576"/>
      <c r="V119" s="576"/>
      <c r="W119" s="545"/>
      <c r="X119" s="545"/>
      <c r="Y119" s="576"/>
      <c r="Z119" s="576"/>
      <c r="AA119" s="545"/>
      <c r="AB119" s="545"/>
      <c r="AC119" s="545"/>
      <c r="AD119" s="576"/>
      <c r="AE119" s="576"/>
      <c r="AF119" s="576"/>
      <c r="AG119" s="576"/>
      <c r="AH119" s="576"/>
      <c r="AI119" s="576"/>
      <c r="AJ119" s="576"/>
      <c r="AK119" s="576"/>
      <c r="AL119" s="576"/>
      <c r="AM119" s="576"/>
      <c r="AN119" s="576"/>
      <c r="AO119" s="576"/>
      <c r="AP119" s="576"/>
      <c r="AQ119" s="576"/>
      <c r="AR119" s="576"/>
      <c r="AS119" s="576"/>
      <c r="AT119" s="576"/>
      <c r="AU119" s="576"/>
      <c r="AV119" s="576"/>
      <c r="AW119" s="576"/>
      <c r="AX119" s="576"/>
      <c r="AY119" s="576"/>
      <c r="AZ119" s="576"/>
      <c r="BA119" s="576"/>
      <c r="BB119" s="576"/>
      <c r="BC119" s="576"/>
      <c r="BD119" s="572"/>
      <c r="BE119" s="710"/>
      <c r="BF119" s="710"/>
      <c r="BG119" s="710"/>
      <c r="BH119" s="710"/>
      <c r="BI119" s="710"/>
      <c r="BJ119" s="710"/>
      <c r="BK119" s="710"/>
      <c r="BL119" s="710"/>
      <c r="BM119" s="710"/>
      <c r="BN119" s="710"/>
      <c r="BO119" s="710"/>
      <c r="BP119" s="710"/>
      <c r="BQ119" s="710"/>
      <c r="BR119" s="710"/>
      <c r="BS119" s="710"/>
      <c r="BT119" s="710"/>
    </row>
    <row r="120" spans="1:72" s="709" customFormat="1" ht="15.75">
      <c r="A120" s="545"/>
      <c r="B120" s="545"/>
      <c r="C120" s="545"/>
      <c r="D120" s="545"/>
      <c r="E120" s="545"/>
      <c r="F120" s="545"/>
      <c r="G120" s="545"/>
      <c r="H120" s="545"/>
      <c r="I120" s="545"/>
      <c r="J120" s="545"/>
      <c r="K120" s="545"/>
      <c r="L120" s="545"/>
      <c r="M120" s="545"/>
      <c r="N120" s="545"/>
      <c r="O120" s="545"/>
      <c r="P120" s="545"/>
      <c r="Q120" s="545"/>
      <c r="R120" s="545"/>
      <c r="S120" s="576"/>
      <c r="T120" s="576"/>
      <c r="U120" s="576"/>
      <c r="V120" s="576"/>
      <c r="W120" s="545"/>
      <c r="X120" s="545"/>
      <c r="Y120" s="576"/>
      <c r="Z120" s="576"/>
      <c r="AA120" s="545"/>
      <c r="AB120" s="545"/>
      <c r="AC120" s="545"/>
      <c r="AD120" s="576"/>
      <c r="AE120" s="576"/>
      <c r="AF120" s="576"/>
      <c r="AG120" s="576"/>
      <c r="AH120" s="576"/>
      <c r="AI120" s="576"/>
      <c r="AJ120" s="576"/>
      <c r="AK120" s="576"/>
      <c r="AL120" s="576"/>
      <c r="AM120" s="576"/>
      <c r="AN120" s="576"/>
      <c r="AO120" s="576"/>
      <c r="AP120" s="576"/>
      <c r="AQ120" s="576"/>
      <c r="AR120" s="576"/>
      <c r="AS120" s="576"/>
      <c r="AT120" s="576"/>
      <c r="AU120" s="576"/>
      <c r="AV120" s="576"/>
      <c r="AW120" s="576"/>
      <c r="AX120" s="576"/>
      <c r="AY120" s="576"/>
      <c r="AZ120" s="576"/>
      <c r="BA120" s="576"/>
      <c r="BB120" s="576"/>
      <c r="BC120" s="576"/>
      <c r="BD120" s="572"/>
      <c r="BE120" s="710"/>
      <c r="BF120" s="710"/>
      <c r="BG120" s="710"/>
      <c r="BH120" s="710"/>
      <c r="BI120" s="710"/>
      <c r="BJ120" s="710"/>
      <c r="BK120" s="710"/>
      <c r="BL120" s="710"/>
      <c r="BM120" s="710"/>
      <c r="BN120" s="710"/>
      <c r="BO120" s="710"/>
      <c r="BP120" s="710"/>
      <c r="BQ120" s="710"/>
      <c r="BR120" s="710"/>
      <c r="BS120" s="710"/>
      <c r="BT120" s="710"/>
    </row>
    <row r="121" spans="1:72" s="709" customFormat="1" ht="15.75">
      <c r="A121" s="545"/>
      <c r="B121" s="545"/>
      <c r="C121" s="545"/>
      <c r="D121" s="545"/>
      <c r="E121" s="545"/>
      <c r="F121" s="545"/>
      <c r="G121" s="545"/>
      <c r="H121" s="545"/>
      <c r="I121" s="545"/>
      <c r="J121" s="545"/>
      <c r="K121" s="545"/>
      <c r="L121" s="545"/>
      <c r="M121" s="545"/>
      <c r="N121" s="545"/>
      <c r="O121" s="545"/>
      <c r="P121" s="545"/>
      <c r="Q121" s="545"/>
      <c r="R121" s="545"/>
      <c r="S121" s="576"/>
      <c r="T121" s="576"/>
      <c r="U121" s="576"/>
      <c r="V121" s="576"/>
      <c r="W121" s="545"/>
      <c r="X121" s="545"/>
      <c r="Y121" s="576"/>
      <c r="Z121" s="576"/>
      <c r="AA121" s="545"/>
      <c r="AB121" s="545"/>
      <c r="AC121" s="545"/>
      <c r="AD121" s="576"/>
      <c r="AE121" s="576"/>
      <c r="AF121" s="576"/>
      <c r="AG121" s="576"/>
      <c r="AH121" s="576"/>
      <c r="AI121" s="576"/>
      <c r="AJ121" s="576"/>
      <c r="AK121" s="576"/>
      <c r="AL121" s="576"/>
      <c r="AM121" s="576"/>
      <c r="AN121" s="576"/>
      <c r="AO121" s="576"/>
      <c r="AP121" s="576"/>
      <c r="AQ121" s="576"/>
      <c r="AR121" s="576"/>
      <c r="AS121" s="576"/>
      <c r="AT121" s="576"/>
      <c r="AU121" s="576"/>
      <c r="AV121" s="576"/>
      <c r="AW121" s="576"/>
      <c r="AX121" s="576"/>
      <c r="AY121" s="576"/>
      <c r="AZ121" s="576"/>
      <c r="BA121" s="576"/>
      <c r="BB121" s="576"/>
      <c r="BC121" s="576"/>
      <c r="BD121" s="572"/>
      <c r="BE121" s="710"/>
      <c r="BF121" s="710"/>
      <c r="BG121" s="710"/>
      <c r="BH121" s="710"/>
      <c r="BI121" s="710"/>
      <c r="BJ121" s="710"/>
      <c r="BK121" s="710"/>
      <c r="BL121" s="710"/>
      <c r="BM121" s="710"/>
      <c r="BN121" s="710"/>
      <c r="BO121" s="710"/>
      <c r="BP121" s="710"/>
      <c r="BQ121" s="710"/>
      <c r="BR121" s="710"/>
      <c r="BS121" s="710"/>
      <c r="BT121" s="710"/>
    </row>
    <row r="122" spans="1:72" s="709" customFormat="1" ht="15.75">
      <c r="A122" s="545"/>
      <c r="B122" s="545"/>
      <c r="C122" s="545"/>
      <c r="D122" s="545"/>
      <c r="E122" s="545"/>
      <c r="F122" s="545"/>
      <c r="G122" s="545"/>
      <c r="H122" s="545"/>
      <c r="I122" s="545"/>
      <c r="J122" s="545"/>
      <c r="K122" s="545"/>
      <c r="L122" s="545"/>
      <c r="M122" s="545"/>
      <c r="N122" s="545"/>
      <c r="O122" s="545"/>
      <c r="P122" s="545"/>
      <c r="Q122" s="545"/>
      <c r="R122" s="545"/>
      <c r="S122" s="576"/>
      <c r="T122" s="576"/>
      <c r="U122" s="576"/>
      <c r="V122" s="576"/>
      <c r="W122" s="545"/>
      <c r="X122" s="545"/>
      <c r="Y122" s="576"/>
      <c r="Z122" s="576"/>
      <c r="AA122" s="545"/>
      <c r="AB122" s="545"/>
      <c r="AC122" s="545"/>
      <c r="AD122" s="576"/>
      <c r="AE122" s="576"/>
      <c r="AF122" s="576"/>
      <c r="AG122" s="576"/>
      <c r="AH122" s="576"/>
      <c r="AI122" s="576"/>
      <c r="AJ122" s="576"/>
      <c r="AK122" s="576"/>
      <c r="AL122" s="576"/>
      <c r="AM122" s="576"/>
      <c r="AN122" s="576"/>
      <c r="AO122" s="576"/>
      <c r="AP122" s="576"/>
      <c r="AQ122" s="576"/>
      <c r="AR122" s="576"/>
      <c r="AS122" s="576"/>
      <c r="AT122" s="576"/>
      <c r="AU122" s="576"/>
      <c r="AV122" s="576"/>
      <c r="AW122" s="576"/>
      <c r="AX122" s="576"/>
      <c r="AY122" s="576"/>
      <c r="AZ122" s="576"/>
      <c r="BA122" s="576"/>
      <c r="BB122" s="576"/>
      <c r="BC122" s="576"/>
      <c r="BD122" s="572"/>
      <c r="BE122" s="710"/>
      <c r="BF122" s="710"/>
      <c r="BG122" s="710"/>
      <c r="BH122" s="710"/>
      <c r="BI122" s="710"/>
      <c r="BJ122" s="710"/>
      <c r="BK122" s="710"/>
      <c r="BL122" s="710"/>
      <c r="BM122" s="710"/>
      <c r="BN122" s="710"/>
      <c r="BO122" s="710"/>
      <c r="BP122" s="710"/>
      <c r="BQ122" s="710"/>
      <c r="BR122" s="710"/>
      <c r="BS122" s="710"/>
      <c r="BT122" s="710"/>
    </row>
    <row r="123" spans="1:72" s="709" customFormat="1" ht="15.75">
      <c r="A123" s="545"/>
      <c r="B123" s="545"/>
      <c r="C123" s="545"/>
      <c r="D123" s="545"/>
      <c r="E123" s="545"/>
      <c r="F123" s="545"/>
      <c r="G123" s="545"/>
      <c r="H123" s="545"/>
      <c r="I123" s="545"/>
      <c r="J123" s="545"/>
      <c r="K123" s="545"/>
      <c r="L123" s="545"/>
      <c r="M123" s="545"/>
      <c r="N123" s="545"/>
      <c r="O123" s="545"/>
      <c r="P123" s="545"/>
      <c r="Q123" s="545"/>
      <c r="R123" s="545"/>
      <c r="S123" s="576"/>
      <c r="T123" s="576"/>
      <c r="U123" s="576"/>
      <c r="V123" s="576"/>
      <c r="W123" s="545"/>
      <c r="X123" s="545"/>
      <c r="Y123" s="576"/>
      <c r="Z123" s="576"/>
      <c r="AA123" s="545"/>
      <c r="AB123" s="545"/>
      <c r="AC123" s="545"/>
      <c r="AD123" s="576"/>
      <c r="AE123" s="576"/>
      <c r="AF123" s="576"/>
      <c r="AG123" s="576"/>
      <c r="AH123" s="576"/>
      <c r="AI123" s="576"/>
      <c r="AJ123" s="576"/>
      <c r="AK123" s="576"/>
      <c r="AL123" s="576"/>
      <c r="AM123" s="576"/>
      <c r="AN123" s="576"/>
      <c r="AO123" s="576"/>
      <c r="AP123" s="576"/>
      <c r="AQ123" s="576"/>
      <c r="AR123" s="576"/>
      <c r="AS123" s="576"/>
      <c r="AT123" s="576"/>
      <c r="AU123" s="576"/>
      <c r="AV123" s="576"/>
      <c r="AW123" s="576"/>
      <c r="AX123" s="576"/>
      <c r="AY123" s="576"/>
      <c r="AZ123" s="576"/>
      <c r="BA123" s="576"/>
      <c r="BB123" s="576"/>
      <c r="BC123" s="576"/>
      <c r="BD123" s="572"/>
      <c r="BE123" s="710"/>
      <c r="BF123" s="710"/>
      <c r="BG123" s="710"/>
      <c r="BH123" s="710"/>
      <c r="BI123" s="710"/>
      <c r="BJ123" s="710"/>
      <c r="BK123" s="710"/>
      <c r="BL123" s="710"/>
      <c r="BM123" s="710"/>
      <c r="BN123" s="710"/>
      <c r="BO123" s="710"/>
      <c r="BP123" s="710"/>
      <c r="BQ123" s="710"/>
      <c r="BR123" s="710"/>
      <c r="BS123" s="710"/>
      <c r="BT123" s="710"/>
    </row>
    <row r="124" spans="1:72" s="709" customFormat="1" ht="15.75">
      <c r="A124" s="545"/>
      <c r="B124" s="545"/>
      <c r="C124" s="545"/>
      <c r="D124" s="545"/>
      <c r="E124" s="545"/>
      <c r="F124" s="545"/>
      <c r="G124" s="545"/>
      <c r="H124" s="545"/>
      <c r="I124" s="545"/>
      <c r="J124" s="545"/>
      <c r="K124" s="545"/>
      <c r="L124" s="545"/>
      <c r="M124" s="545"/>
      <c r="N124" s="545"/>
      <c r="O124" s="545"/>
      <c r="P124" s="545"/>
      <c r="Q124" s="545"/>
      <c r="R124" s="545"/>
      <c r="S124" s="576"/>
      <c r="T124" s="576"/>
      <c r="U124" s="576"/>
      <c r="V124" s="576"/>
      <c r="W124" s="545"/>
      <c r="X124" s="545"/>
      <c r="Y124" s="576"/>
      <c r="Z124" s="576"/>
      <c r="AA124" s="545"/>
      <c r="AB124" s="545"/>
      <c r="AC124" s="545"/>
      <c r="AD124" s="576"/>
      <c r="AE124" s="576"/>
      <c r="AF124" s="576"/>
      <c r="AG124" s="576"/>
      <c r="AH124" s="576"/>
      <c r="AI124" s="576"/>
      <c r="AJ124" s="576"/>
      <c r="AK124" s="576"/>
      <c r="AL124" s="576"/>
      <c r="AM124" s="576"/>
      <c r="AN124" s="576"/>
      <c r="AO124" s="576"/>
      <c r="AP124" s="576"/>
      <c r="AQ124" s="576"/>
      <c r="AR124" s="576"/>
      <c r="AS124" s="576"/>
      <c r="AT124" s="576"/>
      <c r="AU124" s="576"/>
      <c r="AV124" s="576"/>
      <c r="AW124" s="576"/>
      <c r="AX124" s="576"/>
      <c r="AY124" s="576"/>
      <c r="AZ124" s="576"/>
      <c r="BA124" s="576"/>
      <c r="BB124" s="576"/>
      <c r="BC124" s="576"/>
      <c r="BD124" s="572"/>
      <c r="BE124" s="710"/>
      <c r="BF124" s="710"/>
      <c r="BG124" s="710"/>
      <c r="BH124" s="710"/>
      <c r="BI124" s="710"/>
      <c r="BJ124" s="710"/>
      <c r="BK124" s="710"/>
      <c r="BL124" s="710"/>
      <c r="BM124" s="710"/>
      <c r="BN124" s="710"/>
      <c r="BO124" s="710"/>
      <c r="BP124" s="710"/>
      <c r="BQ124" s="710"/>
      <c r="BR124" s="710"/>
      <c r="BS124" s="710"/>
      <c r="BT124" s="710"/>
    </row>
    <row r="125" spans="1:72" s="709" customFormat="1" ht="15.75">
      <c r="A125" s="545"/>
      <c r="B125" s="545"/>
      <c r="C125" s="545"/>
      <c r="D125" s="545"/>
      <c r="E125" s="545"/>
      <c r="F125" s="545"/>
      <c r="G125" s="545"/>
      <c r="H125" s="545"/>
      <c r="I125" s="545"/>
      <c r="J125" s="545"/>
      <c r="K125" s="545"/>
      <c r="L125" s="545"/>
      <c r="M125" s="545"/>
      <c r="N125" s="545"/>
      <c r="O125" s="545"/>
      <c r="P125" s="545"/>
      <c r="Q125" s="545"/>
      <c r="R125" s="545"/>
      <c r="S125" s="576"/>
      <c r="T125" s="576"/>
      <c r="U125" s="576"/>
      <c r="V125" s="576"/>
      <c r="W125" s="545"/>
      <c r="X125" s="545"/>
      <c r="Y125" s="576"/>
      <c r="Z125" s="576"/>
      <c r="AA125" s="545"/>
      <c r="AB125" s="545"/>
      <c r="AC125" s="545"/>
      <c r="AD125" s="576"/>
      <c r="AE125" s="576"/>
      <c r="AF125" s="576"/>
      <c r="AG125" s="576"/>
      <c r="AH125" s="576"/>
      <c r="AI125" s="576"/>
      <c r="AJ125" s="576"/>
      <c r="AK125" s="576"/>
      <c r="AL125" s="576"/>
      <c r="AM125" s="576"/>
      <c r="AN125" s="576"/>
      <c r="AO125" s="576"/>
      <c r="AP125" s="576"/>
      <c r="AQ125" s="576"/>
      <c r="AR125" s="576"/>
      <c r="AS125" s="576"/>
      <c r="AT125" s="576"/>
      <c r="AU125" s="576"/>
      <c r="AV125" s="576"/>
      <c r="AW125" s="576"/>
      <c r="AX125" s="576"/>
      <c r="AY125" s="576"/>
      <c r="AZ125" s="576"/>
      <c r="BA125" s="576"/>
      <c r="BB125" s="576"/>
      <c r="BC125" s="576"/>
      <c r="BD125" s="572"/>
      <c r="BE125" s="710"/>
      <c r="BF125" s="710"/>
      <c r="BG125" s="710"/>
      <c r="BH125" s="710"/>
      <c r="BI125" s="710"/>
      <c r="BJ125" s="710"/>
      <c r="BK125" s="710"/>
      <c r="BL125" s="710"/>
      <c r="BM125" s="710"/>
      <c r="BN125" s="710"/>
      <c r="BO125" s="710"/>
      <c r="BP125" s="710"/>
      <c r="BQ125" s="710"/>
      <c r="BR125" s="710"/>
      <c r="BS125" s="710"/>
      <c r="BT125" s="710"/>
    </row>
    <row r="126" spans="1:72" s="709" customFormat="1" ht="15.75">
      <c r="A126" s="545"/>
      <c r="B126" s="545"/>
      <c r="C126" s="545"/>
      <c r="D126" s="545"/>
      <c r="E126" s="545"/>
      <c r="F126" s="545"/>
      <c r="G126" s="545"/>
      <c r="H126" s="545"/>
      <c r="I126" s="545"/>
      <c r="J126" s="545"/>
      <c r="K126" s="545"/>
      <c r="L126" s="545"/>
      <c r="M126" s="545"/>
      <c r="N126" s="545"/>
      <c r="O126" s="545"/>
      <c r="P126" s="545"/>
      <c r="Q126" s="545"/>
      <c r="R126" s="545"/>
      <c r="S126" s="576"/>
      <c r="T126" s="576"/>
      <c r="U126" s="576"/>
      <c r="V126" s="576"/>
      <c r="W126" s="545"/>
      <c r="X126" s="545"/>
      <c r="Y126" s="576"/>
      <c r="Z126" s="576"/>
      <c r="AA126" s="545"/>
      <c r="AB126" s="545"/>
      <c r="AC126" s="545"/>
      <c r="AD126" s="576"/>
      <c r="AE126" s="576"/>
      <c r="AF126" s="576"/>
      <c r="AG126" s="576"/>
      <c r="AH126" s="576"/>
      <c r="AI126" s="576"/>
      <c r="AJ126" s="576"/>
      <c r="AK126" s="576"/>
      <c r="AL126" s="576"/>
      <c r="AM126" s="576"/>
      <c r="AN126" s="576"/>
      <c r="AO126" s="576"/>
      <c r="AP126" s="576"/>
      <c r="AQ126" s="576"/>
      <c r="AR126" s="576"/>
      <c r="AS126" s="576"/>
      <c r="AT126" s="576"/>
      <c r="AU126" s="576"/>
      <c r="AV126" s="576"/>
      <c r="AW126" s="576"/>
      <c r="AX126" s="576"/>
      <c r="AY126" s="576"/>
      <c r="AZ126" s="576"/>
      <c r="BA126" s="576"/>
      <c r="BB126" s="576"/>
      <c r="BC126" s="576"/>
      <c r="BD126" s="572"/>
      <c r="BE126" s="710"/>
      <c r="BF126" s="710"/>
      <c r="BG126" s="710"/>
      <c r="BH126" s="710"/>
      <c r="BI126" s="710"/>
      <c r="BJ126" s="710"/>
      <c r="BK126" s="710"/>
      <c r="BL126" s="710"/>
      <c r="BM126" s="710"/>
      <c r="BN126" s="710"/>
      <c r="BO126" s="710"/>
      <c r="BP126" s="710"/>
      <c r="BQ126" s="710"/>
      <c r="BR126" s="710"/>
      <c r="BS126" s="710"/>
      <c r="BT126" s="710"/>
    </row>
    <row r="127" spans="1:72" s="709" customFormat="1" ht="15.75">
      <c r="A127" s="545"/>
      <c r="B127" s="545"/>
      <c r="C127" s="545"/>
      <c r="D127" s="545"/>
      <c r="E127" s="545"/>
      <c r="F127" s="545"/>
      <c r="G127" s="545"/>
      <c r="H127" s="545"/>
      <c r="I127" s="545"/>
      <c r="J127" s="545"/>
      <c r="K127" s="545"/>
      <c r="L127" s="545"/>
      <c r="M127" s="545"/>
      <c r="N127" s="545"/>
      <c r="O127" s="545"/>
      <c r="P127" s="545"/>
      <c r="Q127" s="545"/>
      <c r="R127" s="545"/>
      <c r="S127" s="576"/>
      <c r="T127" s="576"/>
      <c r="U127" s="576"/>
      <c r="V127" s="576"/>
      <c r="W127" s="545"/>
      <c r="X127" s="545"/>
      <c r="Y127" s="576"/>
      <c r="Z127" s="576"/>
      <c r="AA127" s="545"/>
      <c r="AB127" s="545"/>
      <c r="AC127" s="545"/>
      <c r="AD127" s="576"/>
      <c r="AE127" s="576"/>
      <c r="AF127" s="576"/>
      <c r="AG127" s="576"/>
      <c r="AH127" s="576"/>
      <c r="AI127" s="576"/>
      <c r="AJ127" s="576"/>
      <c r="AK127" s="576"/>
      <c r="AL127" s="576"/>
      <c r="AM127" s="576"/>
      <c r="AN127" s="576"/>
      <c r="AO127" s="576"/>
      <c r="AP127" s="576"/>
      <c r="AQ127" s="576"/>
      <c r="AR127" s="576"/>
      <c r="AS127" s="576"/>
      <c r="AT127" s="576"/>
      <c r="AU127" s="576"/>
      <c r="AV127" s="576"/>
      <c r="AW127" s="576"/>
      <c r="AX127" s="576"/>
      <c r="AY127" s="576"/>
      <c r="AZ127" s="576"/>
      <c r="BA127" s="576"/>
      <c r="BB127" s="576"/>
      <c r="BC127" s="576"/>
      <c r="BD127" s="572"/>
      <c r="BE127" s="710"/>
      <c r="BF127" s="710"/>
      <c r="BG127" s="710"/>
      <c r="BH127" s="710"/>
      <c r="BI127" s="710"/>
      <c r="BJ127" s="710"/>
      <c r="BK127" s="710"/>
      <c r="BL127" s="710"/>
      <c r="BM127" s="710"/>
      <c r="BN127" s="710"/>
      <c r="BO127" s="710"/>
      <c r="BP127" s="710"/>
      <c r="BQ127" s="710"/>
      <c r="BR127" s="710"/>
      <c r="BS127" s="710"/>
      <c r="BT127" s="710"/>
    </row>
    <row r="128" spans="1:72" s="709" customFormat="1" ht="15.75">
      <c r="A128" s="545"/>
      <c r="B128" s="545"/>
      <c r="C128" s="545"/>
      <c r="D128" s="545"/>
      <c r="E128" s="545"/>
      <c r="F128" s="545"/>
      <c r="G128" s="545"/>
      <c r="H128" s="545"/>
      <c r="I128" s="545"/>
      <c r="J128" s="545"/>
      <c r="K128" s="545"/>
      <c r="L128" s="545"/>
      <c r="M128" s="545"/>
      <c r="N128" s="545"/>
      <c r="O128" s="545"/>
      <c r="P128" s="545"/>
      <c r="Q128" s="545"/>
      <c r="R128" s="545"/>
      <c r="S128" s="576"/>
      <c r="T128" s="576"/>
      <c r="U128" s="576"/>
      <c r="V128" s="576"/>
      <c r="W128" s="545"/>
      <c r="X128" s="545"/>
      <c r="Y128" s="576"/>
      <c r="Z128" s="576"/>
      <c r="AA128" s="545"/>
      <c r="AB128" s="545"/>
      <c r="AC128" s="545"/>
      <c r="AD128" s="576"/>
      <c r="AE128" s="576"/>
      <c r="AF128" s="576"/>
      <c r="AG128" s="576"/>
      <c r="AH128" s="576"/>
      <c r="AI128" s="576"/>
      <c r="AJ128" s="576"/>
      <c r="AK128" s="576"/>
      <c r="AL128" s="576"/>
      <c r="AM128" s="576"/>
      <c r="AN128" s="576"/>
      <c r="AO128" s="576"/>
      <c r="AP128" s="576"/>
      <c r="AQ128" s="576"/>
      <c r="AR128" s="576"/>
      <c r="AS128" s="576"/>
      <c r="AT128" s="576"/>
      <c r="AU128" s="576"/>
      <c r="AV128" s="576"/>
      <c r="AW128" s="576"/>
      <c r="AX128" s="576"/>
      <c r="AY128" s="576"/>
      <c r="AZ128" s="576"/>
      <c r="BA128" s="576"/>
      <c r="BB128" s="576"/>
      <c r="BC128" s="576"/>
      <c r="BD128" s="572"/>
      <c r="BE128" s="710"/>
      <c r="BF128" s="710"/>
      <c r="BG128" s="710"/>
      <c r="BH128" s="710"/>
      <c r="BI128" s="710"/>
      <c r="BJ128" s="710"/>
      <c r="BK128" s="710"/>
      <c r="BL128" s="710"/>
      <c r="BM128" s="710"/>
      <c r="BN128" s="710"/>
      <c r="BO128" s="710"/>
      <c r="BP128" s="710"/>
      <c r="BQ128" s="710"/>
      <c r="BR128" s="710"/>
      <c r="BS128" s="710"/>
      <c r="BT128" s="710"/>
    </row>
    <row r="129" spans="1:72" s="709" customFormat="1" ht="15.75">
      <c r="A129" s="545"/>
      <c r="B129" s="545"/>
      <c r="C129" s="545"/>
      <c r="D129" s="545"/>
      <c r="E129" s="545"/>
      <c r="F129" s="545"/>
      <c r="G129" s="545"/>
      <c r="H129" s="545"/>
      <c r="I129" s="545"/>
      <c r="J129" s="545"/>
      <c r="K129" s="545"/>
      <c r="L129" s="545"/>
      <c r="M129" s="545"/>
      <c r="N129" s="545"/>
      <c r="O129" s="545"/>
      <c r="P129" s="545"/>
      <c r="Q129" s="545"/>
      <c r="R129" s="545"/>
      <c r="S129" s="576"/>
      <c r="T129" s="576"/>
      <c r="U129" s="576"/>
      <c r="V129" s="576"/>
      <c r="W129" s="545"/>
      <c r="X129" s="545"/>
      <c r="Y129" s="576"/>
      <c r="Z129" s="576"/>
      <c r="AA129" s="545"/>
      <c r="AB129" s="545"/>
      <c r="AC129" s="545"/>
      <c r="AD129" s="576"/>
      <c r="AE129" s="576"/>
      <c r="AF129" s="576"/>
      <c r="AG129" s="576"/>
      <c r="AH129" s="576"/>
      <c r="AI129" s="576"/>
      <c r="AJ129" s="576"/>
      <c r="AK129" s="576"/>
      <c r="AL129" s="576"/>
      <c r="AM129" s="576"/>
      <c r="AN129" s="576"/>
      <c r="AO129" s="576"/>
      <c r="AP129" s="576"/>
      <c r="AQ129" s="576"/>
      <c r="AR129" s="576"/>
      <c r="AS129" s="576"/>
      <c r="AT129" s="576"/>
      <c r="AU129" s="576"/>
      <c r="AV129" s="576"/>
      <c r="AW129" s="576"/>
      <c r="AX129" s="576"/>
      <c r="AY129" s="576"/>
      <c r="AZ129" s="576"/>
      <c r="BA129" s="576"/>
      <c r="BB129" s="576"/>
      <c r="BC129" s="576"/>
      <c r="BD129" s="572"/>
      <c r="BE129" s="710"/>
      <c r="BF129" s="710"/>
      <c r="BG129" s="710"/>
      <c r="BH129" s="710"/>
      <c r="BI129" s="710"/>
      <c r="BJ129" s="710"/>
      <c r="BK129" s="710"/>
      <c r="BL129" s="710"/>
      <c r="BM129" s="710"/>
      <c r="BN129" s="710"/>
      <c r="BO129" s="710"/>
      <c r="BP129" s="710"/>
      <c r="BQ129" s="710"/>
      <c r="BR129" s="710"/>
      <c r="BS129" s="710"/>
      <c r="BT129" s="710"/>
    </row>
    <row r="130" spans="1:72" s="709" customFormat="1" ht="15.75">
      <c r="A130" s="545"/>
      <c r="B130" s="545"/>
      <c r="C130" s="545"/>
      <c r="D130" s="545"/>
      <c r="E130" s="545"/>
      <c r="F130" s="545"/>
      <c r="G130" s="545"/>
      <c r="H130" s="545"/>
      <c r="I130" s="545"/>
      <c r="J130" s="545"/>
      <c r="K130" s="545"/>
      <c r="L130" s="545"/>
      <c r="M130" s="545"/>
      <c r="N130" s="545"/>
      <c r="O130" s="545"/>
      <c r="P130" s="545"/>
      <c r="Q130" s="545"/>
      <c r="R130" s="545"/>
      <c r="S130" s="576"/>
      <c r="T130" s="576"/>
      <c r="U130" s="576"/>
      <c r="V130" s="576"/>
      <c r="W130" s="545"/>
      <c r="X130" s="545"/>
      <c r="Y130" s="576"/>
      <c r="Z130" s="576"/>
      <c r="AA130" s="545"/>
      <c r="AB130" s="545"/>
      <c r="AC130" s="545"/>
      <c r="AD130" s="576"/>
      <c r="AE130" s="576"/>
      <c r="AF130" s="576"/>
      <c r="AG130" s="576"/>
      <c r="AH130" s="576"/>
      <c r="AI130" s="576"/>
      <c r="AJ130" s="576"/>
      <c r="AK130" s="576"/>
      <c r="AL130" s="576"/>
      <c r="AM130" s="576"/>
      <c r="AN130" s="576"/>
      <c r="AO130" s="576"/>
      <c r="AP130" s="576"/>
      <c r="AQ130" s="576"/>
      <c r="AR130" s="576"/>
      <c r="AS130" s="576"/>
      <c r="AT130" s="576"/>
      <c r="AU130" s="576"/>
      <c r="AV130" s="576"/>
      <c r="AW130" s="576"/>
      <c r="AX130" s="576"/>
      <c r="AY130" s="576"/>
      <c r="AZ130" s="576"/>
      <c r="BA130" s="576"/>
      <c r="BB130" s="576"/>
      <c r="BC130" s="576"/>
      <c r="BD130" s="572"/>
      <c r="BE130" s="710"/>
      <c r="BF130" s="710"/>
      <c r="BG130" s="710"/>
      <c r="BH130" s="710"/>
      <c r="BI130" s="710"/>
      <c r="BJ130" s="710"/>
      <c r="BK130" s="710"/>
      <c r="BL130" s="710"/>
      <c r="BM130" s="710"/>
      <c r="BN130" s="710"/>
      <c r="BO130" s="710"/>
      <c r="BP130" s="710"/>
      <c r="BQ130" s="710"/>
      <c r="BR130" s="710"/>
      <c r="BS130" s="710"/>
      <c r="BT130" s="710"/>
    </row>
    <row r="131" spans="1:72" s="709" customFormat="1" ht="15.75">
      <c r="A131" s="545"/>
      <c r="B131" s="545"/>
      <c r="C131" s="545"/>
      <c r="D131" s="545"/>
      <c r="E131" s="545"/>
      <c r="F131" s="545"/>
      <c r="G131" s="545"/>
      <c r="H131" s="545"/>
      <c r="I131" s="545"/>
      <c r="J131" s="545"/>
      <c r="K131" s="545"/>
      <c r="L131" s="545"/>
      <c r="M131" s="545"/>
      <c r="N131" s="545"/>
      <c r="O131" s="545"/>
      <c r="P131" s="545"/>
      <c r="Q131" s="545"/>
      <c r="R131" s="545"/>
      <c r="S131" s="576"/>
      <c r="T131" s="576"/>
      <c r="U131" s="576"/>
      <c r="V131" s="576"/>
      <c r="W131" s="545"/>
      <c r="X131" s="545"/>
      <c r="Y131" s="576"/>
      <c r="Z131" s="576"/>
      <c r="AA131" s="545"/>
      <c r="AB131" s="545"/>
      <c r="AC131" s="545"/>
      <c r="AD131" s="576"/>
      <c r="AE131" s="576"/>
      <c r="AF131" s="576"/>
      <c r="AG131" s="576"/>
      <c r="AH131" s="576"/>
      <c r="AI131" s="576"/>
      <c r="AJ131" s="576"/>
      <c r="AK131" s="576"/>
      <c r="AL131" s="576"/>
      <c r="AM131" s="576"/>
      <c r="AN131" s="576"/>
      <c r="AO131" s="576"/>
      <c r="AP131" s="576"/>
      <c r="AQ131" s="576"/>
      <c r="AR131" s="576"/>
      <c r="AS131" s="576"/>
      <c r="AT131" s="576"/>
      <c r="AU131" s="576"/>
      <c r="AV131" s="576"/>
      <c r="AW131" s="576"/>
      <c r="AX131" s="576"/>
      <c r="AY131" s="576"/>
      <c r="AZ131" s="576"/>
      <c r="BA131" s="576"/>
      <c r="BB131" s="576"/>
      <c r="BC131" s="576"/>
      <c r="BD131" s="572"/>
      <c r="BE131" s="710"/>
      <c r="BF131" s="710"/>
      <c r="BG131" s="710"/>
      <c r="BH131" s="710"/>
      <c r="BI131" s="710"/>
      <c r="BJ131" s="710"/>
      <c r="BK131" s="710"/>
      <c r="BL131" s="710"/>
      <c r="BM131" s="710"/>
      <c r="BN131" s="710"/>
      <c r="BO131" s="710"/>
      <c r="BP131" s="710"/>
      <c r="BQ131" s="710"/>
      <c r="BR131" s="710"/>
      <c r="BS131" s="710"/>
      <c r="BT131" s="710"/>
    </row>
    <row r="132" spans="1:72" s="709" customFormat="1" ht="15.75">
      <c r="A132" s="545"/>
      <c r="B132" s="545"/>
      <c r="C132" s="545"/>
      <c r="D132" s="545"/>
      <c r="E132" s="545"/>
      <c r="F132" s="545"/>
      <c r="G132" s="545"/>
      <c r="H132" s="545"/>
      <c r="I132" s="545"/>
      <c r="J132" s="545"/>
      <c r="K132" s="545"/>
      <c r="L132" s="545"/>
      <c r="M132" s="545"/>
      <c r="N132" s="545"/>
      <c r="O132" s="545"/>
      <c r="P132" s="545"/>
      <c r="Q132" s="545"/>
      <c r="R132" s="545"/>
      <c r="S132" s="576"/>
      <c r="T132" s="576"/>
      <c r="U132" s="576"/>
      <c r="V132" s="576"/>
      <c r="W132" s="545"/>
      <c r="X132" s="545"/>
      <c r="Y132" s="576"/>
      <c r="Z132" s="576"/>
      <c r="AA132" s="545"/>
      <c r="AB132" s="545"/>
      <c r="AC132" s="545"/>
      <c r="AD132" s="576"/>
      <c r="AE132" s="576"/>
      <c r="AF132" s="576"/>
      <c r="AG132" s="576"/>
      <c r="AH132" s="576"/>
      <c r="AI132" s="576"/>
      <c r="AJ132" s="576"/>
      <c r="AK132" s="576"/>
      <c r="AL132" s="576"/>
      <c r="AM132" s="576"/>
      <c r="AN132" s="576"/>
      <c r="AO132" s="576"/>
      <c r="AP132" s="576"/>
      <c r="AQ132" s="576"/>
      <c r="AR132" s="576"/>
      <c r="AS132" s="576"/>
      <c r="AT132" s="576"/>
      <c r="AU132" s="576"/>
      <c r="AV132" s="576"/>
      <c r="AW132" s="576"/>
      <c r="AX132" s="576"/>
      <c r="AY132" s="576"/>
      <c r="AZ132" s="576"/>
      <c r="BA132" s="576"/>
      <c r="BB132" s="576"/>
      <c r="BC132" s="576"/>
      <c r="BD132" s="572"/>
      <c r="BE132" s="710"/>
      <c r="BF132" s="710"/>
      <c r="BG132" s="710"/>
      <c r="BH132" s="710"/>
      <c r="BI132" s="710"/>
      <c r="BJ132" s="710"/>
      <c r="BK132" s="710"/>
      <c r="BL132" s="710"/>
      <c r="BM132" s="710"/>
      <c r="BN132" s="710"/>
      <c r="BO132" s="710"/>
      <c r="BP132" s="710"/>
      <c r="BQ132" s="710"/>
      <c r="BR132" s="710"/>
      <c r="BS132" s="710"/>
      <c r="BT132" s="710"/>
    </row>
    <row r="133" spans="1:72" s="709" customFormat="1" ht="15.75">
      <c r="A133" s="545"/>
      <c r="B133" s="545"/>
      <c r="C133" s="545"/>
      <c r="D133" s="545"/>
      <c r="E133" s="545"/>
      <c r="F133" s="545"/>
      <c r="G133" s="545"/>
      <c r="H133" s="545"/>
      <c r="I133" s="545"/>
      <c r="J133" s="545"/>
      <c r="K133" s="545"/>
      <c r="L133" s="545"/>
      <c r="M133" s="545"/>
      <c r="N133" s="545"/>
      <c r="O133" s="545"/>
      <c r="P133" s="545"/>
      <c r="Q133" s="545"/>
      <c r="R133" s="545"/>
      <c r="S133" s="576"/>
      <c r="T133" s="576"/>
      <c r="U133" s="576"/>
      <c r="V133" s="576"/>
      <c r="W133" s="545"/>
      <c r="X133" s="545"/>
      <c r="Y133" s="576"/>
      <c r="Z133" s="576"/>
      <c r="AA133" s="545"/>
      <c r="AB133" s="545"/>
      <c r="AC133" s="545"/>
      <c r="AD133" s="576"/>
      <c r="AE133" s="576"/>
      <c r="AF133" s="576"/>
      <c r="AG133" s="576"/>
      <c r="AH133" s="576"/>
      <c r="AI133" s="576"/>
      <c r="AJ133" s="576"/>
      <c r="AK133" s="576"/>
      <c r="AL133" s="576"/>
      <c r="AM133" s="576"/>
      <c r="AN133" s="576"/>
      <c r="AO133" s="576"/>
      <c r="AP133" s="576"/>
      <c r="AQ133" s="576"/>
      <c r="AR133" s="576"/>
      <c r="AS133" s="576"/>
      <c r="AT133" s="576"/>
      <c r="AU133" s="576"/>
      <c r="AV133" s="576"/>
      <c r="AW133" s="576"/>
      <c r="AX133" s="576"/>
      <c r="AY133" s="576"/>
      <c r="AZ133" s="576"/>
      <c r="BA133" s="576"/>
      <c r="BB133" s="576"/>
      <c r="BC133" s="576"/>
      <c r="BD133" s="572"/>
      <c r="BE133" s="710"/>
      <c r="BF133" s="710"/>
      <c r="BG133" s="710"/>
      <c r="BH133" s="710"/>
      <c r="BI133" s="710"/>
      <c r="BJ133" s="710"/>
      <c r="BK133" s="710"/>
      <c r="BL133" s="710"/>
      <c r="BM133" s="710"/>
      <c r="BN133" s="710"/>
      <c r="BO133" s="710"/>
      <c r="BP133" s="710"/>
      <c r="BQ133" s="710"/>
      <c r="BR133" s="710"/>
      <c r="BS133" s="710"/>
      <c r="BT133" s="710"/>
    </row>
    <row r="134" spans="1:72" s="709" customFormat="1" ht="15.75">
      <c r="A134" s="545"/>
      <c r="B134" s="545"/>
      <c r="C134" s="545"/>
      <c r="D134" s="545"/>
      <c r="E134" s="545"/>
      <c r="F134" s="545"/>
      <c r="G134" s="545"/>
      <c r="H134" s="545"/>
      <c r="I134" s="545"/>
      <c r="J134" s="545"/>
      <c r="K134" s="545"/>
      <c r="L134" s="545"/>
      <c r="M134" s="545"/>
      <c r="N134" s="545"/>
      <c r="O134" s="545"/>
      <c r="P134" s="545"/>
      <c r="Q134" s="545"/>
      <c r="R134" s="545"/>
      <c r="S134" s="576"/>
      <c r="T134" s="576"/>
      <c r="U134" s="576"/>
      <c r="V134" s="576"/>
      <c r="W134" s="545"/>
      <c r="X134" s="545"/>
      <c r="Y134" s="576"/>
      <c r="Z134" s="576"/>
      <c r="AA134" s="545"/>
      <c r="AB134" s="545"/>
      <c r="AC134" s="545"/>
      <c r="AD134" s="576"/>
      <c r="AE134" s="576"/>
      <c r="AF134" s="576"/>
      <c r="AG134" s="576"/>
      <c r="AH134" s="576"/>
      <c r="AI134" s="576"/>
      <c r="AJ134" s="576"/>
      <c r="AK134" s="576"/>
      <c r="AL134" s="576"/>
      <c r="AM134" s="576"/>
      <c r="AN134" s="576"/>
      <c r="AO134" s="576"/>
      <c r="AP134" s="576"/>
      <c r="AQ134" s="576"/>
      <c r="AR134" s="576"/>
      <c r="AS134" s="576"/>
      <c r="AT134" s="576"/>
      <c r="AU134" s="576"/>
      <c r="AV134" s="576"/>
      <c r="AW134" s="576"/>
      <c r="AX134" s="576"/>
      <c r="AY134" s="576"/>
      <c r="AZ134" s="576"/>
      <c r="BA134" s="576"/>
      <c r="BB134" s="576"/>
      <c r="BC134" s="576"/>
      <c r="BD134" s="572"/>
      <c r="BE134" s="710"/>
      <c r="BF134" s="710"/>
      <c r="BG134" s="710"/>
      <c r="BH134" s="710"/>
      <c r="BI134" s="710"/>
      <c r="BJ134" s="710"/>
      <c r="BK134" s="710"/>
      <c r="BL134" s="710"/>
      <c r="BM134" s="710"/>
      <c r="BN134" s="710"/>
      <c r="BO134" s="710"/>
      <c r="BP134" s="710"/>
      <c r="BQ134" s="710"/>
      <c r="BR134" s="710"/>
      <c r="BS134" s="710"/>
      <c r="BT134" s="710"/>
    </row>
    <row r="135" spans="1:72" s="709" customFormat="1" ht="15.75">
      <c r="A135" s="545"/>
      <c r="B135" s="545"/>
      <c r="C135" s="545"/>
      <c r="D135" s="545"/>
      <c r="E135" s="545"/>
      <c r="F135" s="545"/>
      <c r="G135" s="545"/>
      <c r="H135" s="545"/>
      <c r="I135" s="545"/>
      <c r="J135" s="545"/>
      <c r="K135" s="545"/>
      <c r="L135" s="545"/>
      <c r="M135" s="545"/>
      <c r="N135" s="545"/>
      <c r="O135" s="545"/>
      <c r="P135" s="545"/>
      <c r="Q135" s="545"/>
      <c r="R135" s="545"/>
      <c r="S135" s="576"/>
      <c r="T135" s="576"/>
      <c r="U135" s="576"/>
      <c r="V135" s="576"/>
      <c r="W135" s="545"/>
      <c r="X135" s="545"/>
      <c r="Y135" s="576"/>
      <c r="Z135" s="576"/>
      <c r="AA135" s="545"/>
      <c r="AB135" s="545"/>
      <c r="AC135" s="545"/>
      <c r="AD135" s="576"/>
      <c r="AE135" s="576"/>
      <c r="AF135" s="576"/>
      <c r="AG135" s="576"/>
      <c r="AH135" s="576"/>
      <c r="AI135" s="576"/>
      <c r="AJ135" s="576"/>
      <c r="AK135" s="576"/>
      <c r="AL135" s="576"/>
      <c r="AM135" s="576"/>
      <c r="AN135" s="576"/>
      <c r="AO135" s="576"/>
      <c r="AP135" s="576"/>
      <c r="AQ135" s="576"/>
      <c r="AR135" s="576"/>
      <c r="AS135" s="576"/>
      <c r="AT135" s="576"/>
      <c r="AU135" s="576"/>
      <c r="AV135" s="576"/>
      <c r="AW135" s="576"/>
      <c r="AX135" s="576"/>
      <c r="AY135" s="576"/>
      <c r="AZ135" s="576"/>
      <c r="BA135" s="576"/>
      <c r="BB135" s="576"/>
      <c r="BC135" s="576"/>
      <c r="BD135" s="572"/>
      <c r="BE135" s="710"/>
      <c r="BF135" s="710"/>
      <c r="BG135" s="710"/>
      <c r="BH135" s="710"/>
      <c r="BI135" s="710"/>
      <c r="BJ135" s="710"/>
      <c r="BK135" s="710"/>
      <c r="BL135" s="710"/>
      <c r="BM135" s="710"/>
      <c r="BN135" s="710"/>
      <c r="BO135" s="710"/>
      <c r="BP135" s="710"/>
      <c r="BQ135" s="710"/>
      <c r="BR135" s="710"/>
      <c r="BS135" s="710"/>
      <c r="BT135" s="710"/>
    </row>
    <row r="136" spans="1:72" s="709" customFormat="1" ht="15.75">
      <c r="A136" s="545"/>
      <c r="B136" s="545"/>
      <c r="C136" s="545"/>
      <c r="D136" s="545"/>
      <c r="E136" s="545"/>
      <c r="F136" s="545"/>
      <c r="G136" s="545"/>
      <c r="H136" s="545"/>
      <c r="I136" s="545"/>
      <c r="J136" s="545"/>
      <c r="K136" s="545"/>
      <c r="L136" s="545"/>
      <c r="M136" s="545"/>
      <c r="N136" s="545"/>
      <c r="O136" s="545"/>
      <c r="P136" s="545"/>
      <c r="Q136" s="545"/>
      <c r="R136" s="545"/>
      <c r="S136" s="576"/>
      <c r="T136" s="576"/>
      <c r="U136" s="576"/>
      <c r="V136" s="576"/>
      <c r="W136" s="545"/>
      <c r="X136" s="545"/>
      <c r="Y136" s="576"/>
      <c r="Z136" s="576"/>
      <c r="AA136" s="545"/>
      <c r="AB136" s="545"/>
      <c r="AC136" s="545"/>
      <c r="AD136" s="576"/>
      <c r="AE136" s="576"/>
      <c r="AF136" s="576"/>
      <c r="AG136" s="576"/>
      <c r="AH136" s="576"/>
      <c r="AI136" s="576"/>
      <c r="AJ136" s="576"/>
      <c r="AK136" s="576"/>
      <c r="AL136" s="576"/>
      <c r="AM136" s="576"/>
      <c r="AN136" s="576"/>
      <c r="AO136" s="576"/>
      <c r="AP136" s="576"/>
      <c r="AQ136" s="576"/>
      <c r="AR136" s="576"/>
      <c r="AS136" s="576"/>
      <c r="AT136" s="576"/>
      <c r="AU136" s="576"/>
      <c r="AV136" s="576"/>
      <c r="AW136" s="576"/>
      <c r="AX136" s="576"/>
      <c r="AY136" s="576"/>
      <c r="AZ136" s="576"/>
      <c r="BA136" s="576"/>
      <c r="BB136" s="576"/>
      <c r="BC136" s="576"/>
      <c r="BD136" s="572"/>
      <c r="BE136" s="710"/>
      <c r="BF136" s="710"/>
      <c r="BG136" s="710"/>
      <c r="BH136" s="710"/>
      <c r="BI136" s="710"/>
      <c r="BJ136" s="710"/>
      <c r="BK136" s="710"/>
      <c r="BL136" s="710"/>
      <c r="BM136" s="710"/>
      <c r="BN136" s="710"/>
      <c r="BO136" s="710"/>
      <c r="BP136" s="710"/>
      <c r="BQ136" s="710"/>
      <c r="BR136" s="710"/>
      <c r="BS136" s="710"/>
      <c r="BT136" s="710"/>
    </row>
    <row r="137" spans="1:72" s="709" customFormat="1" ht="15.75">
      <c r="A137" s="545"/>
      <c r="B137" s="545"/>
      <c r="C137" s="545"/>
      <c r="D137" s="545"/>
      <c r="E137" s="545"/>
      <c r="F137" s="545"/>
      <c r="G137" s="545"/>
      <c r="H137" s="545"/>
      <c r="I137" s="545"/>
      <c r="J137" s="545"/>
      <c r="K137" s="545"/>
      <c r="L137" s="545"/>
      <c r="M137" s="545"/>
      <c r="N137" s="545"/>
      <c r="O137" s="545"/>
      <c r="P137" s="545"/>
      <c r="Q137" s="545"/>
      <c r="R137" s="545"/>
      <c r="S137" s="576"/>
      <c r="T137" s="576"/>
      <c r="U137" s="576"/>
      <c r="V137" s="576"/>
      <c r="W137" s="545"/>
      <c r="X137" s="545"/>
      <c r="Y137" s="576"/>
      <c r="Z137" s="576"/>
      <c r="AA137" s="545"/>
      <c r="AB137" s="545"/>
      <c r="AC137" s="545"/>
      <c r="AD137" s="576"/>
      <c r="AE137" s="576"/>
      <c r="AF137" s="576"/>
      <c r="AG137" s="576"/>
      <c r="AH137" s="576"/>
      <c r="AI137" s="576"/>
      <c r="AJ137" s="576"/>
      <c r="AK137" s="576"/>
      <c r="AL137" s="576"/>
      <c r="AM137" s="576"/>
      <c r="AN137" s="576"/>
      <c r="AO137" s="576"/>
      <c r="AP137" s="576"/>
      <c r="AQ137" s="576"/>
      <c r="AR137" s="576"/>
      <c r="AS137" s="576"/>
      <c r="AT137" s="576"/>
      <c r="AU137" s="576"/>
      <c r="AV137" s="576"/>
      <c r="AW137" s="576"/>
      <c r="AX137" s="576"/>
      <c r="AY137" s="576"/>
      <c r="AZ137" s="576"/>
      <c r="BA137" s="576"/>
      <c r="BB137" s="576"/>
      <c r="BC137" s="576"/>
      <c r="BD137" s="572"/>
      <c r="BE137" s="710"/>
      <c r="BF137" s="710"/>
      <c r="BG137" s="710"/>
      <c r="BH137" s="710"/>
      <c r="BI137" s="710"/>
      <c r="BJ137" s="710"/>
      <c r="BK137" s="710"/>
      <c r="BL137" s="710"/>
      <c r="BM137" s="710"/>
      <c r="BN137" s="710"/>
      <c r="BO137" s="710"/>
      <c r="BP137" s="710"/>
      <c r="BQ137" s="710"/>
      <c r="BR137" s="710"/>
      <c r="BS137" s="710"/>
      <c r="BT137" s="710"/>
    </row>
    <row r="138" spans="1:72" s="709" customFormat="1" ht="15.75">
      <c r="A138" s="545"/>
      <c r="B138" s="545"/>
      <c r="C138" s="545"/>
      <c r="D138" s="545"/>
      <c r="E138" s="545"/>
      <c r="F138" s="545"/>
      <c r="G138" s="545"/>
      <c r="H138" s="545"/>
      <c r="I138" s="545"/>
      <c r="J138" s="545"/>
      <c r="K138" s="545"/>
      <c r="L138" s="545"/>
      <c r="M138" s="545"/>
      <c r="N138" s="545"/>
      <c r="O138" s="545"/>
      <c r="P138" s="545"/>
      <c r="Q138" s="545"/>
      <c r="R138" s="545"/>
      <c r="S138" s="576"/>
      <c r="T138" s="576"/>
      <c r="U138" s="576"/>
      <c r="V138" s="576"/>
      <c r="W138" s="545"/>
      <c r="X138" s="545"/>
      <c r="Y138" s="576"/>
      <c r="Z138" s="576"/>
      <c r="AA138" s="545"/>
      <c r="AB138" s="545"/>
      <c r="AC138" s="545"/>
      <c r="AD138" s="576"/>
      <c r="AE138" s="576"/>
      <c r="AF138" s="576"/>
      <c r="AG138" s="576"/>
      <c r="AH138" s="576"/>
      <c r="AI138" s="576"/>
      <c r="AJ138" s="576"/>
      <c r="AK138" s="576"/>
      <c r="AL138" s="576"/>
      <c r="AM138" s="576"/>
      <c r="AN138" s="576"/>
      <c r="AO138" s="576"/>
      <c r="AP138" s="576"/>
      <c r="AQ138" s="576"/>
      <c r="AR138" s="576"/>
      <c r="AS138" s="576"/>
      <c r="AT138" s="576"/>
      <c r="AU138" s="576"/>
      <c r="AV138" s="576"/>
      <c r="AW138" s="576"/>
      <c r="AX138" s="576"/>
      <c r="AY138" s="576"/>
      <c r="AZ138" s="576"/>
      <c r="BA138" s="576"/>
      <c r="BB138" s="576"/>
      <c r="BC138" s="576"/>
      <c r="BD138" s="572"/>
      <c r="BE138" s="710"/>
      <c r="BF138" s="710"/>
      <c r="BG138" s="710"/>
      <c r="BH138" s="710"/>
      <c r="BI138" s="710"/>
      <c r="BJ138" s="710"/>
      <c r="BK138" s="710"/>
      <c r="BL138" s="710"/>
      <c r="BM138" s="710"/>
      <c r="BN138" s="710"/>
      <c r="BO138" s="710"/>
      <c r="BP138" s="710"/>
      <c r="BQ138" s="710"/>
      <c r="BR138" s="710"/>
      <c r="BS138" s="710"/>
      <c r="BT138" s="710"/>
    </row>
    <row r="139" spans="1:72" s="709" customFormat="1" ht="15.75">
      <c r="A139" s="545"/>
      <c r="B139" s="545"/>
      <c r="C139" s="545"/>
      <c r="D139" s="545"/>
      <c r="E139" s="545"/>
      <c r="F139" s="545"/>
      <c r="G139" s="545"/>
      <c r="H139" s="545"/>
      <c r="I139" s="545"/>
      <c r="J139" s="545"/>
      <c r="K139" s="545"/>
      <c r="L139" s="545"/>
      <c r="M139" s="545"/>
      <c r="N139" s="545"/>
      <c r="O139" s="545"/>
      <c r="P139" s="545"/>
      <c r="Q139" s="545"/>
      <c r="R139" s="545"/>
      <c r="S139" s="576"/>
      <c r="T139" s="576"/>
      <c r="U139" s="576"/>
      <c r="V139" s="576"/>
      <c r="W139" s="545"/>
      <c r="X139" s="545"/>
      <c r="Y139" s="576"/>
      <c r="Z139" s="576"/>
      <c r="AA139" s="545"/>
      <c r="AB139" s="545"/>
      <c r="AC139" s="545"/>
      <c r="AD139" s="576"/>
      <c r="AE139" s="576"/>
      <c r="AF139" s="576"/>
      <c r="AG139" s="576"/>
      <c r="AH139" s="576"/>
      <c r="AI139" s="576"/>
      <c r="AJ139" s="576"/>
      <c r="AK139" s="576"/>
      <c r="AL139" s="576"/>
      <c r="AM139" s="576"/>
      <c r="AN139" s="576"/>
      <c r="AO139" s="576"/>
      <c r="AP139" s="576"/>
      <c r="AQ139" s="576"/>
      <c r="AR139" s="576"/>
      <c r="AS139" s="576"/>
      <c r="AT139" s="576"/>
      <c r="AU139" s="576"/>
      <c r="AV139" s="576"/>
      <c r="AW139" s="576"/>
      <c r="AX139" s="576"/>
      <c r="AY139" s="576"/>
      <c r="AZ139" s="576"/>
      <c r="BA139" s="576"/>
      <c r="BB139" s="576"/>
      <c r="BC139" s="576"/>
      <c r="BD139" s="572"/>
      <c r="BE139" s="710"/>
      <c r="BF139" s="710"/>
      <c r="BG139" s="710"/>
      <c r="BH139" s="710"/>
      <c r="BI139" s="710"/>
      <c r="BJ139" s="710"/>
      <c r="BK139" s="710"/>
      <c r="BL139" s="710"/>
      <c r="BM139" s="710"/>
      <c r="BN139" s="710"/>
      <c r="BO139" s="710"/>
      <c r="BP139" s="710"/>
      <c r="BQ139" s="710"/>
      <c r="BR139" s="710"/>
      <c r="BS139" s="710"/>
      <c r="BT139" s="710"/>
    </row>
    <row r="140" spans="1:72" s="709" customFormat="1" ht="15.75">
      <c r="A140" s="545"/>
      <c r="B140" s="545"/>
      <c r="C140" s="545"/>
      <c r="D140" s="545"/>
      <c r="E140" s="545"/>
      <c r="F140" s="545"/>
      <c r="G140" s="545"/>
      <c r="H140" s="545"/>
      <c r="I140" s="545"/>
      <c r="J140" s="545"/>
      <c r="K140" s="545"/>
      <c r="L140" s="545"/>
      <c r="M140" s="545"/>
      <c r="N140" s="545"/>
      <c r="O140" s="545"/>
      <c r="P140" s="545"/>
      <c r="Q140" s="545"/>
      <c r="R140" s="545"/>
      <c r="S140" s="576"/>
      <c r="T140" s="576"/>
      <c r="U140" s="576"/>
      <c r="V140" s="576"/>
      <c r="W140" s="545"/>
      <c r="X140" s="545"/>
      <c r="Y140" s="576"/>
      <c r="Z140" s="576"/>
      <c r="AA140" s="545"/>
      <c r="AB140" s="545"/>
      <c r="AC140" s="545"/>
      <c r="AD140" s="576"/>
      <c r="AE140" s="576"/>
      <c r="AF140" s="576"/>
      <c r="AG140" s="576"/>
      <c r="AH140" s="576"/>
      <c r="AI140" s="576"/>
      <c r="AJ140" s="576"/>
      <c r="AK140" s="576"/>
      <c r="AL140" s="576"/>
      <c r="AM140" s="576"/>
      <c r="AN140" s="576"/>
      <c r="AO140" s="576"/>
      <c r="AP140" s="576"/>
      <c r="AQ140" s="576"/>
      <c r="AR140" s="576"/>
      <c r="AS140" s="576"/>
      <c r="AT140" s="576"/>
      <c r="AU140" s="576"/>
      <c r="AV140" s="576"/>
      <c r="AW140" s="576"/>
      <c r="AX140" s="576"/>
      <c r="AY140" s="576"/>
      <c r="AZ140" s="576"/>
      <c r="BA140" s="576"/>
      <c r="BB140" s="576"/>
      <c r="BC140" s="576"/>
      <c r="BD140" s="572"/>
      <c r="BE140" s="710"/>
      <c r="BF140" s="710"/>
      <c r="BG140" s="710"/>
      <c r="BH140" s="710"/>
      <c r="BI140" s="710"/>
      <c r="BJ140" s="710"/>
      <c r="BK140" s="710"/>
      <c r="BL140" s="710"/>
      <c r="BM140" s="710"/>
      <c r="BN140" s="710"/>
      <c r="BO140" s="710"/>
      <c r="BP140" s="710"/>
      <c r="BQ140" s="710"/>
      <c r="BR140" s="710"/>
      <c r="BS140" s="710"/>
      <c r="BT140" s="710"/>
    </row>
    <row r="141" spans="1:72" s="709" customFormat="1" ht="15.75">
      <c r="A141" s="545"/>
      <c r="B141" s="545"/>
      <c r="C141" s="545"/>
      <c r="D141" s="545"/>
      <c r="E141" s="545"/>
      <c r="F141" s="545"/>
      <c r="G141" s="545"/>
      <c r="H141" s="545"/>
      <c r="I141" s="545"/>
      <c r="J141" s="545"/>
      <c r="K141" s="545"/>
      <c r="L141" s="545"/>
      <c r="M141" s="545"/>
      <c r="N141" s="545"/>
      <c r="O141" s="545"/>
      <c r="P141" s="545"/>
      <c r="Q141" s="545"/>
      <c r="R141" s="545"/>
      <c r="S141" s="576"/>
      <c r="T141" s="576"/>
      <c r="U141" s="576"/>
      <c r="V141" s="576"/>
      <c r="W141" s="545"/>
      <c r="X141" s="545"/>
      <c r="Y141" s="576"/>
      <c r="Z141" s="576"/>
      <c r="AA141" s="545"/>
      <c r="AB141" s="545"/>
      <c r="AC141" s="545"/>
      <c r="AD141" s="576"/>
      <c r="AE141" s="576"/>
      <c r="AF141" s="576"/>
      <c r="AG141" s="576"/>
      <c r="AH141" s="576"/>
      <c r="AI141" s="576"/>
      <c r="AJ141" s="576"/>
      <c r="AK141" s="576"/>
      <c r="AL141" s="576"/>
      <c r="AM141" s="576"/>
      <c r="AN141" s="576"/>
      <c r="AO141" s="576"/>
      <c r="AP141" s="576"/>
      <c r="AQ141" s="576"/>
      <c r="AR141" s="576"/>
      <c r="AS141" s="576"/>
      <c r="AT141" s="576"/>
      <c r="AU141" s="576"/>
      <c r="AV141" s="576"/>
      <c r="AW141" s="576"/>
      <c r="AX141" s="576"/>
      <c r="AY141" s="576"/>
      <c r="AZ141" s="576"/>
      <c r="BA141" s="576"/>
      <c r="BB141" s="576"/>
      <c r="BC141" s="576"/>
      <c r="BD141" s="572"/>
      <c r="BE141" s="710"/>
      <c r="BF141" s="710"/>
      <c r="BG141" s="710"/>
      <c r="BH141" s="710"/>
      <c r="BI141" s="710"/>
      <c r="BJ141" s="710"/>
      <c r="BK141" s="710"/>
      <c r="BL141" s="710"/>
      <c r="BM141" s="710"/>
      <c r="BN141" s="710"/>
      <c r="BO141" s="710"/>
      <c r="BP141" s="710"/>
      <c r="BQ141" s="710"/>
      <c r="BR141" s="710"/>
      <c r="BS141" s="710"/>
      <c r="BT141" s="710"/>
    </row>
    <row r="142" spans="1:72" s="709" customFormat="1" ht="15.75">
      <c r="A142" s="545"/>
      <c r="B142" s="545"/>
      <c r="C142" s="545"/>
      <c r="D142" s="545"/>
      <c r="E142" s="545"/>
      <c r="F142" s="545"/>
      <c r="G142" s="545"/>
      <c r="H142" s="545"/>
      <c r="I142" s="545"/>
      <c r="J142" s="545"/>
      <c r="K142" s="545"/>
      <c r="L142" s="545"/>
      <c r="M142" s="545"/>
      <c r="N142" s="545"/>
      <c r="O142" s="545"/>
      <c r="P142" s="545"/>
      <c r="Q142" s="545"/>
      <c r="R142" s="545"/>
      <c r="S142" s="576"/>
      <c r="T142" s="576"/>
      <c r="U142" s="576"/>
      <c r="V142" s="576"/>
      <c r="W142" s="545"/>
      <c r="X142" s="545"/>
      <c r="Y142" s="576"/>
      <c r="Z142" s="576"/>
      <c r="AA142" s="545"/>
      <c r="AB142" s="545"/>
      <c r="AC142" s="545"/>
      <c r="AD142" s="576"/>
      <c r="AE142" s="576"/>
      <c r="AF142" s="576"/>
      <c r="AG142" s="576"/>
      <c r="AH142" s="576"/>
      <c r="AI142" s="576"/>
      <c r="AJ142" s="576"/>
      <c r="AK142" s="576"/>
      <c r="AL142" s="576"/>
      <c r="AM142" s="576"/>
      <c r="AN142" s="576"/>
      <c r="AO142" s="576"/>
      <c r="AP142" s="576"/>
      <c r="AQ142" s="576"/>
      <c r="AR142" s="576"/>
      <c r="AS142" s="576"/>
      <c r="AT142" s="576"/>
      <c r="AU142" s="576"/>
      <c r="AV142" s="576"/>
      <c r="AW142" s="576"/>
      <c r="AX142" s="576"/>
      <c r="AY142" s="576"/>
      <c r="AZ142" s="576"/>
      <c r="BA142" s="576"/>
      <c r="BB142" s="576"/>
      <c r="BC142" s="576"/>
      <c r="BD142" s="572"/>
      <c r="BE142" s="710"/>
      <c r="BF142" s="710"/>
      <c r="BG142" s="710"/>
      <c r="BH142" s="710"/>
      <c r="BI142" s="710"/>
      <c r="BJ142" s="710"/>
      <c r="BK142" s="710"/>
      <c r="BL142" s="710"/>
      <c r="BM142" s="710"/>
      <c r="BN142" s="710"/>
      <c r="BO142" s="710"/>
      <c r="BP142" s="710"/>
      <c r="BQ142" s="710"/>
      <c r="BR142" s="710"/>
      <c r="BS142" s="710"/>
      <c r="BT142" s="710"/>
    </row>
    <row r="143" spans="1:72" s="709" customFormat="1" ht="15.75">
      <c r="A143" s="545"/>
      <c r="B143" s="545"/>
      <c r="C143" s="545"/>
      <c r="D143" s="545"/>
      <c r="E143" s="545"/>
      <c r="F143" s="545"/>
      <c r="G143" s="545"/>
      <c r="H143" s="545"/>
      <c r="I143" s="545"/>
      <c r="J143" s="545"/>
      <c r="K143" s="545"/>
      <c r="L143" s="545"/>
      <c r="M143" s="545"/>
      <c r="N143" s="545"/>
      <c r="O143" s="545"/>
      <c r="P143" s="545"/>
      <c r="Q143" s="545"/>
      <c r="R143" s="545"/>
      <c r="S143" s="576"/>
      <c r="T143" s="576"/>
      <c r="U143" s="576"/>
      <c r="V143" s="576"/>
      <c r="W143" s="545"/>
      <c r="X143" s="545"/>
      <c r="Y143" s="576"/>
      <c r="Z143" s="576"/>
      <c r="AA143" s="545"/>
      <c r="AB143" s="545"/>
      <c r="AC143" s="545"/>
      <c r="AD143" s="576"/>
      <c r="AE143" s="576"/>
      <c r="AF143" s="576"/>
      <c r="AG143" s="576"/>
      <c r="AH143" s="576"/>
      <c r="AI143" s="576"/>
      <c r="AJ143" s="576"/>
      <c r="AK143" s="576"/>
      <c r="AL143" s="576"/>
      <c r="AM143" s="576"/>
      <c r="AN143" s="576"/>
      <c r="AO143" s="576"/>
      <c r="AP143" s="576"/>
      <c r="AQ143" s="576"/>
      <c r="AR143" s="576"/>
      <c r="AS143" s="576"/>
      <c r="AT143" s="576"/>
      <c r="AU143" s="576"/>
      <c r="AV143" s="576"/>
      <c r="AW143" s="576"/>
      <c r="AX143" s="576"/>
      <c r="AY143" s="576"/>
      <c r="AZ143" s="576"/>
      <c r="BA143" s="576"/>
      <c r="BB143" s="576"/>
      <c r="BC143" s="576"/>
      <c r="BD143" s="572"/>
      <c r="BE143" s="710"/>
      <c r="BF143" s="710"/>
      <c r="BG143" s="710"/>
      <c r="BH143" s="710"/>
      <c r="BI143" s="710"/>
      <c r="BJ143" s="710"/>
      <c r="BK143" s="710"/>
      <c r="BL143" s="710"/>
      <c r="BM143" s="710"/>
      <c r="BN143" s="710"/>
      <c r="BO143" s="710"/>
      <c r="BP143" s="710"/>
      <c r="BQ143" s="710"/>
      <c r="BR143" s="710"/>
      <c r="BS143" s="710"/>
      <c r="BT143" s="710"/>
    </row>
    <row r="144" spans="1:72" s="709" customFormat="1" ht="15.75">
      <c r="A144" s="545"/>
      <c r="B144" s="545"/>
      <c r="C144" s="545"/>
      <c r="D144" s="545"/>
      <c r="E144" s="545"/>
      <c r="F144" s="545"/>
      <c r="G144" s="545"/>
      <c r="H144" s="545"/>
      <c r="I144" s="545"/>
      <c r="J144" s="545"/>
      <c r="K144" s="545"/>
      <c r="L144" s="545"/>
      <c r="M144" s="545"/>
      <c r="N144" s="545"/>
      <c r="O144" s="545"/>
      <c r="P144" s="545"/>
      <c r="Q144" s="545"/>
      <c r="R144" s="545"/>
      <c r="S144" s="576"/>
      <c r="T144" s="576"/>
      <c r="U144" s="576"/>
      <c r="V144" s="576"/>
      <c r="W144" s="545"/>
      <c r="X144" s="545"/>
      <c r="Y144" s="576"/>
      <c r="Z144" s="576"/>
      <c r="AA144" s="545"/>
      <c r="AB144" s="545"/>
      <c r="AC144" s="545"/>
      <c r="AD144" s="576"/>
      <c r="AE144" s="576"/>
      <c r="AF144" s="576"/>
      <c r="AG144" s="576"/>
      <c r="AH144" s="576"/>
      <c r="AI144" s="576"/>
      <c r="AJ144" s="576"/>
      <c r="AK144" s="576"/>
      <c r="AL144" s="576"/>
      <c r="AM144" s="576"/>
      <c r="AN144" s="576"/>
      <c r="AO144" s="576"/>
      <c r="AP144" s="576"/>
      <c r="AQ144" s="576"/>
      <c r="AR144" s="576"/>
      <c r="AS144" s="576"/>
      <c r="AT144" s="576"/>
      <c r="AU144" s="576"/>
      <c r="AV144" s="576"/>
      <c r="AW144" s="576"/>
      <c r="AX144" s="576"/>
      <c r="AY144" s="576"/>
      <c r="AZ144" s="576"/>
      <c r="BA144" s="576"/>
      <c r="BB144" s="576"/>
      <c r="BC144" s="576"/>
      <c r="BD144" s="572"/>
      <c r="BE144" s="710"/>
      <c r="BF144" s="710"/>
      <c r="BG144" s="710"/>
      <c r="BH144" s="710"/>
      <c r="BI144" s="710"/>
      <c r="BJ144" s="710"/>
      <c r="BK144" s="710"/>
      <c r="BL144" s="710"/>
      <c r="BM144" s="710"/>
      <c r="BN144" s="710"/>
      <c r="BO144" s="710"/>
      <c r="BP144" s="710"/>
      <c r="BQ144" s="710"/>
      <c r="BR144" s="710"/>
      <c r="BS144" s="710"/>
      <c r="BT144" s="710"/>
    </row>
    <row r="145" spans="1:72" s="709" customFormat="1" ht="15.75">
      <c r="A145" s="545"/>
      <c r="B145" s="545"/>
      <c r="C145" s="545"/>
      <c r="D145" s="545"/>
      <c r="E145" s="545"/>
      <c r="F145" s="545"/>
      <c r="G145" s="545"/>
      <c r="H145" s="545"/>
      <c r="I145" s="545"/>
      <c r="J145" s="545"/>
      <c r="K145" s="545"/>
      <c r="L145" s="545"/>
      <c r="M145" s="545"/>
      <c r="N145" s="545"/>
      <c r="O145" s="545"/>
      <c r="P145" s="545"/>
      <c r="Q145" s="545"/>
      <c r="R145" s="545"/>
      <c r="S145" s="576"/>
      <c r="T145" s="576"/>
      <c r="U145" s="576"/>
      <c r="V145" s="576"/>
      <c r="W145" s="545"/>
      <c r="X145" s="545"/>
      <c r="Y145" s="576"/>
      <c r="Z145" s="576"/>
      <c r="AA145" s="545"/>
      <c r="AB145" s="545"/>
      <c r="AC145" s="545"/>
      <c r="AD145" s="576"/>
      <c r="AE145" s="576"/>
      <c r="AF145" s="576"/>
      <c r="AG145" s="576"/>
      <c r="AH145" s="576"/>
      <c r="AI145" s="576"/>
      <c r="AJ145" s="576"/>
      <c r="AK145" s="576"/>
      <c r="AL145" s="576"/>
      <c r="AM145" s="576"/>
      <c r="AN145" s="576"/>
      <c r="AO145" s="576"/>
      <c r="AP145" s="576"/>
      <c r="AQ145" s="576"/>
      <c r="AR145" s="576"/>
      <c r="AS145" s="576"/>
      <c r="AT145" s="576"/>
      <c r="AU145" s="576"/>
      <c r="AV145" s="576"/>
      <c r="AW145" s="576"/>
      <c r="AX145" s="576"/>
      <c r="AY145" s="576"/>
      <c r="AZ145" s="576"/>
      <c r="BA145" s="576"/>
      <c r="BB145" s="576"/>
      <c r="BC145" s="576"/>
      <c r="BD145" s="572"/>
      <c r="BE145" s="710"/>
      <c r="BF145" s="710"/>
      <c r="BG145" s="710"/>
      <c r="BH145" s="710"/>
      <c r="BI145" s="710"/>
      <c r="BJ145" s="710"/>
      <c r="BK145" s="710"/>
      <c r="BL145" s="710"/>
      <c r="BM145" s="710"/>
      <c r="BN145" s="710"/>
      <c r="BO145" s="710"/>
      <c r="BP145" s="710"/>
      <c r="BQ145" s="710"/>
      <c r="BR145" s="710"/>
      <c r="BS145" s="710"/>
      <c r="BT145" s="710"/>
    </row>
    <row r="146" spans="1:72" s="709" customFormat="1" ht="15.75">
      <c r="A146" s="545"/>
      <c r="B146" s="545"/>
      <c r="C146" s="545"/>
      <c r="D146" s="545"/>
      <c r="E146" s="545"/>
      <c r="F146" s="545"/>
      <c r="G146" s="545"/>
      <c r="H146" s="545"/>
      <c r="I146" s="545"/>
      <c r="J146" s="545"/>
      <c r="K146" s="545"/>
      <c r="L146" s="545"/>
      <c r="M146" s="545"/>
      <c r="N146" s="545"/>
      <c r="O146" s="545"/>
      <c r="P146" s="545"/>
      <c r="Q146" s="545"/>
      <c r="R146" s="545"/>
      <c r="S146" s="576"/>
      <c r="T146" s="576"/>
      <c r="U146" s="576"/>
      <c r="V146" s="576"/>
      <c r="W146" s="545"/>
      <c r="X146" s="545"/>
      <c r="Y146" s="576"/>
      <c r="Z146" s="576"/>
      <c r="AA146" s="545"/>
      <c r="AB146" s="545"/>
      <c r="AC146" s="545"/>
      <c r="AD146" s="576"/>
      <c r="AE146" s="576"/>
      <c r="AF146" s="576"/>
      <c r="AG146" s="576"/>
      <c r="AH146" s="576"/>
      <c r="AI146" s="576"/>
      <c r="AJ146" s="576"/>
      <c r="AK146" s="576"/>
      <c r="AL146" s="576"/>
      <c r="AM146" s="576"/>
      <c r="AN146" s="576"/>
      <c r="AO146" s="576"/>
      <c r="AP146" s="576"/>
      <c r="AQ146" s="576"/>
      <c r="AR146" s="576"/>
      <c r="AS146" s="576"/>
      <c r="AT146" s="576"/>
      <c r="AU146" s="576"/>
      <c r="AV146" s="576"/>
      <c r="AW146" s="576"/>
      <c r="AX146" s="576"/>
      <c r="AY146" s="576"/>
      <c r="AZ146" s="576"/>
      <c r="BA146" s="576"/>
      <c r="BB146" s="576"/>
      <c r="BC146" s="576"/>
      <c r="BD146" s="572"/>
      <c r="BE146" s="710"/>
      <c r="BF146" s="710"/>
      <c r="BG146" s="710"/>
      <c r="BH146" s="710"/>
      <c r="BI146" s="710"/>
      <c r="BJ146" s="710"/>
      <c r="BK146" s="710"/>
      <c r="BL146" s="710"/>
      <c r="BM146" s="710"/>
      <c r="BN146" s="710"/>
      <c r="BO146" s="710"/>
      <c r="BP146" s="710"/>
      <c r="BQ146" s="710"/>
      <c r="BR146" s="710"/>
      <c r="BS146" s="710"/>
      <c r="BT146" s="710"/>
    </row>
    <row r="147" spans="1:72" s="709" customFormat="1" ht="15.75">
      <c r="A147" s="545"/>
      <c r="B147" s="545"/>
      <c r="C147" s="545"/>
      <c r="D147" s="545"/>
      <c r="E147" s="545"/>
      <c r="F147" s="545"/>
      <c r="G147" s="545"/>
      <c r="H147" s="545"/>
      <c r="I147" s="545"/>
      <c r="J147" s="545"/>
      <c r="K147" s="545"/>
      <c r="L147" s="545"/>
      <c r="M147" s="545"/>
      <c r="N147" s="545"/>
      <c r="O147" s="545"/>
      <c r="P147" s="545"/>
      <c r="Q147" s="545"/>
      <c r="R147" s="545"/>
      <c r="S147" s="576"/>
      <c r="T147" s="576"/>
      <c r="U147" s="576"/>
      <c r="V147" s="576"/>
      <c r="W147" s="545"/>
      <c r="X147" s="545"/>
      <c r="Y147" s="576"/>
      <c r="Z147" s="576"/>
      <c r="AA147" s="545"/>
      <c r="AB147" s="545"/>
      <c r="AC147" s="545"/>
      <c r="AD147" s="576"/>
      <c r="AE147" s="576"/>
      <c r="AF147" s="576"/>
      <c r="AG147" s="576"/>
      <c r="AH147" s="576"/>
      <c r="AI147" s="576"/>
      <c r="AJ147" s="576"/>
      <c r="AK147" s="576"/>
      <c r="AL147" s="576"/>
      <c r="AM147" s="576"/>
      <c r="AN147" s="576"/>
      <c r="AO147" s="576"/>
      <c r="AP147" s="576"/>
      <c r="AQ147" s="576"/>
      <c r="AR147" s="576"/>
      <c r="AS147" s="576"/>
      <c r="AT147" s="576"/>
      <c r="AU147" s="576"/>
      <c r="AV147" s="576"/>
      <c r="AW147" s="576"/>
      <c r="AX147" s="576"/>
      <c r="AY147" s="576"/>
      <c r="AZ147" s="576"/>
      <c r="BA147" s="576"/>
      <c r="BB147" s="576"/>
      <c r="BC147" s="576"/>
      <c r="BD147" s="572"/>
      <c r="BE147" s="710"/>
      <c r="BF147" s="710"/>
      <c r="BG147" s="710"/>
      <c r="BH147" s="710"/>
      <c r="BI147" s="710"/>
      <c r="BJ147" s="710"/>
      <c r="BK147" s="710"/>
      <c r="BL147" s="710"/>
      <c r="BM147" s="710"/>
      <c r="BN147" s="710"/>
      <c r="BO147" s="710"/>
      <c r="BP147" s="710"/>
      <c r="BQ147" s="710"/>
      <c r="BR147" s="710"/>
      <c r="BS147" s="710"/>
      <c r="BT147" s="710"/>
    </row>
    <row r="148" spans="1:72" s="709" customFormat="1" ht="15.75">
      <c r="A148" s="545"/>
      <c r="B148" s="545"/>
      <c r="C148" s="545"/>
      <c r="D148" s="545"/>
      <c r="E148" s="545"/>
      <c r="F148" s="545"/>
      <c r="G148" s="545"/>
      <c r="H148" s="545"/>
      <c r="I148" s="545"/>
      <c r="J148" s="545"/>
      <c r="K148" s="545"/>
      <c r="L148" s="545"/>
      <c r="M148" s="545"/>
      <c r="N148" s="545"/>
      <c r="O148" s="545"/>
      <c r="P148" s="545"/>
      <c r="Q148" s="545"/>
      <c r="R148" s="545"/>
      <c r="S148" s="576"/>
      <c r="T148" s="576"/>
      <c r="U148" s="576"/>
      <c r="V148" s="576"/>
      <c r="W148" s="545"/>
      <c r="X148" s="545"/>
      <c r="Y148" s="576"/>
      <c r="Z148" s="576"/>
      <c r="AA148" s="545"/>
      <c r="AB148" s="545"/>
      <c r="AC148" s="545"/>
      <c r="AD148" s="576"/>
      <c r="AE148" s="576"/>
      <c r="AF148" s="576"/>
      <c r="AG148" s="576"/>
      <c r="AH148" s="576"/>
      <c r="AI148" s="576"/>
      <c r="AJ148" s="576"/>
      <c r="AK148" s="576"/>
      <c r="AL148" s="576"/>
      <c r="AM148" s="576"/>
      <c r="AN148" s="576"/>
      <c r="AO148" s="576"/>
      <c r="AP148" s="576"/>
      <c r="AQ148" s="576"/>
      <c r="AR148" s="576"/>
      <c r="AS148" s="576"/>
      <c r="AT148" s="576"/>
      <c r="AU148" s="576"/>
      <c r="AV148" s="576"/>
      <c r="AW148" s="576"/>
      <c r="AX148" s="576"/>
      <c r="AY148" s="576"/>
      <c r="AZ148" s="576"/>
      <c r="BA148" s="576"/>
      <c r="BB148" s="576"/>
      <c r="BC148" s="576"/>
      <c r="BD148" s="572"/>
      <c r="BE148" s="710"/>
      <c r="BF148" s="710"/>
      <c r="BG148" s="710"/>
      <c r="BH148" s="710"/>
      <c r="BI148" s="710"/>
      <c r="BJ148" s="710"/>
      <c r="BK148" s="710"/>
      <c r="BL148" s="710"/>
      <c r="BM148" s="710"/>
      <c r="BN148" s="710"/>
      <c r="BO148" s="710"/>
      <c r="BP148" s="710"/>
      <c r="BQ148" s="710"/>
      <c r="BR148" s="710"/>
      <c r="BS148" s="710"/>
      <c r="BT148" s="710"/>
    </row>
    <row r="149" spans="1:72" s="709" customFormat="1" ht="15.75">
      <c r="A149" s="545"/>
      <c r="B149" s="545"/>
      <c r="C149" s="545"/>
      <c r="D149" s="545"/>
      <c r="E149" s="545"/>
      <c r="F149" s="545"/>
      <c r="G149" s="545"/>
      <c r="H149" s="545"/>
      <c r="I149" s="545"/>
      <c r="J149" s="545"/>
      <c r="K149" s="545"/>
      <c r="L149" s="545"/>
      <c r="M149" s="545"/>
      <c r="N149" s="545"/>
      <c r="O149" s="545"/>
      <c r="P149" s="545"/>
      <c r="Q149" s="545"/>
      <c r="R149" s="545"/>
      <c r="S149" s="576"/>
      <c r="T149" s="576"/>
      <c r="U149" s="576"/>
      <c r="V149" s="576"/>
      <c r="W149" s="545"/>
      <c r="X149" s="545"/>
      <c r="Y149" s="576"/>
      <c r="Z149" s="576"/>
      <c r="AA149" s="545"/>
      <c r="AB149" s="545"/>
      <c r="AC149" s="545"/>
      <c r="AD149" s="576"/>
      <c r="AE149" s="576"/>
      <c r="AF149" s="576"/>
      <c r="AG149" s="576"/>
      <c r="AH149" s="576"/>
      <c r="AI149" s="576"/>
      <c r="AJ149" s="576"/>
      <c r="AK149" s="576"/>
      <c r="AL149" s="576"/>
      <c r="AM149" s="576"/>
      <c r="AN149" s="576"/>
      <c r="AO149" s="576"/>
      <c r="AP149" s="576"/>
      <c r="AQ149" s="576"/>
      <c r="AR149" s="576"/>
      <c r="AS149" s="576"/>
      <c r="AT149" s="576"/>
      <c r="AU149" s="576"/>
      <c r="AV149" s="576"/>
      <c r="AW149" s="576"/>
      <c r="AX149" s="576"/>
      <c r="AY149" s="576"/>
      <c r="AZ149" s="576"/>
      <c r="BA149" s="576"/>
      <c r="BB149" s="576"/>
      <c r="BC149" s="576"/>
      <c r="BD149" s="572"/>
      <c r="BE149" s="710"/>
      <c r="BF149" s="710"/>
      <c r="BG149" s="710"/>
      <c r="BH149" s="710"/>
      <c r="BI149" s="710"/>
      <c r="BJ149" s="710"/>
      <c r="BK149" s="710"/>
      <c r="BL149" s="710"/>
      <c r="BM149" s="710"/>
      <c r="BN149" s="710"/>
      <c r="BO149" s="710"/>
      <c r="BP149" s="710"/>
      <c r="BQ149" s="710"/>
      <c r="BR149" s="710"/>
      <c r="BS149" s="710"/>
      <c r="BT149" s="710"/>
    </row>
    <row r="150" spans="1:72" s="709" customFormat="1" ht="15.75">
      <c r="A150" s="545"/>
      <c r="B150" s="545"/>
      <c r="C150" s="545"/>
      <c r="D150" s="545"/>
      <c r="E150" s="545"/>
      <c r="F150" s="545"/>
      <c r="G150" s="545"/>
      <c r="H150" s="545"/>
      <c r="I150" s="545"/>
      <c r="J150" s="545"/>
      <c r="K150" s="545"/>
      <c r="L150" s="545"/>
      <c r="M150" s="545"/>
      <c r="N150" s="545"/>
      <c r="O150" s="545"/>
      <c r="P150" s="545"/>
      <c r="Q150" s="545"/>
      <c r="R150" s="545"/>
      <c r="S150" s="576"/>
      <c r="T150" s="576"/>
      <c r="U150" s="576"/>
      <c r="V150" s="576"/>
      <c r="W150" s="545"/>
      <c r="X150" s="545"/>
      <c r="Y150" s="576"/>
      <c r="Z150" s="576"/>
      <c r="AA150" s="545"/>
      <c r="AB150" s="545"/>
      <c r="AC150" s="545"/>
      <c r="AD150" s="576"/>
      <c r="AE150" s="576"/>
      <c r="AF150" s="576"/>
      <c r="AG150" s="576"/>
      <c r="AH150" s="576"/>
      <c r="AI150" s="576"/>
      <c r="AJ150" s="576"/>
      <c r="AK150" s="576"/>
      <c r="AL150" s="576"/>
      <c r="AM150" s="576"/>
      <c r="AN150" s="576"/>
      <c r="AO150" s="576"/>
      <c r="AP150" s="576"/>
      <c r="AQ150" s="576"/>
      <c r="AR150" s="576"/>
      <c r="AS150" s="576"/>
      <c r="AT150" s="576"/>
      <c r="AU150" s="576"/>
      <c r="AV150" s="576"/>
      <c r="AW150" s="576"/>
      <c r="AX150" s="576"/>
      <c r="AY150" s="576"/>
      <c r="AZ150" s="576"/>
      <c r="BA150" s="576"/>
      <c r="BB150" s="576"/>
      <c r="BC150" s="576"/>
      <c r="BD150" s="572"/>
      <c r="BE150" s="710"/>
      <c r="BF150" s="710"/>
      <c r="BG150" s="710"/>
      <c r="BH150" s="710"/>
      <c r="BI150" s="710"/>
      <c r="BJ150" s="710"/>
      <c r="BK150" s="710"/>
      <c r="BL150" s="710"/>
      <c r="BM150" s="710"/>
      <c r="BN150" s="710"/>
      <c r="BO150" s="710"/>
      <c r="BP150" s="710"/>
      <c r="BQ150" s="710"/>
      <c r="BR150" s="710"/>
      <c r="BS150" s="710"/>
      <c r="BT150" s="710"/>
    </row>
    <row r="151" spans="1:72" s="709" customFormat="1" ht="15.75">
      <c r="A151" s="545"/>
      <c r="B151" s="545"/>
      <c r="C151" s="545"/>
      <c r="D151" s="545"/>
      <c r="E151" s="545"/>
      <c r="F151" s="545"/>
      <c r="G151" s="545"/>
      <c r="H151" s="545"/>
      <c r="I151" s="545"/>
      <c r="J151" s="545"/>
      <c r="K151" s="545"/>
      <c r="L151" s="545"/>
      <c r="M151" s="545"/>
      <c r="N151" s="545"/>
      <c r="O151" s="545"/>
      <c r="P151" s="545"/>
      <c r="Q151" s="545"/>
      <c r="R151" s="545"/>
      <c r="S151" s="576"/>
      <c r="T151" s="576"/>
      <c r="U151" s="576"/>
      <c r="V151" s="576"/>
      <c r="W151" s="545"/>
      <c r="X151" s="545"/>
      <c r="Y151" s="576"/>
      <c r="Z151" s="576"/>
      <c r="AA151" s="545"/>
      <c r="AB151" s="545"/>
      <c r="AC151" s="545"/>
      <c r="AD151" s="576"/>
      <c r="AE151" s="576"/>
      <c r="AF151" s="576"/>
      <c r="AG151" s="576"/>
      <c r="AH151" s="576"/>
      <c r="AI151" s="576"/>
      <c r="AJ151" s="576"/>
      <c r="AK151" s="576"/>
      <c r="AL151" s="576"/>
      <c r="AM151" s="576"/>
      <c r="AN151" s="576"/>
      <c r="AO151" s="576"/>
      <c r="AP151" s="576"/>
      <c r="AQ151" s="576"/>
      <c r="AR151" s="576"/>
      <c r="AS151" s="576"/>
      <c r="AT151" s="576"/>
      <c r="AU151" s="576"/>
      <c r="AV151" s="576"/>
      <c r="AW151" s="576"/>
      <c r="AX151" s="576"/>
      <c r="AY151" s="576"/>
      <c r="AZ151" s="576"/>
      <c r="BA151" s="576"/>
      <c r="BB151" s="576"/>
      <c r="BC151" s="576"/>
      <c r="BD151" s="572"/>
      <c r="BE151" s="710"/>
      <c r="BF151" s="710"/>
      <c r="BG151" s="710"/>
      <c r="BH151" s="710"/>
      <c r="BI151" s="710"/>
      <c r="BJ151" s="710"/>
      <c r="BK151" s="710"/>
      <c r="BL151" s="710"/>
      <c r="BM151" s="710"/>
      <c r="BN151" s="710"/>
      <c r="BO151" s="710"/>
      <c r="BP151" s="710"/>
      <c r="BQ151" s="710"/>
      <c r="BR151" s="710"/>
      <c r="BS151" s="710"/>
      <c r="BT151" s="710"/>
    </row>
    <row r="152" spans="1:72" s="709" customFormat="1" ht="15.75">
      <c r="A152" s="545"/>
      <c r="B152" s="545"/>
      <c r="C152" s="545"/>
      <c r="D152" s="545"/>
      <c r="E152" s="545"/>
      <c r="F152" s="545"/>
      <c r="G152" s="545"/>
      <c r="H152" s="545"/>
      <c r="I152" s="545"/>
      <c r="J152" s="545"/>
      <c r="K152" s="545"/>
      <c r="L152" s="545"/>
      <c r="M152" s="545"/>
      <c r="N152" s="545"/>
      <c r="O152" s="545"/>
      <c r="P152" s="545"/>
      <c r="Q152" s="545"/>
      <c r="R152" s="545"/>
      <c r="S152" s="576"/>
      <c r="T152" s="576"/>
      <c r="U152" s="576"/>
      <c r="V152" s="576"/>
      <c r="W152" s="545"/>
      <c r="X152" s="545"/>
      <c r="Y152" s="576"/>
      <c r="Z152" s="576"/>
      <c r="AA152" s="545"/>
      <c r="AB152" s="545"/>
      <c r="AC152" s="545"/>
      <c r="AD152" s="576"/>
      <c r="AE152" s="576"/>
      <c r="AF152" s="576"/>
      <c r="AG152" s="576"/>
      <c r="AH152" s="576"/>
      <c r="AI152" s="576"/>
      <c r="AJ152" s="576"/>
      <c r="AK152" s="576"/>
      <c r="AL152" s="576"/>
      <c r="AM152" s="576"/>
      <c r="AN152" s="576"/>
      <c r="AO152" s="576"/>
      <c r="AP152" s="576"/>
      <c r="AQ152" s="576"/>
      <c r="AR152" s="576"/>
      <c r="AS152" s="576"/>
      <c r="AT152" s="576"/>
      <c r="AU152" s="576"/>
      <c r="AV152" s="576"/>
      <c r="AW152" s="576"/>
      <c r="AX152" s="576"/>
      <c r="AY152" s="576"/>
      <c r="AZ152" s="576"/>
      <c r="BA152" s="576"/>
      <c r="BB152" s="576"/>
      <c r="BC152" s="576"/>
      <c r="BD152" s="572"/>
      <c r="BE152" s="710"/>
      <c r="BF152" s="710"/>
      <c r="BG152" s="710"/>
      <c r="BH152" s="710"/>
      <c r="BI152" s="710"/>
      <c r="BJ152" s="710"/>
      <c r="BK152" s="710"/>
      <c r="BL152" s="710"/>
      <c r="BM152" s="710"/>
      <c r="BN152" s="710"/>
      <c r="BO152" s="710"/>
      <c r="BP152" s="710"/>
      <c r="BQ152" s="710"/>
      <c r="BR152" s="710"/>
      <c r="BS152" s="710"/>
      <c r="BT152" s="710"/>
    </row>
    <row r="153" spans="1:72" s="709" customFormat="1" ht="15.75">
      <c r="A153" s="545"/>
      <c r="B153" s="545"/>
      <c r="C153" s="545"/>
      <c r="D153" s="545"/>
      <c r="E153" s="545"/>
      <c r="F153" s="545"/>
      <c r="G153" s="545"/>
      <c r="H153" s="545"/>
      <c r="I153" s="545"/>
      <c r="J153" s="545"/>
      <c r="K153" s="545"/>
      <c r="L153" s="545"/>
      <c r="M153" s="545"/>
      <c r="N153" s="545"/>
      <c r="O153" s="545"/>
      <c r="P153" s="545"/>
      <c r="Q153" s="545"/>
      <c r="R153" s="545"/>
      <c r="S153" s="576"/>
      <c r="T153" s="576"/>
      <c r="U153" s="576"/>
      <c r="V153" s="576"/>
      <c r="W153" s="545"/>
      <c r="X153" s="545"/>
      <c r="Y153" s="576"/>
      <c r="Z153" s="576"/>
      <c r="AA153" s="545"/>
      <c r="AB153" s="545"/>
      <c r="AC153" s="545"/>
      <c r="AD153" s="576"/>
      <c r="AE153" s="576"/>
      <c r="AF153" s="576"/>
      <c r="AG153" s="576"/>
      <c r="AH153" s="576"/>
      <c r="AI153" s="576"/>
      <c r="AJ153" s="576"/>
      <c r="AK153" s="576"/>
      <c r="AL153" s="576"/>
      <c r="AM153" s="576"/>
      <c r="AN153" s="576"/>
      <c r="AO153" s="576"/>
      <c r="AP153" s="576"/>
      <c r="AQ153" s="576"/>
      <c r="AR153" s="576"/>
      <c r="AS153" s="576"/>
      <c r="AT153" s="576"/>
      <c r="AU153" s="576"/>
      <c r="AV153" s="576"/>
      <c r="AW153" s="576"/>
      <c r="AX153" s="576"/>
      <c r="AY153" s="576"/>
      <c r="AZ153" s="576"/>
      <c r="BA153" s="576"/>
      <c r="BB153" s="576"/>
      <c r="BC153" s="576"/>
      <c r="BD153" s="572"/>
      <c r="BE153" s="710"/>
      <c r="BF153" s="710"/>
      <c r="BG153" s="710"/>
      <c r="BH153" s="710"/>
      <c r="BI153" s="710"/>
      <c r="BJ153" s="710"/>
      <c r="BK153" s="710"/>
      <c r="BL153" s="710"/>
      <c r="BM153" s="710"/>
      <c r="BN153" s="710"/>
      <c r="BO153" s="710"/>
      <c r="BP153" s="710"/>
      <c r="BQ153" s="710"/>
      <c r="BR153" s="710"/>
      <c r="BS153" s="710"/>
      <c r="BT153" s="710"/>
    </row>
    <row r="154" spans="1:72" s="709" customFormat="1" ht="15.75">
      <c r="A154" s="545"/>
      <c r="B154" s="545"/>
      <c r="C154" s="545"/>
      <c r="D154" s="545"/>
      <c r="E154" s="545"/>
      <c r="F154" s="545"/>
      <c r="G154" s="545"/>
      <c r="H154" s="545"/>
      <c r="I154" s="545"/>
      <c r="J154" s="545"/>
      <c r="K154" s="545"/>
      <c r="L154" s="545"/>
      <c r="M154" s="545"/>
      <c r="N154" s="545"/>
      <c r="O154" s="545"/>
      <c r="P154" s="545"/>
      <c r="Q154" s="545"/>
      <c r="R154" s="545"/>
      <c r="S154" s="576"/>
      <c r="T154" s="576"/>
      <c r="U154" s="576"/>
      <c r="V154" s="576"/>
      <c r="W154" s="545"/>
      <c r="X154" s="545"/>
      <c r="Y154" s="576"/>
      <c r="Z154" s="576"/>
      <c r="AA154" s="545"/>
      <c r="AB154" s="545"/>
      <c r="AC154" s="545"/>
      <c r="AD154" s="576"/>
      <c r="AE154" s="576"/>
      <c r="AF154" s="576"/>
      <c r="AG154" s="576"/>
      <c r="AH154" s="576"/>
      <c r="AI154" s="576"/>
      <c r="AJ154" s="576"/>
      <c r="AK154" s="576"/>
      <c r="AL154" s="576"/>
      <c r="AM154" s="576"/>
      <c r="AN154" s="576"/>
      <c r="AO154" s="576"/>
      <c r="AP154" s="576"/>
      <c r="AQ154" s="576"/>
      <c r="AR154" s="576"/>
      <c r="AS154" s="576"/>
      <c r="AT154" s="576"/>
      <c r="AU154" s="576"/>
      <c r="AV154" s="576"/>
      <c r="AW154" s="576"/>
      <c r="AX154" s="576"/>
      <c r="AY154" s="576"/>
      <c r="AZ154" s="576"/>
      <c r="BA154" s="576"/>
      <c r="BB154" s="576"/>
      <c r="BC154" s="576"/>
      <c r="BD154" s="572"/>
      <c r="BE154" s="710"/>
      <c r="BF154" s="710"/>
      <c r="BG154" s="710"/>
      <c r="BH154" s="710"/>
      <c r="BI154" s="710"/>
      <c r="BJ154" s="710"/>
      <c r="BK154" s="710"/>
      <c r="BL154" s="710"/>
      <c r="BM154" s="710"/>
      <c r="BN154" s="710"/>
      <c r="BO154" s="710"/>
      <c r="BP154" s="710"/>
      <c r="BQ154" s="710"/>
      <c r="BR154" s="710"/>
      <c r="BS154" s="710"/>
      <c r="BT154" s="710"/>
    </row>
    <row r="155" spans="1:72" s="709" customFormat="1" ht="15.75">
      <c r="A155" s="545"/>
      <c r="B155" s="545"/>
      <c r="C155" s="545"/>
      <c r="D155" s="545"/>
      <c r="E155" s="545"/>
      <c r="F155" s="545"/>
      <c r="G155" s="545"/>
      <c r="H155" s="545"/>
      <c r="I155" s="545"/>
      <c r="J155" s="545"/>
      <c r="K155" s="545"/>
      <c r="L155" s="545"/>
      <c r="M155" s="545"/>
      <c r="N155" s="545"/>
      <c r="O155" s="545"/>
      <c r="P155" s="545"/>
      <c r="Q155" s="545"/>
      <c r="R155" s="545"/>
      <c r="S155" s="576"/>
      <c r="T155" s="576"/>
      <c r="U155" s="576"/>
      <c r="V155" s="576"/>
      <c r="W155" s="545"/>
      <c r="X155" s="545"/>
      <c r="Y155" s="576"/>
      <c r="Z155" s="576"/>
      <c r="AA155" s="545"/>
      <c r="AB155" s="545"/>
      <c r="AC155" s="545"/>
      <c r="AD155" s="576"/>
      <c r="AE155" s="576"/>
      <c r="AF155" s="576"/>
      <c r="AG155" s="576"/>
      <c r="AH155" s="576"/>
      <c r="AI155" s="576"/>
      <c r="AJ155" s="576"/>
      <c r="AK155" s="576"/>
      <c r="AL155" s="576"/>
      <c r="AM155" s="576"/>
      <c r="AN155" s="576"/>
      <c r="AO155" s="576"/>
      <c r="AP155" s="576"/>
      <c r="AQ155" s="576"/>
      <c r="AR155" s="576"/>
      <c r="AS155" s="576"/>
      <c r="AT155" s="576"/>
      <c r="AU155" s="576"/>
      <c r="AV155" s="576"/>
      <c r="AW155" s="576"/>
      <c r="AX155" s="576"/>
      <c r="AY155" s="576"/>
      <c r="AZ155" s="576"/>
      <c r="BA155" s="576"/>
      <c r="BB155" s="576"/>
      <c r="BC155" s="576"/>
      <c r="BD155" s="572"/>
      <c r="BE155" s="710"/>
      <c r="BF155" s="710"/>
      <c r="BG155" s="710"/>
      <c r="BH155" s="710"/>
      <c r="BI155" s="710"/>
      <c r="BJ155" s="710"/>
      <c r="BK155" s="710"/>
      <c r="BL155" s="710"/>
      <c r="BM155" s="710"/>
      <c r="BN155" s="710"/>
      <c r="BO155" s="710"/>
      <c r="BP155" s="710"/>
      <c r="BQ155" s="710"/>
      <c r="BR155" s="710"/>
      <c r="BS155" s="710"/>
      <c r="BT155" s="710"/>
    </row>
    <row r="156" spans="1:72" s="709" customFormat="1" ht="15.75">
      <c r="A156" s="545"/>
      <c r="B156" s="545"/>
      <c r="C156" s="545"/>
      <c r="D156" s="545"/>
      <c r="E156" s="545"/>
      <c r="F156" s="545"/>
      <c r="G156" s="545"/>
      <c r="H156" s="545"/>
      <c r="I156" s="545"/>
      <c r="J156" s="545"/>
      <c r="K156" s="545"/>
      <c r="L156" s="545"/>
      <c r="M156" s="545"/>
      <c r="N156" s="545"/>
      <c r="O156" s="545"/>
      <c r="P156" s="545"/>
      <c r="Q156" s="545"/>
      <c r="R156" s="545"/>
      <c r="S156" s="576"/>
      <c r="T156" s="576"/>
      <c r="U156" s="576"/>
      <c r="V156" s="576"/>
      <c r="W156" s="545"/>
      <c r="X156" s="545"/>
      <c r="Y156" s="576"/>
      <c r="Z156" s="576"/>
      <c r="AA156" s="545"/>
      <c r="AB156" s="545"/>
      <c r="AC156" s="545"/>
      <c r="AD156" s="576"/>
      <c r="AE156" s="576"/>
      <c r="AF156" s="576"/>
      <c r="AG156" s="576"/>
      <c r="AH156" s="576"/>
      <c r="AI156" s="576"/>
      <c r="AJ156" s="576"/>
      <c r="AK156" s="576"/>
      <c r="AL156" s="576"/>
      <c r="AM156" s="576"/>
      <c r="AN156" s="576"/>
      <c r="AO156" s="576"/>
      <c r="AP156" s="576"/>
      <c r="AQ156" s="576"/>
      <c r="AR156" s="576"/>
      <c r="AS156" s="576"/>
      <c r="AT156" s="576"/>
      <c r="AU156" s="576"/>
      <c r="AV156" s="576"/>
      <c r="AW156" s="576"/>
      <c r="AX156" s="576"/>
      <c r="AY156" s="576"/>
      <c r="AZ156" s="576"/>
      <c r="BA156" s="576"/>
      <c r="BB156" s="576"/>
      <c r="BC156" s="576"/>
      <c r="BD156" s="572"/>
      <c r="BE156" s="710"/>
      <c r="BF156" s="710"/>
      <c r="BG156" s="710"/>
      <c r="BH156" s="710"/>
      <c r="BI156" s="710"/>
      <c r="BJ156" s="710"/>
      <c r="BK156" s="710"/>
      <c r="BL156" s="710"/>
      <c r="BM156" s="710"/>
      <c r="BN156" s="710"/>
      <c r="BO156" s="710"/>
      <c r="BP156" s="710"/>
      <c r="BQ156" s="710"/>
      <c r="BR156" s="710"/>
      <c r="BS156" s="710"/>
      <c r="BT156" s="710"/>
    </row>
    <row r="157" spans="1:72" s="709" customFormat="1" ht="15.75">
      <c r="A157" s="545"/>
      <c r="B157" s="545"/>
      <c r="C157" s="545"/>
      <c r="D157" s="545"/>
      <c r="E157" s="545"/>
      <c r="F157" s="545"/>
      <c r="G157" s="545"/>
      <c r="H157" s="545"/>
      <c r="I157" s="545"/>
      <c r="J157" s="545"/>
      <c r="K157" s="545"/>
      <c r="L157" s="545"/>
      <c r="M157" s="545"/>
      <c r="N157" s="545"/>
      <c r="O157" s="545"/>
      <c r="P157" s="545"/>
      <c r="Q157" s="545"/>
      <c r="R157" s="545"/>
      <c r="S157" s="576"/>
      <c r="T157" s="576"/>
      <c r="U157" s="576"/>
      <c r="V157" s="576"/>
      <c r="W157" s="545"/>
      <c r="X157" s="545"/>
      <c r="Y157" s="576"/>
      <c r="Z157" s="576"/>
      <c r="AA157" s="545"/>
      <c r="AB157" s="545"/>
      <c r="AC157" s="545"/>
      <c r="AD157" s="576"/>
      <c r="AE157" s="576"/>
      <c r="AF157" s="576"/>
      <c r="AG157" s="576"/>
      <c r="AH157" s="576"/>
      <c r="AI157" s="576"/>
      <c r="AJ157" s="576"/>
      <c r="AK157" s="576"/>
      <c r="AL157" s="576"/>
      <c r="AM157" s="576"/>
      <c r="AN157" s="576"/>
      <c r="AO157" s="576"/>
      <c r="AP157" s="576"/>
      <c r="AQ157" s="576"/>
      <c r="AR157" s="576"/>
      <c r="AS157" s="576"/>
      <c r="AT157" s="576"/>
      <c r="AU157" s="576"/>
      <c r="AV157" s="576"/>
      <c r="AW157" s="576"/>
      <c r="AX157" s="576"/>
      <c r="AY157" s="576"/>
      <c r="AZ157" s="576"/>
      <c r="BA157" s="576"/>
      <c r="BB157" s="576"/>
      <c r="BC157" s="576"/>
      <c r="BD157" s="572"/>
      <c r="BE157" s="710"/>
      <c r="BF157" s="710"/>
      <c r="BG157" s="710"/>
      <c r="BH157" s="710"/>
      <c r="BI157" s="710"/>
      <c r="BJ157" s="710"/>
      <c r="BK157" s="710"/>
      <c r="BL157" s="710"/>
      <c r="BM157" s="710"/>
      <c r="BN157" s="710"/>
      <c r="BO157" s="710"/>
      <c r="BP157" s="710"/>
      <c r="BQ157" s="710"/>
      <c r="BR157" s="710"/>
      <c r="BS157" s="710"/>
      <c r="BT157" s="710"/>
    </row>
    <row r="158" spans="1:72" s="709" customFormat="1" ht="15.75">
      <c r="A158" s="545"/>
      <c r="B158" s="545"/>
      <c r="C158" s="545"/>
      <c r="D158" s="545"/>
      <c r="E158" s="545"/>
      <c r="F158" s="545"/>
      <c r="G158" s="545"/>
      <c r="H158" s="545"/>
      <c r="I158" s="545"/>
      <c r="J158" s="545"/>
      <c r="K158" s="545"/>
      <c r="L158" s="545"/>
      <c r="M158" s="545"/>
      <c r="N158" s="545"/>
      <c r="O158" s="545"/>
      <c r="P158" s="545"/>
      <c r="Q158" s="545"/>
      <c r="R158" s="545"/>
      <c r="S158" s="576"/>
      <c r="T158" s="576"/>
      <c r="U158" s="576"/>
      <c r="V158" s="576"/>
      <c r="W158" s="545"/>
      <c r="X158" s="545"/>
      <c r="Y158" s="576"/>
      <c r="Z158" s="576"/>
      <c r="AA158" s="545"/>
      <c r="AB158" s="545"/>
      <c r="AC158" s="545"/>
      <c r="AD158" s="576"/>
      <c r="AE158" s="576"/>
      <c r="AF158" s="576"/>
      <c r="AG158" s="576"/>
      <c r="AH158" s="576"/>
      <c r="AI158" s="576"/>
      <c r="AJ158" s="576"/>
      <c r="AK158" s="576"/>
      <c r="AL158" s="576"/>
      <c r="AM158" s="576"/>
      <c r="AN158" s="576"/>
      <c r="AO158" s="576"/>
      <c r="AP158" s="576"/>
      <c r="AQ158" s="576"/>
      <c r="AR158" s="576"/>
      <c r="AS158" s="576"/>
      <c r="AT158" s="576"/>
      <c r="AU158" s="576"/>
      <c r="AV158" s="576"/>
      <c r="AW158" s="576"/>
      <c r="AX158" s="576"/>
      <c r="AY158" s="576"/>
      <c r="AZ158" s="576"/>
      <c r="BA158" s="576"/>
      <c r="BB158" s="576"/>
      <c r="BC158" s="576"/>
      <c r="BD158" s="572"/>
      <c r="BE158" s="710"/>
      <c r="BF158" s="710"/>
      <c r="BG158" s="710"/>
      <c r="BH158" s="710"/>
      <c r="BI158" s="710"/>
      <c r="BJ158" s="710"/>
      <c r="BK158" s="710"/>
      <c r="BL158" s="710"/>
      <c r="BM158" s="710"/>
      <c r="BN158" s="710"/>
      <c r="BO158" s="710"/>
      <c r="BP158" s="710"/>
      <c r="BQ158" s="710"/>
      <c r="BR158" s="710"/>
      <c r="BS158" s="710"/>
      <c r="BT158" s="710"/>
    </row>
    <row r="159" spans="1:72" s="709" customFormat="1" ht="15.75">
      <c r="A159" s="545"/>
      <c r="B159" s="545"/>
      <c r="C159" s="545"/>
      <c r="D159" s="545"/>
      <c r="E159" s="545"/>
      <c r="F159" s="545"/>
      <c r="G159" s="545"/>
      <c r="H159" s="545"/>
      <c r="I159" s="545"/>
      <c r="J159" s="545"/>
      <c r="K159" s="545"/>
      <c r="L159" s="545"/>
      <c r="M159" s="545"/>
      <c r="N159" s="545"/>
      <c r="O159" s="545"/>
      <c r="P159" s="545"/>
      <c r="Q159" s="545"/>
      <c r="R159" s="545"/>
      <c r="S159" s="576"/>
      <c r="T159" s="576"/>
      <c r="U159" s="576"/>
      <c r="V159" s="576"/>
      <c r="W159" s="545"/>
      <c r="X159" s="545"/>
      <c r="Y159" s="576"/>
      <c r="Z159" s="576"/>
      <c r="AA159" s="545"/>
      <c r="AB159" s="545"/>
      <c r="AC159" s="545"/>
      <c r="AD159" s="576"/>
      <c r="AE159" s="576"/>
      <c r="AF159" s="576"/>
      <c r="AG159" s="576"/>
      <c r="AH159" s="576"/>
      <c r="AI159" s="576"/>
      <c r="AJ159" s="576"/>
      <c r="AK159" s="576"/>
      <c r="AL159" s="576"/>
      <c r="AM159" s="576"/>
      <c r="AN159" s="576"/>
      <c r="AO159" s="576"/>
      <c r="AP159" s="576"/>
      <c r="AQ159" s="576"/>
      <c r="AR159" s="576"/>
      <c r="AS159" s="576"/>
      <c r="AT159" s="576"/>
      <c r="AU159" s="576"/>
      <c r="AV159" s="576"/>
      <c r="AW159" s="576"/>
      <c r="AX159" s="576"/>
      <c r="AY159" s="576"/>
      <c r="AZ159" s="576"/>
      <c r="BA159" s="576"/>
      <c r="BB159" s="576"/>
      <c r="BC159" s="576"/>
      <c r="BD159" s="572"/>
      <c r="BE159" s="710"/>
      <c r="BF159" s="710"/>
      <c r="BG159" s="710"/>
      <c r="BH159" s="710"/>
      <c r="BI159" s="710"/>
      <c r="BJ159" s="710"/>
      <c r="BK159" s="710"/>
      <c r="BL159" s="710"/>
      <c r="BM159" s="710"/>
      <c r="BN159" s="710"/>
      <c r="BO159" s="710"/>
      <c r="BP159" s="710"/>
      <c r="BQ159" s="710"/>
      <c r="BR159" s="710"/>
      <c r="BS159" s="710"/>
      <c r="BT159" s="710"/>
    </row>
    <row r="160" spans="1:72" s="709" customFormat="1" ht="15.75">
      <c r="A160" s="545"/>
      <c r="B160" s="545"/>
      <c r="C160" s="545"/>
      <c r="D160" s="545"/>
      <c r="E160" s="545"/>
      <c r="F160" s="545"/>
      <c r="G160" s="545"/>
      <c r="H160" s="545"/>
      <c r="I160" s="545"/>
      <c r="J160" s="545"/>
      <c r="K160" s="545"/>
      <c r="L160" s="545"/>
      <c r="M160" s="545"/>
      <c r="N160" s="545"/>
      <c r="O160" s="545"/>
      <c r="P160" s="545"/>
      <c r="Q160" s="545"/>
      <c r="R160" s="545"/>
      <c r="S160" s="576"/>
      <c r="T160" s="576"/>
      <c r="U160" s="576"/>
      <c r="V160" s="576"/>
      <c r="W160" s="545"/>
      <c r="X160" s="545"/>
      <c r="Y160" s="576"/>
      <c r="Z160" s="576"/>
      <c r="AA160" s="545"/>
      <c r="AB160" s="545"/>
      <c r="AC160" s="545"/>
      <c r="AD160" s="576"/>
      <c r="AE160" s="576"/>
      <c r="AF160" s="576"/>
      <c r="AG160" s="576"/>
      <c r="AH160" s="576"/>
      <c r="AI160" s="576"/>
      <c r="AJ160" s="576"/>
      <c r="AK160" s="576"/>
      <c r="AL160" s="576"/>
      <c r="AM160" s="576"/>
      <c r="AN160" s="576"/>
      <c r="AO160" s="576"/>
      <c r="AP160" s="576"/>
      <c r="AQ160" s="576"/>
      <c r="AR160" s="576"/>
      <c r="AS160" s="576"/>
      <c r="AT160" s="576"/>
      <c r="AU160" s="576"/>
      <c r="AV160" s="576"/>
      <c r="AW160" s="576"/>
      <c r="AX160" s="576"/>
      <c r="AY160" s="576"/>
      <c r="AZ160" s="576"/>
      <c r="BA160" s="576"/>
      <c r="BB160" s="576"/>
      <c r="BC160" s="576"/>
      <c r="BD160" s="572"/>
      <c r="BE160" s="710"/>
      <c r="BF160" s="710"/>
      <c r="BG160" s="710"/>
      <c r="BH160" s="710"/>
      <c r="BI160" s="710"/>
      <c r="BJ160" s="710"/>
      <c r="BK160" s="710"/>
      <c r="BL160" s="710"/>
      <c r="BM160" s="710"/>
      <c r="BN160" s="710"/>
      <c r="BO160" s="710"/>
      <c r="BP160" s="710"/>
      <c r="BQ160" s="710"/>
      <c r="BR160" s="710"/>
      <c r="BS160" s="710"/>
      <c r="BT160" s="710"/>
    </row>
    <row r="161" spans="1:72" s="709" customFormat="1" ht="15.75">
      <c r="A161" s="545"/>
      <c r="B161" s="545"/>
      <c r="C161" s="545"/>
      <c r="D161" s="545"/>
      <c r="E161" s="545"/>
      <c r="F161" s="545"/>
      <c r="G161" s="545"/>
      <c r="H161" s="545"/>
      <c r="I161" s="545"/>
      <c r="J161" s="545"/>
      <c r="K161" s="545"/>
      <c r="L161" s="545"/>
      <c r="M161" s="545"/>
      <c r="N161" s="545"/>
      <c r="O161" s="545"/>
      <c r="P161" s="545"/>
      <c r="Q161" s="545"/>
      <c r="R161" s="545"/>
      <c r="S161" s="576"/>
      <c r="T161" s="576"/>
      <c r="U161" s="576"/>
      <c r="V161" s="576"/>
      <c r="W161" s="545"/>
      <c r="X161" s="545"/>
      <c r="Y161" s="576"/>
      <c r="Z161" s="576"/>
      <c r="AA161" s="545"/>
      <c r="AB161" s="545"/>
      <c r="AC161" s="545"/>
      <c r="AD161" s="576"/>
      <c r="AE161" s="576"/>
      <c r="AF161" s="576"/>
      <c r="AG161" s="576"/>
      <c r="AH161" s="576"/>
      <c r="AI161" s="576"/>
      <c r="AJ161" s="576"/>
      <c r="AK161" s="576"/>
      <c r="AL161" s="576"/>
      <c r="AM161" s="576"/>
      <c r="AN161" s="576"/>
      <c r="AO161" s="576"/>
      <c r="AP161" s="576"/>
      <c r="AQ161" s="576"/>
      <c r="AR161" s="576"/>
      <c r="AS161" s="576"/>
      <c r="AT161" s="576"/>
      <c r="AU161" s="576"/>
      <c r="AV161" s="576"/>
      <c r="AW161" s="576"/>
      <c r="AX161" s="576"/>
      <c r="AY161" s="576"/>
      <c r="AZ161" s="576"/>
      <c r="BA161" s="576"/>
      <c r="BB161" s="576"/>
      <c r="BC161" s="576"/>
      <c r="BD161" s="572"/>
      <c r="BE161" s="710"/>
      <c r="BF161" s="710"/>
      <c r="BG161" s="710"/>
      <c r="BH161" s="710"/>
      <c r="BI161" s="710"/>
      <c r="BJ161" s="710"/>
      <c r="BK161" s="710"/>
      <c r="BL161" s="710"/>
      <c r="BM161" s="710"/>
      <c r="BN161" s="710"/>
      <c r="BO161" s="710"/>
      <c r="BP161" s="710"/>
      <c r="BQ161" s="710"/>
      <c r="BR161" s="710"/>
      <c r="BS161" s="710"/>
      <c r="BT161" s="710"/>
    </row>
    <row r="162" spans="1:72" s="709" customFormat="1" ht="15.75">
      <c r="A162" s="545"/>
      <c r="B162" s="545"/>
      <c r="C162" s="545"/>
      <c r="D162" s="545"/>
      <c r="E162" s="545"/>
      <c r="F162" s="545"/>
      <c r="G162" s="545"/>
      <c r="H162" s="545"/>
      <c r="I162" s="545"/>
      <c r="J162" s="545"/>
      <c r="K162" s="545"/>
      <c r="L162" s="545"/>
      <c r="M162" s="545"/>
      <c r="N162" s="545"/>
      <c r="O162" s="545"/>
      <c r="P162" s="545"/>
      <c r="Q162" s="545"/>
      <c r="R162" s="545"/>
      <c r="S162" s="576"/>
      <c r="T162" s="576"/>
      <c r="U162" s="576"/>
      <c r="V162" s="576"/>
      <c r="W162" s="545"/>
      <c r="X162" s="545"/>
      <c r="Y162" s="576"/>
      <c r="Z162" s="576"/>
      <c r="AA162" s="545"/>
      <c r="AB162" s="545"/>
      <c r="AC162" s="545"/>
      <c r="AD162" s="576"/>
      <c r="AE162" s="576"/>
      <c r="AF162" s="576"/>
      <c r="AG162" s="576"/>
      <c r="AH162" s="576"/>
      <c r="AI162" s="576"/>
      <c r="AJ162" s="576"/>
      <c r="AK162" s="576"/>
      <c r="AL162" s="576"/>
      <c r="AM162" s="576"/>
      <c r="AN162" s="576"/>
      <c r="AO162" s="576"/>
      <c r="AP162" s="576"/>
      <c r="AQ162" s="576"/>
      <c r="AR162" s="576"/>
      <c r="AS162" s="576"/>
      <c r="AT162" s="576"/>
      <c r="AU162" s="576"/>
      <c r="AV162" s="576"/>
      <c r="AW162" s="576"/>
      <c r="AX162" s="576"/>
      <c r="AY162" s="576"/>
      <c r="AZ162" s="576"/>
      <c r="BA162" s="576"/>
      <c r="BB162" s="576"/>
      <c r="BC162" s="576"/>
      <c r="BD162" s="572"/>
      <c r="BE162" s="710"/>
      <c r="BF162" s="710"/>
      <c r="BG162" s="710"/>
      <c r="BH162" s="710"/>
      <c r="BI162" s="710"/>
      <c r="BJ162" s="710"/>
      <c r="BK162" s="710"/>
      <c r="BL162" s="710"/>
      <c r="BM162" s="710"/>
      <c r="BN162" s="710"/>
      <c r="BO162" s="710"/>
      <c r="BP162" s="710"/>
      <c r="BQ162" s="710"/>
      <c r="BR162" s="710"/>
      <c r="BS162" s="710"/>
      <c r="BT162" s="710"/>
    </row>
    <row r="163" spans="1:72" s="709" customFormat="1" ht="15.75">
      <c r="A163" s="545"/>
      <c r="B163" s="545"/>
      <c r="C163" s="545"/>
      <c r="D163" s="545"/>
      <c r="E163" s="545"/>
      <c r="F163" s="545"/>
      <c r="G163" s="545"/>
      <c r="H163" s="545"/>
      <c r="I163" s="545"/>
      <c r="J163" s="545"/>
      <c r="K163" s="545"/>
      <c r="L163" s="545"/>
      <c r="M163" s="545"/>
      <c r="N163" s="545"/>
      <c r="O163" s="545"/>
      <c r="P163" s="545"/>
      <c r="Q163" s="545"/>
      <c r="R163" s="545"/>
      <c r="S163" s="576"/>
      <c r="T163" s="576"/>
      <c r="U163" s="576"/>
      <c r="V163" s="576"/>
      <c r="W163" s="545"/>
      <c r="X163" s="545"/>
      <c r="Y163" s="576"/>
      <c r="Z163" s="576"/>
      <c r="AA163" s="545"/>
      <c r="AB163" s="545"/>
      <c r="AC163" s="545"/>
      <c r="AD163" s="576"/>
      <c r="AE163" s="576"/>
      <c r="AF163" s="576"/>
      <c r="AG163" s="576"/>
      <c r="AH163" s="576"/>
      <c r="AI163" s="576"/>
      <c r="AJ163" s="576"/>
      <c r="AK163" s="576"/>
      <c r="AL163" s="576"/>
      <c r="AM163" s="576"/>
      <c r="AN163" s="576"/>
      <c r="AO163" s="576"/>
      <c r="AP163" s="576"/>
      <c r="AQ163" s="576"/>
      <c r="AR163" s="576"/>
      <c r="AS163" s="576"/>
      <c r="AT163" s="576"/>
      <c r="AU163" s="576"/>
      <c r="AV163" s="576"/>
      <c r="AW163" s="576"/>
      <c r="AX163" s="576"/>
      <c r="AY163" s="576"/>
      <c r="AZ163" s="576"/>
      <c r="BA163" s="576"/>
      <c r="BB163" s="576"/>
      <c r="BC163" s="576"/>
      <c r="BD163" s="572"/>
      <c r="BE163" s="710"/>
      <c r="BF163" s="710"/>
      <c r="BG163" s="710"/>
      <c r="BH163" s="710"/>
      <c r="BI163" s="710"/>
      <c r="BJ163" s="710"/>
      <c r="BK163" s="710"/>
      <c r="BL163" s="710"/>
      <c r="BM163" s="710"/>
      <c r="BN163" s="710"/>
      <c r="BO163" s="710"/>
      <c r="BP163" s="710"/>
      <c r="BQ163" s="710"/>
      <c r="BR163" s="710"/>
      <c r="BS163" s="710"/>
      <c r="BT163" s="710"/>
    </row>
    <row r="164" spans="1:72" s="709" customFormat="1" ht="15.75">
      <c r="A164" s="545"/>
      <c r="B164" s="545"/>
      <c r="C164" s="545"/>
      <c r="D164" s="545"/>
      <c r="E164" s="545"/>
      <c r="F164" s="545"/>
      <c r="G164" s="545"/>
      <c r="H164" s="545"/>
      <c r="I164" s="545"/>
      <c r="J164" s="545"/>
      <c r="K164" s="545"/>
      <c r="L164" s="545"/>
      <c r="M164" s="545"/>
      <c r="N164" s="545"/>
      <c r="O164" s="545"/>
      <c r="P164" s="545"/>
      <c r="Q164" s="545"/>
      <c r="R164" s="545"/>
      <c r="S164" s="576"/>
      <c r="T164" s="576"/>
      <c r="U164" s="576"/>
      <c r="V164" s="576"/>
      <c r="W164" s="545"/>
      <c r="X164" s="545"/>
      <c r="Y164" s="576"/>
      <c r="Z164" s="576"/>
      <c r="AA164" s="545"/>
      <c r="AB164" s="545"/>
      <c r="AC164" s="545"/>
      <c r="AD164" s="576"/>
      <c r="AE164" s="576"/>
      <c r="AF164" s="576"/>
      <c r="AG164" s="576"/>
      <c r="AH164" s="576"/>
      <c r="AI164" s="576"/>
      <c r="AJ164" s="576"/>
      <c r="AK164" s="576"/>
      <c r="AL164" s="576"/>
      <c r="AM164" s="576"/>
      <c r="AN164" s="576"/>
      <c r="AO164" s="576"/>
      <c r="AP164" s="576"/>
      <c r="AQ164" s="576"/>
      <c r="AR164" s="576"/>
      <c r="AS164" s="576"/>
      <c r="AT164" s="576"/>
      <c r="AU164" s="576"/>
      <c r="AV164" s="576"/>
      <c r="AW164" s="576"/>
      <c r="AX164" s="576"/>
      <c r="AY164" s="576"/>
      <c r="AZ164" s="576"/>
      <c r="BA164" s="576"/>
      <c r="BB164" s="576"/>
      <c r="BC164" s="576"/>
      <c r="BD164" s="572"/>
      <c r="BE164" s="710"/>
      <c r="BF164" s="710"/>
      <c r="BG164" s="710"/>
      <c r="BH164" s="710"/>
      <c r="BI164" s="710"/>
      <c r="BJ164" s="710"/>
      <c r="BK164" s="710"/>
      <c r="BL164" s="710"/>
      <c r="BM164" s="710"/>
      <c r="BN164" s="710"/>
      <c r="BO164" s="710"/>
      <c r="BP164" s="710"/>
      <c r="BQ164" s="710"/>
      <c r="BR164" s="710"/>
      <c r="BS164" s="710"/>
      <c r="BT164" s="710"/>
    </row>
    <row r="165" spans="1:72" s="709" customFormat="1" ht="15.75">
      <c r="A165" s="545"/>
      <c r="B165" s="545"/>
      <c r="C165" s="545"/>
      <c r="D165" s="545"/>
      <c r="E165" s="545"/>
      <c r="F165" s="545"/>
      <c r="G165" s="545"/>
      <c r="H165" s="545"/>
      <c r="I165" s="545"/>
      <c r="J165" s="545"/>
      <c r="K165" s="545"/>
      <c r="L165" s="545"/>
      <c r="M165" s="545"/>
      <c r="N165" s="545"/>
      <c r="O165" s="545"/>
      <c r="P165" s="545"/>
      <c r="Q165" s="545"/>
      <c r="R165" s="545"/>
      <c r="S165" s="576"/>
      <c r="T165" s="576"/>
      <c r="U165" s="576"/>
      <c r="V165" s="576"/>
      <c r="W165" s="545"/>
      <c r="X165" s="545"/>
      <c r="Y165" s="576"/>
      <c r="Z165" s="576"/>
      <c r="AA165" s="545"/>
      <c r="AB165" s="545"/>
      <c r="AC165" s="545"/>
      <c r="AD165" s="576"/>
      <c r="AE165" s="576"/>
      <c r="AF165" s="576"/>
      <c r="AG165" s="576"/>
      <c r="AH165" s="576"/>
      <c r="AI165" s="576"/>
      <c r="AJ165" s="576"/>
      <c r="AK165" s="576"/>
      <c r="AL165" s="576"/>
      <c r="AM165" s="576"/>
      <c r="AN165" s="576"/>
      <c r="AO165" s="576"/>
      <c r="AP165" s="576"/>
      <c r="AQ165" s="576"/>
      <c r="AR165" s="576"/>
      <c r="AS165" s="576"/>
      <c r="AT165" s="576"/>
      <c r="AU165" s="576"/>
      <c r="AV165" s="576"/>
      <c r="AW165" s="576"/>
      <c r="AX165" s="576"/>
      <c r="AY165" s="576"/>
      <c r="AZ165" s="576"/>
      <c r="BA165" s="576"/>
      <c r="BB165" s="576"/>
      <c r="BC165" s="576"/>
      <c r="BD165" s="572"/>
      <c r="BE165" s="710"/>
      <c r="BF165" s="710"/>
      <c r="BG165" s="710"/>
      <c r="BH165" s="710"/>
      <c r="BI165" s="710"/>
      <c r="BJ165" s="710"/>
      <c r="BK165" s="710"/>
      <c r="BL165" s="710"/>
      <c r="BM165" s="710"/>
      <c r="BN165" s="710"/>
      <c r="BO165" s="710"/>
      <c r="BP165" s="710"/>
      <c r="BQ165" s="710"/>
      <c r="BR165" s="710"/>
      <c r="BS165" s="710"/>
      <c r="BT165" s="710"/>
    </row>
    <row r="166" spans="1:72" s="709" customFormat="1" ht="15.75">
      <c r="A166" s="545"/>
      <c r="B166" s="545"/>
      <c r="C166" s="545"/>
      <c r="D166" s="545"/>
      <c r="E166" s="545"/>
      <c r="F166" s="545"/>
      <c r="G166" s="545"/>
      <c r="H166" s="545"/>
      <c r="I166" s="545"/>
      <c r="J166" s="545"/>
      <c r="K166" s="545"/>
      <c r="L166" s="545"/>
      <c r="M166" s="545"/>
      <c r="N166" s="545"/>
      <c r="O166" s="545"/>
      <c r="P166" s="545"/>
      <c r="Q166" s="545"/>
      <c r="R166" s="545"/>
      <c r="S166" s="576"/>
      <c r="T166" s="576"/>
      <c r="U166" s="576"/>
      <c r="V166" s="576"/>
      <c r="W166" s="545"/>
      <c r="X166" s="545"/>
      <c r="Y166" s="576"/>
      <c r="Z166" s="576"/>
      <c r="AA166" s="545"/>
      <c r="AB166" s="545"/>
      <c r="AC166" s="545"/>
      <c r="AD166" s="576"/>
      <c r="AE166" s="576"/>
      <c r="AF166" s="576"/>
      <c r="AG166" s="576"/>
      <c r="AH166" s="576"/>
      <c r="AI166" s="576"/>
      <c r="AJ166" s="576"/>
      <c r="AK166" s="576"/>
      <c r="AL166" s="576"/>
      <c r="AM166" s="576"/>
      <c r="AN166" s="576"/>
      <c r="AO166" s="576"/>
      <c r="AP166" s="576"/>
      <c r="AQ166" s="576"/>
      <c r="AR166" s="576"/>
      <c r="AS166" s="576"/>
      <c r="AT166" s="576"/>
      <c r="AU166" s="576"/>
      <c r="AV166" s="576"/>
      <c r="AW166" s="576"/>
      <c r="AX166" s="576"/>
      <c r="AY166" s="576"/>
      <c r="AZ166" s="576"/>
      <c r="BA166" s="576"/>
      <c r="BB166" s="576"/>
      <c r="BC166" s="576"/>
      <c r="BD166" s="572"/>
      <c r="BE166" s="710"/>
      <c r="BF166" s="710"/>
      <c r="BG166" s="710"/>
      <c r="BH166" s="710"/>
      <c r="BI166" s="710"/>
      <c r="BJ166" s="710"/>
      <c r="BK166" s="710"/>
      <c r="BL166" s="710"/>
      <c r="BM166" s="710"/>
      <c r="BN166" s="710"/>
      <c r="BO166" s="710"/>
      <c r="BP166" s="710"/>
      <c r="BQ166" s="710"/>
      <c r="BR166" s="710"/>
      <c r="BS166" s="710"/>
      <c r="BT166" s="710"/>
    </row>
    <row r="167" spans="1:72" s="709" customFormat="1" ht="15.75">
      <c r="A167" s="545"/>
      <c r="B167" s="545"/>
      <c r="C167" s="545"/>
      <c r="D167" s="545"/>
      <c r="E167" s="545"/>
      <c r="F167" s="545"/>
      <c r="G167" s="545"/>
      <c r="H167" s="545"/>
      <c r="I167" s="545"/>
      <c r="J167" s="545"/>
      <c r="K167" s="545"/>
      <c r="L167" s="545"/>
      <c r="M167" s="545"/>
      <c r="N167" s="545"/>
      <c r="O167" s="545"/>
      <c r="P167" s="545"/>
      <c r="Q167" s="545"/>
      <c r="R167" s="545"/>
      <c r="S167" s="576"/>
      <c r="T167" s="576"/>
      <c r="U167" s="576"/>
      <c r="V167" s="576"/>
      <c r="W167" s="545"/>
      <c r="X167" s="545"/>
      <c r="Y167" s="576"/>
      <c r="Z167" s="576"/>
      <c r="AA167" s="545"/>
      <c r="AB167" s="545"/>
      <c r="AC167" s="545"/>
      <c r="AD167" s="576"/>
      <c r="AE167" s="576"/>
      <c r="AF167" s="576"/>
      <c r="AG167" s="576"/>
      <c r="AH167" s="576"/>
      <c r="AI167" s="576"/>
      <c r="AJ167" s="576"/>
      <c r="AK167" s="576"/>
      <c r="AL167" s="576"/>
      <c r="AM167" s="576"/>
      <c r="AN167" s="576"/>
      <c r="AO167" s="576"/>
      <c r="AP167" s="576"/>
      <c r="AQ167" s="576"/>
      <c r="AR167" s="576"/>
      <c r="AS167" s="576"/>
      <c r="AT167" s="576"/>
      <c r="AU167" s="576"/>
      <c r="AV167" s="576"/>
      <c r="AW167" s="576"/>
      <c r="AX167" s="576"/>
      <c r="AY167" s="576"/>
      <c r="AZ167" s="576"/>
      <c r="BA167" s="576"/>
      <c r="BB167" s="576"/>
      <c r="BC167" s="576"/>
      <c r="BD167" s="572"/>
      <c r="BE167" s="710"/>
      <c r="BF167" s="710"/>
      <c r="BG167" s="710"/>
      <c r="BH167" s="710"/>
      <c r="BI167" s="710"/>
      <c r="BJ167" s="710"/>
      <c r="BK167" s="710"/>
      <c r="BL167" s="710"/>
      <c r="BM167" s="710"/>
      <c r="BN167" s="710"/>
      <c r="BO167" s="710"/>
      <c r="BP167" s="710"/>
      <c r="BQ167" s="710"/>
      <c r="BR167" s="710"/>
      <c r="BS167" s="710"/>
      <c r="BT167" s="710"/>
    </row>
    <row r="168" spans="1:72" s="709" customFormat="1" ht="15.75">
      <c r="A168" s="545"/>
      <c r="B168" s="545"/>
      <c r="C168" s="545"/>
      <c r="D168" s="545"/>
      <c r="E168" s="545"/>
      <c r="F168" s="545"/>
      <c r="G168" s="545"/>
      <c r="H168" s="545"/>
      <c r="I168" s="545"/>
      <c r="J168" s="545"/>
      <c r="K168" s="545"/>
      <c r="L168" s="545"/>
      <c r="M168" s="545"/>
      <c r="N168" s="545"/>
      <c r="O168" s="545"/>
      <c r="P168" s="545"/>
      <c r="Q168" s="545"/>
      <c r="R168" s="545"/>
      <c r="S168" s="576"/>
      <c r="T168" s="576"/>
      <c r="U168" s="576"/>
      <c r="V168" s="576"/>
      <c r="W168" s="545"/>
      <c r="X168" s="545"/>
      <c r="Y168" s="576"/>
      <c r="Z168" s="576"/>
      <c r="AA168" s="545"/>
      <c r="AB168" s="545"/>
      <c r="AC168" s="545"/>
      <c r="AD168" s="576"/>
      <c r="AE168" s="576"/>
      <c r="AF168" s="576"/>
      <c r="AG168" s="576"/>
      <c r="AH168" s="576"/>
      <c r="AI168" s="576"/>
      <c r="AJ168" s="576"/>
      <c r="AK168" s="576"/>
      <c r="AL168" s="576"/>
      <c r="AM168" s="576"/>
      <c r="AN168" s="576"/>
      <c r="AO168" s="576"/>
      <c r="AP168" s="576"/>
      <c r="AQ168" s="576"/>
      <c r="AR168" s="576"/>
      <c r="AS168" s="576"/>
      <c r="AT168" s="576"/>
      <c r="AU168" s="576"/>
      <c r="AV168" s="576"/>
      <c r="AW168" s="576"/>
      <c r="AX168" s="576"/>
      <c r="AY168" s="576"/>
      <c r="AZ168" s="576"/>
      <c r="BA168" s="576"/>
      <c r="BB168" s="576"/>
      <c r="BC168" s="576"/>
      <c r="BD168" s="572"/>
      <c r="BE168" s="710"/>
      <c r="BF168" s="710"/>
      <c r="BG168" s="710"/>
      <c r="BH168" s="710"/>
      <c r="BI168" s="710"/>
      <c r="BJ168" s="710"/>
      <c r="BK168" s="710"/>
      <c r="BL168" s="710"/>
      <c r="BM168" s="710"/>
      <c r="BN168" s="710"/>
      <c r="BO168" s="710"/>
      <c r="BP168" s="710"/>
      <c r="BQ168" s="710"/>
      <c r="BR168" s="710"/>
      <c r="BS168" s="710"/>
      <c r="BT168" s="710"/>
    </row>
    <row r="169" spans="1:72" s="709" customFormat="1" ht="15.75">
      <c r="A169" s="545"/>
      <c r="B169" s="545"/>
      <c r="C169" s="545"/>
      <c r="D169" s="545"/>
      <c r="E169" s="545"/>
      <c r="F169" s="545"/>
      <c r="G169" s="545"/>
      <c r="H169" s="545"/>
      <c r="I169" s="545"/>
      <c r="J169" s="545"/>
      <c r="K169" s="545"/>
      <c r="L169" s="545"/>
      <c r="M169" s="545"/>
      <c r="N169" s="545"/>
      <c r="O169" s="545"/>
      <c r="P169" s="545"/>
      <c r="Q169" s="545"/>
      <c r="R169" s="545"/>
      <c r="S169" s="576"/>
      <c r="T169" s="576"/>
      <c r="U169" s="576"/>
      <c r="V169" s="576"/>
      <c r="W169" s="545"/>
      <c r="X169" s="545"/>
      <c r="Y169" s="576"/>
      <c r="Z169" s="576"/>
      <c r="AA169" s="545"/>
      <c r="AB169" s="545"/>
      <c r="AC169" s="545"/>
      <c r="AD169" s="576"/>
      <c r="AE169" s="576"/>
      <c r="AF169" s="576"/>
      <c r="AG169" s="576"/>
      <c r="AH169" s="576"/>
      <c r="AI169" s="576"/>
      <c r="AJ169" s="576"/>
      <c r="AK169" s="576"/>
      <c r="AL169" s="576"/>
      <c r="AM169" s="576"/>
      <c r="AN169" s="576"/>
      <c r="AO169" s="576"/>
      <c r="AP169" s="576"/>
      <c r="AQ169" s="576"/>
      <c r="AR169" s="576"/>
      <c r="AS169" s="576"/>
      <c r="AT169" s="576"/>
      <c r="AU169" s="576"/>
      <c r="AV169" s="576"/>
      <c r="AW169" s="576"/>
      <c r="AX169" s="576"/>
      <c r="AY169" s="576"/>
      <c r="AZ169" s="576"/>
      <c r="BA169" s="576"/>
      <c r="BB169" s="576"/>
      <c r="BC169" s="576"/>
      <c r="BD169" s="572"/>
      <c r="BE169" s="710"/>
      <c r="BF169" s="710"/>
      <c r="BG169" s="710"/>
      <c r="BH169" s="710"/>
      <c r="BI169" s="710"/>
      <c r="BJ169" s="710"/>
      <c r="BK169" s="710"/>
      <c r="BL169" s="710"/>
      <c r="BM169" s="710"/>
      <c r="BN169" s="710"/>
      <c r="BO169" s="710"/>
      <c r="BP169" s="710"/>
      <c r="BQ169" s="710"/>
      <c r="BR169" s="710"/>
      <c r="BS169" s="710"/>
      <c r="BT169" s="710"/>
    </row>
    <row r="170" spans="1:72" s="709" customFormat="1" ht="15.75">
      <c r="A170" s="545"/>
      <c r="B170" s="545"/>
      <c r="C170" s="545"/>
      <c r="D170" s="545"/>
      <c r="E170" s="545"/>
      <c r="F170" s="545"/>
      <c r="G170" s="545"/>
      <c r="H170" s="545"/>
      <c r="I170" s="545"/>
      <c r="J170" s="545"/>
      <c r="K170" s="545"/>
      <c r="L170" s="545"/>
      <c r="M170" s="545"/>
      <c r="N170" s="545"/>
      <c r="O170" s="545"/>
      <c r="P170" s="545"/>
      <c r="Q170" s="545"/>
      <c r="R170" s="545"/>
      <c r="S170" s="576"/>
      <c r="T170" s="576"/>
      <c r="U170" s="576"/>
      <c r="V170" s="576"/>
      <c r="W170" s="545"/>
      <c r="X170" s="545"/>
      <c r="Y170" s="576"/>
      <c r="Z170" s="576"/>
      <c r="AA170" s="545"/>
      <c r="AB170" s="545"/>
      <c r="AC170" s="545"/>
      <c r="AD170" s="576"/>
      <c r="AE170" s="576"/>
      <c r="AF170" s="576"/>
      <c r="AG170" s="576"/>
      <c r="AH170" s="576"/>
      <c r="AI170" s="576"/>
      <c r="AJ170" s="576"/>
      <c r="AK170" s="576"/>
      <c r="AL170" s="576"/>
      <c r="AM170" s="576"/>
      <c r="AN170" s="576"/>
      <c r="AO170" s="576"/>
      <c r="AP170" s="576"/>
      <c r="AQ170" s="576"/>
      <c r="AR170" s="576"/>
      <c r="AS170" s="576"/>
      <c r="AT170" s="576"/>
      <c r="AU170" s="576"/>
      <c r="AV170" s="576"/>
      <c r="AW170" s="576"/>
      <c r="AX170" s="576"/>
      <c r="AY170" s="576"/>
      <c r="AZ170" s="576"/>
      <c r="BA170" s="576"/>
      <c r="BB170" s="576"/>
      <c r="BC170" s="576"/>
      <c r="BD170" s="572"/>
      <c r="BE170" s="710"/>
      <c r="BF170" s="710"/>
      <c r="BG170" s="710"/>
      <c r="BH170" s="710"/>
      <c r="BI170" s="710"/>
      <c r="BJ170" s="710"/>
      <c r="BK170" s="710"/>
      <c r="BL170" s="710"/>
      <c r="BM170" s="710"/>
      <c r="BN170" s="710"/>
      <c r="BO170" s="710"/>
      <c r="BP170" s="710"/>
      <c r="BQ170" s="710"/>
      <c r="BR170" s="710"/>
      <c r="BS170" s="710"/>
      <c r="BT170" s="710"/>
    </row>
    <row r="171" spans="1:72" s="709" customFormat="1" ht="15.75">
      <c r="A171" s="545"/>
      <c r="B171" s="545"/>
      <c r="C171" s="545"/>
      <c r="D171" s="545"/>
      <c r="E171" s="545"/>
      <c r="F171" s="545"/>
      <c r="G171" s="545"/>
      <c r="H171" s="545"/>
      <c r="I171" s="545"/>
      <c r="J171" s="545"/>
      <c r="K171" s="545"/>
      <c r="L171" s="545"/>
      <c r="M171" s="545"/>
      <c r="N171" s="545"/>
      <c r="O171" s="545"/>
      <c r="P171" s="545"/>
      <c r="Q171" s="545"/>
      <c r="R171" s="545"/>
      <c r="S171" s="576"/>
      <c r="T171" s="576"/>
      <c r="U171" s="576"/>
      <c r="V171" s="576"/>
      <c r="W171" s="545"/>
      <c r="X171" s="545"/>
      <c r="Y171" s="576"/>
      <c r="Z171" s="576"/>
      <c r="AA171" s="545"/>
      <c r="AB171" s="545"/>
      <c r="AC171" s="545"/>
      <c r="AD171" s="576"/>
      <c r="AE171" s="576"/>
      <c r="AF171" s="576"/>
      <c r="AG171" s="576"/>
      <c r="AH171" s="576"/>
      <c r="AI171" s="576"/>
      <c r="AJ171" s="576"/>
      <c r="AK171" s="576"/>
      <c r="AL171" s="576"/>
      <c r="AM171" s="576"/>
      <c r="AN171" s="576"/>
      <c r="AO171" s="576"/>
      <c r="AP171" s="576"/>
      <c r="AQ171" s="576"/>
      <c r="AR171" s="576"/>
      <c r="AS171" s="576"/>
      <c r="AT171" s="576"/>
      <c r="AU171" s="576"/>
      <c r="AV171" s="576"/>
      <c r="AW171" s="576"/>
      <c r="AX171" s="576"/>
      <c r="AY171" s="576"/>
      <c r="AZ171" s="576"/>
      <c r="BA171" s="576"/>
      <c r="BB171" s="576"/>
      <c r="BC171" s="576"/>
      <c r="BD171" s="572"/>
      <c r="BE171" s="710"/>
      <c r="BF171" s="710"/>
      <c r="BG171" s="710"/>
      <c r="BH171" s="710"/>
      <c r="BI171" s="710"/>
      <c r="BJ171" s="710"/>
      <c r="BK171" s="710"/>
      <c r="BL171" s="710"/>
      <c r="BM171" s="710"/>
      <c r="BN171" s="710"/>
      <c r="BO171" s="710"/>
      <c r="BP171" s="710"/>
      <c r="BQ171" s="710"/>
      <c r="BR171" s="710"/>
      <c r="BS171" s="710"/>
      <c r="BT171" s="710"/>
    </row>
    <row r="172" spans="1:72" s="709" customFormat="1" ht="15.75">
      <c r="A172" s="545"/>
      <c r="B172" s="545"/>
      <c r="C172" s="545"/>
      <c r="D172" s="545"/>
      <c r="E172" s="545"/>
      <c r="F172" s="545"/>
      <c r="G172" s="545"/>
      <c r="H172" s="545"/>
      <c r="I172" s="545"/>
      <c r="J172" s="545"/>
      <c r="K172" s="545"/>
      <c r="L172" s="545"/>
      <c r="M172" s="545"/>
      <c r="N172" s="545"/>
      <c r="O172" s="545"/>
      <c r="P172" s="545"/>
      <c r="Q172" s="545"/>
      <c r="R172" s="545"/>
      <c r="S172" s="576"/>
      <c r="T172" s="576"/>
      <c r="U172" s="576"/>
      <c r="V172" s="576"/>
      <c r="W172" s="545"/>
      <c r="X172" s="545"/>
      <c r="Y172" s="576"/>
      <c r="Z172" s="576"/>
      <c r="AA172" s="545"/>
      <c r="AB172" s="545"/>
      <c r="AC172" s="545"/>
      <c r="AD172" s="576"/>
      <c r="AE172" s="576"/>
      <c r="AF172" s="576"/>
      <c r="AG172" s="576"/>
      <c r="AH172" s="576"/>
      <c r="AI172" s="576"/>
      <c r="AJ172" s="576"/>
      <c r="AK172" s="576"/>
      <c r="AL172" s="576"/>
      <c r="AM172" s="576"/>
      <c r="AN172" s="576"/>
      <c r="AO172" s="576"/>
      <c r="AP172" s="576"/>
      <c r="AQ172" s="576"/>
      <c r="AR172" s="576"/>
      <c r="AS172" s="576"/>
      <c r="AT172" s="576"/>
      <c r="AU172" s="576"/>
      <c r="AV172" s="576"/>
      <c r="AW172" s="576"/>
      <c r="AX172" s="576"/>
      <c r="AY172" s="576"/>
      <c r="AZ172" s="576"/>
      <c r="BA172" s="576"/>
      <c r="BB172" s="576"/>
      <c r="BC172" s="576"/>
      <c r="BD172" s="572"/>
      <c r="BE172" s="710"/>
      <c r="BF172" s="710"/>
      <c r="BG172" s="710"/>
      <c r="BH172" s="710"/>
      <c r="BI172" s="710"/>
      <c r="BJ172" s="710"/>
      <c r="BK172" s="710"/>
      <c r="BL172" s="710"/>
      <c r="BM172" s="710"/>
      <c r="BN172" s="710"/>
      <c r="BO172" s="710"/>
      <c r="BP172" s="710"/>
      <c r="BQ172" s="710"/>
      <c r="BR172" s="710"/>
      <c r="BS172" s="710"/>
      <c r="BT172" s="710"/>
    </row>
    <row r="173" spans="1:72" s="709" customFormat="1" ht="15.75">
      <c r="A173" s="545"/>
      <c r="B173" s="545"/>
      <c r="C173" s="545"/>
      <c r="D173" s="545"/>
      <c r="E173" s="545"/>
      <c r="F173" s="545"/>
      <c r="G173" s="545"/>
      <c r="H173" s="545"/>
      <c r="I173" s="545"/>
      <c r="J173" s="545"/>
      <c r="K173" s="545"/>
      <c r="L173" s="545"/>
      <c r="M173" s="545"/>
      <c r="N173" s="545"/>
      <c r="O173" s="545"/>
      <c r="P173" s="545"/>
      <c r="Q173" s="545"/>
      <c r="R173" s="545"/>
      <c r="S173" s="576"/>
      <c r="T173" s="576"/>
      <c r="U173" s="576"/>
      <c r="V173" s="576"/>
      <c r="W173" s="545"/>
      <c r="X173" s="545"/>
      <c r="Y173" s="576"/>
      <c r="Z173" s="576"/>
      <c r="AA173" s="545"/>
      <c r="AB173" s="545"/>
      <c r="AC173" s="545"/>
      <c r="AD173" s="576"/>
      <c r="AE173" s="576"/>
      <c r="AF173" s="576"/>
      <c r="AG173" s="576"/>
      <c r="AH173" s="576"/>
      <c r="AI173" s="576"/>
      <c r="AJ173" s="576"/>
      <c r="AK173" s="576"/>
      <c r="AL173" s="576"/>
      <c r="AM173" s="576"/>
      <c r="AN173" s="576"/>
      <c r="AO173" s="576"/>
      <c r="AP173" s="576"/>
      <c r="AQ173" s="576"/>
      <c r="AR173" s="576"/>
      <c r="AS173" s="576"/>
      <c r="AT173" s="576"/>
      <c r="AU173" s="576"/>
      <c r="AV173" s="576"/>
      <c r="AW173" s="576"/>
      <c r="AX173" s="576"/>
      <c r="AY173" s="576"/>
      <c r="AZ173" s="576"/>
      <c r="BA173" s="576"/>
      <c r="BB173" s="576"/>
      <c r="BC173" s="576"/>
      <c r="BD173" s="572"/>
      <c r="BE173" s="710"/>
      <c r="BF173" s="710"/>
      <c r="BG173" s="710"/>
      <c r="BH173" s="710"/>
      <c r="BI173" s="710"/>
      <c r="BJ173" s="710"/>
      <c r="BK173" s="710"/>
      <c r="BL173" s="710"/>
      <c r="BM173" s="710"/>
      <c r="BN173" s="710"/>
      <c r="BO173" s="710"/>
      <c r="BP173" s="710"/>
      <c r="BQ173" s="710"/>
      <c r="BR173" s="710"/>
      <c r="BS173" s="710"/>
      <c r="BT173" s="710"/>
    </row>
    <row r="174" spans="1:72" s="709" customFormat="1" ht="15.75">
      <c r="A174" s="545"/>
      <c r="B174" s="545"/>
      <c r="C174" s="545"/>
      <c r="D174" s="545"/>
      <c r="E174" s="545"/>
      <c r="F174" s="545"/>
      <c r="G174" s="545"/>
      <c r="H174" s="545"/>
      <c r="I174" s="545"/>
      <c r="J174" s="545"/>
      <c r="K174" s="545"/>
      <c r="L174" s="545"/>
      <c r="M174" s="545"/>
      <c r="N174" s="545"/>
      <c r="O174" s="545"/>
      <c r="P174" s="545"/>
      <c r="Q174" s="545"/>
      <c r="R174" s="545"/>
      <c r="S174" s="576"/>
      <c r="T174" s="576"/>
      <c r="U174" s="576"/>
      <c r="V174" s="576"/>
      <c r="W174" s="545"/>
      <c r="X174" s="545"/>
      <c r="Y174" s="576"/>
      <c r="Z174" s="576"/>
      <c r="AA174" s="545"/>
      <c r="AB174" s="545"/>
      <c r="AC174" s="545"/>
      <c r="AD174" s="576"/>
      <c r="AE174" s="576"/>
      <c r="AF174" s="576"/>
      <c r="AG174" s="576"/>
      <c r="AH174" s="576"/>
      <c r="AI174" s="576"/>
      <c r="AJ174" s="576"/>
      <c r="AK174" s="576"/>
      <c r="AL174" s="576"/>
      <c r="AM174" s="576"/>
      <c r="AN174" s="576"/>
      <c r="AO174" s="576"/>
      <c r="AP174" s="576"/>
      <c r="AQ174" s="576"/>
      <c r="AR174" s="576"/>
      <c r="AS174" s="576"/>
      <c r="AT174" s="576"/>
      <c r="AU174" s="576"/>
      <c r="AV174" s="576"/>
      <c r="AW174" s="576"/>
      <c r="AX174" s="576"/>
      <c r="AY174" s="576"/>
      <c r="AZ174" s="576"/>
      <c r="BA174" s="576"/>
      <c r="BB174" s="576"/>
      <c r="BC174" s="576"/>
      <c r="BD174" s="572"/>
      <c r="BE174" s="710"/>
      <c r="BF174" s="710"/>
      <c r="BG174" s="710"/>
      <c r="BH174" s="710"/>
      <c r="BI174" s="710"/>
      <c r="BJ174" s="710"/>
      <c r="BK174" s="710"/>
      <c r="BL174" s="710"/>
      <c r="BM174" s="710"/>
      <c r="BN174" s="710"/>
      <c r="BO174" s="710"/>
      <c r="BP174" s="710"/>
      <c r="BQ174" s="710"/>
      <c r="BR174" s="710"/>
      <c r="BS174" s="710"/>
      <c r="BT174" s="710"/>
    </row>
    <row r="175" spans="1:72" s="709" customFormat="1" ht="15.75">
      <c r="A175" s="545"/>
      <c r="B175" s="545"/>
      <c r="C175" s="545"/>
      <c r="D175" s="545"/>
      <c r="E175" s="545"/>
      <c r="F175" s="545"/>
      <c r="G175" s="545"/>
      <c r="H175" s="545"/>
      <c r="I175" s="545"/>
      <c r="J175" s="545"/>
      <c r="K175" s="545"/>
      <c r="L175" s="545"/>
      <c r="M175" s="545"/>
      <c r="N175" s="545"/>
      <c r="O175" s="545"/>
      <c r="P175" s="545"/>
      <c r="Q175" s="545"/>
      <c r="R175" s="545"/>
      <c r="S175" s="576"/>
      <c r="T175" s="576"/>
      <c r="U175" s="576"/>
      <c r="V175" s="576"/>
      <c r="W175" s="545"/>
      <c r="X175" s="545"/>
      <c r="Y175" s="576"/>
      <c r="Z175" s="576"/>
      <c r="AA175" s="545"/>
      <c r="AB175" s="545"/>
      <c r="AC175" s="545"/>
      <c r="AD175" s="576"/>
      <c r="AE175" s="576"/>
      <c r="AF175" s="576"/>
      <c r="AG175" s="576"/>
      <c r="AH175" s="576"/>
      <c r="AI175" s="576"/>
      <c r="AJ175" s="576"/>
      <c r="AK175" s="576"/>
      <c r="AL175" s="576"/>
      <c r="AM175" s="576"/>
      <c r="AN175" s="576"/>
      <c r="AO175" s="576"/>
      <c r="AP175" s="576"/>
      <c r="AQ175" s="576"/>
      <c r="AR175" s="576"/>
      <c r="AS175" s="576"/>
      <c r="AT175" s="576"/>
      <c r="AU175" s="576"/>
      <c r="AV175" s="576"/>
      <c r="AW175" s="576"/>
      <c r="AX175" s="576"/>
      <c r="AY175" s="576"/>
      <c r="AZ175" s="576"/>
      <c r="BA175" s="576"/>
      <c r="BB175" s="576"/>
      <c r="BC175" s="576"/>
      <c r="BD175" s="572"/>
      <c r="BE175" s="710"/>
      <c r="BF175" s="710"/>
      <c r="BG175" s="710"/>
      <c r="BH175" s="710"/>
      <c r="BI175" s="710"/>
      <c r="BJ175" s="710"/>
      <c r="BK175" s="710"/>
      <c r="BL175" s="710"/>
      <c r="BM175" s="710"/>
      <c r="BN175" s="710"/>
      <c r="BO175" s="710"/>
      <c r="BP175" s="710"/>
      <c r="BQ175" s="710"/>
      <c r="BR175" s="710"/>
      <c r="BS175" s="710"/>
      <c r="BT175" s="710"/>
    </row>
    <row r="176" spans="1:72" s="709" customFormat="1" ht="15.75">
      <c r="A176" s="545"/>
      <c r="B176" s="545"/>
      <c r="C176" s="545"/>
      <c r="D176" s="545"/>
      <c r="E176" s="545"/>
      <c r="F176" s="545"/>
      <c r="G176" s="545"/>
      <c r="H176" s="545"/>
      <c r="I176" s="545"/>
      <c r="J176" s="545"/>
      <c r="K176" s="545"/>
      <c r="L176" s="545"/>
      <c r="M176" s="545"/>
      <c r="N176" s="545"/>
      <c r="O176" s="545"/>
      <c r="P176" s="545"/>
      <c r="Q176" s="545"/>
      <c r="R176" s="545"/>
      <c r="S176" s="576"/>
      <c r="T176" s="576"/>
      <c r="U176" s="576"/>
      <c r="V176" s="576"/>
      <c r="W176" s="545"/>
      <c r="X176" s="545"/>
      <c r="Y176" s="576"/>
      <c r="Z176" s="576"/>
      <c r="AA176" s="545"/>
      <c r="AB176" s="545"/>
      <c r="AC176" s="545"/>
      <c r="AD176" s="576"/>
      <c r="AE176" s="576"/>
      <c r="AF176" s="576"/>
      <c r="AG176" s="576"/>
      <c r="AH176" s="576"/>
      <c r="AI176" s="576"/>
      <c r="AJ176" s="576"/>
      <c r="AK176" s="576"/>
      <c r="AL176" s="576"/>
      <c r="AM176" s="576"/>
      <c r="AN176" s="576"/>
      <c r="AO176" s="576"/>
      <c r="AP176" s="576"/>
      <c r="AQ176" s="576"/>
      <c r="AR176" s="576"/>
      <c r="AS176" s="576"/>
      <c r="AT176" s="576"/>
      <c r="AU176" s="576"/>
      <c r="AV176" s="576"/>
      <c r="AW176" s="576"/>
      <c r="AX176" s="576"/>
      <c r="AY176" s="576"/>
      <c r="AZ176" s="576"/>
      <c r="BA176" s="576"/>
      <c r="BB176" s="576"/>
      <c r="BC176" s="576"/>
      <c r="BD176" s="572"/>
      <c r="BE176" s="710"/>
      <c r="BF176" s="710"/>
      <c r="BG176" s="710"/>
      <c r="BH176" s="710"/>
      <c r="BI176" s="710"/>
      <c r="BJ176" s="710"/>
      <c r="BK176" s="710"/>
      <c r="BL176" s="710"/>
      <c r="BM176" s="710"/>
      <c r="BN176" s="710"/>
      <c r="BO176" s="710"/>
      <c r="BP176" s="710"/>
      <c r="BQ176" s="710"/>
      <c r="BR176" s="710"/>
      <c r="BS176" s="710"/>
      <c r="BT176" s="710"/>
    </row>
    <row r="177" spans="1:72" s="709" customFormat="1" ht="15.75">
      <c r="A177" s="545"/>
      <c r="B177" s="545"/>
      <c r="C177" s="545"/>
      <c r="D177" s="545"/>
      <c r="E177" s="545"/>
      <c r="F177" s="545"/>
      <c r="G177" s="545"/>
      <c r="H177" s="545"/>
      <c r="I177" s="545"/>
      <c r="J177" s="545"/>
      <c r="K177" s="545"/>
      <c r="L177" s="545"/>
      <c r="M177" s="545"/>
      <c r="N177" s="545"/>
      <c r="O177" s="545"/>
      <c r="P177" s="545"/>
      <c r="Q177" s="545"/>
      <c r="R177" s="545"/>
      <c r="S177" s="576"/>
      <c r="T177" s="576"/>
      <c r="U177" s="576"/>
      <c r="V177" s="576"/>
      <c r="W177" s="545"/>
      <c r="X177" s="545"/>
      <c r="Y177" s="576"/>
      <c r="Z177" s="576"/>
      <c r="AA177" s="545"/>
      <c r="AB177" s="545"/>
      <c r="AC177" s="545"/>
      <c r="AD177" s="576"/>
      <c r="AE177" s="576"/>
      <c r="AF177" s="576"/>
      <c r="AG177" s="576"/>
      <c r="AH177" s="576"/>
      <c r="AI177" s="576"/>
      <c r="AJ177" s="576"/>
      <c r="AK177" s="576"/>
      <c r="AL177" s="576"/>
      <c r="AM177" s="576"/>
      <c r="AN177" s="576"/>
      <c r="AO177" s="576"/>
      <c r="AP177" s="576"/>
      <c r="AQ177" s="576"/>
      <c r="AR177" s="576"/>
      <c r="AS177" s="576"/>
      <c r="AT177" s="576"/>
      <c r="AU177" s="576"/>
      <c r="AV177" s="576"/>
      <c r="AW177" s="576"/>
      <c r="AX177" s="576"/>
      <c r="AY177" s="576"/>
      <c r="AZ177" s="576"/>
      <c r="BA177" s="576"/>
      <c r="BB177" s="576"/>
      <c r="BC177" s="576"/>
      <c r="BD177" s="572"/>
      <c r="BE177" s="710"/>
      <c r="BF177" s="710"/>
      <c r="BG177" s="710"/>
      <c r="BH177" s="710"/>
      <c r="BI177" s="710"/>
      <c r="BJ177" s="710"/>
      <c r="BK177" s="710"/>
      <c r="BL177" s="710"/>
      <c r="BM177" s="710"/>
      <c r="BN177" s="710"/>
      <c r="BO177" s="710"/>
      <c r="BP177" s="710"/>
      <c r="BQ177" s="710"/>
      <c r="BR177" s="710"/>
      <c r="BS177" s="710"/>
      <c r="BT177" s="710"/>
    </row>
    <row r="178" spans="1:72" s="709" customFormat="1" ht="15.75">
      <c r="A178" s="545"/>
      <c r="B178" s="545"/>
      <c r="C178" s="545"/>
      <c r="D178" s="545"/>
      <c r="E178" s="545"/>
      <c r="F178" s="545"/>
      <c r="G178" s="545"/>
      <c r="H178" s="545"/>
      <c r="I178" s="545"/>
      <c r="J178" s="545"/>
      <c r="K178" s="545"/>
      <c r="L178" s="545"/>
      <c r="M178" s="545"/>
      <c r="N178" s="545"/>
      <c r="O178" s="545"/>
      <c r="P178" s="545"/>
      <c r="Q178" s="545"/>
      <c r="R178" s="545"/>
      <c r="S178" s="576"/>
      <c r="T178" s="576"/>
      <c r="U178" s="576"/>
      <c r="V178" s="576"/>
      <c r="W178" s="545"/>
      <c r="X178" s="545"/>
      <c r="Y178" s="576"/>
      <c r="Z178" s="576"/>
      <c r="AA178" s="545"/>
      <c r="AB178" s="545"/>
      <c r="AC178" s="545"/>
      <c r="AD178" s="576"/>
      <c r="AE178" s="576"/>
      <c r="AF178" s="576"/>
      <c r="AG178" s="576"/>
      <c r="AH178" s="576"/>
      <c r="AI178" s="576"/>
      <c r="AJ178" s="576"/>
      <c r="AK178" s="576"/>
      <c r="AL178" s="576"/>
      <c r="AM178" s="576"/>
      <c r="AN178" s="576"/>
      <c r="AO178" s="576"/>
      <c r="AP178" s="576"/>
      <c r="AQ178" s="576"/>
      <c r="AR178" s="576"/>
      <c r="AS178" s="576"/>
      <c r="AT178" s="576"/>
      <c r="AU178" s="576"/>
      <c r="AV178" s="576"/>
      <c r="AW178" s="576"/>
      <c r="AX178" s="576"/>
      <c r="AY178" s="576"/>
      <c r="AZ178" s="576"/>
      <c r="BA178" s="576"/>
      <c r="BB178" s="576"/>
      <c r="BC178" s="576"/>
      <c r="BD178" s="572"/>
      <c r="BE178" s="710"/>
      <c r="BF178" s="710"/>
      <c r="BG178" s="710"/>
      <c r="BH178" s="710"/>
      <c r="BI178" s="710"/>
      <c r="BJ178" s="710"/>
      <c r="BK178" s="710"/>
      <c r="BL178" s="710"/>
      <c r="BM178" s="710"/>
      <c r="BN178" s="710"/>
      <c r="BO178" s="710"/>
      <c r="BP178" s="710"/>
      <c r="BQ178" s="710"/>
      <c r="BR178" s="710"/>
      <c r="BS178" s="710"/>
      <c r="BT178" s="710"/>
    </row>
    <row r="179" spans="1:72" s="709" customFormat="1" ht="15.75">
      <c r="A179" s="545"/>
      <c r="B179" s="545"/>
      <c r="C179" s="545"/>
      <c r="D179" s="545"/>
      <c r="E179" s="545"/>
      <c r="F179" s="545"/>
      <c r="G179" s="545"/>
      <c r="H179" s="545"/>
      <c r="I179" s="545"/>
      <c r="J179" s="545"/>
      <c r="K179" s="545"/>
      <c r="L179" s="545"/>
      <c r="M179" s="545"/>
      <c r="N179" s="545"/>
      <c r="O179" s="545"/>
      <c r="P179" s="545"/>
      <c r="Q179" s="545"/>
      <c r="R179" s="545"/>
      <c r="S179" s="576"/>
      <c r="T179" s="576"/>
      <c r="U179" s="576"/>
      <c r="V179" s="576"/>
      <c r="W179" s="545"/>
      <c r="X179" s="545"/>
      <c r="Y179" s="576"/>
      <c r="Z179" s="576"/>
      <c r="AA179" s="545"/>
      <c r="AB179" s="545"/>
      <c r="AC179" s="545"/>
      <c r="AD179" s="576"/>
      <c r="AE179" s="576"/>
      <c r="AF179" s="576"/>
      <c r="AG179" s="576"/>
      <c r="AH179" s="576"/>
      <c r="AI179" s="576"/>
      <c r="AJ179" s="576"/>
      <c r="AK179" s="576"/>
      <c r="AL179" s="576"/>
      <c r="AM179" s="576"/>
      <c r="AN179" s="576"/>
      <c r="AO179" s="576"/>
      <c r="AP179" s="576"/>
      <c r="AQ179" s="576"/>
      <c r="AR179" s="576"/>
      <c r="AS179" s="576"/>
      <c r="AT179" s="576"/>
      <c r="AU179" s="576"/>
      <c r="AV179" s="576"/>
      <c r="AW179" s="576"/>
      <c r="AX179" s="576"/>
      <c r="AY179" s="576"/>
      <c r="AZ179" s="576"/>
      <c r="BA179" s="576"/>
      <c r="BB179" s="576"/>
      <c r="BC179" s="576"/>
      <c r="BD179" s="572"/>
      <c r="BE179" s="710"/>
      <c r="BF179" s="710"/>
      <c r="BG179" s="710"/>
      <c r="BH179" s="710"/>
      <c r="BI179" s="710"/>
      <c r="BJ179" s="710"/>
      <c r="BK179" s="710"/>
      <c r="BL179" s="710"/>
      <c r="BM179" s="710"/>
      <c r="BN179" s="710"/>
      <c r="BO179" s="710"/>
      <c r="BP179" s="710"/>
      <c r="BQ179" s="710"/>
      <c r="BR179" s="710"/>
      <c r="BS179" s="710"/>
      <c r="BT179" s="710"/>
    </row>
    <row r="180" spans="1:72" s="709" customFormat="1" ht="15.75">
      <c r="A180" s="545"/>
      <c r="B180" s="545"/>
      <c r="C180" s="545"/>
      <c r="D180" s="545"/>
      <c r="E180" s="545"/>
      <c r="F180" s="545"/>
      <c r="G180" s="545"/>
      <c r="H180" s="545"/>
      <c r="I180" s="545"/>
      <c r="J180" s="545"/>
      <c r="K180" s="545"/>
      <c r="L180" s="545"/>
      <c r="M180" s="545"/>
      <c r="N180" s="545"/>
      <c r="O180" s="545"/>
      <c r="P180" s="545"/>
      <c r="Q180" s="545"/>
      <c r="R180" s="545"/>
      <c r="S180" s="576"/>
      <c r="T180" s="576"/>
      <c r="U180" s="576"/>
      <c r="V180" s="576"/>
      <c r="W180" s="545"/>
      <c r="X180" s="545"/>
      <c r="Y180" s="576"/>
      <c r="Z180" s="576"/>
      <c r="AA180" s="545"/>
      <c r="AB180" s="545"/>
      <c r="AC180" s="545"/>
      <c r="AD180" s="576"/>
      <c r="AE180" s="576"/>
      <c r="AF180" s="576"/>
      <c r="AG180" s="576"/>
      <c r="AH180" s="576"/>
      <c r="AI180" s="576"/>
      <c r="AJ180" s="576"/>
      <c r="AK180" s="576"/>
      <c r="AL180" s="576"/>
      <c r="AM180" s="576"/>
      <c r="AN180" s="576"/>
      <c r="AO180" s="576"/>
      <c r="AP180" s="576"/>
      <c r="AQ180" s="576"/>
      <c r="AR180" s="576"/>
      <c r="AS180" s="576"/>
      <c r="AT180" s="576"/>
      <c r="AU180" s="576"/>
      <c r="AV180" s="576"/>
      <c r="AW180" s="576"/>
      <c r="AX180" s="576"/>
      <c r="AY180" s="576"/>
      <c r="AZ180" s="576"/>
      <c r="BA180" s="576"/>
      <c r="BB180" s="576"/>
      <c r="BC180" s="576"/>
      <c r="BD180" s="572"/>
      <c r="BE180" s="710"/>
      <c r="BF180" s="710"/>
      <c r="BG180" s="710"/>
      <c r="BH180" s="710"/>
      <c r="BI180" s="710"/>
      <c r="BJ180" s="710"/>
      <c r="BK180" s="710"/>
      <c r="BL180" s="710"/>
      <c r="BM180" s="710"/>
      <c r="BN180" s="710"/>
      <c r="BO180" s="710"/>
      <c r="BP180" s="710"/>
      <c r="BQ180" s="710"/>
      <c r="BR180" s="710"/>
      <c r="BS180" s="710"/>
      <c r="BT180" s="710"/>
    </row>
    <row r="181" spans="1:72" s="709" customFormat="1" ht="15.75">
      <c r="A181" s="545"/>
      <c r="B181" s="545"/>
      <c r="C181" s="545"/>
      <c r="D181" s="545"/>
      <c r="E181" s="545"/>
      <c r="F181" s="545"/>
      <c r="G181" s="545"/>
      <c r="H181" s="545"/>
      <c r="I181" s="545"/>
      <c r="J181" s="545"/>
      <c r="K181" s="545"/>
      <c r="L181" s="545"/>
      <c r="M181" s="545"/>
      <c r="N181" s="545"/>
      <c r="O181" s="545"/>
      <c r="P181" s="545"/>
      <c r="Q181" s="545"/>
      <c r="R181" s="545"/>
      <c r="S181" s="576"/>
      <c r="T181" s="576"/>
      <c r="U181" s="576"/>
      <c r="V181" s="576"/>
      <c r="W181" s="545"/>
      <c r="X181" s="545"/>
      <c r="Y181" s="576"/>
      <c r="Z181" s="576"/>
      <c r="AA181" s="545"/>
      <c r="AB181" s="545"/>
      <c r="AC181" s="545"/>
      <c r="AD181" s="576"/>
      <c r="AE181" s="576"/>
      <c r="AF181" s="576"/>
      <c r="AG181" s="576"/>
      <c r="AH181" s="576"/>
      <c r="AI181" s="576"/>
      <c r="AJ181" s="576"/>
      <c r="AK181" s="576"/>
      <c r="AL181" s="576"/>
      <c r="AM181" s="576"/>
      <c r="AN181" s="576"/>
      <c r="AO181" s="576"/>
      <c r="AP181" s="576"/>
      <c r="AQ181" s="576"/>
      <c r="AR181" s="576"/>
      <c r="AS181" s="576"/>
      <c r="AT181" s="576"/>
      <c r="AU181" s="576"/>
      <c r="AV181" s="576"/>
      <c r="AW181" s="576"/>
      <c r="AX181" s="576"/>
      <c r="AY181" s="576"/>
      <c r="AZ181" s="576"/>
      <c r="BA181" s="576"/>
      <c r="BB181" s="576"/>
      <c r="BC181" s="576"/>
      <c r="BD181" s="572"/>
      <c r="BE181" s="710"/>
      <c r="BF181" s="710"/>
      <c r="BG181" s="710"/>
      <c r="BH181" s="710"/>
      <c r="BI181" s="710"/>
      <c r="BJ181" s="710"/>
      <c r="BK181" s="710"/>
      <c r="BL181" s="710"/>
      <c r="BM181" s="710"/>
      <c r="BN181" s="710"/>
      <c r="BO181" s="710"/>
      <c r="BP181" s="710"/>
      <c r="BQ181" s="710"/>
      <c r="BR181" s="710"/>
      <c r="BS181" s="710"/>
      <c r="BT181" s="710"/>
    </row>
    <row r="182" spans="1:72" s="709" customFormat="1" ht="15.75">
      <c r="A182" s="545"/>
      <c r="B182" s="545"/>
      <c r="C182" s="545"/>
      <c r="D182" s="545"/>
      <c r="E182" s="545"/>
      <c r="F182" s="545"/>
      <c r="G182" s="545"/>
      <c r="H182" s="545"/>
      <c r="I182" s="545"/>
      <c r="J182" s="545"/>
      <c r="K182" s="545"/>
      <c r="L182" s="545"/>
      <c r="M182" s="545"/>
      <c r="N182" s="545"/>
      <c r="O182" s="545"/>
      <c r="P182" s="545"/>
      <c r="Q182" s="545"/>
      <c r="R182" s="545"/>
      <c r="S182" s="576"/>
      <c r="T182" s="576"/>
      <c r="U182" s="576"/>
      <c r="V182" s="576"/>
      <c r="W182" s="545"/>
      <c r="X182" s="545"/>
      <c r="Y182" s="576"/>
      <c r="Z182" s="576"/>
      <c r="AA182" s="545"/>
      <c r="AB182" s="545"/>
      <c r="AC182" s="545"/>
      <c r="AD182" s="576"/>
      <c r="AE182" s="576"/>
      <c r="AF182" s="576"/>
      <c r="AG182" s="576"/>
      <c r="AH182" s="576"/>
      <c r="AI182" s="576"/>
      <c r="AJ182" s="576"/>
      <c r="AK182" s="576"/>
      <c r="AL182" s="576"/>
      <c r="AM182" s="576"/>
      <c r="AN182" s="576"/>
      <c r="AO182" s="576"/>
      <c r="AP182" s="576"/>
      <c r="AQ182" s="576"/>
      <c r="AR182" s="576"/>
      <c r="AS182" s="576"/>
      <c r="AT182" s="576"/>
      <c r="AU182" s="576"/>
      <c r="AV182" s="576"/>
      <c r="AW182" s="576"/>
      <c r="AX182" s="576"/>
      <c r="AY182" s="576"/>
      <c r="AZ182" s="576"/>
      <c r="BA182" s="576"/>
      <c r="BB182" s="576"/>
      <c r="BC182" s="576"/>
      <c r="BD182" s="572"/>
      <c r="BE182" s="710"/>
      <c r="BF182" s="710"/>
      <c r="BG182" s="710"/>
      <c r="BH182" s="710"/>
      <c r="BI182" s="710"/>
      <c r="BJ182" s="710"/>
      <c r="BK182" s="710"/>
      <c r="BL182" s="710"/>
      <c r="BM182" s="710"/>
      <c r="BN182" s="710"/>
      <c r="BO182" s="710"/>
      <c r="BP182" s="710"/>
      <c r="BQ182" s="710"/>
      <c r="BR182" s="710"/>
      <c r="BS182" s="710"/>
      <c r="BT182" s="710"/>
    </row>
    <row r="183" spans="1:72" s="709" customFormat="1" ht="15.75">
      <c r="A183" s="545"/>
      <c r="B183" s="545"/>
      <c r="C183" s="545"/>
      <c r="D183" s="545"/>
      <c r="E183" s="545"/>
      <c r="F183" s="545"/>
      <c r="G183" s="545"/>
      <c r="H183" s="545"/>
      <c r="I183" s="545"/>
      <c r="J183" s="545"/>
      <c r="K183" s="545"/>
      <c r="L183" s="545"/>
      <c r="M183" s="545"/>
      <c r="N183" s="545"/>
      <c r="O183" s="545"/>
      <c r="P183" s="545"/>
      <c r="Q183" s="545"/>
      <c r="R183" s="545"/>
      <c r="S183" s="576"/>
      <c r="T183" s="576"/>
      <c r="U183" s="576"/>
      <c r="V183" s="576"/>
      <c r="W183" s="545"/>
      <c r="X183" s="545"/>
      <c r="Y183" s="576"/>
      <c r="Z183" s="576"/>
      <c r="AA183" s="545"/>
      <c r="AB183" s="545"/>
      <c r="AC183" s="545"/>
      <c r="AD183" s="576"/>
      <c r="AE183" s="576"/>
      <c r="AF183" s="576"/>
      <c r="AG183" s="576"/>
      <c r="AH183" s="576"/>
      <c r="AI183" s="576"/>
      <c r="AJ183" s="576"/>
      <c r="AK183" s="576"/>
      <c r="AL183" s="576"/>
      <c r="AM183" s="576"/>
      <c r="AN183" s="576"/>
      <c r="AO183" s="576"/>
      <c r="AP183" s="576"/>
      <c r="AQ183" s="576"/>
      <c r="AR183" s="576"/>
      <c r="AS183" s="576"/>
      <c r="AT183" s="576"/>
      <c r="AU183" s="576"/>
      <c r="AV183" s="576"/>
      <c r="AW183" s="576"/>
      <c r="AX183" s="576"/>
      <c r="AY183" s="576"/>
      <c r="AZ183" s="576"/>
      <c r="BA183" s="576"/>
      <c r="BB183" s="576"/>
      <c r="BC183" s="576"/>
      <c r="BD183" s="572"/>
      <c r="BE183" s="710"/>
      <c r="BF183" s="710"/>
      <c r="BG183" s="710"/>
      <c r="BH183" s="710"/>
      <c r="BI183" s="710"/>
      <c r="BJ183" s="710"/>
      <c r="BK183" s="710"/>
      <c r="BL183" s="710"/>
      <c r="BM183" s="710"/>
      <c r="BN183" s="710"/>
      <c r="BO183" s="710"/>
      <c r="BP183" s="710"/>
      <c r="BQ183" s="710"/>
      <c r="BR183" s="710"/>
      <c r="BS183" s="710"/>
      <c r="BT183" s="710"/>
    </row>
    <row r="184" spans="1:72" s="709" customFormat="1" ht="15.75">
      <c r="A184" s="545"/>
      <c r="B184" s="545"/>
      <c r="C184" s="545"/>
      <c r="D184" s="545"/>
      <c r="E184" s="545"/>
      <c r="F184" s="545"/>
      <c r="G184" s="545"/>
      <c r="H184" s="545"/>
      <c r="I184" s="545"/>
      <c r="J184" s="545"/>
      <c r="K184" s="545"/>
      <c r="L184" s="545"/>
      <c r="M184" s="545"/>
      <c r="N184" s="545"/>
      <c r="O184" s="545"/>
      <c r="P184" s="545"/>
      <c r="Q184" s="545"/>
      <c r="R184" s="545"/>
      <c r="S184" s="576"/>
      <c r="T184" s="576"/>
      <c r="U184" s="576"/>
      <c r="V184" s="576"/>
      <c r="W184" s="545"/>
      <c r="X184" s="545"/>
      <c r="Y184" s="576"/>
      <c r="Z184" s="576"/>
      <c r="AA184" s="545"/>
      <c r="AB184" s="545"/>
      <c r="AC184" s="545"/>
      <c r="AD184" s="576"/>
      <c r="AE184" s="576"/>
      <c r="AF184" s="576"/>
      <c r="AG184" s="576"/>
      <c r="AH184" s="576"/>
      <c r="AI184" s="576"/>
      <c r="AJ184" s="576"/>
      <c r="AK184" s="576"/>
      <c r="AL184" s="576"/>
      <c r="AM184" s="576"/>
      <c r="AN184" s="576"/>
      <c r="AO184" s="576"/>
      <c r="AP184" s="576"/>
      <c r="AQ184" s="576"/>
      <c r="AR184" s="576"/>
      <c r="AS184" s="576"/>
      <c r="AT184" s="576"/>
      <c r="AU184" s="576"/>
      <c r="AV184" s="576"/>
      <c r="AW184" s="576"/>
      <c r="AX184" s="576"/>
      <c r="AY184" s="576"/>
      <c r="AZ184" s="576"/>
      <c r="BA184" s="576"/>
      <c r="BB184" s="576"/>
      <c r="BC184" s="576"/>
      <c r="BD184" s="572"/>
      <c r="BE184" s="710"/>
      <c r="BF184" s="710"/>
      <c r="BG184" s="710"/>
      <c r="BH184" s="710"/>
      <c r="BI184" s="710"/>
      <c r="BJ184" s="710"/>
      <c r="BK184" s="710"/>
      <c r="BL184" s="710"/>
      <c r="BM184" s="710"/>
      <c r="BN184" s="710"/>
      <c r="BO184" s="710"/>
      <c r="BP184" s="710"/>
      <c r="BQ184" s="710"/>
      <c r="BR184" s="710"/>
      <c r="BS184" s="710"/>
      <c r="BT184" s="710"/>
    </row>
    <row r="185" spans="1:72" s="709" customFormat="1" ht="15.75">
      <c r="A185" s="545"/>
      <c r="B185" s="545"/>
      <c r="C185" s="545"/>
      <c r="D185" s="545"/>
      <c r="E185" s="545"/>
      <c r="F185" s="545"/>
      <c r="G185" s="545"/>
      <c r="H185" s="545"/>
      <c r="I185" s="545"/>
      <c r="J185" s="545"/>
      <c r="K185" s="545"/>
      <c r="L185" s="545"/>
      <c r="M185" s="545"/>
      <c r="N185" s="545"/>
      <c r="O185" s="545"/>
      <c r="P185" s="545"/>
      <c r="Q185" s="545"/>
      <c r="R185" s="545"/>
      <c r="S185" s="576"/>
      <c r="T185" s="576"/>
      <c r="U185" s="576"/>
      <c r="V185" s="576"/>
      <c r="W185" s="545"/>
      <c r="X185" s="545"/>
      <c r="Y185" s="576"/>
      <c r="Z185" s="576"/>
      <c r="AA185" s="545"/>
      <c r="AB185" s="545"/>
      <c r="AC185" s="545"/>
      <c r="AD185" s="576"/>
      <c r="AE185" s="576"/>
      <c r="AF185" s="576"/>
      <c r="AG185" s="576"/>
      <c r="AH185" s="576"/>
      <c r="AI185" s="576"/>
      <c r="AJ185" s="576"/>
      <c r="AK185" s="576"/>
      <c r="AL185" s="576"/>
      <c r="AM185" s="576"/>
      <c r="AN185" s="576"/>
      <c r="AO185" s="576"/>
      <c r="AP185" s="576"/>
      <c r="AQ185" s="576"/>
      <c r="AR185" s="576"/>
      <c r="AS185" s="576"/>
      <c r="AT185" s="576"/>
      <c r="AU185" s="576"/>
      <c r="AV185" s="576"/>
      <c r="AW185" s="576"/>
      <c r="AX185" s="576"/>
      <c r="AY185" s="576"/>
      <c r="AZ185" s="576"/>
      <c r="BA185" s="576"/>
      <c r="BB185" s="576"/>
      <c r="BC185" s="576"/>
      <c r="BD185" s="572"/>
      <c r="BE185" s="710"/>
      <c r="BF185" s="710"/>
      <c r="BG185" s="710"/>
      <c r="BH185" s="710"/>
      <c r="BI185" s="710"/>
      <c r="BJ185" s="710"/>
      <c r="BK185" s="710"/>
      <c r="BL185" s="710"/>
      <c r="BM185" s="710"/>
      <c r="BN185" s="710"/>
      <c r="BO185" s="710"/>
      <c r="BP185" s="710"/>
      <c r="BQ185" s="710"/>
      <c r="BR185" s="710"/>
      <c r="BS185" s="710"/>
      <c r="BT185" s="710"/>
    </row>
    <row r="186" spans="1:72" s="709" customFormat="1" ht="15.75">
      <c r="A186" s="545"/>
      <c r="B186" s="545"/>
      <c r="C186" s="545"/>
      <c r="D186" s="545"/>
      <c r="E186" s="545"/>
      <c r="F186" s="545"/>
      <c r="G186" s="545"/>
      <c r="H186" s="545"/>
      <c r="I186" s="545"/>
      <c r="J186" s="545"/>
      <c r="K186" s="545"/>
      <c r="L186" s="545"/>
      <c r="M186" s="545"/>
      <c r="N186" s="545"/>
      <c r="O186" s="545"/>
      <c r="P186" s="545"/>
      <c r="Q186" s="545"/>
      <c r="R186" s="545"/>
      <c r="S186" s="576"/>
      <c r="T186" s="576"/>
      <c r="U186" s="576"/>
      <c r="V186" s="576"/>
      <c r="W186" s="545"/>
      <c r="X186" s="545"/>
      <c r="Y186" s="576"/>
      <c r="Z186" s="576"/>
      <c r="AA186" s="545"/>
      <c r="AB186" s="545"/>
      <c r="AC186" s="545"/>
      <c r="AD186" s="576"/>
      <c r="AE186" s="576"/>
      <c r="AF186" s="576"/>
      <c r="AG186" s="576"/>
      <c r="AH186" s="576"/>
      <c r="AI186" s="576"/>
      <c r="AJ186" s="576"/>
      <c r="AK186" s="576"/>
      <c r="AL186" s="576"/>
      <c r="AM186" s="576"/>
      <c r="AN186" s="576"/>
      <c r="AO186" s="576"/>
      <c r="AP186" s="576"/>
      <c r="AQ186" s="576"/>
      <c r="AR186" s="576"/>
      <c r="AS186" s="576"/>
      <c r="AT186" s="576"/>
      <c r="AU186" s="576"/>
      <c r="AV186" s="576"/>
      <c r="AW186" s="576"/>
      <c r="AX186" s="576"/>
      <c r="AY186" s="576"/>
      <c r="AZ186" s="576"/>
      <c r="BA186" s="576"/>
      <c r="BB186" s="576"/>
      <c r="BC186" s="576"/>
      <c r="BD186" s="572"/>
      <c r="BE186" s="710"/>
      <c r="BF186" s="710"/>
      <c r="BG186" s="710"/>
      <c r="BH186" s="710"/>
      <c r="BI186" s="710"/>
      <c r="BJ186" s="710"/>
      <c r="BK186" s="710"/>
      <c r="BL186" s="710"/>
      <c r="BM186" s="710"/>
      <c r="BN186" s="710"/>
      <c r="BO186" s="710"/>
      <c r="BP186" s="710"/>
      <c r="BQ186" s="710"/>
      <c r="BR186" s="710"/>
      <c r="BS186" s="710"/>
      <c r="BT186" s="710"/>
    </row>
    <row r="187" spans="1:72" s="709" customFormat="1" ht="15.75">
      <c r="A187" s="545"/>
      <c r="B187" s="545"/>
      <c r="C187" s="545"/>
      <c r="D187" s="545"/>
      <c r="E187" s="545"/>
      <c r="F187" s="545"/>
      <c r="G187" s="545"/>
      <c r="H187" s="545"/>
      <c r="I187" s="545"/>
      <c r="J187" s="545"/>
      <c r="K187" s="545"/>
      <c r="L187" s="545"/>
      <c r="M187" s="545"/>
      <c r="N187" s="545"/>
      <c r="O187" s="545"/>
      <c r="P187" s="545"/>
      <c r="Q187" s="545"/>
      <c r="R187" s="545"/>
      <c r="S187" s="576"/>
      <c r="T187" s="576"/>
      <c r="U187" s="576"/>
      <c r="V187" s="576"/>
      <c r="W187" s="545"/>
      <c r="X187" s="545"/>
      <c r="Y187" s="576"/>
      <c r="Z187" s="576"/>
      <c r="AA187" s="545"/>
      <c r="AB187" s="545"/>
      <c r="AC187" s="545"/>
      <c r="AD187" s="576"/>
      <c r="AE187" s="576"/>
      <c r="AF187" s="576"/>
      <c r="AG187" s="576"/>
      <c r="AH187" s="576"/>
      <c r="AI187" s="576"/>
      <c r="AJ187" s="576"/>
      <c r="AK187" s="576"/>
      <c r="AL187" s="576"/>
      <c r="AM187" s="576"/>
      <c r="AN187" s="576"/>
      <c r="AO187" s="576"/>
      <c r="AP187" s="576"/>
      <c r="AQ187" s="576"/>
      <c r="AR187" s="576"/>
      <c r="AS187" s="576"/>
      <c r="AT187" s="576"/>
      <c r="AU187" s="576"/>
      <c r="AV187" s="576"/>
      <c r="AW187" s="576"/>
      <c r="AX187" s="576"/>
      <c r="AY187" s="576"/>
      <c r="AZ187" s="576"/>
      <c r="BA187" s="576"/>
      <c r="BB187" s="576"/>
      <c r="BC187" s="576"/>
      <c r="BD187" s="572"/>
      <c r="BE187" s="710"/>
      <c r="BF187" s="710"/>
      <c r="BG187" s="710"/>
      <c r="BH187" s="710"/>
      <c r="BI187" s="710"/>
      <c r="BJ187" s="710"/>
      <c r="BK187" s="710"/>
      <c r="BL187" s="710"/>
      <c r="BM187" s="710"/>
      <c r="BN187" s="710"/>
      <c r="BO187" s="710"/>
      <c r="BP187" s="710"/>
      <c r="BQ187" s="710"/>
      <c r="BR187" s="710"/>
      <c r="BS187" s="710"/>
      <c r="BT187" s="710"/>
    </row>
    <row r="188" spans="1:72" s="709" customFormat="1" ht="15.75">
      <c r="A188" s="545"/>
      <c r="B188" s="545"/>
      <c r="C188" s="545"/>
      <c r="D188" s="545"/>
      <c r="E188" s="545"/>
      <c r="F188" s="545"/>
      <c r="G188" s="545"/>
      <c r="H188" s="545"/>
      <c r="I188" s="545"/>
      <c r="J188" s="545"/>
      <c r="K188" s="545"/>
      <c r="L188" s="545"/>
      <c r="M188" s="545"/>
      <c r="N188" s="545"/>
      <c r="O188" s="545"/>
      <c r="P188" s="545"/>
      <c r="Q188" s="545"/>
      <c r="R188" s="545"/>
      <c r="S188" s="576"/>
      <c r="T188" s="576"/>
      <c r="U188" s="576"/>
      <c r="V188" s="576"/>
      <c r="W188" s="545"/>
      <c r="X188" s="545"/>
      <c r="Y188" s="576"/>
      <c r="Z188" s="576"/>
      <c r="AA188" s="545"/>
      <c r="AB188" s="545"/>
      <c r="AC188" s="545"/>
      <c r="AD188" s="576"/>
      <c r="AE188" s="576"/>
      <c r="AF188" s="576"/>
      <c r="AG188" s="576"/>
      <c r="AH188" s="576"/>
      <c r="AI188" s="576"/>
      <c r="AJ188" s="576"/>
      <c r="AK188" s="576"/>
      <c r="AL188" s="576"/>
      <c r="AM188" s="576"/>
      <c r="AN188" s="576"/>
      <c r="AO188" s="576"/>
      <c r="AP188" s="576"/>
      <c r="AQ188" s="576"/>
      <c r="AR188" s="576"/>
      <c r="AS188" s="576"/>
      <c r="AT188" s="576"/>
      <c r="AU188" s="576"/>
      <c r="AV188" s="576"/>
      <c r="AW188" s="576"/>
      <c r="AX188" s="576"/>
      <c r="AY188" s="576"/>
      <c r="AZ188" s="576"/>
      <c r="BA188" s="576"/>
      <c r="BB188" s="576"/>
      <c r="BC188" s="576"/>
      <c r="BD188" s="572"/>
      <c r="BE188" s="710"/>
      <c r="BF188" s="710"/>
      <c r="BG188" s="710"/>
      <c r="BH188" s="710"/>
      <c r="BI188" s="710"/>
      <c r="BJ188" s="710"/>
      <c r="BK188" s="710"/>
      <c r="BL188" s="710"/>
      <c r="BM188" s="710"/>
      <c r="BN188" s="710"/>
      <c r="BO188" s="710"/>
      <c r="BP188" s="710"/>
      <c r="BQ188" s="710"/>
      <c r="BR188" s="710"/>
      <c r="BS188" s="710"/>
      <c r="BT188" s="710"/>
    </row>
    <row r="189" spans="1:72" s="709" customFormat="1" ht="15.75">
      <c r="A189" s="545"/>
      <c r="B189" s="545"/>
      <c r="C189" s="545"/>
      <c r="D189" s="545"/>
      <c r="E189" s="545"/>
      <c r="F189" s="545"/>
      <c r="G189" s="545"/>
      <c r="H189" s="545"/>
      <c r="I189" s="545"/>
      <c r="J189" s="545"/>
      <c r="K189" s="545"/>
      <c r="L189" s="545"/>
      <c r="M189" s="545"/>
      <c r="N189" s="545"/>
      <c r="O189" s="545"/>
      <c r="P189" s="545"/>
      <c r="Q189" s="545"/>
      <c r="R189" s="545"/>
      <c r="S189" s="576"/>
      <c r="T189" s="576"/>
      <c r="U189" s="576"/>
      <c r="V189" s="576"/>
      <c r="W189" s="545"/>
      <c r="X189" s="545"/>
      <c r="Y189" s="576"/>
      <c r="Z189" s="576"/>
      <c r="AA189" s="545"/>
      <c r="AB189" s="545"/>
      <c r="AC189" s="545"/>
      <c r="AD189" s="576"/>
      <c r="AE189" s="576"/>
      <c r="AF189" s="576"/>
      <c r="AG189" s="576"/>
      <c r="AH189" s="576"/>
      <c r="AI189" s="576"/>
      <c r="AJ189" s="576"/>
      <c r="AK189" s="576"/>
      <c r="AL189" s="576"/>
      <c r="AM189" s="576"/>
      <c r="AN189" s="576"/>
      <c r="AO189" s="576"/>
      <c r="AP189" s="576"/>
      <c r="AQ189" s="576"/>
      <c r="AR189" s="576"/>
      <c r="AS189" s="576"/>
      <c r="AT189" s="576"/>
      <c r="AU189" s="576"/>
      <c r="AV189" s="576"/>
      <c r="AW189" s="576"/>
      <c r="AX189" s="576"/>
      <c r="AY189" s="576"/>
      <c r="AZ189" s="576"/>
      <c r="BA189" s="576"/>
      <c r="BB189" s="576"/>
      <c r="BC189" s="576"/>
      <c r="BD189" s="572"/>
      <c r="BE189" s="710"/>
      <c r="BF189" s="710"/>
      <c r="BG189" s="710"/>
      <c r="BH189" s="710"/>
      <c r="BI189" s="710"/>
      <c r="BJ189" s="710"/>
      <c r="BK189" s="710"/>
      <c r="BL189" s="710"/>
      <c r="BM189" s="710"/>
      <c r="BN189" s="710"/>
      <c r="BO189" s="710"/>
      <c r="BP189" s="710"/>
      <c r="BQ189" s="710"/>
      <c r="BR189" s="710"/>
      <c r="BS189" s="710"/>
      <c r="BT189" s="710"/>
    </row>
    <row r="190" spans="1:72" s="709" customFormat="1" ht="15.75">
      <c r="A190" s="545"/>
      <c r="B190" s="545"/>
      <c r="C190" s="545"/>
      <c r="D190" s="545"/>
      <c r="E190" s="545"/>
      <c r="F190" s="545"/>
      <c r="G190" s="545"/>
      <c r="H190" s="545"/>
      <c r="I190" s="545"/>
      <c r="J190" s="545"/>
      <c r="K190" s="545"/>
      <c r="L190" s="545"/>
      <c r="M190" s="545"/>
      <c r="N190" s="545"/>
      <c r="O190" s="545"/>
      <c r="P190" s="545"/>
      <c r="Q190" s="545"/>
      <c r="R190" s="545"/>
      <c r="S190" s="576"/>
      <c r="T190" s="576"/>
      <c r="U190" s="576"/>
      <c r="V190" s="576"/>
      <c r="W190" s="545"/>
      <c r="X190" s="545"/>
      <c r="Y190" s="576"/>
      <c r="Z190" s="576"/>
      <c r="AA190" s="545"/>
      <c r="AB190" s="545"/>
      <c r="AC190" s="545"/>
      <c r="AD190" s="576"/>
      <c r="AE190" s="576"/>
      <c r="AF190" s="576"/>
      <c r="AG190" s="576"/>
      <c r="AH190" s="576"/>
      <c r="AI190" s="576"/>
      <c r="AJ190" s="576"/>
      <c r="AK190" s="576"/>
      <c r="AL190" s="576"/>
      <c r="AM190" s="576"/>
      <c r="AN190" s="576"/>
      <c r="AO190" s="576"/>
      <c r="AP190" s="576"/>
      <c r="AQ190" s="576"/>
      <c r="AR190" s="576"/>
      <c r="AS190" s="576"/>
      <c r="AT190" s="576"/>
      <c r="AU190" s="576"/>
      <c r="AV190" s="576"/>
      <c r="AW190" s="576"/>
      <c r="AX190" s="576"/>
      <c r="AY190" s="576"/>
      <c r="AZ190" s="576"/>
      <c r="BA190" s="576"/>
      <c r="BB190" s="576"/>
      <c r="BC190" s="576"/>
      <c r="BD190" s="572"/>
      <c r="BE190" s="710"/>
      <c r="BF190" s="710"/>
      <c r="BG190" s="710"/>
      <c r="BH190" s="710"/>
      <c r="BI190" s="710"/>
      <c r="BJ190" s="710"/>
      <c r="BK190" s="710"/>
      <c r="BL190" s="710"/>
      <c r="BM190" s="710"/>
      <c r="BN190" s="710"/>
      <c r="BO190" s="710"/>
      <c r="BP190" s="710"/>
      <c r="BQ190" s="710"/>
      <c r="BR190" s="710"/>
      <c r="BS190" s="710"/>
      <c r="BT190" s="710"/>
    </row>
    <row r="191" spans="1:72" s="709" customFormat="1" ht="15.75">
      <c r="A191" s="545"/>
      <c r="B191" s="545"/>
      <c r="C191" s="545"/>
      <c r="D191" s="545"/>
      <c r="E191" s="545"/>
      <c r="F191" s="545"/>
      <c r="G191" s="545"/>
      <c r="H191" s="545"/>
      <c r="I191" s="545"/>
      <c r="J191" s="545"/>
      <c r="K191" s="545"/>
      <c r="L191" s="545"/>
      <c r="M191" s="545"/>
      <c r="N191" s="545"/>
      <c r="O191" s="545"/>
      <c r="P191" s="545"/>
      <c r="Q191" s="545"/>
      <c r="R191" s="545"/>
      <c r="S191" s="576"/>
      <c r="T191" s="576"/>
      <c r="U191" s="576"/>
      <c r="V191" s="576"/>
      <c r="W191" s="545"/>
      <c r="X191" s="545"/>
      <c r="Y191" s="576"/>
      <c r="Z191" s="576"/>
      <c r="AA191" s="545"/>
      <c r="AB191" s="545"/>
      <c r="AC191" s="545"/>
      <c r="AD191" s="576"/>
      <c r="AE191" s="576"/>
      <c r="AF191" s="576"/>
      <c r="AG191" s="576"/>
      <c r="AH191" s="576"/>
      <c r="AI191" s="576"/>
      <c r="AJ191" s="576"/>
      <c r="AK191" s="576"/>
      <c r="AL191" s="576"/>
      <c r="AM191" s="576"/>
      <c r="AN191" s="576"/>
      <c r="AO191" s="576"/>
      <c r="AP191" s="576"/>
      <c r="AQ191" s="576"/>
      <c r="AR191" s="576"/>
      <c r="AS191" s="576"/>
      <c r="AT191" s="576"/>
      <c r="AU191" s="576"/>
      <c r="AV191" s="576"/>
      <c r="AW191" s="576"/>
      <c r="AX191" s="576"/>
      <c r="AY191" s="576"/>
      <c r="AZ191" s="576"/>
      <c r="BA191" s="576"/>
      <c r="BB191" s="576"/>
      <c r="BC191" s="576"/>
      <c r="BD191" s="572"/>
      <c r="BE191" s="710"/>
      <c r="BF191" s="710"/>
      <c r="BG191" s="710"/>
      <c r="BH191" s="710"/>
      <c r="BI191" s="710"/>
      <c r="BJ191" s="710"/>
      <c r="BK191" s="710"/>
      <c r="BL191" s="710"/>
      <c r="BM191" s="710"/>
      <c r="BN191" s="710"/>
      <c r="BO191" s="710"/>
      <c r="BP191" s="710"/>
      <c r="BQ191" s="710"/>
      <c r="BR191" s="710"/>
      <c r="BS191" s="710"/>
      <c r="BT191" s="710"/>
    </row>
    <row r="192" spans="1:72" s="709" customFormat="1" ht="15.75">
      <c r="A192" s="545"/>
      <c r="B192" s="545"/>
      <c r="C192" s="545"/>
      <c r="D192" s="545"/>
      <c r="E192" s="545"/>
      <c r="F192" s="545"/>
      <c r="G192" s="545"/>
      <c r="H192" s="545"/>
      <c r="I192" s="545"/>
      <c r="J192" s="545"/>
      <c r="K192" s="545"/>
      <c r="L192" s="545"/>
      <c r="M192" s="545"/>
      <c r="N192" s="545"/>
      <c r="O192" s="545"/>
      <c r="P192" s="545"/>
      <c r="Q192" s="545"/>
      <c r="R192" s="545"/>
      <c r="S192" s="576"/>
      <c r="T192" s="576"/>
      <c r="U192" s="576"/>
      <c r="V192" s="576"/>
      <c r="W192" s="545"/>
      <c r="X192" s="545"/>
      <c r="Y192" s="576"/>
      <c r="Z192" s="576"/>
      <c r="AA192" s="545"/>
      <c r="AB192" s="545"/>
      <c r="AC192" s="545"/>
      <c r="AD192" s="576"/>
      <c r="AE192" s="576"/>
      <c r="AF192" s="576"/>
      <c r="AG192" s="576"/>
      <c r="AH192" s="576"/>
      <c r="AI192" s="576"/>
      <c r="AJ192" s="576"/>
      <c r="AK192" s="576"/>
      <c r="AL192" s="576"/>
      <c r="AM192" s="576"/>
      <c r="AN192" s="576"/>
      <c r="AO192" s="576"/>
      <c r="AP192" s="576"/>
      <c r="AQ192" s="576"/>
      <c r="AR192" s="576"/>
      <c r="AS192" s="576"/>
      <c r="AT192" s="576"/>
      <c r="AU192" s="576"/>
      <c r="AV192" s="576"/>
      <c r="AW192" s="576"/>
      <c r="AX192" s="576"/>
      <c r="AY192" s="576"/>
      <c r="AZ192" s="576"/>
      <c r="BA192" s="576"/>
      <c r="BB192" s="576"/>
      <c r="BC192" s="576"/>
      <c r="BD192" s="572"/>
      <c r="BE192" s="710"/>
      <c r="BF192" s="710"/>
      <c r="BG192" s="710"/>
      <c r="BH192" s="710"/>
      <c r="BI192" s="710"/>
      <c r="BJ192" s="710"/>
      <c r="BK192" s="710"/>
      <c r="BL192" s="710"/>
      <c r="BM192" s="710"/>
      <c r="BN192" s="710"/>
      <c r="BO192" s="710"/>
      <c r="BP192" s="710"/>
      <c r="BQ192" s="710"/>
      <c r="BR192" s="710"/>
      <c r="BS192" s="710"/>
      <c r="BT192" s="710"/>
    </row>
    <row r="193" spans="1:72" s="709" customFormat="1" ht="15.75">
      <c r="A193" s="545"/>
      <c r="B193" s="545"/>
      <c r="C193" s="545"/>
      <c r="D193" s="545"/>
      <c r="E193" s="545"/>
      <c r="F193" s="545"/>
      <c r="G193" s="545"/>
      <c r="H193" s="545"/>
      <c r="I193" s="545"/>
      <c r="J193" s="545"/>
      <c r="K193" s="545"/>
      <c r="L193" s="545"/>
      <c r="M193" s="545"/>
      <c r="N193" s="545"/>
      <c r="O193" s="545"/>
      <c r="P193" s="545"/>
      <c r="Q193" s="545"/>
      <c r="R193" s="545"/>
      <c r="S193" s="576"/>
      <c r="T193" s="576"/>
      <c r="U193" s="576"/>
      <c r="V193" s="576"/>
      <c r="W193" s="545"/>
      <c r="X193" s="545"/>
      <c r="Y193" s="576"/>
      <c r="Z193" s="576"/>
      <c r="AA193" s="545"/>
      <c r="AB193" s="545"/>
      <c r="AC193" s="545"/>
      <c r="AD193" s="576"/>
      <c r="AE193" s="576"/>
      <c r="AF193" s="576"/>
      <c r="AG193" s="576"/>
      <c r="AH193" s="576"/>
      <c r="AI193" s="576"/>
      <c r="AJ193" s="576"/>
      <c r="AK193" s="576"/>
      <c r="AL193" s="576"/>
      <c r="AM193" s="576"/>
      <c r="AN193" s="576"/>
      <c r="AO193" s="576"/>
      <c r="AP193" s="576"/>
      <c r="AQ193" s="576"/>
      <c r="AR193" s="576"/>
      <c r="AS193" s="576"/>
      <c r="AT193" s="576"/>
      <c r="AU193" s="576"/>
      <c r="AV193" s="576"/>
      <c r="AW193" s="576"/>
      <c r="AX193" s="576"/>
      <c r="AY193" s="576"/>
      <c r="AZ193" s="576"/>
      <c r="BA193" s="576"/>
      <c r="BB193" s="576"/>
      <c r="BC193" s="576"/>
      <c r="BD193" s="572"/>
      <c r="BE193" s="710"/>
      <c r="BF193" s="710"/>
      <c r="BG193" s="710"/>
      <c r="BH193" s="710"/>
      <c r="BI193" s="710"/>
      <c r="BJ193" s="710"/>
      <c r="BK193" s="710"/>
      <c r="BL193" s="710"/>
      <c r="BM193" s="710"/>
      <c r="BN193" s="710"/>
      <c r="BO193" s="710"/>
      <c r="BP193" s="710"/>
      <c r="BQ193" s="710"/>
      <c r="BR193" s="710"/>
      <c r="BS193" s="710"/>
      <c r="BT193" s="710"/>
    </row>
    <row r="194" spans="1:72" s="709" customFormat="1" ht="15.75">
      <c r="A194" s="545"/>
      <c r="B194" s="545"/>
      <c r="C194" s="545"/>
      <c r="D194" s="545"/>
      <c r="E194" s="545"/>
      <c r="F194" s="545"/>
      <c r="G194" s="545"/>
      <c r="H194" s="545"/>
      <c r="I194" s="545"/>
      <c r="J194" s="545"/>
      <c r="K194" s="545"/>
      <c r="L194" s="545"/>
      <c r="M194" s="545"/>
      <c r="N194" s="545"/>
      <c r="O194" s="545"/>
      <c r="P194" s="545"/>
      <c r="Q194" s="545"/>
      <c r="R194" s="545"/>
      <c r="S194" s="576"/>
      <c r="T194" s="576"/>
      <c r="U194" s="576"/>
      <c r="V194" s="576"/>
      <c r="W194" s="545"/>
      <c r="X194" s="545"/>
      <c r="Y194" s="576"/>
      <c r="Z194" s="576"/>
      <c r="AA194" s="545"/>
      <c r="AB194" s="545"/>
      <c r="AC194" s="545"/>
      <c r="AD194" s="576"/>
      <c r="AE194" s="576"/>
      <c r="AF194" s="576"/>
      <c r="AG194" s="576"/>
      <c r="AH194" s="576"/>
      <c r="AI194" s="576"/>
      <c r="AJ194" s="576"/>
      <c r="AK194" s="576"/>
      <c r="AL194" s="576"/>
      <c r="AM194" s="576"/>
      <c r="AN194" s="576"/>
      <c r="AO194" s="576"/>
      <c r="AP194" s="576"/>
      <c r="AQ194" s="576"/>
      <c r="AR194" s="576"/>
      <c r="AS194" s="576"/>
      <c r="AT194" s="576"/>
      <c r="AU194" s="576"/>
      <c r="AV194" s="576"/>
      <c r="AW194" s="576"/>
      <c r="AX194" s="576"/>
      <c r="AY194" s="576"/>
      <c r="AZ194" s="576"/>
      <c r="BA194" s="576"/>
      <c r="BB194" s="576"/>
      <c r="BC194" s="576"/>
      <c r="BD194" s="572"/>
      <c r="BE194" s="710"/>
      <c r="BF194" s="710"/>
      <c r="BG194" s="710"/>
      <c r="BH194" s="710"/>
      <c r="BI194" s="710"/>
      <c r="BJ194" s="710"/>
      <c r="BK194" s="710"/>
      <c r="BL194" s="710"/>
      <c r="BM194" s="710"/>
      <c r="BN194" s="710"/>
      <c r="BO194" s="710"/>
      <c r="BP194" s="710"/>
      <c r="BQ194" s="710"/>
      <c r="BR194" s="710"/>
      <c r="BS194" s="710"/>
      <c r="BT194" s="710"/>
    </row>
    <row r="195" spans="1:72" s="709" customFormat="1" ht="15.75">
      <c r="A195" s="545"/>
      <c r="B195" s="545"/>
      <c r="C195" s="545"/>
      <c r="D195" s="545"/>
      <c r="E195" s="545"/>
      <c r="F195" s="545"/>
      <c r="G195" s="545"/>
      <c r="H195" s="545"/>
      <c r="I195" s="545"/>
      <c r="J195" s="545"/>
      <c r="K195" s="545"/>
      <c r="L195" s="545"/>
      <c r="M195" s="545"/>
      <c r="N195" s="545"/>
      <c r="O195" s="545"/>
      <c r="P195" s="545"/>
      <c r="Q195" s="545"/>
      <c r="R195" s="545"/>
      <c r="S195" s="576"/>
      <c r="T195" s="576"/>
      <c r="U195" s="576"/>
      <c r="V195" s="576"/>
      <c r="W195" s="545"/>
      <c r="X195" s="545"/>
      <c r="Y195" s="576"/>
      <c r="Z195" s="576"/>
      <c r="AA195" s="545"/>
      <c r="AB195" s="545"/>
      <c r="AC195" s="545"/>
      <c r="AD195" s="576"/>
      <c r="AE195" s="576"/>
      <c r="AF195" s="576"/>
      <c r="AG195" s="576"/>
      <c r="AH195" s="576"/>
      <c r="AI195" s="576"/>
      <c r="AJ195" s="576"/>
      <c r="AK195" s="576"/>
      <c r="AL195" s="576"/>
      <c r="AM195" s="576"/>
      <c r="AN195" s="576"/>
      <c r="AO195" s="576"/>
      <c r="AP195" s="576"/>
      <c r="AQ195" s="576"/>
      <c r="AR195" s="576"/>
      <c r="AS195" s="576"/>
      <c r="AT195" s="576"/>
      <c r="AU195" s="576"/>
      <c r="AV195" s="576"/>
      <c r="AW195" s="576"/>
      <c r="AX195" s="576"/>
      <c r="AY195" s="576"/>
      <c r="AZ195" s="576"/>
      <c r="BA195" s="576"/>
      <c r="BB195" s="576"/>
      <c r="BC195" s="576"/>
      <c r="BD195" s="572"/>
      <c r="BE195" s="710"/>
      <c r="BF195" s="710"/>
      <c r="BG195" s="710"/>
      <c r="BH195" s="710"/>
      <c r="BI195" s="710"/>
      <c r="BJ195" s="710"/>
      <c r="BK195" s="710"/>
      <c r="BL195" s="710"/>
      <c r="BM195" s="710"/>
      <c r="BN195" s="710"/>
      <c r="BO195" s="710"/>
      <c r="BP195" s="710"/>
      <c r="BQ195" s="710"/>
      <c r="BR195" s="710"/>
      <c r="BS195" s="710"/>
      <c r="BT195" s="710"/>
    </row>
    <row r="196" spans="1:72" s="709" customFormat="1" ht="15.75">
      <c r="A196" s="545"/>
      <c r="B196" s="545"/>
      <c r="C196" s="545"/>
      <c r="D196" s="545"/>
      <c r="E196" s="545"/>
      <c r="F196" s="545"/>
      <c r="G196" s="545"/>
      <c r="H196" s="545"/>
      <c r="I196" s="545"/>
      <c r="J196" s="545"/>
      <c r="K196" s="545"/>
      <c r="L196" s="545"/>
      <c r="M196" s="545"/>
      <c r="N196" s="545"/>
      <c r="O196" s="545"/>
      <c r="P196" s="545"/>
      <c r="Q196" s="545"/>
      <c r="R196" s="545"/>
      <c r="S196" s="576"/>
      <c r="T196" s="576"/>
      <c r="U196" s="576"/>
      <c r="V196" s="576"/>
      <c r="W196" s="545"/>
      <c r="X196" s="545"/>
      <c r="Y196" s="576"/>
      <c r="Z196" s="576"/>
      <c r="AA196" s="545"/>
      <c r="AB196" s="545"/>
      <c r="AC196" s="545"/>
      <c r="AD196" s="576"/>
      <c r="AE196" s="576"/>
      <c r="AF196" s="576"/>
      <c r="AG196" s="576"/>
      <c r="AH196" s="576"/>
      <c r="AI196" s="576"/>
      <c r="AJ196" s="576"/>
      <c r="AK196" s="576"/>
      <c r="AL196" s="576"/>
      <c r="AM196" s="576"/>
      <c r="AN196" s="576"/>
      <c r="AO196" s="576"/>
      <c r="AP196" s="576"/>
      <c r="AQ196" s="576"/>
      <c r="AR196" s="576"/>
      <c r="AS196" s="576"/>
      <c r="AT196" s="576"/>
      <c r="AU196" s="576"/>
      <c r="AV196" s="576"/>
      <c r="AW196" s="576"/>
      <c r="AX196" s="576"/>
      <c r="AY196" s="576"/>
      <c r="AZ196" s="576"/>
      <c r="BA196" s="576"/>
      <c r="BB196" s="576"/>
      <c r="BC196" s="576"/>
      <c r="BD196" s="572"/>
      <c r="BE196" s="710"/>
      <c r="BF196" s="710"/>
      <c r="BG196" s="710"/>
      <c r="BH196" s="710"/>
      <c r="BI196" s="710"/>
      <c r="BJ196" s="710"/>
      <c r="BK196" s="710"/>
      <c r="BL196" s="710"/>
      <c r="BM196" s="710"/>
      <c r="BN196" s="710"/>
      <c r="BO196" s="710"/>
      <c r="BP196" s="710"/>
      <c r="BQ196" s="710"/>
      <c r="BR196" s="710"/>
      <c r="BS196" s="710"/>
      <c r="BT196" s="710"/>
    </row>
    <row r="197" spans="1:72" s="709" customFormat="1" ht="15.75">
      <c r="A197" s="545"/>
      <c r="B197" s="545"/>
      <c r="C197" s="545"/>
      <c r="D197" s="545"/>
      <c r="E197" s="545"/>
      <c r="F197" s="545"/>
      <c r="G197" s="545"/>
      <c r="H197" s="545"/>
      <c r="I197" s="545"/>
      <c r="J197" s="545"/>
      <c r="K197" s="545"/>
      <c r="L197" s="545"/>
      <c r="M197" s="545"/>
      <c r="N197" s="545"/>
      <c r="O197" s="545"/>
      <c r="P197" s="545"/>
      <c r="Q197" s="545"/>
      <c r="R197" s="545"/>
      <c r="S197" s="576"/>
      <c r="T197" s="576"/>
      <c r="U197" s="576"/>
      <c r="V197" s="576"/>
      <c r="W197" s="545"/>
      <c r="X197" s="545"/>
      <c r="Y197" s="576"/>
      <c r="Z197" s="576"/>
      <c r="AA197" s="545"/>
      <c r="AB197" s="545"/>
      <c r="AC197" s="545"/>
      <c r="AD197" s="576"/>
      <c r="AE197" s="576"/>
      <c r="AF197" s="576"/>
      <c r="AG197" s="576"/>
      <c r="AH197" s="576"/>
      <c r="AI197" s="576"/>
      <c r="AJ197" s="576"/>
      <c r="AK197" s="576"/>
      <c r="AL197" s="576"/>
      <c r="AM197" s="576"/>
      <c r="AN197" s="576"/>
      <c r="AO197" s="576"/>
      <c r="AP197" s="576"/>
      <c r="AQ197" s="576"/>
      <c r="AR197" s="576"/>
      <c r="AS197" s="576"/>
      <c r="AT197" s="576"/>
      <c r="AU197" s="576"/>
      <c r="AV197" s="576"/>
      <c r="AW197" s="576"/>
      <c r="AX197" s="576"/>
      <c r="AY197" s="576"/>
      <c r="AZ197" s="576"/>
      <c r="BA197" s="576"/>
      <c r="BB197" s="576"/>
      <c r="BC197" s="576"/>
      <c r="BD197" s="572"/>
      <c r="BE197" s="710"/>
      <c r="BF197" s="710"/>
      <c r="BG197" s="710"/>
      <c r="BH197" s="710"/>
      <c r="BI197" s="710"/>
      <c r="BJ197" s="710"/>
      <c r="BK197" s="710"/>
      <c r="BL197" s="710"/>
      <c r="BM197" s="710"/>
      <c r="BN197" s="710"/>
      <c r="BO197" s="710"/>
      <c r="BP197" s="710"/>
      <c r="BQ197" s="710"/>
      <c r="BR197" s="710"/>
      <c r="BS197" s="710"/>
      <c r="BT197" s="710"/>
    </row>
    <row r="198" spans="1:72" s="709" customFormat="1" ht="15.75">
      <c r="A198" s="545"/>
      <c r="B198" s="545"/>
      <c r="C198" s="545"/>
      <c r="D198" s="545"/>
      <c r="E198" s="545"/>
      <c r="F198" s="545"/>
      <c r="G198" s="545"/>
      <c r="H198" s="545"/>
      <c r="I198" s="545"/>
      <c r="J198" s="545"/>
      <c r="K198" s="545"/>
      <c r="L198" s="545"/>
      <c r="M198" s="545"/>
      <c r="N198" s="545"/>
      <c r="O198" s="545"/>
      <c r="P198" s="545"/>
      <c r="Q198" s="545"/>
      <c r="R198" s="545"/>
      <c r="S198" s="576"/>
      <c r="T198" s="576"/>
      <c r="U198" s="576"/>
      <c r="V198" s="576"/>
      <c r="W198" s="545"/>
      <c r="X198" s="545"/>
      <c r="Y198" s="576"/>
      <c r="Z198" s="576"/>
      <c r="AA198" s="545"/>
      <c r="AB198" s="545"/>
      <c r="AC198" s="545"/>
      <c r="AD198" s="576"/>
      <c r="AE198" s="576"/>
      <c r="AF198" s="576"/>
      <c r="AG198" s="576"/>
      <c r="AH198" s="576"/>
      <c r="AI198" s="576"/>
      <c r="AJ198" s="576"/>
      <c r="AK198" s="576"/>
      <c r="AL198" s="576"/>
      <c r="AM198" s="576"/>
      <c r="AN198" s="576"/>
      <c r="AO198" s="576"/>
      <c r="AP198" s="576"/>
      <c r="AQ198" s="576"/>
      <c r="AR198" s="576"/>
      <c r="AS198" s="576"/>
      <c r="AT198" s="576"/>
      <c r="AU198" s="576"/>
      <c r="AV198" s="576"/>
      <c r="AW198" s="576"/>
      <c r="AX198" s="576"/>
      <c r="AY198" s="576"/>
      <c r="AZ198" s="576"/>
      <c r="BA198" s="576"/>
      <c r="BB198" s="576"/>
      <c r="BC198" s="576"/>
      <c r="BD198" s="572"/>
      <c r="BE198" s="710"/>
      <c r="BF198" s="710"/>
      <c r="BG198" s="710"/>
      <c r="BH198" s="710"/>
      <c r="BI198" s="710"/>
      <c r="BJ198" s="710"/>
      <c r="BK198" s="710"/>
      <c r="BL198" s="710"/>
      <c r="BM198" s="710"/>
      <c r="BN198" s="710"/>
      <c r="BO198" s="710"/>
      <c r="BP198" s="710"/>
      <c r="BQ198" s="710"/>
      <c r="BR198" s="710"/>
      <c r="BS198" s="710"/>
      <c r="BT198" s="710"/>
    </row>
    <row r="199" spans="1:72" s="709" customFormat="1" ht="15.75">
      <c r="A199" s="545"/>
      <c r="B199" s="545"/>
      <c r="C199" s="545"/>
      <c r="D199" s="545"/>
      <c r="E199" s="545"/>
      <c r="F199" s="545"/>
      <c r="G199" s="545"/>
      <c r="H199" s="545"/>
      <c r="I199" s="545"/>
      <c r="J199" s="545"/>
      <c r="K199" s="545"/>
      <c r="L199" s="545"/>
      <c r="M199" s="545"/>
      <c r="N199" s="545"/>
      <c r="O199" s="545"/>
      <c r="P199" s="545"/>
      <c r="Q199" s="545"/>
      <c r="R199" s="545"/>
      <c r="S199" s="576"/>
      <c r="T199" s="576"/>
      <c r="U199" s="576"/>
      <c r="V199" s="576"/>
      <c r="W199" s="545"/>
      <c r="X199" s="545"/>
      <c r="Y199" s="576"/>
      <c r="Z199" s="576"/>
      <c r="AA199" s="545"/>
      <c r="AB199" s="545"/>
      <c r="AC199" s="545"/>
      <c r="AD199" s="576"/>
      <c r="AE199" s="576"/>
      <c r="AF199" s="576"/>
      <c r="AG199" s="576"/>
      <c r="AH199" s="576"/>
      <c r="AI199" s="576"/>
      <c r="AJ199" s="576"/>
      <c r="AK199" s="576"/>
      <c r="AL199" s="576"/>
      <c r="AM199" s="576"/>
      <c r="AN199" s="576"/>
      <c r="AO199" s="576"/>
      <c r="AP199" s="576"/>
      <c r="AQ199" s="576"/>
      <c r="AR199" s="576"/>
      <c r="AS199" s="576"/>
      <c r="AT199" s="576"/>
      <c r="AU199" s="576"/>
      <c r="AV199" s="576"/>
      <c r="AW199" s="576"/>
      <c r="AX199" s="576"/>
      <c r="AY199" s="576"/>
      <c r="AZ199" s="576"/>
      <c r="BA199" s="576"/>
      <c r="BB199" s="576"/>
      <c r="BC199" s="576"/>
      <c r="BD199" s="572"/>
      <c r="BE199" s="710"/>
      <c r="BF199" s="710"/>
      <c r="BG199" s="710"/>
      <c r="BH199" s="710"/>
      <c r="BI199" s="710"/>
      <c r="BJ199" s="710"/>
      <c r="BK199" s="710"/>
      <c r="BL199" s="710"/>
      <c r="BM199" s="710"/>
      <c r="BN199" s="710"/>
      <c r="BO199" s="710"/>
      <c r="BP199" s="710"/>
      <c r="BQ199" s="710"/>
      <c r="BR199" s="710"/>
      <c r="BS199" s="710"/>
      <c r="BT199" s="710"/>
    </row>
    <row r="200" spans="1:72" s="709" customFormat="1" ht="15.75">
      <c r="A200" s="545"/>
      <c r="B200" s="545"/>
      <c r="C200" s="545"/>
      <c r="D200" s="545"/>
      <c r="E200" s="545"/>
      <c r="F200" s="545"/>
      <c r="G200" s="545"/>
      <c r="H200" s="545"/>
      <c r="I200" s="545"/>
      <c r="J200" s="545"/>
      <c r="K200" s="545"/>
      <c r="L200" s="545"/>
      <c r="M200" s="545"/>
      <c r="N200" s="545"/>
      <c r="O200" s="545"/>
      <c r="P200" s="545"/>
      <c r="Q200" s="545"/>
      <c r="R200" s="545"/>
      <c r="S200" s="576"/>
      <c r="T200" s="576"/>
      <c r="U200" s="576"/>
      <c r="V200" s="576"/>
      <c r="W200" s="545"/>
      <c r="X200" s="545"/>
      <c r="Y200" s="576"/>
      <c r="Z200" s="576"/>
      <c r="AA200" s="545"/>
      <c r="AB200" s="545"/>
      <c r="AC200" s="545"/>
      <c r="AD200" s="576"/>
      <c r="AE200" s="576"/>
      <c r="AF200" s="576"/>
      <c r="AG200" s="576"/>
      <c r="AH200" s="576"/>
      <c r="AI200" s="576"/>
      <c r="AJ200" s="576"/>
      <c r="AK200" s="576"/>
      <c r="AL200" s="576"/>
      <c r="AM200" s="576"/>
      <c r="AN200" s="576"/>
      <c r="AO200" s="576"/>
      <c r="AP200" s="576"/>
      <c r="AQ200" s="576"/>
      <c r="AR200" s="576"/>
      <c r="AS200" s="576"/>
      <c r="AT200" s="576"/>
      <c r="AU200" s="576"/>
      <c r="AV200" s="576"/>
      <c r="AW200" s="576"/>
      <c r="AX200" s="576"/>
      <c r="AY200" s="576"/>
      <c r="AZ200" s="576"/>
      <c r="BA200" s="576"/>
      <c r="BB200" s="576"/>
      <c r="BC200" s="576"/>
      <c r="BD200" s="572"/>
      <c r="BE200" s="710"/>
      <c r="BF200" s="710"/>
      <c r="BG200" s="710"/>
      <c r="BH200" s="710"/>
      <c r="BI200" s="710"/>
      <c r="BJ200" s="710"/>
      <c r="BK200" s="710"/>
      <c r="BL200" s="710"/>
      <c r="BM200" s="710"/>
      <c r="BN200" s="710"/>
      <c r="BO200" s="710"/>
      <c r="BP200" s="710"/>
      <c r="BQ200" s="710"/>
      <c r="BR200" s="710"/>
      <c r="BS200" s="710"/>
      <c r="BT200" s="710"/>
    </row>
    <row r="201" spans="1:72" s="709" customFormat="1" ht="15.75">
      <c r="A201" s="545"/>
      <c r="B201" s="545"/>
      <c r="C201" s="545"/>
      <c r="D201" s="545"/>
      <c r="E201" s="545"/>
      <c r="F201" s="545"/>
      <c r="G201" s="545"/>
      <c r="H201" s="545"/>
      <c r="I201" s="545"/>
      <c r="J201" s="545"/>
      <c r="K201" s="545"/>
      <c r="L201" s="545"/>
      <c r="M201" s="545"/>
      <c r="N201" s="545"/>
      <c r="O201" s="545"/>
      <c r="P201" s="545"/>
      <c r="Q201" s="545"/>
      <c r="R201" s="545"/>
      <c r="S201" s="576"/>
      <c r="T201" s="576"/>
      <c r="U201" s="576"/>
      <c r="V201" s="576"/>
      <c r="W201" s="545"/>
      <c r="X201" s="545"/>
      <c r="Y201" s="576"/>
      <c r="Z201" s="576"/>
      <c r="AA201" s="545"/>
      <c r="AB201" s="545"/>
      <c r="AC201" s="545"/>
      <c r="AD201" s="576"/>
      <c r="AE201" s="576"/>
      <c r="AF201" s="576"/>
      <c r="AG201" s="576"/>
      <c r="AH201" s="576"/>
      <c r="AI201" s="576"/>
      <c r="AJ201" s="576"/>
      <c r="AK201" s="576"/>
      <c r="AL201" s="576"/>
      <c r="AM201" s="576"/>
      <c r="AN201" s="576"/>
      <c r="AO201" s="576"/>
      <c r="AP201" s="576"/>
      <c r="AQ201" s="576"/>
      <c r="AR201" s="576"/>
      <c r="AS201" s="576"/>
      <c r="AT201" s="576"/>
      <c r="AU201" s="576"/>
      <c r="AV201" s="576"/>
      <c r="AW201" s="576"/>
      <c r="AX201" s="576"/>
      <c r="AY201" s="576"/>
      <c r="AZ201" s="576"/>
      <c r="BA201" s="576"/>
      <c r="BB201" s="576"/>
      <c r="BC201" s="576"/>
      <c r="BD201" s="572"/>
      <c r="BE201" s="710"/>
      <c r="BF201" s="710"/>
      <c r="BG201" s="710"/>
      <c r="BH201" s="710"/>
      <c r="BI201" s="710"/>
      <c r="BJ201" s="710"/>
      <c r="BK201" s="710"/>
      <c r="BL201" s="710"/>
      <c r="BM201" s="710"/>
      <c r="BN201" s="710"/>
      <c r="BO201" s="710"/>
      <c r="BP201" s="710"/>
      <c r="BQ201" s="710"/>
      <c r="BR201" s="710"/>
      <c r="BS201" s="710"/>
      <c r="BT201" s="710"/>
    </row>
    <row r="202" spans="1:72" s="709" customFormat="1" ht="15.75">
      <c r="A202" s="545"/>
      <c r="B202" s="545"/>
      <c r="C202" s="545"/>
      <c r="D202" s="545"/>
      <c r="E202" s="545"/>
      <c r="F202" s="545"/>
      <c r="G202" s="545"/>
      <c r="H202" s="545"/>
      <c r="I202" s="545"/>
      <c r="J202" s="545"/>
      <c r="K202" s="545"/>
      <c r="L202" s="545"/>
      <c r="M202" s="545"/>
      <c r="N202" s="545"/>
      <c r="O202" s="545"/>
      <c r="P202" s="545"/>
      <c r="Q202" s="545"/>
      <c r="R202" s="545"/>
      <c r="S202" s="576"/>
      <c r="T202" s="576"/>
      <c r="U202" s="576"/>
      <c r="V202" s="576"/>
      <c r="W202" s="545"/>
      <c r="X202" s="545"/>
      <c r="Y202" s="576"/>
      <c r="Z202" s="576"/>
      <c r="AA202" s="545"/>
      <c r="AB202" s="545"/>
      <c r="AC202" s="545"/>
      <c r="AD202" s="576"/>
      <c r="AE202" s="576"/>
      <c r="AF202" s="576"/>
      <c r="AG202" s="576"/>
      <c r="AH202" s="576"/>
      <c r="AI202" s="576"/>
      <c r="AJ202" s="576"/>
      <c r="AK202" s="576"/>
      <c r="AL202" s="576"/>
      <c r="AM202" s="576"/>
      <c r="AN202" s="576"/>
      <c r="AO202" s="576"/>
      <c r="AP202" s="576"/>
      <c r="AQ202" s="576"/>
      <c r="AR202" s="576"/>
      <c r="AS202" s="576"/>
      <c r="AT202" s="576"/>
      <c r="AU202" s="576"/>
      <c r="AV202" s="576"/>
      <c r="AW202" s="576"/>
      <c r="AX202" s="576"/>
      <c r="AY202" s="576"/>
      <c r="AZ202" s="576"/>
      <c r="BA202" s="576"/>
      <c r="BB202" s="576"/>
      <c r="BC202" s="576"/>
      <c r="BD202" s="572"/>
      <c r="BE202" s="710"/>
      <c r="BF202" s="710"/>
      <c r="BG202" s="710"/>
      <c r="BH202" s="710"/>
      <c r="BI202" s="710"/>
      <c r="BJ202" s="710"/>
      <c r="BK202" s="710"/>
      <c r="BL202" s="710"/>
      <c r="BM202" s="710"/>
      <c r="BN202" s="710"/>
      <c r="BO202" s="710"/>
      <c r="BP202" s="710"/>
      <c r="BQ202" s="710"/>
      <c r="BR202" s="710"/>
      <c r="BS202" s="710"/>
      <c r="BT202" s="710"/>
    </row>
    <row r="203" spans="1:72" s="709" customFormat="1" ht="15.75">
      <c r="A203" s="545"/>
      <c r="B203" s="545"/>
      <c r="C203" s="545"/>
      <c r="D203" s="545"/>
      <c r="E203" s="545"/>
      <c r="F203" s="545"/>
      <c r="G203" s="545"/>
      <c r="H203" s="545"/>
      <c r="I203" s="545"/>
      <c r="J203" s="545"/>
      <c r="K203" s="545"/>
      <c r="L203" s="545"/>
      <c r="M203" s="545"/>
      <c r="N203" s="545"/>
      <c r="O203" s="545"/>
      <c r="P203" s="545"/>
      <c r="Q203" s="545"/>
      <c r="R203" s="545"/>
      <c r="S203" s="576"/>
      <c r="T203" s="576"/>
      <c r="U203" s="576"/>
      <c r="V203" s="576"/>
      <c r="W203" s="545"/>
      <c r="X203" s="545"/>
      <c r="Y203" s="576"/>
      <c r="Z203" s="576"/>
      <c r="AA203" s="545"/>
      <c r="AB203" s="545"/>
      <c r="AC203" s="545"/>
      <c r="AD203" s="576"/>
      <c r="AE203" s="576"/>
      <c r="AF203" s="576"/>
      <c r="AG203" s="576"/>
      <c r="AH203" s="576"/>
      <c r="AI203" s="576"/>
      <c r="AJ203" s="576"/>
      <c r="AK203" s="576"/>
      <c r="AL203" s="576"/>
      <c r="AM203" s="576"/>
      <c r="AN203" s="576"/>
      <c r="AO203" s="576"/>
      <c r="AP203" s="576"/>
      <c r="AQ203" s="576"/>
      <c r="AR203" s="576"/>
      <c r="AS203" s="576"/>
      <c r="AT203" s="576"/>
      <c r="AU203" s="576"/>
      <c r="AV203" s="576"/>
      <c r="AW203" s="576"/>
      <c r="AX203" s="576"/>
      <c r="AY203" s="576"/>
      <c r="AZ203" s="576"/>
      <c r="BA203" s="576"/>
      <c r="BB203" s="576"/>
      <c r="BC203" s="576"/>
      <c r="BD203" s="572"/>
      <c r="BE203" s="710"/>
      <c r="BF203" s="710"/>
      <c r="BG203" s="710"/>
      <c r="BH203" s="710"/>
      <c r="BI203" s="710"/>
      <c r="BJ203" s="710"/>
      <c r="BK203" s="710"/>
      <c r="BL203" s="710"/>
      <c r="BM203" s="710"/>
      <c r="BN203" s="710"/>
      <c r="BO203" s="710"/>
      <c r="BP203" s="710"/>
      <c r="BQ203" s="710"/>
      <c r="BR203" s="710"/>
      <c r="BS203" s="710"/>
      <c r="BT203" s="710"/>
    </row>
    <row r="204" spans="1:72" s="709" customFormat="1" ht="15.75">
      <c r="A204" s="545"/>
      <c r="B204" s="545"/>
      <c r="C204" s="545"/>
      <c r="D204" s="545"/>
      <c r="E204" s="545"/>
      <c r="F204" s="545"/>
      <c r="G204" s="545"/>
      <c r="H204" s="545"/>
      <c r="I204" s="545"/>
      <c r="J204" s="545"/>
      <c r="K204" s="545"/>
      <c r="L204" s="545"/>
      <c r="M204" s="545"/>
      <c r="N204" s="545"/>
      <c r="O204" s="545"/>
      <c r="P204" s="545"/>
      <c r="Q204" s="545"/>
      <c r="R204" s="545"/>
      <c r="S204" s="576"/>
      <c r="T204" s="576"/>
      <c r="U204" s="576"/>
      <c r="V204" s="576"/>
      <c r="W204" s="545"/>
      <c r="X204" s="545"/>
      <c r="Y204" s="576"/>
      <c r="Z204" s="576"/>
      <c r="AA204" s="545"/>
      <c r="AB204" s="545"/>
      <c r="AC204" s="545"/>
      <c r="AD204" s="576"/>
      <c r="AE204" s="576"/>
      <c r="AF204" s="576"/>
      <c r="AG204" s="576"/>
      <c r="AH204" s="576"/>
      <c r="AI204" s="576"/>
      <c r="AJ204" s="576"/>
      <c r="AK204" s="576"/>
      <c r="AL204" s="576"/>
      <c r="AM204" s="576"/>
      <c r="AN204" s="576"/>
      <c r="AO204" s="576"/>
      <c r="AP204" s="576"/>
      <c r="AQ204" s="576"/>
      <c r="AR204" s="576"/>
      <c r="AS204" s="576"/>
      <c r="AT204" s="576"/>
      <c r="AU204" s="576"/>
      <c r="AV204" s="576"/>
      <c r="AW204" s="576"/>
      <c r="AX204" s="576"/>
      <c r="AY204" s="576"/>
      <c r="AZ204" s="576"/>
      <c r="BA204" s="576"/>
      <c r="BB204" s="576"/>
      <c r="BC204" s="576"/>
      <c r="BD204" s="572"/>
      <c r="BE204" s="710"/>
      <c r="BF204" s="710"/>
      <c r="BG204" s="710"/>
      <c r="BH204" s="710"/>
      <c r="BI204" s="710"/>
      <c r="BJ204" s="710"/>
      <c r="BK204" s="710"/>
      <c r="BL204" s="710"/>
      <c r="BM204" s="710"/>
      <c r="BN204" s="710"/>
      <c r="BO204" s="710"/>
      <c r="BP204" s="710"/>
      <c r="BQ204" s="710"/>
      <c r="BR204" s="710"/>
      <c r="BS204" s="710"/>
      <c r="BT204" s="710"/>
    </row>
    <row r="205" spans="1:72" s="709" customFormat="1" ht="15.75">
      <c r="A205" s="545"/>
      <c r="B205" s="545"/>
      <c r="C205" s="545"/>
      <c r="D205" s="545"/>
      <c r="E205" s="545"/>
      <c r="F205" s="545"/>
      <c r="G205" s="545"/>
      <c r="H205" s="545"/>
      <c r="I205" s="545"/>
      <c r="J205" s="545"/>
      <c r="K205" s="545"/>
      <c r="L205" s="545"/>
      <c r="M205" s="545"/>
      <c r="N205" s="545"/>
      <c r="O205" s="545"/>
      <c r="P205" s="545"/>
      <c r="Q205" s="545"/>
      <c r="R205" s="545"/>
      <c r="S205" s="576"/>
      <c r="T205" s="576"/>
      <c r="U205" s="576"/>
      <c r="V205" s="576"/>
      <c r="W205" s="545"/>
      <c r="X205" s="545"/>
      <c r="Y205" s="576"/>
      <c r="Z205" s="576"/>
      <c r="AA205" s="545"/>
      <c r="AB205" s="545"/>
      <c r="AC205" s="545"/>
      <c r="AD205" s="576"/>
      <c r="AE205" s="576"/>
      <c r="AF205" s="576"/>
      <c r="AG205" s="576"/>
      <c r="AH205" s="576"/>
      <c r="AI205" s="576"/>
      <c r="AJ205" s="576"/>
      <c r="AK205" s="576"/>
      <c r="AL205" s="576"/>
      <c r="AM205" s="576"/>
      <c r="AN205" s="576"/>
      <c r="AO205" s="576"/>
      <c r="AP205" s="576"/>
      <c r="AQ205" s="576"/>
      <c r="AR205" s="576"/>
      <c r="AS205" s="576"/>
      <c r="AT205" s="576"/>
      <c r="AU205" s="576"/>
      <c r="AV205" s="576"/>
      <c r="AW205" s="576"/>
      <c r="AX205" s="576"/>
      <c r="AY205" s="576"/>
      <c r="AZ205" s="576"/>
      <c r="BA205" s="576"/>
      <c r="BB205" s="576"/>
      <c r="BC205" s="576"/>
      <c r="BD205" s="572"/>
      <c r="BE205" s="710"/>
      <c r="BF205" s="710"/>
      <c r="BG205" s="710"/>
      <c r="BH205" s="710"/>
      <c r="BI205" s="710"/>
      <c r="BJ205" s="710"/>
      <c r="BK205" s="710"/>
      <c r="BL205" s="710"/>
      <c r="BM205" s="710"/>
      <c r="BN205" s="710"/>
      <c r="BO205" s="710"/>
      <c r="BP205" s="710"/>
      <c r="BQ205" s="710"/>
      <c r="BR205" s="710"/>
      <c r="BS205" s="710"/>
      <c r="BT205" s="710"/>
    </row>
    <row r="206" spans="1:72" s="709" customFormat="1" ht="15.75">
      <c r="A206" s="545"/>
      <c r="B206" s="545"/>
      <c r="C206" s="545"/>
      <c r="D206" s="545"/>
      <c r="E206" s="545"/>
      <c r="F206" s="545"/>
      <c r="G206" s="545"/>
      <c r="H206" s="545"/>
      <c r="I206" s="545"/>
      <c r="J206" s="545"/>
      <c r="K206" s="545"/>
      <c r="L206" s="545"/>
      <c r="M206" s="545"/>
      <c r="N206" s="545"/>
      <c r="O206" s="545"/>
      <c r="P206" s="545"/>
      <c r="Q206" s="545"/>
      <c r="R206" s="545"/>
      <c r="S206" s="576"/>
      <c r="T206" s="576"/>
      <c r="U206" s="576"/>
      <c r="V206" s="576"/>
      <c r="W206" s="545"/>
      <c r="X206" s="545"/>
      <c r="Y206" s="576"/>
      <c r="Z206" s="576"/>
      <c r="AA206" s="545"/>
      <c r="AB206" s="545"/>
      <c r="AC206" s="545"/>
      <c r="AD206" s="576"/>
      <c r="AE206" s="576"/>
      <c r="AF206" s="576"/>
      <c r="AG206" s="576"/>
      <c r="AH206" s="576"/>
      <c r="AI206" s="576"/>
      <c r="AJ206" s="576"/>
      <c r="AK206" s="576"/>
      <c r="AL206" s="576"/>
      <c r="AM206" s="576"/>
      <c r="AN206" s="576"/>
      <c r="AO206" s="576"/>
      <c r="AP206" s="576"/>
      <c r="AQ206" s="576"/>
      <c r="AR206" s="576"/>
      <c r="AS206" s="576"/>
      <c r="AT206" s="576"/>
      <c r="AU206" s="576"/>
      <c r="AV206" s="576"/>
      <c r="AW206" s="576"/>
      <c r="AX206" s="576"/>
      <c r="AY206" s="576"/>
      <c r="AZ206" s="576"/>
      <c r="BA206" s="576"/>
      <c r="BB206" s="576"/>
      <c r="BC206" s="576"/>
      <c r="BD206" s="572"/>
      <c r="BE206" s="710"/>
      <c r="BF206" s="710"/>
      <c r="BG206" s="710"/>
      <c r="BH206" s="710"/>
      <c r="BI206" s="710"/>
      <c r="BJ206" s="710"/>
      <c r="BK206" s="710"/>
      <c r="BL206" s="710"/>
      <c r="BM206" s="710"/>
      <c r="BN206" s="710"/>
      <c r="BO206" s="710"/>
      <c r="BP206" s="710"/>
      <c r="BQ206" s="710"/>
      <c r="BR206" s="710"/>
      <c r="BS206" s="710"/>
      <c r="BT206" s="710"/>
    </row>
    <row r="207" spans="1:72" s="709" customFormat="1" ht="15.75">
      <c r="A207" s="545"/>
      <c r="B207" s="545"/>
      <c r="C207" s="545"/>
      <c r="D207" s="545"/>
      <c r="E207" s="545"/>
      <c r="F207" s="545"/>
      <c r="G207" s="545"/>
      <c r="H207" s="545"/>
      <c r="I207" s="545"/>
      <c r="J207" s="545"/>
      <c r="K207" s="545"/>
      <c r="L207" s="545"/>
      <c r="M207" s="545"/>
      <c r="N207" s="545"/>
      <c r="O207" s="545"/>
      <c r="P207" s="545"/>
      <c r="Q207" s="545"/>
      <c r="R207" s="545"/>
      <c r="S207" s="576"/>
      <c r="T207" s="576"/>
      <c r="U207" s="576"/>
      <c r="V207" s="576"/>
      <c r="W207" s="545"/>
      <c r="X207" s="545"/>
      <c r="Y207" s="576"/>
      <c r="Z207" s="576"/>
      <c r="AA207" s="545"/>
      <c r="AB207" s="545"/>
      <c r="AC207" s="545"/>
      <c r="AD207" s="576"/>
      <c r="AE207" s="576"/>
      <c r="AF207" s="576"/>
      <c r="AG207" s="576"/>
      <c r="AH207" s="576"/>
      <c r="AI207" s="576"/>
      <c r="AJ207" s="576"/>
      <c r="AK207" s="576"/>
      <c r="AL207" s="576"/>
      <c r="AM207" s="576"/>
      <c r="AN207" s="576"/>
      <c r="AO207" s="576"/>
      <c r="AP207" s="576"/>
      <c r="AQ207" s="576"/>
      <c r="AR207" s="576"/>
      <c r="AS207" s="576"/>
      <c r="AT207" s="576"/>
      <c r="AU207" s="576"/>
      <c r="AV207" s="576"/>
      <c r="AW207" s="576"/>
      <c r="AX207" s="576"/>
      <c r="AY207" s="576"/>
      <c r="AZ207" s="576"/>
      <c r="BA207" s="576"/>
      <c r="BB207" s="576"/>
      <c r="BC207" s="576"/>
      <c r="BD207" s="572"/>
      <c r="BE207" s="710"/>
      <c r="BF207" s="710"/>
      <c r="BG207" s="710"/>
      <c r="BH207" s="710"/>
      <c r="BI207" s="710"/>
      <c r="BJ207" s="710"/>
      <c r="BK207" s="710"/>
      <c r="BL207" s="710"/>
      <c r="BM207" s="710"/>
      <c r="BN207" s="710"/>
      <c r="BO207" s="710"/>
      <c r="BP207" s="710"/>
      <c r="BQ207" s="710"/>
      <c r="BR207" s="710"/>
      <c r="BS207" s="710"/>
      <c r="BT207" s="710"/>
    </row>
    <row r="208" spans="1:72" s="709" customFormat="1" ht="15.75">
      <c r="A208" s="545"/>
      <c r="B208" s="545"/>
      <c r="C208" s="545"/>
      <c r="D208" s="545"/>
      <c r="E208" s="545"/>
      <c r="F208" s="545"/>
      <c r="G208" s="545"/>
      <c r="H208" s="545"/>
      <c r="I208" s="545"/>
      <c r="J208" s="545"/>
      <c r="K208" s="545"/>
      <c r="L208" s="545"/>
      <c r="M208" s="545"/>
      <c r="N208" s="545"/>
      <c r="O208" s="545"/>
      <c r="P208" s="545"/>
      <c r="Q208" s="545"/>
      <c r="R208" s="545"/>
      <c r="S208" s="576"/>
      <c r="T208" s="576"/>
      <c r="U208" s="576"/>
      <c r="V208" s="576"/>
      <c r="W208" s="545"/>
      <c r="X208" s="545"/>
      <c r="Y208" s="576"/>
      <c r="Z208" s="576"/>
      <c r="AA208" s="545"/>
      <c r="AB208" s="545"/>
      <c r="AC208" s="545"/>
      <c r="AD208" s="576"/>
      <c r="AE208" s="576"/>
      <c r="AF208" s="576"/>
      <c r="AG208" s="576"/>
      <c r="AH208" s="576"/>
      <c r="AI208" s="576"/>
      <c r="AJ208" s="576"/>
      <c r="AK208" s="576"/>
      <c r="AL208" s="576"/>
      <c r="AM208" s="576"/>
      <c r="AN208" s="576"/>
      <c r="AO208" s="576"/>
      <c r="AP208" s="576"/>
      <c r="AQ208" s="576"/>
      <c r="AR208" s="576"/>
      <c r="AS208" s="576"/>
      <c r="AT208" s="576"/>
      <c r="AU208" s="576"/>
      <c r="AV208" s="576"/>
      <c r="AW208" s="576"/>
      <c r="AX208" s="576"/>
      <c r="AY208" s="576"/>
      <c r="AZ208" s="576"/>
      <c r="BA208" s="576"/>
      <c r="BB208" s="576"/>
      <c r="BC208" s="576"/>
      <c r="BD208" s="572"/>
      <c r="BE208" s="710"/>
      <c r="BF208" s="710"/>
      <c r="BG208" s="710"/>
      <c r="BH208" s="710"/>
      <c r="BI208" s="710"/>
      <c r="BJ208" s="710"/>
      <c r="BK208" s="710"/>
      <c r="BL208" s="710"/>
      <c r="BM208" s="710"/>
      <c r="BN208" s="710"/>
      <c r="BO208" s="710"/>
      <c r="BP208" s="710"/>
      <c r="BQ208" s="710"/>
      <c r="BR208" s="710"/>
      <c r="BS208" s="710"/>
      <c r="BT208" s="710"/>
    </row>
    <row r="209" spans="1:72" s="709" customFormat="1" ht="15.75">
      <c r="A209" s="545"/>
      <c r="B209" s="545"/>
      <c r="C209" s="545"/>
      <c r="D209" s="545"/>
      <c r="E209" s="545"/>
      <c r="F209" s="545"/>
      <c r="G209" s="545"/>
      <c r="H209" s="545"/>
      <c r="I209" s="545"/>
      <c r="J209" s="545"/>
      <c r="K209" s="545"/>
      <c r="L209" s="545"/>
      <c r="M209" s="545"/>
      <c r="N209" s="545"/>
      <c r="O209" s="545"/>
      <c r="P209" s="545"/>
      <c r="Q209" s="545"/>
      <c r="R209" s="545"/>
      <c r="S209" s="576"/>
      <c r="T209" s="576"/>
      <c r="U209" s="576"/>
      <c r="V209" s="576"/>
      <c r="W209" s="545"/>
      <c r="X209" s="545"/>
      <c r="Y209" s="576"/>
      <c r="Z209" s="576"/>
      <c r="AA209" s="545"/>
      <c r="AB209" s="545"/>
      <c r="AC209" s="545"/>
      <c r="AD209" s="576"/>
      <c r="AE209" s="576"/>
      <c r="AF209" s="576"/>
      <c r="AG209" s="576"/>
      <c r="AH209" s="576"/>
      <c r="AI209" s="576"/>
      <c r="AJ209" s="576"/>
      <c r="AK209" s="576"/>
      <c r="AL209" s="576"/>
      <c r="AM209" s="576"/>
      <c r="AN209" s="576"/>
      <c r="AO209" s="576"/>
      <c r="AP209" s="576"/>
      <c r="AQ209" s="576"/>
      <c r="AR209" s="576"/>
      <c r="AS209" s="576"/>
      <c r="AT209" s="576"/>
      <c r="AU209" s="576"/>
      <c r="AV209" s="576"/>
      <c r="AW209" s="576"/>
      <c r="AX209" s="576"/>
      <c r="AY209" s="576"/>
      <c r="AZ209" s="576"/>
      <c r="BA209" s="576"/>
      <c r="BB209" s="576"/>
      <c r="BC209" s="576"/>
      <c r="BD209" s="572"/>
      <c r="BE209" s="710"/>
      <c r="BF209" s="710"/>
      <c r="BG209" s="710"/>
      <c r="BH209" s="710"/>
      <c r="BI209" s="710"/>
      <c r="BJ209" s="710"/>
      <c r="BK209" s="710"/>
      <c r="BL209" s="710"/>
      <c r="BM209" s="710"/>
      <c r="BN209" s="710"/>
      <c r="BO209" s="710"/>
      <c r="BP209" s="710"/>
      <c r="BQ209" s="710"/>
      <c r="BR209" s="710"/>
      <c r="BS209" s="710"/>
      <c r="BT209" s="710"/>
    </row>
    <row r="210" spans="1:72" s="709" customFormat="1" ht="15.75">
      <c r="A210" s="545"/>
      <c r="B210" s="545"/>
      <c r="C210" s="545"/>
      <c r="D210" s="545"/>
      <c r="E210" s="545"/>
      <c r="F210" s="545"/>
      <c r="G210" s="545"/>
      <c r="H210" s="545"/>
      <c r="I210" s="545"/>
      <c r="J210" s="545"/>
      <c r="K210" s="545"/>
      <c r="L210" s="545"/>
      <c r="M210" s="545"/>
      <c r="N210" s="545"/>
      <c r="O210" s="545"/>
      <c r="P210" s="545"/>
      <c r="Q210" s="545"/>
      <c r="R210" s="545"/>
      <c r="S210" s="576"/>
      <c r="T210" s="576"/>
      <c r="U210" s="576"/>
      <c r="V210" s="576"/>
      <c r="W210" s="545"/>
      <c r="X210" s="545"/>
      <c r="Y210" s="576"/>
      <c r="Z210" s="576"/>
      <c r="AA210" s="545"/>
      <c r="AB210" s="545"/>
      <c r="AC210" s="545"/>
      <c r="AD210" s="576"/>
      <c r="AE210" s="576"/>
      <c r="AF210" s="576"/>
      <c r="AG210" s="576"/>
      <c r="AH210" s="576"/>
      <c r="AI210" s="576"/>
      <c r="AJ210" s="576"/>
      <c r="AK210" s="576"/>
      <c r="AL210" s="576"/>
      <c r="AM210" s="576"/>
      <c r="AN210" s="576"/>
      <c r="AO210" s="576"/>
      <c r="AP210" s="576"/>
      <c r="AQ210" s="576"/>
      <c r="AR210" s="576"/>
      <c r="AS210" s="576"/>
      <c r="AT210" s="576"/>
      <c r="AU210" s="576"/>
      <c r="AV210" s="576"/>
      <c r="AW210" s="576"/>
      <c r="AX210" s="576"/>
      <c r="AY210" s="576"/>
      <c r="AZ210" s="576"/>
      <c r="BA210" s="576"/>
      <c r="BB210" s="576"/>
      <c r="BC210" s="576"/>
      <c r="BD210" s="572"/>
      <c r="BE210" s="710"/>
      <c r="BF210" s="710"/>
      <c r="BG210" s="710"/>
      <c r="BH210" s="710"/>
      <c r="BI210" s="710"/>
      <c r="BJ210" s="710"/>
      <c r="BK210" s="710"/>
      <c r="BL210" s="710"/>
      <c r="BM210" s="710"/>
      <c r="BN210" s="710"/>
      <c r="BO210" s="710"/>
      <c r="BP210" s="710"/>
      <c r="BQ210" s="710"/>
      <c r="BR210" s="710"/>
      <c r="BS210" s="710"/>
      <c r="BT210" s="710"/>
    </row>
    <row r="211" spans="1:72" s="709" customFormat="1" ht="15.75">
      <c r="A211" s="545"/>
      <c r="B211" s="545"/>
      <c r="C211" s="545"/>
      <c r="D211" s="545"/>
      <c r="E211" s="545"/>
      <c r="F211" s="545"/>
      <c r="G211" s="545"/>
      <c r="H211" s="545"/>
      <c r="I211" s="545"/>
      <c r="J211" s="545"/>
      <c r="K211" s="545"/>
      <c r="L211" s="545"/>
      <c r="M211" s="545"/>
      <c r="N211" s="545"/>
      <c r="O211" s="545"/>
      <c r="P211" s="545"/>
      <c r="Q211" s="545"/>
      <c r="R211" s="545"/>
      <c r="S211" s="576"/>
      <c r="T211" s="576"/>
      <c r="U211" s="576"/>
      <c r="V211" s="576"/>
      <c r="W211" s="545"/>
      <c r="X211" s="545"/>
      <c r="Y211" s="576"/>
      <c r="Z211" s="576"/>
      <c r="AA211" s="545"/>
      <c r="AB211" s="545"/>
      <c r="AC211" s="545"/>
      <c r="AD211" s="576"/>
      <c r="AE211" s="576"/>
      <c r="AF211" s="576"/>
      <c r="AG211" s="576"/>
      <c r="AH211" s="576"/>
      <c r="AI211" s="576"/>
      <c r="AJ211" s="576"/>
      <c r="AK211" s="576"/>
      <c r="AL211" s="576"/>
      <c r="AM211" s="576"/>
      <c r="AN211" s="576"/>
      <c r="AO211" s="576"/>
      <c r="AP211" s="576"/>
      <c r="AQ211" s="576"/>
      <c r="AR211" s="576"/>
      <c r="AS211" s="576"/>
      <c r="AT211" s="576"/>
      <c r="AU211" s="576"/>
      <c r="AV211" s="576"/>
      <c r="AW211" s="576"/>
      <c r="AX211" s="576"/>
      <c r="AY211" s="576"/>
      <c r="AZ211" s="576"/>
      <c r="BA211" s="576"/>
      <c r="BB211" s="576"/>
      <c r="BC211" s="576"/>
      <c r="BD211" s="572"/>
      <c r="BE211" s="710"/>
      <c r="BF211" s="710"/>
      <c r="BG211" s="710"/>
      <c r="BH211" s="710"/>
      <c r="BI211" s="710"/>
      <c r="BJ211" s="710"/>
      <c r="BK211" s="710"/>
      <c r="BL211" s="710"/>
      <c r="BM211" s="710"/>
      <c r="BN211" s="710"/>
      <c r="BO211" s="710"/>
      <c r="BP211" s="710"/>
      <c r="BQ211" s="710"/>
      <c r="BR211" s="710"/>
      <c r="BS211" s="710"/>
      <c r="BT211" s="710"/>
    </row>
    <row r="212" spans="1:72" s="709" customFormat="1" ht="15.75">
      <c r="A212" s="545"/>
      <c r="B212" s="545"/>
      <c r="C212" s="545"/>
      <c r="D212" s="545"/>
      <c r="E212" s="545"/>
      <c r="F212" s="545"/>
      <c r="G212" s="545"/>
      <c r="H212" s="545"/>
      <c r="I212" s="545"/>
      <c r="J212" s="545"/>
      <c r="K212" s="545"/>
      <c r="L212" s="545"/>
      <c r="M212" s="545"/>
      <c r="N212" s="545"/>
      <c r="O212" s="545"/>
      <c r="P212" s="545"/>
      <c r="Q212" s="545"/>
      <c r="R212" s="545"/>
      <c r="S212" s="576"/>
      <c r="T212" s="576"/>
      <c r="U212" s="576"/>
      <c r="V212" s="576"/>
      <c r="W212" s="545"/>
      <c r="X212" s="545"/>
      <c r="Y212" s="576"/>
      <c r="Z212" s="576"/>
      <c r="AA212" s="545"/>
      <c r="AB212" s="545"/>
      <c r="AC212" s="545"/>
      <c r="AD212" s="576"/>
      <c r="AE212" s="576"/>
      <c r="AF212" s="576"/>
      <c r="AG212" s="576"/>
      <c r="AH212" s="576"/>
      <c r="AI212" s="576"/>
      <c r="AJ212" s="576"/>
      <c r="AK212" s="576"/>
      <c r="AL212" s="576"/>
      <c r="AM212" s="576"/>
      <c r="AN212" s="576"/>
      <c r="AO212" s="576"/>
      <c r="AP212" s="576"/>
      <c r="AQ212" s="576"/>
      <c r="AR212" s="576"/>
      <c r="AS212" s="576"/>
      <c r="AT212" s="576"/>
      <c r="AU212" s="576"/>
      <c r="AV212" s="576"/>
      <c r="AW212" s="576"/>
      <c r="AX212" s="576"/>
      <c r="AY212" s="576"/>
      <c r="AZ212" s="576"/>
      <c r="BA212" s="576"/>
      <c r="BB212" s="576"/>
      <c r="BC212" s="576"/>
      <c r="BD212" s="572"/>
      <c r="BE212" s="710"/>
      <c r="BF212" s="710"/>
      <c r="BG212" s="710"/>
      <c r="BH212" s="710"/>
      <c r="BI212" s="710"/>
      <c r="BJ212" s="710"/>
      <c r="BK212" s="710"/>
      <c r="BL212" s="710"/>
      <c r="BM212" s="710"/>
      <c r="BN212" s="710"/>
      <c r="BO212" s="710"/>
      <c r="BP212" s="710"/>
      <c r="BQ212" s="710"/>
      <c r="BR212" s="710"/>
      <c r="BS212" s="710"/>
      <c r="BT212" s="710"/>
    </row>
    <row r="213" spans="1:72" s="709" customFormat="1" ht="15.75">
      <c r="A213" s="545"/>
      <c r="B213" s="545"/>
      <c r="C213" s="545"/>
      <c r="D213" s="545"/>
      <c r="E213" s="545"/>
      <c r="F213" s="545"/>
      <c r="G213" s="545"/>
      <c r="H213" s="545"/>
      <c r="I213" s="545"/>
      <c r="J213" s="545"/>
      <c r="K213" s="545"/>
      <c r="L213" s="545"/>
      <c r="M213" s="545"/>
      <c r="N213" s="545"/>
      <c r="O213" s="545"/>
      <c r="P213" s="545"/>
      <c r="Q213" s="545"/>
      <c r="R213" s="545"/>
      <c r="S213" s="576"/>
      <c r="T213" s="576"/>
      <c r="U213" s="576"/>
      <c r="V213" s="576"/>
      <c r="W213" s="545"/>
      <c r="X213" s="545"/>
      <c r="Y213" s="576"/>
      <c r="Z213" s="576"/>
      <c r="AA213" s="545"/>
      <c r="AB213" s="545"/>
      <c r="AC213" s="545"/>
      <c r="AD213" s="576"/>
      <c r="AE213" s="576"/>
      <c r="AF213" s="576"/>
      <c r="AG213" s="576"/>
      <c r="AH213" s="576"/>
      <c r="AI213" s="576"/>
      <c r="AJ213" s="576"/>
      <c r="AK213" s="576"/>
      <c r="AL213" s="576"/>
      <c r="AM213" s="576"/>
      <c r="AN213" s="576"/>
      <c r="AO213" s="576"/>
      <c r="AP213" s="576"/>
      <c r="AQ213" s="576"/>
      <c r="AR213" s="576"/>
      <c r="AS213" s="576"/>
      <c r="AT213" s="576"/>
      <c r="AU213" s="576"/>
      <c r="AV213" s="576"/>
      <c r="AW213" s="576"/>
      <c r="AX213" s="576"/>
      <c r="AY213" s="576"/>
      <c r="AZ213" s="576"/>
      <c r="BA213" s="576"/>
      <c r="BB213" s="576"/>
      <c r="BC213" s="576"/>
      <c r="BD213" s="572"/>
      <c r="BE213" s="710"/>
      <c r="BF213" s="710"/>
      <c r="BG213" s="710"/>
      <c r="BH213" s="710"/>
      <c r="BI213" s="710"/>
      <c r="BJ213" s="710"/>
      <c r="BK213" s="710"/>
      <c r="BL213" s="710"/>
      <c r="BM213" s="710"/>
      <c r="BN213" s="710"/>
      <c r="BO213" s="710"/>
      <c r="BP213" s="710"/>
      <c r="BQ213" s="710"/>
      <c r="BR213" s="710"/>
      <c r="BS213" s="710"/>
      <c r="BT213" s="710"/>
    </row>
    <row r="214" spans="1:72" s="709" customFormat="1" ht="15.75">
      <c r="A214" s="545"/>
      <c r="B214" s="545"/>
      <c r="C214" s="545"/>
      <c r="D214" s="545"/>
      <c r="E214" s="545"/>
      <c r="F214" s="545"/>
      <c r="G214" s="545"/>
      <c r="H214" s="545"/>
      <c r="I214" s="545"/>
      <c r="J214" s="545"/>
      <c r="K214" s="545"/>
      <c r="L214" s="545"/>
      <c r="M214" s="545"/>
      <c r="N214" s="545"/>
      <c r="O214" s="545"/>
      <c r="P214" s="545"/>
      <c r="Q214" s="545"/>
      <c r="R214" s="545"/>
      <c r="S214" s="576"/>
      <c r="T214" s="576"/>
      <c r="U214" s="576"/>
      <c r="V214" s="576"/>
      <c r="W214" s="545"/>
      <c r="X214" s="545"/>
      <c r="Y214" s="576"/>
      <c r="Z214" s="576"/>
      <c r="AA214" s="545"/>
      <c r="AB214" s="545"/>
      <c r="AC214" s="545"/>
      <c r="AD214" s="576"/>
      <c r="AE214" s="576"/>
      <c r="AF214" s="576"/>
      <c r="AG214" s="576"/>
      <c r="AH214" s="576"/>
      <c r="AI214" s="576"/>
      <c r="AJ214" s="576"/>
      <c r="AK214" s="576"/>
      <c r="AL214" s="576"/>
      <c r="AM214" s="576"/>
      <c r="AN214" s="576"/>
      <c r="AO214" s="576"/>
      <c r="AP214" s="576"/>
      <c r="AQ214" s="576"/>
      <c r="AR214" s="576"/>
      <c r="AS214" s="576"/>
      <c r="AT214" s="576"/>
      <c r="AU214" s="576"/>
      <c r="AV214" s="576"/>
      <c r="AW214" s="576"/>
      <c r="AX214" s="576"/>
      <c r="AY214" s="576"/>
      <c r="AZ214" s="576"/>
      <c r="BA214" s="576"/>
      <c r="BB214" s="576"/>
      <c r="BC214" s="576"/>
      <c r="BD214" s="572"/>
      <c r="BE214" s="710"/>
      <c r="BF214" s="710"/>
      <c r="BG214" s="710"/>
      <c r="BH214" s="710"/>
      <c r="BI214" s="710"/>
      <c r="BJ214" s="710"/>
      <c r="BK214" s="710"/>
      <c r="BL214" s="710"/>
      <c r="BM214" s="710"/>
      <c r="BN214" s="710"/>
      <c r="BO214" s="710"/>
      <c r="BP214" s="710"/>
      <c r="BQ214" s="710"/>
      <c r="BR214" s="710"/>
      <c r="BS214" s="710"/>
      <c r="BT214" s="710"/>
    </row>
    <row r="215" spans="1:72" s="709" customFormat="1" ht="15.75">
      <c r="A215" s="545"/>
      <c r="B215" s="545"/>
      <c r="C215" s="545"/>
      <c r="D215" s="545"/>
      <c r="E215" s="545"/>
      <c r="F215" s="545"/>
      <c r="G215" s="545"/>
      <c r="H215" s="545"/>
      <c r="I215" s="545"/>
      <c r="J215" s="545"/>
      <c r="K215" s="545"/>
      <c r="L215" s="545"/>
      <c r="M215" s="545"/>
      <c r="N215" s="545"/>
      <c r="O215" s="545"/>
      <c r="P215" s="545"/>
      <c r="Q215" s="545"/>
      <c r="R215" s="545"/>
      <c r="S215" s="576"/>
      <c r="T215" s="576"/>
      <c r="U215" s="576"/>
      <c r="V215" s="576"/>
      <c r="W215" s="545"/>
      <c r="X215" s="545"/>
      <c r="Y215" s="576"/>
      <c r="Z215" s="576"/>
      <c r="AA215" s="545"/>
      <c r="AB215" s="545"/>
      <c r="AC215" s="545"/>
      <c r="AD215" s="576"/>
      <c r="AE215" s="576"/>
      <c r="AF215" s="576"/>
      <c r="AG215" s="576"/>
      <c r="AH215" s="576"/>
      <c r="AI215" s="576"/>
      <c r="AJ215" s="576"/>
      <c r="AK215" s="576"/>
      <c r="AL215" s="576"/>
      <c r="AM215" s="576"/>
      <c r="AN215" s="576"/>
      <c r="AO215" s="576"/>
      <c r="AP215" s="576"/>
      <c r="AQ215" s="576"/>
      <c r="AR215" s="576"/>
      <c r="AS215" s="576"/>
      <c r="AT215" s="576"/>
      <c r="AU215" s="576"/>
      <c r="AV215" s="576"/>
      <c r="AW215" s="576"/>
      <c r="AX215" s="576"/>
      <c r="AY215" s="576"/>
      <c r="AZ215" s="576"/>
      <c r="BA215" s="576"/>
      <c r="BB215" s="576"/>
      <c r="BC215" s="576"/>
      <c r="BD215" s="572"/>
      <c r="BE215" s="710"/>
      <c r="BF215" s="710"/>
      <c r="BG215" s="710"/>
      <c r="BH215" s="710"/>
      <c r="BI215" s="710"/>
      <c r="BJ215" s="710"/>
      <c r="BK215" s="710"/>
      <c r="BL215" s="710"/>
      <c r="BM215" s="710"/>
      <c r="BN215" s="710"/>
      <c r="BO215" s="710"/>
      <c r="BP215" s="710"/>
      <c r="BQ215" s="710"/>
      <c r="BR215" s="710"/>
      <c r="BS215" s="710"/>
      <c r="BT215" s="710"/>
    </row>
  </sheetData>
  <mergeCells count="97">
    <mergeCell ref="I25:AS26"/>
    <mergeCell ref="AN29:AS30"/>
    <mergeCell ref="A5:BA5"/>
    <mergeCell ref="BB5:BC5"/>
    <mergeCell ref="J24:M24"/>
    <mergeCell ref="H29:L30"/>
    <mergeCell ref="M29:Q30"/>
    <mergeCell ref="R29:V30"/>
    <mergeCell ref="W29:Z30"/>
    <mergeCell ref="AA29:AD30"/>
    <mergeCell ref="AE29:AH30"/>
    <mergeCell ref="AI29:AM30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D40:AG41"/>
    <mergeCell ref="AH40:AK41"/>
    <mergeCell ref="AL40:AO41"/>
    <mergeCell ref="B40:E41"/>
    <mergeCell ref="F40:I41"/>
    <mergeCell ref="J40:M41"/>
    <mergeCell ref="N40:Q41"/>
    <mergeCell ref="R40:U41"/>
    <mergeCell ref="AP40:AS41"/>
    <mergeCell ref="AT40:AW41"/>
    <mergeCell ref="B42:E43"/>
    <mergeCell ref="F42:I43"/>
    <mergeCell ref="J42:M43"/>
    <mergeCell ref="N42:Q43"/>
    <mergeCell ref="R42:U43"/>
    <mergeCell ref="V42:Y43"/>
    <mergeCell ref="Z42:AC43"/>
    <mergeCell ref="AD42:AG43"/>
    <mergeCell ref="AH42:AK43"/>
    <mergeCell ref="AL42:AO43"/>
    <mergeCell ref="AP42:AS43"/>
    <mergeCell ref="AT42:AW43"/>
    <mergeCell ref="V40:Y41"/>
    <mergeCell ref="Z40:AC41"/>
    <mergeCell ref="AD44:AG45"/>
    <mergeCell ref="AH44:AK45"/>
    <mergeCell ref="AL44:AO45"/>
    <mergeCell ref="B44:E45"/>
    <mergeCell ref="F44:I45"/>
    <mergeCell ref="J44:M45"/>
    <mergeCell ref="N44:Q45"/>
    <mergeCell ref="R44:U45"/>
    <mergeCell ref="AP44:AS45"/>
    <mergeCell ref="AT44:AW45"/>
    <mergeCell ref="B46:E47"/>
    <mergeCell ref="F46:I47"/>
    <mergeCell ref="J46:M47"/>
    <mergeCell ref="N46:Q47"/>
    <mergeCell ref="R46:U47"/>
    <mergeCell ref="V46:Y47"/>
    <mergeCell ref="Z46:AC47"/>
    <mergeCell ref="AD46:AG47"/>
    <mergeCell ref="AH46:AK47"/>
    <mergeCell ref="AL46:AO47"/>
    <mergeCell ref="AP46:AS47"/>
    <mergeCell ref="AT46:AW47"/>
    <mergeCell ref="V44:Y45"/>
    <mergeCell ref="Z44:AC45"/>
    <mergeCell ref="B48:E49"/>
    <mergeCell ref="F48:I49"/>
    <mergeCell ref="J48:M49"/>
    <mergeCell ref="N48:Q49"/>
    <mergeCell ref="R48:U49"/>
    <mergeCell ref="AP48:AS49"/>
    <mergeCell ref="AT48:AW49"/>
    <mergeCell ref="V48:Y49"/>
    <mergeCell ref="Z48:AC49"/>
    <mergeCell ref="AD48:AG49"/>
    <mergeCell ref="AH48:AK49"/>
    <mergeCell ref="AL48:AO49"/>
  </mergeCells>
  <phoneticPr fontId="54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E2573-8CD1-4033-A0D4-76A921CC2017}">
  <dimension ref="A1:DX218"/>
  <sheetViews>
    <sheetView showGridLines="0" topLeftCell="A5" zoomScale="90" zoomScaleNormal="90" zoomScaleSheetLayoutView="100" workbookViewId="0">
      <pane ySplit="2" topLeftCell="A7" activePane="bottomLeft" state="frozen"/>
      <selection sqref="A1:I1"/>
      <selection pane="bottomLeft" activeCell="BG69" sqref="BG69"/>
    </sheetView>
  </sheetViews>
  <sheetFormatPr defaultColWidth="9" defaultRowHeight="13.5"/>
  <cols>
    <col min="1" max="18" width="2.625" style="35" customWidth="1"/>
    <col min="19" max="22" width="2.625" style="25" customWidth="1"/>
    <col min="23" max="24" width="2.625" style="35" customWidth="1"/>
    <col min="25" max="26" width="2.625" style="25" customWidth="1"/>
    <col min="27" max="29" width="2.625" style="35" customWidth="1"/>
    <col min="30" max="55" width="2.625" style="25" customWidth="1"/>
    <col min="56" max="56" width="2.625" style="81" customWidth="1"/>
    <col min="57" max="128" width="2.625" style="709" customWidth="1"/>
    <col min="129" max="16384" width="9" style="35"/>
  </cols>
  <sheetData>
    <row r="1" spans="1:72" ht="12" customHeight="1">
      <c r="A1" s="846" t="s">
        <v>4</v>
      </c>
      <c r="B1" s="846"/>
      <c r="C1" s="846"/>
      <c r="D1" s="846"/>
      <c r="E1" s="846"/>
      <c r="F1" s="846"/>
      <c r="G1" s="846"/>
      <c r="H1" s="846"/>
      <c r="I1" s="829" t="s">
        <v>5</v>
      </c>
      <c r="J1" s="829"/>
      <c r="K1" s="829"/>
      <c r="L1" s="829"/>
      <c r="M1" s="844" t="str">
        <f>変更来歴!M1</f>
        <v>ヒロセ電機株式会社</v>
      </c>
      <c r="N1" s="844"/>
      <c r="O1" s="844"/>
      <c r="P1" s="844"/>
      <c r="Q1" s="844"/>
      <c r="R1" s="844"/>
      <c r="S1" s="844"/>
      <c r="T1" s="844"/>
      <c r="U1" s="844"/>
      <c r="V1" s="844"/>
      <c r="W1" s="844"/>
      <c r="X1" s="829" t="s">
        <v>7</v>
      </c>
      <c r="Y1" s="829"/>
      <c r="Z1" s="829"/>
      <c r="AA1" s="848" t="str">
        <f>変更来歴!AA1</f>
        <v>契約書DB</v>
      </c>
      <c r="AB1" s="848"/>
      <c r="AC1" s="848"/>
      <c r="AD1" s="848"/>
      <c r="AE1" s="848"/>
      <c r="AF1" s="848"/>
      <c r="AG1" s="848"/>
      <c r="AH1" s="848"/>
      <c r="AI1" s="848"/>
      <c r="AJ1" s="848"/>
      <c r="AK1" s="833" t="s">
        <v>8</v>
      </c>
      <c r="AL1" s="833"/>
      <c r="AM1" s="833"/>
      <c r="AN1" s="834" t="str">
        <f>変更来歴!AP7</f>
        <v>古竹</v>
      </c>
      <c r="AO1" s="834"/>
      <c r="AP1" s="834"/>
      <c r="AQ1" s="834"/>
      <c r="AR1" s="834"/>
      <c r="AS1" s="833" t="s">
        <v>9</v>
      </c>
      <c r="AT1" s="833"/>
      <c r="AU1" s="833"/>
      <c r="AV1" s="836">
        <f>変更来歴!AL7</f>
        <v>46125</v>
      </c>
      <c r="AW1" s="849"/>
      <c r="AX1" s="849"/>
      <c r="AY1" s="849"/>
      <c r="AZ1" s="825" t="s">
        <v>10</v>
      </c>
      <c r="BA1" s="826"/>
      <c r="BB1" s="826"/>
      <c r="BC1" s="827"/>
    </row>
    <row r="2" spans="1:72">
      <c r="A2" s="828" t="s">
        <v>16</v>
      </c>
      <c r="B2" s="828"/>
      <c r="C2" s="828"/>
      <c r="D2" s="828"/>
      <c r="E2" s="828"/>
      <c r="F2" s="828"/>
      <c r="G2" s="828"/>
      <c r="H2" s="828"/>
      <c r="I2" s="829" t="s">
        <v>11</v>
      </c>
      <c r="J2" s="829"/>
      <c r="K2" s="829"/>
      <c r="L2" s="829"/>
      <c r="M2" s="862" t="str">
        <f>変更来歴!M2</f>
        <v>　</v>
      </c>
      <c r="N2" s="862"/>
      <c r="O2" s="862"/>
      <c r="P2" s="862"/>
      <c r="Q2" s="862"/>
      <c r="R2" s="862"/>
      <c r="S2" s="862"/>
      <c r="T2" s="862"/>
      <c r="U2" s="862"/>
      <c r="V2" s="862"/>
      <c r="W2" s="862"/>
      <c r="X2" s="829"/>
      <c r="Y2" s="829"/>
      <c r="Z2" s="829"/>
      <c r="AA2" s="848"/>
      <c r="AB2" s="848"/>
      <c r="AC2" s="848"/>
      <c r="AD2" s="848"/>
      <c r="AE2" s="848"/>
      <c r="AF2" s="848"/>
      <c r="AG2" s="848"/>
      <c r="AH2" s="848"/>
      <c r="AI2" s="848"/>
      <c r="AJ2" s="848"/>
      <c r="AK2" s="833" t="s">
        <v>12</v>
      </c>
      <c r="AL2" s="833"/>
      <c r="AM2" s="833"/>
      <c r="AN2" s="834" t="str">
        <f ca="1">INDIRECT("変更来歴!AP" &amp; COUNTA(変更来歴!AP7:'変更来歴'!AP39) + 6)</f>
        <v>古竹</v>
      </c>
      <c r="AO2" s="834"/>
      <c r="AP2" s="834"/>
      <c r="AQ2" s="834"/>
      <c r="AR2" s="834"/>
      <c r="AS2" s="833" t="s">
        <v>13</v>
      </c>
      <c r="AT2" s="833"/>
      <c r="AU2" s="833"/>
      <c r="AV2" s="836">
        <f ca="1">INDIRECT("変更来歴!AL" &amp; COUNTA(変更来歴!AL7:'変更来歴'!AL39) + 6)</f>
        <v>46134</v>
      </c>
      <c r="AW2" s="849"/>
      <c r="AX2" s="849"/>
      <c r="AY2" s="849"/>
      <c r="AZ2" s="837" t="str">
        <f>変更来歴!AX2</f>
        <v>IMWF-53</v>
      </c>
      <c r="BA2" s="838"/>
      <c r="BB2" s="838"/>
      <c r="BC2" s="839"/>
    </row>
    <row r="3" spans="1:72" ht="12" customHeight="1">
      <c r="A3" s="843" t="str">
        <f>変更来歴!A3</f>
        <v>画面設計書</v>
      </c>
      <c r="B3" s="843"/>
      <c r="C3" s="843"/>
      <c r="D3" s="843"/>
      <c r="E3" s="843"/>
      <c r="F3" s="843"/>
      <c r="G3" s="843"/>
      <c r="H3" s="843"/>
      <c r="I3" s="829" t="s">
        <v>14</v>
      </c>
      <c r="J3" s="829"/>
      <c r="K3" s="829"/>
      <c r="L3" s="829"/>
      <c r="M3" s="844" t="str">
        <f ca="1">RIGHT(CELL("filename",A1),LEN(CELL("filename",A1))-FIND("]",CELL("filename",A1)))</f>
        <v>化学物質データ画面(日英切替)</v>
      </c>
      <c r="N3" s="844"/>
      <c r="O3" s="844"/>
      <c r="P3" s="844"/>
      <c r="Q3" s="844"/>
      <c r="R3" s="844"/>
      <c r="S3" s="844"/>
      <c r="T3" s="844"/>
      <c r="U3" s="844"/>
      <c r="V3" s="844"/>
      <c r="W3" s="844"/>
      <c r="X3" s="829" t="s">
        <v>27</v>
      </c>
      <c r="Y3" s="829"/>
      <c r="Z3" s="829"/>
      <c r="AA3" s="845" t="str">
        <f ca="1">MID(CELL("filename"),FIND("]",CELL("filename"))+1,LEN(CELL("filename"))) &amp; "画面"</f>
        <v>化学物質データ画面(日英併記)画面</v>
      </c>
      <c r="AB3" s="845"/>
      <c r="AC3" s="845"/>
      <c r="AD3" s="845"/>
      <c r="AE3" s="845"/>
      <c r="AF3" s="845"/>
      <c r="AG3" s="845"/>
      <c r="AH3" s="845"/>
      <c r="AI3" s="845"/>
      <c r="AJ3" s="845"/>
      <c r="AK3" s="845"/>
      <c r="AL3" s="845"/>
      <c r="AM3" s="845"/>
      <c r="AN3" s="845"/>
      <c r="AO3" s="845"/>
      <c r="AP3" s="845"/>
      <c r="AQ3" s="845"/>
      <c r="AR3" s="845"/>
      <c r="AS3" s="833" t="s">
        <v>15</v>
      </c>
      <c r="AT3" s="833"/>
      <c r="AU3" s="833"/>
      <c r="AV3" s="849" t="str">
        <f ca="1">INDIRECT("変更来歴!A" &amp; COUNTA(変更来歴!A7:'変更来歴'!A39) + 6)</f>
        <v>r1.1</v>
      </c>
      <c r="AW3" s="849"/>
      <c r="AX3" s="849"/>
      <c r="AY3" s="849"/>
      <c r="AZ3" s="840"/>
      <c r="BA3" s="841"/>
      <c r="BB3" s="841"/>
      <c r="BC3" s="842"/>
    </row>
    <row r="4" spans="1:72" ht="5.85" customHeight="1"/>
    <row r="5" spans="1:72" ht="13.5" customHeight="1">
      <c r="A5" s="864" t="str">
        <f ca="1">"画面レイアウト"&amp;"("&amp;MID(CELL("filename"),FIND("]",CELL("filename"))+1,LEN(CELL("filename")))&amp;")"</f>
        <v>画面レイアウト(化学物質データ画面(日英併記))</v>
      </c>
      <c r="B5" s="865"/>
      <c r="C5" s="865"/>
      <c r="D5" s="865"/>
      <c r="E5" s="865"/>
      <c r="F5" s="865"/>
      <c r="G5" s="865"/>
      <c r="H5" s="865"/>
      <c r="I5" s="865"/>
      <c r="J5" s="865"/>
      <c r="K5" s="865"/>
      <c r="L5" s="865"/>
      <c r="M5" s="865"/>
      <c r="N5" s="865"/>
      <c r="O5" s="865"/>
      <c r="P5" s="865"/>
      <c r="Q5" s="865"/>
      <c r="R5" s="865"/>
      <c r="S5" s="865"/>
      <c r="T5" s="865"/>
      <c r="U5" s="865"/>
      <c r="V5" s="865"/>
      <c r="W5" s="865"/>
      <c r="X5" s="865"/>
      <c r="Y5" s="865"/>
      <c r="Z5" s="865"/>
      <c r="AA5" s="865"/>
      <c r="AB5" s="865"/>
      <c r="AC5" s="865"/>
      <c r="AD5" s="865"/>
      <c r="AE5" s="865"/>
      <c r="AF5" s="865"/>
      <c r="AG5" s="865"/>
      <c r="AH5" s="865"/>
      <c r="AI5" s="865"/>
      <c r="AJ5" s="865"/>
      <c r="AK5" s="865"/>
      <c r="AL5" s="865"/>
      <c r="AM5" s="865"/>
      <c r="AN5" s="865"/>
      <c r="AO5" s="865"/>
      <c r="AP5" s="865"/>
      <c r="AQ5" s="865"/>
      <c r="AR5" s="865"/>
      <c r="AS5" s="865"/>
      <c r="AT5" s="865"/>
      <c r="AU5" s="865"/>
      <c r="AV5" s="865"/>
      <c r="AW5" s="865"/>
      <c r="AX5" s="865"/>
      <c r="AY5" s="865"/>
      <c r="AZ5" s="865"/>
      <c r="BA5" s="866"/>
      <c r="BB5" s="867" t="s">
        <v>24</v>
      </c>
      <c r="BC5" s="868"/>
      <c r="BD5" s="28"/>
    </row>
    <row r="6" spans="1:72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72" ht="21" customHeight="1">
      <c r="A7" s="556"/>
      <c r="B7" s="701"/>
      <c r="C7" s="706" t="s">
        <v>375</v>
      </c>
      <c r="D7" s="702"/>
      <c r="E7" s="703"/>
      <c r="F7" s="703"/>
      <c r="G7" s="703"/>
      <c r="H7" s="659"/>
      <c r="I7" s="659"/>
      <c r="J7" s="660"/>
      <c r="K7" s="660"/>
      <c r="L7" s="660"/>
      <c r="M7" s="660"/>
      <c r="N7" s="664"/>
      <c r="O7" s="662"/>
      <c r="P7" s="664"/>
      <c r="Q7" s="659"/>
      <c r="R7" s="659"/>
      <c r="S7" s="659"/>
      <c r="T7" s="661"/>
      <c r="U7" s="661"/>
      <c r="V7" s="661"/>
      <c r="W7" s="661"/>
      <c r="X7" s="661"/>
      <c r="Y7" s="662"/>
      <c r="Z7" s="661"/>
      <c r="AA7" s="659"/>
      <c r="AB7" s="662"/>
      <c r="AC7" s="661"/>
      <c r="AD7" s="659"/>
      <c r="AE7" s="662"/>
      <c r="AF7" s="659"/>
      <c r="AG7" s="659"/>
      <c r="AH7" s="662"/>
      <c r="AI7" s="659"/>
      <c r="AJ7" s="659"/>
      <c r="AK7" s="704"/>
      <c r="AL7" s="659"/>
      <c r="AM7" s="659"/>
      <c r="AN7" s="659"/>
      <c r="AO7" s="659"/>
      <c r="AP7" s="659"/>
      <c r="AQ7" s="659"/>
      <c r="AR7" s="659"/>
      <c r="AS7" s="659"/>
      <c r="AT7" s="703"/>
      <c r="AU7" s="703"/>
      <c r="AV7" s="703"/>
      <c r="AW7" s="703"/>
      <c r="AX7" s="703"/>
      <c r="AY7" s="703"/>
      <c r="AZ7" s="705"/>
      <c r="BA7" s="604"/>
      <c r="BB7" s="570"/>
      <c r="BC7" s="571"/>
      <c r="BD7" s="544"/>
      <c r="BE7" s="710" t="s">
        <v>384</v>
      </c>
      <c r="BF7" s="710"/>
      <c r="BG7" s="710"/>
      <c r="BH7" s="710"/>
      <c r="BI7" s="710"/>
      <c r="BJ7" s="710"/>
      <c r="BK7" s="710"/>
      <c r="BL7" s="710"/>
      <c r="BM7" s="710"/>
      <c r="BN7" s="710"/>
      <c r="BO7" s="710"/>
      <c r="BP7" s="710"/>
      <c r="BQ7" s="710"/>
      <c r="BR7" s="710"/>
      <c r="BS7" s="710"/>
      <c r="BT7" s="710"/>
    </row>
    <row r="8" spans="1:72" ht="12.6" customHeight="1">
      <c r="A8" s="556"/>
      <c r="B8" s="600"/>
      <c r="C8" s="614"/>
      <c r="D8" s="615"/>
      <c r="E8" s="603"/>
      <c r="F8" s="603"/>
      <c r="G8" s="603"/>
      <c r="H8" s="653"/>
      <c r="I8" s="653"/>
      <c r="J8" s="653"/>
      <c r="K8" s="653"/>
      <c r="L8" s="653"/>
      <c r="M8" s="653"/>
      <c r="N8" s="653"/>
      <c r="O8" s="653"/>
      <c r="P8" s="653"/>
      <c r="Q8" s="653"/>
      <c r="R8" s="653"/>
      <c r="S8" s="653"/>
      <c r="T8" s="653"/>
      <c r="U8" s="653"/>
      <c r="V8" s="653"/>
      <c r="W8" s="653"/>
      <c r="X8" s="653"/>
      <c r="Y8" s="653"/>
      <c r="Z8" s="653"/>
      <c r="AA8" s="653"/>
      <c r="AB8" s="653"/>
      <c r="AC8" s="653"/>
      <c r="AD8" s="653"/>
      <c r="AE8" s="653"/>
      <c r="AF8" s="653"/>
      <c r="AG8" s="653"/>
      <c r="AH8" s="653"/>
      <c r="AI8" s="653"/>
      <c r="AJ8" s="653"/>
      <c r="AK8" s="653"/>
      <c r="AL8" s="653"/>
      <c r="AM8" s="653"/>
      <c r="AN8" s="653"/>
      <c r="AO8" s="653"/>
      <c r="AP8" s="653"/>
      <c r="AQ8" s="653"/>
      <c r="AR8" s="653"/>
      <c r="AS8" s="655"/>
      <c r="AT8" s="616"/>
      <c r="AU8" s="616"/>
      <c r="AV8" s="616"/>
      <c r="AW8" s="616"/>
      <c r="AX8" s="616"/>
      <c r="AY8" s="616"/>
      <c r="AZ8" s="604"/>
      <c r="BA8" s="604"/>
      <c r="BB8" s="570"/>
      <c r="BC8" s="571"/>
      <c r="BD8" s="544"/>
      <c r="BE8" s="615" t="s">
        <v>385</v>
      </c>
      <c r="BF8" s="615"/>
      <c r="BG8" s="711"/>
      <c r="BH8" s="711"/>
      <c r="BI8" s="711"/>
      <c r="BJ8" s="711"/>
      <c r="BK8" s="711"/>
      <c r="BL8" s="711"/>
      <c r="BM8" s="711"/>
      <c r="BN8" s="711"/>
      <c r="BO8" s="711"/>
      <c r="BP8" s="711"/>
      <c r="BQ8" s="711"/>
      <c r="BR8" s="711"/>
      <c r="BS8" s="710"/>
      <c r="BT8" s="710"/>
    </row>
    <row r="9" spans="1:72" ht="24" customHeight="1">
      <c r="A9" s="556"/>
      <c r="B9" s="557"/>
      <c r="C9" s="560"/>
      <c r="D9" s="560"/>
      <c r="E9" s="560"/>
      <c r="F9" s="558"/>
      <c r="G9" s="558"/>
      <c r="H9" s="591"/>
      <c r="I9" s="592"/>
      <c r="J9" s="592"/>
      <c r="K9" s="592"/>
      <c r="L9" s="592"/>
      <c r="M9" s="592"/>
      <c r="N9" s="592"/>
      <c r="O9" s="592"/>
      <c r="P9" s="592"/>
      <c r="Q9" s="592"/>
      <c r="R9" s="592"/>
      <c r="S9" s="592"/>
      <c r="T9" s="593"/>
      <c r="U9" s="593"/>
      <c r="V9" s="593"/>
      <c r="W9" s="789"/>
      <c r="X9" s="591"/>
      <c r="Y9" s="591"/>
      <c r="Z9" s="788" t="s">
        <v>675</v>
      </c>
      <c r="AA9" s="593"/>
      <c r="AB9" s="595"/>
      <c r="AC9" s="593"/>
      <c r="AD9" s="596"/>
      <c r="AE9" s="596"/>
      <c r="AF9" s="596"/>
      <c r="AG9" s="596"/>
      <c r="AH9" s="596"/>
      <c r="AI9" s="592"/>
      <c r="AJ9" s="593"/>
      <c r="AK9" s="593"/>
      <c r="AL9" s="593"/>
      <c r="AM9" s="593"/>
      <c r="AN9" s="597"/>
      <c r="AO9" s="594"/>
      <c r="AP9" s="594"/>
      <c r="AQ9" s="593"/>
      <c r="AR9" s="593"/>
      <c r="AS9" s="593"/>
      <c r="AT9" s="563"/>
      <c r="AU9" s="561"/>
      <c r="AV9" s="564"/>
      <c r="AW9" s="564"/>
      <c r="AX9" s="564"/>
      <c r="AY9" s="558"/>
      <c r="AZ9" s="559"/>
      <c r="BA9" s="559"/>
      <c r="BB9" s="542"/>
      <c r="BC9" s="543"/>
      <c r="BD9" s="544"/>
      <c r="BE9" s="711"/>
      <c r="BF9" s="615" t="s">
        <v>386</v>
      </c>
      <c r="BG9" s="615"/>
      <c r="BH9" s="615"/>
      <c r="BI9" s="711"/>
      <c r="BJ9" s="711"/>
      <c r="BK9" s="711"/>
      <c r="BL9" s="711"/>
      <c r="BM9" s="711"/>
      <c r="BN9" s="711"/>
      <c r="BO9" s="711"/>
      <c r="BP9" s="711"/>
      <c r="BQ9" s="711"/>
      <c r="BR9" s="711"/>
      <c r="BS9" s="710"/>
      <c r="BT9" s="710"/>
    </row>
    <row r="10" spans="1:72" ht="12" customHeight="1">
      <c r="A10" s="556"/>
      <c r="B10" s="565"/>
      <c r="C10" s="566"/>
      <c r="D10" s="544"/>
      <c r="E10" s="544"/>
      <c r="F10" s="544"/>
      <c r="G10" s="544"/>
      <c r="H10" s="567"/>
      <c r="I10" s="562"/>
      <c r="J10" s="561"/>
      <c r="K10" s="562"/>
      <c r="L10" s="561"/>
      <c r="M10" s="568"/>
      <c r="N10" s="568"/>
      <c r="O10" s="564"/>
      <c r="P10" s="568"/>
      <c r="Q10" s="564"/>
      <c r="R10" s="568"/>
      <c r="S10" s="545"/>
      <c r="T10" s="544"/>
      <c r="U10" s="544"/>
      <c r="V10" s="544"/>
      <c r="W10" s="544"/>
      <c r="X10" s="544"/>
      <c r="Y10" s="567"/>
      <c r="Z10" s="562"/>
      <c r="AA10" s="561"/>
      <c r="AB10" s="562"/>
      <c r="AC10" s="561"/>
      <c r="AD10" s="568"/>
      <c r="AE10" s="568"/>
      <c r="AF10" s="564"/>
      <c r="AG10" s="568"/>
      <c r="AH10" s="568"/>
      <c r="AI10" s="563"/>
      <c r="AJ10" s="568"/>
      <c r="AK10" s="564"/>
      <c r="AL10" s="544"/>
      <c r="AM10" s="544"/>
      <c r="AN10" s="544"/>
      <c r="AO10" s="544"/>
      <c r="AP10" s="544"/>
      <c r="AQ10" s="544"/>
      <c r="AR10" s="544"/>
      <c r="AS10" s="561"/>
      <c r="AT10" s="563"/>
      <c r="AU10" s="561"/>
      <c r="AV10" s="564"/>
      <c r="AW10" s="564"/>
      <c r="AX10" s="564"/>
      <c r="AY10" s="558"/>
      <c r="AZ10" s="559"/>
      <c r="BA10" s="559"/>
      <c r="BB10" s="542"/>
      <c r="BC10" s="543"/>
      <c r="BD10" s="544"/>
      <c r="BE10" s="615"/>
      <c r="BF10" s="615"/>
      <c r="BG10" s="615" t="s">
        <v>387</v>
      </c>
      <c r="BH10" s="712"/>
      <c r="BI10" s="711"/>
      <c r="BJ10" s="711"/>
      <c r="BK10" s="711"/>
      <c r="BL10" s="711"/>
      <c r="BM10" s="711"/>
      <c r="BN10" s="711"/>
      <c r="BO10" s="711"/>
      <c r="BP10" s="711"/>
      <c r="BQ10" s="711"/>
      <c r="BR10" s="711"/>
      <c r="BS10" s="710"/>
      <c r="BT10" s="710"/>
    </row>
    <row r="11" spans="1:72" ht="12.6" customHeight="1">
      <c r="A11" s="556"/>
      <c r="B11" s="557"/>
      <c r="C11" s="544"/>
      <c r="D11" s="544"/>
      <c r="E11" s="544"/>
      <c r="F11" s="545"/>
      <c r="G11" s="560"/>
      <c r="H11" s="621"/>
      <c r="I11" s="621"/>
      <c r="J11" s="621"/>
      <c r="K11" s="621"/>
      <c r="L11" s="621"/>
      <c r="M11" s="621"/>
      <c r="N11" s="621"/>
      <c r="O11" s="621"/>
      <c r="P11" s="621"/>
      <c r="Q11" s="621"/>
      <c r="R11" s="621"/>
      <c r="S11" s="621"/>
      <c r="T11" s="622"/>
      <c r="U11" s="622"/>
      <c r="V11" s="622"/>
      <c r="W11" s="622"/>
      <c r="X11" s="623"/>
      <c r="Y11" s="622"/>
      <c r="Z11" s="622"/>
      <c r="AA11" s="622"/>
      <c r="AB11" s="624"/>
      <c r="AC11" s="622"/>
      <c r="AD11" s="625"/>
      <c r="AE11" s="625"/>
      <c r="AF11" s="625"/>
      <c r="AG11" s="625"/>
      <c r="AH11" s="625"/>
      <c r="AI11" s="621"/>
      <c r="AJ11" s="622"/>
      <c r="AK11" s="622"/>
      <c r="AL11" s="622"/>
      <c r="AM11" s="622"/>
      <c r="AN11" s="626"/>
      <c r="AO11" s="623"/>
      <c r="AP11" s="623"/>
      <c r="AQ11" s="622"/>
      <c r="AR11" s="622"/>
      <c r="AS11" s="622"/>
      <c r="AT11" s="563"/>
      <c r="AU11" s="561"/>
      <c r="AV11" s="564"/>
      <c r="AW11" s="564"/>
      <c r="AX11" s="564"/>
      <c r="AY11" s="558"/>
      <c r="AZ11" s="559"/>
      <c r="BA11" s="559"/>
      <c r="BB11" s="542"/>
      <c r="BC11" s="543"/>
      <c r="BD11" s="544"/>
      <c r="BE11" s="615"/>
      <c r="BF11" s="615"/>
      <c r="BG11" s="615" t="s">
        <v>388</v>
      </c>
      <c r="BH11" s="712"/>
      <c r="BI11" s="615"/>
      <c r="BJ11" s="711"/>
      <c r="BK11" s="711"/>
      <c r="BL11" s="711"/>
      <c r="BM11" s="711"/>
      <c r="BN11" s="711"/>
      <c r="BO11" s="711"/>
      <c r="BP11" s="711"/>
      <c r="BQ11" s="711"/>
      <c r="BR11" s="711"/>
      <c r="BS11" s="710"/>
      <c r="BT11" s="710"/>
    </row>
    <row r="12" spans="1:72" ht="12.6" customHeight="1">
      <c r="A12" s="556"/>
      <c r="B12" s="600"/>
      <c r="C12" s="598"/>
      <c r="D12" s="601"/>
      <c r="E12" s="601"/>
      <c r="F12" s="601"/>
      <c r="G12" s="598"/>
      <c r="H12" s="621"/>
      <c r="I12" s="621" t="s">
        <v>674</v>
      </c>
      <c r="J12" s="621"/>
      <c r="K12" s="621"/>
      <c r="L12" s="621"/>
      <c r="M12" s="621"/>
      <c r="N12" s="621"/>
      <c r="O12" s="621"/>
      <c r="P12" s="621"/>
      <c r="Q12" s="621"/>
      <c r="R12" s="621"/>
      <c r="S12" s="621"/>
      <c r="T12" s="622"/>
      <c r="U12" s="622"/>
      <c r="V12" s="622"/>
      <c r="W12" s="622"/>
      <c r="X12" s="623"/>
      <c r="Y12" s="622"/>
      <c r="Z12" s="621"/>
      <c r="AA12" s="621"/>
      <c r="AB12" s="621"/>
      <c r="AC12" s="621"/>
      <c r="AD12" s="621"/>
      <c r="AE12" s="621"/>
      <c r="AF12" s="621"/>
      <c r="AG12" s="621"/>
      <c r="AH12" s="621"/>
      <c r="AI12" s="621"/>
      <c r="AJ12" s="621"/>
      <c r="AK12" s="621"/>
      <c r="AL12" s="621"/>
      <c r="AM12" s="621"/>
      <c r="AN12" s="621"/>
      <c r="AO12" s="621"/>
      <c r="AP12" s="621"/>
      <c r="AQ12" s="621"/>
      <c r="AR12" s="621"/>
      <c r="AS12" s="621"/>
      <c r="AT12" s="598"/>
      <c r="AU12" s="598"/>
      <c r="AV12" s="598"/>
      <c r="AW12" s="598"/>
      <c r="AX12" s="603"/>
      <c r="AY12" s="598"/>
      <c r="AZ12" s="604"/>
      <c r="BA12" s="604"/>
      <c r="BB12" s="542"/>
      <c r="BC12" s="543"/>
      <c r="BD12" s="544"/>
      <c r="BE12" s="710"/>
      <c r="BF12" s="710"/>
      <c r="BG12" s="713"/>
      <c r="BH12" s="710"/>
      <c r="BI12" s="710"/>
      <c r="BJ12" s="710"/>
      <c r="BK12" s="710"/>
      <c r="BL12" s="710"/>
      <c r="BM12" s="710"/>
      <c r="BN12" s="710"/>
      <c r="BO12" s="710"/>
      <c r="BP12" s="710"/>
      <c r="BQ12" s="710"/>
      <c r="BR12" s="710"/>
      <c r="BS12" s="710"/>
      <c r="BT12" s="710"/>
    </row>
    <row r="13" spans="1:72" ht="12.6" customHeight="1">
      <c r="A13" s="556"/>
      <c r="B13" s="600"/>
      <c r="C13" s="605"/>
      <c r="D13" s="601"/>
      <c r="E13" s="601"/>
      <c r="F13" s="601"/>
      <c r="G13" s="603"/>
      <c r="H13" s="621"/>
      <c r="I13" s="627" t="s">
        <v>652</v>
      </c>
      <c r="J13" s="628"/>
      <c r="K13" s="627"/>
      <c r="L13" s="627"/>
      <c r="M13" s="627"/>
      <c r="N13" s="627"/>
      <c r="O13" s="627"/>
      <c r="P13" s="627"/>
      <c r="Q13" s="627"/>
      <c r="R13" s="627"/>
      <c r="S13" s="627"/>
      <c r="T13" s="627"/>
      <c r="U13" s="627"/>
      <c r="V13" s="627"/>
      <c r="W13" s="627"/>
      <c r="X13" s="629"/>
      <c r="Y13" s="621"/>
      <c r="Z13" s="621"/>
      <c r="AA13" s="630"/>
      <c r="AB13" s="621"/>
      <c r="AC13" s="631"/>
      <c r="AD13" s="631"/>
      <c r="AE13" s="632"/>
      <c r="AF13" s="631"/>
      <c r="AG13" s="632"/>
      <c r="AH13" s="631"/>
      <c r="AI13" s="633"/>
      <c r="AJ13" s="631"/>
      <c r="AK13" s="632"/>
      <c r="AL13" s="632"/>
      <c r="AM13" s="632"/>
      <c r="AN13" s="632"/>
      <c r="AO13" s="632"/>
      <c r="AP13" s="632"/>
      <c r="AQ13" s="632"/>
      <c r="AR13" s="632"/>
      <c r="AS13" s="632"/>
      <c r="AT13" s="603"/>
      <c r="AU13" s="603"/>
      <c r="AV13" s="603"/>
      <c r="AW13" s="603"/>
      <c r="AX13" s="603"/>
      <c r="AY13" s="598"/>
      <c r="AZ13" s="604"/>
      <c r="BA13" s="604"/>
      <c r="BB13" s="542"/>
      <c r="BC13" s="543"/>
      <c r="BD13" s="544"/>
      <c r="BE13" s="615" t="s">
        <v>389</v>
      </c>
      <c r="BF13" s="710"/>
      <c r="BG13" s="710"/>
      <c r="BH13" s="710"/>
      <c r="BI13" s="710"/>
      <c r="BJ13" s="710"/>
      <c r="BK13" s="710"/>
      <c r="BL13" s="710"/>
      <c r="BM13" s="710"/>
      <c r="BN13" s="710"/>
      <c r="BO13" s="710"/>
      <c r="BP13" s="710"/>
      <c r="BQ13" s="710"/>
      <c r="BR13" s="710"/>
      <c r="BS13" s="710"/>
      <c r="BT13" s="710"/>
    </row>
    <row r="14" spans="1:72" ht="12.6" customHeight="1">
      <c r="A14" s="556"/>
      <c r="B14" s="600"/>
      <c r="C14" s="608"/>
      <c r="D14" s="603"/>
      <c r="E14" s="603"/>
      <c r="F14" s="603"/>
      <c r="G14" s="603"/>
      <c r="H14" s="634"/>
      <c r="I14" s="629"/>
      <c r="J14" s="627"/>
      <c r="K14" s="629"/>
      <c r="L14" s="627"/>
      <c r="M14" s="627"/>
      <c r="N14" s="627"/>
      <c r="O14" s="627"/>
      <c r="P14" s="627"/>
      <c r="Q14" s="627"/>
      <c r="R14" s="627"/>
      <c r="S14" s="627"/>
      <c r="T14" s="627"/>
      <c r="U14" s="627"/>
      <c r="V14" s="627"/>
      <c r="W14" s="627"/>
      <c r="X14" s="629"/>
      <c r="Y14" s="621"/>
      <c r="Z14" s="630"/>
      <c r="AA14" s="621"/>
      <c r="AB14" s="630"/>
      <c r="AC14" s="621"/>
      <c r="AD14" s="631"/>
      <c r="AE14" s="631"/>
      <c r="AF14" s="632"/>
      <c r="AG14" s="631"/>
      <c r="AH14" s="631"/>
      <c r="AI14" s="633"/>
      <c r="AJ14" s="631"/>
      <c r="AK14" s="632"/>
      <c r="AL14" s="632"/>
      <c r="AM14" s="632"/>
      <c r="AN14" s="632"/>
      <c r="AO14" s="632"/>
      <c r="AP14" s="632"/>
      <c r="AQ14" s="632"/>
      <c r="AR14" s="632"/>
      <c r="AS14" s="621"/>
      <c r="AT14" s="607"/>
      <c r="AU14" s="598"/>
      <c r="AV14" s="603"/>
      <c r="AW14" s="603"/>
      <c r="AX14" s="603"/>
      <c r="AY14" s="598"/>
      <c r="AZ14" s="604"/>
      <c r="BA14" s="604"/>
      <c r="BB14" s="542"/>
      <c r="BC14" s="543"/>
      <c r="BD14" s="544"/>
      <c r="BE14" s="710"/>
      <c r="BF14" s="615" t="s">
        <v>390</v>
      </c>
      <c r="BG14" s="615"/>
      <c r="BH14" s="710"/>
      <c r="BI14" s="710"/>
      <c r="BJ14" s="710"/>
      <c r="BK14" s="710"/>
      <c r="BL14" s="710"/>
      <c r="BM14" s="710"/>
      <c r="BN14" s="710"/>
      <c r="BO14" s="710"/>
      <c r="BP14" s="710"/>
      <c r="BQ14" s="710"/>
      <c r="BR14" s="710"/>
      <c r="BS14" s="710"/>
      <c r="BT14" s="710"/>
    </row>
    <row r="15" spans="1:72" ht="12.6" customHeight="1">
      <c r="A15" s="556"/>
      <c r="B15" s="600"/>
      <c r="C15" s="598"/>
      <c r="D15" s="603"/>
      <c r="E15" s="603"/>
      <c r="F15" s="603"/>
      <c r="G15" s="603"/>
      <c r="H15" s="634"/>
      <c r="I15" s="627" t="s">
        <v>312</v>
      </c>
      <c r="J15" s="628" t="s">
        <v>313</v>
      </c>
      <c r="K15" s="627"/>
      <c r="L15" s="627"/>
      <c r="M15" s="627"/>
      <c r="N15" s="627"/>
      <c r="O15" s="627" t="s">
        <v>649</v>
      </c>
      <c r="P15" s="627"/>
      <c r="Q15" s="627"/>
      <c r="R15" s="627"/>
      <c r="S15" s="627"/>
      <c r="T15" s="627"/>
      <c r="U15" s="627"/>
      <c r="V15" s="627"/>
      <c r="W15" s="627"/>
      <c r="X15" s="629"/>
      <c r="Y15" s="621"/>
      <c r="Z15" s="632"/>
      <c r="AA15" s="632"/>
      <c r="AB15" s="632"/>
      <c r="AC15" s="632"/>
      <c r="AD15" s="632"/>
      <c r="AE15" s="632"/>
      <c r="AF15" s="632"/>
      <c r="AG15" s="632"/>
      <c r="AH15" s="632"/>
      <c r="AI15" s="632"/>
      <c r="AJ15" s="632"/>
      <c r="AK15" s="632"/>
      <c r="AL15" s="632"/>
      <c r="AM15" s="621"/>
      <c r="AN15" s="621"/>
      <c r="AO15" s="621"/>
      <c r="AP15" s="621"/>
      <c r="AQ15" s="621"/>
      <c r="AR15" s="621"/>
      <c r="AS15" s="621"/>
      <c r="AT15" s="598"/>
      <c r="AU15" s="598"/>
      <c r="AV15" s="598"/>
      <c r="AW15" s="598"/>
      <c r="AX15" s="603"/>
      <c r="AY15" s="598"/>
      <c r="AZ15" s="604"/>
      <c r="BA15" s="604"/>
      <c r="BB15" s="542"/>
      <c r="BC15" s="543"/>
      <c r="BD15" s="544"/>
      <c r="BE15" s="710"/>
      <c r="BF15" s="615"/>
      <c r="BG15" s="615" t="s">
        <v>391</v>
      </c>
      <c r="BH15" s="710"/>
      <c r="BI15" s="710"/>
      <c r="BJ15" s="710"/>
      <c r="BK15" s="710"/>
      <c r="BL15" s="710"/>
      <c r="BM15" s="710"/>
      <c r="BN15" s="710"/>
      <c r="BO15" s="710"/>
      <c r="BP15" s="710"/>
      <c r="BQ15" s="710"/>
      <c r="BR15" s="710"/>
      <c r="BS15" s="710"/>
      <c r="BT15" s="710"/>
    </row>
    <row r="16" spans="1:72" ht="12.6" customHeight="1">
      <c r="A16" s="556"/>
      <c r="B16" s="600"/>
      <c r="C16" s="598"/>
      <c r="D16" s="598"/>
      <c r="E16" s="598"/>
      <c r="F16" s="598"/>
      <c r="G16" s="598"/>
      <c r="H16" s="630"/>
      <c r="I16" s="629"/>
      <c r="J16" s="627"/>
      <c r="K16" s="629"/>
      <c r="L16" s="627"/>
      <c r="M16" s="627"/>
      <c r="N16" s="627"/>
      <c r="O16" s="627" t="s">
        <v>648</v>
      </c>
      <c r="P16" s="627"/>
      <c r="Q16" s="627"/>
      <c r="R16" s="627"/>
      <c r="S16" s="627"/>
      <c r="T16" s="627"/>
      <c r="U16" s="627"/>
      <c r="V16" s="627"/>
      <c r="W16" s="627"/>
      <c r="X16" s="629"/>
      <c r="Y16" s="621"/>
      <c r="Z16" s="621"/>
      <c r="AA16" s="621"/>
      <c r="AB16" s="633"/>
      <c r="AC16" s="621"/>
      <c r="AD16" s="632"/>
      <c r="AE16" s="632"/>
      <c r="AF16" s="632"/>
      <c r="AG16" s="632"/>
      <c r="AH16" s="632"/>
      <c r="AI16" s="621"/>
      <c r="AJ16" s="621"/>
      <c r="AK16" s="621"/>
      <c r="AL16" s="621"/>
      <c r="AM16" s="621"/>
      <c r="AN16" s="635"/>
      <c r="AO16" s="630"/>
      <c r="AP16" s="630"/>
      <c r="AQ16" s="636"/>
      <c r="AR16" s="621"/>
      <c r="AS16" s="621"/>
      <c r="AT16" s="607"/>
      <c r="AU16" s="598"/>
      <c r="AV16" s="603"/>
      <c r="AW16" s="603"/>
      <c r="AX16" s="603"/>
      <c r="AY16" s="598"/>
      <c r="AZ16" s="604"/>
      <c r="BA16" s="604"/>
      <c r="BB16" s="542"/>
      <c r="BC16" s="543"/>
      <c r="BD16" s="544"/>
      <c r="BE16" s="713"/>
      <c r="BF16" s="615"/>
      <c r="BG16" s="615" t="s">
        <v>392</v>
      </c>
      <c r="BH16" s="710"/>
      <c r="BI16" s="710"/>
      <c r="BJ16" s="710"/>
      <c r="BK16" s="710"/>
      <c r="BL16" s="710"/>
      <c r="BM16" s="710"/>
      <c r="BN16" s="710"/>
      <c r="BO16" s="710"/>
      <c r="BP16" s="710"/>
      <c r="BQ16" s="710"/>
      <c r="BR16" s="710"/>
      <c r="BS16" s="710"/>
      <c r="BT16" s="710"/>
    </row>
    <row r="17" spans="1:72" ht="12.6" customHeight="1">
      <c r="A17" s="556"/>
      <c r="B17" s="600"/>
      <c r="C17" s="598"/>
      <c r="D17" s="598"/>
      <c r="E17" s="598"/>
      <c r="F17" s="598"/>
      <c r="G17" s="598"/>
      <c r="H17" s="630"/>
      <c r="I17" s="629"/>
      <c r="J17" s="627"/>
      <c r="K17" s="629"/>
      <c r="L17" s="627"/>
      <c r="M17" s="627"/>
      <c r="N17" s="627"/>
      <c r="O17" s="627"/>
      <c r="P17" s="627"/>
      <c r="Q17" s="627"/>
      <c r="R17" s="627"/>
      <c r="S17" s="627"/>
      <c r="T17" s="627"/>
      <c r="U17" s="627"/>
      <c r="V17" s="627"/>
      <c r="W17" s="627"/>
      <c r="X17" s="629"/>
      <c r="Y17" s="621"/>
      <c r="Z17" s="621"/>
      <c r="AA17" s="621"/>
      <c r="AB17" s="621"/>
      <c r="AC17" s="633"/>
      <c r="AD17" s="621"/>
      <c r="AE17" s="632"/>
      <c r="AF17" s="632"/>
      <c r="AG17" s="632"/>
      <c r="AH17" s="632"/>
      <c r="AI17" s="621"/>
      <c r="AJ17" s="621"/>
      <c r="AK17" s="621"/>
      <c r="AL17" s="621"/>
      <c r="AM17" s="621"/>
      <c r="AN17" s="621"/>
      <c r="AO17" s="621"/>
      <c r="AP17" s="630"/>
      <c r="AQ17" s="621"/>
      <c r="AR17" s="621"/>
      <c r="AS17" s="621"/>
      <c r="AT17" s="607"/>
      <c r="AU17" s="598"/>
      <c r="AV17" s="603"/>
      <c r="AW17" s="603"/>
      <c r="AX17" s="603"/>
      <c r="AY17" s="598"/>
      <c r="AZ17" s="604"/>
      <c r="BA17" s="604"/>
      <c r="BB17" s="542"/>
      <c r="BC17" s="543"/>
      <c r="BD17" s="544"/>
      <c r="BE17" s="710"/>
      <c r="BF17" s="710"/>
      <c r="BG17" s="710"/>
      <c r="BH17" s="710"/>
      <c r="BI17" s="710"/>
      <c r="BJ17" s="710"/>
      <c r="BK17" s="710"/>
      <c r="BL17" s="710"/>
      <c r="BM17" s="710"/>
      <c r="BN17" s="710"/>
      <c r="BO17" s="710"/>
      <c r="BP17" s="710"/>
      <c r="BQ17" s="710"/>
      <c r="BR17" s="710"/>
      <c r="BS17" s="710"/>
      <c r="BT17" s="710"/>
    </row>
    <row r="18" spans="1:72" s="709" customFormat="1" ht="12.6" customHeight="1">
      <c r="A18" s="556"/>
      <c r="B18" s="600"/>
      <c r="C18" s="598"/>
      <c r="D18" s="598"/>
      <c r="E18" s="598"/>
      <c r="F18" s="598"/>
      <c r="G18" s="598"/>
      <c r="H18" s="630"/>
      <c r="I18" s="627" t="s">
        <v>312</v>
      </c>
      <c r="J18" s="628" t="s">
        <v>316</v>
      </c>
      <c r="K18" s="627"/>
      <c r="L18" s="627"/>
      <c r="M18" s="627"/>
      <c r="N18" s="627"/>
      <c r="O18" s="627" t="s">
        <v>650</v>
      </c>
      <c r="P18" s="627"/>
      <c r="Q18" s="627"/>
      <c r="R18" s="627"/>
      <c r="S18" s="627"/>
      <c r="T18" s="627"/>
      <c r="U18" s="627"/>
      <c r="V18" s="627"/>
      <c r="W18" s="627"/>
      <c r="X18" s="629"/>
      <c r="Y18" s="621"/>
      <c r="Z18" s="621"/>
      <c r="AA18" s="621"/>
      <c r="AB18" s="621"/>
      <c r="AC18" s="633"/>
      <c r="AD18" s="621"/>
      <c r="AE18" s="632"/>
      <c r="AF18" s="632"/>
      <c r="AG18" s="632"/>
      <c r="AH18" s="632"/>
      <c r="AI18" s="621"/>
      <c r="AJ18" s="621"/>
      <c r="AK18" s="621"/>
      <c r="AL18" s="621"/>
      <c r="AM18" s="621"/>
      <c r="AN18" s="635"/>
      <c r="AO18" s="630"/>
      <c r="AP18" s="630"/>
      <c r="AQ18" s="621"/>
      <c r="AR18" s="621"/>
      <c r="AS18" s="621"/>
      <c r="AT18" s="607"/>
      <c r="AU18" s="598"/>
      <c r="AV18" s="603"/>
      <c r="AW18" s="603"/>
      <c r="AX18" s="603"/>
      <c r="AY18" s="598"/>
      <c r="AZ18" s="604"/>
      <c r="BA18" s="604"/>
      <c r="BB18" s="542"/>
      <c r="BC18" s="543"/>
      <c r="BD18" s="544"/>
      <c r="BE18" s="710"/>
      <c r="BF18" s="615" t="s">
        <v>690</v>
      </c>
      <c r="BG18" s="710"/>
      <c r="BH18" s="710"/>
      <c r="BI18" s="710"/>
      <c r="BJ18" s="710"/>
      <c r="BK18" s="710"/>
      <c r="BL18" s="710"/>
      <c r="BM18" s="710"/>
      <c r="BN18" s="710"/>
      <c r="BO18" s="710"/>
      <c r="BP18" s="710"/>
      <c r="BQ18" s="710"/>
      <c r="BR18" s="710"/>
      <c r="BS18" s="710"/>
      <c r="BT18" s="710"/>
    </row>
    <row r="19" spans="1:72" s="709" customFormat="1" ht="12.6" customHeight="1">
      <c r="A19" s="556"/>
      <c r="B19" s="600"/>
      <c r="C19" s="605"/>
      <c r="D19" s="598"/>
      <c r="E19" s="598"/>
      <c r="F19" s="598"/>
      <c r="G19" s="598"/>
      <c r="H19" s="630"/>
      <c r="I19" s="629"/>
      <c r="J19" s="627"/>
      <c r="K19" s="627"/>
      <c r="L19" s="627"/>
      <c r="M19" s="627"/>
      <c r="N19" s="627"/>
      <c r="O19" s="627" t="s">
        <v>651</v>
      </c>
      <c r="P19" s="627"/>
      <c r="Q19" s="621"/>
      <c r="R19" s="621"/>
      <c r="S19" s="621"/>
      <c r="T19" s="621"/>
      <c r="U19" s="621"/>
      <c r="V19" s="621"/>
      <c r="W19" s="621"/>
      <c r="X19" s="630"/>
      <c r="Y19" s="621"/>
      <c r="Z19" s="621"/>
      <c r="AA19" s="621"/>
      <c r="AB19" s="621"/>
      <c r="AC19" s="633"/>
      <c r="AD19" s="621"/>
      <c r="AE19" s="632"/>
      <c r="AF19" s="632"/>
      <c r="AG19" s="632"/>
      <c r="AH19" s="632"/>
      <c r="AI19" s="621"/>
      <c r="AJ19" s="621"/>
      <c r="AK19" s="621"/>
      <c r="AL19" s="621"/>
      <c r="AM19" s="621"/>
      <c r="AN19" s="635"/>
      <c r="AO19" s="630"/>
      <c r="AP19" s="630"/>
      <c r="AQ19" s="621"/>
      <c r="AR19" s="621"/>
      <c r="AS19" s="621"/>
      <c r="AT19" s="607"/>
      <c r="AU19" s="598"/>
      <c r="AV19" s="603"/>
      <c r="AW19" s="603"/>
      <c r="AX19" s="603"/>
      <c r="AY19" s="598"/>
      <c r="AZ19" s="604"/>
      <c r="BA19" s="604"/>
      <c r="BB19" s="542"/>
      <c r="BC19" s="543"/>
      <c r="BD19" s="544"/>
      <c r="BE19" s="710"/>
      <c r="BF19" s="710"/>
      <c r="BG19" s="710"/>
      <c r="BH19" s="710"/>
      <c r="BI19" s="710"/>
      <c r="BJ19" s="710"/>
      <c r="BK19" s="710"/>
      <c r="BL19" s="710"/>
      <c r="BM19" s="710"/>
      <c r="BN19" s="710"/>
      <c r="BO19" s="710"/>
      <c r="BP19" s="710"/>
      <c r="BQ19" s="710"/>
      <c r="BR19" s="710"/>
      <c r="BS19" s="710"/>
      <c r="BT19" s="710"/>
    </row>
    <row r="20" spans="1:72" s="709" customFormat="1" ht="12.6" customHeight="1">
      <c r="A20" s="556"/>
      <c r="B20" s="600"/>
      <c r="C20" s="605"/>
      <c r="D20" s="598"/>
      <c r="E20" s="598"/>
      <c r="F20" s="598"/>
      <c r="G20" s="598"/>
      <c r="H20" s="630"/>
      <c r="I20" s="637"/>
      <c r="J20" s="637"/>
      <c r="K20" s="637"/>
      <c r="L20" s="637"/>
      <c r="M20" s="637"/>
      <c r="N20" s="637"/>
      <c r="O20" s="637"/>
      <c r="P20" s="637"/>
      <c r="Q20" s="637"/>
      <c r="R20" s="637"/>
      <c r="S20" s="637"/>
      <c r="T20" s="637"/>
      <c r="U20" s="637"/>
      <c r="V20" s="637"/>
      <c r="W20" s="637"/>
      <c r="X20" s="638"/>
      <c r="Y20" s="637"/>
      <c r="Z20" s="637"/>
      <c r="AA20" s="637"/>
      <c r="AB20" s="637"/>
      <c r="AC20" s="639"/>
      <c r="AD20" s="637"/>
      <c r="AE20" s="640"/>
      <c r="AF20" s="640"/>
      <c r="AG20" s="640"/>
      <c r="AH20" s="640"/>
      <c r="AI20" s="637"/>
      <c r="AJ20" s="637"/>
      <c r="AK20" s="637"/>
      <c r="AL20" s="637"/>
      <c r="AM20" s="637"/>
      <c r="AN20" s="641"/>
      <c r="AO20" s="638"/>
      <c r="AP20" s="638"/>
      <c r="AQ20" s="637"/>
      <c r="AR20" s="637"/>
      <c r="AS20" s="621"/>
      <c r="AT20" s="607"/>
      <c r="AU20" s="598"/>
      <c r="AV20" s="603"/>
      <c r="AW20" s="603"/>
      <c r="AX20" s="603"/>
      <c r="AY20" s="598"/>
      <c r="AZ20" s="604"/>
      <c r="BA20" s="604"/>
      <c r="BB20" s="542"/>
      <c r="BC20" s="543"/>
      <c r="BD20" s="544"/>
      <c r="BE20" s="710"/>
      <c r="BF20" s="710"/>
      <c r="BG20" s="710"/>
      <c r="BH20" s="710"/>
      <c r="BI20" s="710"/>
      <c r="BJ20" s="710"/>
      <c r="BK20" s="710"/>
      <c r="BL20" s="710"/>
      <c r="BM20" s="710"/>
      <c r="BN20" s="710"/>
      <c r="BO20" s="710"/>
      <c r="BP20" s="710"/>
      <c r="BQ20" s="710"/>
      <c r="BR20" s="710"/>
      <c r="BS20" s="710"/>
      <c r="BT20" s="710"/>
    </row>
    <row r="21" spans="1:72" s="709" customFormat="1" ht="12.6" customHeight="1">
      <c r="A21" s="556"/>
      <c r="B21" s="600"/>
      <c r="C21" s="598"/>
      <c r="D21" s="598"/>
      <c r="E21" s="598"/>
      <c r="F21" s="598"/>
      <c r="G21" s="598"/>
      <c r="H21" s="653"/>
      <c r="I21" s="653"/>
      <c r="J21" s="653"/>
      <c r="K21" s="653"/>
      <c r="L21" s="653"/>
      <c r="M21" s="653"/>
      <c r="N21" s="653"/>
      <c r="O21" s="653"/>
      <c r="P21" s="653"/>
      <c r="Q21" s="653"/>
      <c r="R21" s="653"/>
      <c r="S21" s="653"/>
      <c r="T21" s="653"/>
      <c r="U21" s="653"/>
      <c r="V21" s="653"/>
      <c r="W21" s="653"/>
      <c r="X21" s="653"/>
      <c r="Y21" s="653"/>
      <c r="Z21" s="653"/>
      <c r="AA21" s="653"/>
      <c r="AB21" s="653"/>
      <c r="AC21" s="653"/>
      <c r="AD21" s="653"/>
      <c r="AE21" s="653"/>
      <c r="AF21" s="653"/>
      <c r="AG21" s="653"/>
      <c r="AH21" s="653"/>
      <c r="AI21" s="653"/>
      <c r="AJ21" s="653"/>
      <c r="AK21" s="653"/>
      <c r="AL21" s="653"/>
      <c r="AM21" s="653"/>
      <c r="AN21" s="653"/>
      <c r="AO21" s="653"/>
      <c r="AP21" s="653"/>
      <c r="AQ21" s="653"/>
      <c r="AR21" s="653"/>
      <c r="AS21" s="654"/>
      <c r="AT21" s="607"/>
      <c r="AU21" s="598"/>
      <c r="AV21" s="603"/>
      <c r="AW21" s="603"/>
      <c r="AX21" s="603"/>
      <c r="AY21" s="598"/>
      <c r="AZ21" s="604"/>
      <c r="BA21" s="604"/>
      <c r="BB21" s="542"/>
      <c r="BC21" s="543"/>
      <c r="BD21" s="545"/>
      <c r="BE21" s="710" t="s">
        <v>394</v>
      </c>
      <c r="BF21" s="710"/>
      <c r="BG21" s="710"/>
      <c r="BH21" s="710"/>
      <c r="BI21" s="710"/>
      <c r="BJ21" s="710"/>
      <c r="BK21" s="710"/>
      <c r="BL21" s="710"/>
      <c r="BM21" s="710"/>
      <c r="BN21" s="710"/>
      <c r="BO21" s="710"/>
      <c r="BP21" s="710"/>
      <c r="BQ21" s="710"/>
      <c r="BR21" s="710"/>
      <c r="BS21" s="710"/>
      <c r="BT21" s="710"/>
    </row>
    <row r="22" spans="1:72" s="709" customFormat="1" ht="12.6" customHeight="1">
      <c r="A22" s="556"/>
      <c r="B22" s="600"/>
      <c r="C22" s="614"/>
      <c r="D22" s="615"/>
      <c r="E22" s="603"/>
      <c r="F22" s="603"/>
      <c r="G22" s="603"/>
      <c r="H22" s="653"/>
      <c r="I22" s="653"/>
      <c r="J22" s="653"/>
      <c r="K22" s="653"/>
      <c r="L22" s="653"/>
      <c r="M22" s="653"/>
      <c r="N22" s="653"/>
      <c r="O22" s="653"/>
      <c r="P22" s="653"/>
      <c r="Q22" s="653"/>
      <c r="R22" s="653"/>
      <c r="S22" s="653"/>
      <c r="T22" s="653"/>
      <c r="U22" s="653"/>
      <c r="V22" s="653"/>
      <c r="W22" s="653"/>
      <c r="X22" s="653"/>
      <c r="Y22" s="653"/>
      <c r="Z22" s="653"/>
      <c r="AA22" s="653"/>
      <c r="AB22" s="653"/>
      <c r="AC22" s="653"/>
      <c r="AD22" s="653"/>
      <c r="AE22" s="653"/>
      <c r="AF22" s="653"/>
      <c r="AG22" s="653"/>
      <c r="AH22" s="653"/>
      <c r="AI22" s="653"/>
      <c r="AJ22" s="653"/>
      <c r="AK22" s="653"/>
      <c r="AL22" s="653"/>
      <c r="AM22" s="653"/>
      <c r="AN22" s="653"/>
      <c r="AO22" s="653"/>
      <c r="AP22" s="653"/>
      <c r="AQ22" s="653"/>
      <c r="AR22" s="653"/>
      <c r="AS22" s="653"/>
      <c r="AT22" s="609"/>
      <c r="AU22" s="603"/>
      <c r="AV22" s="603"/>
      <c r="AW22" s="603"/>
      <c r="AX22" s="603"/>
      <c r="AY22" s="603"/>
      <c r="AZ22" s="604"/>
      <c r="BA22" s="604"/>
      <c r="BB22" s="570"/>
      <c r="BC22" s="571"/>
      <c r="BD22" s="544"/>
      <c r="BE22" s="710"/>
      <c r="BF22" s="710" t="s">
        <v>395</v>
      </c>
      <c r="BG22" s="710"/>
      <c r="BH22" s="710"/>
      <c r="BI22" s="710"/>
      <c r="BJ22" s="710"/>
      <c r="BK22" s="710"/>
      <c r="BL22" s="710"/>
      <c r="BM22" s="710"/>
      <c r="BN22" s="710"/>
      <c r="BO22" s="710"/>
      <c r="BP22" s="710"/>
      <c r="BQ22" s="710"/>
      <c r="BR22" s="710"/>
      <c r="BS22" s="710"/>
      <c r="BT22" s="710"/>
    </row>
    <row r="23" spans="1:72" s="709" customFormat="1" ht="12.6" customHeight="1">
      <c r="A23" s="556"/>
      <c r="B23" s="600"/>
      <c r="C23" s="614"/>
      <c r="D23" s="615"/>
      <c r="E23" s="603"/>
      <c r="F23" s="603"/>
      <c r="G23" s="603"/>
      <c r="H23" s="653"/>
      <c r="I23" s="653"/>
      <c r="J23" s="653"/>
      <c r="K23" s="653"/>
      <c r="L23" s="653"/>
      <c r="M23" s="653"/>
      <c r="N23" s="653"/>
      <c r="O23" s="653"/>
      <c r="P23" s="653"/>
      <c r="Q23" s="653"/>
      <c r="R23" s="653"/>
      <c r="S23" s="653"/>
      <c r="T23" s="653"/>
      <c r="U23" s="653"/>
      <c r="V23" s="653"/>
      <c r="W23" s="653"/>
      <c r="X23" s="653"/>
      <c r="Y23" s="653"/>
      <c r="Z23" s="653"/>
      <c r="AA23" s="653"/>
      <c r="AB23" s="653"/>
      <c r="AC23" s="653"/>
      <c r="AD23" s="653"/>
      <c r="AE23" s="653"/>
      <c r="AF23" s="653"/>
      <c r="AG23" s="653"/>
      <c r="AH23" s="653"/>
      <c r="AI23" s="653"/>
      <c r="AJ23" s="653"/>
      <c r="AK23" s="653"/>
      <c r="AL23" s="653"/>
      <c r="AM23" s="653"/>
      <c r="AN23" s="653"/>
      <c r="AO23" s="653"/>
      <c r="AP23" s="653"/>
      <c r="AQ23" s="653"/>
      <c r="AR23" s="653"/>
      <c r="AS23" s="655"/>
      <c r="AT23" s="616"/>
      <c r="AU23" s="616"/>
      <c r="AV23" s="616"/>
      <c r="AW23" s="616"/>
      <c r="AX23" s="616"/>
      <c r="AY23" s="616"/>
      <c r="AZ23" s="604"/>
      <c r="BA23" s="604"/>
      <c r="BB23" s="570"/>
      <c r="BC23" s="571"/>
      <c r="BD23" s="544"/>
      <c r="BE23" s="710"/>
      <c r="BF23" s="710"/>
      <c r="BG23" s="710" t="s">
        <v>396</v>
      </c>
      <c r="BH23" s="710"/>
      <c r="BI23" s="710"/>
      <c r="BJ23" s="710"/>
      <c r="BK23" s="710"/>
      <c r="BL23" s="710"/>
      <c r="BM23" s="710"/>
      <c r="BN23" s="710"/>
      <c r="BO23" s="710"/>
      <c r="BP23" s="710"/>
      <c r="BQ23" s="710"/>
      <c r="BR23" s="710"/>
      <c r="BS23" s="710"/>
      <c r="BT23" s="710"/>
    </row>
    <row r="24" spans="1:72" s="709" customFormat="1" ht="12.6" customHeight="1">
      <c r="A24" s="556"/>
      <c r="B24" s="600"/>
      <c r="C24" s="614"/>
      <c r="D24" s="615"/>
      <c r="E24" s="603"/>
      <c r="F24" s="603"/>
      <c r="G24" s="603"/>
      <c r="H24" s="653"/>
      <c r="I24" s="653"/>
      <c r="J24" s="863"/>
      <c r="K24" s="863"/>
      <c r="L24" s="863"/>
      <c r="M24" s="863"/>
      <c r="N24" s="656"/>
      <c r="O24" s="657"/>
      <c r="P24" s="656"/>
      <c r="Q24" s="653"/>
      <c r="R24" s="653"/>
      <c r="S24" s="653"/>
      <c r="T24" s="654"/>
      <c r="U24" s="654"/>
      <c r="V24" s="654"/>
      <c r="W24" s="654"/>
      <c r="X24" s="654"/>
      <c r="Y24" s="657"/>
      <c r="Z24" s="654"/>
      <c r="AA24" s="653"/>
      <c r="AB24" s="657"/>
      <c r="AC24" s="654"/>
      <c r="AD24" s="653"/>
      <c r="AE24" s="657"/>
      <c r="AF24" s="653"/>
      <c r="AG24" s="653"/>
      <c r="AH24" s="657"/>
      <c r="AI24" s="653"/>
      <c r="AJ24" s="653"/>
      <c r="AK24" s="658"/>
      <c r="AL24" s="653"/>
      <c r="AM24" s="653"/>
      <c r="AN24" s="653"/>
      <c r="AO24" s="653"/>
      <c r="AP24" s="653"/>
      <c r="AQ24" s="653"/>
      <c r="AR24" s="653"/>
      <c r="AS24" s="653"/>
      <c r="AT24" s="603"/>
      <c r="AU24" s="603"/>
      <c r="AV24" s="603"/>
      <c r="AW24" s="603"/>
      <c r="AX24" s="603"/>
      <c r="AY24" s="603"/>
      <c r="AZ24" s="604"/>
      <c r="BA24" s="604"/>
      <c r="BB24" s="570"/>
      <c r="BC24" s="571"/>
      <c r="BD24" s="544"/>
      <c r="BE24" s="710"/>
      <c r="BF24" s="710"/>
      <c r="BG24" s="710"/>
      <c r="BH24" s="710"/>
      <c r="BI24" s="710"/>
      <c r="BJ24" s="710"/>
      <c r="BK24" s="710"/>
      <c r="BL24" s="710"/>
      <c r="BM24" s="710"/>
      <c r="BN24" s="710"/>
      <c r="BO24" s="710"/>
      <c r="BP24" s="710"/>
      <c r="BQ24" s="710"/>
      <c r="BR24" s="710"/>
      <c r="BS24" s="710"/>
      <c r="BT24" s="710"/>
    </row>
    <row r="25" spans="1:72" s="709" customFormat="1" ht="25.5" customHeight="1">
      <c r="A25" s="556"/>
      <c r="B25" s="610"/>
      <c r="C25" s="606"/>
      <c r="D25" s="606"/>
      <c r="E25" s="606"/>
      <c r="F25" s="606"/>
      <c r="G25" s="606"/>
      <c r="H25" s="659"/>
      <c r="I25" s="659" t="s">
        <v>676</v>
      </c>
      <c r="J25" s="660"/>
      <c r="K25" s="660"/>
      <c r="L25" s="660"/>
      <c r="M25" s="660"/>
      <c r="N25" s="661"/>
      <c r="O25" s="659"/>
      <c r="P25" s="659"/>
      <c r="Q25" s="659"/>
      <c r="R25" s="659"/>
      <c r="S25" s="659"/>
      <c r="T25" s="661"/>
      <c r="U25" s="661"/>
      <c r="V25" s="661"/>
      <c r="W25" s="661"/>
      <c r="X25" s="661"/>
      <c r="Y25" s="662"/>
      <c r="Z25" s="661"/>
      <c r="AA25" s="659"/>
      <c r="AB25" s="662"/>
      <c r="AC25" s="661"/>
      <c r="AD25" s="659"/>
      <c r="AE25" s="662"/>
      <c r="AF25" s="659"/>
      <c r="AG25" s="663"/>
      <c r="AH25" s="664"/>
      <c r="AI25" s="663"/>
      <c r="AJ25" s="663"/>
      <c r="AK25" s="663"/>
      <c r="AL25" s="663"/>
      <c r="AM25" s="663"/>
      <c r="AN25" s="663"/>
      <c r="AO25" s="663"/>
      <c r="AP25" s="663"/>
      <c r="AQ25" s="663"/>
      <c r="AR25" s="663"/>
      <c r="AS25" s="663"/>
      <c r="AT25" s="603"/>
      <c r="AU25" s="603"/>
      <c r="AV25" s="603"/>
      <c r="AW25" s="603"/>
      <c r="AX25" s="607"/>
      <c r="AY25" s="598"/>
      <c r="AZ25" s="604"/>
      <c r="BA25" s="604"/>
      <c r="BB25" s="542"/>
      <c r="BC25" s="543"/>
      <c r="BD25" s="544"/>
      <c r="BE25" s="710"/>
      <c r="BF25" s="710" t="s">
        <v>397</v>
      </c>
      <c r="BG25" s="710"/>
      <c r="BH25" s="710"/>
      <c r="BI25" s="710"/>
      <c r="BJ25" s="710"/>
      <c r="BK25" s="710"/>
      <c r="BL25" s="710"/>
      <c r="BM25" s="710"/>
      <c r="BN25" s="710"/>
      <c r="BO25" s="710"/>
      <c r="BP25" s="710"/>
      <c r="BQ25" s="710"/>
      <c r="BR25" s="710"/>
      <c r="BS25" s="710"/>
      <c r="BT25" s="710"/>
    </row>
    <row r="26" spans="1:72" s="709" customFormat="1" ht="12.6" customHeight="1">
      <c r="A26" s="556"/>
      <c r="B26" s="600"/>
      <c r="C26" s="602"/>
      <c r="D26" s="602"/>
      <c r="E26" s="602"/>
      <c r="F26" s="602"/>
      <c r="G26" s="602"/>
      <c r="H26" s="602"/>
      <c r="I26" s="602"/>
      <c r="J26" s="602"/>
      <c r="K26" s="602"/>
      <c r="L26" s="602"/>
      <c r="M26" s="602"/>
      <c r="N26" s="602"/>
      <c r="O26" s="602"/>
      <c r="P26" s="602"/>
      <c r="Q26" s="602"/>
      <c r="R26" s="602"/>
      <c r="S26" s="602"/>
      <c r="T26" s="602"/>
      <c r="U26" s="602"/>
      <c r="V26" s="602"/>
      <c r="W26" s="602"/>
      <c r="X26" s="602"/>
      <c r="Y26" s="602"/>
      <c r="Z26" s="602"/>
      <c r="AA26" s="602"/>
      <c r="AB26" s="602"/>
      <c r="AC26" s="602"/>
      <c r="AD26" s="602"/>
      <c r="AE26" s="602"/>
      <c r="AF26" s="602"/>
      <c r="AG26" s="602"/>
      <c r="AH26" s="602"/>
      <c r="AI26" s="602"/>
      <c r="AJ26" s="602"/>
      <c r="AK26" s="602"/>
      <c r="AL26" s="602"/>
      <c r="AM26" s="602"/>
      <c r="AN26" s="602"/>
      <c r="AO26" s="602"/>
      <c r="AP26" s="602"/>
      <c r="AQ26" s="602"/>
      <c r="AR26" s="602"/>
      <c r="AS26" s="602"/>
      <c r="AT26" s="602"/>
      <c r="AU26" s="602"/>
      <c r="AV26" s="602"/>
      <c r="AW26" s="602"/>
      <c r="AX26" s="602"/>
      <c r="AY26" s="602"/>
      <c r="AZ26" s="604"/>
      <c r="BA26" s="604"/>
      <c r="BB26" s="570"/>
      <c r="BC26" s="571"/>
      <c r="BD26" s="544"/>
      <c r="BE26" s="710"/>
      <c r="BF26" s="710"/>
      <c r="BG26" s="710" t="s">
        <v>398</v>
      </c>
      <c r="BH26" s="710"/>
      <c r="BI26" s="710"/>
      <c r="BJ26" s="710"/>
      <c r="BK26" s="710"/>
      <c r="BL26" s="710"/>
      <c r="BM26" s="710"/>
      <c r="BN26" s="710"/>
      <c r="BO26" s="710"/>
      <c r="BP26" s="710"/>
      <c r="BQ26" s="710"/>
      <c r="BR26" s="710"/>
      <c r="BS26" s="710"/>
      <c r="BT26" s="710"/>
    </row>
    <row r="27" spans="1:72" s="709" customFormat="1" ht="12.6" customHeight="1">
      <c r="A27" s="556"/>
      <c r="B27" s="600"/>
      <c r="C27" s="602"/>
      <c r="D27" s="602"/>
      <c r="E27" s="602"/>
      <c r="F27" s="602"/>
      <c r="G27" s="602"/>
      <c r="H27" s="602"/>
      <c r="I27" s="602"/>
      <c r="J27" s="602"/>
      <c r="K27" s="602"/>
      <c r="L27" s="602"/>
      <c r="M27" s="602"/>
      <c r="N27" s="602"/>
      <c r="O27" s="602"/>
      <c r="P27" s="602"/>
      <c r="Q27" s="602"/>
      <c r="R27" s="602"/>
      <c r="S27" s="602"/>
      <c r="T27" s="602"/>
      <c r="U27" s="602"/>
      <c r="V27" s="602"/>
      <c r="W27" s="602"/>
      <c r="X27" s="602"/>
      <c r="Y27" s="602"/>
      <c r="Z27" s="602"/>
      <c r="AA27" s="602"/>
      <c r="AB27" s="602"/>
      <c r="AC27" s="602"/>
      <c r="AD27" s="602"/>
      <c r="AE27" s="602"/>
      <c r="AF27" s="602"/>
      <c r="AG27" s="602"/>
      <c r="AH27" s="602"/>
      <c r="AI27" s="602"/>
      <c r="AJ27" s="602"/>
      <c r="AK27" s="602"/>
      <c r="AL27" s="602"/>
      <c r="AM27" s="602"/>
      <c r="AN27" s="602"/>
      <c r="AO27" s="602"/>
      <c r="AP27" s="602"/>
      <c r="AQ27" s="602"/>
      <c r="AR27" s="602"/>
      <c r="AS27" s="602"/>
      <c r="AT27" s="602"/>
      <c r="AU27" s="602"/>
      <c r="AV27" s="602"/>
      <c r="AW27" s="602"/>
      <c r="AX27" s="602"/>
      <c r="AY27" s="602"/>
      <c r="AZ27" s="604"/>
      <c r="BA27" s="604"/>
      <c r="BB27" s="570"/>
      <c r="BC27" s="571"/>
      <c r="BD27" s="544"/>
      <c r="BE27" s="710"/>
      <c r="BF27" s="710"/>
      <c r="BG27" s="710" t="s">
        <v>399</v>
      </c>
      <c r="BH27" s="710"/>
      <c r="BI27" s="710"/>
      <c r="BJ27" s="710"/>
      <c r="BK27" s="710"/>
      <c r="BL27" s="710"/>
      <c r="BM27" s="710"/>
      <c r="BN27" s="710"/>
      <c r="BO27" s="710"/>
      <c r="BP27" s="710"/>
      <c r="BQ27" s="710"/>
      <c r="BR27" s="710"/>
      <c r="BS27" s="710"/>
      <c r="BT27" s="710"/>
    </row>
    <row r="28" spans="1:72" s="709" customFormat="1" ht="17.100000000000001" customHeight="1">
      <c r="A28" s="556"/>
      <c r="B28" s="600"/>
      <c r="C28" s="598"/>
      <c r="D28" s="598"/>
      <c r="E28" s="598"/>
      <c r="F28" s="598"/>
      <c r="G28" s="598"/>
      <c r="H28" s="869" t="s">
        <v>677</v>
      </c>
      <c r="I28" s="870"/>
      <c r="J28" s="870"/>
      <c r="K28" s="870"/>
      <c r="L28" s="871"/>
      <c r="M28" s="875" t="s">
        <v>684</v>
      </c>
      <c r="N28" s="876"/>
      <c r="O28" s="876"/>
      <c r="P28" s="876"/>
      <c r="Q28" s="877"/>
      <c r="R28" s="869" t="s">
        <v>678</v>
      </c>
      <c r="S28" s="870"/>
      <c r="T28" s="870"/>
      <c r="U28" s="870"/>
      <c r="V28" s="871"/>
      <c r="W28" s="881" t="s">
        <v>679</v>
      </c>
      <c r="X28" s="882"/>
      <c r="Y28" s="882"/>
      <c r="Z28" s="883"/>
      <c r="AA28" s="881" t="s">
        <v>680</v>
      </c>
      <c r="AB28" s="882"/>
      <c r="AC28" s="882"/>
      <c r="AD28" s="883"/>
      <c r="AE28" s="869" t="s">
        <v>681</v>
      </c>
      <c r="AF28" s="870"/>
      <c r="AG28" s="870"/>
      <c r="AH28" s="871"/>
      <c r="AI28" s="869" t="s">
        <v>682</v>
      </c>
      <c r="AJ28" s="870"/>
      <c r="AK28" s="870"/>
      <c r="AL28" s="870"/>
      <c r="AM28" s="871"/>
      <c r="AN28" s="869" t="s">
        <v>683</v>
      </c>
      <c r="AO28" s="870"/>
      <c r="AP28" s="870"/>
      <c r="AQ28" s="870"/>
      <c r="AR28" s="870"/>
      <c r="AS28" s="871"/>
      <c r="AT28" s="607"/>
      <c r="AU28" s="598"/>
      <c r="AV28" s="603"/>
      <c r="AW28" s="603"/>
      <c r="AX28" s="603"/>
      <c r="AY28" s="598"/>
      <c r="AZ28" s="604"/>
      <c r="BA28" s="604"/>
      <c r="BB28" s="542"/>
      <c r="BC28" s="543"/>
      <c r="BD28" s="545"/>
      <c r="BE28" s="710"/>
      <c r="BF28" s="710"/>
      <c r="BG28" s="713" t="s">
        <v>400</v>
      </c>
      <c r="BH28" s="710"/>
      <c r="BI28" s="710"/>
      <c r="BJ28" s="710"/>
      <c r="BK28" s="710"/>
      <c r="BL28" s="710"/>
      <c r="BM28" s="710"/>
      <c r="BN28" s="710"/>
      <c r="BO28" s="710"/>
      <c r="BP28" s="710"/>
      <c r="BQ28" s="710"/>
      <c r="BR28" s="710"/>
      <c r="BS28" s="710"/>
      <c r="BT28" s="710"/>
    </row>
    <row r="29" spans="1:72" s="709" customFormat="1" ht="17.100000000000001" customHeight="1">
      <c r="A29" s="556"/>
      <c r="B29" s="600"/>
      <c r="C29" s="598"/>
      <c r="D29" s="598"/>
      <c r="E29" s="598"/>
      <c r="F29" s="598"/>
      <c r="G29" s="598"/>
      <c r="H29" s="872"/>
      <c r="I29" s="873"/>
      <c r="J29" s="873"/>
      <c r="K29" s="873"/>
      <c r="L29" s="874"/>
      <c r="M29" s="878"/>
      <c r="N29" s="879"/>
      <c r="O29" s="879"/>
      <c r="P29" s="879"/>
      <c r="Q29" s="880"/>
      <c r="R29" s="872"/>
      <c r="S29" s="873"/>
      <c r="T29" s="873"/>
      <c r="U29" s="873"/>
      <c r="V29" s="874"/>
      <c r="W29" s="884"/>
      <c r="X29" s="885"/>
      <c r="Y29" s="885"/>
      <c r="Z29" s="886"/>
      <c r="AA29" s="884"/>
      <c r="AB29" s="885"/>
      <c r="AC29" s="885"/>
      <c r="AD29" s="886"/>
      <c r="AE29" s="872"/>
      <c r="AF29" s="873"/>
      <c r="AG29" s="873"/>
      <c r="AH29" s="874"/>
      <c r="AI29" s="872"/>
      <c r="AJ29" s="873"/>
      <c r="AK29" s="873"/>
      <c r="AL29" s="873"/>
      <c r="AM29" s="874"/>
      <c r="AN29" s="872"/>
      <c r="AO29" s="873"/>
      <c r="AP29" s="873"/>
      <c r="AQ29" s="873"/>
      <c r="AR29" s="873"/>
      <c r="AS29" s="874"/>
      <c r="AT29" s="607"/>
      <c r="AU29" s="598"/>
      <c r="AV29" s="603"/>
      <c r="AW29" s="603"/>
      <c r="AX29" s="603"/>
      <c r="AY29" s="598"/>
      <c r="AZ29" s="604"/>
      <c r="BA29" s="604"/>
      <c r="BB29" s="542"/>
      <c r="BC29" s="543"/>
      <c r="BD29" s="545"/>
      <c r="BE29" s="710"/>
      <c r="BF29" s="710"/>
      <c r="BG29" s="713"/>
      <c r="BH29" s="710"/>
      <c r="BI29" s="710"/>
      <c r="BJ29" s="710"/>
      <c r="BK29" s="710"/>
      <c r="BL29" s="710"/>
      <c r="BM29" s="710"/>
      <c r="BN29" s="710"/>
      <c r="BO29" s="710"/>
      <c r="BP29" s="710"/>
      <c r="BQ29" s="710"/>
      <c r="BR29" s="710"/>
      <c r="BS29" s="710"/>
      <c r="BT29" s="710"/>
    </row>
    <row r="30" spans="1:72" s="709" customFormat="1" ht="16.5" customHeight="1">
      <c r="A30" s="556"/>
      <c r="B30" s="600"/>
      <c r="C30" s="614"/>
      <c r="D30" s="615"/>
      <c r="E30" s="603"/>
      <c r="F30" s="603"/>
      <c r="G30" s="603"/>
      <c r="H30" s="674" t="s">
        <v>346</v>
      </c>
      <c r="I30" s="675"/>
      <c r="J30" s="675"/>
      <c r="K30" s="675"/>
      <c r="L30" s="676"/>
      <c r="M30" s="798" t="s">
        <v>685</v>
      </c>
      <c r="N30" s="675"/>
      <c r="O30" s="675"/>
      <c r="P30" s="675"/>
      <c r="Q30" s="676"/>
      <c r="R30" s="798" t="s">
        <v>685</v>
      </c>
      <c r="S30" s="678"/>
      <c r="T30" s="679"/>
      <c r="U30" s="679"/>
      <c r="V30" s="680"/>
      <c r="W30" s="707" t="s">
        <v>381</v>
      </c>
      <c r="X30" s="679"/>
      <c r="Y30" s="680"/>
      <c r="Z30" s="681"/>
      <c r="AA30" s="688" t="s">
        <v>380</v>
      </c>
      <c r="AB30" s="678"/>
      <c r="AC30" s="679"/>
      <c r="AD30" s="680"/>
      <c r="AE30" s="681" t="s">
        <v>382</v>
      </c>
      <c r="AF30" s="678"/>
      <c r="AG30" s="678"/>
      <c r="AH30" s="685"/>
      <c r="AI30" s="799" t="s">
        <v>688</v>
      </c>
      <c r="AJ30" s="678"/>
      <c r="AK30" s="678"/>
      <c r="AL30" s="678"/>
      <c r="AM30" s="685"/>
      <c r="AN30" s="689"/>
      <c r="AO30" s="678"/>
      <c r="AP30" s="678"/>
      <c r="AQ30" s="678"/>
      <c r="AR30" s="678"/>
      <c r="AS30" s="686"/>
      <c r="AT30" s="609"/>
      <c r="AU30" s="603"/>
      <c r="AV30" s="603"/>
      <c r="AW30" s="603"/>
      <c r="AX30" s="603"/>
      <c r="AY30" s="603"/>
      <c r="AZ30" s="604"/>
      <c r="BA30" s="604"/>
      <c r="BB30" s="570"/>
      <c r="BC30" s="571"/>
      <c r="BD30" s="544"/>
      <c r="BE30" s="710"/>
      <c r="BF30" s="710"/>
      <c r="BG30" s="713"/>
      <c r="BH30" s="710"/>
      <c r="BI30" s="710"/>
      <c r="BJ30" s="710"/>
      <c r="BK30" s="710"/>
      <c r="BL30" s="710"/>
      <c r="BM30" s="710"/>
      <c r="BN30" s="710"/>
      <c r="BO30" s="710"/>
      <c r="BP30" s="710"/>
      <c r="BQ30" s="710"/>
      <c r="BR30" s="710"/>
      <c r="BS30" s="710"/>
      <c r="BT30" s="710"/>
    </row>
    <row r="31" spans="1:72" s="709" customFormat="1" ht="16.5" customHeight="1">
      <c r="A31" s="556"/>
      <c r="B31" s="600"/>
      <c r="C31" s="614"/>
      <c r="D31" s="615"/>
      <c r="E31" s="603"/>
      <c r="F31" s="603"/>
      <c r="G31" s="603"/>
      <c r="H31" s="674" t="s">
        <v>347</v>
      </c>
      <c r="I31" s="675"/>
      <c r="J31" s="675"/>
      <c r="K31" s="675"/>
      <c r="L31" s="676"/>
      <c r="M31" s="798" t="s">
        <v>686</v>
      </c>
      <c r="N31" s="675"/>
      <c r="O31" s="675"/>
      <c r="P31" s="675"/>
      <c r="Q31" s="676"/>
      <c r="R31" s="798" t="s">
        <v>686</v>
      </c>
      <c r="S31" s="678"/>
      <c r="T31" s="679"/>
      <c r="U31" s="679"/>
      <c r="V31" s="680"/>
      <c r="W31" s="707" t="s">
        <v>381</v>
      </c>
      <c r="X31" s="679"/>
      <c r="Y31" s="680"/>
      <c r="Z31" s="681"/>
      <c r="AA31" s="688" t="s">
        <v>380</v>
      </c>
      <c r="AB31" s="678"/>
      <c r="AC31" s="679"/>
      <c r="AD31" s="680"/>
      <c r="AE31" s="681" t="s">
        <v>383</v>
      </c>
      <c r="AF31" s="678"/>
      <c r="AG31" s="678"/>
      <c r="AH31" s="685"/>
      <c r="AI31" s="677" t="s">
        <v>352</v>
      </c>
      <c r="AJ31" s="678"/>
      <c r="AK31" s="678"/>
      <c r="AL31" s="678"/>
      <c r="AM31" s="685"/>
      <c r="AN31" s="689"/>
      <c r="AO31" s="678"/>
      <c r="AP31" s="678"/>
      <c r="AQ31" s="678"/>
      <c r="AR31" s="678"/>
      <c r="AS31" s="686"/>
      <c r="AT31" s="616"/>
      <c r="AU31" s="616"/>
      <c r="AV31" s="616"/>
      <c r="AW31" s="616"/>
      <c r="AX31" s="616"/>
      <c r="AY31" s="616"/>
      <c r="AZ31" s="604"/>
      <c r="BA31" s="604"/>
      <c r="BB31" s="570"/>
      <c r="BC31" s="571"/>
      <c r="BD31" s="544"/>
      <c r="BE31" s="710"/>
      <c r="BF31" s="710" t="s">
        <v>401</v>
      </c>
      <c r="BG31" s="713"/>
      <c r="BH31" s="710"/>
      <c r="BI31" s="710"/>
      <c r="BJ31" s="710"/>
      <c r="BK31" s="710"/>
      <c r="BL31" s="710"/>
      <c r="BM31" s="710"/>
      <c r="BN31" s="710"/>
      <c r="BO31" s="710"/>
      <c r="BP31" s="710"/>
      <c r="BQ31" s="710"/>
      <c r="BR31" s="710"/>
      <c r="BS31" s="710"/>
      <c r="BT31" s="710"/>
    </row>
    <row r="32" spans="1:72" s="709" customFormat="1" ht="16.5" customHeight="1">
      <c r="A32" s="556"/>
      <c r="B32" s="600"/>
      <c r="C32" s="602"/>
      <c r="D32" s="602"/>
      <c r="E32" s="602"/>
      <c r="F32" s="602"/>
      <c r="G32" s="602"/>
      <c r="H32" s="674" t="s">
        <v>348</v>
      </c>
      <c r="I32" s="675"/>
      <c r="J32" s="675"/>
      <c r="K32" s="675"/>
      <c r="L32" s="676"/>
      <c r="M32" s="798" t="s">
        <v>687</v>
      </c>
      <c r="N32" s="675"/>
      <c r="O32" s="675"/>
      <c r="P32" s="675"/>
      <c r="Q32" s="676"/>
      <c r="R32" s="798" t="s">
        <v>687</v>
      </c>
      <c r="S32" s="678"/>
      <c r="T32" s="679"/>
      <c r="U32" s="679"/>
      <c r="V32" s="680"/>
      <c r="W32" s="707" t="s">
        <v>381</v>
      </c>
      <c r="X32" s="679"/>
      <c r="Y32" s="680"/>
      <c r="Z32" s="681"/>
      <c r="AA32" s="688" t="s">
        <v>380</v>
      </c>
      <c r="AB32" s="678"/>
      <c r="AC32" s="679"/>
      <c r="AD32" s="680"/>
      <c r="AE32" s="681" t="s">
        <v>382</v>
      </c>
      <c r="AF32" s="678"/>
      <c r="AG32" s="678"/>
      <c r="AH32" s="685"/>
      <c r="AI32" s="799" t="s">
        <v>689</v>
      </c>
      <c r="AJ32" s="678"/>
      <c r="AK32" s="678"/>
      <c r="AL32" s="678"/>
      <c r="AM32" s="685"/>
      <c r="AN32" s="689"/>
      <c r="AO32" s="678"/>
      <c r="AP32" s="678"/>
      <c r="AQ32" s="678"/>
      <c r="AR32" s="678"/>
      <c r="AS32" s="686"/>
      <c r="AT32" s="602"/>
      <c r="AU32" s="602"/>
      <c r="AV32" s="602"/>
      <c r="AW32" s="602"/>
      <c r="AX32" s="602"/>
      <c r="AY32" s="602"/>
      <c r="AZ32" s="604"/>
      <c r="BA32" s="604"/>
      <c r="BB32" s="570"/>
      <c r="BC32" s="571"/>
      <c r="BD32" s="544"/>
      <c r="BE32" s="710"/>
      <c r="BF32" s="710"/>
      <c r="BG32" s="710" t="s">
        <v>402</v>
      </c>
      <c r="BH32" s="710"/>
      <c r="BI32" s="710"/>
      <c r="BJ32" s="710"/>
      <c r="BK32" s="710"/>
      <c r="BL32" s="710"/>
      <c r="BM32" s="710"/>
      <c r="BN32" s="710"/>
      <c r="BO32" s="710"/>
      <c r="BP32" s="710"/>
      <c r="BQ32" s="710"/>
      <c r="BR32" s="710"/>
      <c r="BS32" s="710"/>
      <c r="BT32" s="710"/>
    </row>
    <row r="33" spans="1:72" s="709" customFormat="1" ht="12.6" customHeight="1">
      <c r="A33" s="556"/>
      <c r="B33" s="600"/>
      <c r="C33" s="602"/>
      <c r="D33" s="602"/>
      <c r="E33" s="602"/>
      <c r="F33" s="602"/>
      <c r="G33" s="602"/>
      <c r="H33" s="602"/>
      <c r="I33" s="602"/>
      <c r="J33" s="602"/>
      <c r="K33" s="602"/>
      <c r="L33" s="602"/>
      <c r="M33" s="602"/>
      <c r="N33" s="602"/>
      <c r="O33" s="602"/>
      <c r="P33" s="602"/>
      <c r="Q33" s="602"/>
      <c r="R33" s="602"/>
      <c r="S33" s="602"/>
      <c r="T33" s="602"/>
      <c r="U33" s="602"/>
      <c r="V33" s="602"/>
      <c r="W33" s="602"/>
      <c r="X33" s="602"/>
      <c r="Y33" s="602"/>
      <c r="Z33" s="602"/>
      <c r="AA33" s="602"/>
      <c r="AB33" s="602"/>
      <c r="AC33" s="602"/>
      <c r="AD33" s="602"/>
      <c r="AE33" s="602"/>
      <c r="AF33" s="602"/>
      <c r="AG33" s="602"/>
      <c r="AH33" s="602"/>
      <c r="AI33" s="602"/>
      <c r="AJ33" s="602"/>
      <c r="AK33" s="602"/>
      <c r="AL33" s="602"/>
      <c r="AM33" s="602"/>
      <c r="AN33" s="602"/>
      <c r="AO33" s="602"/>
      <c r="AP33" s="602"/>
      <c r="AQ33" s="602"/>
      <c r="AR33" s="602"/>
      <c r="AS33" s="602"/>
      <c r="AT33" s="602"/>
      <c r="AU33" s="602"/>
      <c r="AV33" s="602"/>
      <c r="AW33" s="602"/>
      <c r="AX33" s="602"/>
      <c r="AY33" s="602"/>
      <c r="AZ33" s="604"/>
      <c r="BA33" s="604"/>
      <c r="BB33" s="570"/>
      <c r="BC33" s="571"/>
      <c r="BD33" s="544"/>
      <c r="BE33" s="710"/>
      <c r="BF33" s="710"/>
      <c r="BG33" s="713" t="s">
        <v>403</v>
      </c>
      <c r="BH33" s="710"/>
      <c r="BI33" s="710"/>
      <c r="BJ33" s="710"/>
      <c r="BK33" s="710"/>
      <c r="BL33" s="710"/>
      <c r="BM33" s="710"/>
      <c r="BN33" s="710"/>
      <c r="BO33" s="710"/>
      <c r="BP33" s="710"/>
      <c r="BQ33" s="710"/>
      <c r="BR33" s="710"/>
      <c r="BS33" s="710"/>
      <c r="BT33" s="710"/>
    </row>
    <row r="34" spans="1:72" s="709" customFormat="1" ht="12.6" customHeight="1">
      <c r="A34" s="556"/>
      <c r="B34" s="600"/>
      <c r="C34" s="602"/>
      <c r="D34" s="602"/>
      <c r="E34" s="602"/>
      <c r="F34" s="602"/>
      <c r="G34" s="602"/>
      <c r="H34" s="602"/>
      <c r="I34" s="602"/>
      <c r="J34" s="602"/>
      <c r="K34" s="602"/>
      <c r="L34" s="602"/>
      <c r="M34" s="602"/>
      <c r="N34" s="602"/>
      <c r="O34" s="775"/>
      <c r="P34" s="775"/>
      <c r="Q34" s="775"/>
      <c r="R34" s="775"/>
      <c r="S34" s="775"/>
      <c r="T34" s="775"/>
      <c r="U34" s="775"/>
      <c r="V34" s="775"/>
      <c r="W34" s="775"/>
      <c r="X34" s="775"/>
      <c r="Y34" s="775"/>
      <c r="Z34" s="775"/>
      <c r="AA34" s="775"/>
      <c r="AB34" s="775"/>
      <c r="AC34" s="775"/>
      <c r="AD34" s="775"/>
      <c r="AE34" s="776"/>
      <c r="AF34" s="776"/>
      <c r="AG34" s="602"/>
      <c r="AH34" s="602"/>
      <c r="AI34" s="602"/>
      <c r="AJ34" s="602"/>
      <c r="AK34" s="602"/>
      <c r="AL34" s="602"/>
      <c r="AM34" s="602"/>
      <c r="AN34" s="602"/>
      <c r="AO34" s="602"/>
      <c r="AP34" s="602"/>
      <c r="AQ34" s="602"/>
      <c r="AR34" s="602"/>
      <c r="AS34" s="602"/>
      <c r="AT34" s="602"/>
      <c r="AU34" s="602"/>
      <c r="AV34" s="602"/>
      <c r="AW34" s="602"/>
      <c r="AX34" s="602"/>
      <c r="AY34" s="602"/>
      <c r="AZ34" s="604"/>
      <c r="BA34" s="604"/>
      <c r="BB34" s="542"/>
      <c r="BC34" s="543"/>
      <c r="BD34" s="545"/>
      <c r="BE34" s="710"/>
      <c r="BF34" s="710"/>
      <c r="BG34" s="710" t="s">
        <v>404</v>
      </c>
      <c r="BH34" s="710"/>
      <c r="BI34" s="710"/>
      <c r="BJ34" s="710"/>
      <c r="BK34" s="710"/>
      <c r="BL34" s="710"/>
      <c r="BM34" s="710"/>
      <c r="BN34" s="710"/>
      <c r="BO34" s="710"/>
      <c r="BP34" s="710"/>
      <c r="BQ34" s="710"/>
      <c r="BR34" s="710"/>
      <c r="BS34" s="710"/>
      <c r="BT34" s="710"/>
    </row>
    <row r="35" spans="1:72" s="709" customFormat="1" ht="14.25">
      <c r="A35" s="556"/>
      <c r="B35" s="610"/>
      <c r="C35" s="603"/>
      <c r="D35" s="603"/>
      <c r="E35" s="603"/>
      <c r="F35" s="603"/>
      <c r="G35" s="603"/>
      <c r="H35" s="603"/>
      <c r="I35" s="603"/>
      <c r="J35" s="603"/>
      <c r="K35" s="603"/>
      <c r="L35" s="603"/>
      <c r="M35" s="603"/>
      <c r="N35" s="603"/>
      <c r="O35" s="603"/>
      <c r="P35" s="603"/>
      <c r="Q35" s="603"/>
      <c r="R35" s="603"/>
      <c r="S35" s="609"/>
      <c r="T35" s="609"/>
      <c r="U35" s="609"/>
      <c r="V35" s="609"/>
      <c r="W35" s="603"/>
      <c r="X35" s="603"/>
      <c r="Y35" s="609"/>
      <c r="Z35" s="777"/>
      <c r="AA35" s="603"/>
      <c r="AB35" s="603"/>
      <c r="AC35" s="603"/>
      <c r="AD35" s="609"/>
      <c r="AE35" s="609"/>
      <c r="AF35" s="609"/>
      <c r="AG35" s="609"/>
      <c r="AH35" s="609"/>
      <c r="AI35" s="609"/>
      <c r="AJ35" s="609"/>
      <c r="AK35" s="609"/>
      <c r="AL35" s="609"/>
      <c r="AM35" s="609"/>
      <c r="AN35" s="609"/>
      <c r="AO35" s="609"/>
      <c r="AP35" s="609"/>
      <c r="AQ35" s="609"/>
      <c r="AR35" s="609"/>
      <c r="AS35" s="609"/>
      <c r="AT35" s="609"/>
      <c r="AU35" s="609"/>
      <c r="AV35" s="609"/>
      <c r="AW35" s="609"/>
      <c r="AX35" s="609"/>
      <c r="AY35" s="598"/>
      <c r="AZ35" s="604"/>
      <c r="BA35" s="604"/>
      <c r="BB35" s="570"/>
      <c r="BC35" s="571"/>
      <c r="BD35" s="572"/>
      <c r="BE35" s="710"/>
      <c r="BF35" s="710"/>
      <c r="BG35" s="713" t="s">
        <v>405</v>
      </c>
      <c r="BH35" s="710"/>
      <c r="BI35" s="710"/>
      <c r="BJ35" s="710"/>
      <c r="BK35" s="710"/>
      <c r="BL35" s="710"/>
      <c r="BM35" s="710"/>
      <c r="BN35" s="710"/>
      <c r="BO35" s="710"/>
      <c r="BP35" s="710"/>
      <c r="BQ35" s="710"/>
      <c r="BR35" s="710"/>
      <c r="BS35" s="710"/>
      <c r="BT35" s="710"/>
    </row>
    <row r="36" spans="1:72" s="709" customFormat="1" ht="15.75">
      <c r="A36" s="556"/>
      <c r="B36" s="718"/>
      <c r="C36" s="719"/>
      <c r="D36" s="719"/>
      <c r="E36" s="719"/>
      <c r="F36" s="719"/>
      <c r="G36" s="719"/>
      <c r="H36" s="719"/>
      <c r="I36" s="719"/>
      <c r="J36" s="719"/>
      <c r="K36" s="719"/>
      <c r="L36" s="719"/>
      <c r="M36" s="719"/>
      <c r="N36" s="719"/>
      <c r="O36" s="719"/>
      <c r="P36" s="719"/>
      <c r="Q36" s="719"/>
      <c r="R36" s="719"/>
      <c r="S36" s="720"/>
      <c r="T36" s="720"/>
      <c r="U36" s="720"/>
      <c r="V36" s="720"/>
      <c r="W36" s="719"/>
      <c r="X36" s="719"/>
      <c r="Y36" s="720"/>
      <c r="Z36" s="720"/>
      <c r="AA36" s="719"/>
      <c r="AB36" s="719"/>
      <c r="AC36" s="719"/>
      <c r="AD36" s="720"/>
      <c r="AE36" s="720"/>
      <c r="AF36" s="720"/>
      <c r="AG36" s="720"/>
      <c r="AH36" s="720"/>
      <c r="AI36" s="720"/>
      <c r="AJ36" s="720"/>
      <c r="AK36" s="720"/>
      <c r="AL36" s="720"/>
      <c r="AM36" s="720"/>
      <c r="AN36" s="720"/>
      <c r="AO36" s="720"/>
      <c r="AP36" s="720"/>
      <c r="AQ36" s="720"/>
      <c r="AR36" s="720"/>
      <c r="AS36" s="720"/>
      <c r="AT36" s="720"/>
      <c r="AU36" s="720"/>
      <c r="AV36" s="720"/>
      <c r="AW36" s="720"/>
      <c r="AX36" s="720"/>
      <c r="AY36" s="718"/>
      <c r="AZ36" s="718"/>
      <c r="BA36" s="604"/>
      <c r="BB36" s="721"/>
      <c r="BC36" s="722"/>
      <c r="BD36" s="572"/>
      <c r="BE36" s="710"/>
      <c r="BF36" s="710"/>
      <c r="BG36" s="713" t="s">
        <v>406</v>
      </c>
      <c r="BH36" s="710"/>
      <c r="BI36" s="710"/>
      <c r="BJ36" s="710"/>
      <c r="BK36" s="710"/>
      <c r="BL36" s="710"/>
      <c r="BM36" s="710"/>
      <c r="BN36" s="710"/>
      <c r="BO36" s="710"/>
      <c r="BP36" s="710"/>
      <c r="BQ36" s="710"/>
      <c r="BR36" s="710"/>
      <c r="BS36" s="710"/>
      <c r="BT36" s="710"/>
    </row>
    <row r="37" spans="1:72" s="709" customFormat="1" ht="15.75">
      <c r="A37" s="545"/>
      <c r="B37" s="545"/>
      <c r="C37" s="545"/>
      <c r="D37" s="545"/>
      <c r="E37" s="545"/>
      <c r="F37" s="545"/>
      <c r="G37" s="545"/>
      <c r="H37" s="545"/>
      <c r="I37" s="545"/>
      <c r="J37" s="545"/>
      <c r="K37" s="545"/>
      <c r="L37" s="545"/>
      <c r="M37" s="545"/>
      <c r="N37" s="545"/>
      <c r="O37" s="545"/>
      <c r="P37" s="545"/>
      <c r="Q37" s="545"/>
      <c r="R37" s="545"/>
      <c r="S37" s="576"/>
      <c r="T37" s="576"/>
      <c r="U37" s="576"/>
      <c r="V37" s="576"/>
      <c r="W37" s="545"/>
      <c r="X37" s="545"/>
      <c r="Y37" s="576"/>
      <c r="Z37" s="576"/>
      <c r="AA37" s="545"/>
      <c r="AB37" s="545"/>
      <c r="AC37" s="545"/>
      <c r="AD37" s="576"/>
      <c r="AE37" s="576"/>
      <c r="AF37" s="576"/>
      <c r="AG37" s="576"/>
      <c r="AH37" s="576"/>
      <c r="AI37" s="576"/>
      <c r="AJ37" s="576"/>
      <c r="AK37" s="576"/>
      <c r="AL37" s="576"/>
      <c r="AM37" s="576"/>
      <c r="AN37" s="576"/>
      <c r="AO37" s="576"/>
      <c r="AP37" s="576"/>
      <c r="AQ37" s="576"/>
      <c r="AR37" s="576"/>
      <c r="AS37" s="576"/>
      <c r="AT37" s="576"/>
      <c r="AU37" s="576"/>
      <c r="AV37" s="576"/>
      <c r="AW37" s="576"/>
      <c r="AX37" s="576"/>
      <c r="AY37" s="576"/>
      <c r="AZ37" s="576"/>
      <c r="BA37" s="604"/>
      <c r="BB37" s="723"/>
      <c r="BC37" s="571"/>
      <c r="BD37" s="572"/>
      <c r="BE37" s="710"/>
      <c r="BF37" s="710"/>
      <c r="BG37" s="713" t="s">
        <v>407</v>
      </c>
      <c r="BH37" s="710"/>
      <c r="BI37" s="710"/>
      <c r="BJ37" s="710"/>
      <c r="BK37" s="710"/>
      <c r="BL37" s="710"/>
      <c r="BM37" s="710"/>
      <c r="BN37" s="710"/>
      <c r="BO37" s="710"/>
      <c r="BP37" s="710"/>
      <c r="BQ37" s="710"/>
      <c r="BR37" s="710"/>
      <c r="BS37" s="710"/>
      <c r="BT37" s="710"/>
    </row>
    <row r="38" spans="1:72" s="709" customFormat="1" ht="15.75">
      <c r="A38" s="545"/>
      <c r="B38" s="545"/>
      <c r="C38" s="545"/>
      <c r="D38" s="545"/>
      <c r="E38" s="545"/>
      <c r="F38" s="545"/>
      <c r="G38" s="545"/>
      <c r="H38" s="545"/>
      <c r="I38" s="545"/>
      <c r="J38" s="545"/>
      <c r="K38" s="545"/>
      <c r="L38" s="545"/>
      <c r="M38" s="545"/>
      <c r="N38" s="545"/>
      <c r="O38" s="545"/>
      <c r="P38" s="545"/>
      <c r="Q38" s="545"/>
      <c r="R38" s="545"/>
      <c r="S38" s="576"/>
      <c r="T38" s="576"/>
      <c r="U38" s="576"/>
      <c r="V38" s="576"/>
      <c r="W38" s="545"/>
      <c r="X38" s="545"/>
      <c r="Y38" s="576"/>
      <c r="Z38" s="576"/>
      <c r="AA38" s="545"/>
      <c r="AB38" s="545"/>
      <c r="AC38" s="545"/>
      <c r="AD38" s="576"/>
      <c r="AE38" s="576"/>
      <c r="AF38" s="576"/>
      <c r="AG38" s="576"/>
      <c r="AH38" s="576"/>
      <c r="AI38" s="576"/>
      <c r="AJ38" s="576"/>
      <c r="AK38" s="576"/>
      <c r="AL38" s="576"/>
      <c r="AM38" s="576"/>
      <c r="AN38" s="576"/>
      <c r="AO38" s="576"/>
      <c r="AP38" s="576"/>
      <c r="AQ38" s="576"/>
      <c r="AR38" s="576"/>
      <c r="AS38" s="576"/>
      <c r="AT38" s="576"/>
      <c r="AU38" s="576"/>
      <c r="AV38" s="576"/>
      <c r="AW38" s="576"/>
      <c r="AX38" s="576"/>
      <c r="AY38" s="576"/>
      <c r="AZ38" s="576"/>
      <c r="BA38" s="604"/>
      <c r="BB38" s="723"/>
      <c r="BC38" s="571"/>
      <c r="BD38" s="572"/>
      <c r="BE38" s="710"/>
      <c r="BF38" s="710"/>
      <c r="BG38" s="713"/>
      <c r="BH38" s="710"/>
      <c r="BI38" s="710"/>
      <c r="BJ38" s="710"/>
      <c r="BK38" s="710"/>
      <c r="BL38" s="710"/>
      <c r="BM38" s="710"/>
      <c r="BN38" s="710"/>
      <c r="BO38" s="710"/>
      <c r="BP38" s="710"/>
      <c r="BQ38" s="710"/>
      <c r="BR38" s="710"/>
      <c r="BS38" s="710"/>
      <c r="BT38" s="710"/>
    </row>
    <row r="39" spans="1:72" s="709" customFormat="1" ht="15.75">
      <c r="A39" s="545"/>
      <c r="B39" s="861" t="s">
        <v>450</v>
      </c>
      <c r="C39" s="861"/>
      <c r="D39" s="861"/>
      <c r="E39" s="861"/>
      <c r="F39" s="861" t="s">
        <v>451</v>
      </c>
      <c r="G39" s="861"/>
      <c r="H39" s="861"/>
      <c r="I39" s="861"/>
      <c r="J39" s="861" t="s">
        <v>452</v>
      </c>
      <c r="K39" s="861"/>
      <c r="L39" s="861"/>
      <c r="M39" s="861"/>
      <c r="N39" s="861" t="s">
        <v>453</v>
      </c>
      <c r="O39" s="861"/>
      <c r="P39" s="861"/>
      <c r="Q39" s="861"/>
      <c r="R39" s="861" t="s">
        <v>454</v>
      </c>
      <c r="S39" s="861"/>
      <c r="T39" s="861"/>
      <c r="U39" s="861"/>
      <c r="V39" s="861" t="s">
        <v>455</v>
      </c>
      <c r="W39" s="861"/>
      <c r="X39" s="861"/>
      <c r="Y39" s="861"/>
      <c r="Z39" s="861" t="s">
        <v>456</v>
      </c>
      <c r="AA39" s="861"/>
      <c r="AB39" s="861"/>
      <c r="AC39" s="861"/>
      <c r="AD39" s="861" t="s">
        <v>457</v>
      </c>
      <c r="AE39" s="861"/>
      <c r="AF39" s="861"/>
      <c r="AG39" s="861"/>
      <c r="AH39" s="861" t="s">
        <v>458</v>
      </c>
      <c r="AI39" s="861"/>
      <c r="AJ39" s="861"/>
      <c r="AK39" s="861"/>
      <c r="AL39" s="854" t="s">
        <v>459</v>
      </c>
      <c r="AM39" s="855"/>
      <c r="AN39" s="855"/>
      <c r="AO39" s="856"/>
      <c r="AP39" s="854" t="s">
        <v>460</v>
      </c>
      <c r="AQ39" s="855"/>
      <c r="AR39" s="855"/>
      <c r="AS39" s="856"/>
      <c r="AT39" s="854" t="s">
        <v>461</v>
      </c>
      <c r="AU39" s="855"/>
      <c r="AV39" s="855"/>
      <c r="AW39" s="856"/>
      <c r="AX39" s="576"/>
      <c r="AY39" s="576"/>
      <c r="AZ39" s="576"/>
      <c r="BA39" s="604"/>
      <c r="BB39" s="723"/>
      <c r="BC39" s="571"/>
      <c r="BD39" s="572"/>
      <c r="BE39" s="710"/>
      <c r="BF39" s="710" t="s">
        <v>408</v>
      </c>
      <c r="BG39" s="710"/>
      <c r="BH39" s="710"/>
      <c r="BI39" s="710"/>
      <c r="BJ39" s="710"/>
      <c r="BK39" s="710"/>
      <c r="BL39" s="710"/>
      <c r="BM39" s="710"/>
      <c r="BN39" s="710"/>
      <c r="BO39" s="710"/>
      <c r="BP39" s="710"/>
      <c r="BQ39" s="710"/>
      <c r="BR39" s="710"/>
      <c r="BS39" s="710"/>
      <c r="BT39" s="710"/>
    </row>
    <row r="40" spans="1:72" s="709" customFormat="1" ht="15.75">
      <c r="A40" s="545"/>
      <c r="B40" s="861"/>
      <c r="C40" s="861"/>
      <c r="D40" s="861"/>
      <c r="E40" s="861"/>
      <c r="F40" s="861"/>
      <c r="G40" s="861"/>
      <c r="H40" s="861"/>
      <c r="I40" s="861"/>
      <c r="J40" s="861"/>
      <c r="K40" s="861"/>
      <c r="L40" s="861"/>
      <c r="M40" s="861"/>
      <c r="N40" s="861"/>
      <c r="O40" s="861"/>
      <c r="P40" s="861"/>
      <c r="Q40" s="861"/>
      <c r="R40" s="861"/>
      <c r="S40" s="861"/>
      <c r="T40" s="861"/>
      <c r="U40" s="861"/>
      <c r="V40" s="861"/>
      <c r="W40" s="861"/>
      <c r="X40" s="861"/>
      <c r="Y40" s="861"/>
      <c r="Z40" s="861"/>
      <c r="AA40" s="861"/>
      <c r="AB40" s="861"/>
      <c r="AC40" s="861"/>
      <c r="AD40" s="861"/>
      <c r="AE40" s="861"/>
      <c r="AF40" s="861"/>
      <c r="AG40" s="861"/>
      <c r="AH40" s="861"/>
      <c r="AI40" s="861"/>
      <c r="AJ40" s="861"/>
      <c r="AK40" s="861"/>
      <c r="AL40" s="857"/>
      <c r="AM40" s="858"/>
      <c r="AN40" s="858"/>
      <c r="AO40" s="859"/>
      <c r="AP40" s="857"/>
      <c r="AQ40" s="858"/>
      <c r="AR40" s="858"/>
      <c r="AS40" s="859"/>
      <c r="AT40" s="857"/>
      <c r="AU40" s="858"/>
      <c r="AV40" s="858"/>
      <c r="AW40" s="859"/>
      <c r="AX40" s="576"/>
      <c r="AY40" s="576"/>
      <c r="AZ40" s="576"/>
      <c r="BA40" s="604"/>
      <c r="BB40" s="723"/>
      <c r="BC40" s="571"/>
      <c r="BD40" s="572"/>
      <c r="BE40" s="710"/>
      <c r="BF40" s="710" t="s">
        <v>409</v>
      </c>
      <c r="BG40" s="710"/>
      <c r="BH40" s="710"/>
      <c r="BI40" s="710"/>
      <c r="BJ40" s="710"/>
      <c r="BK40" s="710"/>
      <c r="BL40" s="710"/>
      <c r="BM40" s="710"/>
      <c r="BN40" s="710"/>
      <c r="BO40" s="710"/>
      <c r="BP40" s="710"/>
      <c r="BQ40" s="710"/>
      <c r="BR40" s="710"/>
      <c r="BS40" s="710"/>
      <c r="BT40" s="710"/>
    </row>
    <row r="41" spans="1:72" s="709" customFormat="1" ht="15.75">
      <c r="A41" s="545"/>
      <c r="B41" s="852" t="s">
        <v>462</v>
      </c>
      <c r="C41" s="852"/>
      <c r="D41" s="852"/>
      <c r="E41" s="852"/>
      <c r="F41" s="852" t="s">
        <v>463</v>
      </c>
      <c r="G41" s="852"/>
      <c r="H41" s="852"/>
      <c r="I41" s="852"/>
      <c r="J41" s="852" t="s">
        <v>464</v>
      </c>
      <c r="K41" s="852"/>
      <c r="L41" s="852"/>
      <c r="M41" s="852"/>
      <c r="N41" s="852" t="s">
        <v>465</v>
      </c>
      <c r="O41" s="852"/>
      <c r="P41" s="852"/>
      <c r="Q41" s="852"/>
      <c r="R41" s="860" t="s">
        <v>466</v>
      </c>
      <c r="S41" s="852"/>
      <c r="T41" s="852"/>
      <c r="U41" s="852"/>
      <c r="V41" s="852" t="s">
        <v>467</v>
      </c>
      <c r="W41" s="852"/>
      <c r="X41" s="852"/>
      <c r="Y41" s="852"/>
      <c r="Z41" s="852" t="s">
        <v>468</v>
      </c>
      <c r="AA41" s="852"/>
      <c r="AB41" s="852"/>
      <c r="AC41" s="852"/>
      <c r="AD41" s="852" t="s">
        <v>467</v>
      </c>
      <c r="AE41" s="852"/>
      <c r="AF41" s="852"/>
      <c r="AG41" s="852"/>
      <c r="AH41" s="852" t="s">
        <v>468</v>
      </c>
      <c r="AI41" s="852"/>
      <c r="AJ41" s="852"/>
      <c r="AK41" s="852"/>
      <c r="AL41" s="852" t="s">
        <v>468</v>
      </c>
      <c r="AM41" s="852"/>
      <c r="AN41" s="852"/>
      <c r="AO41" s="852"/>
      <c r="AP41" s="852" t="s">
        <v>467</v>
      </c>
      <c r="AQ41" s="852"/>
      <c r="AR41" s="852"/>
      <c r="AS41" s="852"/>
      <c r="AT41" s="852" t="s">
        <v>468</v>
      </c>
      <c r="AU41" s="852"/>
      <c r="AV41" s="852"/>
      <c r="AW41" s="852"/>
      <c r="AX41" s="576"/>
      <c r="AY41" s="576"/>
      <c r="AZ41" s="576"/>
      <c r="BA41" s="604"/>
      <c r="BB41" s="723"/>
      <c r="BC41" s="571"/>
      <c r="BD41" s="572"/>
      <c r="BE41" s="710"/>
      <c r="BF41" s="710" t="s">
        <v>410</v>
      </c>
      <c r="BG41" s="710"/>
      <c r="BH41" s="710"/>
      <c r="BI41" s="710"/>
      <c r="BJ41" s="710"/>
      <c r="BK41" s="710"/>
      <c r="BL41" s="710"/>
      <c r="BM41" s="710"/>
      <c r="BN41" s="710"/>
      <c r="BO41" s="710"/>
      <c r="BP41" s="710"/>
      <c r="BQ41" s="710"/>
      <c r="BR41" s="710"/>
      <c r="BS41" s="710"/>
      <c r="BT41" s="710"/>
    </row>
    <row r="42" spans="1:72" s="709" customFormat="1" ht="15.75">
      <c r="A42" s="545"/>
      <c r="B42" s="852"/>
      <c r="C42" s="852"/>
      <c r="D42" s="852"/>
      <c r="E42" s="852"/>
      <c r="F42" s="852"/>
      <c r="G42" s="852"/>
      <c r="H42" s="852"/>
      <c r="I42" s="852"/>
      <c r="J42" s="852"/>
      <c r="K42" s="852"/>
      <c r="L42" s="852"/>
      <c r="M42" s="852"/>
      <c r="N42" s="852"/>
      <c r="O42" s="852"/>
      <c r="P42" s="852"/>
      <c r="Q42" s="852"/>
      <c r="R42" s="852"/>
      <c r="S42" s="852"/>
      <c r="T42" s="852"/>
      <c r="U42" s="852"/>
      <c r="V42" s="852"/>
      <c r="W42" s="852"/>
      <c r="X42" s="852"/>
      <c r="Y42" s="852"/>
      <c r="Z42" s="852"/>
      <c r="AA42" s="852"/>
      <c r="AB42" s="852"/>
      <c r="AC42" s="852"/>
      <c r="AD42" s="852"/>
      <c r="AE42" s="852"/>
      <c r="AF42" s="852"/>
      <c r="AG42" s="852"/>
      <c r="AH42" s="852"/>
      <c r="AI42" s="852"/>
      <c r="AJ42" s="852"/>
      <c r="AK42" s="852"/>
      <c r="AL42" s="852"/>
      <c r="AM42" s="852"/>
      <c r="AN42" s="852"/>
      <c r="AO42" s="852"/>
      <c r="AP42" s="852"/>
      <c r="AQ42" s="852"/>
      <c r="AR42" s="852"/>
      <c r="AS42" s="852"/>
      <c r="AT42" s="852"/>
      <c r="AU42" s="852"/>
      <c r="AV42" s="852"/>
      <c r="AW42" s="852"/>
      <c r="AX42" s="576"/>
      <c r="AY42" s="576"/>
      <c r="AZ42" s="576"/>
      <c r="BA42" s="604"/>
      <c r="BB42" s="723"/>
      <c r="BC42" s="571"/>
      <c r="BD42" s="572"/>
      <c r="BE42" s="710"/>
      <c r="BF42" s="710" t="s">
        <v>411</v>
      </c>
      <c r="BG42" s="713"/>
      <c r="BH42" s="710"/>
      <c r="BI42" s="710"/>
      <c r="BJ42" s="710"/>
      <c r="BK42" s="710"/>
      <c r="BL42" s="710"/>
      <c r="BM42" s="710"/>
      <c r="BN42" s="710"/>
      <c r="BO42" s="710"/>
      <c r="BP42" s="710"/>
      <c r="BQ42" s="710"/>
      <c r="BR42" s="710"/>
      <c r="BS42" s="710"/>
      <c r="BT42" s="710"/>
    </row>
    <row r="43" spans="1:72" s="709" customFormat="1" ht="15.75">
      <c r="A43" s="545"/>
      <c r="B43" s="852" t="s">
        <v>469</v>
      </c>
      <c r="C43" s="852"/>
      <c r="D43" s="852"/>
      <c r="E43" s="852"/>
      <c r="F43" s="852" t="s">
        <v>470</v>
      </c>
      <c r="G43" s="852"/>
      <c r="H43" s="852"/>
      <c r="I43" s="852"/>
      <c r="J43" s="852" t="s">
        <v>471</v>
      </c>
      <c r="K43" s="852"/>
      <c r="L43" s="852"/>
      <c r="M43" s="852"/>
      <c r="N43" s="852" t="s">
        <v>472</v>
      </c>
      <c r="O43" s="852"/>
      <c r="P43" s="852"/>
      <c r="Q43" s="852"/>
      <c r="R43" s="853" t="s">
        <v>473</v>
      </c>
      <c r="S43" s="852"/>
      <c r="T43" s="852"/>
      <c r="U43" s="852"/>
      <c r="V43" s="852" t="s">
        <v>467</v>
      </c>
      <c r="W43" s="852"/>
      <c r="X43" s="852"/>
      <c r="Y43" s="852"/>
      <c r="Z43" s="852" t="s">
        <v>468</v>
      </c>
      <c r="AA43" s="852"/>
      <c r="AB43" s="852"/>
      <c r="AC43" s="852"/>
      <c r="AD43" s="852" t="s">
        <v>467</v>
      </c>
      <c r="AE43" s="852"/>
      <c r="AF43" s="852"/>
      <c r="AG43" s="852"/>
      <c r="AH43" s="852" t="s">
        <v>468</v>
      </c>
      <c r="AI43" s="852"/>
      <c r="AJ43" s="852"/>
      <c r="AK43" s="852"/>
      <c r="AL43" s="852" t="s">
        <v>468</v>
      </c>
      <c r="AM43" s="852"/>
      <c r="AN43" s="852"/>
      <c r="AO43" s="852"/>
      <c r="AP43" s="852" t="s">
        <v>467</v>
      </c>
      <c r="AQ43" s="852"/>
      <c r="AR43" s="852"/>
      <c r="AS43" s="852"/>
      <c r="AT43" s="852" t="s">
        <v>468</v>
      </c>
      <c r="AU43" s="852"/>
      <c r="AV43" s="852"/>
      <c r="AW43" s="852"/>
      <c r="AX43" s="576"/>
      <c r="AY43" s="576"/>
      <c r="AZ43" s="576"/>
      <c r="BA43" s="604"/>
      <c r="BB43" s="723"/>
      <c r="BC43" s="571"/>
      <c r="BD43" s="572"/>
      <c r="BE43" s="710"/>
      <c r="BF43" s="710"/>
      <c r="BG43" s="713" t="s">
        <v>412</v>
      </c>
      <c r="BH43" s="710"/>
      <c r="BI43" s="710"/>
      <c r="BJ43" s="710"/>
      <c r="BK43" s="710"/>
      <c r="BL43" s="710"/>
      <c r="BM43" s="710"/>
      <c r="BN43" s="710"/>
      <c r="BO43" s="710"/>
      <c r="BP43" s="710"/>
      <c r="BQ43" s="710"/>
      <c r="BR43" s="710"/>
      <c r="BS43" s="710"/>
      <c r="BT43" s="710"/>
    </row>
    <row r="44" spans="1:72" s="709" customFormat="1" ht="15.75">
      <c r="A44" s="545"/>
      <c r="B44" s="852"/>
      <c r="C44" s="852"/>
      <c r="D44" s="852"/>
      <c r="E44" s="852"/>
      <c r="F44" s="852"/>
      <c r="G44" s="852"/>
      <c r="H44" s="852"/>
      <c r="I44" s="852"/>
      <c r="J44" s="852"/>
      <c r="K44" s="852"/>
      <c r="L44" s="852"/>
      <c r="M44" s="852"/>
      <c r="N44" s="852"/>
      <c r="O44" s="852"/>
      <c r="P44" s="852"/>
      <c r="Q44" s="852"/>
      <c r="R44" s="852"/>
      <c r="S44" s="852"/>
      <c r="T44" s="852"/>
      <c r="U44" s="852"/>
      <c r="V44" s="852"/>
      <c r="W44" s="852"/>
      <c r="X44" s="852"/>
      <c r="Y44" s="852"/>
      <c r="Z44" s="852"/>
      <c r="AA44" s="852"/>
      <c r="AB44" s="852"/>
      <c r="AC44" s="852"/>
      <c r="AD44" s="852"/>
      <c r="AE44" s="852"/>
      <c r="AF44" s="852"/>
      <c r="AG44" s="852"/>
      <c r="AH44" s="852"/>
      <c r="AI44" s="852"/>
      <c r="AJ44" s="852"/>
      <c r="AK44" s="852"/>
      <c r="AL44" s="852"/>
      <c r="AM44" s="852"/>
      <c r="AN44" s="852"/>
      <c r="AO44" s="852"/>
      <c r="AP44" s="852"/>
      <c r="AQ44" s="852"/>
      <c r="AR44" s="852"/>
      <c r="AS44" s="852"/>
      <c r="AT44" s="852"/>
      <c r="AU44" s="852"/>
      <c r="AV44" s="852"/>
      <c r="AW44" s="852"/>
      <c r="AX44" s="576"/>
      <c r="AY44" s="576"/>
      <c r="AZ44" s="576"/>
      <c r="BA44" s="604"/>
      <c r="BB44" s="723"/>
      <c r="BC44" s="571"/>
      <c r="BD44" s="572"/>
      <c r="BE44" s="710"/>
      <c r="BF44" s="710" t="s">
        <v>413</v>
      </c>
      <c r="BG44" s="713"/>
      <c r="BH44" s="710"/>
      <c r="BI44" s="710"/>
      <c r="BJ44" s="710"/>
      <c r="BK44" s="710"/>
      <c r="BL44" s="710"/>
      <c r="BM44" s="710"/>
      <c r="BN44" s="710"/>
      <c r="BO44" s="710"/>
      <c r="BP44" s="710"/>
      <c r="BQ44" s="710"/>
      <c r="BR44" s="710"/>
      <c r="BS44" s="710"/>
      <c r="BT44" s="710"/>
    </row>
    <row r="45" spans="1:72" s="709" customFormat="1" ht="15.75">
      <c r="A45" s="545"/>
      <c r="B45" s="852" t="s">
        <v>474</v>
      </c>
      <c r="C45" s="852"/>
      <c r="D45" s="852"/>
      <c r="E45" s="852"/>
      <c r="F45" s="852" t="s">
        <v>475</v>
      </c>
      <c r="G45" s="852"/>
      <c r="H45" s="852"/>
      <c r="I45" s="852"/>
      <c r="J45" s="852" t="s">
        <v>476</v>
      </c>
      <c r="K45" s="852"/>
      <c r="L45" s="852"/>
      <c r="M45" s="852"/>
      <c r="N45" s="852" t="s">
        <v>477</v>
      </c>
      <c r="O45" s="852"/>
      <c r="P45" s="852"/>
      <c r="Q45" s="852"/>
      <c r="R45" s="853" t="s">
        <v>468</v>
      </c>
      <c r="S45" s="852"/>
      <c r="T45" s="852"/>
      <c r="U45" s="852"/>
      <c r="V45" s="852" t="s">
        <v>467</v>
      </c>
      <c r="W45" s="852"/>
      <c r="X45" s="852"/>
      <c r="Y45" s="852"/>
      <c r="Z45" s="852" t="s">
        <v>468</v>
      </c>
      <c r="AA45" s="852"/>
      <c r="AB45" s="852"/>
      <c r="AC45" s="852"/>
      <c r="AD45" s="852" t="s">
        <v>467</v>
      </c>
      <c r="AE45" s="852"/>
      <c r="AF45" s="852"/>
      <c r="AG45" s="852"/>
      <c r="AH45" s="852" t="s">
        <v>468</v>
      </c>
      <c r="AI45" s="852"/>
      <c r="AJ45" s="852"/>
      <c r="AK45" s="852"/>
      <c r="AL45" s="852" t="s">
        <v>468</v>
      </c>
      <c r="AM45" s="852"/>
      <c r="AN45" s="852"/>
      <c r="AO45" s="852"/>
      <c r="AP45" s="852" t="s">
        <v>467</v>
      </c>
      <c r="AQ45" s="852"/>
      <c r="AR45" s="852"/>
      <c r="AS45" s="852"/>
      <c r="AT45" s="852" t="s">
        <v>468</v>
      </c>
      <c r="AU45" s="852"/>
      <c r="AV45" s="852"/>
      <c r="AW45" s="852"/>
      <c r="AX45" s="576"/>
      <c r="AY45" s="576"/>
      <c r="AZ45" s="576"/>
      <c r="BA45" s="604"/>
      <c r="BB45" s="723"/>
      <c r="BC45" s="571"/>
      <c r="BD45" s="572"/>
      <c r="BE45" s="710"/>
      <c r="BF45" s="710"/>
      <c r="BG45" s="713" t="s">
        <v>414</v>
      </c>
      <c r="BH45" s="710"/>
      <c r="BI45" s="710"/>
      <c r="BJ45" s="710"/>
      <c r="BK45" s="710"/>
      <c r="BL45" s="710"/>
      <c r="BM45" s="710"/>
      <c r="BN45" s="710"/>
      <c r="BO45" s="710"/>
      <c r="BP45" s="710"/>
      <c r="BQ45" s="710"/>
      <c r="BR45" s="710"/>
      <c r="BS45" s="710"/>
      <c r="BT45" s="710"/>
    </row>
    <row r="46" spans="1:72" s="709" customFormat="1" ht="15.75">
      <c r="A46" s="545"/>
      <c r="B46" s="852"/>
      <c r="C46" s="852"/>
      <c r="D46" s="852"/>
      <c r="E46" s="852"/>
      <c r="F46" s="852"/>
      <c r="G46" s="852"/>
      <c r="H46" s="852"/>
      <c r="I46" s="852"/>
      <c r="J46" s="852"/>
      <c r="K46" s="852"/>
      <c r="L46" s="852"/>
      <c r="M46" s="852"/>
      <c r="N46" s="852"/>
      <c r="O46" s="852"/>
      <c r="P46" s="852"/>
      <c r="Q46" s="852"/>
      <c r="R46" s="852"/>
      <c r="S46" s="852"/>
      <c r="T46" s="852"/>
      <c r="U46" s="852"/>
      <c r="V46" s="852"/>
      <c r="W46" s="852"/>
      <c r="X46" s="852"/>
      <c r="Y46" s="852"/>
      <c r="Z46" s="852"/>
      <c r="AA46" s="852"/>
      <c r="AB46" s="852"/>
      <c r="AC46" s="852"/>
      <c r="AD46" s="852"/>
      <c r="AE46" s="852"/>
      <c r="AF46" s="852"/>
      <c r="AG46" s="852"/>
      <c r="AH46" s="852"/>
      <c r="AI46" s="852"/>
      <c r="AJ46" s="852"/>
      <c r="AK46" s="852"/>
      <c r="AL46" s="852"/>
      <c r="AM46" s="852"/>
      <c r="AN46" s="852"/>
      <c r="AO46" s="852"/>
      <c r="AP46" s="852"/>
      <c r="AQ46" s="852"/>
      <c r="AR46" s="852"/>
      <c r="AS46" s="852"/>
      <c r="AT46" s="852"/>
      <c r="AU46" s="852"/>
      <c r="AV46" s="852"/>
      <c r="AW46" s="852"/>
      <c r="AX46" s="576"/>
      <c r="AY46" s="576"/>
      <c r="AZ46" s="576"/>
      <c r="BA46" s="604"/>
      <c r="BB46" s="723"/>
      <c r="BC46" s="571"/>
      <c r="BD46" s="572"/>
      <c r="BE46" s="710"/>
      <c r="BF46" s="710"/>
      <c r="BG46" s="713" t="s">
        <v>415</v>
      </c>
      <c r="BH46" s="710"/>
      <c r="BI46" s="710"/>
      <c r="BJ46" s="710"/>
      <c r="BK46" s="710"/>
      <c r="BL46" s="710"/>
      <c r="BM46" s="710"/>
      <c r="BN46" s="710"/>
      <c r="BO46" s="710"/>
      <c r="BP46" s="710"/>
      <c r="BQ46" s="710"/>
      <c r="BR46" s="710"/>
      <c r="BS46" s="710"/>
      <c r="BT46" s="710"/>
    </row>
    <row r="47" spans="1:72" s="709" customFormat="1" ht="15.75">
      <c r="A47" s="545"/>
      <c r="B47" s="852" t="s">
        <v>478</v>
      </c>
      <c r="C47" s="852"/>
      <c r="D47" s="852"/>
      <c r="E47" s="852"/>
      <c r="F47" s="852" t="s">
        <v>479</v>
      </c>
      <c r="G47" s="852"/>
      <c r="H47" s="852"/>
      <c r="I47" s="852"/>
      <c r="J47" s="852" t="s">
        <v>480</v>
      </c>
      <c r="K47" s="852"/>
      <c r="L47" s="852"/>
      <c r="M47" s="852"/>
      <c r="N47" s="852" t="s">
        <v>481</v>
      </c>
      <c r="O47" s="852"/>
      <c r="P47" s="852"/>
      <c r="Q47" s="852"/>
      <c r="R47" s="853" t="s">
        <v>468</v>
      </c>
      <c r="S47" s="852"/>
      <c r="T47" s="852"/>
      <c r="U47" s="852"/>
      <c r="V47" s="852" t="s">
        <v>467</v>
      </c>
      <c r="W47" s="852"/>
      <c r="X47" s="852"/>
      <c r="Y47" s="852"/>
      <c r="Z47" s="852" t="s">
        <v>468</v>
      </c>
      <c r="AA47" s="852"/>
      <c r="AB47" s="852"/>
      <c r="AC47" s="852"/>
      <c r="AD47" s="852" t="s">
        <v>467</v>
      </c>
      <c r="AE47" s="852"/>
      <c r="AF47" s="852"/>
      <c r="AG47" s="852"/>
      <c r="AH47" s="852" t="s">
        <v>468</v>
      </c>
      <c r="AI47" s="852"/>
      <c r="AJ47" s="852"/>
      <c r="AK47" s="852"/>
      <c r="AL47" s="852" t="s">
        <v>468</v>
      </c>
      <c r="AM47" s="852"/>
      <c r="AN47" s="852"/>
      <c r="AO47" s="852"/>
      <c r="AP47" s="852" t="s">
        <v>467</v>
      </c>
      <c r="AQ47" s="852"/>
      <c r="AR47" s="852"/>
      <c r="AS47" s="852"/>
      <c r="AT47" s="852" t="s">
        <v>468</v>
      </c>
      <c r="AU47" s="852"/>
      <c r="AV47" s="852"/>
      <c r="AW47" s="852"/>
      <c r="AX47" s="576"/>
      <c r="AY47" s="576"/>
      <c r="AZ47" s="576"/>
      <c r="BA47" s="604"/>
      <c r="BB47" s="723"/>
      <c r="BC47" s="571"/>
      <c r="BD47" s="572"/>
      <c r="BE47" s="710"/>
      <c r="BF47" s="710"/>
      <c r="BG47" s="713" t="s">
        <v>416</v>
      </c>
      <c r="BH47" s="710"/>
      <c r="BI47" s="710"/>
      <c r="BJ47" s="710"/>
      <c r="BK47" s="710"/>
      <c r="BL47" s="710"/>
      <c r="BM47" s="710"/>
      <c r="BN47" s="710"/>
      <c r="BO47" s="710"/>
      <c r="BP47" s="710"/>
      <c r="BQ47" s="710"/>
      <c r="BR47" s="710"/>
      <c r="BS47" s="710"/>
      <c r="BT47" s="710"/>
    </row>
    <row r="48" spans="1:72" s="709" customFormat="1" ht="15.75">
      <c r="A48" s="545"/>
      <c r="B48" s="852"/>
      <c r="C48" s="852"/>
      <c r="D48" s="852"/>
      <c r="E48" s="852"/>
      <c r="F48" s="852"/>
      <c r="G48" s="852"/>
      <c r="H48" s="852"/>
      <c r="I48" s="852"/>
      <c r="J48" s="852"/>
      <c r="K48" s="852"/>
      <c r="L48" s="852"/>
      <c r="M48" s="852"/>
      <c r="N48" s="852"/>
      <c r="O48" s="852"/>
      <c r="P48" s="852"/>
      <c r="Q48" s="852"/>
      <c r="R48" s="852"/>
      <c r="S48" s="852"/>
      <c r="T48" s="852"/>
      <c r="U48" s="852"/>
      <c r="V48" s="852"/>
      <c r="W48" s="852"/>
      <c r="X48" s="852"/>
      <c r="Y48" s="852"/>
      <c r="Z48" s="852"/>
      <c r="AA48" s="852"/>
      <c r="AB48" s="852"/>
      <c r="AC48" s="852"/>
      <c r="AD48" s="852"/>
      <c r="AE48" s="852"/>
      <c r="AF48" s="852"/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/>
      <c r="AW48" s="852"/>
      <c r="AX48" s="576"/>
      <c r="AY48" s="576"/>
      <c r="AZ48" s="576"/>
      <c r="BA48" s="604"/>
      <c r="BB48" s="723"/>
      <c r="BC48" s="571"/>
      <c r="BD48" s="572"/>
      <c r="BE48" s="710"/>
      <c r="BF48" s="710"/>
      <c r="BG48" s="710"/>
      <c r="BH48" s="710"/>
      <c r="BJ48" s="710"/>
      <c r="BK48" s="710"/>
      <c r="BL48" s="710"/>
      <c r="BM48" s="710"/>
      <c r="BN48" s="710"/>
      <c r="BO48" s="710"/>
      <c r="BP48" s="710"/>
      <c r="BQ48" s="710"/>
      <c r="BR48" s="710"/>
      <c r="BS48" s="710"/>
      <c r="BT48" s="710"/>
    </row>
    <row r="49" spans="1:72" s="709" customFormat="1" ht="15.75">
      <c r="A49" s="545"/>
      <c r="B49" s="708"/>
      <c r="C49" s="708"/>
      <c r="D49" s="708"/>
      <c r="E49" s="708"/>
      <c r="F49" s="714"/>
      <c r="G49" s="714"/>
      <c r="H49" s="714"/>
      <c r="I49" s="714"/>
      <c r="J49" s="714"/>
      <c r="K49" s="714"/>
      <c r="L49" s="714"/>
      <c r="M49" s="714"/>
      <c r="N49" s="714"/>
      <c r="O49" s="714"/>
      <c r="P49" s="714"/>
      <c r="Q49" s="714"/>
      <c r="R49" s="714"/>
      <c r="S49" s="714"/>
      <c r="T49" s="714"/>
      <c r="U49" s="714"/>
      <c r="V49" s="714"/>
      <c r="W49" s="714"/>
      <c r="X49" s="714"/>
      <c r="Y49" s="714"/>
      <c r="Z49" s="714"/>
      <c r="AA49" s="714"/>
      <c r="AB49" s="714"/>
      <c r="AC49" s="714"/>
      <c r="AD49" s="714"/>
      <c r="AE49" s="714"/>
      <c r="AF49" s="714"/>
      <c r="AG49" s="714"/>
      <c r="AH49" s="714"/>
      <c r="AI49" s="714"/>
      <c r="AJ49" s="714"/>
      <c r="AK49" s="714"/>
      <c r="AL49" s="714"/>
      <c r="AM49" s="714"/>
      <c r="AN49" s="714"/>
      <c r="AO49" s="714"/>
      <c r="AP49" s="714"/>
      <c r="AQ49" s="714"/>
      <c r="AR49" s="714"/>
      <c r="AS49" s="714"/>
      <c r="AT49" s="714"/>
      <c r="AU49" s="714"/>
      <c r="AV49" s="714"/>
      <c r="AW49" s="714"/>
      <c r="AX49" s="576"/>
      <c r="AY49" s="576"/>
      <c r="AZ49" s="576"/>
      <c r="BA49" s="604"/>
      <c r="BB49" s="723"/>
      <c r="BC49" s="571"/>
      <c r="BD49" s="572"/>
      <c r="BE49" s="710"/>
      <c r="BF49" s="710" t="s">
        <v>417</v>
      </c>
      <c r="BG49" s="710"/>
      <c r="BH49" s="710"/>
      <c r="BI49" s="710"/>
      <c r="BJ49" s="710"/>
      <c r="BK49" s="710"/>
      <c r="BL49" s="710"/>
      <c r="BM49" s="710"/>
      <c r="BN49" s="710"/>
      <c r="BO49" s="710"/>
      <c r="BP49" s="710"/>
      <c r="BQ49" s="710"/>
      <c r="BR49" s="710"/>
      <c r="BS49" s="710"/>
      <c r="BT49" s="710"/>
    </row>
    <row r="50" spans="1:72" s="709" customFormat="1" ht="15.75">
      <c r="A50" s="545"/>
      <c r="B50" s="708" t="s">
        <v>482</v>
      </c>
      <c r="C50" s="708"/>
      <c r="D50" s="708"/>
      <c r="E50" s="708"/>
      <c r="F50" s="714"/>
      <c r="G50" s="714"/>
      <c r="H50" s="714"/>
      <c r="I50" s="714"/>
      <c r="J50" s="714"/>
      <c r="K50" s="714"/>
      <c r="L50" s="714"/>
      <c r="M50" s="601"/>
      <c r="N50" s="714"/>
      <c r="O50" s="714"/>
      <c r="P50" s="714"/>
      <c r="Q50" s="714"/>
      <c r="R50" s="714"/>
      <c r="S50" s="714"/>
      <c r="T50" s="714"/>
      <c r="U50" s="714"/>
      <c r="V50" s="714"/>
      <c r="W50" s="714"/>
      <c r="X50" s="714"/>
      <c r="Y50" s="714"/>
      <c r="Z50" s="714"/>
      <c r="AA50" s="714"/>
      <c r="AB50" s="714"/>
      <c r="AC50" s="714"/>
      <c r="AD50" s="714"/>
      <c r="AE50" s="714"/>
      <c r="AF50" s="714"/>
      <c r="AG50" s="714"/>
      <c r="AH50" s="714"/>
      <c r="AI50" s="714"/>
      <c r="AJ50" s="714"/>
      <c r="AK50" s="714"/>
      <c r="AL50" s="714"/>
      <c r="AM50" s="714"/>
      <c r="AN50" s="714"/>
      <c r="AO50" s="714"/>
      <c r="AP50" s="714"/>
      <c r="AQ50" s="714"/>
      <c r="AR50" s="714"/>
      <c r="AS50" s="714"/>
      <c r="AT50" s="714"/>
      <c r="AU50" s="714"/>
      <c r="AV50" s="714"/>
      <c r="AW50" s="714"/>
      <c r="AX50" s="576"/>
      <c r="AY50" s="576"/>
      <c r="AZ50" s="576"/>
      <c r="BA50" s="604"/>
      <c r="BB50" s="723"/>
      <c r="BC50" s="571"/>
      <c r="BD50" s="572"/>
      <c r="BE50" s="710"/>
      <c r="BF50" s="710"/>
      <c r="BG50" s="710" t="s">
        <v>418</v>
      </c>
      <c r="BH50" s="710"/>
      <c r="BI50" s="710"/>
      <c r="BJ50" s="710"/>
      <c r="BK50" s="710"/>
      <c r="BL50" s="710"/>
      <c r="BM50" s="710"/>
      <c r="BN50" s="710"/>
      <c r="BO50" s="710"/>
      <c r="BP50" s="710"/>
      <c r="BQ50" s="710"/>
      <c r="BR50" s="710"/>
      <c r="BS50" s="710"/>
      <c r="BT50" s="710"/>
    </row>
    <row r="51" spans="1:72" s="709" customFormat="1" ht="15.75">
      <c r="A51" s="545"/>
      <c r="B51" s="708" t="s">
        <v>483</v>
      </c>
      <c r="C51" s="708"/>
      <c r="D51" s="708"/>
      <c r="E51" s="708"/>
      <c r="F51" s="714"/>
      <c r="G51" s="714"/>
      <c r="H51" s="714"/>
      <c r="I51" s="714"/>
      <c r="J51" s="714"/>
      <c r="K51" s="714"/>
      <c r="L51" s="714"/>
      <c r="M51" s="714"/>
      <c r="N51" s="714"/>
      <c r="O51" s="601"/>
      <c r="P51" s="601"/>
      <c r="Q51" s="601"/>
      <c r="R51" s="601"/>
      <c r="S51" s="601"/>
      <c r="T51" s="601"/>
      <c r="U51" s="601"/>
      <c r="V51" s="601"/>
      <c r="W51" s="601"/>
      <c r="X51" s="601"/>
      <c r="Y51" s="601"/>
      <c r="Z51" s="601"/>
      <c r="AA51" s="601"/>
      <c r="AB51" s="601"/>
      <c r="AC51" s="601"/>
      <c r="AD51" s="601"/>
      <c r="AE51" s="601"/>
      <c r="AF51" s="601"/>
      <c r="AG51" s="601"/>
      <c r="AH51" s="601"/>
      <c r="AI51" s="601"/>
      <c r="AJ51" s="601"/>
      <c r="AK51" s="601"/>
      <c r="AL51" s="601"/>
      <c r="AM51" s="601"/>
      <c r="AN51" s="601"/>
      <c r="AO51" s="601"/>
      <c r="AP51" s="601"/>
      <c r="AQ51" s="714"/>
      <c r="AR51" s="714"/>
      <c r="AS51" s="714"/>
      <c r="AT51" s="714"/>
      <c r="AU51" s="714"/>
      <c r="AV51" s="714"/>
      <c r="AW51" s="714"/>
      <c r="AX51" s="576"/>
      <c r="AY51" s="576"/>
      <c r="AZ51" s="576"/>
      <c r="BA51" s="604"/>
      <c r="BB51" s="723"/>
      <c r="BC51" s="571"/>
      <c r="BD51" s="572"/>
      <c r="BE51" s="710"/>
      <c r="BF51" s="710"/>
      <c r="BG51" s="710" t="s">
        <v>419</v>
      </c>
      <c r="BH51" s="710"/>
      <c r="BI51" s="710"/>
      <c r="BJ51" s="710"/>
      <c r="BK51" s="710"/>
      <c r="BL51" s="710"/>
      <c r="BM51" s="710"/>
      <c r="BN51" s="710"/>
      <c r="BO51" s="710"/>
      <c r="BP51" s="710"/>
      <c r="BQ51" s="710"/>
      <c r="BR51" s="710"/>
      <c r="BS51" s="710"/>
      <c r="BT51" s="710"/>
    </row>
    <row r="52" spans="1:72" s="709" customFormat="1" ht="15.75">
      <c r="A52" s="545"/>
      <c r="B52" s="708" t="s">
        <v>484</v>
      </c>
      <c r="C52" s="708"/>
      <c r="D52" s="708"/>
      <c r="E52" s="708"/>
      <c r="F52" s="714"/>
      <c r="G52" s="714"/>
      <c r="H52" s="714"/>
      <c r="I52" s="714"/>
      <c r="J52" s="714"/>
      <c r="K52" s="714"/>
      <c r="L52" s="714"/>
      <c r="M52" s="714"/>
      <c r="N52" s="714"/>
      <c r="O52" s="601"/>
      <c r="P52" s="601"/>
      <c r="Q52" s="601"/>
      <c r="R52" s="601"/>
      <c r="S52" s="601"/>
      <c r="T52" s="601"/>
      <c r="U52" s="601"/>
      <c r="V52" s="601"/>
      <c r="W52" s="601"/>
      <c r="X52" s="601"/>
      <c r="Y52" s="601"/>
      <c r="Z52" s="601"/>
      <c r="AA52" s="601"/>
      <c r="AB52" s="601"/>
      <c r="AC52" s="601"/>
      <c r="AD52" s="601"/>
      <c r="AE52" s="601"/>
      <c r="AF52" s="601"/>
      <c r="AG52" s="601"/>
      <c r="AH52" s="601"/>
      <c r="AI52" s="601"/>
      <c r="AJ52" s="601"/>
      <c r="AK52" s="601"/>
      <c r="AL52" s="601"/>
      <c r="AM52" s="601"/>
      <c r="AN52" s="601"/>
      <c r="AO52" s="601"/>
      <c r="AP52" s="601"/>
      <c r="AQ52" s="714"/>
      <c r="AR52" s="714"/>
      <c r="AS52" s="714"/>
      <c r="AT52" s="714"/>
      <c r="AU52" s="714"/>
      <c r="AV52" s="714"/>
      <c r="AW52" s="714"/>
      <c r="AX52" s="576"/>
      <c r="AY52" s="576"/>
      <c r="AZ52" s="576"/>
      <c r="BA52" s="604"/>
      <c r="BB52" s="723"/>
      <c r="BC52" s="571"/>
      <c r="BD52" s="572"/>
      <c r="BE52" s="710"/>
      <c r="BF52" s="710"/>
      <c r="BG52" s="710" t="s">
        <v>420</v>
      </c>
      <c r="BH52" s="710"/>
      <c r="BI52" s="710"/>
      <c r="BJ52" s="710"/>
      <c r="BK52" s="710"/>
      <c r="BL52" s="710"/>
      <c r="BM52" s="710"/>
      <c r="BN52" s="710"/>
      <c r="BO52" s="710"/>
      <c r="BP52" s="710"/>
      <c r="BQ52" s="710"/>
      <c r="BR52" s="710"/>
      <c r="BS52" s="710"/>
      <c r="BT52" s="710"/>
    </row>
    <row r="53" spans="1:72" s="709" customFormat="1" ht="15.75">
      <c r="A53" s="556"/>
      <c r="B53" s="598"/>
      <c r="C53" s="601"/>
      <c r="D53" s="601"/>
      <c r="E53" s="601"/>
      <c r="F53" s="601"/>
      <c r="G53" s="601"/>
      <c r="H53" s="601"/>
      <c r="I53" s="601"/>
      <c r="J53" s="601"/>
      <c r="K53" s="601"/>
      <c r="L53" s="601"/>
      <c r="M53" s="601"/>
      <c r="N53" s="601"/>
      <c r="O53" s="601"/>
      <c r="P53" s="601"/>
      <c r="Q53" s="601"/>
      <c r="R53" s="601"/>
      <c r="S53" s="724"/>
      <c r="T53" s="724"/>
      <c r="U53" s="724"/>
      <c r="V53" s="724"/>
      <c r="W53" s="601"/>
      <c r="X53" s="601"/>
      <c r="Y53" s="724"/>
      <c r="Z53" s="724"/>
      <c r="AA53" s="601"/>
      <c r="AB53" s="601"/>
      <c r="AC53" s="601"/>
      <c r="AD53" s="724"/>
      <c r="AE53" s="724"/>
      <c r="AF53" s="724"/>
      <c r="AG53" s="724"/>
      <c r="AH53" s="724"/>
      <c r="AI53" s="724"/>
      <c r="AJ53" s="724"/>
      <c r="AK53" s="724"/>
      <c r="AL53" s="724"/>
      <c r="AM53" s="724"/>
      <c r="AN53" s="724"/>
      <c r="AO53" s="724"/>
      <c r="AP53" s="724"/>
      <c r="AQ53" s="724"/>
      <c r="AR53" s="724"/>
      <c r="AS53" s="724"/>
      <c r="AT53" s="724"/>
      <c r="AU53" s="724"/>
      <c r="AV53" s="724"/>
      <c r="AW53" s="724"/>
      <c r="AX53" s="724"/>
      <c r="AY53" s="598"/>
      <c r="AZ53" s="598"/>
      <c r="BA53" s="604"/>
      <c r="BB53" s="723"/>
      <c r="BC53" s="571"/>
      <c r="BD53" s="572"/>
      <c r="BE53" s="710"/>
      <c r="BF53" s="710"/>
      <c r="BG53" s="710" t="s">
        <v>421</v>
      </c>
      <c r="BH53" s="710"/>
      <c r="BI53" s="710"/>
      <c r="BJ53" s="710"/>
      <c r="BK53" s="710"/>
      <c r="BL53" s="710"/>
      <c r="BM53" s="710"/>
      <c r="BN53" s="710"/>
      <c r="BO53" s="710"/>
      <c r="BP53" s="710"/>
      <c r="BQ53" s="710"/>
      <c r="BR53" s="710"/>
      <c r="BS53" s="710"/>
      <c r="BT53" s="710"/>
    </row>
    <row r="54" spans="1:72" s="709" customFormat="1" ht="15.75">
      <c r="A54" s="556"/>
      <c r="B54" s="598"/>
      <c r="C54" s="601"/>
      <c r="D54" s="601"/>
      <c r="E54" s="601"/>
      <c r="F54" s="601"/>
      <c r="G54" s="601"/>
      <c r="H54" s="601"/>
      <c r="I54" s="601"/>
      <c r="J54" s="601"/>
      <c r="K54" s="601"/>
      <c r="L54" s="601"/>
      <c r="M54" s="601"/>
      <c r="N54" s="601"/>
      <c r="O54" s="601"/>
      <c r="P54" s="601"/>
      <c r="Q54" s="601"/>
      <c r="R54" s="601"/>
      <c r="S54" s="724"/>
      <c r="T54" s="724"/>
      <c r="U54" s="724"/>
      <c r="V54" s="724"/>
      <c r="W54" s="601"/>
      <c r="X54" s="601"/>
      <c r="Y54" s="724"/>
      <c r="Z54" s="724"/>
      <c r="AA54" s="601"/>
      <c r="AB54" s="601"/>
      <c r="AC54" s="601"/>
      <c r="AD54" s="724"/>
      <c r="AE54" s="724"/>
      <c r="AF54" s="724"/>
      <c r="AG54" s="724"/>
      <c r="AH54" s="724"/>
      <c r="AI54" s="724"/>
      <c r="AJ54" s="724"/>
      <c r="AK54" s="724"/>
      <c r="AL54" s="724"/>
      <c r="AM54" s="724"/>
      <c r="AN54" s="724"/>
      <c r="AO54" s="724"/>
      <c r="AP54" s="724"/>
      <c r="AQ54" s="724"/>
      <c r="AR54" s="724"/>
      <c r="AS54" s="724"/>
      <c r="AT54" s="724"/>
      <c r="AU54" s="724"/>
      <c r="AV54" s="724"/>
      <c r="AW54" s="724"/>
      <c r="AX54" s="724"/>
      <c r="AY54" s="598"/>
      <c r="AZ54" s="598"/>
      <c r="BA54" s="604"/>
      <c r="BB54" s="723"/>
      <c r="BC54" s="571"/>
      <c r="BD54" s="572"/>
      <c r="BE54" s="710"/>
      <c r="BF54" s="710" t="s">
        <v>422</v>
      </c>
      <c r="BG54" s="710"/>
      <c r="BH54" s="710"/>
      <c r="BI54" s="710"/>
      <c r="BJ54" s="710"/>
      <c r="BK54" s="710"/>
      <c r="BL54" s="710"/>
      <c r="BM54" s="710"/>
      <c r="BN54" s="710"/>
      <c r="BO54" s="710"/>
      <c r="BP54" s="710"/>
      <c r="BQ54" s="710"/>
      <c r="BR54" s="710"/>
      <c r="BS54" s="710"/>
      <c r="BT54" s="710"/>
    </row>
    <row r="55" spans="1:72" s="709" customFormat="1" ht="15.75">
      <c r="A55" s="556"/>
      <c r="B55" s="598"/>
      <c r="C55" s="601"/>
      <c r="D55" s="601"/>
      <c r="E55" s="601"/>
      <c r="F55" s="601"/>
      <c r="G55" s="601"/>
      <c r="H55" s="601"/>
      <c r="I55" s="601"/>
      <c r="J55" s="601"/>
      <c r="K55" s="601"/>
      <c r="L55" s="601"/>
      <c r="M55" s="601"/>
      <c r="N55" s="601"/>
      <c r="O55" s="601"/>
      <c r="P55" s="601"/>
      <c r="Q55" s="601"/>
      <c r="R55" s="601"/>
      <c r="S55" s="724"/>
      <c r="T55" s="724"/>
      <c r="U55" s="724"/>
      <c r="V55" s="724"/>
      <c r="W55" s="601"/>
      <c r="X55" s="601"/>
      <c r="Y55" s="724"/>
      <c r="Z55" s="724"/>
      <c r="AA55" s="601"/>
      <c r="AB55" s="601"/>
      <c r="AC55" s="601"/>
      <c r="AD55" s="724"/>
      <c r="AE55" s="724"/>
      <c r="AF55" s="724"/>
      <c r="AG55" s="724"/>
      <c r="AH55" s="724"/>
      <c r="AI55" s="724"/>
      <c r="AJ55" s="724"/>
      <c r="AK55" s="724"/>
      <c r="AL55" s="724"/>
      <c r="AM55" s="724"/>
      <c r="AN55" s="724"/>
      <c r="AO55" s="724"/>
      <c r="AP55" s="724"/>
      <c r="AQ55" s="724"/>
      <c r="AR55" s="724"/>
      <c r="AS55" s="724"/>
      <c r="AT55" s="724"/>
      <c r="AU55" s="724"/>
      <c r="AV55" s="724"/>
      <c r="AW55" s="724"/>
      <c r="AX55" s="724"/>
      <c r="AY55" s="598"/>
      <c r="AZ55" s="598"/>
      <c r="BA55" s="604"/>
      <c r="BB55" s="723"/>
      <c r="BC55" s="571"/>
      <c r="BD55" s="572"/>
      <c r="BE55" s="710"/>
      <c r="BF55" s="710"/>
      <c r="BG55" s="710" t="s">
        <v>423</v>
      </c>
      <c r="BH55" s="710"/>
      <c r="BI55" s="710"/>
      <c r="BJ55" s="710"/>
      <c r="BK55" s="710"/>
      <c r="BL55" s="710"/>
      <c r="BM55" s="710"/>
      <c r="BN55" s="710"/>
      <c r="BO55" s="710"/>
      <c r="BP55" s="710"/>
      <c r="BQ55" s="710"/>
      <c r="BR55" s="710"/>
      <c r="BS55" s="710"/>
      <c r="BT55" s="710"/>
    </row>
    <row r="56" spans="1:72" s="709" customFormat="1" ht="19.5">
      <c r="A56" s="556"/>
      <c r="B56" s="779" t="s">
        <v>653</v>
      </c>
      <c r="C56" s="601"/>
      <c r="D56" s="601"/>
      <c r="E56" s="601"/>
      <c r="F56" s="601"/>
      <c r="G56" s="601"/>
      <c r="H56" s="601"/>
      <c r="I56" s="601"/>
      <c r="J56" s="601"/>
      <c r="K56" s="601"/>
      <c r="L56" s="601"/>
      <c r="M56" s="601"/>
      <c r="N56" s="601"/>
      <c r="O56" s="601"/>
      <c r="P56" s="601"/>
      <c r="Q56" s="601"/>
      <c r="R56" s="601"/>
      <c r="S56" s="724"/>
      <c r="T56" s="724"/>
      <c r="U56" s="724"/>
      <c r="V56" s="724"/>
      <c r="W56" s="601"/>
      <c r="X56" s="601"/>
      <c r="Y56" s="724"/>
      <c r="Z56" s="724"/>
      <c r="AA56" s="601"/>
      <c r="AB56" s="601"/>
      <c r="AC56" s="601"/>
      <c r="AD56" s="724"/>
      <c r="AE56" s="724"/>
      <c r="AF56" s="724"/>
      <c r="AG56" s="724"/>
      <c r="AH56" s="724"/>
      <c r="AI56" s="724"/>
      <c r="AJ56" s="724"/>
      <c r="AK56" s="724"/>
      <c r="AL56" s="724"/>
      <c r="AM56" s="724"/>
      <c r="AN56" s="724"/>
      <c r="AO56" s="724"/>
      <c r="AP56" s="724"/>
      <c r="AQ56" s="724"/>
      <c r="AR56" s="724"/>
      <c r="AS56" s="724"/>
      <c r="AT56" s="724"/>
      <c r="AU56" s="724"/>
      <c r="AV56" s="724"/>
      <c r="AW56" s="724"/>
      <c r="AX56" s="724"/>
      <c r="AY56" s="598"/>
      <c r="AZ56" s="598"/>
      <c r="BA56" s="604"/>
      <c r="BB56" s="723"/>
      <c r="BC56" s="571"/>
      <c r="BD56" s="572"/>
      <c r="BE56" s="710"/>
      <c r="BF56" s="710"/>
      <c r="BG56" s="710" t="s">
        <v>424</v>
      </c>
      <c r="BH56" s="710"/>
      <c r="BI56" s="710"/>
      <c r="BJ56" s="710"/>
      <c r="BK56" s="710"/>
      <c r="BL56" s="710"/>
      <c r="BM56" s="710" t="s">
        <v>426</v>
      </c>
      <c r="BN56" s="710"/>
      <c r="BO56" s="710"/>
      <c r="BP56" s="710"/>
      <c r="BQ56" s="710"/>
      <c r="BR56" s="710"/>
      <c r="BS56" s="710"/>
      <c r="BT56" s="710"/>
    </row>
    <row r="57" spans="1:72" s="709" customFormat="1" ht="15.75">
      <c r="A57" s="556"/>
      <c r="B57" s="598"/>
      <c r="C57" s="601"/>
      <c r="D57" s="601"/>
      <c r="E57" s="601"/>
      <c r="F57" s="601"/>
      <c r="G57" s="601"/>
      <c r="H57" s="601"/>
      <c r="I57" s="601"/>
      <c r="J57" s="601"/>
      <c r="K57" s="601"/>
      <c r="L57" s="601"/>
      <c r="M57" s="601"/>
      <c r="N57" s="601"/>
      <c r="O57" s="601"/>
      <c r="P57" s="601"/>
      <c r="Q57" s="601"/>
      <c r="R57" s="601"/>
      <c r="S57" s="724"/>
      <c r="T57" s="724"/>
      <c r="U57" s="724"/>
      <c r="V57" s="724"/>
      <c r="W57" s="601"/>
      <c r="X57" s="601"/>
      <c r="Y57" s="724"/>
      <c r="Z57" s="724"/>
      <c r="AA57" s="601"/>
      <c r="AB57" s="601"/>
      <c r="AC57" s="601"/>
      <c r="AD57" s="724"/>
      <c r="AE57" s="724"/>
      <c r="AF57" s="724"/>
      <c r="AG57" s="724"/>
      <c r="AH57" s="724"/>
      <c r="AI57" s="724"/>
      <c r="AJ57" s="724"/>
      <c r="AK57" s="724"/>
      <c r="AL57" s="724"/>
      <c r="AM57" s="724"/>
      <c r="AN57" s="724"/>
      <c r="AO57" s="724"/>
      <c r="AP57" s="724"/>
      <c r="AQ57" s="724"/>
      <c r="AR57" s="724"/>
      <c r="AS57" s="724"/>
      <c r="AT57" s="724"/>
      <c r="AU57" s="724"/>
      <c r="AV57" s="724"/>
      <c r="AW57" s="724"/>
      <c r="AX57" s="724"/>
      <c r="AY57" s="598"/>
      <c r="AZ57" s="598"/>
      <c r="BA57" s="604"/>
      <c r="BB57" s="723"/>
      <c r="BC57" s="571"/>
      <c r="BD57" s="572"/>
      <c r="BE57" s="710"/>
      <c r="BF57" s="710"/>
      <c r="BG57" s="710"/>
      <c r="BH57" s="710"/>
      <c r="BI57" s="710" t="s">
        <v>425</v>
      </c>
      <c r="BJ57" s="710"/>
      <c r="BK57" s="710"/>
      <c r="BL57" s="710"/>
      <c r="BM57" s="710"/>
      <c r="BN57" s="710"/>
      <c r="BO57" s="710"/>
      <c r="BP57" s="710"/>
      <c r="BQ57" s="710"/>
      <c r="BR57" s="710"/>
      <c r="BS57" s="710"/>
      <c r="BT57" s="710"/>
    </row>
    <row r="58" spans="1:72" s="709" customFormat="1" ht="25.5" customHeight="1">
      <c r="A58" s="556"/>
      <c r="B58" s="861" t="s">
        <v>654</v>
      </c>
      <c r="C58" s="861"/>
      <c r="D58" s="861"/>
      <c r="E58" s="861"/>
      <c r="F58" s="861" t="s">
        <v>451</v>
      </c>
      <c r="G58" s="861"/>
      <c r="H58" s="861"/>
      <c r="I58" s="861"/>
      <c r="J58" s="861" t="s">
        <v>655</v>
      </c>
      <c r="K58" s="861"/>
      <c r="L58" s="861"/>
      <c r="M58" s="861"/>
      <c r="N58" s="861" t="s">
        <v>656</v>
      </c>
      <c r="O58" s="861"/>
      <c r="P58" s="861"/>
      <c r="Q58" s="861"/>
      <c r="R58" s="861" t="s">
        <v>657</v>
      </c>
      <c r="S58" s="861"/>
      <c r="T58" s="861"/>
      <c r="U58" s="861"/>
      <c r="V58" s="861" t="s">
        <v>658</v>
      </c>
      <c r="W58" s="861"/>
      <c r="X58" s="861"/>
      <c r="Y58" s="861"/>
      <c r="Z58" s="861" t="s">
        <v>659</v>
      </c>
      <c r="AA58" s="861"/>
      <c r="AB58" s="861"/>
      <c r="AC58" s="861"/>
      <c r="AD58" s="861" t="s">
        <v>660</v>
      </c>
      <c r="AE58" s="861"/>
      <c r="AF58" s="861"/>
      <c r="AG58" s="861"/>
      <c r="AH58" s="861" t="s">
        <v>458</v>
      </c>
      <c r="AI58" s="861"/>
      <c r="AJ58" s="861"/>
      <c r="AK58" s="861"/>
      <c r="AL58" s="854" t="s">
        <v>459</v>
      </c>
      <c r="AM58" s="855"/>
      <c r="AN58" s="855"/>
      <c r="AO58" s="856"/>
      <c r="AP58" s="854" t="s">
        <v>460</v>
      </c>
      <c r="AQ58" s="855"/>
      <c r="AR58" s="855"/>
      <c r="AS58" s="856"/>
      <c r="AT58" s="854" t="s">
        <v>461</v>
      </c>
      <c r="AU58" s="855"/>
      <c r="AV58" s="855"/>
      <c r="AW58" s="856"/>
      <c r="AX58" s="724"/>
      <c r="AY58" s="598"/>
      <c r="AZ58" s="598"/>
      <c r="BA58" s="604"/>
      <c r="BB58" s="723"/>
      <c r="BC58" s="571"/>
      <c r="BD58" s="572"/>
      <c r="BE58" s="710"/>
      <c r="BF58" s="710"/>
      <c r="BG58" s="710"/>
      <c r="BH58" s="710"/>
      <c r="BI58" s="710"/>
      <c r="BJ58" s="710"/>
      <c r="BK58" s="710"/>
      <c r="BL58" s="710"/>
      <c r="BM58" s="710"/>
      <c r="BN58" s="710"/>
      <c r="BO58" s="710"/>
      <c r="BP58" s="710"/>
      <c r="BQ58" s="710"/>
      <c r="BR58" s="710"/>
      <c r="BS58" s="710"/>
      <c r="BT58" s="710"/>
    </row>
    <row r="59" spans="1:72" s="709" customFormat="1" ht="27" customHeight="1">
      <c r="A59" s="556"/>
      <c r="B59" s="861"/>
      <c r="C59" s="861"/>
      <c r="D59" s="861"/>
      <c r="E59" s="861"/>
      <c r="F59" s="861"/>
      <c r="G59" s="861"/>
      <c r="H59" s="861"/>
      <c r="I59" s="861"/>
      <c r="J59" s="861"/>
      <c r="K59" s="861"/>
      <c r="L59" s="861"/>
      <c r="M59" s="861"/>
      <c r="N59" s="861"/>
      <c r="O59" s="861"/>
      <c r="P59" s="861"/>
      <c r="Q59" s="861"/>
      <c r="R59" s="861"/>
      <c r="S59" s="861"/>
      <c r="T59" s="861"/>
      <c r="U59" s="861"/>
      <c r="V59" s="861"/>
      <c r="W59" s="861"/>
      <c r="X59" s="861"/>
      <c r="Y59" s="861"/>
      <c r="Z59" s="861"/>
      <c r="AA59" s="861"/>
      <c r="AB59" s="861"/>
      <c r="AC59" s="861"/>
      <c r="AD59" s="861"/>
      <c r="AE59" s="861"/>
      <c r="AF59" s="861"/>
      <c r="AG59" s="861"/>
      <c r="AH59" s="861"/>
      <c r="AI59" s="861"/>
      <c r="AJ59" s="861"/>
      <c r="AK59" s="861"/>
      <c r="AL59" s="857"/>
      <c r="AM59" s="858"/>
      <c r="AN59" s="858"/>
      <c r="AO59" s="859"/>
      <c r="AP59" s="857"/>
      <c r="AQ59" s="858"/>
      <c r="AR59" s="858"/>
      <c r="AS59" s="859"/>
      <c r="AT59" s="857"/>
      <c r="AU59" s="858"/>
      <c r="AV59" s="858"/>
      <c r="AW59" s="859"/>
      <c r="AX59" s="724"/>
      <c r="AY59" s="598"/>
      <c r="AZ59" s="598"/>
      <c r="BA59" s="604"/>
      <c r="BB59" s="723"/>
      <c r="BC59" s="571"/>
      <c r="BD59" s="572"/>
      <c r="BE59" s="710"/>
      <c r="BF59" s="710"/>
      <c r="BG59" s="710"/>
      <c r="BH59" s="710"/>
      <c r="BI59" s="710"/>
      <c r="BJ59" s="710"/>
      <c r="BK59" s="710"/>
      <c r="BL59" s="710"/>
      <c r="BM59" s="710"/>
      <c r="BN59" s="710"/>
      <c r="BO59" s="710"/>
      <c r="BP59" s="710"/>
      <c r="BQ59" s="710"/>
      <c r="BR59" s="710"/>
      <c r="BS59" s="710"/>
      <c r="BT59" s="710"/>
    </row>
    <row r="60" spans="1:72" s="709" customFormat="1" ht="34.5" customHeight="1">
      <c r="A60" s="556"/>
      <c r="B60" s="852" t="s">
        <v>462</v>
      </c>
      <c r="C60" s="852"/>
      <c r="D60" s="852"/>
      <c r="E60" s="852"/>
      <c r="F60" s="852" t="s">
        <v>463</v>
      </c>
      <c r="G60" s="852"/>
      <c r="H60" s="852"/>
      <c r="I60" s="852"/>
      <c r="J60" s="852" t="s">
        <v>662</v>
      </c>
      <c r="K60" s="852"/>
      <c r="L60" s="852"/>
      <c r="M60" s="852"/>
      <c r="N60" s="852" t="s">
        <v>665</v>
      </c>
      <c r="O60" s="852"/>
      <c r="P60" s="852"/>
      <c r="Q60" s="852"/>
      <c r="R60" s="860" t="s">
        <v>466</v>
      </c>
      <c r="S60" s="852"/>
      <c r="T60" s="852"/>
      <c r="U60" s="852"/>
      <c r="V60" s="852" t="s">
        <v>467</v>
      </c>
      <c r="W60" s="852"/>
      <c r="X60" s="852"/>
      <c r="Y60" s="852"/>
      <c r="Z60" s="852" t="s">
        <v>468</v>
      </c>
      <c r="AA60" s="852"/>
      <c r="AB60" s="852"/>
      <c r="AC60" s="852"/>
      <c r="AD60" s="852" t="s">
        <v>467</v>
      </c>
      <c r="AE60" s="852"/>
      <c r="AF60" s="852"/>
      <c r="AG60" s="852"/>
      <c r="AH60" s="852" t="s">
        <v>468</v>
      </c>
      <c r="AI60" s="852"/>
      <c r="AJ60" s="852"/>
      <c r="AK60" s="852"/>
      <c r="AL60" s="852" t="s">
        <v>468</v>
      </c>
      <c r="AM60" s="852"/>
      <c r="AN60" s="852"/>
      <c r="AO60" s="852"/>
      <c r="AP60" s="852" t="s">
        <v>467</v>
      </c>
      <c r="AQ60" s="852"/>
      <c r="AR60" s="852"/>
      <c r="AS60" s="852"/>
      <c r="AT60" s="852" t="s">
        <v>468</v>
      </c>
      <c r="AU60" s="852"/>
      <c r="AV60" s="852"/>
      <c r="AW60" s="852"/>
      <c r="AX60" s="724"/>
      <c r="AY60" s="598"/>
      <c r="AZ60" s="598"/>
      <c r="BA60" s="604"/>
      <c r="BB60" s="723"/>
      <c r="BC60" s="571"/>
      <c r="BD60" s="572"/>
      <c r="BE60" s="710"/>
      <c r="BF60" s="710"/>
      <c r="BG60" s="710"/>
      <c r="BH60" s="710"/>
      <c r="BI60" s="710"/>
      <c r="BJ60" s="710" t="s">
        <v>427</v>
      </c>
      <c r="BK60" s="710"/>
      <c r="BL60" s="710"/>
      <c r="BM60" s="710"/>
      <c r="BN60" s="710"/>
      <c r="BO60" s="710"/>
      <c r="BP60" s="710"/>
      <c r="BQ60" s="710"/>
      <c r="BR60" s="710"/>
      <c r="BS60" s="710"/>
      <c r="BT60" s="710"/>
    </row>
    <row r="61" spans="1:72" s="709" customFormat="1" ht="34.5" customHeight="1">
      <c r="A61" s="556"/>
      <c r="B61" s="852"/>
      <c r="C61" s="852"/>
      <c r="D61" s="852"/>
      <c r="E61" s="852"/>
      <c r="F61" s="852"/>
      <c r="G61" s="852"/>
      <c r="H61" s="852"/>
      <c r="I61" s="852"/>
      <c r="J61" s="852"/>
      <c r="K61" s="852"/>
      <c r="L61" s="852"/>
      <c r="M61" s="852"/>
      <c r="N61" s="852"/>
      <c r="O61" s="852"/>
      <c r="P61" s="852"/>
      <c r="Q61" s="852"/>
      <c r="R61" s="852"/>
      <c r="S61" s="852"/>
      <c r="T61" s="852"/>
      <c r="U61" s="852"/>
      <c r="V61" s="852"/>
      <c r="W61" s="852"/>
      <c r="X61" s="852"/>
      <c r="Y61" s="852"/>
      <c r="Z61" s="852"/>
      <c r="AA61" s="852"/>
      <c r="AB61" s="852"/>
      <c r="AC61" s="852"/>
      <c r="AD61" s="852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/>
      <c r="AW61" s="852"/>
      <c r="AX61" s="724"/>
      <c r="AY61" s="598"/>
      <c r="AZ61" s="598"/>
      <c r="BA61" s="604"/>
      <c r="BB61" s="723"/>
      <c r="BC61" s="571"/>
      <c r="BD61" s="572"/>
      <c r="BE61" s="710"/>
      <c r="BF61" s="710"/>
      <c r="BG61" s="710"/>
      <c r="BH61" s="710"/>
      <c r="BI61" s="710"/>
      <c r="BJ61" s="710" t="s">
        <v>428</v>
      </c>
      <c r="BK61" s="710"/>
      <c r="BL61" s="710"/>
      <c r="BM61" s="710"/>
      <c r="BN61" s="710"/>
      <c r="BO61" s="710"/>
      <c r="BP61" s="710"/>
      <c r="BQ61" s="710"/>
      <c r="BR61" s="710"/>
      <c r="BS61" s="710"/>
      <c r="BT61" s="710"/>
    </row>
    <row r="62" spans="1:72" s="709" customFormat="1" ht="20.45" customHeight="1">
      <c r="A62" s="556"/>
      <c r="B62" s="852" t="s">
        <v>469</v>
      </c>
      <c r="C62" s="852"/>
      <c r="D62" s="852"/>
      <c r="E62" s="852"/>
      <c r="F62" s="852" t="s">
        <v>470</v>
      </c>
      <c r="G62" s="852"/>
      <c r="H62" s="852"/>
      <c r="I62" s="852"/>
      <c r="J62" s="852" t="s">
        <v>661</v>
      </c>
      <c r="K62" s="852"/>
      <c r="L62" s="852"/>
      <c r="M62" s="852"/>
      <c r="N62" s="852" t="s">
        <v>666</v>
      </c>
      <c r="O62" s="852"/>
      <c r="P62" s="852"/>
      <c r="Q62" s="852"/>
      <c r="R62" s="853" t="s">
        <v>473</v>
      </c>
      <c r="S62" s="852"/>
      <c r="T62" s="852"/>
      <c r="U62" s="852"/>
      <c r="V62" s="852" t="s">
        <v>467</v>
      </c>
      <c r="W62" s="852"/>
      <c r="X62" s="852"/>
      <c r="Y62" s="852"/>
      <c r="Z62" s="852" t="s">
        <v>468</v>
      </c>
      <c r="AA62" s="852"/>
      <c r="AB62" s="852"/>
      <c r="AC62" s="852"/>
      <c r="AD62" s="852" t="s">
        <v>467</v>
      </c>
      <c r="AE62" s="852"/>
      <c r="AF62" s="852"/>
      <c r="AG62" s="852"/>
      <c r="AH62" s="852" t="s">
        <v>468</v>
      </c>
      <c r="AI62" s="852"/>
      <c r="AJ62" s="852"/>
      <c r="AK62" s="852"/>
      <c r="AL62" s="852" t="s">
        <v>468</v>
      </c>
      <c r="AM62" s="852"/>
      <c r="AN62" s="852"/>
      <c r="AO62" s="852"/>
      <c r="AP62" s="852" t="s">
        <v>467</v>
      </c>
      <c r="AQ62" s="852"/>
      <c r="AR62" s="852"/>
      <c r="AS62" s="852"/>
      <c r="AT62" s="852" t="s">
        <v>468</v>
      </c>
      <c r="AU62" s="852"/>
      <c r="AV62" s="852"/>
      <c r="AW62" s="852"/>
      <c r="AX62" s="724"/>
      <c r="AY62" s="598"/>
      <c r="AZ62" s="598"/>
      <c r="BA62" s="604"/>
      <c r="BB62" s="723"/>
      <c r="BC62" s="571"/>
      <c r="BD62" s="572"/>
      <c r="BE62" s="710"/>
      <c r="BF62" s="710"/>
      <c r="BG62" s="710"/>
      <c r="BH62" s="710"/>
      <c r="BI62" s="710"/>
      <c r="BJ62" s="710" t="s">
        <v>429</v>
      </c>
      <c r="BK62" s="710"/>
      <c r="BL62" s="710"/>
      <c r="BM62" s="710"/>
      <c r="BN62" s="710"/>
      <c r="BO62" s="710"/>
      <c r="BP62" s="710"/>
      <c r="BQ62" s="710"/>
      <c r="BR62" s="710"/>
      <c r="BS62" s="710"/>
      <c r="BT62" s="710"/>
    </row>
    <row r="63" spans="1:72" s="709" customFormat="1" ht="19.5" customHeight="1">
      <c r="A63" s="556"/>
      <c r="B63" s="852"/>
      <c r="C63" s="852"/>
      <c r="D63" s="852"/>
      <c r="E63" s="852"/>
      <c r="F63" s="852"/>
      <c r="G63" s="852"/>
      <c r="H63" s="852"/>
      <c r="I63" s="852"/>
      <c r="J63" s="852"/>
      <c r="K63" s="852"/>
      <c r="L63" s="852"/>
      <c r="M63" s="852"/>
      <c r="N63" s="852"/>
      <c r="O63" s="852"/>
      <c r="P63" s="852"/>
      <c r="Q63" s="852"/>
      <c r="R63" s="852"/>
      <c r="S63" s="852"/>
      <c r="T63" s="852"/>
      <c r="U63" s="852"/>
      <c r="V63" s="852"/>
      <c r="W63" s="852"/>
      <c r="X63" s="852"/>
      <c r="Y63" s="852"/>
      <c r="Z63" s="852"/>
      <c r="AA63" s="852"/>
      <c r="AB63" s="852"/>
      <c r="AC63" s="852"/>
      <c r="AD63" s="852"/>
      <c r="AE63" s="852"/>
      <c r="AF63" s="852"/>
      <c r="AG63" s="852"/>
      <c r="AH63" s="852"/>
      <c r="AI63" s="852"/>
      <c r="AJ63" s="852"/>
      <c r="AK63" s="852"/>
      <c r="AL63" s="852"/>
      <c r="AM63" s="852"/>
      <c r="AN63" s="852"/>
      <c r="AO63" s="852"/>
      <c r="AP63" s="852"/>
      <c r="AQ63" s="852"/>
      <c r="AR63" s="852"/>
      <c r="AS63" s="852"/>
      <c r="AT63" s="852"/>
      <c r="AU63" s="852"/>
      <c r="AV63" s="852"/>
      <c r="AW63" s="852"/>
      <c r="AX63" s="724"/>
      <c r="AY63" s="598"/>
      <c r="AZ63" s="598"/>
      <c r="BA63" s="604"/>
      <c r="BB63" s="723"/>
      <c r="BC63" s="571"/>
      <c r="BD63" s="572"/>
      <c r="BE63" s="710"/>
      <c r="BF63" s="710"/>
      <c r="BG63" s="710"/>
      <c r="BH63" s="710"/>
      <c r="BI63" s="710" t="s">
        <v>430</v>
      </c>
      <c r="BJ63" s="710"/>
      <c r="BK63" s="710"/>
      <c r="BL63" s="710"/>
      <c r="BM63" s="710"/>
      <c r="BN63" s="710"/>
      <c r="BO63" s="710"/>
      <c r="BP63" s="710"/>
      <c r="BQ63" s="710"/>
      <c r="BR63" s="710"/>
      <c r="BS63" s="710"/>
      <c r="BT63" s="710"/>
    </row>
    <row r="64" spans="1:72" s="709" customFormat="1" ht="16.5" customHeight="1">
      <c r="A64" s="556"/>
      <c r="B64" s="889" t="s">
        <v>474</v>
      </c>
      <c r="C64" s="889"/>
      <c r="D64" s="889"/>
      <c r="E64" s="889"/>
      <c r="F64" s="889" t="s">
        <v>475</v>
      </c>
      <c r="G64" s="889"/>
      <c r="H64" s="889"/>
      <c r="I64" s="889"/>
      <c r="J64" s="889" t="s">
        <v>663</v>
      </c>
      <c r="K64" s="889"/>
      <c r="L64" s="889"/>
      <c r="M64" s="889"/>
      <c r="N64" s="889" t="s">
        <v>667</v>
      </c>
      <c r="O64" s="889"/>
      <c r="P64" s="889"/>
      <c r="Q64" s="889"/>
      <c r="R64" s="892" t="s">
        <v>468</v>
      </c>
      <c r="S64" s="892"/>
      <c r="T64" s="892"/>
      <c r="U64" s="892"/>
      <c r="V64" s="889" t="s">
        <v>467</v>
      </c>
      <c r="W64" s="889"/>
      <c r="X64" s="889"/>
      <c r="Y64" s="889"/>
      <c r="Z64" s="889" t="s">
        <v>468</v>
      </c>
      <c r="AA64" s="889"/>
      <c r="AB64" s="889"/>
      <c r="AC64" s="889"/>
      <c r="AD64" s="889" t="s">
        <v>467</v>
      </c>
      <c r="AE64" s="889"/>
      <c r="AF64" s="889"/>
      <c r="AG64" s="889"/>
      <c r="AH64" s="889" t="s">
        <v>468</v>
      </c>
      <c r="AI64" s="889"/>
      <c r="AJ64" s="889"/>
      <c r="AK64" s="889"/>
      <c r="AL64" s="889" t="s">
        <v>468</v>
      </c>
      <c r="AM64" s="889"/>
      <c r="AN64" s="889"/>
      <c r="AO64" s="889"/>
      <c r="AP64" s="889" t="s">
        <v>467</v>
      </c>
      <c r="AQ64" s="889"/>
      <c r="AR64" s="889"/>
      <c r="AS64" s="889"/>
      <c r="AT64" s="889" t="s">
        <v>468</v>
      </c>
      <c r="AU64" s="889"/>
      <c r="AV64" s="889"/>
      <c r="AW64" s="889"/>
      <c r="AX64" s="724"/>
      <c r="AY64" s="598"/>
      <c r="AZ64" s="598"/>
      <c r="BA64" s="604"/>
      <c r="BB64" s="723"/>
      <c r="BC64" s="571"/>
      <c r="BD64" s="572"/>
      <c r="BE64" s="710"/>
      <c r="BF64" s="710"/>
      <c r="BG64" s="710"/>
      <c r="BH64" s="710"/>
      <c r="BI64" s="710"/>
      <c r="BJ64" s="710" t="s">
        <v>431</v>
      </c>
      <c r="BK64" s="710"/>
      <c r="BL64" s="710"/>
      <c r="BM64" s="710"/>
      <c r="BN64" s="710"/>
      <c r="BO64" s="710"/>
      <c r="BP64" s="710"/>
      <c r="BQ64" s="710"/>
      <c r="BR64" s="710"/>
      <c r="BS64" s="710"/>
      <c r="BT64" s="710"/>
    </row>
    <row r="65" spans="1:72" s="709" customFormat="1" ht="16.5" customHeight="1">
      <c r="A65" s="556"/>
      <c r="B65" s="890"/>
      <c r="C65" s="890"/>
      <c r="D65" s="890"/>
      <c r="E65" s="890"/>
      <c r="F65" s="890"/>
      <c r="G65" s="890"/>
      <c r="H65" s="890"/>
      <c r="I65" s="890"/>
      <c r="J65" s="890"/>
      <c r="K65" s="890"/>
      <c r="L65" s="890"/>
      <c r="M65" s="890"/>
      <c r="N65" s="890"/>
      <c r="O65" s="890"/>
      <c r="P65" s="890"/>
      <c r="Q65" s="890"/>
      <c r="R65" s="893"/>
      <c r="S65" s="893"/>
      <c r="T65" s="893"/>
      <c r="U65" s="893"/>
      <c r="V65" s="890"/>
      <c r="W65" s="890"/>
      <c r="X65" s="890"/>
      <c r="Y65" s="890"/>
      <c r="Z65" s="890"/>
      <c r="AA65" s="890"/>
      <c r="AB65" s="890"/>
      <c r="AC65" s="890"/>
      <c r="AD65" s="890"/>
      <c r="AE65" s="890"/>
      <c r="AF65" s="890"/>
      <c r="AG65" s="890"/>
      <c r="AH65" s="890"/>
      <c r="AI65" s="890"/>
      <c r="AJ65" s="890"/>
      <c r="AK65" s="890"/>
      <c r="AL65" s="890"/>
      <c r="AM65" s="890"/>
      <c r="AN65" s="890"/>
      <c r="AO65" s="890"/>
      <c r="AP65" s="890"/>
      <c r="AQ65" s="890"/>
      <c r="AR65" s="890"/>
      <c r="AS65" s="890"/>
      <c r="AT65" s="890"/>
      <c r="AU65" s="890"/>
      <c r="AV65" s="890"/>
      <c r="AW65" s="890"/>
      <c r="AX65" s="724"/>
      <c r="AY65" s="598"/>
      <c r="AZ65" s="598"/>
      <c r="BA65" s="604"/>
      <c r="BB65" s="723"/>
      <c r="BC65" s="571"/>
      <c r="BD65" s="572"/>
      <c r="BE65" s="710"/>
      <c r="BF65" s="710" t="s">
        <v>432</v>
      </c>
      <c r="BG65" s="710"/>
      <c r="BH65" s="710"/>
      <c r="BI65" s="710"/>
      <c r="BJ65" s="710"/>
      <c r="BK65" s="710"/>
      <c r="BL65" s="710"/>
      <c r="BM65" s="710"/>
      <c r="BN65" s="710"/>
      <c r="BO65" s="710"/>
      <c r="BP65" s="710"/>
      <c r="BQ65" s="710"/>
      <c r="BR65" s="710"/>
      <c r="BS65" s="710"/>
      <c r="BT65" s="710"/>
    </row>
    <row r="66" spans="1:72" s="709" customFormat="1" ht="16.5" customHeight="1">
      <c r="A66" s="556"/>
      <c r="B66" s="890"/>
      <c r="C66" s="890"/>
      <c r="D66" s="890"/>
      <c r="E66" s="890"/>
      <c r="F66" s="890"/>
      <c r="G66" s="890"/>
      <c r="H66" s="890"/>
      <c r="I66" s="890"/>
      <c r="J66" s="890"/>
      <c r="K66" s="890"/>
      <c r="L66" s="890"/>
      <c r="M66" s="890"/>
      <c r="N66" s="890"/>
      <c r="O66" s="890"/>
      <c r="P66" s="890"/>
      <c r="Q66" s="890"/>
      <c r="R66" s="893"/>
      <c r="S66" s="893"/>
      <c r="T66" s="893"/>
      <c r="U66" s="893"/>
      <c r="V66" s="890"/>
      <c r="W66" s="890"/>
      <c r="X66" s="890"/>
      <c r="Y66" s="890"/>
      <c r="Z66" s="890"/>
      <c r="AA66" s="890"/>
      <c r="AB66" s="890"/>
      <c r="AC66" s="890"/>
      <c r="AD66" s="890"/>
      <c r="AE66" s="890"/>
      <c r="AF66" s="890"/>
      <c r="AG66" s="890"/>
      <c r="AH66" s="890"/>
      <c r="AI66" s="890"/>
      <c r="AJ66" s="890"/>
      <c r="AK66" s="890"/>
      <c r="AL66" s="890"/>
      <c r="AM66" s="890"/>
      <c r="AN66" s="890"/>
      <c r="AO66" s="890"/>
      <c r="AP66" s="890"/>
      <c r="AQ66" s="890"/>
      <c r="AR66" s="890"/>
      <c r="AS66" s="890"/>
      <c r="AT66" s="890"/>
      <c r="AU66" s="890"/>
      <c r="AV66" s="890"/>
      <c r="AW66" s="890"/>
      <c r="AX66" s="724"/>
      <c r="AY66" s="598"/>
      <c r="AZ66" s="598"/>
      <c r="BA66" s="604"/>
      <c r="BB66" s="723"/>
      <c r="BC66" s="571"/>
      <c r="BD66" s="572"/>
      <c r="BE66" s="710"/>
      <c r="BF66" s="710"/>
      <c r="BG66" s="710" t="s">
        <v>433</v>
      </c>
      <c r="BH66" s="710"/>
      <c r="BI66" s="710"/>
      <c r="BJ66" s="710"/>
      <c r="BK66" s="710"/>
      <c r="BL66" s="710"/>
      <c r="BM66" s="710"/>
      <c r="BN66" s="710"/>
      <c r="BO66" s="710"/>
      <c r="BP66" s="710"/>
      <c r="BQ66" s="710"/>
      <c r="BR66" s="710"/>
      <c r="BS66" s="710"/>
      <c r="BT66" s="710"/>
    </row>
    <row r="67" spans="1:72" s="709" customFormat="1" ht="16.5" customHeight="1">
      <c r="A67" s="556"/>
      <c r="B67" s="890"/>
      <c r="C67" s="890"/>
      <c r="D67" s="890"/>
      <c r="E67" s="890"/>
      <c r="F67" s="890"/>
      <c r="G67" s="890"/>
      <c r="H67" s="890"/>
      <c r="I67" s="890"/>
      <c r="J67" s="890"/>
      <c r="K67" s="890"/>
      <c r="L67" s="890"/>
      <c r="M67" s="890"/>
      <c r="N67" s="890"/>
      <c r="O67" s="890"/>
      <c r="P67" s="890"/>
      <c r="Q67" s="890"/>
      <c r="R67" s="893"/>
      <c r="S67" s="893"/>
      <c r="T67" s="893"/>
      <c r="U67" s="893"/>
      <c r="V67" s="890"/>
      <c r="W67" s="890"/>
      <c r="X67" s="890"/>
      <c r="Y67" s="890"/>
      <c r="Z67" s="890"/>
      <c r="AA67" s="890"/>
      <c r="AB67" s="890"/>
      <c r="AC67" s="890"/>
      <c r="AD67" s="890"/>
      <c r="AE67" s="890"/>
      <c r="AF67" s="890"/>
      <c r="AG67" s="890"/>
      <c r="AH67" s="890"/>
      <c r="AI67" s="890"/>
      <c r="AJ67" s="890"/>
      <c r="AK67" s="890"/>
      <c r="AL67" s="890"/>
      <c r="AM67" s="890"/>
      <c r="AN67" s="890"/>
      <c r="AO67" s="890"/>
      <c r="AP67" s="890"/>
      <c r="AQ67" s="890"/>
      <c r="AR67" s="890"/>
      <c r="AS67" s="890"/>
      <c r="AT67" s="890"/>
      <c r="AU67" s="890"/>
      <c r="AV67" s="890"/>
      <c r="AW67" s="890"/>
      <c r="AX67" s="724"/>
      <c r="AY67" s="598"/>
      <c r="AZ67" s="598"/>
      <c r="BA67" s="604"/>
      <c r="BB67" s="723"/>
      <c r="BC67" s="571"/>
      <c r="BD67" s="572"/>
      <c r="BE67" s="710"/>
      <c r="BF67" s="710"/>
      <c r="BG67" s="710" t="s">
        <v>434</v>
      </c>
      <c r="BH67" s="710"/>
      <c r="BI67" s="710"/>
      <c r="BJ67" s="710"/>
      <c r="BK67" s="710"/>
      <c r="BL67" s="710"/>
      <c r="BM67" s="710"/>
      <c r="BN67" s="710"/>
      <c r="BO67" s="710"/>
      <c r="BP67" s="710"/>
      <c r="BQ67" s="710"/>
      <c r="BR67" s="710"/>
      <c r="BS67" s="710"/>
      <c r="BT67" s="710"/>
    </row>
    <row r="68" spans="1:72" s="709" customFormat="1" ht="16.5" customHeight="1">
      <c r="A68" s="556"/>
      <c r="B68" s="891"/>
      <c r="C68" s="891"/>
      <c r="D68" s="891"/>
      <c r="E68" s="891"/>
      <c r="F68" s="891"/>
      <c r="G68" s="891"/>
      <c r="H68" s="891"/>
      <c r="I68" s="891"/>
      <c r="J68" s="891"/>
      <c r="K68" s="891"/>
      <c r="L68" s="891"/>
      <c r="M68" s="891"/>
      <c r="N68" s="891"/>
      <c r="O68" s="891"/>
      <c r="P68" s="891"/>
      <c r="Q68" s="891"/>
      <c r="R68" s="894"/>
      <c r="S68" s="894"/>
      <c r="T68" s="894"/>
      <c r="U68" s="894"/>
      <c r="V68" s="891"/>
      <c r="W68" s="891"/>
      <c r="X68" s="891"/>
      <c r="Y68" s="891"/>
      <c r="Z68" s="891"/>
      <c r="AA68" s="891"/>
      <c r="AB68" s="891"/>
      <c r="AC68" s="891"/>
      <c r="AD68" s="891"/>
      <c r="AE68" s="891"/>
      <c r="AF68" s="891"/>
      <c r="AG68" s="891"/>
      <c r="AH68" s="891"/>
      <c r="AI68" s="891"/>
      <c r="AJ68" s="891"/>
      <c r="AK68" s="891"/>
      <c r="AL68" s="891"/>
      <c r="AM68" s="891"/>
      <c r="AN68" s="891"/>
      <c r="AO68" s="891"/>
      <c r="AP68" s="891"/>
      <c r="AQ68" s="891"/>
      <c r="AR68" s="891"/>
      <c r="AS68" s="891"/>
      <c r="AT68" s="891"/>
      <c r="AU68" s="891"/>
      <c r="AV68" s="891"/>
      <c r="AW68" s="891"/>
      <c r="AX68" s="724"/>
      <c r="AY68" s="598"/>
      <c r="AZ68" s="598"/>
      <c r="BA68" s="604"/>
      <c r="BB68" s="723"/>
      <c r="BC68" s="571"/>
      <c r="BD68" s="572"/>
      <c r="BE68" s="710"/>
      <c r="BF68" s="710"/>
      <c r="BG68" s="710"/>
      <c r="BH68" s="710"/>
      <c r="BI68" s="710"/>
      <c r="BJ68" s="710"/>
      <c r="BK68" s="710"/>
      <c r="BL68" s="710"/>
      <c r="BM68" s="710"/>
      <c r="BN68" s="710"/>
      <c r="BO68" s="710"/>
      <c r="BP68" s="710"/>
      <c r="BQ68" s="710"/>
      <c r="BR68" s="710"/>
      <c r="BS68" s="710"/>
      <c r="BT68" s="710"/>
    </row>
    <row r="69" spans="1:72" s="709" customFormat="1" ht="16.5" customHeight="1">
      <c r="A69" s="556"/>
      <c r="B69" s="889" t="s">
        <v>478</v>
      </c>
      <c r="C69" s="889"/>
      <c r="D69" s="889"/>
      <c r="E69" s="889"/>
      <c r="F69" s="889" t="s">
        <v>479</v>
      </c>
      <c r="G69" s="889"/>
      <c r="H69" s="889"/>
      <c r="I69" s="889"/>
      <c r="J69" s="889" t="s">
        <v>664</v>
      </c>
      <c r="K69" s="889"/>
      <c r="L69" s="889"/>
      <c r="M69" s="889"/>
      <c r="N69" s="889" t="s">
        <v>668</v>
      </c>
      <c r="O69" s="889"/>
      <c r="P69" s="889"/>
      <c r="Q69" s="889"/>
      <c r="R69" s="892" t="s">
        <v>468</v>
      </c>
      <c r="S69" s="892"/>
      <c r="T69" s="892"/>
      <c r="U69" s="892"/>
      <c r="V69" s="889" t="s">
        <v>467</v>
      </c>
      <c r="W69" s="889"/>
      <c r="X69" s="889"/>
      <c r="Y69" s="889"/>
      <c r="Z69" s="889" t="s">
        <v>468</v>
      </c>
      <c r="AA69" s="889"/>
      <c r="AB69" s="889"/>
      <c r="AC69" s="889"/>
      <c r="AD69" s="889" t="s">
        <v>467</v>
      </c>
      <c r="AE69" s="889"/>
      <c r="AF69" s="889"/>
      <c r="AG69" s="889"/>
      <c r="AH69" s="889" t="s">
        <v>468</v>
      </c>
      <c r="AI69" s="889"/>
      <c r="AJ69" s="889"/>
      <c r="AK69" s="889"/>
      <c r="AL69" s="889" t="s">
        <v>468</v>
      </c>
      <c r="AM69" s="889"/>
      <c r="AN69" s="889"/>
      <c r="AO69" s="889"/>
      <c r="AP69" s="889" t="s">
        <v>467</v>
      </c>
      <c r="AQ69" s="889"/>
      <c r="AR69" s="889"/>
      <c r="AS69" s="889"/>
      <c r="AT69" s="889" t="s">
        <v>468</v>
      </c>
      <c r="AU69" s="889"/>
      <c r="AV69" s="889"/>
      <c r="AW69" s="889"/>
      <c r="AX69" s="724"/>
      <c r="AY69" s="598"/>
      <c r="AZ69" s="598"/>
      <c r="BA69" s="604"/>
      <c r="BB69" s="723"/>
      <c r="BC69" s="571"/>
      <c r="BD69" s="572"/>
      <c r="BE69" s="710"/>
      <c r="BF69" s="710"/>
      <c r="BG69" s="710" t="s">
        <v>435</v>
      </c>
      <c r="BH69" s="710"/>
      <c r="BI69" s="710"/>
      <c r="BJ69" s="710"/>
      <c r="BK69" s="710"/>
      <c r="BL69" s="710"/>
      <c r="BM69" s="710"/>
      <c r="BN69" s="710"/>
      <c r="BO69" s="710"/>
      <c r="BP69" s="710"/>
      <c r="BQ69" s="710"/>
      <c r="BR69" s="710"/>
      <c r="BS69" s="710"/>
      <c r="BT69" s="710"/>
    </row>
    <row r="70" spans="1:72" s="709" customFormat="1" ht="16.5" customHeight="1">
      <c r="A70" s="556"/>
      <c r="B70" s="890"/>
      <c r="C70" s="890"/>
      <c r="D70" s="890"/>
      <c r="E70" s="890"/>
      <c r="F70" s="890"/>
      <c r="G70" s="890"/>
      <c r="H70" s="890"/>
      <c r="I70" s="890"/>
      <c r="J70" s="890"/>
      <c r="K70" s="890"/>
      <c r="L70" s="890"/>
      <c r="M70" s="890"/>
      <c r="N70" s="890"/>
      <c r="O70" s="890"/>
      <c r="P70" s="890"/>
      <c r="Q70" s="890"/>
      <c r="R70" s="893"/>
      <c r="S70" s="893"/>
      <c r="T70" s="893"/>
      <c r="U70" s="893"/>
      <c r="V70" s="890"/>
      <c r="W70" s="890"/>
      <c r="X70" s="890"/>
      <c r="Y70" s="890"/>
      <c r="Z70" s="890"/>
      <c r="AA70" s="890"/>
      <c r="AB70" s="890"/>
      <c r="AC70" s="890"/>
      <c r="AD70" s="890"/>
      <c r="AE70" s="890"/>
      <c r="AF70" s="890"/>
      <c r="AG70" s="890"/>
      <c r="AH70" s="890"/>
      <c r="AI70" s="890"/>
      <c r="AJ70" s="890"/>
      <c r="AK70" s="890"/>
      <c r="AL70" s="890"/>
      <c r="AM70" s="890"/>
      <c r="AN70" s="890"/>
      <c r="AO70" s="890"/>
      <c r="AP70" s="890"/>
      <c r="AQ70" s="890"/>
      <c r="AR70" s="890"/>
      <c r="AS70" s="890"/>
      <c r="AT70" s="890"/>
      <c r="AU70" s="890"/>
      <c r="AV70" s="890"/>
      <c r="AW70" s="890"/>
      <c r="AX70" s="724"/>
      <c r="AY70" s="598"/>
      <c r="AZ70" s="598"/>
      <c r="BA70" s="604"/>
      <c r="BB70" s="723"/>
      <c r="BC70" s="571"/>
      <c r="BD70" s="572"/>
      <c r="BE70" s="710"/>
      <c r="BF70" s="710"/>
      <c r="BG70" s="710"/>
      <c r="BH70" s="710"/>
      <c r="BI70" s="710"/>
      <c r="BJ70" s="710"/>
      <c r="BK70" s="710"/>
      <c r="BL70" s="710"/>
      <c r="BM70" s="710"/>
      <c r="BN70" s="710"/>
      <c r="BO70" s="710"/>
      <c r="BP70" s="710"/>
      <c r="BQ70" s="710"/>
      <c r="BR70" s="710"/>
      <c r="BS70" s="710"/>
      <c r="BT70" s="710"/>
    </row>
    <row r="71" spans="1:72" s="709" customFormat="1" ht="16.5" customHeight="1">
      <c r="A71" s="556"/>
      <c r="B71" s="890"/>
      <c r="C71" s="890"/>
      <c r="D71" s="890"/>
      <c r="E71" s="890"/>
      <c r="F71" s="890"/>
      <c r="G71" s="890"/>
      <c r="H71" s="890"/>
      <c r="I71" s="890"/>
      <c r="J71" s="890"/>
      <c r="K71" s="890"/>
      <c r="L71" s="890"/>
      <c r="M71" s="890"/>
      <c r="N71" s="890"/>
      <c r="O71" s="890"/>
      <c r="P71" s="890"/>
      <c r="Q71" s="890"/>
      <c r="R71" s="893"/>
      <c r="S71" s="893"/>
      <c r="T71" s="893"/>
      <c r="U71" s="893"/>
      <c r="V71" s="890"/>
      <c r="W71" s="890"/>
      <c r="X71" s="890"/>
      <c r="Y71" s="890"/>
      <c r="Z71" s="890"/>
      <c r="AA71" s="890"/>
      <c r="AB71" s="890"/>
      <c r="AC71" s="890"/>
      <c r="AD71" s="890"/>
      <c r="AE71" s="890"/>
      <c r="AF71" s="890"/>
      <c r="AG71" s="890"/>
      <c r="AH71" s="890"/>
      <c r="AI71" s="890"/>
      <c r="AJ71" s="890"/>
      <c r="AK71" s="890"/>
      <c r="AL71" s="890"/>
      <c r="AM71" s="890"/>
      <c r="AN71" s="890"/>
      <c r="AO71" s="890"/>
      <c r="AP71" s="890"/>
      <c r="AQ71" s="890"/>
      <c r="AR71" s="890"/>
      <c r="AS71" s="890"/>
      <c r="AT71" s="890"/>
      <c r="AU71" s="890"/>
      <c r="AV71" s="890"/>
      <c r="AW71" s="890"/>
      <c r="AX71" s="724"/>
      <c r="AY71" s="598"/>
      <c r="AZ71" s="598"/>
      <c r="BA71" s="604"/>
      <c r="BB71" s="723"/>
      <c r="BC71" s="571"/>
      <c r="BD71" s="572"/>
      <c r="BE71" s="710"/>
      <c r="BF71" s="710" t="s">
        <v>436</v>
      </c>
      <c r="BG71" s="710"/>
      <c r="BH71" s="710"/>
      <c r="BI71" s="710"/>
      <c r="BJ71" s="710"/>
      <c r="BK71" s="710"/>
      <c r="BL71" s="710"/>
      <c r="BM71" s="710"/>
      <c r="BN71" s="710"/>
      <c r="BO71" s="710"/>
      <c r="BP71" s="710"/>
      <c r="BQ71" s="710"/>
      <c r="BR71" s="710"/>
      <c r="BS71" s="710"/>
      <c r="BT71" s="710"/>
    </row>
    <row r="72" spans="1:72" s="709" customFormat="1" ht="16.5" customHeight="1">
      <c r="A72" s="556"/>
      <c r="B72" s="890"/>
      <c r="C72" s="890"/>
      <c r="D72" s="890"/>
      <c r="E72" s="890"/>
      <c r="F72" s="890"/>
      <c r="G72" s="890"/>
      <c r="H72" s="890"/>
      <c r="I72" s="890"/>
      <c r="J72" s="890"/>
      <c r="K72" s="890"/>
      <c r="L72" s="890"/>
      <c r="M72" s="890"/>
      <c r="N72" s="890"/>
      <c r="O72" s="890"/>
      <c r="P72" s="890"/>
      <c r="Q72" s="890"/>
      <c r="R72" s="893"/>
      <c r="S72" s="893"/>
      <c r="T72" s="893"/>
      <c r="U72" s="893"/>
      <c r="V72" s="890"/>
      <c r="W72" s="890"/>
      <c r="X72" s="890"/>
      <c r="Y72" s="890"/>
      <c r="Z72" s="890"/>
      <c r="AA72" s="890"/>
      <c r="AB72" s="890"/>
      <c r="AC72" s="890"/>
      <c r="AD72" s="890"/>
      <c r="AE72" s="890"/>
      <c r="AF72" s="890"/>
      <c r="AG72" s="890"/>
      <c r="AH72" s="890"/>
      <c r="AI72" s="890"/>
      <c r="AJ72" s="890"/>
      <c r="AK72" s="890"/>
      <c r="AL72" s="890"/>
      <c r="AM72" s="890"/>
      <c r="AN72" s="890"/>
      <c r="AO72" s="890"/>
      <c r="AP72" s="890"/>
      <c r="AQ72" s="890"/>
      <c r="AR72" s="890"/>
      <c r="AS72" s="890"/>
      <c r="AT72" s="890"/>
      <c r="AU72" s="890"/>
      <c r="AV72" s="890"/>
      <c r="AW72" s="890"/>
      <c r="AX72" s="724"/>
      <c r="AY72" s="598"/>
      <c r="AZ72" s="598"/>
      <c r="BA72" s="604"/>
      <c r="BB72" s="723"/>
      <c r="BC72" s="571"/>
      <c r="BD72" s="572"/>
      <c r="BE72" s="710"/>
      <c r="BF72" s="710"/>
      <c r="BG72" s="710" t="s">
        <v>437</v>
      </c>
      <c r="BH72" s="710"/>
      <c r="BI72" s="710"/>
      <c r="BJ72" s="710"/>
      <c r="BK72" s="710"/>
      <c r="BL72" s="710"/>
      <c r="BM72" s="710"/>
      <c r="BN72" s="710"/>
      <c r="BO72" s="710"/>
      <c r="BP72" s="710"/>
      <c r="BQ72" s="710"/>
      <c r="BR72" s="710"/>
      <c r="BS72" s="710"/>
      <c r="BT72" s="710"/>
    </row>
    <row r="73" spans="1:72" s="709" customFormat="1" ht="16.5" customHeight="1">
      <c r="A73" s="556"/>
      <c r="B73" s="891"/>
      <c r="C73" s="891"/>
      <c r="D73" s="891"/>
      <c r="E73" s="891"/>
      <c r="F73" s="891"/>
      <c r="G73" s="891"/>
      <c r="H73" s="891"/>
      <c r="I73" s="891"/>
      <c r="J73" s="891"/>
      <c r="K73" s="891"/>
      <c r="L73" s="891"/>
      <c r="M73" s="891"/>
      <c r="N73" s="891"/>
      <c r="O73" s="891"/>
      <c r="P73" s="891"/>
      <c r="Q73" s="891"/>
      <c r="R73" s="894"/>
      <c r="S73" s="894"/>
      <c r="T73" s="894"/>
      <c r="U73" s="894"/>
      <c r="V73" s="891"/>
      <c r="W73" s="891"/>
      <c r="X73" s="891"/>
      <c r="Y73" s="891"/>
      <c r="Z73" s="891"/>
      <c r="AA73" s="891"/>
      <c r="AB73" s="891"/>
      <c r="AC73" s="891"/>
      <c r="AD73" s="891"/>
      <c r="AE73" s="891"/>
      <c r="AF73" s="891"/>
      <c r="AG73" s="891"/>
      <c r="AH73" s="891"/>
      <c r="AI73" s="891"/>
      <c r="AJ73" s="891"/>
      <c r="AK73" s="891"/>
      <c r="AL73" s="891"/>
      <c r="AM73" s="891"/>
      <c r="AN73" s="891"/>
      <c r="AO73" s="891"/>
      <c r="AP73" s="891"/>
      <c r="AQ73" s="891"/>
      <c r="AR73" s="891"/>
      <c r="AS73" s="891"/>
      <c r="AT73" s="891"/>
      <c r="AU73" s="891"/>
      <c r="AV73" s="891"/>
      <c r="AW73" s="891"/>
      <c r="AX73" s="724"/>
      <c r="AY73" s="598"/>
      <c r="AZ73" s="598"/>
      <c r="BA73" s="604"/>
      <c r="BB73" s="723"/>
      <c r="BC73" s="571"/>
      <c r="BD73" s="572"/>
      <c r="BE73" s="710"/>
      <c r="BF73" s="710"/>
      <c r="BG73" s="710"/>
      <c r="BH73" s="710"/>
      <c r="BI73" s="710"/>
      <c r="BJ73" s="710"/>
      <c r="BK73" s="710"/>
      <c r="BL73" s="710"/>
      <c r="BM73" s="710"/>
      <c r="BN73" s="710"/>
      <c r="BO73" s="710"/>
      <c r="BP73" s="710"/>
      <c r="BQ73" s="710"/>
      <c r="BR73" s="710"/>
      <c r="BS73" s="710"/>
      <c r="BT73" s="710"/>
    </row>
    <row r="74" spans="1:72" s="709" customFormat="1" ht="15.75">
      <c r="A74" s="556"/>
      <c r="B74" s="598"/>
      <c r="C74" s="601"/>
      <c r="D74" s="601"/>
      <c r="E74" s="601"/>
      <c r="F74" s="601"/>
      <c r="G74" s="601"/>
      <c r="H74" s="601"/>
      <c r="I74" s="601"/>
      <c r="J74" s="601"/>
      <c r="K74" s="601"/>
      <c r="L74" s="601"/>
      <c r="M74" s="601"/>
      <c r="N74" s="601"/>
      <c r="O74" s="601"/>
      <c r="P74" s="601"/>
      <c r="Q74" s="601"/>
      <c r="R74" s="601"/>
      <c r="S74" s="724"/>
      <c r="T74" s="724"/>
      <c r="U74" s="724"/>
      <c r="V74" s="724"/>
      <c r="W74" s="601"/>
      <c r="X74" s="601"/>
      <c r="Y74" s="724"/>
      <c r="Z74" s="724"/>
      <c r="AA74" s="601"/>
      <c r="AB74" s="601"/>
      <c r="AC74" s="601"/>
      <c r="AD74" s="724"/>
      <c r="AE74" s="724"/>
      <c r="AF74" s="724"/>
      <c r="AG74" s="724"/>
      <c r="AH74" s="724"/>
      <c r="AI74" s="724"/>
      <c r="AJ74" s="724"/>
      <c r="AK74" s="724"/>
      <c r="AL74" s="724"/>
      <c r="AM74" s="724"/>
      <c r="AN74" s="724"/>
      <c r="AO74" s="724"/>
      <c r="AP74" s="724"/>
      <c r="AQ74" s="724"/>
      <c r="AR74" s="724"/>
      <c r="AS74" s="724"/>
      <c r="AT74" s="724"/>
      <c r="AU74" s="724"/>
      <c r="AV74" s="724"/>
      <c r="AW74" s="724"/>
      <c r="AX74" s="724"/>
      <c r="AY74" s="598"/>
      <c r="AZ74" s="598"/>
      <c r="BA74" s="604"/>
      <c r="BB74" s="723"/>
      <c r="BC74" s="571"/>
      <c r="BD74" s="572"/>
      <c r="BE74" s="710" t="s">
        <v>438</v>
      </c>
      <c r="BF74" s="710"/>
      <c r="BG74" s="710"/>
      <c r="BH74" s="710"/>
      <c r="BI74" s="710"/>
      <c r="BJ74" s="710"/>
      <c r="BK74" s="710"/>
      <c r="BL74" s="710"/>
      <c r="BM74" s="710"/>
      <c r="BN74" s="710"/>
      <c r="BO74" s="710"/>
      <c r="BP74" s="710"/>
      <c r="BQ74" s="710"/>
      <c r="BR74" s="710"/>
      <c r="BS74" s="710"/>
      <c r="BT74" s="710"/>
    </row>
    <row r="75" spans="1:72" s="709" customFormat="1" ht="15.75">
      <c r="A75" s="556"/>
      <c r="B75" s="598"/>
      <c r="C75" s="601"/>
      <c r="D75" s="601"/>
      <c r="E75" s="601"/>
      <c r="F75" s="601"/>
      <c r="G75" s="601"/>
      <c r="H75" s="601"/>
      <c r="I75" s="601"/>
      <c r="J75" s="601"/>
      <c r="K75" s="601"/>
      <c r="L75" s="601"/>
      <c r="M75" s="601"/>
      <c r="N75" s="601"/>
      <c r="O75" s="601"/>
      <c r="P75" s="601"/>
      <c r="Q75" s="601"/>
      <c r="R75" s="601"/>
      <c r="S75" s="724"/>
      <c r="T75" s="724"/>
      <c r="U75" s="724"/>
      <c r="V75" s="724"/>
      <c r="W75" s="601"/>
      <c r="X75" s="601"/>
      <c r="Y75" s="724"/>
      <c r="Z75" s="724"/>
      <c r="AA75" s="601"/>
      <c r="AB75" s="601"/>
      <c r="AC75" s="601"/>
      <c r="AD75" s="724"/>
      <c r="AE75" s="724"/>
      <c r="AF75" s="724"/>
      <c r="AG75" s="724"/>
      <c r="AH75" s="724"/>
      <c r="AI75" s="724"/>
      <c r="AJ75" s="724"/>
      <c r="AK75" s="724"/>
      <c r="AL75" s="724"/>
      <c r="AM75" s="724"/>
      <c r="AN75" s="724"/>
      <c r="AO75" s="724"/>
      <c r="AP75" s="724"/>
      <c r="AQ75" s="724"/>
      <c r="AR75" s="724"/>
      <c r="AS75" s="724"/>
      <c r="AT75" s="724"/>
      <c r="AU75" s="724"/>
      <c r="AV75" s="724"/>
      <c r="AW75" s="724"/>
      <c r="AX75" s="724"/>
      <c r="AY75" s="598"/>
      <c r="AZ75" s="598"/>
      <c r="BA75" s="604"/>
      <c r="BB75" s="723"/>
      <c r="BC75" s="571"/>
      <c r="BD75" s="572"/>
      <c r="BE75" s="710"/>
      <c r="BF75" s="710" t="s">
        <v>439</v>
      </c>
      <c r="BG75" s="710"/>
      <c r="BH75" s="710"/>
      <c r="BI75" s="710"/>
      <c r="BJ75" s="710"/>
      <c r="BK75" s="710"/>
      <c r="BL75" s="710"/>
      <c r="BM75" s="710"/>
      <c r="BN75" s="710"/>
      <c r="BO75" s="710"/>
      <c r="BP75" s="710"/>
      <c r="BQ75" s="710"/>
      <c r="BR75" s="710"/>
      <c r="BS75" s="710"/>
      <c r="BT75" s="710"/>
    </row>
    <row r="76" spans="1:72" s="709" customFormat="1" ht="15.75">
      <c r="A76" s="556"/>
      <c r="B76" s="708" t="s">
        <v>670</v>
      </c>
      <c r="C76" s="708" t="s">
        <v>669</v>
      </c>
      <c r="D76" s="601"/>
      <c r="E76" s="601"/>
      <c r="F76" s="601"/>
      <c r="G76" s="601"/>
      <c r="H76" s="601"/>
      <c r="I76" s="601"/>
      <c r="J76" s="601"/>
      <c r="K76" s="601"/>
      <c r="L76" s="601"/>
      <c r="M76" s="601"/>
      <c r="N76" s="601"/>
      <c r="O76" s="601"/>
      <c r="P76" s="601"/>
      <c r="Q76" s="601"/>
      <c r="R76" s="601"/>
      <c r="S76" s="724"/>
      <c r="T76" s="724"/>
      <c r="U76" s="724"/>
      <c r="V76" s="724"/>
      <c r="W76" s="601"/>
      <c r="X76" s="601"/>
      <c r="Y76" s="724"/>
      <c r="Z76" s="724"/>
      <c r="AA76" s="601"/>
      <c r="AB76" s="601"/>
      <c r="AC76" s="601"/>
      <c r="AD76" s="724"/>
      <c r="AE76" s="724"/>
      <c r="AF76" s="724"/>
      <c r="AG76" s="724"/>
      <c r="AH76" s="724"/>
      <c r="AI76" s="724"/>
      <c r="AJ76" s="724"/>
      <c r="AK76" s="724"/>
      <c r="AL76" s="724"/>
      <c r="AM76" s="724"/>
      <c r="AN76" s="724"/>
      <c r="AO76" s="724"/>
      <c r="AP76" s="724"/>
      <c r="AQ76" s="724"/>
      <c r="AR76" s="724"/>
      <c r="AS76" s="724"/>
      <c r="AT76" s="724"/>
      <c r="AU76" s="724"/>
      <c r="AV76" s="724"/>
      <c r="AW76" s="724"/>
      <c r="AX76" s="724"/>
      <c r="AY76" s="598"/>
      <c r="AZ76" s="598"/>
      <c r="BA76" s="604"/>
      <c r="BB76" s="723"/>
      <c r="BC76" s="571"/>
      <c r="BD76" s="572"/>
      <c r="BE76" s="710"/>
      <c r="BF76" s="710" t="s">
        <v>440</v>
      </c>
      <c r="BG76" s="710"/>
      <c r="BH76" s="710"/>
      <c r="BI76" s="710"/>
      <c r="BJ76" s="710"/>
      <c r="BK76" s="710"/>
      <c r="BL76" s="710"/>
      <c r="BM76" s="710"/>
      <c r="BN76" s="710"/>
      <c r="BO76" s="710"/>
      <c r="BP76" s="710"/>
      <c r="BQ76" s="710"/>
      <c r="BR76" s="710"/>
      <c r="BS76" s="710"/>
      <c r="BT76" s="710"/>
    </row>
    <row r="77" spans="1:72" s="709" customFormat="1" ht="15.75">
      <c r="A77" s="556"/>
      <c r="B77" s="708" t="s">
        <v>670</v>
      </c>
      <c r="C77" s="708" t="s">
        <v>671</v>
      </c>
      <c r="D77" s="601"/>
      <c r="E77" s="601"/>
      <c r="F77" s="601"/>
      <c r="G77" s="601"/>
      <c r="H77" s="601"/>
      <c r="I77" s="601"/>
      <c r="J77" s="601"/>
      <c r="K77" s="601"/>
      <c r="L77" s="601"/>
      <c r="M77" s="601"/>
      <c r="N77" s="601"/>
      <c r="O77" s="601"/>
      <c r="P77" s="601"/>
      <c r="Q77" s="601"/>
      <c r="R77" s="601"/>
      <c r="S77" s="724"/>
      <c r="T77" s="724"/>
      <c r="U77" s="724"/>
      <c r="V77" s="724"/>
      <c r="W77" s="601"/>
      <c r="X77" s="601"/>
      <c r="Y77" s="724"/>
      <c r="Z77" s="724"/>
      <c r="AA77" s="601"/>
      <c r="AB77" s="601"/>
      <c r="AC77" s="601"/>
      <c r="AD77" s="724"/>
      <c r="AE77" s="724"/>
      <c r="AF77" s="724"/>
      <c r="AG77" s="724"/>
      <c r="AH77" s="724"/>
      <c r="AI77" s="724"/>
      <c r="AJ77" s="724"/>
      <c r="AK77" s="724"/>
      <c r="AL77" s="724"/>
      <c r="AM77" s="724"/>
      <c r="AN77" s="724"/>
      <c r="AO77" s="724"/>
      <c r="AP77" s="724"/>
      <c r="AQ77" s="724"/>
      <c r="AR77" s="724"/>
      <c r="AS77" s="724"/>
      <c r="AT77" s="724"/>
      <c r="AU77" s="724"/>
      <c r="AV77" s="724"/>
      <c r="AW77" s="724"/>
      <c r="AX77" s="724"/>
      <c r="AY77" s="598"/>
      <c r="AZ77" s="598"/>
      <c r="BA77" s="604"/>
      <c r="BB77" s="723"/>
      <c r="BC77" s="571"/>
      <c r="BD77" s="572"/>
      <c r="BE77" s="710"/>
      <c r="BF77" s="710" t="s">
        <v>441</v>
      </c>
      <c r="BG77" s="710"/>
      <c r="BH77" s="710"/>
      <c r="BI77" s="710"/>
      <c r="BJ77" s="710"/>
      <c r="BK77" s="710"/>
      <c r="BL77" s="710"/>
      <c r="BM77" s="710"/>
      <c r="BN77" s="710"/>
      <c r="BO77" s="710"/>
      <c r="BP77" s="710"/>
      <c r="BQ77" s="710"/>
      <c r="BR77" s="710"/>
      <c r="BS77" s="710"/>
      <c r="BT77" s="710"/>
    </row>
    <row r="78" spans="1:72" s="709" customFormat="1" ht="15.75">
      <c r="A78" s="556"/>
      <c r="B78" s="708"/>
      <c r="C78" s="708" t="s">
        <v>672</v>
      </c>
      <c r="D78" s="601"/>
      <c r="E78" s="601"/>
      <c r="F78" s="601"/>
      <c r="G78" s="601"/>
      <c r="H78" s="601"/>
      <c r="I78" s="601"/>
      <c r="J78" s="601"/>
      <c r="K78" s="601"/>
      <c r="L78" s="601"/>
      <c r="M78" s="601"/>
      <c r="N78" s="601"/>
      <c r="O78" s="601"/>
      <c r="P78" s="601"/>
      <c r="Q78" s="601"/>
      <c r="R78" s="601"/>
      <c r="S78" s="724"/>
      <c r="T78" s="724"/>
      <c r="U78" s="724"/>
      <c r="V78" s="724"/>
      <c r="W78" s="601"/>
      <c r="X78" s="601"/>
      <c r="Y78" s="724"/>
      <c r="Z78" s="724"/>
      <c r="AA78" s="601"/>
      <c r="AB78" s="601"/>
      <c r="AC78" s="601"/>
      <c r="AD78" s="724"/>
      <c r="AE78" s="724"/>
      <c r="AF78" s="724"/>
      <c r="AG78" s="724"/>
      <c r="AH78" s="724"/>
      <c r="AI78" s="724"/>
      <c r="AJ78" s="724"/>
      <c r="AK78" s="724"/>
      <c r="AL78" s="724"/>
      <c r="AM78" s="724"/>
      <c r="AN78" s="724"/>
      <c r="AO78" s="724"/>
      <c r="AP78" s="724"/>
      <c r="AQ78" s="724"/>
      <c r="AR78" s="724"/>
      <c r="AS78" s="724"/>
      <c r="AT78" s="724"/>
      <c r="AU78" s="724"/>
      <c r="AV78" s="724"/>
      <c r="AW78" s="724"/>
      <c r="AX78" s="724"/>
      <c r="AY78" s="598"/>
      <c r="AZ78" s="598"/>
      <c r="BA78" s="604"/>
      <c r="BB78" s="723"/>
      <c r="BC78" s="571"/>
      <c r="BD78" s="572"/>
      <c r="BE78" s="710"/>
      <c r="BF78" s="710" t="s">
        <v>442</v>
      </c>
      <c r="BG78" s="710"/>
      <c r="BH78" s="710"/>
      <c r="BI78" s="710"/>
      <c r="BJ78" s="710"/>
      <c r="BK78" s="710"/>
      <c r="BL78" s="710"/>
      <c r="BM78" s="710"/>
      <c r="BN78" s="710"/>
      <c r="BO78" s="710"/>
      <c r="BP78" s="710"/>
      <c r="BQ78" s="710"/>
      <c r="BR78" s="710"/>
      <c r="BS78" s="710"/>
      <c r="BT78" s="710"/>
    </row>
    <row r="79" spans="1:72" s="709" customFormat="1" ht="15.75">
      <c r="A79" s="556"/>
      <c r="B79" s="708" t="s">
        <v>670</v>
      </c>
      <c r="C79" s="601" t="s">
        <v>673</v>
      </c>
      <c r="D79" s="601"/>
      <c r="E79" s="601"/>
      <c r="F79" s="601"/>
      <c r="G79" s="601"/>
      <c r="H79" s="601"/>
      <c r="I79" s="601"/>
      <c r="J79" s="601"/>
      <c r="K79" s="601"/>
      <c r="L79" s="601"/>
      <c r="M79" s="601"/>
      <c r="N79" s="601"/>
      <c r="O79" s="601"/>
      <c r="P79" s="601"/>
      <c r="Q79" s="601"/>
      <c r="R79" s="601"/>
      <c r="S79" s="724"/>
      <c r="T79" s="724"/>
      <c r="U79" s="724"/>
      <c r="V79" s="724"/>
      <c r="W79" s="601"/>
      <c r="X79" s="601"/>
      <c r="Y79" s="724"/>
      <c r="Z79" s="724"/>
      <c r="AA79" s="601"/>
      <c r="AB79" s="601"/>
      <c r="AC79" s="601"/>
      <c r="AD79" s="724"/>
      <c r="AE79" s="724"/>
      <c r="AF79" s="724"/>
      <c r="AG79" s="724"/>
      <c r="AH79" s="724"/>
      <c r="AI79" s="724"/>
      <c r="AJ79" s="724"/>
      <c r="AK79" s="724"/>
      <c r="AL79" s="724"/>
      <c r="AM79" s="724"/>
      <c r="AN79" s="724"/>
      <c r="AO79" s="724"/>
      <c r="AP79" s="724"/>
      <c r="AQ79" s="724"/>
      <c r="AR79" s="724"/>
      <c r="AS79" s="724"/>
      <c r="AT79" s="724"/>
      <c r="AU79" s="724"/>
      <c r="AV79" s="724"/>
      <c r="AW79" s="724"/>
      <c r="AX79" s="724"/>
      <c r="AY79" s="598"/>
      <c r="AZ79" s="598"/>
      <c r="BA79" s="604"/>
      <c r="BB79" s="723"/>
      <c r="BC79" s="571"/>
      <c r="BD79" s="572"/>
      <c r="BE79" s="710"/>
      <c r="BF79" s="710" t="s">
        <v>443</v>
      </c>
      <c r="BG79" s="710"/>
      <c r="BH79" s="710"/>
      <c r="BI79" s="710"/>
      <c r="BJ79" s="710"/>
      <c r="BK79" s="710"/>
      <c r="BL79" s="710"/>
      <c r="BM79" s="710"/>
      <c r="BN79" s="710"/>
      <c r="BO79" s="710"/>
      <c r="BP79" s="710"/>
      <c r="BQ79" s="710"/>
      <c r="BR79" s="710"/>
      <c r="BS79" s="710"/>
      <c r="BT79" s="710"/>
    </row>
    <row r="80" spans="1:72" s="709" customFormat="1" ht="15.75">
      <c r="A80" s="556"/>
      <c r="B80" s="598"/>
      <c r="C80" s="601"/>
      <c r="D80" s="601"/>
      <c r="E80" s="601"/>
      <c r="F80" s="601"/>
      <c r="G80" s="601"/>
      <c r="H80" s="601"/>
      <c r="I80" s="601"/>
      <c r="J80" s="601"/>
      <c r="K80" s="601"/>
      <c r="L80" s="601"/>
      <c r="M80" s="601"/>
      <c r="N80" s="601"/>
      <c r="O80" s="601"/>
      <c r="P80" s="601"/>
      <c r="Q80" s="601"/>
      <c r="R80" s="601"/>
      <c r="S80" s="724"/>
      <c r="T80" s="724"/>
      <c r="U80" s="724"/>
      <c r="V80" s="724"/>
      <c r="W80" s="601"/>
      <c r="X80" s="601"/>
      <c r="Y80" s="724"/>
      <c r="Z80" s="724"/>
      <c r="AA80" s="601"/>
      <c r="AB80" s="601"/>
      <c r="AC80" s="601"/>
      <c r="AD80" s="724"/>
      <c r="AE80" s="724"/>
      <c r="AF80" s="724"/>
      <c r="AG80" s="724"/>
      <c r="AH80" s="724"/>
      <c r="AI80" s="724"/>
      <c r="AJ80" s="724"/>
      <c r="AK80" s="724"/>
      <c r="AL80" s="724"/>
      <c r="AM80" s="724"/>
      <c r="AN80" s="724"/>
      <c r="AO80" s="724"/>
      <c r="AP80" s="724"/>
      <c r="AQ80" s="724"/>
      <c r="AR80" s="724"/>
      <c r="AS80" s="724"/>
      <c r="AT80" s="724"/>
      <c r="AU80" s="724"/>
      <c r="AV80" s="724"/>
      <c r="AW80" s="724"/>
      <c r="AX80" s="724"/>
      <c r="AY80" s="598"/>
      <c r="AZ80" s="598"/>
      <c r="BA80" s="604"/>
      <c r="BB80" s="723"/>
      <c r="BC80" s="571"/>
      <c r="BD80" s="572"/>
      <c r="BE80" s="710"/>
      <c r="BF80" s="710" t="s">
        <v>444</v>
      </c>
      <c r="BG80" s="710"/>
      <c r="BH80" s="710"/>
      <c r="BI80" s="710"/>
      <c r="BJ80" s="710"/>
      <c r="BK80" s="710"/>
      <c r="BL80" s="710"/>
      <c r="BM80" s="710"/>
      <c r="BN80" s="710"/>
      <c r="BO80" s="710"/>
      <c r="BP80" s="710"/>
      <c r="BQ80" s="710"/>
      <c r="BR80" s="710"/>
      <c r="BS80" s="710"/>
      <c r="BT80" s="710"/>
    </row>
    <row r="81" spans="1:72" s="709" customFormat="1" ht="15.75">
      <c r="A81" s="556"/>
      <c r="B81" s="598"/>
      <c r="C81" s="601"/>
      <c r="D81" s="601"/>
      <c r="E81" s="601"/>
      <c r="F81" s="601"/>
      <c r="G81" s="601"/>
      <c r="H81" s="601"/>
      <c r="I81" s="601"/>
      <c r="J81" s="601"/>
      <c r="K81" s="601"/>
      <c r="L81" s="601"/>
      <c r="M81" s="601"/>
      <c r="N81" s="601"/>
      <c r="O81" s="601"/>
      <c r="P81" s="601"/>
      <c r="Q81" s="601"/>
      <c r="R81" s="601"/>
      <c r="S81" s="724"/>
      <c r="T81" s="724"/>
      <c r="U81" s="724"/>
      <c r="V81" s="724"/>
      <c r="W81" s="601"/>
      <c r="X81" s="601"/>
      <c r="Y81" s="724"/>
      <c r="Z81" s="724"/>
      <c r="AA81" s="601"/>
      <c r="AB81" s="601"/>
      <c r="AC81" s="601"/>
      <c r="AD81" s="724"/>
      <c r="AE81" s="724"/>
      <c r="AF81" s="724"/>
      <c r="AG81" s="724"/>
      <c r="AH81" s="724"/>
      <c r="AI81" s="724"/>
      <c r="AJ81" s="724"/>
      <c r="AK81" s="724"/>
      <c r="AL81" s="724"/>
      <c r="AM81" s="724"/>
      <c r="AN81" s="724"/>
      <c r="AO81" s="724"/>
      <c r="AP81" s="724"/>
      <c r="AQ81" s="724"/>
      <c r="AR81" s="724"/>
      <c r="AS81" s="724"/>
      <c r="AT81" s="724"/>
      <c r="AU81" s="724"/>
      <c r="AV81" s="724"/>
      <c r="AW81" s="724"/>
      <c r="AX81" s="724"/>
      <c r="AY81" s="598"/>
      <c r="AZ81" s="598"/>
      <c r="BA81" s="604"/>
      <c r="BB81" s="723"/>
      <c r="BC81" s="571"/>
      <c r="BD81" s="572"/>
      <c r="BE81" s="710"/>
      <c r="BF81" s="710"/>
      <c r="BG81" s="710" t="s">
        <v>445</v>
      </c>
      <c r="BH81" s="710"/>
      <c r="BI81" s="710"/>
      <c r="BJ81" s="710"/>
      <c r="BK81" s="710"/>
      <c r="BL81" s="710"/>
      <c r="BM81" s="710"/>
      <c r="BN81" s="710"/>
      <c r="BO81" s="710"/>
      <c r="BP81" s="710"/>
      <c r="BQ81" s="710"/>
      <c r="BR81" s="710"/>
      <c r="BS81" s="710"/>
      <c r="BT81" s="710"/>
    </row>
    <row r="82" spans="1:72" s="709" customFormat="1" ht="15.75">
      <c r="A82" s="556"/>
      <c r="B82" s="598"/>
      <c r="C82" s="601"/>
      <c r="D82" s="601"/>
      <c r="E82" s="601"/>
      <c r="F82" s="601"/>
      <c r="G82" s="601"/>
      <c r="H82" s="601"/>
      <c r="I82" s="601"/>
      <c r="J82" s="601"/>
      <c r="K82" s="601"/>
      <c r="L82" s="601"/>
      <c r="M82" s="601"/>
      <c r="N82" s="601"/>
      <c r="O82" s="601"/>
      <c r="P82" s="601"/>
      <c r="Q82" s="601"/>
      <c r="R82" s="601"/>
      <c r="S82" s="724"/>
      <c r="T82" s="724"/>
      <c r="U82" s="724"/>
      <c r="V82" s="724"/>
      <c r="W82" s="601"/>
      <c r="X82" s="601"/>
      <c r="Y82" s="724"/>
      <c r="Z82" s="724"/>
      <c r="AA82" s="601"/>
      <c r="AB82" s="601"/>
      <c r="AC82" s="601"/>
      <c r="AD82" s="724"/>
      <c r="AE82" s="724"/>
      <c r="AF82" s="724"/>
      <c r="AG82" s="724"/>
      <c r="AH82" s="724"/>
      <c r="AI82" s="724"/>
      <c r="AJ82" s="724"/>
      <c r="AK82" s="724"/>
      <c r="AL82" s="724"/>
      <c r="AM82" s="724"/>
      <c r="AN82" s="724"/>
      <c r="AO82" s="724"/>
      <c r="AP82" s="724"/>
      <c r="AQ82" s="724"/>
      <c r="AR82" s="724"/>
      <c r="AS82" s="724"/>
      <c r="AT82" s="724"/>
      <c r="AU82" s="724"/>
      <c r="AV82" s="724"/>
      <c r="AW82" s="724"/>
      <c r="AX82" s="724"/>
      <c r="AY82" s="598"/>
      <c r="AZ82" s="598"/>
      <c r="BA82" s="604"/>
      <c r="BB82" s="723"/>
      <c r="BC82" s="571"/>
      <c r="BD82" s="572"/>
      <c r="BE82" s="710"/>
      <c r="BF82" s="710"/>
      <c r="BG82" s="710" t="s">
        <v>446</v>
      </c>
      <c r="BH82" s="710"/>
      <c r="BI82" s="710"/>
      <c r="BJ82" s="710"/>
      <c r="BK82" s="710"/>
      <c r="BL82" s="710"/>
      <c r="BM82" s="710"/>
      <c r="BN82" s="710"/>
      <c r="BO82" s="710"/>
      <c r="BP82" s="710"/>
      <c r="BQ82" s="710"/>
      <c r="BR82" s="710"/>
      <c r="BS82" s="710"/>
      <c r="BT82" s="710"/>
    </row>
    <row r="83" spans="1:72" s="709" customFormat="1" ht="15.75">
      <c r="A83" s="556"/>
      <c r="B83" s="598"/>
      <c r="C83" s="601"/>
      <c r="D83" s="601"/>
      <c r="E83" s="601"/>
      <c r="F83" s="601"/>
      <c r="G83" s="601"/>
      <c r="H83" s="601"/>
      <c r="I83" s="601"/>
      <c r="J83" s="601"/>
      <c r="K83" s="601"/>
      <c r="L83" s="601"/>
      <c r="M83" s="601"/>
      <c r="N83" s="601"/>
      <c r="O83" s="601"/>
      <c r="P83" s="601"/>
      <c r="Q83" s="601"/>
      <c r="R83" s="601"/>
      <c r="S83" s="724"/>
      <c r="T83" s="724"/>
      <c r="U83" s="724"/>
      <c r="V83" s="724"/>
      <c r="W83" s="601"/>
      <c r="X83" s="601"/>
      <c r="Y83" s="724"/>
      <c r="Z83" s="724"/>
      <c r="AA83" s="601"/>
      <c r="AB83" s="601"/>
      <c r="AC83" s="601"/>
      <c r="AD83" s="724"/>
      <c r="AE83" s="724"/>
      <c r="AF83" s="724"/>
      <c r="AG83" s="724"/>
      <c r="AH83" s="724"/>
      <c r="AI83" s="724"/>
      <c r="AJ83" s="724"/>
      <c r="AK83" s="724"/>
      <c r="AL83" s="724"/>
      <c r="AM83" s="724"/>
      <c r="AN83" s="724"/>
      <c r="AO83" s="724"/>
      <c r="AP83" s="724"/>
      <c r="AQ83" s="724"/>
      <c r="AR83" s="724"/>
      <c r="AS83" s="724"/>
      <c r="AT83" s="724"/>
      <c r="AU83" s="724"/>
      <c r="AV83" s="724"/>
      <c r="AW83" s="724"/>
      <c r="AX83" s="724"/>
      <c r="AY83" s="598"/>
      <c r="AZ83" s="598"/>
      <c r="BA83" s="604"/>
      <c r="BB83" s="723"/>
      <c r="BC83" s="571"/>
      <c r="BD83" s="572"/>
      <c r="BE83" s="710"/>
      <c r="BF83" s="710"/>
      <c r="BG83" s="710" t="s">
        <v>447</v>
      </c>
      <c r="BH83" s="710"/>
      <c r="BI83" s="710"/>
      <c r="BJ83" s="710"/>
      <c r="BK83" s="710"/>
      <c r="BL83" s="710"/>
      <c r="BM83" s="710"/>
      <c r="BN83" s="710"/>
      <c r="BO83" s="710"/>
      <c r="BP83" s="710"/>
      <c r="BQ83" s="710"/>
      <c r="BR83" s="710"/>
      <c r="BS83" s="710"/>
      <c r="BT83" s="710"/>
    </row>
    <row r="84" spans="1:72" s="709" customFormat="1" ht="15.75">
      <c r="A84" s="556"/>
      <c r="B84" s="598"/>
      <c r="C84" s="601"/>
      <c r="D84" s="601"/>
      <c r="E84" s="601"/>
      <c r="F84" s="601"/>
      <c r="G84" s="601"/>
      <c r="H84" s="601"/>
      <c r="I84" s="601"/>
      <c r="J84" s="601"/>
      <c r="K84" s="601"/>
      <c r="L84" s="601"/>
      <c r="M84" s="601"/>
      <c r="N84" s="601"/>
      <c r="O84" s="601"/>
      <c r="P84" s="601"/>
      <c r="Q84" s="601"/>
      <c r="R84" s="601"/>
      <c r="S84" s="724"/>
      <c r="T84" s="724"/>
      <c r="U84" s="724"/>
      <c r="V84" s="724"/>
      <c r="W84" s="601"/>
      <c r="X84" s="601"/>
      <c r="Y84" s="724"/>
      <c r="Z84" s="724"/>
      <c r="AA84" s="601"/>
      <c r="AB84" s="601"/>
      <c r="AC84" s="601"/>
      <c r="AD84" s="724"/>
      <c r="AE84" s="724"/>
      <c r="AF84" s="724"/>
      <c r="AG84" s="724"/>
      <c r="AH84" s="724"/>
      <c r="AI84" s="724"/>
      <c r="AJ84" s="724"/>
      <c r="AK84" s="724"/>
      <c r="AL84" s="724"/>
      <c r="AM84" s="724"/>
      <c r="AN84" s="724"/>
      <c r="AO84" s="724"/>
      <c r="AP84" s="724"/>
      <c r="AQ84" s="724"/>
      <c r="AR84" s="724"/>
      <c r="AS84" s="724"/>
      <c r="AT84" s="724"/>
      <c r="AU84" s="724"/>
      <c r="AV84" s="724"/>
      <c r="AW84" s="724"/>
      <c r="AX84" s="724"/>
      <c r="AY84" s="598"/>
      <c r="AZ84" s="598"/>
      <c r="BA84" s="604"/>
      <c r="BB84" s="723"/>
      <c r="BC84" s="571"/>
      <c r="BD84" s="572"/>
      <c r="BE84" s="710"/>
      <c r="BF84" s="710"/>
      <c r="BG84" s="710"/>
      <c r="BH84" s="710"/>
      <c r="BI84" s="710"/>
      <c r="BJ84" s="710"/>
      <c r="BK84" s="710"/>
      <c r="BL84" s="710"/>
      <c r="BM84" s="710"/>
      <c r="BN84" s="710"/>
      <c r="BO84" s="710"/>
      <c r="BP84" s="710"/>
      <c r="BQ84" s="710"/>
      <c r="BR84" s="710"/>
      <c r="BS84" s="710"/>
      <c r="BT84" s="710"/>
    </row>
    <row r="85" spans="1:72" s="709" customFormat="1" ht="15.75">
      <c r="A85" s="556"/>
      <c r="B85" s="598"/>
      <c r="C85" s="601"/>
      <c r="D85" s="601"/>
      <c r="E85" s="601"/>
      <c r="F85" s="601"/>
      <c r="G85" s="601"/>
      <c r="H85" s="601"/>
      <c r="I85" s="601"/>
      <c r="J85" s="601"/>
      <c r="K85" s="601"/>
      <c r="L85" s="601"/>
      <c r="M85" s="601"/>
      <c r="N85" s="601"/>
      <c r="O85" s="601"/>
      <c r="P85" s="601"/>
      <c r="Q85" s="601"/>
      <c r="R85" s="601"/>
      <c r="S85" s="724"/>
      <c r="T85" s="724"/>
      <c r="U85" s="724"/>
      <c r="V85" s="724"/>
      <c r="W85" s="601"/>
      <c r="X85" s="601"/>
      <c r="Y85" s="724"/>
      <c r="Z85" s="724"/>
      <c r="AA85" s="601"/>
      <c r="AB85" s="601"/>
      <c r="AC85" s="601"/>
      <c r="AD85" s="724"/>
      <c r="AE85" s="724"/>
      <c r="AF85" s="724"/>
      <c r="AG85" s="724"/>
      <c r="AH85" s="724"/>
      <c r="AI85" s="724"/>
      <c r="AJ85" s="724"/>
      <c r="AK85" s="724"/>
      <c r="AL85" s="724"/>
      <c r="AM85" s="724"/>
      <c r="AN85" s="724"/>
      <c r="AO85" s="724"/>
      <c r="AP85" s="724"/>
      <c r="AQ85" s="724"/>
      <c r="AR85" s="724"/>
      <c r="AS85" s="724"/>
      <c r="AT85" s="724"/>
      <c r="AU85" s="724"/>
      <c r="AV85" s="724"/>
      <c r="AW85" s="724"/>
      <c r="AX85" s="724"/>
      <c r="AY85" s="598"/>
      <c r="AZ85" s="598"/>
      <c r="BA85" s="604"/>
      <c r="BB85" s="723"/>
      <c r="BC85" s="571"/>
      <c r="BD85" s="572"/>
      <c r="BE85" s="710"/>
      <c r="BF85" s="710"/>
      <c r="BG85" s="710" t="s">
        <v>448</v>
      </c>
      <c r="BH85" s="710"/>
      <c r="BI85" s="710"/>
      <c r="BJ85" s="710"/>
      <c r="BK85" s="710"/>
      <c r="BL85" s="710"/>
      <c r="BM85" s="710"/>
      <c r="BN85" s="710"/>
      <c r="BO85" s="710"/>
      <c r="BP85" s="710"/>
      <c r="BQ85" s="710"/>
      <c r="BR85" s="710"/>
      <c r="BS85" s="710"/>
      <c r="BT85" s="710"/>
    </row>
    <row r="86" spans="1:72" s="709" customFormat="1" ht="15.75">
      <c r="A86" s="556"/>
      <c r="B86" s="598"/>
      <c r="C86" s="601"/>
      <c r="D86" s="601"/>
      <c r="E86" s="601"/>
      <c r="F86" s="601"/>
      <c r="G86" s="601"/>
      <c r="H86" s="601"/>
      <c r="I86" s="601"/>
      <c r="J86" s="601"/>
      <c r="K86" s="601"/>
      <c r="L86" s="601"/>
      <c r="M86" s="601"/>
      <c r="N86" s="601"/>
      <c r="O86" s="601"/>
      <c r="P86" s="601"/>
      <c r="Q86" s="601"/>
      <c r="R86" s="601"/>
      <c r="S86" s="724"/>
      <c r="T86" s="724"/>
      <c r="U86" s="724"/>
      <c r="V86" s="724"/>
      <c r="W86" s="601"/>
      <c r="X86" s="601"/>
      <c r="Y86" s="724"/>
      <c r="Z86" s="724"/>
      <c r="AA86" s="601"/>
      <c r="AB86" s="601"/>
      <c r="AC86" s="601"/>
      <c r="AD86" s="724"/>
      <c r="AE86" s="724"/>
      <c r="AF86" s="724"/>
      <c r="AG86" s="724"/>
      <c r="AH86" s="724"/>
      <c r="AI86" s="724"/>
      <c r="AJ86" s="724"/>
      <c r="AK86" s="724"/>
      <c r="AL86" s="724"/>
      <c r="AM86" s="724"/>
      <c r="AN86" s="724"/>
      <c r="AO86" s="724"/>
      <c r="AP86" s="724"/>
      <c r="AQ86" s="724"/>
      <c r="AR86" s="724"/>
      <c r="AS86" s="724"/>
      <c r="AT86" s="724"/>
      <c r="AU86" s="724"/>
      <c r="AV86" s="724"/>
      <c r="AW86" s="724"/>
      <c r="AX86" s="724"/>
      <c r="AY86" s="598"/>
      <c r="AZ86" s="598"/>
      <c r="BA86" s="604"/>
      <c r="BB86" s="723"/>
      <c r="BC86" s="571"/>
      <c r="BD86" s="572"/>
      <c r="BE86" s="710"/>
      <c r="BF86" s="710"/>
      <c r="BG86" s="710" t="s">
        <v>449</v>
      </c>
      <c r="BH86" s="710"/>
      <c r="BI86" s="710"/>
      <c r="BJ86" s="710"/>
      <c r="BK86" s="710"/>
      <c r="BL86" s="710"/>
      <c r="BM86" s="710"/>
      <c r="BN86" s="710"/>
      <c r="BO86" s="710"/>
      <c r="BP86" s="710"/>
      <c r="BQ86" s="710"/>
      <c r="BR86" s="710"/>
      <c r="BS86" s="710"/>
      <c r="BT86" s="710"/>
    </row>
    <row r="87" spans="1:72" s="709" customFormat="1" ht="15.75">
      <c r="A87" s="556"/>
      <c r="B87" s="598"/>
      <c r="C87" s="601"/>
      <c r="D87" s="601"/>
      <c r="E87" s="601"/>
      <c r="F87" s="601"/>
      <c r="G87" s="601"/>
      <c r="H87" s="601"/>
      <c r="I87" s="601"/>
      <c r="J87" s="601"/>
      <c r="K87" s="601"/>
      <c r="L87" s="601"/>
      <c r="M87" s="601"/>
      <c r="N87" s="601"/>
      <c r="O87" s="601"/>
      <c r="P87" s="601"/>
      <c r="Q87" s="601"/>
      <c r="R87" s="601"/>
      <c r="S87" s="724"/>
      <c r="T87" s="724"/>
      <c r="U87" s="724"/>
      <c r="V87" s="724"/>
      <c r="W87" s="601"/>
      <c r="X87" s="601"/>
      <c r="Y87" s="724"/>
      <c r="Z87" s="724"/>
      <c r="AA87" s="601"/>
      <c r="AB87" s="601"/>
      <c r="AC87" s="601"/>
      <c r="AD87" s="724"/>
      <c r="AE87" s="724"/>
      <c r="AF87" s="724"/>
      <c r="AG87" s="724"/>
      <c r="AH87" s="724"/>
      <c r="AI87" s="724"/>
      <c r="AJ87" s="724"/>
      <c r="AK87" s="724"/>
      <c r="AL87" s="724"/>
      <c r="AM87" s="724"/>
      <c r="AN87" s="724"/>
      <c r="AO87" s="724"/>
      <c r="AP87" s="724"/>
      <c r="AQ87" s="724"/>
      <c r="AR87" s="724"/>
      <c r="AS87" s="724"/>
      <c r="AT87" s="724"/>
      <c r="AU87" s="724"/>
      <c r="AV87" s="724"/>
      <c r="AW87" s="724"/>
      <c r="AX87" s="724"/>
      <c r="AY87" s="598"/>
      <c r="AZ87" s="598"/>
      <c r="BA87" s="604"/>
      <c r="BB87" s="723"/>
      <c r="BC87" s="571"/>
      <c r="BD87" s="572"/>
      <c r="BE87" s="710"/>
      <c r="BF87" s="710"/>
      <c r="BG87" s="710" t="s">
        <v>449</v>
      </c>
      <c r="BH87" s="710"/>
      <c r="BI87" s="710"/>
      <c r="BJ87" s="710"/>
      <c r="BK87" s="710"/>
      <c r="BL87" s="710"/>
      <c r="BM87" s="710"/>
      <c r="BN87" s="710"/>
      <c r="BO87" s="710"/>
      <c r="BP87" s="710"/>
      <c r="BQ87" s="710"/>
      <c r="BR87" s="710"/>
      <c r="BS87" s="710"/>
      <c r="BT87" s="710"/>
    </row>
    <row r="88" spans="1:72" s="709" customFormat="1" ht="15.75">
      <c r="A88" s="573"/>
      <c r="B88" s="715"/>
      <c r="C88" s="716"/>
      <c r="D88" s="716"/>
      <c r="E88" s="716"/>
      <c r="F88" s="716"/>
      <c r="G88" s="716"/>
      <c r="H88" s="716"/>
      <c r="I88" s="716"/>
      <c r="J88" s="716"/>
      <c r="K88" s="716"/>
      <c r="L88" s="716"/>
      <c r="M88" s="716"/>
      <c r="N88" s="716"/>
      <c r="O88" s="716"/>
      <c r="P88" s="716"/>
      <c r="Q88" s="716"/>
      <c r="R88" s="716"/>
      <c r="S88" s="717"/>
      <c r="T88" s="717"/>
      <c r="U88" s="717"/>
      <c r="V88" s="717"/>
      <c r="W88" s="716"/>
      <c r="X88" s="716"/>
      <c r="Y88" s="717"/>
      <c r="Z88" s="717"/>
      <c r="AA88" s="716"/>
      <c r="AB88" s="716"/>
      <c r="AC88" s="716"/>
      <c r="AD88" s="717"/>
      <c r="AE88" s="717"/>
      <c r="AF88" s="717"/>
      <c r="AG88" s="717"/>
      <c r="AH88" s="717"/>
      <c r="AI88" s="717"/>
      <c r="AJ88" s="717"/>
      <c r="AK88" s="717"/>
      <c r="AL88" s="717"/>
      <c r="AM88" s="717"/>
      <c r="AN88" s="717"/>
      <c r="AO88" s="717"/>
      <c r="AP88" s="717"/>
      <c r="AQ88" s="717"/>
      <c r="AR88" s="717"/>
      <c r="AS88" s="717"/>
      <c r="AT88" s="717"/>
      <c r="AU88" s="717"/>
      <c r="AV88" s="717"/>
      <c r="AW88" s="717"/>
      <c r="AX88" s="717"/>
      <c r="AY88" s="715"/>
      <c r="AZ88" s="715"/>
      <c r="BA88" s="620"/>
      <c r="BB88" s="778"/>
      <c r="BC88" s="575"/>
      <c r="BD88" s="572"/>
      <c r="BE88" s="710"/>
      <c r="BF88" s="710"/>
      <c r="BG88" s="710"/>
      <c r="BH88" s="710"/>
      <c r="BI88" s="710"/>
      <c r="BJ88" s="710"/>
      <c r="BK88" s="710"/>
      <c r="BL88" s="710"/>
      <c r="BM88" s="710"/>
      <c r="BN88" s="710"/>
      <c r="BO88" s="710"/>
      <c r="BP88" s="710"/>
      <c r="BQ88" s="710"/>
      <c r="BR88" s="710"/>
      <c r="BS88" s="710"/>
      <c r="BT88" s="710"/>
    </row>
    <row r="89" spans="1:72" s="709" customFormat="1" ht="15.75">
      <c r="A89" s="545"/>
      <c r="B89" s="545"/>
      <c r="C89" s="545"/>
      <c r="D89" s="545"/>
      <c r="E89" s="545"/>
      <c r="F89" s="545"/>
      <c r="G89" s="545"/>
      <c r="H89" s="545"/>
      <c r="I89" s="545"/>
      <c r="J89" s="545"/>
      <c r="K89" s="545"/>
      <c r="L89" s="545"/>
      <c r="M89" s="545"/>
      <c r="N89" s="545"/>
      <c r="O89" s="545"/>
      <c r="P89" s="545"/>
      <c r="Q89" s="545"/>
      <c r="R89" s="545"/>
      <c r="S89" s="576"/>
      <c r="T89" s="576"/>
      <c r="U89" s="576"/>
      <c r="V89" s="576"/>
      <c r="W89" s="545"/>
      <c r="X89" s="545"/>
      <c r="Y89" s="576"/>
      <c r="Z89" s="576"/>
      <c r="AA89" s="545"/>
      <c r="AB89" s="545"/>
      <c r="AC89" s="545"/>
      <c r="AD89" s="576"/>
      <c r="AE89" s="576"/>
      <c r="AF89" s="576"/>
      <c r="AG89" s="576"/>
      <c r="AH89" s="576"/>
      <c r="AI89" s="576"/>
      <c r="AJ89" s="576"/>
      <c r="AK89" s="576"/>
      <c r="AL89" s="576"/>
      <c r="AM89" s="576"/>
      <c r="AN89" s="576"/>
      <c r="AO89" s="576"/>
      <c r="AP89" s="576"/>
      <c r="AQ89" s="576"/>
      <c r="AR89" s="576"/>
      <c r="AS89" s="576"/>
      <c r="AT89" s="576"/>
      <c r="AU89" s="576"/>
      <c r="AV89" s="576"/>
      <c r="AW89" s="576"/>
      <c r="AX89" s="576"/>
      <c r="AY89" s="576"/>
      <c r="AZ89" s="576"/>
      <c r="BA89" s="576"/>
      <c r="BB89" s="576"/>
      <c r="BC89" s="576"/>
      <c r="BD89" s="572"/>
      <c r="BE89" s="710"/>
      <c r="BF89" s="710"/>
      <c r="BG89" s="710"/>
      <c r="BH89" s="710"/>
      <c r="BI89" s="710"/>
      <c r="BJ89" s="710"/>
      <c r="BK89" s="710"/>
      <c r="BL89" s="710"/>
      <c r="BM89" s="710"/>
      <c r="BN89" s="710"/>
      <c r="BO89" s="710"/>
      <c r="BP89" s="710"/>
      <c r="BQ89" s="710"/>
      <c r="BR89" s="710"/>
      <c r="BS89" s="710"/>
      <c r="BT89" s="710"/>
    </row>
    <row r="90" spans="1:72" s="709" customFormat="1" ht="15.75">
      <c r="A90" s="545"/>
      <c r="B90" s="545"/>
      <c r="C90" s="545"/>
      <c r="D90" s="545"/>
      <c r="E90" s="545"/>
      <c r="F90" s="545"/>
      <c r="G90" s="545"/>
      <c r="H90" s="545"/>
      <c r="I90" s="545"/>
      <c r="J90" s="545"/>
      <c r="K90" s="545"/>
      <c r="L90" s="545"/>
      <c r="M90" s="545"/>
      <c r="N90" s="545"/>
      <c r="O90" s="545"/>
      <c r="P90" s="545"/>
      <c r="Q90" s="545"/>
      <c r="R90" s="545"/>
      <c r="S90" s="576"/>
      <c r="T90" s="576"/>
      <c r="U90" s="576"/>
      <c r="V90" s="576"/>
      <c r="W90" s="545"/>
      <c r="X90" s="545"/>
      <c r="Y90" s="576"/>
      <c r="Z90" s="576"/>
      <c r="AA90" s="545"/>
      <c r="AB90" s="545"/>
      <c r="AC90" s="545"/>
      <c r="AD90" s="576"/>
      <c r="AE90" s="576"/>
      <c r="AF90" s="576"/>
      <c r="AG90" s="576"/>
      <c r="AH90" s="576"/>
      <c r="AI90" s="576"/>
      <c r="AJ90" s="576"/>
      <c r="AK90" s="576"/>
      <c r="AL90" s="576"/>
      <c r="AM90" s="576"/>
      <c r="AN90" s="576"/>
      <c r="AO90" s="576"/>
      <c r="AP90" s="576"/>
      <c r="AQ90" s="576"/>
      <c r="AR90" s="576"/>
      <c r="AS90" s="576"/>
      <c r="AT90" s="576"/>
      <c r="AU90" s="576"/>
      <c r="AV90" s="576"/>
      <c r="AW90" s="576"/>
      <c r="AX90" s="576"/>
      <c r="AY90" s="576"/>
      <c r="AZ90" s="576"/>
      <c r="BA90" s="576"/>
      <c r="BB90" s="576"/>
      <c r="BC90" s="576"/>
      <c r="BD90" s="572"/>
      <c r="BE90" s="710"/>
      <c r="BF90" s="710"/>
      <c r="BG90" s="710"/>
      <c r="BH90" s="710"/>
      <c r="BI90" s="710"/>
      <c r="BJ90" s="710"/>
      <c r="BK90" s="710"/>
      <c r="BL90" s="710"/>
      <c r="BM90" s="710"/>
      <c r="BN90" s="710"/>
      <c r="BO90" s="710"/>
      <c r="BP90" s="710"/>
      <c r="BQ90" s="710"/>
      <c r="BR90" s="710"/>
      <c r="BS90" s="710"/>
      <c r="BT90" s="710"/>
    </row>
    <row r="91" spans="1:72" s="709" customFormat="1" ht="15.75">
      <c r="A91" s="545"/>
      <c r="B91" s="545"/>
      <c r="C91" s="545"/>
      <c r="D91" s="545"/>
      <c r="E91" s="545"/>
      <c r="F91" s="545"/>
      <c r="G91" s="545"/>
      <c r="H91" s="545"/>
      <c r="I91" s="545"/>
      <c r="J91" s="545"/>
      <c r="K91" s="545"/>
      <c r="L91" s="545"/>
      <c r="M91" s="545"/>
      <c r="N91" s="545"/>
      <c r="O91" s="545"/>
      <c r="P91" s="545"/>
      <c r="Q91" s="545"/>
      <c r="R91" s="545"/>
      <c r="S91" s="576"/>
      <c r="T91" s="576"/>
      <c r="U91" s="576"/>
      <c r="V91" s="576"/>
      <c r="W91" s="545"/>
      <c r="X91" s="545"/>
      <c r="Y91" s="576"/>
      <c r="Z91" s="576"/>
      <c r="AA91" s="545"/>
      <c r="AB91" s="545"/>
      <c r="AC91" s="545"/>
      <c r="AD91" s="576"/>
      <c r="AE91" s="576"/>
      <c r="AF91" s="576"/>
      <c r="AG91" s="576"/>
      <c r="AH91" s="576"/>
      <c r="AI91" s="576"/>
      <c r="AJ91" s="576"/>
      <c r="AK91" s="576"/>
      <c r="AL91" s="576"/>
      <c r="AM91" s="576"/>
      <c r="AN91" s="576"/>
      <c r="AO91" s="576"/>
      <c r="AP91" s="576"/>
      <c r="AQ91" s="576"/>
      <c r="AR91" s="576"/>
      <c r="AS91" s="576"/>
      <c r="AT91" s="576"/>
      <c r="AU91" s="576"/>
      <c r="AV91" s="576"/>
      <c r="AW91" s="576"/>
      <c r="AX91" s="576"/>
      <c r="AY91" s="576"/>
      <c r="AZ91" s="576"/>
      <c r="BA91" s="576"/>
      <c r="BB91" s="576"/>
      <c r="BC91" s="576"/>
      <c r="BD91" s="572"/>
      <c r="BE91" s="710"/>
      <c r="BF91" s="710"/>
      <c r="BG91" s="710"/>
      <c r="BH91" s="710"/>
      <c r="BI91" s="710"/>
      <c r="BJ91" s="710"/>
      <c r="BK91" s="710"/>
      <c r="BL91" s="710"/>
      <c r="BM91" s="710"/>
      <c r="BN91" s="710"/>
      <c r="BO91" s="710"/>
      <c r="BP91" s="710"/>
      <c r="BQ91" s="710"/>
      <c r="BR91" s="710"/>
      <c r="BS91" s="710"/>
      <c r="BT91" s="710"/>
    </row>
    <row r="92" spans="1:72" s="709" customFormat="1" ht="15.75">
      <c r="A92" s="545"/>
      <c r="B92" s="545"/>
      <c r="C92" s="545"/>
      <c r="D92" s="545"/>
      <c r="E92" s="545"/>
      <c r="F92" s="545"/>
      <c r="G92" s="545"/>
      <c r="H92" s="545"/>
      <c r="I92" s="545"/>
      <c r="J92" s="545"/>
      <c r="K92" s="545"/>
      <c r="L92" s="545"/>
      <c r="M92" s="545"/>
      <c r="N92" s="545"/>
      <c r="O92" s="545"/>
      <c r="P92" s="545"/>
      <c r="Q92" s="545"/>
      <c r="R92" s="545"/>
      <c r="S92" s="576"/>
      <c r="T92" s="576"/>
      <c r="U92" s="576"/>
      <c r="V92" s="576"/>
      <c r="W92" s="545"/>
      <c r="X92" s="545"/>
      <c r="Y92" s="576"/>
      <c r="Z92" s="576"/>
      <c r="AA92" s="545"/>
      <c r="AB92" s="545"/>
      <c r="AC92" s="545"/>
      <c r="AD92" s="576"/>
      <c r="AE92" s="576"/>
      <c r="AF92" s="576"/>
      <c r="AG92" s="576"/>
      <c r="AH92" s="576"/>
      <c r="AI92" s="576"/>
      <c r="AJ92" s="576"/>
      <c r="AK92" s="576"/>
      <c r="AL92" s="576"/>
      <c r="AM92" s="576"/>
      <c r="AN92" s="576"/>
      <c r="AO92" s="576"/>
      <c r="AP92" s="576"/>
      <c r="AQ92" s="576"/>
      <c r="AR92" s="576"/>
      <c r="AS92" s="576"/>
      <c r="AT92" s="576"/>
      <c r="AU92" s="576"/>
      <c r="AV92" s="576"/>
      <c r="AW92" s="576"/>
      <c r="AX92" s="576"/>
      <c r="AY92" s="576"/>
      <c r="AZ92" s="576"/>
      <c r="BA92" s="576"/>
      <c r="BB92" s="576"/>
      <c r="BC92" s="576"/>
      <c r="BD92" s="572"/>
      <c r="BE92" s="710"/>
      <c r="BF92" s="710"/>
      <c r="BG92" s="710"/>
      <c r="BH92" s="710"/>
      <c r="BI92" s="710"/>
      <c r="BJ92" s="710"/>
      <c r="BK92" s="710"/>
      <c r="BL92" s="710"/>
      <c r="BM92" s="710"/>
      <c r="BN92" s="710"/>
      <c r="BO92" s="710"/>
      <c r="BP92" s="710"/>
      <c r="BQ92" s="710"/>
      <c r="BR92" s="710"/>
      <c r="BS92" s="710"/>
      <c r="BT92" s="710"/>
    </row>
    <row r="93" spans="1:72" s="709" customFormat="1" ht="15.75">
      <c r="A93" s="545"/>
      <c r="B93" s="545"/>
      <c r="C93" s="545"/>
      <c r="D93" s="545"/>
      <c r="E93" s="545"/>
      <c r="F93" s="545"/>
      <c r="G93" s="545"/>
      <c r="H93" s="545"/>
      <c r="I93" s="545"/>
      <c r="J93" s="545"/>
      <c r="K93" s="545"/>
      <c r="L93" s="545"/>
      <c r="M93" s="545"/>
      <c r="N93" s="545"/>
      <c r="O93" s="545"/>
      <c r="P93" s="545"/>
      <c r="Q93" s="545"/>
      <c r="R93" s="545"/>
      <c r="S93" s="576"/>
      <c r="T93" s="576"/>
      <c r="U93" s="576"/>
      <c r="V93" s="576"/>
      <c r="W93" s="545"/>
      <c r="X93" s="545"/>
      <c r="Y93" s="576"/>
      <c r="Z93" s="576"/>
      <c r="AA93" s="545"/>
      <c r="AB93" s="545"/>
      <c r="AC93" s="545"/>
      <c r="AD93" s="576"/>
      <c r="AE93" s="576"/>
      <c r="AF93" s="576"/>
      <c r="AG93" s="576"/>
      <c r="AH93" s="576"/>
      <c r="AI93" s="576"/>
      <c r="AJ93" s="576"/>
      <c r="AK93" s="576"/>
      <c r="AL93" s="576"/>
      <c r="AM93" s="576"/>
      <c r="AN93" s="576"/>
      <c r="AO93" s="576"/>
      <c r="AP93" s="576"/>
      <c r="AQ93" s="576"/>
      <c r="AR93" s="576"/>
      <c r="AS93" s="576"/>
      <c r="AT93" s="576"/>
      <c r="AU93" s="576"/>
      <c r="AV93" s="576"/>
      <c r="AW93" s="576"/>
      <c r="AX93" s="576"/>
      <c r="AY93" s="576"/>
      <c r="AZ93" s="576"/>
      <c r="BA93" s="576"/>
      <c r="BB93" s="576"/>
      <c r="BC93" s="576"/>
      <c r="BD93" s="572"/>
      <c r="BE93" s="710"/>
      <c r="BF93" s="710"/>
      <c r="BG93" s="710"/>
      <c r="BH93" s="710"/>
      <c r="BI93" s="710"/>
      <c r="BJ93" s="710"/>
      <c r="BK93" s="710"/>
      <c r="BL93" s="710"/>
      <c r="BM93" s="710"/>
      <c r="BN93" s="710"/>
      <c r="BO93" s="710"/>
      <c r="BP93" s="710"/>
      <c r="BQ93" s="710"/>
      <c r="BR93" s="710"/>
      <c r="BS93" s="710"/>
      <c r="BT93" s="710"/>
    </row>
    <row r="94" spans="1:72" s="709" customFormat="1" ht="15.75">
      <c r="A94" s="545"/>
      <c r="B94" s="545"/>
      <c r="C94" s="545"/>
      <c r="D94" s="545"/>
      <c r="E94" s="545"/>
      <c r="F94" s="545"/>
      <c r="G94" s="545"/>
      <c r="H94" s="545"/>
      <c r="I94" s="545"/>
      <c r="J94" s="545"/>
      <c r="K94" s="545"/>
      <c r="L94" s="545"/>
      <c r="M94" s="545"/>
      <c r="N94" s="545"/>
      <c r="O94" s="545"/>
      <c r="P94" s="545"/>
      <c r="Q94" s="545"/>
      <c r="R94" s="545"/>
      <c r="S94" s="576"/>
      <c r="T94" s="576"/>
      <c r="U94" s="576"/>
      <c r="V94" s="576"/>
      <c r="W94" s="545"/>
      <c r="X94" s="545"/>
      <c r="Y94" s="576"/>
      <c r="Z94" s="576"/>
      <c r="AA94" s="545"/>
      <c r="AB94" s="545"/>
      <c r="AC94" s="545"/>
      <c r="AD94" s="576"/>
      <c r="AE94" s="576"/>
      <c r="AF94" s="576"/>
      <c r="AG94" s="576"/>
      <c r="AH94" s="576"/>
      <c r="AI94" s="576"/>
      <c r="AJ94" s="576"/>
      <c r="AK94" s="576"/>
      <c r="AL94" s="576"/>
      <c r="AM94" s="576"/>
      <c r="AN94" s="576"/>
      <c r="AO94" s="576"/>
      <c r="AP94" s="576"/>
      <c r="AQ94" s="576"/>
      <c r="AR94" s="576"/>
      <c r="AS94" s="576"/>
      <c r="AT94" s="576"/>
      <c r="AU94" s="576"/>
      <c r="AV94" s="576"/>
      <c r="AW94" s="576"/>
      <c r="AX94" s="576"/>
      <c r="AY94" s="576"/>
      <c r="AZ94" s="576"/>
      <c r="BA94" s="576"/>
      <c r="BB94" s="576"/>
      <c r="BC94" s="576"/>
      <c r="BD94" s="572"/>
      <c r="BE94" s="710"/>
      <c r="BF94" s="710"/>
      <c r="BG94" s="710"/>
      <c r="BH94" s="710"/>
      <c r="BI94" s="710"/>
      <c r="BJ94" s="710"/>
      <c r="BK94" s="710"/>
      <c r="BL94" s="710"/>
      <c r="BM94" s="710"/>
      <c r="BN94" s="710"/>
      <c r="BO94" s="710"/>
      <c r="BP94" s="710"/>
      <c r="BQ94" s="710"/>
      <c r="BR94" s="710"/>
      <c r="BS94" s="710"/>
      <c r="BT94" s="710"/>
    </row>
    <row r="95" spans="1:72" s="709" customFormat="1" ht="15.75">
      <c r="A95" s="545"/>
      <c r="B95" s="545"/>
      <c r="C95" s="545"/>
      <c r="D95" s="545"/>
      <c r="E95" s="545"/>
      <c r="F95" s="545"/>
      <c r="G95" s="545"/>
      <c r="H95" s="545"/>
      <c r="I95" s="545"/>
      <c r="J95" s="545"/>
      <c r="K95" s="545"/>
      <c r="L95" s="545"/>
      <c r="M95" s="545"/>
      <c r="N95" s="545"/>
      <c r="O95" s="545"/>
      <c r="P95" s="545"/>
      <c r="Q95" s="545"/>
      <c r="R95" s="545"/>
      <c r="S95" s="576"/>
      <c r="T95" s="576"/>
      <c r="U95" s="576"/>
      <c r="V95" s="576"/>
      <c r="W95" s="545"/>
      <c r="X95" s="545"/>
      <c r="Y95" s="576"/>
      <c r="Z95" s="576"/>
      <c r="AA95" s="545"/>
      <c r="AB95" s="545"/>
      <c r="AC95" s="545"/>
      <c r="AD95" s="576"/>
      <c r="AE95" s="576"/>
      <c r="AF95" s="576"/>
      <c r="AG95" s="576"/>
      <c r="AH95" s="576"/>
      <c r="AI95" s="576"/>
      <c r="AJ95" s="576"/>
      <c r="AK95" s="576"/>
      <c r="AL95" s="576"/>
      <c r="AM95" s="576"/>
      <c r="AN95" s="576"/>
      <c r="AO95" s="576"/>
      <c r="AP95" s="576"/>
      <c r="AQ95" s="576"/>
      <c r="AR95" s="576"/>
      <c r="AS95" s="576"/>
      <c r="AT95" s="576"/>
      <c r="AU95" s="576"/>
      <c r="AV95" s="576"/>
      <c r="AW95" s="576"/>
      <c r="AX95" s="576"/>
      <c r="AY95" s="576"/>
      <c r="AZ95" s="576"/>
      <c r="BA95" s="576"/>
      <c r="BB95" s="576"/>
      <c r="BC95" s="576"/>
      <c r="BD95" s="572"/>
      <c r="BE95" s="710"/>
      <c r="BF95" s="710"/>
      <c r="BG95" s="710"/>
      <c r="BH95" s="710"/>
      <c r="BI95" s="710"/>
      <c r="BJ95" s="710"/>
      <c r="BK95" s="710"/>
      <c r="BL95" s="710"/>
      <c r="BM95" s="710"/>
      <c r="BN95" s="710"/>
      <c r="BO95" s="710"/>
      <c r="BP95" s="710"/>
      <c r="BQ95" s="710"/>
      <c r="BR95" s="710"/>
      <c r="BS95" s="710"/>
      <c r="BT95" s="710"/>
    </row>
    <row r="96" spans="1:72" s="709" customFormat="1" ht="15.75">
      <c r="A96" s="545"/>
      <c r="B96" s="545"/>
      <c r="C96" s="545"/>
      <c r="D96" s="545"/>
      <c r="E96" s="545"/>
      <c r="F96" s="545"/>
      <c r="G96" s="545"/>
      <c r="H96" s="545"/>
      <c r="I96" s="545"/>
      <c r="J96" s="545"/>
      <c r="K96" s="545"/>
      <c r="L96" s="545"/>
      <c r="M96" s="545"/>
      <c r="N96" s="545"/>
      <c r="O96" s="545"/>
      <c r="P96" s="545"/>
      <c r="Q96" s="545"/>
      <c r="R96" s="545"/>
      <c r="S96" s="576"/>
      <c r="T96" s="576"/>
      <c r="U96" s="576"/>
      <c r="V96" s="576"/>
      <c r="W96" s="545"/>
      <c r="X96" s="545"/>
      <c r="Y96" s="576"/>
      <c r="Z96" s="576"/>
      <c r="AA96" s="545"/>
      <c r="AB96" s="545"/>
      <c r="AC96" s="545"/>
      <c r="AD96" s="576"/>
      <c r="AE96" s="576"/>
      <c r="AF96" s="576"/>
      <c r="AG96" s="576"/>
      <c r="AH96" s="576"/>
      <c r="AI96" s="576"/>
      <c r="AJ96" s="576"/>
      <c r="AK96" s="576"/>
      <c r="AL96" s="576"/>
      <c r="AM96" s="576"/>
      <c r="AN96" s="576"/>
      <c r="AO96" s="576"/>
      <c r="AP96" s="576"/>
      <c r="AQ96" s="576"/>
      <c r="AR96" s="576"/>
      <c r="AS96" s="576"/>
      <c r="AT96" s="576"/>
      <c r="AU96" s="576"/>
      <c r="AV96" s="576"/>
      <c r="AW96" s="576"/>
      <c r="AX96" s="576"/>
      <c r="AY96" s="576"/>
      <c r="AZ96" s="576"/>
      <c r="BA96" s="576"/>
      <c r="BB96" s="576"/>
      <c r="BC96" s="576"/>
      <c r="BD96" s="572"/>
      <c r="BE96" s="710"/>
      <c r="BF96" s="710"/>
      <c r="BG96" s="710"/>
      <c r="BH96" s="710"/>
      <c r="BI96" s="710"/>
      <c r="BJ96" s="710"/>
      <c r="BK96" s="710"/>
      <c r="BL96" s="710"/>
      <c r="BM96" s="710"/>
      <c r="BN96" s="710"/>
      <c r="BO96" s="710"/>
      <c r="BP96" s="710"/>
      <c r="BQ96" s="710"/>
      <c r="BR96" s="710"/>
      <c r="BS96" s="710"/>
      <c r="BT96" s="710"/>
    </row>
    <row r="97" spans="1:72" s="709" customFormat="1" ht="15.75">
      <c r="A97" s="545"/>
      <c r="B97" s="545"/>
      <c r="C97" s="545"/>
      <c r="D97" s="545"/>
      <c r="E97" s="545"/>
      <c r="F97" s="545"/>
      <c r="G97" s="545"/>
      <c r="H97" s="545"/>
      <c r="I97" s="545"/>
      <c r="J97" s="545"/>
      <c r="K97" s="545"/>
      <c r="L97" s="545"/>
      <c r="M97" s="545"/>
      <c r="N97" s="545"/>
      <c r="O97" s="545"/>
      <c r="P97" s="545"/>
      <c r="Q97" s="545"/>
      <c r="R97" s="545"/>
      <c r="S97" s="576"/>
      <c r="T97" s="576"/>
      <c r="U97" s="576"/>
      <c r="V97" s="576"/>
      <c r="W97" s="545"/>
      <c r="X97" s="545"/>
      <c r="Y97" s="576"/>
      <c r="Z97" s="576"/>
      <c r="AA97" s="545"/>
      <c r="AB97" s="545"/>
      <c r="AC97" s="545"/>
      <c r="AD97" s="576"/>
      <c r="AE97" s="576"/>
      <c r="AF97" s="576"/>
      <c r="AG97" s="576"/>
      <c r="AH97" s="576"/>
      <c r="AI97" s="576"/>
      <c r="AJ97" s="576"/>
      <c r="AK97" s="576"/>
      <c r="AL97" s="576"/>
      <c r="AM97" s="576"/>
      <c r="AN97" s="576"/>
      <c r="AO97" s="576"/>
      <c r="AP97" s="576"/>
      <c r="AQ97" s="576"/>
      <c r="AR97" s="576"/>
      <c r="AS97" s="576"/>
      <c r="AT97" s="576"/>
      <c r="AU97" s="576"/>
      <c r="AV97" s="576"/>
      <c r="AW97" s="576"/>
      <c r="AX97" s="576"/>
      <c r="AY97" s="576"/>
      <c r="AZ97" s="576"/>
      <c r="BA97" s="576"/>
      <c r="BB97" s="576"/>
      <c r="BC97" s="576"/>
      <c r="BD97" s="572"/>
      <c r="BE97" s="710"/>
      <c r="BF97" s="710"/>
      <c r="BG97" s="710"/>
      <c r="BH97" s="710"/>
      <c r="BI97" s="710"/>
      <c r="BJ97" s="710"/>
      <c r="BK97" s="710"/>
      <c r="BL97" s="710"/>
      <c r="BM97" s="710"/>
      <c r="BN97" s="710"/>
      <c r="BO97" s="710"/>
      <c r="BP97" s="710"/>
      <c r="BQ97" s="710"/>
      <c r="BR97" s="710"/>
      <c r="BS97" s="710"/>
      <c r="BT97" s="710"/>
    </row>
    <row r="98" spans="1:72" s="709" customFormat="1" ht="15.75">
      <c r="A98" s="545"/>
      <c r="B98" s="545"/>
      <c r="C98" s="545"/>
      <c r="D98" s="545"/>
      <c r="E98" s="545"/>
      <c r="F98" s="545"/>
      <c r="G98" s="545"/>
      <c r="H98" s="545"/>
      <c r="I98" s="545"/>
      <c r="J98" s="545"/>
      <c r="K98" s="545"/>
      <c r="L98" s="545"/>
      <c r="M98" s="545"/>
      <c r="N98" s="545"/>
      <c r="O98" s="545"/>
      <c r="P98" s="545"/>
      <c r="Q98" s="545"/>
      <c r="R98" s="545"/>
      <c r="S98" s="576"/>
      <c r="T98" s="576"/>
      <c r="U98" s="576"/>
      <c r="V98" s="576"/>
      <c r="W98" s="545"/>
      <c r="X98" s="545"/>
      <c r="Y98" s="576"/>
      <c r="Z98" s="576"/>
      <c r="AA98" s="545"/>
      <c r="AB98" s="545"/>
      <c r="AC98" s="545"/>
      <c r="AD98" s="576"/>
      <c r="AE98" s="576"/>
      <c r="AF98" s="576"/>
      <c r="AG98" s="576"/>
      <c r="AH98" s="576"/>
      <c r="AI98" s="576"/>
      <c r="AJ98" s="576"/>
      <c r="AK98" s="576"/>
      <c r="AL98" s="576"/>
      <c r="AM98" s="576"/>
      <c r="AN98" s="576"/>
      <c r="AO98" s="576"/>
      <c r="AP98" s="576"/>
      <c r="AQ98" s="576"/>
      <c r="AR98" s="576"/>
      <c r="AS98" s="576"/>
      <c r="AT98" s="576"/>
      <c r="AU98" s="576"/>
      <c r="AV98" s="576"/>
      <c r="AW98" s="576"/>
      <c r="AX98" s="576"/>
      <c r="AY98" s="576"/>
      <c r="AZ98" s="576"/>
      <c r="BA98" s="576"/>
      <c r="BB98" s="576"/>
      <c r="BC98" s="576"/>
      <c r="BD98" s="572"/>
      <c r="BE98" s="710"/>
      <c r="BF98" s="710"/>
      <c r="BG98" s="710"/>
      <c r="BH98" s="710"/>
      <c r="BI98" s="710"/>
      <c r="BJ98" s="710"/>
      <c r="BK98" s="710"/>
      <c r="BL98" s="710"/>
      <c r="BM98" s="710"/>
      <c r="BN98" s="710"/>
      <c r="BO98" s="710"/>
      <c r="BP98" s="710"/>
      <c r="BQ98" s="710"/>
      <c r="BR98" s="710"/>
      <c r="BS98" s="710"/>
      <c r="BT98" s="710"/>
    </row>
    <row r="99" spans="1:72" s="709" customFormat="1" ht="15.75">
      <c r="A99" s="545"/>
      <c r="B99" s="545"/>
      <c r="C99" s="545"/>
      <c r="D99" s="545"/>
      <c r="E99" s="545"/>
      <c r="F99" s="545"/>
      <c r="G99" s="545"/>
      <c r="H99" s="545"/>
      <c r="I99" s="545"/>
      <c r="J99" s="545"/>
      <c r="K99" s="545"/>
      <c r="L99" s="545"/>
      <c r="M99" s="545"/>
      <c r="N99" s="545"/>
      <c r="O99" s="545"/>
      <c r="P99" s="545"/>
      <c r="Q99" s="545"/>
      <c r="R99" s="545"/>
      <c r="S99" s="576"/>
      <c r="T99" s="576"/>
      <c r="U99" s="576"/>
      <c r="V99" s="576"/>
      <c r="W99" s="545"/>
      <c r="X99" s="545"/>
      <c r="Y99" s="576"/>
      <c r="Z99" s="576"/>
      <c r="AA99" s="545"/>
      <c r="AB99" s="545"/>
      <c r="AC99" s="545"/>
      <c r="AD99" s="576"/>
      <c r="AE99" s="576"/>
      <c r="AF99" s="576"/>
      <c r="AG99" s="576"/>
      <c r="AH99" s="576"/>
      <c r="AI99" s="576"/>
      <c r="AJ99" s="576"/>
      <c r="AK99" s="576"/>
      <c r="AL99" s="576"/>
      <c r="AM99" s="576"/>
      <c r="AN99" s="576"/>
      <c r="AO99" s="576"/>
      <c r="AP99" s="576"/>
      <c r="AQ99" s="576"/>
      <c r="AR99" s="576"/>
      <c r="AS99" s="576"/>
      <c r="AT99" s="576"/>
      <c r="AU99" s="576"/>
      <c r="AV99" s="576"/>
      <c r="AW99" s="576"/>
      <c r="AX99" s="576"/>
      <c r="AY99" s="576"/>
      <c r="AZ99" s="576"/>
      <c r="BA99" s="576"/>
      <c r="BB99" s="576"/>
      <c r="BC99" s="576"/>
      <c r="BD99" s="572"/>
      <c r="BE99" s="710"/>
      <c r="BF99" s="710"/>
      <c r="BG99" s="710"/>
      <c r="BH99" s="710"/>
      <c r="BI99" s="710"/>
      <c r="BJ99" s="710"/>
      <c r="BK99" s="710"/>
      <c r="BL99" s="710"/>
      <c r="BM99" s="710"/>
      <c r="BN99" s="710"/>
      <c r="BO99" s="710"/>
      <c r="BP99" s="710"/>
      <c r="BQ99" s="710"/>
      <c r="BR99" s="710"/>
      <c r="BS99" s="710"/>
      <c r="BT99" s="710"/>
    </row>
    <row r="100" spans="1:72" s="709" customFormat="1" ht="15.75">
      <c r="A100" s="545"/>
      <c r="B100" s="545"/>
      <c r="C100" s="545"/>
      <c r="D100" s="545"/>
      <c r="E100" s="545"/>
      <c r="F100" s="545"/>
      <c r="G100" s="545"/>
      <c r="H100" s="545"/>
      <c r="I100" s="545"/>
      <c r="J100" s="545"/>
      <c r="K100" s="545"/>
      <c r="L100" s="545"/>
      <c r="M100" s="545"/>
      <c r="N100" s="545"/>
      <c r="O100" s="545"/>
      <c r="P100" s="545"/>
      <c r="Q100" s="545"/>
      <c r="R100" s="545"/>
      <c r="S100" s="576"/>
      <c r="T100" s="576"/>
      <c r="U100" s="576"/>
      <c r="V100" s="576"/>
      <c r="W100" s="545"/>
      <c r="X100" s="545"/>
      <c r="Y100" s="576"/>
      <c r="Z100" s="576"/>
      <c r="AA100" s="545"/>
      <c r="AB100" s="545"/>
      <c r="AC100" s="545"/>
      <c r="AD100" s="576"/>
      <c r="AE100" s="576"/>
      <c r="AF100" s="576"/>
      <c r="AG100" s="576"/>
      <c r="AH100" s="576"/>
      <c r="AI100" s="576"/>
      <c r="AJ100" s="576"/>
      <c r="AK100" s="576"/>
      <c r="AL100" s="576"/>
      <c r="AM100" s="576"/>
      <c r="AN100" s="576"/>
      <c r="AO100" s="576"/>
      <c r="AP100" s="576"/>
      <c r="AQ100" s="576"/>
      <c r="AR100" s="576"/>
      <c r="AS100" s="576"/>
      <c r="AT100" s="576"/>
      <c r="AU100" s="576"/>
      <c r="AV100" s="576"/>
      <c r="AW100" s="576"/>
      <c r="AX100" s="576"/>
      <c r="AY100" s="576"/>
      <c r="AZ100" s="576"/>
      <c r="BA100" s="576"/>
      <c r="BB100" s="576"/>
      <c r="BC100" s="576"/>
      <c r="BD100" s="572"/>
      <c r="BE100" s="710"/>
      <c r="BF100" s="710"/>
      <c r="BG100" s="710"/>
      <c r="BH100" s="710"/>
      <c r="BI100" s="710"/>
      <c r="BJ100" s="710"/>
      <c r="BK100" s="710"/>
      <c r="BL100" s="710"/>
      <c r="BM100" s="710"/>
      <c r="BN100" s="710"/>
      <c r="BO100" s="710"/>
      <c r="BP100" s="710"/>
      <c r="BQ100" s="710"/>
      <c r="BR100" s="710"/>
      <c r="BS100" s="710"/>
      <c r="BT100" s="710"/>
    </row>
    <row r="101" spans="1:72" s="709" customFormat="1" ht="15.75">
      <c r="A101" s="545"/>
      <c r="B101" s="545"/>
      <c r="C101" s="545"/>
      <c r="D101" s="545"/>
      <c r="E101" s="545"/>
      <c r="F101" s="545"/>
      <c r="G101" s="545"/>
      <c r="H101" s="545"/>
      <c r="I101" s="545"/>
      <c r="J101" s="545"/>
      <c r="K101" s="545"/>
      <c r="L101" s="545"/>
      <c r="M101" s="545"/>
      <c r="N101" s="545"/>
      <c r="O101" s="545"/>
      <c r="P101" s="545"/>
      <c r="Q101" s="545"/>
      <c r="R101" s="545"/>
      <c r="S101" s="576"/>
      <c r="T101" s="576"/>
      <c r="U101" s="576"/>
      <c r="V101" s="576"/>
      <c r="W101" s="545"/>
      <c r="X101" s="545"/>
      <c r="Y101" s="576"/>
      <c r="Z101" s="576"/>
      <c r="AA101" s="545"/>
      <c r="AB101" s="545"/>
      <c r="AC101" s="545"/>
      <c r="AD101" s="576"/>
      <c r="AE101" s="576"/>
      <c r="AF101" s="576"/>
      <c r="AG101" s="576"/>
      <c r="AH101" s="576"/>
      <c r="AI101" s="576"/>
      <c r="AJ101" s="576"/>
      <c r="AK101" s="576"/>
      <c r="AL101" s="576"/>
      <c r="AM101" s="576"/>
      <c r="AN101" s="576"/>
      <c r="AO101" s="576"/>
      <c r="AP101" s="576"/>
      <c r="AQ101" s="576"/>
      <c r="AR101" s="576"/>
      <c r="AS101" s="576"/>
      <c r="AT101" s="576"/>
      <c r="AU101" s="576"/>
      <c r="AV101" s="576"/>
      <c r="AW101" s="576"/>
      <c r="AX101" s="576"/>
      <c r="AY101" s="576"/>
      <c r="AZ101" s="576"/>
      <c r="BA101" s="576"/>
      <c r="BB101" s="576"/>
      <c r="BC101" s="576"/>
      <c r="BD101" s="572"/>
      <c r="BE101" s="710"/>
      <c r="BF101" s="710"/>
      <c r="BG101" s="710"/>
      <c r="BH101" s="710"/>
      <c r="BI101" s="710"/>
      <c r="BJ101" s="710"/>
      <c r="BK101" s="710"/>
      <c r="BL101" s="710"/>
      <c r="BM101" s="710"/>
      <c r="BN101" s="710"/>
      <c r="BO101" s="710"/>
      <c r="BP101" s="710"/>
      <c r="BQ101" s="710"/>
      <c r="BR101" s="710"/>
      <c r="BS101" s="710"/>
      <c r="BT101" s="710"/>
    </row>
    <row r="102" spans="1:72" s="709" customFormat="1" ht="15.75">
      <c r="A102" s="545"/>
      <c r="B102" s="545"/>
      <c r="C102" s="545"/>
      <c r="D102" s="545"/>
      <c r="E102" s="545"/>
      <c r="F102" s="545"/>
      <c r="G102" s="545"/>
      <c r="H102" s="545"/>
      <c r="I102" s="545"/>
      <c r="J102" s="545"/>
      <c r="K102" s="545"/>
      <c r="L102" s="545"/>
      <c r="M102" s="545"/>
      <c r="N102" s="545"/>
      <c r="O102" s="545"/>
      <c r="P102" s="545"/>
      <c r="Q102" s="545"/>
      <c r="R102" s="545"/>
      <c r="S102" s="576"/>
      <c r="T102" s="576"/>
      <c r="U102" s="576"/>
      <c r="V102" s="576"/>
      <c r="W102" s="545"/>
      <c r="X102" s="545"/>
      <c r="Y102" s="576"/>
      <c r="Z102" s="576"/>
      <c r="AA102" s="545"/>
      <c r="AB102" s="545"/>
      <c r="AC102" s="545"/>
      <c r="AD102" s="576"/>
      <c r="AE102" s="576"/>
      <c r="AF102" s="576"/>
      <c r="AG102" s="576"/>
      <c r="AH102" s="576"/>
      <c r="AI102" s="576"/>
      <c r="AJ102" s="576"/>
      <c r="AK102" s="576"/>
      <c r="AL102" s="576"/>
      <c r="AM102" s="576"/>
      <c r="AN102" s="576"/>
      <c r="AO102" s="576"/>
      <c r="AP102" s="576"/>
      <c r="AQ102" s="576"/>
      <c r="AR102" s="576"/>
      <c r="AS102" s="576"/>
      <c r="AT102" s="576"/>
      <c r="AU102" s="576"/>
      <c r="AV102" s="576"/>
      <c r="AW102" s="576"/>
      <c r="AX102" s="576"/>
      <c r="AY102" s="576"/>
      <c r="AZ102" s="576"/>
      <c r="BA102" s="576"/>
      <c r="BB102" s="576"/>
      <c r="BC102" s="576"/>
      <c r="BD102" s="572"/>
      <c r="BE102" s="710"/>
      <c r="BF102" s="710"/>
      <c r="BG102" s="710"/>
      <c r="BH102" s="710"/>
      <c r="BI102" s="710"/>
      <c r="BJ102" s="710"/>
      <c r="BK102" s="710"/>
      <c r="BL102" s="710"/>
      <c r="BM102" s="710"/>
      <c r="BN102" s="710"/>
      <c r="BO102" s="710"/>
      <c r="BP102" s="710"/>
      <c r="BQ102" s="710"/>
      <c r="BR102" s="710"/>
      <c r="BS102" s="710"/>
      <c r="BT102" s="710"/>
    </row>
    <row r="103" spans="1:72" s="709" customFormat="1" ht="15.75">
      <c r="A103" s="545"/>
      <c r="B103" s="545"/>
      <c r="C103" s="545"/>
      <c r="D103" s="545"/>
      <c r="E103" s="545"/>
      <c r="F103" s="545"/>
      <c r="G103" s="545"/>
      <c r="H103" s="545"/>
      <c r="I103" s="545"/>
      <c r="J103" s="545"/>
      <c r="K103" s="545"/>
      <c r="L103" s="545"/>
      <c r="M103" s="545"/>
      <c r="N103" s="545"/>
      <c r="O103" s="545"/>
      <c r="P103" s="545"/>
      <c r="Q103" s="545"/>
      <c r="R103" s="545"/>
      <c r="S103" s="576"/>
      <c r="T103" s="576"/>
      <c r="U103" s="576"/>
      <c r="V103" s="576"/>
      <c r="W103" s="545"/>
      <c r="X103" s="545"/>
      <c r="Y103" s="576"/>
      <c r="Z103" s="576"/>
      <c r="AA103" s="545"/>
      <c r="AB103" s="545"/>
      <c r="AC103" s="545"/>
      <c r="AD103" s="576"/>
      <c r="AE103" s="576"/>
      <c r="AF103" s="576"/>
      <c r="AG103" s="576"/>
      <c r="AH103" s="576"/>
      <c r="AI103" s="576"/>
      <c r="AJ103" s="576"/>
      <c r="AK103" s="576"/>
      <c r="AL103" s="576"/>
      <c r="AM103" s="576"/>
      <c r="AN103" s="576"/>
      <c r="AO103" s="576"/>
      <c r="AP103" s="576"/>
      <c r="AQ103" s="576"/>
      <c r="AR103" s="576"/>
      <c r="AS103" s="576"/>
      <c r="AT103" s="576"/>
      <c r="AU103" s="576"/>
      <c r="AV103" s="576"/>
      <c r="AW103" s="576"/>
      <c r="AX103" s="576"/>
      <c r="AY103" s="576"/>
      <c r="AZ103" s="576"/>
      <c r="BA103" s="576"/>
      <c r="BB103" s="576"/>
      <c r="BC103" s="576"/>
      <c r="BD103" s="572"/>
      <c r="BE103" s="710"/>
      <c r="BF103" s="710"/>
      <c r="BG103" s="710"/>
      <c r="BH103" s="710"/>
      <c r="BI103" s="710"/>
      <c r="BJ103" s="710"/>
      <c r="BK103" s="710"/>
      <c r="BL103" s="710"/>
      <c r="BM103" s="710"/>
      <c r="BN103" s="710"/>
      <c r="BO103" s="710"/>
      <c r="BP103" s="710"/>
      <c r="BQ103" s="710"/>
      <c r="BR103" s="710"/>
      <c r="BS103" s="710"/>
      <c r="BT103" s="710"/>
    </row>
    <row r="104" spans="1:72" s="709" customFormat="1" ht="15.75">
      <c r="A104" s="545"/>
      <c r="B104" s="545"/>
      <c r="C104" s="545"/>
      <c r="D104" s="545"/>
      <c r="E104" s="545"/>
      <c r="F104" s="545"/>
      <c r="G104" s="545"/>
      <c r="H104" s="545"/>
      <c r="I104" s="545"/>
      <c r="J104" s="545"/>
      <c r="K104" s="545"/>
      <c r="L104" s="545"/>
      <c r="M104" s="545"/>
      <c r="N104" s="545"/>
      <c r="O104" s="545"/>
      <c r="P104" s="545"/>
      <c r="Q104" s="545"/>
      <c r="R104" s="545"/>
      <c r="S104" s="576"/>
      <c r="T104" s="576"/>
      <c r="U104" s="576"/>
      <c r="V104" s="576"/>
      <c r="W104" s="545"/>
      <c r="X104" s="545"/>
      <c r="Y104" s="576"/>
      <c r="Z104" s="576"/>
      <c r="AA104" s="545"/>
      <c r="AB104" s="545"/>
      <c r="AC104" s="545"/>
      <c r="AD104" s="576"/>
      <c r="AE104" s="576"/>
      <c r="AF104" s="576"/>
      <c r="AG104" s="576"/>
      <c r="AH104" s="576"/>
      <c r="AI104" s="576"/>
      <c r="AJ104" s="576"/>
      <c r="AK104" s="576"/>
      <c r="AL104" s="576"/>
      <c r="AM104" s="576"/>
      <c r="AN104" s="576"/>
      <c r="AO104" s="576"/>
      <c r="AP104" s="576"/>
      <c r="AQ104" s="576"/>
      <c r="AR104" s="576"/>
      <c r="AS104" s="576"/>
      <c r="AT104" s="576"/>
      <c r="AU104" s="576"/>
      <c r="AV104" s="576"/>
      <c r="AW104" s="576"/>
      <c r="AX104" s="576"/>
      <c r="AY104" s="576"/>
      <c r="AZ104" s="576"/>
      <c r="BA104" s="576"/>
      <c r="BB104" s="576"/>
      <c r="BC104" s="576"/>
      <c r="BD104" s="572"/>
      <c r="BE104" s="710"/>
      <c r="BF104" s="710"/>
      <c r="BG104" s="710"/>
      <c r="BH104" s="710"/>
      <c r="BI104" s="710"/>
      <c r="BJ104" s="710"/>
      <c r="BK104" s="710"/>
      <c r="BL104" s="710"/>
      <c r="BM104" s="710"/>
      <c r="BN104" s="710"/>
      <c r="BO104" s="710"/>
      <c r="BP104" s="710"/>
      <c r="BQ104" s="710"/>
      <c r="BR104" s="710"/>
      <c r="BS104" s="710"/>
      <c r="BT104" s="710"/>
    </row>
    <row r="105" spans="1:72" s="709" customFormat="1" ht="15.75">
      <c r="A105" s="545"/>
      <c r="B105" s="545"/>
      <c r="C105" s="545"/>
      <c r="D105" s="545"/>
      <c r="E105" s="545"/>
      <c r="F105" s="545"/>
      <c r="G105" s="545"/>
      <c r="H105" s="545"/>
      <c r="I105" s="545"/>
      <c r="J105" s="545"/>
      <c r="K105" s="545"/>
      <c r="L105" s="545"/>
      <c r="M105" s="545"/>
      <c r="N105" s="545"/>
      <c r="O105" s="545"/>
      <c r="P105" s="545"/>
      <c r="Q105" s="545"/>
      <c r="R105" s="545"/>
      <c r="S105" s="576"/>
      <c r="T105" s="576"/>
      <c r="U105" s="576"/>
      <c r="V105" s="576"/>
      <c r="W105" s="545"/>
      <c r="X105" s="545"/>
      <c r="Y105" s="576"/>
      <c r="Z105" s="576"/>
      <c r="AA105" s="545"/>
      <c r="AB105" s="545"/>
      <c r="AC105" s="545"/>
      <c r="AD105" s="576"/>
      <c r="AE105" s="576"/>
      <c r="AF105" s="576"/>
      <c r="AG105" s="576"/>
      <c r="AH105" s="576"/>
      <c r="AI105" s="576"/>
      <c r="AJ105" s="576"/>
      <c r="AK105" s="576"/>
      <c r="AL105" s="576"/>
      <c r="AM105" s="576"/>
      <c r="AN105" s="576"/>
      <c r="AO105" s="576"/>
      <c r="AP105" s="576"/>
      <c r="AQ105" s="576"/>
      <c r="AR105" s="576"/>
      <c r="AS105" s="576"/>
      <c r="AT105" s="576"/>
      <c r="AU105" s="576"/>
      <c r="AV105" s="576"/>
      <c r="AW105" s="576"/>
      <c r="AX105" s="576"/>
      <c r="AY105" s="576"/>
      <c r="AZ105" s="576"/>
      <c r="BA105" s="576"/>
      <c r="BB105" s="576"/>
      <c r="BC105" s="576"/>
      <c r="BD105" s="572"/>
      <c r="BE105" s="710"/>
      <c r="BF105" s="710"/>
      <c r="BG105" s="710"/>
      <c r="BH105" s="710"/>
      <c r="BI105" s="710"/>
      <c r="BJ105" s="710"/>
      <c r="BK105" s="710"/>
      <c r="BL105" s="710"/>
      <c r="BM105" s="710"/>
      <c r="BN105" s="710"/>
      <c r="BO105" s="710"/>
      <c r="BP105" s="710"/>
      <c r="BQ105" s="710"/>
      <c r="BR105" s="710"/>
      <c r="BS105" s="710"/>
      <c r="BT105" s="710"/>
    </row>
    <row r="106" spans="1:72" s="709" customFormat="1" ht="15.75">
      <c r="A106" s="545"/>
      <c r="B106" s="545"/>
      <c r="C106" s="545"/>
      <c r="D106" s="545"/>
      <c r="E106" s="545"/>
      <c r="F106" s="545"/>
      <c r="G106" s="545"/>
      <c r="H106" s="545"/>
      <c r="I106" s="545"/>
      <c r="J106" s="545"/>
      <c r="K106" s="545"/>
      <c r="L106" s="545"/>
      <c r="M106" s="545"/>
      <c r="N106" s="545"/>
      <c r="O106" s="545"/>
      <c r="P106" s="545"/>
      <c r="Q106" s="545"/>
      <c r="R106" s="545"/>
      <c r="S106" s="576"/>
      <c r="T106" s="576"/>
      <c r="U106" s="576"/>
      <c r="V106" s="576"/>
      <c r="W106" s="545"/>
      <c r="X106" s="545"/>
      <c r="Y106" s="576"/>
      <c r="Z106" s="576"/>
      <c r="AA106" s="545"/>
      <c r="AB106" s="545"/>
      <c r="AC106" s="545"/>
      <c r="AD106" s="576"/>
      <c r="AE106" s="576"/>
      <c r="AF106" s="576"/>
      <c r="AG106" s="576"/>
      <c r="AH106" s="576"/>
      <c r="AI106" s="576"/>
      <c r="AJ106" s="576"/>
      <c r="AK106" s="576"/>
      <c r="AL106" s="576"/>
      <c r="AM106" s="576"/>
      <c r="AN106" s="576"/>
      <c r="AO106" s="576"/>
      <c r="AP106" s="576"/>
      <c r="AQ106" s="576"/>
      <c r="AR106" s="576"/>
      <c r="AS106" s="576"/>
      <c r="AT106" s="576"/>
      <c r="AU106" s="576"/>
      <c r="AV106" s="576"/>
      <c r="AW106" s="576"/>
      <c r="AX106" s="576"/>
      <c r="AY106" s="576"/>
      <c r="AZ106" s="576"/>
      <c r="BA106" s="576"/>
      <c r="BB106" s="576"/>
      <c r="BC106" s="576"/>
      <c r="BD106" s="572"/>
      <c r="BE106" s="710"/>
      <c r="BF106" s="710"/>
      <c r="BG106" s="710"/>
      <c r="BH106" s="710"/>
      <c r="BI106" s="710"/>
      <c r="BJ106" s="710"/>
      <c r="BK106" s="710"/>
      <c r="BL106" s="710"/>
      <c r="BM106" s="710"/>
      <c r="BN106" s="710"/>
      <c r="BO106" s="710"/>
      <c r="BP106" s="710"/>
      <c r="BQ106" s="710"/>
      <c r="BR106" s="710"/>
      <c r="BS106" s="710"/>
      <c r="BT106" s="710"/>
    </row>
    <row r="107" spans="1:72" s="709" customFormat="1" ht="15.75">
      <c r="A107" s="545"/>
      <c r="B107" s="545"/>
      <c r="C107" s="545"/>
      <c r="D107" s="545"/>
      <c r="E107" s="545"/>
      <c r="F107" s="545"/>
      <c r="G107" s="545"/>
      <c r="H107" s="545"/>
      <c r="I107" s="545"/>
      <c r="J107" s="545"/>
      <c r="K107" s="545"/>
      <c r="L107" s="545"/>
      <c r="M107" s="545"/>
      <c r="N107" s="545"/>
      <c r="O107" s="545"/>
      <c r="P107" s="545"/>
      <c r="Q107" s="545"/>
      <c r="R107" s="545"/>
      <c r="S107" s="576"/>
      <c r="T107" s="576"/>
      <c r="U107" s="576"/>
      <c r="V107" s="576"/>
      <c r="W107" s="545"/>
      <c r="X107" s="545"/>
      <c r="Y107" s="576"/>
      <c r="Z107" s="576"/>
      <c r="AA107" s="545"/>
      <c r="AB107" s="545"/>
      <c r="AC107" s="545"/>
      <c r="AD107" s="576"/>
      <c r="AE107" s="576"/>
      <c r="AF107" s="576"/>
      <c r="AG107" s="576"/>
      <c r="AH107" s="576"/>
      <c r="AI107" s="576"/>
      <c r="AJ107" s="576"/>
      <c r="AK107" s="576"/>
      <c r="AL107" s="576"/>
      <c r="AM107" s="576"/>
      <c r="AN107" s="576"/>
      <c r="AO107" s="576"/>
      <c r="AP107" s="576"/>
      <c r="AQ107" s="576"/>
      <c r="AR107" s="576"/>
      <c r="AS107" s="576"/>
      <c r="AT107" s="576"/>
      <c r="AU107" s="576"/>
      <c r="AV107" s="576"/>
      <c r="AW107" s="576"/>
      <c r="AX107" s="576"/>
      <c r="AY107" s="576"/>
      <c r="AZ107" s="576"/>
      <c r="BA107" s="576"/>
      <c r="BB107" s="576"/>
      <c r="BC107" s="576"/>
      <c r="BD107" s="572"/>
      <c r="BE107" s="710"/>
      <c r="BF107" s="710"/>
      <c r="BG107" s="710"/>
      <c r="BH107" s="710"/>
      <c r="BI107" s="710"/>
      <c r="BJ107" s="710"/>
      <c r="BK107" s="710"/>
      <c r="BL107" s="710"/>
      <c r="BM107" s="710"/>
      <c r="BN107" s="710"/>
      <c r="BO107" s="710"/>
      <c r="BP107" s="710"/>
      <c r="BQ107" s="710"/>
      <c r="BR107" s="710"/>
      <c r="BS107" s="710"/>
      <c r="BT107" s="710"/>
    </row>
    <row r="108" spans="1:72" s="709" customFormat="1" ht="15.75">
      <c r="A108" s="545"/>
      <c r="B108" s="545"/>
      <c r="C108" s="545"/>
      <c r="D108" s="545"/>
      <c r="E108" s="545"/>
      <c r="F108" s="545"/>
      <c r="G108" s="545"/>
      <c r="H108" s="545"/>
      <c r="I108" s="545"/>
      <c r="J108" s="545"/>
      <c r="K108" s="545"/>
      <c r="L108" s="545"/>
      <c r="M108" s="545"/>
      <c r="N108" s="545"/>
      <c r="O108" s="545"/>
      <c r="P108" s="545"/>
      <c r="Q108" s="545"/>
      <c r="R108" s="545"/>
      <c r="S108" s="576"/>
      <c r="T108" s="576"/>
      <c r="U108" s="576"/>
      <c r="V108" s="576"/>
      <c r="W108" s="545"/>
      <c r="X108" s="545"/>
      <c r="Y108" s="576"/>
      <c r="Z108" s="576"/>
      <c r="AA108" s="545"/>
      <c r="AB108" s="545"/>
      <c r="AC108" s="545"/>
      <c r="AD108" s="576"/>
      <c r="AE108" s="576"/>
      <c r="AF108" s="576"/>
      <c r="AG108" s="576"/>
      <c r="AH108" s="576"/>
      <c r="AI108" s="576"/>
      <c r="AJ108" s="576"/>
      <c r="AK108" s="576"/>
      <c r="AL108" s="576"/>
      <c r="AM108" s="576"/>
      <c r="AN108" s="576"/>
      <c r="AO108" s="576"/>
      <c r="AP108" s="576"/>
      <c r="AQ108" s="576"/>
      <c r="AR108" s="576"/>
      <c r="AS108" s="576"/>
      <c r="AT108" s="576"/>
      <c r="AU108" s="576"/>
      <c r="AV108" s="576"/>
      <c r="AW108" s="576"/>
      <c r="AX108" s="576"/>
      <c r="AY108" s="576"/>
      <c r="AZ108" s="576"/>
      <c r="BA108" s="576"/>
      <c r="BB108" s="576"/>
      <c r="BC108" s="576"/>
      <c r="BD108" s="572"/>
      <c r="BE108" s="710"/>
      <c r="BF108" s="710"/>
      <c r="BG108" s="710"/>
      <c r="BH108" s="710"/>
      <c r="BI108" s="710"/>
      <c r="BJ108" s="710"/>
      <c r="BK108" s="710"/>
      <c r="BL108" s="710"/>
      <c r="BM108" s="710"/>
      <c r="BN108" s="710"/>
      <c r="BO108" s="710"/>
      <c r="BP108" s="710"/>
      <c r="BQ108" s="710"/>
      <c r="BR108" s="710"/>
      <c r="BS108" s="710"/>
      <c r="BT108" s="710"/>
    </row>
    <row r="109" spans="1:72" s="709" customFormat="1" ht="15.75">
      <c r="A109" s="545"/>
      <c r="B109" s="545"/>
      <c r="C109" s="545"/>
      <c r="D109" s="545"/>
      <c r="E109" s="545"/>
      <c r="F109" s="545"/>
      <c r="G109" s="545"/>
      <c r="H109" s="545"/>
      <c r="I109" s="545"/>
      <c r="J109" s="545"/>
      <c r="K109" s="545"/>
      <c r="L109" s="545"/>
      <c r="M109" s="545"/>
      <c r="N109" s="545"/>
      <c r="O109" s="545"/>
      <c r="P109" s="545"/>
      <c r="Q109" s="545"/>
      <c r="R109" s="545"/>
      <c r="S109" s="576"/>
      <c r="T109" s="576"/>
      <c r="U109" s="576"/>
      <c r="V109" s="576"/>
      <c r="W109" s="545"/>
      <c r="X109" s="545"/>
      <c r="Y109" s="576"/>
      <c r="Z109" s="576"/>
      <c r="AA109" s="545"/>
      <c r="AB109" s="545"/>
      <c r="AC109" s="545"/>
      <c r="AD109" s="576"/>
      <c r="AE109" s="576"/>
      <c r="AF109" s="576"/>
      <c r="AG109" s="576"/>
      <c r="AH109" s="576"/>
      <c r="AI109" s="576"/>
      <c r="AJ109" s="576"/>
      <c r="AK109" s="576"/>
      <c r="AL109" s="576"/>
      <c r="AM109" s="576"/>
      <c r="AN109" s="576"/>
      <c r="AO109" s="576"/>
      <c r="AP109" s="576"/>
      <c r="AQ109" s="576"/>
      <c r="AR109" s="576"/>
      <c r="AS109" s="576"/>
      <c r="AT109" s="576"/>
      <c r="AU109" s="576"/>
      <c r="AV109" s="576"/>
      <c r="AW109" s="576"/>
      <c r="AX109" s="576"/>
      <c r="AY109" s="576"/>
      <c r="AZ109" s="576"/>
      <c r="BA109" s="576"/>
      <c r="BB109" s="576"/>
      <c r="BC109" s="576"/>
      <c r="BD109" s="572"/>
      <c r="BE109" s="710"/>
      <c r="BF109" s="710"/>
      <c r="BG109" s="710"/>
      <c r="BH109" s="710"/>
      <c r="BI109" s="710"/>
      <c r="BJ109" s="710"/>
      <c r="BK109" s="710"/>
      <c r="BL109" s="710"/>
      <c r="BM109" s="710"/>
      <c r="BN109" s="710"/>
      <c r="BO109" s="710"/>
      <c r="BP109" s="710"/>
      <c r="BQ109" s="710"/>
      <c r="BR109" s="710"/>
      <c r="BS109" s="710"/>
      <c r="BT109" s="710"/>
    </row>
    <row r="110" spans="1:72" s="709" customFormat="1" ht="15.75">
      <c r="A110" s="545"/>
      <c r="B110" s="545"/>
      <c r="C110" s="545"/>
      <c r="D110" s="545"/>
      <c r="E110" s="545"/>
      <c r="F110" s="545"/>
      <c r="G110" s="545"/>
      <c r="H110" s="545"/>
      <c r="I110" s="545"/>
      <c r="J110" s="545"/>
      <c r="K110" s="545"/>
      <c r="L110" s="545"/>
      <c r="M110" s="545"/>
      <c r="N110" s="545"/>
      <c r="O110" s="545"/>
      <c r="P110" s="545"/>
      <c r="Q110" s="545"/>
      <c r="R110" s="545"/>
      <c r="S110" s="576"/>
      <c r="T110" s="576"/>
      <c r="U110" s="576"/>
      <c r="V110" s="576"/>
      <c r="W110" s="545"/>
      <c r="X110" s="545"/>
      <c r="Y110" s="576"/>
      <c r="Z110" s="576"/>
      <c r="AA110" s="545"/>
      <c r="AB110" s="545"/>
      <c r="AC110" s="545"/>
      <c r="AD110" s="576"/>
      <c r="AE110" s="576"/>
      <c r="AF110" s="576"/>
      <c r="AG110" s="576"/>
      <c r="AH110" s="576"/>
      <c r="AI110" s="576"/>
      <c r="AJ110" s="576"/>
      <c r="AK110" s="576"/>
      <c r="AL110" s="576"/>
      <c r="AM110" s="576"/>
      <c r="AN110" s="576"/>
      <c r="AO110" s="576"/>
      <c r="AP110" s="576"/>
      <c r="AQ110" s="576"/>
      <c r="AR110" s="576"/>
      <c r="AS110" s="576"/>
      <c r="AT110" s="576"/>
      <c r="AU110" s="576"/>
      <c r="AV110" s="576"/>
      <c r="AW110" s="576"/>
      <c r="AX110" s="576"/>
      <c r="AY110" s="576"/>
      <c r="AZ110" s="576"/>
      <c r="BA110" s="576"/>
      <c r="BB110" s="576"/>
      <c r="BC110" s="576"/>
      <c r="BD110" s="572"/>
      <c r="BE110" s="710"/>
      <c r="BF110" s="710"/>
      <c r="BG110" s="710"/>
      <c r="BH110" s="710"/>
      <c r="BI110" s="710"/>
      <c r="BJ110" s="710"/>
      <c r="BK110" s="710"/>
      <c r="BL110" s="710"/>
      <c r="BM110" s="710"/>
      <c r="BN110" s="710"/>
      <c r="BO110" s="710"/>
      <c r="BP110" s="710"/>
      <c r="BQ110" s="710"/>
      <c r="BR110" s="710"/>
      <c r="BS110" s="710"/>
      <c r="BT110" s="710"/>
    </row>
    <row r="111" spans="1:72" s="709" customFormat="1" ht="15.75">
      <c r="A111" s="545"/>
      <c r="B111" s="545"/>
      <c r="C111" s="545"/>
      <c r="D111" s="545"/>
      <c r="E111" s="545"/>
      <c r="F111" s="545"/>
      <c r="G111" s="545"/>
      <c r="H111" s="545"/>
      <c r="I111" s="545"/>
      <c r="J111" s="545"/>
      <c r="K111" s="545"/>
      <c r="L111" s="545"/>
      <c r="M111" s="545"/>
      <c r="N111" s="545"/>
      <c r="O111" s="545"/>
      <c r="P111" s="545"/>
      <c r="Q111" s="545"/>
      <c r="R111" s="545"/>
      <c r="S111" s="576"/>
      <c r="T111" s="576"/>
      <c r="U111" s="576"/>
      <c r="V111" s="576"/>
      <c r="W111" s="545"/>
      <c r="X111" s="545"/>
      <c r="Y111" s="576"/>
      <c r="Z111" s="576"/>
      <c r="AA111" s="545"/>
      <c r="AB111" s="545"/>
      <c r="AC111" s="545"/>
      <c r="AD111" s="576"/>
      <c r="AE111" s="576"/>
      <c r="AF111" s="576"/>
      <c r="AG111" s="576"/>
      <c r="AH111" s="576"/>
      <c r="AI111" s="576"/>
      <c r="AJ111" s="576"/>
      <c r="AK111" s="576"/>
      <c r="AL111" s="576"/>
      <c r="AM111" s="576"/>
      <c r="AN111" s="576"/>
      <c r="AO111" s="576"/>
      <c r="AP111" s="576"/>
      <c r="AQ111" s="576"/>
      <c r="AR111" s="576"/>
      <c r="AS111" s="576"/>
      <c r="AT111" s="576"/>
      <c r="AU111" s="576"/>
      <c r="AV111" s="576"/>
      <c r="AW111" s="576"/>
      <c r="AX111" s="576"/>
      <c r="AY111" s="576"/>
      <c r="AZ111" s="576"/>
      <c r="BA111" s="576"/>
      <c r="BB111" s="576"/>
      <c r="BC111" s="576"/>
      <c r="BD111" s="572"/>
      <c r="BE111" s="710"/>
      <c r="BF111" s="710"/>
      <c r="BG111" s="710"/>
      <c r="BH111" s="710"/>
      <c r="BI111" s="710"/>
      <c r="BJ111" s="710"/>
      <c r="BK111" s="710"/>
      <c r="BL111" s="710"/>
      <c r="BM111" s="710"/>
      <c r="BN111" s="710"/>
      <c r="BO111" s="710"/>
      <c r="BP111" s="710"/>
      <c r="BQ111" s="710"/>
      <c r="BR111" s="710"/>
      <c r="BS111" s="710"/>
      <c r="BT111" s="710"/>
    </row>
    <row r="112" spans="1:72" s="709" customFormat="1" ht="15.75">
      <c r="A112" s="545"/>
      <c r="B112" s="545"/>
      <c r="C112" s="545"/>
      <c r="D112" s="545"/>
      <c r="E112" s="545"/>
      <c r="F112" s="545"/>
      <c r="G112" s="545"/>
      <c r="H112" s="545"/>
      <c r="I112" s="545"/>
      <c r="J112" s="545"/>
      <c r="K112" s="545"/>
      <c r="L112" s="545"/>
      <c r="M112" s="545"/>
      <c r="N112" s="545"/>
      <c r="O112" s="545"/>
      <c r="P112" s="545"/>
      <c r="Q112" s="545"/>
      <c r="R112" s="545"/>
      <c r="S112" s="576"/>
      <c r="T112" s="576"/>
      <c r="U112" s="576"/>
      <c r="V112" s="576"/>
      <c r="W112" s="545"/>
      <c r="X112" s="545"/>
      <c r="Y112" s="576"/>
      <c r="Z112" s="576"/>
      <c r="AA112" s="545"/>
      <c r="AB112" s="545"/>
      <c r="AC112" s="545"/>
      <c r="AD112" s="576"/>
      <c r="AE112" s="576"/>
      <c r="AF112" s="576"/>
      <c r="AG112" s="576"/>
      <c r="AH112" s="576"/>
      <c r="AI112" s="576"/>
      <c r="AJ112" s="576"/>
      <c r="AK112" s="576"/>
      <c r="AL112" s="576"/>
      <c r="AM112" s="576"/>
      <c r="AN112" s="576"/>
      <c r="AO112" s="576"/>
      <c r="AP112" s="576"/>
      <c r="AQ112" s="576"/>
      <c r="AR112" s="576"/>
      <c r="AS112" s="576"/>
      <c r="AT112" s="576"/>
      <c r="AU112" s="576"/>
      <c r="AV112" s="576"/>
      <c r="AW112" s="576"/>
      <c r="AX112" s="576"/>
      <c r="AY112" s="576"/>
      <c r="AZ112" s="576"/>
      <c r="BA112" s="576"/>
      <c r="BB112" s="576"/>
      <c r="BC112" s="576"/>
      <c r="BD112" s="572"/>
      <c r="BE112" s="710"/>
      <c r="BF112" s="710"/>
      <c r="BG112" s="710"/>
      <c r="BH112" s="710"/>
      <c r="BI112" s="710"/>
      <c r="BJ112" s="710"/>
      <c r="BK112" s="710"/>
      <c r="BL112" s="710"/>
      <c r="BM112" s="710"/>
      <c r="BN112" s="710"/>
      <c r="BO112" s="710"/>
      <c r="BP112" s="710"/>
      <c r="BQ112" s="710"/>
      <c r="BR112" s="710"/>
      <c r="BS112" s="710"/>
      <c r="BT112" s="710"/>
    </row>
    <row r="113" spans="1:72" s="709" customFormat="1" ht="15.75">
      <c r="A113" s="545"/>
      <c r="B113" s="545"/>
      <c r="C113" s="545"/>
      <c r="D113" s="545"/>
      <c r="E113" s="545"/>
      <c r="F113" s="545"/>
      <c r="G113" s="545"/>
      <c r="H113" s="545"/>
      <c r="I113" s="545"/>
      <c r="J113" s="545"/>
      <c r="K113" s="545"/>
      <c r="L113" s="545"/>
      <c r="M113" s="545"/>
      <c r="N113" s="545"/>
      <c r="O113" s="545"/>
      <c r="P113" s="545"/>
      <c r="Q113" s="545"/>
      <c r="R113" s="545"/>
      <c r="S113" s="576"/>
      <c r="T113" s="576"/>
      <c r="U113" s="576"/>
      <c r="V113" s="576"/>
      <c r="W113" s="545"/>
      <c r="X113" s="545"/>
      <c r="Y113" s="576"/>
      <c r="Z113" s="576"/>
      <c r="AA113" s="545"/>
      <c r="AB113" s="545"/>
      <c r="AC113" s="545"/>
      <c r="AD113" s="576"/>
      <c r="AE113" s="576"/>
      <c r="AF113" s="576"/>
      <c r="AG113" s="576"/>
      <c r="AH113" s="576"/>
      <c r="AI113" s="576"/>
      <c r="AJ113" s="576"/>
      <c r="AK113" s="576"/>
      <c r="AL113" s="576"/>
      <c r="AM113" s="576"/>
      <c r="AN113" s="576"/>
      <c r="AO113" s="576"/>
      <c r="AP113" s="576"/>
      <c r="AQ113" s="576"/>
      <c r="AR113" s="576"/>
      <c r="AS113" s="576"/>
      <c r="AT113" s="576"/>
      <c r="AU113" s="576"/>
      <c r="AV113" s="576"/>
      <c r="AW113" s="576"/>
      <c r="AX113" s="576"/>
      <c r="AY113" s="576"/>
      <c r="AZ113" s="576"/>
      <c r="BA113" s="576"/>
      <c r="BB113" s="576"/>
      <c r="BC113" s="576"/>
      <c r="BD113" s="572"/>
      <c r="BE113" s="710"/>
      <c r="BF113" s="710"/>
      <c r="BG113" s="710"/>
      <c r="BH113" s="710"/>
      <c r="BI113" s="710"/>
      <c r="BJ113" s="710"/>
      <c r="BK113" s="710"/>
      <c r="BL113" s="710"/>
      <c r="BM113" s="710"/>
      <c r="BN113" s="710"/>
      <c r="BO113" s="710"/>
      <c r="BP113" s="710"/>
      <c r="BQ113" s="710"/>
      <c r="BR113" s="710"/>
      <c r="BS113" s="710"/>
      <c r="BT113" s="710"/>
    </row>
    <row r="114" spans="1:72" s="709" customFormat="1" ht="15.75">
      <c r="A114" s="545"/>
      <c r="B114" s="545"/>
      <c r="C114" s="545"/>
      <c r="D114" s="545"/>
      <c r="E114" s="545"/>
      <c r="F114" s="545"/>
      <c r="G114" s="545"/>
      <c r="H114" s="545"/>
      <c r="I114" s="545"/>
      <c r="J114" s="545"/>
      <c r="K114" s="545"/>
      <c r="L114" s="545"/>
      <c r="M114" s="545"/>
      <c r="N114" s="545"/>
      <c r="O114" s="545"/>
      <c r="P114" s="545"/>
      <c r="Q114" s="545"/>
      <c r="R114" s="545"/>
      <c r="S114" s="576"/>
      <c r="T114" s="576"/>
      <c r="U114" s="576"/>
      <c r="V114" s="576"/>
      <c r="W114" s="545"/>
      <c r="X114" s="545"/>
      <c r="Y114" s="576"/>
      <c r="Z114" s="576"/>
      <c r="AA114" s="545"/>
      <c r="AB114" s="545"/>
      <c r="AC114" s="545"/>
      <c r="AD114" s="576"/>
      <c r="AE114" s="576"/>
      <c r="AF114" s="576"/>
      <c r="AG114" s="576"/>
      <c r="AH114" s="576"/>
      <c r="AI114" s="576"/>
      <c r="AJ114" s="576"/>
      <c r="AK114" s="576"/>
      <c r="AL114" s="576"/>
      <c r="AM114" s="576"/>
      <c r="AN114" s="576"/>
      <c r="AO114" s="576"/>
      <c r="AP114" s="576"/>
      <c r="AQ114" s="576"/>
      <c r="AR114" s="576"/>
      <c r="AS114" s="576"/>
      <c r="AT114" s="576"/>
      <c r="AU114" s="576"/>
      <c r="AV114" s="576"/>
      <c r="AW114" s="576"/>
      <c r="AX114" s="576"/>
      <c r="AY114" s="576"/>
      <c r="AZ114" s="576"/>
      <c r="BA114" s="576"/>
      <c r="BB114" s="576"/>
      <c r="BC114" s="576"/>
      <c r="BD114" s="572"/>
      <c r="BE114" s="710"/>
      <c r="BF114" s="710"/>
      <c r="BG114" s="710"/>
      <c r="BH114" s="710"/>
      <c r="BI114" s="710"/>
      <c r="BJ114" s="710"/>
      <c r="BK114" s="710"/>
      <c r="BL114" s="710"/>
      <c r="BM114" s="710"/>
      <c r="BN114" s="710"/>
      <c r="BO114" s="710"/>
      <c r="BP114" s="710"/>
      <c r="BQ114" s="710"/>
      <c r="BR114" s="710"/>
      <c r="BS114" s="710"/>
      <c r="BT114" s="710"/>
    </row>
    <row r="115" spans="1:72" s="709" customFormat="1" ht="15.75">
      <c r="A115" s="545"/>
      <c r="B115" s="545"/>
      <c r="C115" s="545"/>
      <c r="D115" s="545"/>
      <c r="E115" s="545"/>
      <c r="F115" s="545"/>
      <c r="G115" s="545"/>
      <c r="H115" s="545"/>
      <c r="I115" s="545"/>
      <c r="J115" s="545"/>
      <c r="K115" s="545"/>
      <c r="L115" s="545"/>
      <c r="M115" s="545"/>
      <c r="N115" s="545"/>
      <c r="O115" s="545"/>
      <c r="P115" s="545"/>
      <c r="Q115" s="545"/>
      <c r="R115" s="545"/>
      <c r="S115" s="576"/>
      <c r="T115" s="576"/>
      <c r="U115" s="576"/>
      <c r="V115" s="576"/>
      <c r="W115" s="545"/>
      <c r="X115" s="545"/>
      <c r="Y115" s="576"/>
      <c r="Z115" s="576"/>
      <c r="AA115" s="545"/>
      <c r="AB115" s="545"/>
      <c r="AC115" s="545"/>
      <c r="AD115" s="576"/>
      <c r="AE115" s="576"/>
      <c r="AF115" s="576"/>
      <c r="AG115" s="576"/>
      <c r="AH115" s="576"/>
      <c r="AI115" s="576"/>
      <c r="AJ115" s="576"/>
      <c r="AK115" s="576"/>
      <c r="AL115" s="576"/>
      <c r="AM115" s="576"/>
      <c r="AN115" s="576"/>
      <c r="AO115" s="576"/>
      <c r="AP115" s="576"/>
      <c r="AQ115" s="576"/>
      <c r="AR115" s="576"/>
      <c r="AS115" s="576"/>
      <c r="AT115" s="576"/>
      <c r="AU115" s="576"/>
      <c r="AV115" s="576"/>
      <c r="AW115" s="576"/>
      <c r="AX115" s="576"/>
      <c r="AY115" s="576"/>
      <c r="AZ115" s="576"/>
      <c r="BA115" s="576"/>
      <c r="BB115" s="576"/>
      <c r="BC115" s="576"/>
      <c r="BD115" s="572"/>
      <c r="BE115" s="710"/>
      <c r="BF115" s="710"/>
      <c r="BG115" s="710"/>
      <c r="BH115" s="710"/>
      <c r="BI115" s="710"/>
      <c r="BJ115" s="710"/>
      <c r="BK115" s="710"/>
      <c r="BL115" s="710"/>
      <c r="BM115" s="710"/>
      <c r="BN115" s="710"/>
      <c r="BO115" s="710"/>
      <c r="BP115" s="710"/>
      <c r="BQ115" s="710"/>
      <c r="BR115" s="710"/>
      <c r="BS115" s="710"/>
      <c r="BT115" s="710"/>
    </row>
    <row r="116" spans="1:72" s="709" customFormat="1" ht="15.75">
      <c r="A116" s="545"/>
      <c r="B116" s="545"/>
      <c r="C116" s="545"/>
      <c r="D116" s="545"/>
      <c r="E116" s="545"/>
      <c r="F116" s="545"/>
      <c r="G116" s="545"/>
      <c r="H116" s="545"/>
      <c r="I116" s="545"/>
      <c r="J116" s="545"/>
      <c r="K116" s="545"/>
      <c r="L116" s="545"/>
      <c r="M116" s="545"/>
      <c r="N116" s="545"/>
      <c r="O116" s="545"/>
      <c r="P116" s="545"/>
      <c r="Q116" s="545"/>
      <c r="R116" s="545"/>
      <c r="S116" s="576"/>
      <c r="T116" s="576"/>
      <c r="U116" s="576"/>
      <c r="V116" s="576"/>
      <c r="W116" s="545"/>
      <c r="X116" s="545"/>
      <c r="Y116" s="576"/>
      <c r="Z116" s="576"/>
      <c r="AA116" s="545"/>
      <c r="AB116" s="545"/>
      <c r="AC116" s="545"/>
      <c r="AD116" s="576"/>
      <c r="AE116" s="576"/>
      <c r="AF116" s="576"/>
      <c r="AG116" s="576"/>
      <c r="AH116" s="576"/>
      <c r="AI116" s="576"/>
      <c r="AJ116" s="576"/>
      <c r="AK116" s="576"/>
      <c r="AL116" s="576"/>
      <c r="AM116" s="576"/>
      <c r="AN116" s="576"/>
      <c r="AO116" s="576"/>
      <c r="AP116" s="576"/>
      <c r="AQ116" s="576"/>
      <c r="AR116" s="576"/>
      <c r="AS116" s="576"/>
      <c r="AT116" s="576"/>
      <c r="AU116" s="576"/>
      <c r="AV116" s="576"/>
      <c r="AW116" s="576"/>
      <c r="AX116" s="576"/>
      <c r="AY116" s="576"/>
      <c r="AZ116" s="576"/>
      <c r="BA116" s="576"/>
      <c r="BB116" s="576"/>
      <c r="BC116" s="576"/>
      <c r="BD116" s="572"/>
      <c r="BE116" s="710"/>
      <c r="BF116" s="710"/>
      <c r="BG116" s="710"/>
      <c r="BH116" s="710"/>
      <c r="BI116" s="710"/>
      <c r="BJ116" s="710"/>
      <c r="BK116" s="710"/>
      <c r="BL116" s="710"/>
      <c r="BM116" s="710"/>
      <c r="BN116" s="710"/>
      <c r="BO116" s="710"/>
      <c r="BP116" s="710"/>
      <c r="BQ116" s="710"/>
      <c r="BR116" s="710"/>
      <c r="BS116" s="710"/>
      <c r="BT116" s="710"/>
    </row>
    <row r="117" spans="1:72" s="709" customFormat="1" ht="15.75">
      <c r="A117" s="545"/>
      <c r="B117" s="545"/>
      <c r="C117" s="545"/>
      <c r="D117" s="545"/>
      <c r="E117" s="545"/>
      <c r="F117" s="545"/>
      <c r="G117" s="545"/>
      <c r="H117" s="545"/>
      <c r="I117" s="545"/>
      <c r="J117" s="545"/>
      <c r="K117" s="545"/>
      <c r="L117" s="545"/>
      <c r="M117" s="545"/>
      <c r="N117" s="545"/>
      <c r="O117" s="545"/>
      <c r="P117" s="545"/>
      <c r="Q117" s="545"/>
      <c r="R117" s="545"/>
      <c r="S117" s="576"/>
      <c r="T117" s="576"/>
      <c r="U117" s="576"/>
      <c r="V117" s="576"/>
      <c r="W117" s="545"/>
      <c r="X117" s="545"/>
      <c r="Y117" s="576"/>
      <c r="Z117" s="576"/>
      <c r="AA117" s="545"/>
      <c r="AB117" s="545"/>
      <c r="AC117" s="545"/>
      <c r="AD117" s="576"/>
      <c r="AE117" s="576"/>
      <c r="AF117" s="576"/>
      <c r="AG117" s="576"/>
      <c r="AH117" s="576"/>
      <c r="AI117" s="576"/>
      <c r="AJ117" s="576"/>
      <c r="AK117" s="576"/>
      <c r="AL117" s="576"/>
      <c r="AM117" s="576"/>
      <c r="AN117" s="576"/>
      <c r="AO117" s="576"/>
      <c r="AP117" s="576"/>
      <c r="AQ117" s="576"/>
      <c r="AR117" s="576"/>
      <c r="AS117" s="576"/>
      <c r="AT117" s="576"/>
      <c r="AU117" s="576"/>
      <c r="AV117" s="576"/>
      <c r="AW117" s="576"/>
      <c r="AX117" s="576"/>
      <c r="AY117" s="576"/>
      <c r="AZ117" s="576"/>
      <c r="BA117" s="576"/>
      <c r="BB117" s="576"/>
      <c r="BC117" s="576"/>
      <c r="BD117" s="572"/>
      <c r="BE117" s="710"/>
      <c r="BF117" s="710"/>
      <c r="BG117" s="710"/>
      <c r="BH117" s="710"/>
      <c r="BI117" s="710"/>
      <c r="BJ117" s="710"/>
      <c r="BK117" s="710"/>
      <c r="BL117" s="710"/>
      <c r="BM117" s="710"/>
      <c r="BN117" s="710"/>
      <c r="BO117" s="710"/>
      <c r="BP117" s="710"/>
      <c r="BQ117" s="710"/>
      <c r="BR117" s="710"/>
      <c r="BS117" s="710"/>
      <c r="BT117" s="710"/>
    </row>
    <row r="118" spans="1:72" s="709" customFormat="1" ht="15.75">
      <c r="A118" s="545"/>
      <c r="B118" s="545"/>
      <c r="C118" s="545"/>
      <c r="D118" s="545"/>
      <c r="E118" s="545"/>
      <c r="F118" s="545"/>
      <c r="G118" s="545"/>
      <c r="H118" s="545"/>
      <c r="I118" s="545"/>
      <c r="J118" s="545"/>
      <c r="K118" s="545"/>
      <c r="L118" s="545"/>
      <c r="M118" s="545"/>
      <c r="N118" s="545"/>
      <c r="O118" s="545"/>
      <c r="P118" s="545"/>
      <c r="Q118" s="545"/>
      <c r="R118" s="545"/>
      <c r="S118" s="576"/>
      <c r="T118" s="576"/>
      <c r="U118" s="576"/>
      <c r="V118" s="576"/>
      <c r="W118" s="545"/>
      <c r="X118" s="545"/>
      <c r="Y118" s="576"/>
      <c r="Z118" s="576"/>
      <c r="AA118" s="545"/>
      <c r="AB118" s="545"/>
      <c r="AC118" s="545"/>
      <c r="AD118" s="576"/>
      <c r="AE118" s="576"/>
      <c r="AF118" s="576"/>
      <c r="AG118" s="576"/>
      <c r="AH118" s="576"/>
      <c r="AI118" s="576"/>
      <c r="AJ118" s="576"/>
      <c r="AK118" s="576"/>
      <c r="AL118" s="576"/>
      <c r="AM118" s="576"/>
      <c r="AN118" s="576"/>
      <c r="AO118" s="576"/>
      <c r="AP118" s="576"/>
      <c r="AQ118" s="576"/>
      <c r="AR118" s="576"/>
      <c r="AS118" s="576"/>
      <c r="AT118" s="576"/>
      <c r="AU118" s="576"/>
      <c r="AV118" s="576"/>
      <c r="AW118" s="576"/>
      <c r="AX118" s="576"/>
      <c r="AY118" s="576"/>
      <c r="AZ118" s="576"/>
      <c r="BA118" s="576"/>
      <c r="BB118" s="576"/>
      <c r="BC118" s="576"/>
      <c r="BD118" s="572"/>
      <c r="BE118" s="710"/>
      <c r="BF118" s="710"/>
      <c r="BG118" s="710"/>
      <c r="BH118" s="710"/>
      <c r="BI118" s="710"/>
      <c r="BJ118" s="710"/>
      <c r="BK118" s="710"/>
      <c r="BL118" s="710"/>
      <c r="BM118" s="710"/>
      <c r="BN118" s="710"/>
      <c r="BO118" s="710"/>
      <c r="BP118" s="710"/>
      <c r="BQ118" s="710"/>
      <c r="BR118" s="710"/>
      <c r="BS118" s="710"/>
      <c r="BT118" s="710"/>
    </row>
    <row r="119" spans="1:72" s="709" customFormat="1" ht="15.75">
      <c r="A119" s="545"/>
      <c r="B119" s="545"/>
      <c r="C119" s="545"/>
      <c r="D119" s="545"/>
      <c r="E119" s="545"/>
      <c r="F119" s="545"/>
      <c r="G119" s="545"/>
      <c r="H119" s="545"/>
      <c r="I119" s="545"/>
      <c r="J119" s="545"/>
      <c r="K119" s="545"/>
      <c r="L119" s="545"/>
      <c r="M119" s="545"/>
      <c r="N119" s="545"/>
      <c r="O119" s="545"/>
      <c r="P119" s="545"/>
      <c r="Q119" s="545"/>
      <c r="R119" s="545"/>
      <c r="S119" s="576"/>
      <c r="T119" s="576"/>
      <c r="U119" s="576"/>
      <c r="V119" s="576"/>
      <c r="W119" s="545"/>
      <c r="X119" s="545"/>
      <c r="Y119" s="576"/>
      <c r="Z119" s="576"/>
      <c r="AA119" s="545"/>
      <c r="AB119" s="545"/>
      <c r="AC119" s="545"/>
      <c r="AD119" s="576"/>
      <c r="AE119" s="576"/>
      <c r="AF119" s="576"/>
      <c r="AG119" s="576"/>
      <c r="AH119" s="576"/>
      <c r="AI119" s="576"/>
      <c r="AJ119" s="576"/>
      <c r="AK119" s="576"/>
      <c r="AL119" s="576"/>
      <c r="AM119" s="576"/>
      <c r="AN119" s="576"/>
      <c r="AO119" s="576"/>
      <c r="AP119" s="576"/>
      <c r="AQ119" s="576"/>
      <c r="AR119" s="576"/>
      <c r="AS119" s="576"/>
      <c r="AT119" s="576"/>
      <c r="AU119" s="576"/>
      <c r="AV119" s="576"/>
      <c r="AW119" s="576"/>
      <c r="AX119" s="576"/>
      <c r="AY119" s="576"/>
      <c r="AZ119" s="576"/>
      <c r="BA119" s="576"/>
      <c r="BB119" s="576"/>
      <c r="BC119" s="576"/>
      <c r="BD119" s="572"/>
      <c r="BE119" s="710"/>
      <c r="BF119" s="710"/>
      <c r="BG119" s="710"/>
      <c r="BH119" s="710"/>
      <c r="BI119" s="710"/>
      <c r="BJ119" s="710"/>
      <c r="BK119" s="710"/>
      <c r="BL119" s="710"/>
      <c r="BM119" s="710"/>
      <c r="BN119" s="710"/>
      <c r="BO119" s="710"/>
      <c r="BP119" s="710"/>
      <c r="BQ119" s="710"/>
      <c r="BR119" s="710"/>
      <c r="BS119" s="710"/>
      <c r="BT119" s="710"/>
    </row>
    <row r="120" spans="1:72" s="709" customFormat="1" ht="15.75">
      <c r="A120" s="545"/>
      <c r="B120" s="545"/>
      <c r="C120" s="545"/>
      <c r="D120" s="545"/>
      <c r="E120" s="545"/>
      <c r="F120" s="545"/>
      <c r="G120" s="545"/>
      <c r="H120" s="545"/>
      <c r="I120" s="545"/>
      <c r="J120" s="545"/>
      <c r="K120" s="545"/>
      <c r="L120" s="545"/>
      <c r="M120" s="545"/>
      <c r="N120" s="545"/>
      <c r="O120" s="545"/>
      <c r="P120" s="545"/>
      <c r="Q120" s="545"/>
      <c r="R120" s="545"/>
      <c r="S120" s="576"/>
      <c r="T120" s="576"/>
      <c r="U120" s="576"/>
      <c r="V120" s="576"/>
      <c r="W120" s="545"/>
      <c r="X120" s="545"/>
      <c r="Y120" s="576"/>
      <c r="Z120" s="576"/>
      <c r="AA120" s="545"/>
      <c r="AB120" s="545"/>
      <c r="AC120" s="545"/>
      <c r="AD120" s="576"/>
      <c r="AE120" s="576"/>
      <c r="AF120" s="576"/>
      <c r="AG120" s="576"/>
      <c r="AH120" s="576"/>
      <c r="AI120" s="576"/>
      <c r="AJ120" s="576"/>
      <c r="AK120" s="576"/>
      <c r="AL120" s="576"/>
      <c r="AM120" s="576"/>
      <c r="AN120" s="576"/>
      <c r="AO120" s="576"/>
      <c r="AP120" s="576"/>
      <c r="AQ120" s="576"/>
      <c r="AR120" s="576"/>
      <c r="AS120" s="576"/>
      <c r="AT120" s="576"/>
      <c r="AU120" s="576"/>
      <c r="AV120" s="576"/>
      <c r="AW120" s="576"/>
      <c r="AX120" s="576"/>
      <c r="AY120" s="576"/>
      <c r="AZ120" s="576"/>
      <c r="BA120" s="576"/>
      <c r="BB120" s="576"/>
      <c r="BC120" s="576"/>
      <c r="BD120" s="572"/>
      <c r="BE120" s="710"/>
      <c r="BF120" s="710"/>
      <c r="BG120" s="710"/>
      <c r="BH120" s="710"/>
      <c r="BI120" s="710"/>
      <c r="BJ120" s="710"/>
      <c r="BK120" s="710"/>
      <c r="BL120" s="710"/>
      <c r="BM120" s="710"/>
      <c r="BN120" s="710"/>
      <c r="BO120" s="710"/>
      <c r="BP120" s="710"/>
      <c r="BQ120" s="710"/>
      <c r="BR120" s="710"/>
      <c r="BS120" s="710"/>
      <c r="BT120" s="710"/>
    </row>
    <row r="121" spans="1:72" s="709" customFormat="1" ht="15.75">
      <c r="A121" s="545"/>
      <c r="B121" s="545"/>
      <c r="C121" s="545"/>
      <c r="D121" s="545"/>
      <c r="E121" s="545"/>
      <c r="F121" s="545"/>
      <c r="G121" s="545"/>
      <c r="H121" s="545"/>
      <c r="I121" s="545"/>
      <c r="J121" s="545"/>
      <c r="K121" s="545"/>
      <c r="L121" s="545"/>
      <c r="M121" s="545"/>
      <c r="N121" s="545"/>
      <c r="O121" s="545"/>
      <c r="P121" s="545"/>
      <c r="Q121" s="545"/>
      <c r="R121" s="545"/>
      <c r="S121" s="576"/>
      <c r="T121" s="576"/>
      <c r="U121" s="576"/>
      <c r="V121" s="576"/>
      <c r="W121" s="545"/>
      <c r="X121" s="545"/>
      <c r="Y121" s="576"/>
      <c r="Z121" s="576"/>
      <c r="AA121" s="545"/>
      <c r="AB121" s="545"/>
      <c r="AC121" s="545"/>
      <c r="AD121" s="576"/>
      <c r="AE121" s="576"/>
      <c r="AF121" s="576"/>
      <c r="AG121" s="576"/>
      <c r="AH121" s="576"/>
      <c r="AI121" s="576"/>
      <c r="AJ121" s="576"/>
      <c r="AK121" s="576"/>
      <c r="AL121" s="576"/>
      <c r="AM121" s="576"/>
      <c r="AN121" s="576"/>
      <c r="AO121" s="576"/>
      <c r="AP121" s="576"/>
      <c r="AQ121" s="576"/>
      <c r="AR121" s="576"/>
      <c r="AS121" s="576"/>
      <c r="AT121" s="576"/>
      <c r="AU121" s="576"/>
      <c r="AV121" s="576"/>
      <c r="AW121" s="576"/>
      <c r="AX121" s="576"/>
      <c r="AY121" s="576"/>
      <c r="AZ121" s="576"/>
      <c r="BA121" s="576"/>
      <c r="BB121" s="576"/>
      <c r="BC121" s="576"/>
      <c r="BD121" s="572"/>
      <c r="BE121" s="710"/>
      <c r="BF121" s="710"/>
      <c r="BG121" s="710"/>
      <c r="BH121" s="710"/>
      <c r="BI121" s="710"/>
      <c r="BJ121" s="710"/>
      <c r="BK121" s="710"/>
      <c r="BL121" s="710"/>
      <c r="BM121" s="710"/>
      <c r="BN121" s="710"/>
      <c r="BO121" s="710"/>
      <c r="BP121" s="710"/>
      <c r="BQ121" s="710"/>
      <c r="BR121" s="710"/>
      <c r="BS121" s="710"/>
      <c r="BT121" s="710"/>
    </row>
    <row r="122" spans="1:72" s="709" customFormat="1" ht="15.75">
      <c r="A122" s="545"/>
      <c r="B122" s="545"/>
      <c r="C122" s="545"/>
      <c r="D122" s="545"/>
      <c r="E122" s="545"/>
      <c r="F122" s="545"/>
      <c r="G122" s="545"/>
      <c r="H122" s="545"/>
      <c r="I122" s="545"/>
      <c r="J122" s="545"/>
      <c r="K122" s="545"/>
      <c r="L122" s="545"/>
      <c r="M122" s="545"/>
      <c r="N122" s="545"/>
      <c r="O122" s="545"/>
      <c r="P122" s="545"/>
      <c r="Q122" s="545"/>
      <c r="R122" s="545"/>
      <c r="S122" s="576"/>
      <c r="T122" s="576"/>
      <c r="U122" s="576"/>
      <c r="V122" s="576"/>
      <c r="W122" s="545"/>
      <c r="X122" s="545"/>
      <c r="Y122" s="576"/>
      <c r="Z122" s="576"/>
      <c r="AA122" s="545"/>
      <c r="AB122" s="545"/>
      <c r="AC122" s="545"/>
      <c r="AD122" s="576"/>
      <c r="AE122" s="576"/>
      <c r="AF122" s="576"/>
      <c r="AG122" s="576"/>
      <c r="AH122" s="576"/>
      <c r="AI122" s="576"/>
      <c r="AJ122" s="576"/>
      <c r="AK122" s="576"/>
      <c r="AL122" s="576"/>
      <c r="AM122" s="576"/>
      <c r="AN122" s="576"/>
      <c r="AO122" s="576"/>
      <c r="AP122" s="576"/>
      <c r="AQ122" s="576"/>
      <c r="AR122" s="576"/>
      <c r="AS122" s="576"/>
      <c r="AT122" s="576"/>
      <c r="AU122" s="576"/>
      <c r="AV122" s="576"/>
      <c r="AW122" s="576"/>
      <c r="AX122" s="576"/>
      <c r="AY122" s="576"/>
      <c r="AZ122" s="576"/>
      <c r="BA122" s="576"/>
      <c r="BB122" s="576"/>
      <c r="BC122" s="576"/>
      <c r="BD122" s="572"/>
      <c r="BE122" s="710"/>
      <c r="BF122" s="710"/>
      <c r="BG122" s="710"/>
      <c r="BH122" s="710"/>
      <c r="BI122" s="710"/>
      <c r="BJ122" s="710"/>
      <c r="BK122" s="710"/>
      <c r="BL122" s="710"/>
      <c r="BM122" s="710"/>
      <c r="BN122" s="710"/>
      <c r="BO122" s="710"/>
      <c r="BP122" s="710"/>
      <c r="BQ122" s="710"/>
      <c r="BR122" s="710"/>
      <c r="BS122" s="710"/>
      <c r="BT122" s="710"/>
    </row>
    <row r="123" spans="1:72" s="709" customFormat="1" ht="15.75">
      <c r="A123" s="545"/>
      <c r="B123" s="545"/>
      <c r="C123" s="545"/>
      <c r="D123" s="545"/>
      <c r="E123" s="545"/>
      <c r="F123" s="545"/>
      <c r="G123" s="545"/>
      <c r="H123" s="545"/>
      <c r="I123" s="545"/>
      <c r="J123" s="545"/>
      <c r="K123" s="545"/>
      <c r="L123" s="545"/>
      <c r="M123" s="545"/>
      <c r="N123" s="545"/>
      <c r="O123" s="545"/>
      <c r="P123" s="545"/>
      <c r="Q123" s="545"/>
      <c r="R123" s="545"/>
      <c r="S123" s="576"/>
      <c r="T123" s="576"/>
      <c r="U123" s="576"/>
      <c r="V123" s="576"/>
      <c r="W123" s="545"/>
      <c r="X123" s="545"/>
      <c r="Y123" s="576"/>
      <c r="Z123" s="576"/>
      <c r="AA123" s="545"/>
      <c r="AB123" s="545"/>
      <c r="AC123" s="545"/>
      <c r="AD123" s="576"/>
      <c r="AE123" s="576"/>
      <c r="AF123" s="576"/>
      <c r="AG123" s="576"/>
      <c r="AH123" s="576"/>
      <c r="AI123" s="576"/>
      <c r="AJ123" s="576"/>
      <c r="AK123" s="576"/>
      <c r="AL123" s="576"/>
      <c r="AM123" s="576"/>
      <c r="AN123" s="576"/>
      <c r="AO123" s="576"/>
      <c r="AP123" s="576"/>
      <c r="AQ123" s="576"/>
      <c r="AR123" s="576"/>
      <c r="AS123" s="576"/>
      <c r="AT123" s="576"/>
      <c r="AU123" s="576"/>
      <c r="AV123" s="576"/>
      <c r="AW123" s="576"/>
      <c r="AX123" s="576"/>
      <c r="AY123" s="576"/>
      <c r="AZ123" s="576"/>
      <c r="BA123" s="576"/>
      <c r="BB123" s="576"/>
      <c r="BC123" s="576"/>
      <c r="BD123" s="572"/>
      <c r="BE123" s="710"/>
      <c r="BF123" s="710"/>
      <c r="BG123" s="710"/>
      <c r="BH123" s="710"/>
      <c r="BI123" s="710"/>
      <c r="BJ123" s="710"/>
      <c r="BK123" s="710"/>
      <c r="BL123" s="710"/>
      <c r="BM123" s="710"/>
      <c r="BN123" s="710"/>
      <c r="BO123" s="710"/>
      <c r="BP123" s="710"/>
      <c r="BQ123" s="710"/>
      <c r="BR123" s="710"/>
      <c r="BS123" s="710"/>
      <c r="BT123" s="710"/>
    </row>
    <row r="124" spans="1:72" s="709" customFormat="1" ht="15.75">
      <c r="A124" s="545"/>
      <c r="B124" s="545"/>
      <c r="C124" s="545"/>
      <c r="D124" s="545"/>
      <c r="E124" s="545"/>
      <c r="F124" s="545"/>
      <c r="G124" s="545"/>
      <c r="H124" s="545"/>
      <c r="I124" s="545"/>
      <c r="J124" s="545"/>
      <c r="K124" s="545"/>
      <c r="L124" s="545"/>
      <c r="M124" s="545"/>
      <c r="N124" s="545"/>
      <c r="O124" s="545"/>
      <c r="P124" s="545"/>
      <c r="Q124" s="545"/>
      <c r="R124" s="545"/>
      <c r="S124" s="576"/>
      <c r="T124" s="576"/>
      <c r="U124" s="576"/>
      <c r="V124" s="576"/>
      <c r="W124" s="545"/>
      <c r="X124" s="545"/>
      <c r="Y124" s="576"/>
      <c r="Z124" s="576"/>
      <c r="AA124" s="545"/>
      <c r="AB124" s="545"/>
      <c r="AC124" s="545"/>
      <c r="AD124" s="576"/>
      <c r="AE124" s="576"/>
      <c r="AF124" s="576"/>
      <c r="AG124" s="576"/>
      <c r="AH124" s="576"/>
      <c r="AI124" s="576"/>
      <c r="AJ124" s="576"/>
      <c r="AK124" s="576"/>
      <c r="AL124" s="576"/>
      <c r="AM124" s="576"/>
      <c r="AN124" s="576"/>
      <c r="AO124" s="576"/>
      <c r="AP124" s="576"/>
      <c r="AQ124" s="576"/>
      <c r="AR124" s="576"/>
      <c r="AS124" s="576"/>
      <c r="AT124" s="576"/>
      <c r="AU124" s="576"/>
      <c r="AV124" s="576"/>
      <c r="AW124" s="576"/>
      <c r="AX124" s="576"/>
      <c r="AY124" s="576"/>
      <c r="AZ124" s="576"/>
      <c r="BA124" s="576"/>
      <c r="BB124" s="576"/>
      <c r="BC124" s="576"/>
      <c r="BD124" s="572"/>
      <c r="BE124" s="710"/>
      <c r="BF124" s="710"/>
      <c r="BG124" s="710"/>
      <c r="BH124" s="710"/>
      <c r="BI124" s="710"/>
      <c r="BJ124" s="710"/>
      <c r="BK124" s="710"/>
      <c r="BL124" s="710"/>
      <c r="BM124" s="710"/>
      <c r="BN124" s="710"/>
      <c r="BO124" s="710"/>
      <c r="BP124" s="710"/>
      <c r="BQ124" s="710"/>
      <c r="BR124" s="710"/>
      <c r="BS124" s="710"/>
      <c r="BT124" s="710"/>
    </row>
    <row r="125" spans="1:72" s="709" customFormat="1" ht="15.75">
      <c r="A125" s="545"/>
      <c r="B125" s="545"/>
      <c r="C125" s="545"/>
      <c r="D125" s="545"/>
      <c r="E125" s="545"/>
      <c r="F125" s="545"/>
      <c r="G125" s="545"/>
      <c r="H125" s="545"/>
      <c r="I125" s="545"/>
      <c r="J125" s="545"/>
      <c r="K125" s="545"/>
      <c r="L125" s="545"/>
      <c r="M125" s="545"/>
      <c r="N125" s="545"/>
      <c r="O125" s="545"/>
      <c r="P125" s="545"/>
      <c r="Q125" s="545"/>
      <c r="R125" s="545"/>
      <c r="S125" s="576"/>
      <c r="T125" s="576"/>
      <c r="U125" s="576"/>
      <c r="V125" s="576"/>
      <c r="W125" s="545"/>
      <c r="X125" s="545"/>
      <c r="Y125" s="576"/>
      <c r="Z125" s="576"/>
      <c r="AA125" s="545"/>
      <c r="AB125" s="545"/>
      <c r="AC125" s="545"/>
      <c r="AD125" s="576"/>
      <c r="AE125" s="576"/>
      <c r="AF125" s="576"/>
      <c r="AG125" s="576"/>
      <c r="AH125" s="576"/>
      <c r="AI125" s="576"/>
      <c r="AJ125" s="576"/>
      <c r="AK125" s="576"/>
      <c r="AL125" s="576"/>
      <c r="AM125" s="576"/>
      <c r="AN125" s="576"/>
      <c r="AO125" s="576"/>
      <c r="AP125" s="576"/>
      <c r="AQ125" s="576"/>
      <c r="AR125" s="576"/>
      <c r="AS125" s="576"/>
      <c r="AT125" s="576"/>
      <c r="AU125" s="576"/>
      <c r="AV125" s="576"/>
      <c r="AW125" s="576"/>
      <c r="AX125" s="576"/>
      <c r="AY125" s="576"/>
      <c r="AZ125" s="576"/>
      <c r="BA125" s="576"/>
      <c r="BB125" s="576"/>
      <c r="BC125" s="576"/>
      <c r="BD125" s="572"/>
      <c r="BE125" s="710"/>
      <c r="BF125" s="710"/>
      <c r="BG125" s="710"/>
      <c r="BH125" s="710"/>
      <c r="BI125" s="710"/>
      <c r="BJ125" s="710"/>
      <c r="BK125" s="710"/>
      <c r="BL125" s="710"/>
      <c r="BM125" s="710"/>
      <c r="BN125" s="710"/>
      <c r="BO125" s="710"/>
      <c r="BP125" s="710"/>
      <c r="BQ125" s="710"/>
      <c r="BR125" s="710"/>
      <c r="BS125" s="710"/>
      <c r="BT125" s="710"/>
    </row>
    <row r="126" spans="1:72" s="709" customFormat="1" ht="15.75">
      <c r="A126" s="545"/>
      <c r="B126" s="545"/>
      <c r="C126" s="545"/>
      <c r="D126" s="545"/>
      <c r="E126" s="545"/>
      <c r="F126" s="545"/>
      <c r="G126" s="545"/>
      <c r="H126" s="545"/>
      <c r="I126" s="545"/>
      <c r="J126" s="545"/>
      <c r="K126" s="545"/>
      <c r="L126" s="545"/>
      <c r="M126" s="545"/>
      <c r="N126" s="545"/>
      <c r="O126" s="545"/>
      <c r="P126" s="545"/>
      <c r="Q126" s="545"/>
      <c r="R126" s="545"/>
      <c r="S126" s="576"/>
      <c r="T126" s="576"/>
      <c r="U126" s="576"/>
      <c r="V126" s="576"/>
      <c r="W126" s="545"/>
      <c r="X126" s="545"/>
      <c r="Y126" s="576"/>
      <c r="Z126" s="576"/>
      <c r="AA126" s="545"/>
      <c r="AB126" s="545"/>
      <c r="AC126" s="545"/>
      <c r="AD126" s="576"/>
      <c r="AE126" s="576"/>
      <c r="AF126" s="576"/>
      <c r="AG126" s="576"/>
      <c r="AH126" s="576"/>
      <c r="AI126" s="576"/>
      <c r="AJ126" s="576"/>
      <c r="AK126" s="576"/>
      <c r="AL126" s="576"/>
      <c r="AM126" s="576"/>
      <c r="AN126" s="576"/>
      <c r="AO126" s="576"/>
      <c r="AP126" s="576"/>
      <c r="AQ126" s="576"/>
      <c r="AR126" s="576"/>
      <c r="AS126" s="576"/>
      <c r="AT126" s="576"/>
      <c r="AU126" s="576"/>
      <c r="AV126" s="576"/>
      <c r="AW126" s="576"/>
      <c r="AX126" s="576"/>
      <c r="AY126" s="576"/>
      <c r="AZ126" s="576"/>
      <c r="BA126" s="576"/>
      <c r="BB126" s="576"/>
      <c r="BC126" s="576"/>
      <c r="BD126" s="572"/>
      <c r="BE126" s="710"/>
      <c r="BF126" s="710"/>
      <c r="BG126" s="710"/>
      <c r="BH126" s="710"/>
      <c r="BI126" s="710"/>
      <c r="BJ126" s="710"/>
      <c r="BK126" s="710"/>
      <c r="BL126" s="710"/>
      <c r="BM126" s="710"/>
      <c r="BN126" s="710"/>
      <c r="BO126" s="710"/>
      <c r="BP126" s="710"/>
      <c r="BQ126" s="710"/>
      <c r="BR126" s="710"/>
      <c r="BS126" s="710"/>
      <c r="BT126" s="710"/>
    </row>
    <row r="127" spans="1:72" s="709" customFormat="1" ht="15.75">
      <c r="A127" s="545"/>
      <c r="B127" s="545"/>
      <c r="C127" s="545"/>
      <c r="D127" s="545"/>
      <c r="E127" s="545"/>
      <c r="F127" s="545"/>
      <c r="G127" s="545"/>
      <c r="H127" s="545"/>
      <c r="I127" s="545"/>
      <c r="J127" s="545"/>
      <c r="K127" s="545"/>
      <c r="L127" s="545"/>
      <c r="M127" s="545"/>
      <c r="N127" s="545"/>
      <c r="O127" s="545"/>
      <c r="P127" s="545"/>
      <c r="Q127" s="545"/>
      <c r="R127" s="545"/>
      <c r="S127" s="576"/>
      <c r="T127" s="576"/>
      <c r="U127" s="576"/>
      <c r="V127" s="576"/>
      <c r="W127" s="545"/>
      <c r="X127" s="545"/>
      <c r="Y127" s="576"/>
      <c r="Z127" s="576"/>
      <c r="AA127" s="545"/>
      <c r="AB127" s="545"/>
      <c r="AC127" s="545"/>
      <c r="AD127" s="576"/>
      <c r="AE127" s="576"/>
      <c r="AF127" s="576"/>
      <c r="AG127" s="576"/>
      <c r="AH127" s="576"/>
      <c r="AI127" s="576"/>
      <c r="AJ127" s="576"/>
      <c r="AK127" s="576"/>
      <c r="AL127" s="576"/>
      <c r="AM127" s="576"/>
      <c r="AN127" s="576"/>
      <c r="AO127" s="576"/>
      <c r="AP127" s="576"/>
      <c r="AQ127" s="576"/>
      <c r="AR127" s="576"/>
      <c r="AS127" s="576"/>
      <c r="AT127" s="576"/>
      <c r="AU127" s="576"/>
      <c r="AV127" s="576"/>
      <c r="AW127" s="576"/>
      <c r="AX127" s="576"/>
      <c r="AY127" s="576"/>
      <c r="AZ127" s="576"/>
      <c r="BA127" s="576"/>
      <c r="BB127" s="576"/>
      <c r="BC127" s="576"/>
      <c r="BD127" s="572"/>
      <c r="BE127" s="710"/>
      <c r="BF127" s="710"/>
      <c r="BG127" s="710"/>
      <c r="BH127" s="710"/>
      <c r="BI127" s="710"/>
      <c r="BJ127" s="710"/>
      <c r="BK127" s="710"/>
      <c r="BL127" s="710"/>
      <c r="BM127" s="710"/>
      <c r="BN127" s="710"/>
      <c r="BO127" s="710"/>
      <c r="BP127" s="710"/>
      <c r="BQ127" s="710"/>
      <c r="BR127" s="710"/>
      <c r="BS127" s="710"/>
      <c r="BT127" s="710"/>
    </row>
    <row r="128" spans="1:72" s="709" customFormat="1" ht="15.75">
      <c r="A128" s="545"/>
      <c r="B128" s="545"/>
      <c r="C128" s="545"/>
      <c r="D128" s="545"/>
      <c r="E128" s="545"/>
      <c r="F128" s="545"/>
      <c r="G128" s="545"/>
      <c r="H128" s="545"/>
      <c r="I128" s="545"/>
      <c r="J128" s="545"/>
      <c r="K128" s="545"/>
      <c r="L128" s="545"/>
      <c r="M128" s="545"/>
      <c r="N128" s="545"/>
      <c r="O128" s="545"/>
      <c r="P128" s="545"/>
      <c r="Q128" s="545"/>
      <c r="R128" s="545"/>
      <c r="S128" s="576"/>
      <c r="T128" s="576"/>
      <c r="U128" s="576"/>
      <c r="V128" s="576"/>
      <c r="W128" s="545"/>
      <c r="X128" s="545"/>
      <c r="Y128" s="576"/>
      <c r="Z128" s="576"/>
      <c r="AA128" s="545"/>
      <c r="AB128" s="545"/>
      <c r="AC128" s="545"/>
      <c r="AD128" s="576"/>
      <c r="AE128" s="576"/>
      <c r="AF128" s="576"/>
      <c r="AG128" s="576"/>
      <c r="AH128" s="576"/>
      <c r="AI128" s="576"/>
      <c r="AJ128" s="576"/>
      <c r="AK128" s="576"/>
      <c r="AL128" s="576"/>
      <c r="AM128" s="576"/>
      <c r="AN128" s="576"/>
      <c r="AO128" s="576"/>
      <c r="AP128" s="576"/>
      <c r="AQ128" s="576"/>
      <c r="AR128" s="576"/>
      <c r="AS128" s="576"/>
      <c r="AT128" s="576"/>
      <c r="AU128" s="576"/>
      <c r="AV128" s="576"/>
      <c r="AW128" s="576"/>
      <c r="AX128" s="576"/>
      <c r="AY128" s="576"/>
      <c r="AZ128" s="576"/>
      <c r="BA128" s="576"/>
      <c r="BB128" s="576"/>
      <c r="BC128" s="576"/>
      <c r="BD128" s="572"/>
      <c r="BE128" s="710"/>
      <c r="BF128" s="710"/>
      <c r="BG128" s="710"/>
      <c r="BH128" s="710"/>
      <c r="BI128" s="710"/>
      <c r="BJ128" s="710"/>
      <c r="BK128" s="710"/>
      <c r="BL128" s="710"/>
      <c r="BM128" s="710"/>
      <c r="BN128" s="710"/>
      <c r="BO128" s="710"/>
      <c r="BP128" s="710"/>
      <c r="BQ128" s="710"/>
      <c r="BR128" s="710"/>
      <c r="BS128" s="710"/>
      <c r="BT128" s="710"/>
    </row>
    <row r="129" spans="1:72" s="709" customFormat="1" ht="15.75">
      <c r="A129" s="545"/>
      <c r="B129" s="545"/>
      <c r="C129" s="545"/>
      <c r="D129" s="545"/>
      <c r="E129" s="545"/>
      <c r="F129" s="545"/>
      <c r="G129" s="545"/>
      <c r="H129" s="545"/>
      <c r="I129" s="545"/>
      <c r="J129" s="545"/>
      <c r="K129" s="545"/>
      <c r="L129" s="545"/>
      <c r="M129" s="545"/>
      <c r="N129" s="545"/>
      <c r="O129" s="545"/>
      <c r="P129" s="545"/>
      <c r="Q129" s="545"/>
      <c r="R129" s="545"/>
      <c r="S129" s="576"/>
      <c r="T129" s="576"/>
      <c r="U129" s="576"/>
      <c r="V129" s="576"/>
      <c r="W129" s="545"/>
      <c r="X129" s="545"/>
      <c r="Y129" s="576"/>
      <c r="Z129" s="576"/>
      <c r="AA129" s="545"/>
      <c r="AB129" s="545"/>
      <c r="AC129" s="545"/>
      <c r="AD129" s="576"/>
      <c r="AE129" s="576"/>
      <c r="AF129" s="576"/>
      <c r="AG129" s="576"/>
      <c r="AH129" s="576"/>
      <c r="AI129" s="576"/>
      <c r="AJ129" s="576"/>
      <c r="AK129" s="576"/>
      <c r="AL129" s="576"/>
      <c r="AM129" s="576"/>
      <c r="AN129" s="576"/>
      <c r="AO129" s="576"/>
      <c r="AP129" s="576"/>
      <c r="AQ129" s="576"/>
      <c r="AR129" s="576"/>
      <c r="AS129" s="576"/>
      <c r="AT129" s="576"/>
      <c r="AU129" s="576"/>
      <c r="AV129" s="576"/>
      <c r="AW129" s="576"/>
      <c r="AX129" s="576"/>
      <c r="AY129" s="576"/>
      <c r="AZ129" s="576"/>
      <c r="BA129" s="576"/>
      <c r="BB129" s="576"/>
      <c r="BC129" s="576"/>
      <c r="BD129" s="572"/>
      <c r="BE129" s="710"/>
      <c r="BF129" s="710"/>
      <c r="BG129" s="710"/>
      <c r="BH129" s="710"/>
      <c r="BI129" s="710"/>
      <c r="BJ129" s="710"/>
      <c r="BK129" s="710"/>
      <c r="BL129" s="710"/>
      <c r="BM129" s="710"/>
      <c r="BN129" s="710"/>
      <c r="BO129" s="710"/>
      <c r="BP129" s="710"/>
      <c r="BQ129" s="710"/>
      <c r="BR129" s="710"/>
      <c r="BS129" s="710"/>
      <c r="BT129" s="710"/>
    </row>
    <row r="130" spans="1:72" s="709" customFormat="1" ht="15.75">
      <c r="A130" s="545"/>
      <c r="B130" s="545"/>
      <c r="C130" s="545"/>
      <c r="D130" s="545"/>
      <c r="E130" s="545"/>
      <c r="F130" s="545"/>
      <c r="G130" s="545"/>
      <c r="H130" s="545"/>
      <c r="I130" s="545"/>
      <c r="J130" s="545"/>
      <c r="K130" s="545"/>
      <c r="L130" s="545"/>
      <c r="M130" s="545"/>
      <c r="N130" s="545"/>
      <c r="O130" s="545"/>
      <c r="P130" s="545"/>
      <c r="Q130" s="545"/>
      <c r="R130" s="545"/>
      <c r="S130" s="576"/>
      <c r="T130" s="576"/>
      <c r="U130" s="576"/>
      <c r="V130" s="576"/>
      <c r="W130" s="545"/>
      <c r="X130" s="545"/>
      <c r="Y130" s="576"/>
      <c r="Z130" s="576"/>
      <c r="AA130" s="545"/>
      <c r="AB130" s="545"/>
      <c r="AC130" s="545"/>
      <c r="AD130" s="576"/>
      <c r="AE130" s="576"/>
      <c r="AF130" s="576"/>
      <c r="AG130" s="576"/>
      <c r="AH130" s="576"/>
      <c r="AI130" s="576"/>
      <c r="AJ130" s="576"/>
      <c r="AK130" s="576"/>
      <c r="AL130" s="576"/>
      <c r="AM130" s="576"/>
      <c r="AN130" s="576"/>
      <c r="AO130" s="576"/>
      <c r="AP130" s="576"/>
      <c r="AQ130" s="576"/>
      <c r="AR130" s="576"/>
      <c r="AS130" s="576"/>
      <c r="AT130" s="576"/>
      <c r="AU130" s="576"/>
      <c r="AV130" s="576"/>
      <c r="AW130" s="576"/>
      <c r="AX130" s="576"/>
      <c r="AY130" s="576"/>
      <c r="AZ130" s="576"/>
      <c r="BA130" s="576"/>
      <c r="BB130" s="576"/>
      <c r="BC130" s="576"/>
      <c r="BD130" s="572"/>
      <c r="BE130" s="710"/>
      <c r="BF130" s="710"/>
      <c r="BG130" s="710"/>
      <c r="BH130" s="710"/>
      <c r="BI130" s="710"/>
      <c r="BJ130" s="710"/>
      <c r="BK130" s="710"/>
      <c r="BL130" s="710"/>
      <c r="BM130" s="710"/>
      <c r="BN130" s="710"/>
      <c r="BO130" s="710"/>
      <c r="BP130" s="710"/>
      <c r="BQ130" s="710"/>
      <c r="BR130" s="710"/>
      <c r="BS130" s="710"/>
      <c r="BT130" s="710"/>
    </row>
    <row r="131" spans="1:72" s="709" customFormat="1" ht="15.75">
      <c r="A131" s="545"/>
      <c r="B131" s="545"/>
      <c r="C131" s="545"/>
      <c r="D131" s="545"/>
      <c r="E131" s="545"/>
      <c r="F131" s="545"/>
      <c r="G131" s="545"/>
      <c r="H131" s="545"/>
      <c r="I131" s="545"/>
      <c r="J131" s="545"/>
      <c r="K131" s="545"/>
      <c r="L131" s="545"/>
      <c r="M131" s="545"/>
      <c r="N131" s="545"/>
      <c r="O131" s="545"/>
      <c r="P131" s="545"/>
      <c r="Q131" s="545"/>
      <c r="R131" s="545"/>
      <c r="S131" s="576"/>
      <c r="T131" s="576"/>
      <c r="U131" s="576"/>
      <c r="V131" s="576"/>
      <c r="W131" s="545"/>
      <c r="X131" s="545"/>
      <c r="Y131" s="576"/>
      <c r="Z131" s="576"/>
      <c r="AA131" s="545"/>
      <c r="AB131" s="545"/>
      <c r="AC131" s="545"/>
      <c r="AD131" s="576"/>
      <c r="AE131" s="576"/>
      <c r="AF131" s="576"/>
      <c r="AG131" s="576"/>
      <c r="AH131" s="576"/>
      <c r="AI131" s="576"/>
      <c r="AJ131" s="576"/>
      <c r="AK131" s="576"/>
      <c r="AL131" s="576"/>
      <c r="AM131" s="576"/>
      <c r="AN131" s="576"/>
      <c r="AO131" s="576"/>
      <c r="AP131" s="576"/>
      <c r="AQ131" s="576"/>
      <c r="AR131" s="576"/>
      <c r="AS131" s="576"/>
      <c r="AT131" s="576"/>
      <c r="AU131" s="576"/>
      <c r="AV131" s="576"/>
      <c r="AW131" s="576"/>
      <c r="AX131" s="576"/>
      <c r="AY131" s="576"/>
      <c r="AZ131" s="576"/>
      <c r="BA131" s="576"/>
      <c r="BB131" s="576"/>
      <c r="BC131" s="576"/>
      <c r="BD131" s="572"/>
      <c r="BE131" s="710"/>
      <c r="BF131" s="710"/>
      <c r="BG131" s="710"/>
      <c r="BH131" s="710"/>
      <c r="BI131" s="710"/>
      <c r="BJ131" s="710"/>
      <c r="BK131" s="710"/>
      <c r="BL131" s="710"/>
      <c r="BM131" s="710"/>
      <c r="BN131" s="710"/>
      <c r="BO131" s="710"/>
      <c r="BP131" s="710"/>
      <c r="BQ131" s="710"/>
      <c r="BR131" s="710"/>
      <c r="BS131" s="710"/>
      <c r="BT131" s="710"/>
    </row>
    <row r="132" spans="1:72" s="709" customFormat="1" ht="15.75">
      <c r="A132" s="545"/>
      <c r="B132" s="545"/>
      <c r="C132" s="545"/>
      <c r="D132" s="545"/>
      <c r="E132" s="545"/>
      <c r="F132" s="545"/>
      <c r="G132" s="545"/>
      <c r="H132" s="545"/>
      <c r="I132" s="545"/>
      <c r="J132" s="545"/>
      <c r="K132" s="545"/>
      <c r="L132" s="545"/>
      <c r="M132" s="545"/>
      <c r="N132" s="545"/>
      <c r="O132" s="545"/>
      <c r="P132" s="545"/>
      <c r="Q132" s="545"/>
      <c r="R132" s="545"/>
      <c r="S132" s="576"/>
      <c r="T132" s="576"/>
      <c r="U132" s="576"/>
      <c r="V132" s="576"/>
      <c r="W132" s="545"/>
      <c r="X132" s="545"/>
      <c r="Y132" s="576"/>
      <c r="Z132" s="576"/>
      <c r="AA132" s="545"/>
      <c r="AB132" s="545"/>
      <c r="AC132" s="545"/>
      <c r="AD132" s="576"/>
      <c r="AE132" s="576"/>
      <c r="AF132" s="576"/>
      <c r="AG132" s="576"/>
      <c r="AH132" s="576"/>
      <c r="AI132" s="576"/>
      <c r="AJ132" s="576"/>
      <c r="AK132" s="576"/>
      <c r="AL132" s="576"/>
      <c r="AM132" s="576"/>
      <c r="AN132" s="576"/>
      <c r="AO132" s="576"/>
      <c r="AP132" s="576"/>
      <c r="AQ132" s="576"/>
      <c r="AR132" s="576"/>
      <c r="AS132" s="576"/>
      <c r="AT132" s="576"/>
      <c r="AU132" s="576"/>
      <c r="AV132" s="576"/>
      <c r="AW132" s="576"/>
      <c r="AX132" s="576"/>
      <c r="AY132" s="576"/>
      <c r="AZ132" s="576"/>
      <c r="BA132" s="576"/>
      <c r="BB132" s="576"/>
      <c r="BC132" s="576"/>
      <c r="BD132" s="572"/>
      <c r="BE132" s="710"/>
      <c r="BF132" s="710"/>
      <c r="BG132" s="710"/>
      <c r="BH132" s="710"/>
      <c r="BI132" s="710"/>
      <c r="BJ132" s="710"/>
      <c r="BK132" s="710"/>
      <c r="BL132" s="710"/>
      <c r="BM132" s="710"/>
      <c r="BN132" s="710"/>
      <c r="BO132" s="710"/>
      <c r="BP132" s="710"/>
      <c r="BQ132" s="710"/>
      <c r="BR132" s="710"/>
      <c r="BS132" s="710"/>
      <c r="BT132" s="710"/>
    </row>
    <row r="133" spans="1:72" s="709" customFormat="1" ht="15.75">
      <c r="A133" s="545"/>
      <c r="B133" s="545"/>
      <c r="C133" s="545"/>
      <c r="D133" s="545"/>
      <c r="E133" s="545"/>
      <c r="F133" s="545"/>
      <c r="G133" s="545"/>
      <c r="H133" s="545"/>
      <c r="I133" s="545"/>
      <c r="J133" s="545"/>
      <c r="K133" s="545"/>
      <c r="L133" s="545"/>
      <c r="M133" s="545"/>
      <c r="N133" s="545"/>
      <c r="O133" s="545"/>
      <c r="P133" s="545"/>
      <c r="Q133" s="545"/>
      <c r="R133" s="545"/>
      <c r="S133" s="576"/>
      <c r="T133" s="576"/>
      <c r="U133" s="576"/>
      <c r="V133" s="576"/>
      <c r="W133" s="545"/>
      <c r="X133" s="545"/>
      <c r="Y133" s="576"/>
      <c r="Z133" s="576"/>
      <c r="AA133" s="545"/>
      <c r="AB133" s="545"/>
      <c r="AC133" s="545"/>
      <c r="AD133" s="576"/>
      <c r="AE133" s="576"/>
      <c r="AF133" s="576"/>
      <c r="AG133" s="576"/>
      <c r="AH133" s="576"/>
      <c r="AI133" s="576"/>
      <c r="AJ133" s="576"/>
      <c r="AK133" s="576"/>
      <c r="AL133" s="576"/>
      <c r="AM133" s="576"/>
      <c r="AN133" s="576"/>
      <c r="AO133" s="576"/>
      <c r="AP133" s="576"/>
      <c r="AQ133" s="576"/>
      <c r="AR133" s="576"/>
      <c r="AS133" s="576"/>
      <c r="AT133" s="576"/>
      <c r="AU133" s="576"/>
      <c r="AV133" s="576"/>
      <c r="AW133" s="576"/>
      <c r="AX133" s="576"/>
      <c r="AY133" s="576"/>
      <c r="AZ133" s="576"/>
      <c r="BA133" s="576"/>
      <c r="BB133" s="576"/>
      <c r="BC133" s="576"/>
      <c r="BD133" s="572"/>
      <c r="BE133" s="710"/>
      <c r="BF133" s="710"/>
      <c r="BG133" s="710"/>
      <c r="BH133" s="710"/>
      <c r="BI133" s="710"/>
      <c r="BJ133" s="710"/>
      <c r="BK133" s="710"/>
      <c r="BL133" s="710"/>
      <c r="BM133" s="710"/>
      <c r="BN133" s="710"/>
      <c r="BO133" s="710"/>
      <c r="BP133" s="710"/>
      <c r="BQ133" s="710"/>
      <c r="BR133" s="710"/>
      <c r="BS133" s="710"/>
      <c r="BT133" s="710"/>
    </row>
    <row r="134" spans="1:72" s="709" customFormat="1" ht="15.75">
      <c r="A134" s="545"/>
      <c r="B134" s="545"/>
      <c r="C134" s="545"/>
      <c r="D134" s="545"/>
      <c r="E134" s="545"/>
      <c r="F134" s="545"/>
      <c r="G134" s="545"/>
      <c r="H134" s="545"/>
      <c r="I134" s="545"/>
      <c r="J134" s="545"/>
      <c r="K134" s="545"/>
      <c r="L134" s="545"/>
      <c r="M134" s="545"/>
      <c r="N134" s="545"/>
      <c r="O134" s="545"/>
      <c r="P134" s="545"/>
      <c r="Q134" s="545"/>
      <c r="R134" s="545"/>
      <c r="S134" s="576"/>
      <c r="T134" s="576"/>
      <c r="U134" s="576"/>
      <c r="V134" s="576"/>
      <c r="W134" s="545"/>
      <c r="X134" s="545"/>
      <c r="Y134" s="576"/>
      <c r="Z134" s="576"/>
      <c r="AA134" s="545"/>
      <c r="AB134" s="545"/>
      <c r="AC134" s="545"/>
      <c r="AD134" s="576"/>
      <c r="AE134" s="576"/>
      <c r="AF134" s="576"/>
      <c r="AG134" s="576"/>
      <c r="AH134" s="576"/>
      <c r="AI134" s="576"/>
      <c r="AJ134" s="576"/>
      <c r="AK134" s="576"/>
      <c r="AL134" s="576"/>
      <c r="AM134" s="576"/>
      <c r="AN134" s="576"/>
      <c r="AO134" s="576"/>
      <c r="AP134" s="576"/>
      <c r="AQ134" s="576"/>
      <c r="AR134" s="576"/>
      <c r="AS134" s="576"/>
      <c r="AT134" s="576"/>
      <c r="AU134" s="576"/>
      <c r="AV134" s="576"/>
      <c r="AW134" s="576"/>
      <c r="AX134" s="576"/>
      <c r="AY134" s="576"/>
      <c r="AZ134" s="576"/>
      <c r="BA134" s="576"/>
      <c r="BB134" s="576"/>
      <c r="BC134" s="576"/>
      <c r="BD134" s="572"/>
      <c r="BE134" s="710"/>
      <c r="BF134" s="710"/>
      <c r="BG134" s="710"/>
      <c r="BH134" s="710"/>
      <c r="BI134" s="710"/>
      <c r="BJ134" s="710"/>
      <c r="BK134" s="710"/>
      <c r="BL134" s="710"/>
      <c r="BM134" s="710"/>
      <c r="BN134" s="710"/>
      <c r="BO134" s="710"/>
      <c r="BP134" s="710"/>
      <c r="BQ134" s="710"/>
      <c r="BR134" s="710"/>
      <c r="BS134" s="710"/>
      <c r="BT134" s="710"/>
    </row>
    <row r="135" spans="1:72" s="709" customFormat="1" ht="15.75">
      <c r="A135" s="545"/>
      <c r="B135" s="545"/>
      <c r="C135" s="545"/>
      <c r="D135" s="545"/>
      <c r="E135" s="545"/>
      <c r="F135" s="545"/>
      <c r="G135" s="545"/>
      <c r="H135" s="545"/>
      <c r="I135" s="545"/>
      <c r="J135" s="545"/>
      <c r="K135" s="545"/>
      <c r="L135" s="545"/>
      <c r="M135" s="545"/>
      <c r="N135" s="545"/>
      <c r="O135" s="545"/>
      <c r="P135" s="545"/>
      <c r="Q135" s="545"/>
      <c r="R135" s="545"/>
      <c r="S135" s="576"/>
      <c r="T135" s="576"/>
      <c r="U135" s="576"/>
      <c r="V135" s="576"/>
      <c r="W135" s="545"/>
      <c r="X135" s="545"/>
      <c r="Y135" s="576"/>
      <c r="Z135" s="576"/>
      <c r="AA135" s="545"/>
      <c r="AB135" s="545"/>
      <c r="AC135" s="545"/>
      <c r="AD135" s="576"/>
      <c r="AE135" s="576"/>
      <c r="AF135" s="576"/>
      <c r="AG135" s="576"/>
      <c r="AH135" s="576"/>
      <c r="AI135" s="576"/>
      <c r="AJ135" s="576"/>
      <c r="AK135" s="576"/>
      <c r="AL135" s="576"/>
      <c r="AM135" s="576"/>
      <c r="AN135" s="576"/>
      <c r="AO135" s="576"/>
      <c r="AP135" s="576"/>
      <c r="AQ135" s="576"/>
      <c r="AR135" s="576"/>
      <c r="AS135" s="576"/>
      <c r="AT135" s="576"/>
      <c r="AU135" s="576"/>
      <c r="AV135" s="576"/>
      <c r="AW135" s="576"/>
      <c r="AX135" s="576"/>
      <c r="AY135" s="576"/>
      <c r="AZ135" s="576"/>
      <c r="BA135" s="576"/>
      <c r="BB135" s="576"/>
      <c r="BC135" s="576"/>
      <c r="BD135" s="572"/>
      <c r="BE135" s="710"/>
      <c r="BF135" s="710"/>
      <c r="BG135" s="710"/>
      <c r="BH135" s="710"/>
      <c r="BI135" s="710"/>
      <c r="BJ135" s="710"/>
      <c r="BK135" s="710"/>
      <c r="BL135" s="710"/>
      <c r="BM135" s="710"/>
      <c r="BN135" s="710"/>
      <c r="BO135" s="710"/>
      <c r="BP135" s="710"/>
      <c r="BQ135" s="710"/>
      <c r="BR135" s="710"/>
      <c r="BS135" s="710"/>
      <c r="BT135" s="710"/>
    </row>
    <row r="136" spans="1:72" s="709" customFormat="1" ht="15.75">
      <c r="A136" s="545"/>
      <c r="B136" s="545"/>
      <c r="C136" s="545"/>
      <c r="D136" s="545"/>
      <c r="E136" s="545"/>
      <c r="F136" s="545"/>
      <c r="G136" s="545"/>
      <c r="H136" s="545"/>
      <c r="I136" s="545"/>
      <c r="J136" s="545"/>
      <c r="K136" s="545"/>
      <c r="L136" s="545"/>
      <c r="M136" s="545"/>
      <c r="N136" s="545"/>
      <c r="O136" s="545"/>
      <c r="P136" s="545"/>
      <c r="Q136" s="545"/>
      <c r="R136" s="545"/>
      <c r="S136" s="576"/>
      <c r="T136" s="576"/>
      <c r="U136" s="576"/>
      <c r="V136" s="576"/>
      <c r="W136" s="545"/>
      <c r="X136" s="545"/>
      <c r="Y136" s="576"/>
      <c r="Z136" s="576"/>
      <c r="AA136" s="545"/>
      <c r="AB136" s="545"/>
      <c r="AC136" s="545"/>
      <c r="AD136" s="576"/>
      <c r="AE136" s="576"/>
      <c r="AF136" s="576"/>
      <c r="AG136" s="576"/>
      <c r="AH136" s="576"/>
      <c r="AI136" s="576"/>
      <c r="AJ136" s="576"/>
      <c r="AK136" s="576"/>
      <c r="AL136" s="576"/>
      <c r="AM136" s="576"/>
      <c r="AN136" s="576"/>
      <c r="AO136" s="576"/>
      <c r="AP136" s="576"/>
      <c r="AQ136" s="576"/>
      <c r="AR136" s="576"/>
      <c r="AS136" s="576"/>
      <c r="AT136" s="576"/>
      <c r="AU136" s="576"/>
      <c r="AV136" s="576"/>
      <c r="AW136" s="576"/>
      <c r="AX136" s="576"/>
      <c r="AY136" s="576"/>
      <c r="AZ136" s="576"/>
      <c r="BA136" s="576"/>
      <c r="BB136" s="576"/>
      <c r="BC136" s="576"/>
      <c r="BD136" s="572"/>
      <c r="BE136" s="710"/>
      <c r="BF136" s="710"/>
      <c r="BG136" s="710"/>
      <c r="BH136" s="710"/>
      <c r="BI136" s="710"/>
      <c r="BJ136" s="710"/>
      <c r="BK136" s="710"/>
      <c r="BL136" s="710"/>
      <c r="BM136" s="710"/>
      <c r="BN136" s="710"/>
      <c r="BO136" s="710"/>
      <c r="BP136" s="710"/>
      <c r="BQ136" s="710"/>
      <c r="BR136" s="710"/>
      <c r="BS136" s="710"/>
      <c r="BT136" s="710"/>
    </row>
    <row r="137" spans="1:72" s="709" customFormat="1" ht="15.75">
      <c r="A137" s="545"/>
      <c r="B137" s="545"/>
      <c r="C137" s="545"/>
      <c r="D137" s="545"/>
      <c r="E137" s="545"/>
      <c r="F137" s="545"/>
      <c r="G137" s="545"/>
      <c r="H137" s="545"/>
      <c r="I137" s="545"/>
      <c r="J137" s="545"/>
      <c r="K137" s="545"/>
      <c r="L137" s="545"/>
      <c r="M137" s="545"/>
      <c r="N137" s="545"/>
      <c r="O137" s="545"/>
      <c r="P137" s="545"/>
      <c r="Q137" s="545"/>
      <c r="R137" s="545"/>
      <c r="S137" s="576"/>
      <c r="T137" s="576"/>
      <c r="U137" s="576"/>
      <c r="V137" s="576"/>
      <c r="W137" s="545"/>
      <c r="X137" s="545"/>
      <c r="Y137" s="576"/>
      <c r="Z137" s="576"/>
      <c r="AA137" s="545"/>
      <c r="AB137" s="545"/>
      <c r="AC137" s="545"/>
      <c r="AD137" s="576"/>
      <c r="AE137" s="576"/>
      <c r="AF137" s="576"/>
      <c r="AG137" s="576"/>
      <c r="AH137" s="576"/>
      <c r="AI137" s="576"/>
      <c r="AJ137" s="576"/>
      <c r="AK137" s="576"/>
      <c r="AL137" s="576"/>
      <c r="AM137" s="576"/>
      <c r="AN137" s="576"/>
      <c r="AO137" s="576"/>
      <c r="AP137" s="576"/>
      <c r="AQ137" s="576"/>
      <c r="AR137" s="576"/>
      <c r="AS137" s="576"/>
      <c r="AT137" s="576"/>
      <c r="AU137" s="576"/>
      <c r="AV137" s="576"/>
      <c r="AW137" s="576"/>
      <c r="AX137" s="576"/>
      <c r="AY137" s="576"/>
      <c r="AZ137" s="576"/>
      <c r="BA137" s="576"/>
      <c r="BB137" s="576"/>
      <c r="BC137" s="576"/>
      <c r="BD137" s="572"/>
      <c r="BE137" s="710"/>
      <c r="BF137" s="710"/>
      <c r="BG137" s="710"/>
      <c r="BH137" s="710"/>
      <c r="BI137" s="710"/>
      <c r="BJ137" s="710"/>
      <c r="BK137" s="710"/>
      <c r="BL137" s="710"/>
      <c r="BM137" s="710"/>
      <c r="BN137" s="710"/>
      <c r="BO137" s="710"/>
      <c r="BP137" s="710"/>
      <c r="BQ137" s="710"/>
      <c r="BR137" s="710"/>
      <c r="BS137" s="710"/>
      <c r="BT137" s="710"/>
    </row>
    <row r="138" spans="1:72" s="709" customFormat="1" ht="15.75">
      <c r="A138" s="545"/>
      <c r="B138" s="545"/>
      <c r="C138" s="545"/>
      <c r="D138" s="545"/>
      <c r="E138" s="545"/>
      <c r="F138" s="545"/>
      <c r="G138" s="545"/>
      <c r="H138" s="545"/>
      <c r="I138" s="545"/>
      <c r="J138" s="545"/>
      <c r="K138" s="545"/>
      <c r="L138" s="545"/>
      <c r="M138" s="545"/>
      <c r="N138" s="545"/>
      <c r="O138" s="545"/>
      <c r="P138" s="545"/>
      <c r="Q138" s="545"/>
      <c r="R138" s="545"/>
      <c r="S138" s="576"/>
      <c r="T138" s="576"/>
      <c r="U138" s="576"/>
      <c r="V138" s="576"/>
      <c r="W138" s="545"/>
      <c r="X138" s="545"/>
      <c r="Y138" s="576"/>
      <c r="Z138" s="576"/>
      <c r="AA138" s="545"/>
      <c r="AB138" s="545"/>
      <c r="AC138" s="545"/>
      <c r="AD138" s="576"/>
      <c r="AE138" s="576"/>
      <c r="AF138" s="576"/>
      <c r="AG138" s="576"/>
      <c r="AH138" s="576"/>
      <c r="AI138" s="576"/>
      <c r="AJ138" s="576"/>
      <c r="AK138" s="576"/>
      <c r="AL138" s="576"/>
      <c r="AM138" s="576"/>
      <c r="AN138" s="576"/>
      <c r="AO138" s="576"/>
      <c r="AP138" s="576"/>
      <c r="AQ138" s="576"/>
      <c r="AR138" s="576"/>
      <c r="AS138" s="576"/>
      <c r="AT138" s="576"/>
      <c r="AU138" s="576"/>
      <c r="AV138" s="576"/>
      <c r="AW138" s="576"/>
      <c r="AX138" s="576"/>
      <c r="AY138" s="576"/>
      <c r="AZ138" s="576"/>
      <c r="BA138" s="576"/>
      <c r="BB138" s="576"/>
      <c r="BC138" s="576"/>
      <c r="BD138" s="572"/>
      <c r="BE138" s="710"/>
      <c r="BF138" s="710"/>
      <c r="BG138" s="710"/>
      <c r="BH138" s="710"/>
      <c r="BI138" s="710"/>
      <c r="BJ138" s="710"/>
      <c r="BK138" s="710"/>
      <c r="BL138" s="710"/>
      <c r="BM138" s="710"/>
      <c r="BN138" s="710"/>
      <c r="BO138" s="710"/>
      <c r="BP138" s="710"/>
      <c r="BQ138" s="710"/>
      <c r="BR138" s="710"/>
      <c r="BS138" s="710"/>
      <c r="BT138" s="710"/>
    </row>
    <row r="139" spans="1:72" s="709" customFormat="1" ht="15.75">
      <c r="A139" s="545"/>
      <c r="B139" s="545"/>
      <c r="C139" s="545"/>
      <c r="D139" s="545"/>
      <c r="E139" s="545"/>
      <c r="F139" s="545"/>
      <c r="G139" s="545"/>
      <c r="H139" s="545"/>
      <c r="I139" s="545"/>
      <c r="J139" s="545"/>
      <c r="K139" s="545"/>
      <c r="L139" s="545"/>
      <c r="M139" s="545"/>
      <c r="N139" s="545"/>
      <c r="O139" s="545"/>
      <c r="P139" s="545"/>
      <c r="Q139" s="545"/>
      <c r="R139" s="545"/>
      <c r="S139" s="576"/>
      <c r="T139" s="576"/>
      <c r="U139" s="576"/>
      <c r="V139" s="576"/>
      <c r="W139" s="545"/>
      <c r="X139" s="545"/>
      <c r="Y139" s="576"/>
      <c r="Z139" s="576"/>
      <c r="AA139" s="545"/>
      <c r="AB139" s="545"/>
      <c r="AC139" s="545"/>
      <c r="AD139" s="576"/>
      <c r="AE139" s="576"/>
      <c r="AF139" s="576"/>
      <c r="AG139" s="576"/>
      <c r="AH139" s="576"/>
      <c r="AI139" s="576"/>
      <c r="AJ139" s="576"/>
      <c r="AK139" s="576"/>
      <c r="AL139" s="576"/>
      <c r="AM139" s="576"/>
      <c r="AN139" s="576"/>
      <c r="AO139" s="576"/>
      <c r="AP139" s="576"/>
      <c r="AQ139" s="576"/>
      <c r="AR139" s="576"/>
      <c r="AS139" s="576"/>
      <c r="AT139" s="576"/>
      <c r="AU139" s="576"/>
      <c r="AV139" s="576"/>
      <c r="AW139" s="576"/>
      <c r="AX139" s="576"/>
      <c r="AY139" s="576"/>
      <c r="AZ139" s="576"/>
      <c r="BA139" s="576"/>
      <c r="BB139" s="576"/>
      <c r="BC139" s="576"/>
      <c r="BD139" s="572"/>
      <c r="BE139" s="710"/>
      <c r="BF139" s="710"/>
      <c r="BG139" s="710"/>
      <c r="BH139" s="710"/>
      <c r="BI139" s="710"/>
      <c r="BJ139" s="710"/>
      <c r="BK139" s="710"/>
      <c r="BL139" s="710"/>
      <c r="BM139" s="710"/>
      <c r="BN139" s="710"/>
      <c r="BO139" s="710"/>
      <c r="BP139" s="710"/>
      <c r="BQ139" s="710"/>
      <c r="BR139" s="710"/>
      <c r="BS139" s="710"/>
      <c r="BT139" s="710"/>
    </row>
    <row r="140" spans="1:72" s="709" customFormat="1" ht="15.75">
      <c r="A140" s="545"/>
      <c r="B140" s="545"/>
      <c r="C140" s="545"/>
      <c r="D140" s="545"/>
      <c r="E140" s="545"/>
      <c r="F140" s="545"/>
      <c r="G140" s="545"/>
      <c r="H140" s="545"/>
      <c r="I140" s="545"/>
      <c r="J140" s="545"/>
      <c r="K140" s="545"/>
      <c r="L140" s="545"/>
      <c r="M140" s="545"/>
      <c r="N140" s="545"/>
      <c r="O140" s="545"/>
      <c r="P140" s="545"/>
      <c r="Q140" s="545"/>
      <c r="R140" s="545"/>
      <c r="S140" s="576"/>
      <c r="T140" s="576"/>
      <c r="U140" s="576"/>
      <c r="V140" s="576"/>
      <c r="W140" s="545"/>
      <c r="X140" s="545"/>
      <c r="Y140" s="576"/>
      <c r="Z140" s="576"/>
      <c r="AA140" s="545"/>
      <c r="AB140" s="545"/>
      <c r="AC140" s="545"/>
      <c r="AD140" s="576"/>
      <c r="AE140" s="576"/>
      <c r="AF140" s="576"/>
      <c r="AG140" s="576"/>
      <c r="AH140" s="576"/>
      <c r="AI140" s="576"/>
      <c r="AJ140" s="576"/>
      <c r="AK140" s="576"/>
      <c r="AL140" s="576"/>
      <c r="AM140" s="576"/>
      <c r="AN140" s="576"/>
      <c r="AO140" s="576"/>
      <c r="AP140" s="576"/>
      <c r="AQ140" s="576"/>
      <c r="AR140" s="576"/>
      <c r="AS140" s="576"/>
      <c r="AT140" s="576"/>
      <c r="AU140" s="576"/>
      <c r="AV140" s="576"/>
      <c r="AW140" s="576"/>
      <c r="AX140" s="576"/>
      <c r="AY140" s="576"/>
      <c r="AZ140" s="576"/>
      <c r="BA140" s="576"/>
      <c r="BB140" s="576"/>
      <c r="BC140" s="576"/>
      <c r="BD140" s="572"/>
      <c r="BE140" s="710"/>
      <c r="BF140" s="710"/>
      <c r="BG140" s="710"/>
      <c r="BH140" s="710"/>
      <c r="BI140" s="710"/>
      <c r="BJ140" s="710"/>
      <c r="BK140" s="710"/>
      <c r="BL140" s="710"/>
      <c r="BM140" s="710"/>
      <c r="BN140" s="710"/>
      <c r="BO140" s="710"/>
      <c r="BP140" s="710"/>
      <c r="BQ140" s="710"/>
      <c r="BR140" s="710"/>
      <c r="BS140" s="710"/>
      <c r="BT140" s="710"/>
    </row>
    <row r="141" spans="1:72" s="709" customFormat="1" ht="15.75">
      <c r="A141" s="545"/>
      <c r="B141" s="545"/>
      <c r="C141" s="545"/>
      <c r="D141" s="545"/>
      <c r="E141" s="545"/>
      <c r="F141" s="545"/>
      <c r="G141" s="545"/>
      <c r="H141" s="545"/>
      <c r="I141" s="545"/>
      <c r="J141" s="545"/>
      <c r="K141" s="545"/>
      <c r="L141" s="545"/>
      <c r="M141" s="545"/>
      <c r="N141" s="545"/>
      <c r="O141" s="545"/>
      <c r="P141" s="545"/>
      <c r="Q141" s="545"/>
      <c r="R141" s="545"/>
      <c r="S141" s="576"/>
      <c r="T141" s="576"/>
      <c r="U141" s="576"/>
      <c r="V141" s="576"/>
      <c r="W141" s="545"/>
      <c r="X141" s="545"/>
      <c r="Y141" s="576"/>
      <c r="Z141" s="576"/>
      <c r="AA141" s="545"/>
      <c r="AB141" s="545"/>
      <c r="AC141" s="545"/>
      <c r="AD141" s="576"/>
      <c r="AE141" s="576"/>
      <c r="AF141" s="576"/>
      <c r="AG141" s="576"/>
      <c r="AH141" s="576"/>
      <c r="AI141" s="576"/>
      <c r="AJ141" s="576"/>
      <c r="AK141" s="576"/>
      <c r="AL141" s="576"/>
      <c r="AM141" s="576"/>
      <c r="AN141" s="576"/>
      <c r="AO141" s="576"/>
      <c r="AP141" s="576"/>
      <c r="AQ141" s="576"/>
      <c r="AR141" s="576"/>
      <c r="AS141" s="576"/>
      <c r="AT141" s="576"/>
      <c r="AU141" s="576"/>
      <c r="AV141" s="576"/>
      <c r="AW141" s="576"/>
      <c r="AX141" s="576"/>
      <c r="AY141" s="576"/>
      <c r="AZ141" s="576"/>
      <c r="BA141" s="576"/>
      <c r="BB141" s="576"/>
      <c r="BC141" s="576"/>
      <c r="BD141" s="572"/>
      <c r="BE141" s="710"/>
      <c r="BF141" s="710"/>
      <c r="BG141" s="710"/>
      <c r="BH141" s="710"/>
      <c r="BI141" s="710"/>
      <c r="BJ141" s="710"/>
      <c r="BK141" s="710"/>
      <c r="BL141" s="710"/>
      <c r="BM141" s="710"/>
      <c r="BN141" s="710"/>
      <c r="BO141" s="710"/>
      <c r="BP141" s="710"/>
      <c r="BQ141" s="710"/>
      <c r="BR141" s="710"/>
      <c r="BS141" s="710"/>
      <c r="BT141" s="710"/>
    </row>
    <row r="142" spans="1:72" s="709" customFormat="1" ht="15.75">
      <c r="A142" s="545"/>
      <c r="B142" s="545"/>
      <c r="C142" s="545"/>
      <c r="D142" s="545"/>
      <c r="E142" s="545"/>
      <c r="F142" s="545"/>
      <c r="G142" s="545"/>
      <c r="H142" s="545"/>
      <c r="I142" s="545"/>
      <c r="J142" s="545"/>
      <c r="K142" s="545"/>
      <c r="L142" s="545"/>
      <c r="M142" s="545"/>
      <c r="N142" s="545"/>
      <c r="O142" s="545"/>
      <c r="P142" s="545"/>
      <c r="Q142" s="545"/>
      <c r="R142" s="545"/>
      <c r="S142" s="576"/>
      <c r="T142" s="576"/>
      <c r="U142" s="576"/>
      <c r="V142" s="576"/>
      <c r="W142" s="545"/>
      <c r="X142" s="545"/>
      <c r="Y142" s="576"/>
      <c r="Z142" s="576"/>
      <c r="AA142" s="545"/>
      <c r="AB142" s="545"/>
      <c r="AC142" s="545"/>
      <c r="AD142" s="576"/>
      <c r="AE142" s="576"/>
      <c r="AF142" s="576"/>
      <c r="AG142" s="576"/>
      <c r="AH142" s="576"/>
      <c r="AI142" s="576"/>
      <c r="AJ142" s="576"/>
      <c r="AK142" s="576"/>
      <c r="AL142" s="576"/>
      <c r="AM142" s="576"/>
      <c r="AN142" s="576"/>
      <c r="AO142" s="576"/>
      <c r="AP142" s="576"/>
      <c r="AQ142" s="576"/>
      <c r="AR142" s="576"/>
      <c r="AS142" s="576"/>
      <c r="AT142" s="576"/>
      <c r="AU142" s="576"/>
      <c r="AV142" s="576"/>
      <c r="AW142" s="576"/>
      <c r="AX142" s="576"/>
      <c r="AY142" s="576"/>
      <c r="AZ142" s="576"/>
      <c r="BA142" s="576"/>
      <c r="BB142" s="576"/>
      <c r="BC142" s="576"/>
      <c r="BD142" s="572"/>
      <c r="BE142" s="710"/>
      <c r="BF142" s="710"/>
      <c r="BG142" s="710"/>
      <c r="BH142" s="710"/>
      <c r="BI142" s="710"/>
      <c r="BJ142" s="710"/>
      <c r="BK142" s="710"/>
      <c r="BL142" s="710"/>
      <c r="BM142" s="710"/>
      <c r="BN142" s="710"/>
      <c r="BO142" s="710"/>
      <c r="BP142" s="710"/>
      <c r="BQ142" s="710"/>
      <c r="BR142" s="710"/>
      <c r="BS142" s="710"/>
      <c r="BT142" s="710"/>
    </row>
    <row r="143" spans="1:72" s="709" customFormat="1" ht="15.75">
      <c r="A143" s="545"/>
      <c r="B143" s="545"/>
      <c r="C143" s="545"/>
      <c r="D143" s="545"/>
      <c r="E143" s="545"/>
      <c r="F143" s="545"/>
      <c r="G143" s="545"/>
      <c r="H143" s="545"/>
      <c r="I143" s="545"/>
      <c r="J143" s="545"/>
      <c r="K143" s="545"/>
      <c r="L143" s="545"/>
      <c r="M143" s="545"/>
      <c r="N143" s="545"/>
      <c r="O143" s="545"/>
      <c r="P143" s="545"/>
      <c r="Q143" s="545"/>
      <c r="R143" s="545"/>
      <c r="S143" s="576"/>
      <c r="T143" s="576"/>
      <c r="U143" s="576"/>
      <c r="V143" s="576"/>
      <c r="W143" s="545"/>
      <c r="X143" s="545"/>
      <c r="Y143" s="576"/>
      <c r="Z143" s="576"/>
      <c r="AA143" s="545"/>
      <c r="AB143" s="545"/>
      <c r="AC143" s="545"/>
      <c r="AD143" s="576"/>
      <c r="AE143" s="576"/>
      <c r="AF143" s="576"/>
      <c r="AG143" s="576"/>
      <c r="AH143" s="576"/>
      <c r="AI143" s="576"/>
      <c r="AJ143" s="576"/>
      <c r="AK143" s="576"/>
      <c r="AL143" s="576"/>
      <c r="AM143" s="576"/>
      <c r="AN143" s="576"/>
      <c r="AO143" s="576"/>
      <c r="AP143" s="576"/>
      <c r="AQ143" s="576"/>
      <c r="AR143" s="576"/>
      <c r="AS143" s="576"/>
      <c r="AT143" s="576"/>
      <c r="AU143" s="576"/>
      <c r="AV143" s="576"/>
      <c r="AW143" s="576"/>
      <c r="AX143" s="576"/>
      <c r="AY143" s="576"/>
      <c r="AZ143" s="576"/>
      <c r="BA143" s="576"/>
      <c r="BB143" s="576"/>
      <c r="BC143" s="576"/>
      <c r="BD143" s="572"/>
      <c r="BE143" s="710"/>
      <c r="BF143" s="710"/>
      <c r="BG143" s="710"/>
      <c r="BH143" s="710"/>
      <c r="BI143" s="710"/>
      <c r="BJ143" s="710"/>
      <c r="BK143" s="710"/>
      <c r="BL143" s="710"/>
      <c r="BM143" s="710"/>
      <c r="BN143" s="710"/>
      <c r="BO143" s="710"/>
      <c r="BP143" s="710"/>
      <c r="BQ143" s="710"/>
      <c r="BR143" s="710"/>
      <c r="BS143" s="710"/>
      <c r="BT143" s="710"/>
    </row>
    <row r="144" spans="1:72" s="709" customFormat="1" ht="15.75">
      <c r="A144" s="545"/>
      <c r="B144" s="545"/>
      <c r="C144" s="545"/>
      <c r="D144" s="545"/>
      <c r="E144" s="545"/>
      <c r="F144" s="545"/>
      <c r="G144" s="545"/>
      <c r="H144" s="545"/>
      <c r="I144" s="545"/>
      <c r="J144" s="545"/>
      <c r="K144" s="545"/>
      <c r="L144" s="545"/>
      <c r="M144" s="545"/>
      <c r="N144" s="545"/>
      <c r="O144" s="545"/>
      <c r="P144" s="545"/>
      <c r="Q144" s="545"/>
      <c r="R144" s="545"/>
      <c r="S144" s="576"/>
      <c r="T144" s="576"/>
      <c r="U144" s="576"/>
      <c r="V144" s="576"/>
      <c r="W144" s="545"/>
      <c r="X144" s="545"/>
      <c r="Y144" s="576"/>
      <c r="Z144" s="576"/>
      <c r="AA144" s="545"/>
      <c r="AB144" s="545"/>
      <c r="AC144" s="545"/>
      <c r="AD144" s="576"/>
      <c r="AE144" s="576"/>
      <c r="AF144" s="576"/>
      <c r="AG144" s="576"/>
      <c r="AH144" s="576"/>
      <c r="AI144" s="576"/>
      <c r="AJ144" s="576"/>
      <c r="AK144" s="576"/>
      <c r="AL144" s="576"/>
      <c r="AM144" s="576"/>
      <c r="AN144" s="576"/>
      <c r="AO144" s="576"/>
      <c r="AP144" s="576"/>
      <c r="AQ144" s="576"/>
      <c r="AR144" s="576"/>
      <c r="AS144" s="576"/>
      <c r="AT144" s="576"/>
      <c r="AU144" s="576"/>
      <c r="AV144" s="576"/>
      <c r="AW144" s="576"/>
      <c r="AX144" s="576"/>
      <c r="AY144" s="576"/>
      <c r="AZ144" s="576"/>
      <c r="BA144" s="576"/>
      <c r="BB144" s="576"/>
      <c r="BC144" s="576"/>
      <c r="BD144" s="572"/>
      <c r="BE144" s="710"/>
      <c r="BF144" s="710"/>
      <c r="BG144" s="710"/>
      <c r="BH144" s="710"/>
      <c r="BI144" s="710"/>
      <c r="BJ144" s="710"/>
      <c r="BK144" s="710"/>
      <c r="BL144" s="710"/>
      <c r="BM144" s="710"/>
      <c r="BN144" s="710"/>
      <c r="BO144" s="710"/>
      <c r="BP144" s="710"/>
      <c r="BQ144" s="710"/>
      <c r="BR144" s="710"/>
      <c r="BS144" s="710"/>
      <c r="BT144" s="710"/>
    </row>
    <row r="145" spans="1:72" s="709" customFormat="1" ht="15.75">
      <c r="A145" s="545"/>
      <c r="B145" s="545"/>
      <c r="C145" s="545"/>
      <c r="D145" s="545"/>
      <c r="E145" s="545"/>
      <c r="F145" s="545"/>
      <c r="G145" s="545"/>
      <c r="H145" s="545"/>
      <c r="I145" s="545"/>
      <c r="J145" s="545"/>
      <c r="K145" s="545"/>
      <c r="L145" s="545"/>
      <c r="M145" s="545"/>
      <c r="N145" s="545"/>
      <c r="O145" s="545"/>
      <c r="P145" s="545"/>
      <c r="Q145" s="545"/>
      <c r="R145" s="545"/>
      <c r="S145" s="576"/>
      <c r="T145" s="576"/>
      <c r="U145" s="576"/>
      <c r="V145" s="576"/>
      <c r="W145" s="545"/>
      <c r="X145" s="545"/>
      <c r="Y145" s="576"/>
      <c r="Z145" s="576"/>
      <c r="AA145" s="545"/>
      <c r="AB145" s="545"/>
      <c r="AC145" s="545"/>
      <c r="AD145" s="576"/>
      <c r="AE145" s="576"/>
      <c r="AF145" s="576"/>
      <c r="AG145" s="576"/>
      <c r="AH145" s="576"/>
      <c r="AI145" s="576"/>
      <c r="AJ145" s="576"/>
      <c r="AK145" s="576"/>
      <c r="AL145" s="576"/>
      <c r="AM145" s="576"/>
      <c r="AN145" s="576"/>
      <c r="AO145" s="576"/>
      <c r="AP145" s="576"/>
      <c r="AQ145" s="576"/>
      <c r="AR145" s="576"/>
      <c r="AS145" s="576"/>
      <c r="AT145" s="576"/>
      <c r="AU145" s="576"/>
      <c r="AV145" s="576"/>
      <c r="AW145" s="576"/>
      <c r="AX145" s="576"/>
      <c r="AY145" s="576"/>
      <c r="AZ145" s="576"/>
      <c r="BA145" s="576"/>
      <c r="BB145" s="576"/>
      <c r="BC145" s="576"/>
      <c r="BD145" s="572"/>
      <c r="BE145" s="710"/>
      <c r="BF145" s="710"/>
      <c r="BG145" s="710"/>
      <c r="BH145" s="710"/>
      <c r="BI145" s="710"/>
      <c r="BJ145" s="710"/>
      <c r="BK145" s="710"/>
      <c r="BL145" s="710"/>
      <c r="BM145" s="710"/>
      <c r="BN145" s="710"/>
      <c r="BO145" s="710"/>
      <c r="BP145" s="710"/>
      <c r="BQ145" s="710"/>
      <c r="BR145" s="710"/>
      <c r="BS145" s="710"/>
      <c r="BT145" s="710"/>
    </row>
    <row r="146" spans="1:72" s="709" customFormat="1" ht="15.75">
      <c r="A146" s="545"/>
      <c r="B146" s="545"/>
      <c r="C146" s="545"/>
      <c r="D146" s="545"/>
      <c r="E146" s="545"/>
      <c r="F146" s="545"/>
      <c r="G146" s="545"/>
      <c r="H146" s="545"/>
      <c r="I146" s="545"/>
      <c r="J146" s="545"/>
      <c r="K146" s="545"/>
      <c r="L146" s="545"/>
      <c r="M146" s="545"/>
      <c r="N146" s="545"/>
      <c r="O146" s="545"/>
      <c r="P146" s="545"/>
      <c r="Q146" s="545"/>
      <c r="R146" s="545"/>
      <c r="S146" s="576"/>
      <c r="T146" s="576"/>
      <c r="U146" s="576"/>
      <c r="V146" s="576"/>
      <c r="W146" s="545"/>
      <c r="X146" s="545"/>
      <c r="Y146" s="576"/>
      <c r="Z146" s="576"/>
      <c r="AA146" s="545"/>
      <c r="AB146" s="545"/>
      <c r="AC146" s="545"/>
      <c r="AD146" s="576"/>
      <c r="AE146" s="576"/>
      <c r="AF146" s="576"/>
      <c r="AG146" s="576"/>
      <c r="AH146" s="576"/>
      <c r="AI146" s="576"/>
      <c r="AJ146" s="576"/>
      <c r="AK146" s="576"/>
      <c r="AL146" s="576"/>
      <c r="AM146" s="576"/>
      <c r="AN146" s="576"/>
      <c r="AO146" s="576"/>
      <c r="AP146" s="576"/>
      <c r="AQ146" s="576"/>
      <c r="AR146" s="576"/>
      <c r="AS146" s="576"/>
      <c r="AT146" s="576"/>
      <c r="AU146" s="576"/>
      <c r="AV146" s="576"/>
      <c r="AW146" s="576"/>
      <c r="AX146" s="576"/>
      <c r="AY146" s="576"/>
      <c r="AZ146" s="576"/>
      <c r="BA146" s="576"/>
      <c r="BB146" s="576"/>
      <c r="BC146" s="576"/>
      <c r="BD146" s="572"/>
      <c r="BE146" s="710"/>
      <c r="BF146" s="710"/>
      <c r="BG146" s="710"/>
      <c r="BH146" s="710"/>
      <c r="BI146" s="710"/>
      <c r="BJ146" s="710"/>
      <c r="BK146" s="710"/>
      <c r="BL146" s="710"/>
      <c r="BM146" s="710"/>
      <c r="BN146" s="710"/>
      <c r="BO146" s="710"/>
      <c r="BP146" s="710"/>
      <c r="BQ146" s="710"/>
      <c r="BR146" s="710"/>
      <c r="BS146" s="710"/>
      <c r="BT146" s="710"/>
    </row>
    <row r="147" spans="1:72" s="709" customFormat="1" ht="15.75">
      <c r="A147" s="545"/>
      <c r="B147" s="545"/>
      <c r="C147" s="545"/>
      <c r="D147" s="545"/>
      <c r="E147" s="545"/>
      <c r="F147" s="545"/>
      <c r="G147" s="545"/>
      <c r="H147" s="545"/>
      <c r="I147" s="545"/>
      <c r="J147" s="545"/>
      <c r="K147" s="545"/>
      <c r="L147" s="545"/>
      <c r="M147" s="545"/>
      <c r="N147" s="545"/>
      <c r="O147" s="545"/>
      <c r="P147" s="545"/>
      <c r="Q147" s="545"/>
      <c r="R147" s="545"/>
      <c r="S147" s="576"/>
      <c r="T147" s="576"/>
      <c r="U147" s="576"/>
      <c r="V147" s="576"/>
      <c r="W147" s="545"/>
      <c r="X147" s="545"/>
      <c r="Y147" s="576"/>
      <c r="Z147" s="576"/>
      <c r="AA147" s="545"/>
      <c r="AB147" s="545"/>
      <c r="AC147" s="545"/>
      <c r="AD147" s="576"/>
      <c r="AE147" s="576"/>
      <c r="AF147" s="576"/>
      <c r="AG147" s="576"/>
      <c r="AH147" s="576"/>
      <c r="AI147" s="576"/>
      <c r="AJ147" s="576"/>
      <c r="AK147" s="576"/>
      <c r="AL147" s="576"/>
      <c r="AM147" s="576"/>
      <c r="AN147" s="576"/>
      <c r="AO147" s="576"/>
      <c r="AP147" s="576"/>
      <c r="AQ147" s="576"/>
      <c r="AR147" s="576"/>
      <c r="AS147" s="576"/>
      <c r="AT147" s="576"/>
      <c r="AU147" s="576"/>
      <c r="AV147" s="576"/>
      <c r="AW147" s="576"/>
      <c r="AX147" s="576"/>
      <c r="AY147" s="576"/>
      <c r="AZ147" s="576"/>
      <c r="BA147" s="576"/>
      <c r="BB147" s="576"/>
      <c r="BC147" s="576"/>
      <c r="BD147" s="572"/>
      <c r="BE147" s="710"/>
      <c r="BF147" s="710"/>
      <c r="BG147" s="710"/>
      <c r="BH147" s="710"/>
      <c r="BI147" s="710"/>
      <c r="BJ147" s="710"/>
      <c r="BK147" s="710"/>
      <c r="BL147" s="710"/>
      <c r="BM147" s="710"/>
      <c r="BN147" s="710"/>
      <c r="BO147" s="710"/>
      <c r="BP147" s="710"/>
      <c r="BQ147" s="710"/>
      <c r="BR147" s="710"/>
      <c r="BS147" s="710"/>
      <c r="BT147" s="710"/>
    </row>
    <row r="148" spans="1:72" s="709" customFormat="1" ht="15.75">
      <c r="A148" s="545"/>
      <c r="B148" s="545"/>
      <c r="C148" s="545"/>
      <c r="D148" s="545"/>
      <c r="E148" s="545"/>
      <c r="F148" s="545"/>
      <c r="G148" s="545"/>
      <c r="H148" s="545"/>
      <c r="I148" s="545"/>
      <c r="J148" s="545"/>
      <c r="K148" s="545"/>
      <c r="L148" s="545"/>
      <c r="M148" s="545"/>
      <c r="N148" s="545"/>
      <c r="O148" s="545"/>
      <c r="P148" s="545"/>
      <c r="Q148" s="545"/>
      <c r="R148" s="545"/>
      <c r="S148" s="576"/>
      <c r="T148" s="576"/>
      <c r="U148" s="576"/>
      <c r="V148" s="576"/>
      <c r="W148" s="545"/>
      <c r="X148" s="545"/>
      <c r="Y148" s="576"/>
      <c r="Z148" s="576"/>
      <c r="AA148" s="545"/>
      <c r="AB148" s="545"/>
      <c r="AC148" s="545"/>
      <c r="AD148" s="576"/>
      <c r="AE148" s="576"/>
      <c r="AF148" s="576"/>
      <c r="AG148" s="576"/>
      <c r="AH148" s="576"/>
      <c r="AI148" s="576"/>
      <c r="AJ148" s="576"/>
      <c r="AK148" s="576"/>
      <c r="AL148" s="576"/>
      <c r="AM148" s="576"/>
      <c r="AN148" s="576"/>
      <c r="AO148" s="576"/>
      <c r="AP148" s="576"/>
      <c r="AQ148" s="576"/>
      <c r="AR148" s="576"/>
      <c r="AS148" s="576"/>
      <c r="AT148" s="576"/>
      <c r="AU148" s="576"/>
      <c r="AV148" s="576"/>
      <c r="AW148" s="576"/>
      <c r="AX148" s="576"/>
      <c r="AY148" s="576"/>
      <c r="AZ148" s="576"/>
      <c r="BA148" s="576"/>
      <c r="BB148" s="576"/>
      <c r="BC148" s="576"/>
      <c r="BD148" s="572"/>
      <c r="BE148" s="710"/>
      <c r="BF148" s="710"/>
      <c r="BG148" s="710"/>
      <c r="BH148" s="710"/>
      <c r="BI148" s="710"/>
      <c r="BJ148" s="710"/>
      <c r="BK148" s="710"/>
      <c r="BL148" s="710"/>
      <c r="BM148" s="710"/>
      <c r="BN148" s="710"/>
      <c r="BO148" s="710"/>
      <c r="BP148" s="710"/>
      <c r="BQ148" s="710"/>
      <c r="BR148" s="710"/>
      <c r="BS148" s="710"/>
      <c r="BT148" s="710"/>
    </row>
    <row r="149" spans="1:72" s="709" customFormat="1" ht="15.75">
      <c r="A149" s="545"/>
      <c r="B149" s="545"/>
      <c r="C149" s="545"/>
      <c r="D149" s="545"/>
      <c r="E149" s="545"/>
      <c r="F149" s="545"/>
      <c r="G149" s="545"/>
      <c r="H149" s="545"/>
      <c r="I149" s="545"/>
      <c r="J149" s="545"/>
      <c r="K149" s="545"/>
      <c r="L149" s="545"/>
      <c r="M149" s="545"/>
      <c r="N149" s="545"/>
      <c r="O149" s="545"/>
      <c r="P149" s="545"/>
      <c r="Q149" s="545"/>
      <c r="R149" s="545"/>
      <c r="S149" s="576"/>
      <c r="T149" s="576"/>
      <c r="U149" s="576"/>
      <c r="V149" s="576"/>
      <c r="W149" s="545"/>
      <c r="X149" s="545"/>
      <c r="Y149" s="576"/>
      <c r="Z149" s="576"/>
      <c r="AA149" s="545"/>
      <c r="AB149" s="545"/>
      <c r="AC149" s="545"/>
      <c r="AD149" s="576"/>
      <c r="AE149" s="576"/>
      <c r="AF149" s="576"/>
      <c r="AG149" s="576"/>
      <c r="AH149" s="576"/>
      <c r="AI149" s="576"/>
      <c r="AJ149" s="576"/>
      <c r="AK149" s="576"/>
      <c r="AL149" s="576"/>
      <c r="AM149" s="576"/>
      <c r="AN149" s="576"/>
      <c r="AO149" s="576"/>
      <c r="AP149" s="576"/>
      <c r="AQ149" s="576"/>
      <c r="AR149" s="576"/>
      <c r="AS149" s="576"/>
      <c r="AT149" s="576"/>
      <c r="AU149" s="576"/>
      <c r="AV149" s="576"/>
      <c r="AW149" s="576"/>
      <c r="AX149" s="576"/>
      <c r="AY149" s="576"/>
      <c r="AZ149" s="576"/>
      <c r="BA149" s="576"/>
      <c r="BB149" s="576"/>
      <c r="BC149" s="576"/>
      <c r="BD149" s="572"/>
      <c r="BE149" s="710"/>
      <c r="BF149" s="710"/>
      <c r="BG149" s="710"/>
      <c r="BH149" s="710"/>
      <c r="BI149" s="710"/>
      <c r="BJ149" s="710"/>
      <c r="BK149" s="710"/>
      <c r="BL149" s="710"/>
      <c r="BM149" s="710"/>
      <c r="BN149" s="710"/>
      <c r="BO149" s="710"/>
      <c r="BP149" s="710"/>
      <c r="BQ149" s="710"/>
      <c r="BR149" s="710"/>
      <c r="BS149" s="710"/>
      <c r="BT149" s="710"/>
    </row>
    <row r="150" spans="1:72" s="709" customFormat="1" ht="15.75">
      <c r="A150" s="545"/>
      <c r="B150" s="545"/>
      <c r="C150" s="545"/>
      <c r="D150" s="545"/>
      <c r="E150" s="545"/>
      <c r="F150" s="545"/>
      <c r="G150" s="545"/>
      <c r="H150" s="545"/>
      <c r="I150" s="545"/>
      <c r="J150" s="545"/>
      <c r="K150" s="545"/>
      <c r="L150" s="545"/>
      <c r="M150" s="545"/>
      <c r="N150" s="545"/>
      <c r="O150" s="545"/>
      <c r="P150" s="545"/>
      <c r="Q150" s="545"/>
      <c r="R150" s="545"/>
      <c r="S150" s="576"/>
      <c r="T150" s="576"/>
      <c r="U150" s="576"/>
      <c r="V150" s="576"/>
      <c r="W150" s="545"/>
      <c r="X150" s="545"/>
      <c r="Y150" s="576"/>
      <c r="Z150" s="576"/>
      <c r="AA150" s="545"/>
      <c r="AB150" s="545"/>
      <c r="AC150" s="545"/>
      <c r="AD150" s="576"/>
      <c r="AE150" s="576"/>
      <c r="AF150" s="576"/>
      <c r="AG150" s="576"/>
      <c r="AH150" s="576"/>
      <c r="AI150" s="576"/>
      <c r="AJ150" s="576"/>
      <c r="AK150" s="576"/>
      <c r="AL150" s="576"/>
      <c r="AM150" s="576"/>
      <c r="AN150" s="576"/>
      <c r="AO150" s="576"/>
      <c r="AP150" s="576"/>
      <c r="AQ150" s="576"/>
      <c r="AR150" s="576"/>
      <c r="AS150" s="576"/>
      <c r="AT150" s="576"/>
      <c r="AU150" s="576"/>
      <c r="AV150" s="576"/>
      <c r="AW150" s="576"/>
      <c r="AX150" s="576"/>
      <c r="AY150" s="576"/>
      <c r="AZ150" s="576"/>
      <c r="BA150" s="576"/>
      <c r="BB150" s="576"/>
      <c r="BC150" s="576"/>
      <c r="BD150" s="572"/>
      <c r="BE150" s="710"/>
      <c r="BF150" s="710"/>
      <c r="BG150" s="710"/>
      <c r="BH150" s="710"/>
      <c r="BI150" s="710"/>
      <c r="BJ150" s="710"/>
      <c r="BK150" s="710"/>
      <c r="BL150" s="710"/>
      <c r="BM150" s="710"/>
      <c r="BN150" s="710"/>
      <c r="BO150" s="710"/>
      <c r="BP150" s="710"/>
      <c r="BQ150" s="710"/>
      <c r="BR150" s="710"/>
      <c r="BS150" s="710"/>
      <c r="BT150" s="710"/>
    </row>
    <row r="151" spans="1:72" s="709" customFormat="1" ht="15.75">
      <c r="A151" s="545"/>
      <c r="B151" s="545"/>
      <c r="C151" s="545"/>
      <c r="D151" s="545"/>
      <c r="E151" s="545"/>
      <c r="F151" s="545"/>
      <c r="G151" s="545"/>
      <c r="H151" s="545"/>
      <c r="I151" s="545"/>
      <c r="J151" s="545"/>
      <c r="K151" s="545"/>
      <c r="L151" s="545"/>
      <c r="M151" s="545"/>
      <c r="N151" s="545"/>
      <c r="O151" s="545"/>
      <c r="P151" s="545"/>
      <c r="Q151" s="545"/>
      <c r="R151" s="545"/>
      <c r="S151" s="576"/>
      <c r="T151" s="576"/>
      <c r="U151" s="576"/>
      <c r="V151" s="576"/>
      <c r="W151" s="545"/>
      <c r="X151" s="545"/>
      <c r="Y151" s="576"/>
      <c r="Z151" s="576"/>
      <c r="AA151" s="545"/>
      <c r="AB151" s="545"/>
      <c r="AC151" s="545"/>
      <c r="AD151" s="576"/>
      <c r="AE151" s="576"/>
      <c r="AF151" s="576"/>
      <c r="AG151" s="576"/>
      <c r="AH151" s="576"/>
      <c r="AI151" s="576"/>
      <c r="AJ151" s="576"/>
      <c r="AK151" s="576"/>
      <c r="AL151" s="576"/>
      <c r="AM151" s="576"/>
      <c r="AN151" s="576"/>
      <c r="AO151" s="576"/>
      <c r="AP151" s="576"/>
      <c r="AQ151" s="576"/>
      <c r="AR151" s="576"/>
      <c r="AS151" s="576"/>
      <c r="AT151" s="576"/>
      <c r="AU151" s="576"/>
      <c r="AV151" s="576"/>
      <c r="AW151" s="576"/>
      <c r="AX151" s="576"/>
      <c r="AY151" s="576"/>
      <c r="AZ151" s="576"/>
      <c r="BA151" s="576"/>
      <c r="BB151" s="576"/>
      <c r="BC151" s="576"/>
      <c r="BD151" s="572"/>
      <c r="BE151" s="710"/>
      <c r="BF151" s="710"/>
      <c r="BG151" s="710"/>
      <c r="BH151" s="710"/>
      <c r="BI151" s="710"/>
      <c r="BJ151" s="710"/>
      <c r="BK151" s="710"/>
      <c r="BL151" s="710"/>
      <c r="BM151" s="710"/>
      <c r="BN151" s="710"/>
      <c r="BO151" s="710"/>
      <c r="BP151" s="710"/>
      <c r="BQ151" s="710"/>
      <c r="BR151" s="710"/>
      <c r="BS151" s="710"/>
      <c r="BT151" s="710"/>
    </row>
    <row r="152" spans="1:72" s="709" customFormat="1" ht="15.75">
      <c r="A152" s="545"/>
      <c r="B152" s="545"/>
      <c r="C152" s="545"/>
      <c r="D152" s="545"/>
      <c r="E152" s="545"/>
      <c r="F152" s="545"/>
      <c r="G152" s="545"/>
      <c r="H152" s="545"/>
      <c r="I152" s="545"/>
      <c r="J152" s="545"/>
      <c r="K152" s="545"/>
      <c r="L152" s="545"/>
      <c r="M152" s="545"/>
      <c r="N152" s="545"/>
      <c r="O152" s="545"/>
      <c r="P152" s="545"/>
      <c r="Q152" s="545"/>
      <c r="R152" s="545"/>
      <c r="S152" s="576"/>
      <c r="T152" s="576"/>
      <c r="U152" s="576"/>
      <c r="V152" s="576"/>
      <c r="W152" s="545"/>
      <c r="X152" s="545"/>
      <c r="Y152" s="576"/>
      <c r="Z152" s="576"/>
      <c r="AA152" s="545"/>
      <c r="AB152" s="545"/>
      <c r="AC152" s="545"/>
      <c r="AD152" s="576"/>
      <c r="AE152" s="576"/>
      <c r="AF152" s="576"/>
      <c r="AG152" s="576"/>
      <c r="AH152" s="576"/>
      <c r="AI152" s="576"/>
      <c r="AJ152" s="576"/>
      <c r="AK152" s="576"/>
      <c r="AL152" s="576"/>
      <c r="AM152" s="576"/>
      <c r="AN152" s="576"/>
      <c r="AO152" s="576"/>
      <c r="AP152" s="576"/>
      <c r="AQ152" s="576"/>
      <c r="AR152" s="576"/>
      <c r="AS152" s="576"/>
      <c r="AT152" s="576"/>
      <c r="AU152" s="576"/>
      <c r="AV152" s="576"/>
      <c r="AW152" s="576"/>
      <c r="AX152" s="576"/>
      <c r="AY152" s="576"/>
      <c r="AZ152" s="576"/>
      <c r="BA152" s="576"/>
      <c r="BB152" s="576"/>
      <c r="BC152" s="576"/>
      <c r="BD152" s="572"/>
      <c r="BE152" s="710"/>
      <c r="BF152" s="710"/>
      <c r="BG152" s="710"/>
      <c r="BH152" s="710"/>
      <c r="BI152" s="710"/>
      <c r="BJ152" s="710"/>
      <c r="BK152" s="710"/>
      <c r="BL152" s="710"/>
      <c r="BM152" s="710"/>
      <c r="BN152" s="710"/>
      <c r="BO152" s="710"/>
      <c r="BP152" s="710"/>
      <c r="BQ152" s="710"/>
      <c r="BR152" s="710"/>
      <c r="BS152" s="710"/>
      <c r="BT152" s="710"/>
    </row>
    <row r="153" spans="1:72" s="709" customFormat="1" ht="15.75">
      <c r="A153" s="545"/>
      <c r="B153" s="545"/>
      <c r="C153" s="545"/>
      <c r="D153" s="545"/>
      <c r="E153" s="545"/>
      <c r="F153" s="545"/>
      <c r="G153" s="545"/>
      <c r="H153" s="545"/>
      <c r="I153" s="545"/>
      <c r="J153" s="545"/>
      <c r="K153" s="545"/>
      <c r="L153" s="545"/>
      <c r="M153" s="545"/>
      <c r="N153" s="545"/>
      <c r="O153" s="545"/>
      <c r="P153" s="545"/>
      <c r="Q153" s="545"/>
      <c r="R153" s="545"/>
      <c r="S153" s="576"/>
      <c r="T153" s="576"/>
      <c r="U153" s="576"/>
      <c r="V153" s="576"/>
      <c r="W153" s="545"/>
      <c r="X153" s="545"/>
      <c r="Y153" s="576"/>
      <c r="Z153" s="576"/>
      <c r="AA153" s="545"/>
      <c r="AB153" s="545"/>
      <c r="AC153" s="545"/>
      <c r="AD153" s="576"/>
      <c r="AE153" s="576"/>
      <c r="AF153" s="576"/>
      <c r="AG153" s="576"/>
      <c r="AH153" s="576"/>
      <c r="AI153" s="576"/>
      <c r="AJ153" s="576"/>
      <c r="AK153" s="576"/>
      <c r="AL153" s="576"/>
      <c r="AM153" s="576"/>
      <c r="AN153" s="576"/>
      <c r="AO153" s="576"/>
      <c r="AP153" s="576"/>
      <c r="AQ153" s="576"/>
      <c r="AR153" s="576"/>
      <c r="AS153" s="576"/>
      <c r="AT153" s="576"/>
      <c r="AU153" s="576"/>
      <c r="AV153" s="576"/>
      <c r="AW153" s="576"/>
      <c r="AX153" s="576"/>
      <c r="AY153" s="576"/>
      <c r="AZ153" s="576"/>
      <c r="BA153" s="576"/>
      <c r="BB153" s="576"/>
      <c r="BC153" s="576"/>
      <c r="BD153" s="572"/>
      <c r="BE153" s="710"/>
      <c r="BF153" s="710"/>
      <c r="BG153" s="710"/>
      <c r="BH153" s="710"/>
      <c r="BI153" s="710"/>
      <c r="BJ153" s="710"/>
      <c r="BK153" s="710"/>
      <c r="BL153" s="710"/>
      <c r="BM153" s="710"/>
      <c r="BN153" s="710"/>
      <c r="BO153" s="710"/>
      <c r="BP153" s="710"/>
      <c r="BQ153" s="710"/>
      <c r="BR153" s="710"/>
      <c r="BS153" s="710"/>
      <c r="BT153" s="710"/>
    </row>
    <row r="154" spans="1:72" s="709" customFormat="1" ht="15.75">
      <c r="A154" s="545"/>
      <c r="B154" s="545"/>
      <c r="C154" s="545"/>
      <c r="D154" s="545"/>
      <c r="E154" s="545"/>
      <c r="F154" s="545"/>
      <c r="G154" s="545"/>
      <c r="H154" s="545"/>
      <c r="I154" s="545"/>
      <c r="J154" s="545"/>
      <c r="K154" s="545"/>
      <c r="L154" s="545"/>
      <c r="M154" s="545"/>
      <c r="N154" s="545"/>
      <c r="O154" s="545"/>
      <c r="P154" s="545"/>
      <c r="Q154" s="545"/>
      <c r="R154" s="545"/>
      <c r="S154" s="576"/>
      <c r="T154" s="576"/>
      <c r="U154" s="576"/>
      <c r="V154" s="576"/>
      <c r="W154" s="545"/>
      <c r="X154" s="545"/>
      <c r="Y154" s="576"/>
      <c r="Z154" s="576"/>
      <c r="AA154" s="545"/>
      <c r="AB154" s="545"/>
      <c r="AC154" s="545"/>
      <c r="AD154" s="576"/>
      <c r="AE154" s="576"/>
      <c r="AF154" s="576"/>
      <c r="AG154" s="576"/>
      <c r="AH154" s="576"/>
      <c r="AI154" s="576"/>
      <c r="AJ154" s="576"/>
      <c r="AK154" s="576"/>
      <c r="AL154" s="576"/>
      <c r="AM154" s="576"/>
      <c r="AN154" s="576"/>
      <c r="AO154" s="576"/>
      <c r="AP154" s="576"/>
      <c r="AQ154" s="576"/>
      <c r="AR154" s="576"/>
      <c r="AS154" s="576"/>
      <c r="AT154" s="576"/>
      <c r="AU154" s="576"/>
      <c r="AV154" s="576"/>
      <c r="AW154" s="576"/>
      <c r="AX154" s="576"/>
      <c r="AY154" s="576"/>
      <c r="AZ154" s="576"/>
      <c r="BA154" s="576"/>
      <c r="BB154" s="576"/>
      <c r="BC154" s="576"/>
      <c r="BD154" s="572"/>
      <c r="BE154" s="710"/>
      <c r="BF154" s="710"/>
      <c r="BG154" s="710"/>
      <c r="BH154" s="710"/>
      <c r="BI154" s="710"/>
      <c r="BJ154" s="710"/>
      <c r="BK154" s="710"/>
      <c r="BL154" s="710"/>
      <c r="BM154" s="710"/>
      <c r="BN154" s="710"/>
      <c r="BO154" s="710"/>
      <c r="BP154" s="710"/>
      <c r="BQ154" s="710"/>
      <c r="BR154" s="710"/>
      <c r="BS154" s="710"/>
      <c r="BT154" s="710"/>
    </row>
    <row r="155" spans="1:72" s="709" customFormat="1" ht="15.75">
      <c r="A155" s="545"/>
      <c r="B155" s="545"/>
      <c r="C155" s="545"/>
      <c r="D155" s="545"/>
      <c r="E155" s="545"/>
      <c r="F155" s="545"/>
      <c r="G155" s="545"/>
      <c r="H155" s="545"/>
      <c r="I155" s="545"/>
      <c r="J155" s="545"/>
      <c r="K155" s="545"/>
      <c r="L155" s="545"/>
      <c r="M155" s="545"/>
      <c r="N155" s="545"/>
      <c r="O155" s="545"/>
      <c r="P155" s="545"/>
      <c r="Q155" s="545"/>
      <c r="R155" s="545"/>
      <c r="S155" s="576"/>
      <c r="T155" s="576"/>
      <c r="U155" s="576"/>
      <c r="V155" s="576"/>
      <c r="W155" s="545"/>
      <c r="X155" s="545"/>
      <c r="Y155" s="576"/>
      <c r="Z155" s="576"/>
      <c r="AA155" s="545"/>
      <c r="AB155" s="545"/>
      <c r="AC155" s="545"/>
      <c r="AD155" s="576"/>
      <c r="AE155" s="576"/>
      <c r="AF155" s="576"/>
      <c r="AG155" s="576"/>
      <c r="AH155" s="576"/>
      <c r="AI155" s="576"/>
      <c r="AJ155" s="576"/>
      <c r="AK155" s="576"/>
      <c r="AL155" s="576"/>
      <c r="AM155" s="576"/>
      <c r="AN155" s="576"/>
      <c r="AO155" s="576"/>
      <c r="AP155" s="576"/>
      <c r="AQ155" s="576"/>
      <c r="AR155" s="576"/>
      <c r="AS155" s="576"/>
      <c r="AT155" s="576"/>
      <c r="AU155" s="576"/>
      <c r="AV155" s="576"/>
      <c r="AW155" s="576"/>
      <c r="AX155" s="576"/>
      <c r="AY155" s="576"/>
      <c r="AZ155" s="576"/>
      <c r="BA155" s="576"/>
      <c r="BB155" s="576"/>
      <c r="BC155" s="576"/>
      <c r="BD155" s="572"/>
      <c r="BE155" s="710"/>
      <c r="BF155" s="710"/>
      <c r="BG155" s="710"/>
      <c r="BH155" s="710"/>
      <c r="BI155" s="710"/>
      <c r="BJ155" s="710"/>
      <c r="BK155" s="710"/>
      <c r="BL155" s="710"/>
      <c r="BM155" s="710"/>
      <c r="BN155" s="710"/>
      <c r="BO155" s="710"/>
      <c r="BP155" s="710"/>
      <c r="BQ155" s="710"/>
      <c r="BR155" s="710"/>
      <c r="BS155" s="710"/>
      <c r="BT155" s="710"/>
    </row>
    <row r="156" spans="1:72" s="709" customFormat="1" ht="15.75">
      <c r="A156" s="545"/>
      <c r="B156" s="545"/>
      <c r="C156" s="545"/>
      <c r="D156" s="545"/>
      <c r="E156" s="545"/>
      <c r="F156" s="545"/>
      <c r="G156" s="545"/>
      <c r="H156" s="545"/>
      <c r="I156" s="545"/>
      <c r="J156" s="545"/>
      <c r="K156" s="545"/>
      <c r="L156" s="545"/>
      <c r="M156" s="545"/>
      <c r="N156" s="545"/>
      <c r="O156" s="545"/>
      <c r="P156" s="545"/>
      <c r="Q156" s="545"/>
      <c r="R156" s="545"/>
      <c r="S156" s="576"/>
      <c r="T156" s="576"/>
      <c r="U156" s="576"/>
      <c r="V156" s="576"/>
      <c r="W156" s="545"/>
      <c r="X156" s="545"/>
      <c r="Y156" s="576"/>
      <c r="Z156" s="576"/>
      <c r="AA156" s="545"/>
      <c r="AB156" s="545"/>
      <c r="AC156" s="545"/>
      <c r="AD156" s="576"/>
      <c r="AE156" s="576"/>
      <c r="AF156" s="576"/>
      <c r="AG156" s="576"/>
      <c r="AH156" s="576"/>
      <c r="AI156" s="576"/>
      <c r="AJ156" s="576"/>
      <c r="AK156" s="576"/>
      <c r="AL156" s="576"/>
      <c r="AM156" s="576"/>
      <c r="AN156" s="576"/>
      <c r="AO156" s="576"/>
      <c r="AP156" s="576"/>
      <c r="AQ156" s="576"/>
      <c r="AR156" s="576"/>
      <c r="AS156" s="576"/>
      <c r="AT156" s="576"/>
      <c r="AU156" s="576"/>
      <c r="AV156" s="576"/>
      <c r="AW156" s="576"/>
      <c r="AX156" s="576"/>
      <c r="AY156" s="576"/>
      <c r="AZ156" s="576"/>
      <c r="BA156" s="576"/>
      <c r="BB156" s="576"/>
      <c r="BC156" s="576"/>
      <c r="BD156" s="572"/>
      <c r="BE156" s="710"/>
      <c r="BF156" s="710"/>
      <c r="BG156" s="710"/>
      <c r="BH156" s="710"/>
      <c r="BI156" s="710"/>
      <c r="BJ156" s="710"/>
      <c r="BK156" s="710"/>
      <c r="BL156" s="710"/>
      <c r="BM156" s="710"/>
      <c r="BN156" s="710"/>
      <c r="BO156" s="710"/>
      <c r="BP156" s="710"/>
      <c r="BQ156" s="710"/>
      <c r="BR156" s="710"/>
      <c r="BS156" s="710"/>
      <c r="BT156" s="710"/>
    </row>
    <row r="157" spans="1:72" s="709" customFormat="1" ht="15.75">
      <c r="A157" s="545"/>
      <c r="B157" s="545"/>
      <c r="C157" s="545"/>
      <c r="D157" s="545"/>
      <c r="E157" s="545"/>
      <c r="F157" s="545"/>
      <c r="G157" s="545"/>
      <c r="H157" s="545"/>
      <c r="I157" s="545"/>
      <c r="J157" s="545"/>
      <c r="K157" s="545"/>
      <c r="L157" s="545"/>
      <c r="M157" s="545"/>
      <c r="N157" s="545"/>
      <c r="O157" s="545"/>
      <c r="P157" s="545"/>
      <c r="Q157" s="545"/>
      <c r="R157" s="545"/>
      <c r="S157" s="576"/>
      <c r="T157" s="576"/>
      <c r="U157" s="576"/>
      <c r="V157" s="576"/>
      <c r="W157" s="545"/>
      <c r="X157" s="545"/>
      <c r="Y157" s="576"/>
      <c r="Z157" s="576"/>
      <c r="AA157" s="545"/>
      <c r="AB157" s="545"/>
      <c r="AC157" s="545"/>
      <c r="AD157" s="576"/>
      <c r="AE157" s="576"/>
      <c r="AF157" s="576"/>
      <c r="AG157" s="576"/>
      <c r="AH157" s="576"/>
      <c r="AI157" s="576"/>
      <c r="AJ157" s="576"/>
      <c r="AK157" s="576"/>
      <c r="AL157" s="576"/>
      <c r="AM157" s="576"/>
      <c r="AN157" s="576"/>
      <c r="AO157" s="576"/>
      <c r="AP157" s="576"/>
      <c r="AQ157" s="576"/>
      <c r="AR157" s="576"/>
      <c r="AS157" s="576"/>
      <c r="AT157" s="576"/>
      <c r="AU157" s="576"/>
      <c r="AV157" s="576"/>
      <c r="AW157" s="576"/>
      <c r="AX157" s="576"/>
      <c r="AY157" s="576"/>
      <c r="AZ157" s="576"/>
      <c r="BA157" s="576"/>
      <c r="BB157" s="576"/>
      <c r="BC157" s="576"/>
      <c r="BD157" s="572"/>
      <c r="BE157" s="710"/>
      <c r="BF157" s="710"/>
      <c r="BG157" s="710"/>
      <c r="BH157" s="710"/>
      <c r="BI157" s="710"/>
      <c r="BJ157" s="710"/>
      <c r="BK157" s="710"/>
      <c r="BL157" s="710"/>
      <c r="BM157" s="710"/>
      <c r="BN157" s="710"/>
      <c r="BO157" s="710"/>
      <c r="BP157" s="710"/>
      <c r="BQ157" s="710"/>
      <c r="BR157" s="710"/>
      <c r="BS157" s="710"/>
      <c r="BT157" s="710"/>
    </row>
    <row r="158" spans="1:72" s="709" customFormat="1" ht="15.75">
      <c r="A158" s="545"/>
      <c r="B158" s="545"/>
      <c r="C158" s="545"/>
      <c r="D158" s="545"/>
      <c r="E158" s="545"/>
      <c r="F158" s="545"/>
      <c r="G158" s="545"/>
      <c r="H158" s="545"/>
      <c r="I158" s="545"/>
      <c r="J158" s="545"/>
      <c r="K158" s="545"/>
      <c r="L158" s="545"/>
      <c r="M158" s="545"/>
      <c r="N158" s="545"/>
      <c r="O158" s="545"/>
      <c r="P158" s="545"/>
      <c r="Q158" s="545"/>
      <c r="R158" s="545"/>
      <c r="S158" s="576"/>
      <c r="T158" s="576"/>
      <c r="U158" s="576"/>
      <c r="V158" s="576"/>
      <c r="W158" s="545"/>
      <c r="X158" s="545"/>
      <c r="Y158" s="576"/>
      <c r="Z158" s="576"/>
      <c r="AA158" s="545"/>
      <c r="AB158" s="545"/>
      <c r="AC158" s="545"/>
      <c r="AD158" s="576"/>
      <c r="AE158" s="576"/>
      <c r="AF158" s="576"/>
      <c r="AG158" s="576"/>
      <c r="AH158" s="576"/>
      <c r="AI158" s="576"/>
      <c r="AJ158" s="576"/>
      <c r="AK158" s="576"/>
      <c r="AL158" s="576"/>
      <c r="AM158" s="576"/>
      <c r="AN158" s="576"/>
      <c r="AO158" s="576"/>
      <c r="AP158" s="576"/>
      <c r="AQ158" s="576"/>
      <c r="AR158" s="576"/>
      <c r="AS158" s="576"/>
      <c r="AT158" s="576"/>
      <c r="AU158" s="576"/>
      <c r="AV158" s="576"/>
      <c r="AW158" s="576"/>
      <c r="AX158" s="576"/>
      <c r="AY158" s="576"/>
      <c r="AZ158" s="576"/>
      <c r="BA158" s="576"/>
      <c r="BB158" s="576"/>
      <c r="BC158" s="576"/>
      <c r="BD158" s="572"/>
      <c r="BE158" s="710"/>
      <c r="BF158" s="710"/>
      <c r="BG158" s="710"/>
      <c r="BH158" s="710"/>
      <c r="BI158" s="710"/>
      <c r="BJ158" s="710"/>
      <c r="BK158" s="710"/>
      <c r="BL158" s="710"/>
      <c r="BM158" s="710"/>
      <c r="BN158" s="710"/>
      <c r="BO158" s="710"/>
      <c r="BP158" s="710"/>
      <c r="BQ158" s="710"/>
      <c r="BR158" s="710"/>
      <c r="BS158" s="710"/>
      <c r="BT158" s="710"/>
    </row>
    <row r="159" spans="1:72" s="709" customFormat="1" ht="15.75">
      <c r="A159" s="545"/>
      <c r="B159" s="545"/>
      <c r="C159" s="545"/>
      <c r="D159" s="545"/>
      <c r="E159" s="545"/>
      <c r="F159" s="545"/>
      <c r="G159" s="545"/>
      <c r="H159" s="545"/>
      <c r="I159" s="545"/>
      <c r="J159" s="545"/>
      <c r="K159" s="545"/>
      <c r="L159" s="545"/>
      <c r="M159" s="545"/>
      <c r="N159" s="545"/>
      <c r="O159" s="545"/>
      <c r="P159" s="545"/>
      <c r="Q159" s="545"/>
      <c r="R159" s="545"/>
      <c r="S159" s="576"/>
      <c r="T159" s="576"/>
      <c r="U159" s="576"/>
      <c r="V159" s="576"/>
      <c r="W159" s="545"/>
      <c r="X159" s="545"/>
      <c r="Y159" s="576"/>
      <c r="Z159" s="576"/>
      <c r="AA159" s="545"/>
      <c r="AB159" s="545"/>
      <c r="AC159" s="545"/>
      <c r="AD159" s="576"/>
      <c r="AE159" s="576"/>
      <c r="AF159" s="576"/>
      <c r="AG159" s="576"/>
      <c r="AH159" s="576"/>
      <c r="AI159" s="576"/>
      <c r="AJ159" s="576"/>
      <c r="AK159" s="576"/>
      <c r="AL159" s="576"/>
      <c r="AM159" s="576"/>
      <c r="AN159" s="576"/>
      <c r="AO159" s="576"/>
      <c r="AP159" s="576"/>
      <c r="AQ159" s="576"/>
      <c r="AR159" s="576"/>
      <c r="AS159" s="576"/>
      <c r="AT159" s="576"/>
      <c r="AU159" s="576"/>
      <c r="AV159" s="576"/>
      <c r="AW159" s="576"/>
      <c r="AX159" s="576"/>
      <c r="AY159" s="576"/>
      <c r="AZ159" s="576"/>
      <c r="BA159" s="576"/>
      <c r="BB159" s="576"/>
      <c r="BC159" s="576"/>
      <c r="BD159" s="572"/>
      <c r="BE159" s="710"/>
      <c r="BF159" s="710"/>
      <c r="BG159" s="710"/>
      <c r="BH159" s="710"/>
      <c r="BI159" s="710"/>
      <c r="BJ159" s="710"/>
      <c r="BK159" s="710"/>
      <c r="BL159" s="710"/>
      <c r="BM159" s="710"/>
      <c r="BN159" s="710"/>
      <c r="BO159" s="710"/>
      <c r="BP159" s="710"/>
      <c r="BQ159" s="710"/>
      <c r="BR159" s="710"/>
      <c r="BS159" s="710"/>
      <c r="BT159" s="710"/>
    </row>
    <row r="160" spans="1:72" s="709" customFormat="1" ht="15.75">
      <c r="A160" s="545"/>
      <c r="B160" s="545"/>
      <c r="C160" s="545"/>
      <c r="D160" s="545"/>
      <c r="E160" s="545"/>
      <c r="F160" s="545"/>
      <c r="G160" s="545"/>
      <c r="H160" s="545"/>
      <c r="I160" s="545"/>
      <c r="J160" s="545"/>
      <c r="K160" s="545"/>
      <c r="L160" s="545"/>
      <c r="M160" s="545"/>
      <c r="N160" s="545"/>
      <c r="O160" s="545"/>
      <c r="P160" s="545"/>
      <c r="Q160" s="545"/>
      <c r="R160" s="545"/>
      <c r="S160" s="576"/>
      <c r="T160" s="576"/>
      <c r="U160" s="576"/>
      <c r="V160" s="576"/>
      <c r="W160" s="545"/>
      <c r="X160" s="545"/>
      <c r="Y160" s="576"/>
      <c r="Z160" s="576"/>
      <c r="AA160" s="545"/>
      <c r="AB160" s="545"/>
      <c r="AC160" s="545"/>
      <c r="AD160" s="576"/>
      <c r="AE160" s="576"/>
      <c r="AF160" s="576"/>
      <c r="AG160" s="576"/>
      <c r="AH160" s="576"/>
      <c r="AI160" s="576"/>
      <c r="AJ160" s="576"/>
      <c r="AK160" s="576"/>
      <c r="AL160" s="576"/>
      <c r="AM160" s="576"/>
      <c r="AN160" s="576"/>
      <c r="AO160" s="576"/>
      <c r="AP160" s="576"/>
      <c r="AQ160" s="576"/>
      <c r="AR160" s="576"/>
      <c r="AS160" s="576"/>
      <c r="AT160" s="576"/>
      <c r="AU160" s="576"/>
      <c r="AV160" s="576"/>
      <c r="AW160" s="576"/>
      <c r="AX160" s="576"/>
      <c r="AY160" s="576"/>
      <c r="AZ160" s="576"/>
      <c r="BA160" s="576"/>
      <c r="BB160" s="576"/>
      <c r="BC160" s="576"/>
      <c r="BD160" s="572"/>
      <c r="BE160" s="710"/>
      <c r="BF160" s="710"/>
      <c r="BG160" s="710"/>
      <c r="BH160" s="710"/>
      <c r="BI160" s="710"/>
      <c r="BJ160" s="710"/>
      <c r="BK160" s="710"/>
      <c r="BL160" s="710"/>
      <c r="BM160" s="710"/>
      <c r="BN160" s="710"/>
      <c r="BO160" s="710"/>
      <c r="BP160" s="710"/>
      <c r="BQ160" s="710"/>
      <c r="BR160" s="710"/>
      <c r="BS160" s="710"/>
      <c r="BT160" s="710"/>
    </row>
    <row r="161" spans="1:72" s="709" customFormat="1" ht="15.75">
      <c r="A161" s="545"/>
      <c r="B161" s="545"/>
      <c r="C161" s="545"/>
      <c r="D161" s="545"/>
      <c r="E161" s="545"/>
      <c r="F161" s="545"/>
      <c r="G161" s="545"/>
      <c r="H161" s="545"/>
      <c r="I161" s="545"/>
      <c r="J161" s="545"/>
      <c r="K161" s="545"/>
      <c r="L161" s="545"/>
      <c r="M161" s="545"/>
      <c r="N161" s="545"/>
      <c r="O161" s="545"/>
      <c r="P161" s="545"/>
      <c r="Q161" s="545"/>
      <c r="R161" s="545"/>
      <c r="S161" s="576"/>
      <c r="T161" s="576"/>
      <c r="U161" s="576"/>
      <c r="V161" s="576"/>
      <c r="W161" s="545"/>
      <c r="X161" s="545"/>
      <c r="Y161" s="576"/>
      <c r="Z161" s="576"/>
      <c r="AA161" s="545"/>
      <c r="AB161" s="545"/>
      <c r="AC161" s="545"/>
      <c r="AD161" s="576"/>
      <c r="AE161" s="576"/>
      <c r="AF161" s="576"/>
      <c r="AG161" s="576"/>
      <c r="AH161" s="576"/>
      <c r="AI161" s="576"/>
      <c r="AJ161" s="576"/>
      <c r="AK161" s="576"/>
      <c r="AL161" s="576"/>
      <c r="AM161" s="576"/>
      <c r="AN161" s="576"/>
      <c r="AO161" s="576"/>
      <c r="AP161" s="576"/>
      <c r="AQ161" s="576"/>
      <c r="AR161" s="576"/>
      <c r="AS161" s="576"/>
      <c r="AT161" s="576"/>
      <c r="AU161" s="576"/>
      <c r="AV161" s="576"/>
      <c r="AW161" s="576"/>
      <c r="AX161" s="576"/>
      <c r="AY161" s="576"/>
      <c r="AZ161" s="576"/>
      <c r="BA161" s="576"/>
      <c r="BB161" s="576"/>
      <c r="BC161" s="576"/>
      <c r="BD161" s="572"/>
      <c r="BE161" s="710"/>
      <c r="BF161" s="710"/>
      <c r="BG161" s="710"/>
      <c r="BH161" s="710"/>
      <c r="BI161" s="710"/>
      <c r="BJ161" s="710"/>
      <c r="BK161" s="710"/>
      <c r="BL161" s="710"/>
      <c r="BM161" s="710"/>
      <c r="BN161" s="710"/>
      <c r="BO161" s="710"/>
      <c r="BP161" s="710"/>
      <c r="BQ161" s="710"/>
      <c r="BR161" s="710"/>
      <c r="BS161" s="710"/>
      <c r="BT161" s="710"/>
    </row>
    <row r="162" spans="1:72" s="709" customFormat="1" ht="15.75">
      <c r="A162" s="545"/>
      <c r="B162" s="545"/>
      <c r="C162" s="545"/>
      <c r="D162" s="545"/>
      <c r="E162" s="545"/>
      <c r="F162" s="545"/>
      <c r="G162" s="545"/>
      <c r="H162" s="545"/>
      <c r="I162" s="545"/>
      <c r="J162" s="545"/>
      <c r="K162" s="545"/>
      <c r="L162" s="545"/>
      <c r="M162" s="545"/>
      <c r="N162" s="545"/>
      <c r="O162" s="545"/>
      <c r="P162" s="545"/>
      <c r="Q162" s="545"/>
      <c r="R162" s="545"/>
      <c r="S162" s="576"/>
      <c r="T162" s="576"/>
      <c r="U162" s="576"/>
      <c r="V162" s="576"/>
      <c r="W162" s="545"/>
      <c r="X162" s="545"/>
      <c r="Y162" s="576"/>
      <c r="Z162" s="576"/>
      <c r="AA162" s="545"/>
      <c r="AB162" s="545"/>
      <c r="AC162" s="545"/>
      <c r="AD162" s="576"/>
      <c r="AE162" s="576"/>
      <c r="AF162" s="576"/>
      <c r="AG162" s="576"/>
      <c r="AH162" s="576"/>
      <c r="AI162" s="576"/>
      <c r="AJ162" s="576"/>
      <c r="AK162" s="576"/>
      <c r="AL162" s="576"/>
      <c r="AM162" s="576"/>
      <c r="AN162" s="576"/>
      <c r="AO162" s="576"/>
      <c r="AP162" s="576"/>
      <c r="AQ162" s="576"/>
      <c r="AR162" s="576"/>
      <c r="AS162" s="576"/>
      <c r="AT162" s="576"/>
      <c r="AU162" s="576"/>
      <c r="AV162" s="576"/>
      <c r="AW162" s="576"/>
      <c r="AX162" s="576"/>
      <c r="AY162" s="576"/>
      <c r="AZ162" s="576"/>
      <c r="BA162" s="576"/>
      <c r="BB162" s="576"/>
      <c r="BC162" s="576"/>
      <c r="BD162" s="572"/>
      <c r="BE162" s="710"/>
      <c r="BF162" s="710"/>
      <c r="BG162" s="710"/>
      <c r="BH162" s="710"/>
      <c r="BI162" s="710"/>
      <c r="BJ162" s="710"/>
      <c r="BK162" s="710"/>
      <c r="BL162" s="710"/>
      <c r="BM162" s="710"/>
      <c r="BN162" s="710"/>
      <c r="BO162" s="710"/>
      <c r="BP162" s="710"/>
      <c r="BQ162" s="710"/>
      <c r="BR162" s="710"/>
      <c r="BS162" s="710"/>
      <c r="BT162" s="710"/>
    </row>
    <row r="163" spans="1:72" s="709" customFormat="1" ht="15.75">
      <c r="A163" s="545"/>
      <c r="B163" s="545"/>
      <c r="C163" s="545"/>
      <c r="D163" s="545"/>
      <c r="E163" s="545"/>
      <c r="F163" s="545"/>
      <c r="G163" s="545"/>
      <c r="H163" s="545"/>
      <c r="I163" s="545"/>
      <c r="J163" s="545"/>
      <c r="K163" s="545"/>
      <c r="L163" s="545"/>
      <c r="M163" s="545"/>
      <c r="N163" s="545"/>
      <c r="O163" s="545"/>
      <c r="P163" s="545"/>
      <c r="Q163" s="545"/>
      <c r="R163" s="545"/>
      <c r="S163" s="576"/>
      <c r="T163" s="576"/>
      <c r="U163" s="576"/>
      <c r="V163" s="576"/>
      <c r="W163" s="545"/>
      <c r="X163" s="545"/>
      <c r="Y163" s="576"/>
      <c r="Z163" s="576"/>
      <c r="AA163" s="545"/>
      <c r="AB163" s="545"/>
      <c r="AC163" s="545"/>
      <c r="AD163" s="576"/>
      <c r="AE163" s="576"/>
      <c r="AF163" s="576"/>
      <c r="AG163" s="576"/>
      <c r="AH163" s="576"/>
      <c r="AI163" s="576"/>
      <c r="AJ163" s="576"/>
      <c r="AK163" s="576"/>
      <c r="AL163" s="576"/>
      <c r="AM163" s="576"/>
      <c r="AN163" s="576"/>
      <c r="AO163" s="576"/>
      <c r="AP163" s="576"/>
      <c r="AQ163" s="576"/>
      <c r="AR163" s="576"/>
      <c r="AS163" s="576"/>
      <c r="AT163" s="576"/>
      <c r="AU163" s="576"/>
      <c r="AV163" s="576"/>
      <c r="AW163" s="576"/>
      <c r="AX163" s="576"/>
      <c r="AY163" s="576"/>
      <c r="AZ163" s="576"/>
      <c r="BA163" s="576"/>
      <c r="BB163" s="576"/>
      <c r="BC163" s="576"/>
      <c r="BD163" s="572"/>
      <c r="BE163" s="710"/>
      <c r="BF163" s="710"/>
      <c r="BG163" s="710"/>
      <c r="BH163" s="710"/>
      <c r="BI163" s="710"/>
      <c r="BJ163" s="710"/>
      <c r="BK163" s="710"/>
      <c r="BL163" s="710"/>
      <c r="BM163" s="710"/>
      <c r="BN163" s="710"/>
      <c r="BO163" s="710"/>
      <c r="BP163" s="710"/>
      <c r="BQ163" s="710"/>
      <c r="BR163" s="710"/>
      <c r="BS163" s="710"/>
      <c r="BT163" s="710"/>
    </row>
    <row r="164" spans="1:72" s="709" customFormat="1" ht="15.75">
      <c r="A164" s="545"/>
      <c r="B164" s="545"/>
      <c r="C164" s="545"/>
      <c r="D164" s="545"/>
      <c r="E164" s="545"/>
      <c r="F164" s="545"/>
      <c r="G164" s="545"/>
      <c r="H164" s="545"/>
      <c r="I164" s="545"/>
      <c r="J164" s="545"/>
      <c r="K164" s="545"/>
      <c r="L164" s="545"/>
      <c r="M164" s="545"/>
      <c r="N164" s="545"/>
      <c r="O164" s="545"/>
      <c r="P164" s="545"/>
      <c r="Q164" s="545"/>
      <c r="R164" s="545"/>
      <c r="S164" s="576"/>
      <c r="T164" s="576"/>
      <c r="U164" s="576"/>
      <c r="V164" s="576"/>
      <c r="W164" s="545"/>
      <c r="X164" s="545"/>
      <c r="Y164" s="576"/>
      <c r="Z164" s="576"/>
      <c r="AA164" s="545"/>
      <c r="AB164" s="545"/>
      <c r="AC164" s="545"/>
      <c r="AD164" s="576"/>
      <c r="AE164" s="576"/>
      <c r="AF164" s="576"/>
      <c r="AG164" s="576"/>
      <c r="AH164" s="576"/>
      <c r="AI164" s="576"/>
      <c r="AJ164" s="576"/>
      <c r="AK164" s="576"/>
      <c r="AL164" s="576"/>
      <c r="AM164" s="576"/>
      <c r="AN164" s="576"/>
      <c r="AO164" s="576"/>
      <c r="AP164" s="576"/>
      <c r="AQ164" s="576"/>
      <c r="AR164" s="576"/>
      <c r="AS164" s="576"/>
      <c r="AT164" s="576"/>
      <c r="AU164" s="576"/>
      <c r="AV164" s="576"/>
      <c r="AW164" s="576"/>
      <c r="AX164" s="576"/>
      <c r="AY164" s="576"/>
      <c r="AZ164" s="576"/>
      <c r="BA164" s="576"/>
      <c r="BB164" s="576"/>
      <c r="BC164" s="576"/>
      <c r="BD164" s="572"/>
      <c r="BE164" s="710"/>
      <c r="BF164" s="710"/>
      <c r="BG164" s="710"/>
      <c r="BH164" s="710"/>
      <c r="BI164" s="710"/>
      <c r="BJ164" s="710"/>
      <c r="BK164" s="710"/>
      <c r="BL164" s="710"/>
      <c r="BM164" s="710"/>
      <c r="BN164" s="710"/>
      <c r="BO164" s="710"/>
      <c r="BP164" s="710"/>
      <c r="BQ164" s="710"/>
      <c r="BR164" s="710"/>
      <c r="BS164" s="710"/>
      <c r="BT164" s="710"/>
    </row>
    <row r="165" spans="1:72" s="709" customFormat="1" ht="15.75">
      <c r="A165" s="545"/>
      <c r="B165" s="545"/>
      <c r="C165" s="545"/>
      <c r="D165" s="545"/>
      <c r="E165" s="545"/>
      <c r="F165" s="545"/>
      <c r="G165" s="545"/>
      <c r="H165" s="545"/>
      <c r="I165" s="545"/>
      <c r="J165" s="545"/>
      <c r="K165" s="545"/>
      <c r="L165" s="545"/>
      <c r="M165" s="545"/>
      <c r="N165" s="545"/>
      <c r="O165" s="545"/>
      <c r="P165" s="545"/>
      <c r="Q165" s="545"/>
      <c r="R165" s="545"/>
      <c r="S165" s="576"/>
      <c r="T165" s="576"/>
      <c r="U165" s="576"/>
      <c r="V165" s="576"/>
      <c r="W165" s="545"/>
      <c r="X165" s="545"/>
      <c r="Y165" s="576"/>
      <c r="Z165" s="576"/>
      <c r="AA165" s="545"/>
      <c r="AB165" s="545"/>
      <c r="AC165" s="545"/>
      <c r="AD165" s="576"/>
      <c r="AE165" s="576"/>
      <c r="AF165" s="576"/>
      <c r="AG165" s="576"/>
      <c r="AH165" s="576"/>
      <c r="AI165" s="576"/>
      <c r="AJ165" s="576"/>
      <c r="AK165" s="576"/>
      <c r="AL165" s="576"/>
      <c r="AM165" s="576"/>
      <c r="AN165" s="576"/>
      <c r="AO165" s="576"/>
      <c r="AP165" s="576"/>
      <c r="AQ165" s="576"/>
      <c r="AR165" s="576"/>
      <c r="AS165" s="576"/>
      <c r="AT165" s="576"/>
      <c r="AU165" s="576"/>
      <c r="AV165" s="576"/>
      <c r="AW165" s="576"/>
      <c r="AX165" s="576"/>
      <c r="AY165" s="576"/>
      <c r="AZ165" s="576"/>
      <c r="BA165" s="576"/>
      <c r="BB165" s="576"/>
      <c r="BC165" s="576"/>
      <c r="BD165" s="572"/>
      <c r="BE165" s="710"/>
      <c r="BF165" s="710"/>
      <c r="BG165" s="710"/>
      <c r="BH165" s="710"/>
      <c r="BI165" s="710"/>
      <c r="BJ165" s="710"/>
      <c r="BK165" s="710"/>
      <c r="BL165" s="710"/>
      <c r="BM165" s="710"/>
      <c r="BN165" s="710"/>
      <c r="BO165" s="710"/>
      <c r="BP165" s="710"/>
      <c r="BQ165" s="710"/>
      <c r="BR165" s="710"/>
      <c r="BS165" s="710"/>
      <c r="BT165" s="710"/>
    </row>
    <row r="166" spans="1:72" s="709" customFormat="1" ht="15.75">
      <c r="A166" s="545"/>
      <c r="B166" s="545"/>
      <c r="C166" s="545"/>
      <c r="D166" s="545"/>
      <c r="E166" s="545"/>
      <c r="F166" s="545"/>
      <c r="G166" s="545"/>
      <c r="H166" s="545"/>
      <c r="I166" s="545"/>
      <c r="J166" s="545"/>
      <c r="K166" s="545"/>
      <c r="L166" s="545"/>
      <c r="M166" s="545"/>
      <c r="N166" s="545"/>
      <c r="O166" s="545"/>
      <c r="P166" s="545"/>
      <c r="Q166" s="545"/>
      <c r="R166" s="545"/>
      <c r="S166" s="576"/>
      <c r="T166" s="576"/>
      <c r="U166" s="576"/>
      <c r="V166" s="576"/>
      <c r="W166" s="545"/>
      <c r="X166" s="545"/>
      <c r="Y166" s="576"/>
      <c r="Z166" s="576"/>
      <c r="AA166" s="545"/>
      <c r="AB166" s="545"/>
      <c r="AC166" s="545"/>
      <c r="AD166" s="576"/>
      <c r="AE166" s="576"/>
      <c r="AF166" s="576"/>
      <c r="AG166" s="576"/>
      <c r="AH166" s="576"/>
      <c r="AI166" s="576"/>
      <c r="AJ166" s="576"/>
      <c r="AK166" s="576"/>
      <c r="AL166" s="576"/>
      <c r="AM166" s="576"/>
      <c r="AN166" s="576"/>
      <c r="AO166" s="576"/>
      <c r="AP166" s="576"/>
      <c r="AQ166" s="576"/>
      <c r="AR166" s="576"/>
      <c r="AS166" s="576"/>
      <c r="AT166" s="576"/>
      <c r="AU166" s="576"/>
      <c r="AV166" s="576"/>
      <c r="AW166" s="576"/>
      <c r="AX166" s="576"/>
      <c r="AY166" s="576"/>
      <c r="AZ166" s="576"/>
      <c r="BA166" s="576"/>
      <c r="BB166" s="576"/>
      <c r="BC166" s="576"/>
      <c r="BD166" s="572"/>
      <c r="BE166" s="710"/>
      <c r="BF166" s="710"/>
      <c r="BG166" s="710"/>
      <c r="BH166" s="710"/>
      <c r="BI166" s="710"/>
      <c r="BJ166" s="710"/>
      <c r="BK166" s="710"/>
      <c r="BL166" s="710"/>
      <c r="BM166" s="710"/>
      <c r="BN166" s="710"/>
      <c r="BO166" s="710"/>
      <c r="BP166" s="710"/>
      <c r="BQ166" s="710"/>
      <c r="BR166" s="710"/>
      <c r="BS166" s="710"/>
      <c r="BT166" s="710"/>
    </row>
    <row r="167" spans="1:72" s="709" customFormat="1" ht="15.75">
      <c r="A167" s="545"/>
      <c r="B167" s="545"/>
      <c r="C167" s="545"/>
      <c r="D167" s="545"/>
      <c r="E167" s="545"/>
      <c r="F167" s="545"/>
      <c r="G167" s="545"/>
      <c r="H167" s="545"/>
      <c r="I167" s="545"/>
      <c r="J167" s="545"/>
      <c r="K167" s="545"/>
      <c r="L167" s="545"/>
      <c r="M167" s="545"/>
      <c r="N167" s="545"/>
      <c r="O167" s="545"/>
      <c r="P167" s="545"/>
      <c r="Q167" s="545"/>
      <c r="R167" s="545"/>
      <c r="S167" s="576"/>
      <c r="T167" s="576"/>
      <c r="U167" s="576"/>
      <c r="V167" s="576"/>
      <c r="W167" s="545"/>
      <c r="X167" s="545"/>
      <c r="Y167" s="576"/>
      <c r="Z167" s="576"/>
      <c r="AA167" s="545"/>
      <c r="AB167" s="545"/>
      <c r="AC167" s="545"/>
      <c r="AD167" s="576"/>
      <c r="AE167" s="576"/>
      <c r="AF167" s="576"/>
      <c r="AG167" s="576"/>
      <c r="AH167" s="576"/>
      <c r="AI167" s="576"/>
      <c r="AJ167" s="576"/>
      <c r="AK167" s="576"/>
      <c r="AL167" s="576"/>
      <c r="AM167" s="576"/>
      <c r="AN167" s="576"/>
      <c r="AO167" s="576"/>
      <c r="AP167" s="576"/>
      <c r="AQ167" s="576"/>
      <c r="AR167" s="576"/>
      <c r="AS167" s="576"/>
      <c r="AT167" s="576"/>
      <c r="AU167" s="576"/>
      <c r="AV167" s="576"/>
      <c r="AW167" s="576"/>
      <c r="AX167" s="576"/>
      <c r="AY167" s="576"/>
      <c r="AZ167" s="576"/>
      <c r="BA167" s="576"/>
      <c r="BB167" s="576"/>
      <c r="BC167" s="576"/>
      <c r="BD167" s="572"/>
      <c r="BE167" s="710"/>
      <c r="BF167" s="710"/>
      <c r="BG167" s="710"/>
      <c r="BH167" s="710"/>
      <c r="BI167" s="710"/>
      <c r="BJ167" s="710"/>
      <c r="BK167" s="710"/>
      <c r="BL167" s="710"/>
      <c r="BM167" s="710"/>
      <c r="BN167" s="710"/>
      <c r="BO167" s="710"/>
      <c r="BP167" s="710"/>
      <c r="BQ167" s="710"/>
      <c r="BR167" s="710"/>
      <c r="BS167" s="710"/>
      <c r="BT167" s="710"/>
    </row>
    <row r="168" spans="1:72" s="709" customFormat="1" ht="15.75">
      <c r="A168" s="545"/>
      <c r="B168" s="545"/>
      <c r="C168" s="545"/>
      <c r="D168" s="545"/>
      <c r="E168" s="545"/>
      <c r="F168" s="545"/>
      <c r="G168" s="545"/>
      <c r="H168" s="545"/>
      <c r="I168" s="545"/>
      <c r="J168" s="545"/>
      <c r="K168" s="545"/>
      <c r="L168" s="545"/>
      <c r="M168" s="545"/>
      <c r="N168" s="545"/>
      <c r="O168" s="545"/>
      <c r="P168" s="545"/>
      <c r="Q168" s="545"/>
      <c r="R168" s="545"/>
      <c r="S168" s="576"/>
      <c r="T168" s="576"/>
      <c r="U168" s="576"/>
      <c r="V168" s="576"/>
      <c r="W168" s="545"/>
      <c r="X168" s="545"/>
      <c r="Y168" s="576"/>
      <c r="Z168" s="576"/>
      <c r="AA168" s="545"/>
      <c r="AB168" s="545"/>
      <c r="AC168" s="545"/>
      <c r="AD168" s="576"/>
      <c r="AE168" s="576"/>
      <c r="AF168" s="576"/>
      <c r="AG168" s="576"/>
      <c r="AH168" s="576"/>
      <c r="AI168" s="576"/>
      <c r="AJ168" s="576"/>
      <c r="AK168" s="576"/>
      <c r="AL168" s="576"/>
      <c r="AM168" s="576"/>
      <c r="AN168" s="576"/>
      <c r="AO168" s="576"/>
      <c r="AP168" s="576"/>
      <c r="AQ168" s="576"/>
      <c r="AR168" s="576"/>
      <c r="AS168" s="576"/>
      <c r="AT168" s="576"/>
      <c r="AU168" s="576"/>
      <c r="AV168" s="576"/>
      <c r="AW168" s="576"/>
      <c r="AX168" s="576"/>
      <c r="AY168" s="576"/>
      <c r="AZ168" s="576"/>
      <c r="BA168" s="576"/>
      <c r="BB168" s="576"/>
      <c r="BC168" s="576"/>
      <c r="BD168" s="572"/>
      <c r="BE168" s="710"/>
      <c r="BF168" s="710"/>
      <c r="BG168" s="710"/>
      <c r="BH168" s="710"/>
      <c r="BI168" s="710"/>
      <c r="BJ168" s="710"/>
      <c r="BK168" s="710"/>
      <c r="BL168" s="710"/>
      <c r="BM168" s="710"/>
      <c r="BN168" s="710"/>
      <c r="BO168" s="710"/>
      <c r="BP168" s="710"/>
      <c r="BQ168" s="710"/>
      <c r="BR168" s="710"/>
      <c r="BS168" s="710"/>
      <c r="BT168" s="710"/>
    </row>
    <row r="169" spans="1:72" s="709" customFormat="1" ht="15.75">
      <c r="A169" s="545"/>
      <c r="B169" s="545"/>
      <c r="C169" s="545"/>
      <c r="D169" s="545"/>
      <c r="E169" s="545"/>
      <c r="F169" s="545"/>
      <c r="G169" s="545"/>
      <c r="H169" s="545"/>
      <c r="I169" s="545"/>
      <c r="J169" s="545"/>
      <c r="K169" s="545"/>
      <c r="L169" s="545"/>
      <c r="M169" s="545"/>
      <c r="N169" s="545"/>
      <c r="O169" s="545"/>
      <c r="P169" s="545"/>
      <c r="Q169" s="545"/>
      <c r="R169" s="545"/>
      <c r="S169" s="576"/>
      <c r="T169" s="576"/>
      <c r="U169" s="576"/>
      <c r="V169" s="576"/>
      <c r="W169" s="545"/>
      <c r="X169" s="545"/>
      <c r="Y169" s="576"/>
      <c r="Z169" s="576"/>
      <c r="AA169" s="545"/>
      <c r="AB169" s="545"/>
      <c r="AC169" s="545"/>
      <c r="AD169" s="576"/>
      <c r="AE169" s="576"/>
      <c r="AF169" s="576"/>
      <c r="AG169" s="576"/>
      <c r="AH169" s="576"/>
      <c r="AI169" s="576"/>
      <c r="AJ169" s="576"/>
      <c r="AK169" s="576"/>
      <c r="AL169" s="576"/>
      <c r="AM169" s="576"/>
      <c r="AN169" s="576"/>
      <c r="AO169" s="576"/>
      <c r="AP169" s="576"/>
      <c r="AQ169" s="576"/>
      <c r="AR169" s="576"/>
      <c r="AS169" s="576"/>
      <c r="AT169" s="576"/>
      <c r="AU169" s="576"/>
      <c r="AV169" s="576"/>
      <c r="AW169" s="576"/>
      <c r="AX169" s="576"/>
      <c r="AY169" s="576"/>
      <c r="AZ169" s="576"/>
      <c r="BA169" s="576"/>
      <c r="BB169" s="576"/>
      <c r="BC169" s="576"/>
      <c r="BD169" s="572"/>
      <c r="BE169" s="710"/>
      <c r="BF169" s="710"/>
      <c r="BG169" s="710"/>
      <c r="BH169" s="710"/>
      <c r="BI169" s="710"/>
      <c r="BJ169" s="710"/>
      <c r="BK169" s="710"/>
      <c r="BL169" s="710"/>
      <c r="BM169" s="710"/>
      <c r="BN169" s="710"/>
      <c r="BO169" s="710"/>
      <c r="BP169" s="710"/>
      <c r="BQ169" s="710"/>
      <c r="BR169" s="710"/>
      <c r="BS169" s="710"/>
      <c r="BT169" s="710"/>
    </row>
    <row r="170" spans="1:72" s="709" customFormat="1" ht="15.75">
      <c r="A170" s="545"/>
      <c r="B170" s="545"/>
      <c r="C170" s="545"/>
      <c r="D170" s="545"/>
      <c r="E170" s="545"/>
      <c r="F170" s="545"/>
      <c r="G170" s="545"/>
      <c r="H170" s="545"/>
      <c r="I170" s="545"/>
      <c r="J170" s="545"/>
      <c r="K170" s="545"/>
      <c r="L170" s="545"/>
      <c r="M170" s="545"/>
      <c r="N170" s="545"/>
      <c r="O170" s="545"/>
      <c r="P170" s="545"/>
      <c r="Q170" s="545"/>
      <c r="R170" s="545"/>
      <c r="S170" s="576"/>
      <c r="T170" s="576"/>
      <c r="U170" s="576"/>
      <c r="V170" s="576"/>
      <c r="W170" s="545"/>
      <c r="X170" s="545"/>
      <c r="Y170" s="576"/>
      <c r="Z170" s="576"/>
      <c r="AA170" s="545"/>
      <c r="AB170" s="545"/>
      <c r="AC170" s="545"/>
      <c r="AD170" s="576"/>
      <c r="AE170" s="576"/>
      <c r="AF170" s="576"/>
      <c r="AG170" s="576"/>
      <c r="AH170" s="576"/>
      <c r="AI170" s="576"/>
      <c r="AJ170" s="576"/>
      <c r="AK170" s="576"/>
      <c r="AL170" s="576"/>
      <c r="AM170" s="576"/>
      <c r="AN170" s="576"/>
      <c r="AO170" s="576"/>
      <c r="AP170" s="576"/>
      <c r="AQ170" s="576"/>
      <c r="AR170" s="576"/>
      <c r="AS170" s="576"/>
      <c r="AT170" s="576"/>
      <c r="AU170" s="576"/>
      <c r="AV170" s="576"/>
      <c r="AW170" s="576"/>
      <c r="AX170" s="576"/>
      <c r="AY170" s="576"/>
      <c r="AZ170" s="576"/>
      <c r="BA170" s="576"/>
      <c r="BB170" s="576"/>
      <c r="BC170" s="576"/>
      <c r="BD170" s="572"/>
      <c r="BE170" s="710"/>
      <c r="BF170" s="710"/>
      <c r="BG170" s="710"/>
      <c r="BH170" s="710"/>
      <c r="BI170" s="710"/>
      <c r="BJ170" s="710"/>
      <c r="BK170" s="710"/>
      <c r="BL170" s="710"/>
      <c r="BM170" s="710"/>
      <c r="BN170" s="710"/>
      <c r="BO170" s="710"/>
      <c r="BP170" s="710"/>
      <c r="BQ170" s="710"/>
      <c r="BR170" s="710"/>
      <c r="BS170" s="710"/>
      <c r="BT170" s="710"/>
    </row>
    <row r="171" spans="1:72" s="709" customFormat="1" ht="15.75">
      <c r="A171" s="545"/>
      <c r="B171" s="545"/>
      <c r="C171" s="545"/>
      <c r="D171" s="545"/>
      <c r="E171" s="545"/>
      <c r="F171" s="545"/>
      <c r="G171" s="545"/>
      <c r="H171" s="545"/>
      <c r="I171" s="545"/>
      <c r="J171" s="545"/>
      <c r="K171" s="545"/>
      <c r="L171" s="545"/>
      <c r="M171" s="545"/>
      <c r="N171" s="545"/>
      <c r="O171" s="545"/>
      <c r="P171" s="545"/>
      <c r="Q171" s="545"/>
      <c r="R171" s="545"/>
      <c r="S171" s="576"/>
      <c r="T171" s="576"/>
      <c r="U171" s="576"/>
      <c r="V171" s="576"/>
      <c r="W171" s="545"/>
      <c r="X171" s="545"/>
      <c r="Y171" s="576"/>
      <c r="Z171" s="576"/>
      <c r="AA171" s="545"/>
      <c r="AB171" s="545"/>
      <c r="AC171" s="545"/>
      <c r="AD171" s="576"/>
      <c r="AE171" s="576"/>
      <c r="AF171" s="576"/>
      <c r="AG171" s="576"/>
      <c r="AH171" s="576"/>
      <c r="AI171" s="576"/>
      <c r="AJ171" s="576"/>
      <c r="AK171" s="576"/>
      <c r="AL171" s="576"/>
      <c r="AM171" s="576"/>
      <c r="AN171" s="576"/>
      <c r="AO171" s="576"/>
      <c r="AP171" s="576"/>
      <c r="AQ171" s="576"/>
      <c r="AR171" s="576"/>
      <c r="AS171" s="576"/>
      <c r="AT171" s="576"/>
      <c r="AU171" s="576"/>
      <c r="AV171" s="576"/>
      <c r="AW171" s="576"/>
      <c r="AX171" s="576"/>
      <c r="AY171" s="576"/>
      <c r="AZ171" s="576"/>
      <c r="BA171" s="576"/>
      <c r="BB171" s="576"/>
      <c r="BC171" s="576"/>
      <c r="BD171" s="572"/>
      <c r="BE171" s="710"/>
      <c r="BF171" s="710"/>
      <c r="BG171" s="710"/>
      <c r="BH171" s="710"/>
      <c r="BI171" s="710"/>
      <c r="BJ171" s="710"/>
      <c r="BK171" s="710"/>
      <c r="BL171" s="710"/>
      <c r="BM171" s="710"/>
      <c r="BN171" s="710"/>
      <c r="BO171" s="710"/>
      <c r="BP171" s="710"/>
      <c r="BQ171" s="710"/>
      <c r="BR171" s="710"/>
      <c r="BS171" s="710"/>
      <c r="BT171" s="710"/>
    </row>
    <row r="172" spans="1:72" s="709" customFormat="1" ht="15.75">
      <c r="A172" s="545"/>
      <c r="B172" s="545"/>
      <c r="C172" s="545"/>
      <c r="D172" s="545"/>
      <c r="E172" s="545"/>
      <c r="F172" s="545"/>
      <c r="G172" s="545"/>
      <c r="H172" s="545"/>
      <c r="I172" s="545"/>
      <c r="J172" s="545"/>
      <c r="K172" s="545"/>
      <c r="L172" s="545"/>
      <c r="M172" s="545"/>
      <c r="N172" s="545"/>
      <c r="O172" s="545"/>
      <c r="P172" s="545"/>
      <c r="Q172" s="545"/>
      <c r="R172" s="545"/>
      <c r="S172" s="576"/>
      <c r="T172" s="576"/>
      <c r="U172" s="576"/>
      <c r="V172" s="576"/>
      <c r="W172" s="545"/>
      <c r="X172" s="545"/>
      <c r="Y172" s="576"/>
      <c r="Z172" s="576"/>
      <c r="AA172" s="545"/>
      <c r="AB172" s="545"/>
      <c r="AC172" s="545"/>
      <c r="AD172" s="576"/>
      <c r="AE172" s="576"/>
      <c r="AF172" s="576"/>
      <c r="AG172" s="576"/>
      <c r="AH172" s="576"/>
      <c r="AI172" s="576"/>
      <c r="AJ172" s="576"/>
      <c r="AK172" s="576"/>
      <c r="AL172" s="576"/>
      <c r="AM172" s="576"/>
      <c r="AN172" s="576"/>
      <c r="AO172" s="576"/>
      <c r="AP172" s="576"/>
      <c r="AQ172" s="576"/>
      <c r="AR172" s="576"/>
      <c r="AS172" s="576"/>
      <c r="AT172" s="576"/>
      <c r="AU172" s="576"/>
      <c r="AV172" s="576"/>
      <c r="AW172" s="576"/>
      <c r="AX172" s="576"/>
      <c r="AY172" s="576"/>
      <c r="AZ172" s="576"/>
      <c r="BA172" s="576"/>
      <c r="BB172" s="576"/>
      <c r="BC172" s="576"/>
      <c r="BD172" s="572"/>
      <c r="BE172" s="710"/>
      <c r="BF172" s="710"/>
      <c r="BG172" s="710"/>
      <c r="BH172" s="710"/>
      <c r="BI172" s="710"/>
      <c r="BJ172" s="710"/>
      <c r="BK172" s="710"/>
      <c r="BL172" s="710"/>
      <c r="BM172" s="710"/>
      <c r="BN172" s="710"/>
      <c r="BO172" s="710"/>
      <c r="BP172" s="710"/>
      <c r="BQ172" s="710"/>
      <c r="BR172" s="710"/>
      <c r="BS172" s="710"/>
      <c r="BT172" s="710"/>
    </row>
    <row r="173" spans="1:72" s="709" customFormat="1" ht="15.75">
      <c r="A173" s="545"/>
      <c r="B173" s="545"/>
      <c r="C173" s="545"/>
      <c r="D173" s="545"/>
      <c r="E173" s="545"/>
      <c r="F173" s="545"/>
      <c r="G173" s="545"/>
      <c r="H173" s="545"/>
      <c r="I173" s="545"/>
      <c r="J173" s="545"/>
      <c r="K173" s="545"/>
      <c r="L173" s="545"/>
      <c r="M173" s="545"/>
      <c r="N173" s="545"/>
      <c r="O173" s="545"/>
      <c r="P173" s="545"/>
      <c r="Q173" s="545"/>
      <c r="R173" s="545"/>
      <c r="S173" s="576"/>
      <c r="T173" s="576"/>
      <c r="U173" s="576"/>
      <c r="V173" s="576"/>
      <c r="W173" s="545"/>
      <c r="X173" s="545"/>
      <c r="Y173" s="576"/>
      <c r="Z173" s="576"/>
      <c r="AA173" s="545"/>
      <c r="AB173" s="545"/>
      <c r="AC173" s="545"/>
      <c r="AD173" s="576"/>
      <c r="AE173" s="576"/>
      <c r="AF173" s="576"/>
      <c r="AG173" s="576"/>
      <c r="AH173" s="576"/>
      <c r="AI173" s="576"/>
      <c r="AJ173" s="576"/>
      <c r="AK173" s="576"/>
      <c r="AL173" s="576"/>
      <c r="AM173" s="576"/>
      <c r="AN173" s="576"/>
      <c r="AO173" s="576"/>
      <c r="AP173" s="576"/>
      <c r="AQ173" s="576"/>
      <c r="AR173" s="576"/>
      <c r="AS173" s="576"/>
      <c r="AT173" s="576"/>
      <c r="AU173" s="576"/>
      <c r="AV173" s="576"/>
      <c r="AW173" s="576"/>
      <c r="AX173" s="576"/>
      <c r="AY173" s="576"/>
      <c r="AZ173" s="576"/>
      <c r="BA173" s="576"/>
      <c r="BB173" s="576"/>
      <c r="BC173" s="576"/>
      <c r="BD173" s="572"/>
      <c r="BE173" s="710"/>
      <c r="BF173" s="710"/>
      <c r="BG173" s="710"/>
      <c r="BH173" s="710"/>
      <c r="BI173" s="710"/>
      <c r="BJ173" s="710"/>
      <c r="BK173" s="710"/>
      <c r="BL173" s="710"/>
      <c r="BM173" s="710"/>
      <c r="BN173" s="710"/>
      <c r="BO173" s="710"/>
      <c r="BP173" s="710"/>
      <c r="BQ173" s="710"/>
      <c r="BR173" s="710"/>
      <c r="BS173" s="710"/>
      <c r="BT173" s="710"/>
    </row>
    <row r="174" spans="1:72" s="709" customFormat="1" ht="15.75">
      <c r="A174" s="545"/>
      <c r="B174" s="545"/>
      <c r="C174" s="545"/>
      <c r="D174" s="545"/>
      <c r="E174" s="545"/>
      <c r="F174" s="545"/>
      <c r="G174" s="545"/>
      <c r="H174" s="545"/>
      <c r="I174" s="545"/>
      <c r="J174" s="545"/>
      <c r="K174" s="545"/>
      <c r="L174" s="545"/>
      <c r="M174" s="545"/>
      <c r="N174" s="545"/>
      <c r="O174" s="545"/>
      <c r="P174" s="545"/>
      <c r="Q174" s="545"/>
      <c r="R174" s="545"/>
      <c r="S174" s="576"/>
      <c r="T174" s="576"/>
      <c r="U174" s="576"/>
      <c r="V174" s="576"/>
      <c r="W174" s="545"/>
      <c r="X174" s="545"/>
      <c r="Y174" s="576"/>
      <c r="Z174" s="576"/>
      <c r="AA174" s="545"/>
      <c r="AB174" s="545"/>
      <c r="AC174" s="545"/>
      <c r="AD174" s="576"/>
      <c r="AE174" s="576"/>
      <c r="AF174" s="576"/>
      <c r="AG174" s="576"/>
      <c r="AH174" s="576"/>
      <c r="AI174" s="576"/>
      <c r="AJ174" s="576"/>
      <c r="AK174" s="576"/>
      <c r="AL174" s="576"/>
      <c r="AM174" s="576"/>
      <c r="AN174" s="576"/>
      <c r="AO174" s="576"/>
      <c r="AP174" s="576"/>
      <c r="AQ174" s="576"/>
      <c r="AR174" s="576"/>
      <c r="AS174" s="576"/>
      <c r="AT174" s="576"/>
      <c r="AU174" s="576"/>
      <c r="AV174" s="576"/>
      <c r="AW174" s="576"/>
      <c r="AX174" s="576"/>
      <c r="AY174" s="576"/>
      <c r="AZ174" s="576"/>
      <c r="BA174" s="576"/>
      <c r="BB174" s="576"/>
      <c r="BC174" s="576"/>
      <c r="BD174" s="572"/>
      <c r="BE174" s="710"/>
      <c r="BF174" s="710"/>
      <c r="BG174" s="710"/>
      <c r="BH174" s="710"/>
      <c r="BI174" s="710"/>
      <c r="BJ174" s="710"/>
      <c r="BK174" s="710"/>
      <c r="BL174" s="710"/>
      <c r="BM174" s="710"/>
      <c r="BN174" s="710"/>
      <c r="BO174" s="710"/>
      <c r="BP174" s="710"/>
      <c r="BQ174" s="710"/>
      <c r="BR174" s="710"/>
      <c r="BS174" s="710"/>
      <c r="BT174" s="710"/>
    </row>
    <row r="175" spans="1:72" s="709" customFormat="1" ht="15.75">
      <c r="A175" s="545"/>
      <c r="B175" s="545"/>
      <c r="C175" s="545"/>
      <c r="D175" s="545"/>
      <c r="E175" s="545"/>
      <c r="F175" s="545"/>
      <c r="G175" s="545"/>
      <c r="H175" s="545"/>
      <c r="I175" s="545"/>
      <c r="J175" s="545"/>
      <c r="K175" s="545"/>
      <c r="L175" s="545"/>
      <c r="M175" s="545"/>
      <c r="N175" s="545"/>
      <c r="O175" s="545"/>
      <c r="P175" s="545"/>
      <c r="Q175" s="545"/>
      <c r="R175" s="545"/>
      <c r="S175" s="576"/>
      <c r="T175" s="576"/>
      <c r="U175" s="576"/>
      <c r="V175" s="576"/>
      <c r="W175" s="545"/>
      <c r="X175" s="545"/>
      <c r="Y175" s="576"/>
      <c r="Z175" s="576"/>
      <c r="AA175" s="545"/>
      <c r="AB175" s="545"/>
      <c r="AC175" s="545"/>
      <c r="AD175" s="576"/>
      <c r="AE175" s="576"/>
      <c r="AF175" s="576"/>
      <c r="AG175" s="576"/>
      <c r="AH175" s="576"/>
      <c r="AI175" s="576"/>
      <c r="AJ175" s="576"/>
      <c r="AK175" s="576"/>
      <c r="AL175" s="576"/>
      <c r="AM175" s="576"/>
      <c r="AN175" s="576"/>
      <c r="AO175" s="576"/>
      <c r="AP175" s="576"/>
      <c r="AQ175" s="576"/>
      <c r="AR175" s="576"/>
      <c r="AS175" s="576"/>
      <c r="AT175" s="576"/>
      <c r="AU175" s="576"/>
      <c r="AV175" s="576"/>
      <c r="AW175" s="576"/>
      <c r="AX175" s="576"/>
      <c r="AY175" s="576"/>
      <c r="AZ175" s="576"/>
      <c r="BA175" s="576"/>
      <c r="BB175" s="576"/>
      <c r="BC175" s="576"/>
      <c r="BD175" s="572"/>
      <c r="BE175" s="710"/>
      <c r="BF175" s="710"/>
      <c r="BG175" s="710"/>
      <c r="BH175" s="710"/>
      <c r="BI175" s="710"/>
      <c r="BJ175" s="710"/>
      <c r="BK175" s="710"/>
      <c r="BL175" s="710"/>
      <c r="BM175" s="710"/>
      <c r="BN175" s="710"/>
      <c r="BO175" s="710"/>
      <c r="BP175" s="710"/>
      <c r="BQ175" s="710"/>
      <c r="BR175" s="710"/>
      <c r="BS175" s="710"/>
      <c r="BT175" s="710"/>
    </row>
    <row r="176" spans="1:72" s="709" customFormat="1" ht="15.75">
      <c r="A176" s="545"/>
      <c r="B176" s="545"/>
      <c r="C176" s="545"/>
      <c r="D176" s="545"/>
      <c r="E176" s="545"/>
      <c r="F176" s="545"/>
      <c r="G176" s="545"/>
      <c r="H176" s="545"/>
      <c r="I176" s="545"/>
      <c r="J176" s="545"/>
      <c r="K176" s="545"/>
      <c r="L176" s="545"/>
      <c r="M176" s="545"/>
      <c r="N176" s="545"/>
      <c r="O176" s="545"/>
      <c r="P176" s="545"/>
      <c r="Q176" s="545"/>
      <c r="R176" s="545"/>
      <c r="S176" s="576"/>
      <c r="T176" s="576"/>
      <c r="U176" s="576"/>
      <c r="V176" s="576"/>
      <c r="W176" s="545"/>
      <c r="X176" s="545"/>
      <c r="Y176" s="576"/>
      <c r="Z176" s="576"/>
      <c r="AA176" s="545"/>
      <c r="AB176" s="545"/>
      <c r="AC176" s="545"/>
      <c r="AD176" s="576"/>
      <c r="AE176" s="576"/>
      <c r="AF176" s="576"/>
      <c r="AG176" s="576"/>
      <c r="AH176" s="576"/>
      <c r="AI176" s="576"/>
      <c r="AJ176" s="576"/>
      <c r="AK176" s="576"/>
      <c r="AL176" s="576"/>
      <c r="AM176" s="576"/>
      <c r="AN176" s="576"/>
      <c r="AO176" s="576"/>
      <c r="AP176" s="576"/>
      <c r="AQ176" s="576"/>
      <c r="AR176" s="576"/>
      <c r="AS176" s="576"/>
      <c r="AT176" s="576"/>
      <c r="AU176" s="576"/>
      <c r="AV176" s="576"/>
      <c r="AW176" s="576"/>
      <c r="AX176" s="576"/>
      <c r="AY176" s="576"/>
      <c r="AZ176" s="576"/>
      <c r="BA176" s="576"/>
      <c r="BB176" s="576"/>
      <c r="BC176" s="576"/>
      <c r="BD176" s="572"/>
      <c r="BE176" s="710"/>
      <c r="BF176" s="710"/>
      <c r="BG176" s="710"/>
      <c r="BH176" s="710"/>
      <c r="BI176" s="710"/>
      <c r="BJ176" s="710"/>
      <c r="BK176" s="710"/>
      <c r="BL176" s="710"/>
      <c r="BM176" s="710"/>
      <c r="BN176" s="710"/>
      <c r="BO176" s="710"/>
      <c r="BP176" s="710"/>
      <c r="BQ176" s="710"/>
      <c r="BR176" s="710"/>
      <c r="BS176" s="710"/>
      <c r="BT176" s="710"/>
    </row>
    <row r="177" spans="1:72" s="709" customFormat="1" ht="15.75">
      <c r="A177" s="545"/>
      <c r="B177" s="545"/>
      <c r="C177" s="545"/>
      <c r="D177" s="545"/>
      <c r="E177" s="545"/>
      <c r="F177" s="545"/>
      <c r="G177" s="545"/>
      <c r="H177" s="545"/>
      <c r="I177" s="545"/>
      <c r="J177" s="545"/>
      <c r="K177" s="545"/>
      <c r="L177" s="545"/>
      <c r="M177" s="545"/>
      <c r="N177" s="545"/>
      <c r="O177" s="545"/>
      <c r="P177" s="545"/>
      <c r="Q177" s="545"/>
      <c r="R177" s="545"/>
      <c r="S177" s="576"/>
      <c r="T177" s="576"/>
      <c r="U177" s="576"/>
      <c r="V177" s="576"/>
      <c r="W177" s="545"/>
      <c r="X177" s="545"/>
      <c r="Y177" s="576"/>
      <c r="Z177" s="576"/>
      <c r="AA177" s="545"/>
      <c r="AB177" s="545"/>
      <c r="AC177" s="545"/>
      <c r="AD177" s="576"/>
      <c r="AE177" s="576"/>
      <c r="AF177" s="576"/>
      <c r="AG177" s="576"/>
      <c r="AH177" s="576"/>
      <c r="AI177" s="576"/>
      <c r="AJ177" s="576"/>
      <c r="AK177" s="576"/>
      <c r="AL177" s="576"/>
      <c r="AM177" s="576"/>
      <c r="AN177" s="576"/>
      <c r="AO177" s="576"/>
      <c r="AP177" s="576"/>
      <c r="AQ177" s="576"/>
      <c r="AR177" s="576"/>
      <c r="AS177" s="576"/>
      <c r="AT177" s="576"/>
      <c r="AU177" s="576"/>
      <c r="AV177" s="576"/>
      <c r="AW177" s="576"/>
      <c r="AX177" s="576"/>
      <c r="AY177" s="576"/>
      <c r="AZ177" s="576"/>
      <c r="BA177" s="576"/>
      <c r="BB177" s="576"/>
      <c r="BC177" s="576"/>
      <c r="BD177" s="572"/>
      <c r="BE177" s="710"/>
      <c r="BF177" s="710"/>
      <c r="BG177" s="710"/>
      <c r="BH177" s="710"/>
      <c r="BI177" s="710"/>
      <c r="BJ177" s="710"/>
      <c r="BK177" s="710"/>
      <c r="BL177" s="710"/>
      <c r="BM177" s="710"/>
      <c r="BN177" s="710"/>
      <c r="BO177" s="710"/>
      <c r="BP177" s="710"/>
      <c r="BQ177" s="710"/>
      <c r="BR177" s="710"/>
      <c r="BS177" s="710"/>
      <c r="BT177" s="710"/>
    </row>
    <row r="178" spans="1:72" s="709" customFormat="1" ht="15.75">
      <c r="A178" s="545"/>
      <c r="B178" s="545"/>
      <c r="C178" s="545"/>
      <c r="D178" s="545"/>
      <c r="E178" s="545"/>
      <c r="F178" s="545"/>
      <c r="G178" s="545"/>
      <c r="H178" s="545"/>
      <c r="I178" s="545"/>
      <c r="J178" s="545"/>
      <c r="K178" s="545"/>
      <c r="L178" s="545"/>
      <c r="M178" s="545"/>
      <c r="N178" s="545"/>
      <c r="O178" s="545"/>
      <c r="P178" s="545"/>
      <c r="Q178" s="545"/>
      <c r="R178" s="545"/>
      <c r="S178" s="576"/>
      <c r="T178" s="576"/>
      <c r="U178" s="576"/>
      <c r="V178" s="576"/>
      <c r="W178" s="545"/>
      <c r="X178" s="545"/>
      <c r="Y178" s="576"/>
      <c r="Z178" s="576"/>
      <c r="AA178" s="545"/>
      <c r="AB178" s="545"/>
      <c r="AC178" s="545"/>
      <c r="AD178" s="576"/>
      <c r="AE178" s="576"/>
      <c r="AF178" s="576"/>
      <c r="AG178" s="576"/>
      <c r="AH178" s="576"/>
      <c r="AI178" s="576"/>
      <c r="AJ178" s="576"/>
      <c r="AK178" s="576"/>
      <c r="AL178" s="576"/>
      <c r="AM178" s="576"/>
      <c r="AN178" s="576"/>
      <c r="AO178" s="576"/>
      <c r="AP178" s="576"/>
      <c r="AQ178" s="576"/>
      <c r="AR178" s="576"/>
      <c r="AS178" s="576"/>
      <c r="AT178" s="576"/>
      <c r="AU178" s="576"/>
      <c r="AV178" s="576"/>
      <c r="AW178" s="576"/>
      <c r="AX178" s="576"/>
      <c r="AY178" s="576"/>
      <c r="AZ178" s="576"/>
      <c r="BA178" s="576"/>
      <c r="BB178" s="576"/>
      <c r="BC178" s="576"/>
      <c r="BD178" s="572"/>
      <c r="BE178" s="710"/>
      <c r="BF178" s="710"/>
      <c r="BG178" s="710"/>
      <c r="BH178" s="710"/>
      <c r="BI178" s="710"/>
      <c r="BJ178" s="710"/>
      <c r="BK178" s="710"/>
      <c r="BL178" s="710"/>
      <c r="BM178" s="710"/>
      <c r="BN178" s="710"/>
      <c r="BO178" s="710"/>
      <c r="BP178" s="710"/>
      <c r="BQ178" s="710"/>
      <c r="BR178" s="710"/>
      <c r="BS178" s="710"/>
      <c r="BT178" s="710"/>
    </row>
    <row r="179" spans="1:72" s="709" customFormat="1" ht="15.75">
      <c r="A179" s="545"/>
      <c r="B179" s="545"/>
      <c r="C179" s="545"/>
      <c r="D179" s="545"/>
      <c r="E179" s="545"/>
      <c r="F179" s="545"/>
      <c r="G179" s="545"/>
      <c r="H179" s="545"/>
      <c r="I179" s="545"/>
      <c r="J179" s="545"/>
      <c r="K179" s="545"/>
      <c r="L179" s="545"/>
      <c r="M179" s="545"/>
      <c r="N179" s="545"/>
      <c r="O179" s="545"/>
      <c r="P179" s="545"/>
      <c r="Q179" s="545"/>
      <c r="R179" s="545"/>
      <c r="S179" s="576"/>
      <c r="T179" s="576"/>
      <c r="U179" s="576"/>
      <c r="V179" s="576"/>
      <c r="W179" s="545"/>
      <c r="X179" s="545"/>
      <c r="Y179" s="576"/>
      <c r="Z179" s="576"/>
      <c r="AA179" s="545"/>
      <c r="AB179" s="545"/>
      <c r="AC179" s="545"/>
      <c r="AD179" s="576"/>
      <c r="AE179" s="576"/>
      <c r="AF179" s="576"/>
      <c r="AG179" s="576"/>
      <c r="AH179" s="576"/>
      <c r="AI179" s="576"/>
      <c r="AJ179" s="576"/>
      <c r="AK179" s="576"/>
      <c r="AL179" s="576"/>
      <c r="AM179" s="576"/>
      <c r="AN179" s="576"/>
      <c r="AO179" s="576"/>
      <c r="AP179" s="576"/>
      <c r="AQ179" s="576"/>
      <c r="AR179" s="576"/>
      <c r="AS179" s="576"/>
      <c r="AT179" s="576"/>
      <c r="AU179" s="576"/>
      <c r="AV179" s="576"/>
      <c r="AW179" s="576"/>
      <c r="AX179" s="576"/>
      <c r="AY179" s="576"/>
      <c r="AZ179" s="576"/>
      <c r="BA179" s="576"/>
      <c r="BB179" s="576"/>
      <c r="BC179" s="576"/>
      <c r="BD179" s="572"/>
      <c r="BE179" s="710"/>
      <c r="BF179" s="710"/>
      <c r="BG179" s="710"/>
      <c r="BH179" s="710"/>
      <c r="BI179" s="710"/>
      <c r="BJ179" s="710"/>
      <c r="BK179" s="710"/>
      <c r="BL179" s="710"/>
      <c r="BM179" s="710"/>
      <c r="BN179" s="710"/>
      <c r="BO179" s="710"/>
      <c r="BP179" s="710"/>
      <c r="BQ179" s="710"/>
      <c r="BR179" s="710"/>
      <c r="BS179" s="710"/>
      <c r="BT179" s="710"/>
    </row>
    <row r="180" spans="1:72" s="709" customFormat="1" ht="15.75">
      <c r="A180" s="545"/>
      <c r="B180" s="545"/>
      <c r="C180" s="545"/>
      <c r="D180" s="545"/>
      <c r="E180" s="545"/>
      <c r="F180" s="545"/>
      <c r="G180" s="545"/>
      <c r="H180" s="545"/>
      <c r="I180" s="545"/>
      <c r="J180" s="545"/>
      <c r="K180" s="545"/>
      <c r="L180" s="545"/>
      <c r="M180" s="545"/>
      <c r="N180" s="545"/>
      <c r="O180" s="545"/>
      <c r="P180" s="545"/>
      <c r="Q180" s="545"/>
      <c r="R180" s="545"/>
      <c r="S180" s="576"/>
      <c r="T180" s="576"/>
      <c r="U180" s="576"/>
      <c r="V180" s="576"/>
      <c r="W180" s="545"/>
      <c r="X180" s="545"/>
      <c r="Y180" s="576"/>
      <c r="Z180" s="576"/>
      <c r="AA180" s="545"/>
      <c r="AB180" s="545"/>
      <c r="AC180" s="545"/>
      <c r="AD180" s="576"/>
      <c r="AE180" s="576"/>
      <c r="AF180" s="576"/>
      <c r="AG180" s="576"/>
      <c r="AH180" s="576"/>
      <c r="AI180" s="576"/>
      <c r="AJ180" s="576"/>
      <c r="AK180" s="576"/>
      <c r="AL180" s="576"/>
      <c r="AM180" s="576"/>
      <c r="AN180" s="576"/>
      <c r="AO180" s="576"/>
      <c r="AP180" s="576"/>
      <c r="AQ180" s="576"/>
      <c r="AR180" s="576"/>
      <c r="AS180" s="576"/>
      <c r="AT180" s="576"/>
      <c r="AU180" s="576"/>
      <c r="AV180" s="576"/>
      <c r="AW180" s="576"/>
      <c r="AX180" s="576"/>
      <c r="AY180" s="576"/>
      <c r="AZ180" s="576"/>
      <c r="BA180" s="576"/>
      <c r="BB180" s="576"/>
      <c r="BC180" s="576"/>
      <c r="BD180" s="572"/>
      <c r="BE180" s="710"/>
      <c r="BF180" s="710"/>
      <c r="BG180" s="710"/>
      <c r="BH180" s="710"/>
      <c r="BI180" s="710"/>
      <c r="BJ180" s="710"/>
      <c r="BK180" s="710"/>
      <c r="BL180" s="710"/>
      <c r="BM180" s="710"/>
      <c r="BN180" s="710"/>
      <c r="BO180" s="710"/>
      <c r="BP180" s="710"/>
      <c r="BQ180" s="710"/>
      <c r="BR180" s="710"/>
      <c r="BS180" s="710"/>
      <c r="BT180" s="710"/>
    </row>
    <row r="181" spans="1:72" s="709" customFormat="1" ht="15.75">
      <c r="A181" s="545"/>
      <c r="B181" s="545"/>
      <c r="C181" s="545"/>
      <c r="D181" s="545"/>
      <c r="E181" s="545"/>
      <c r="F181" s="545"/>
      <c r="G181" s="545"/>
      <c r="H181" s="545"/>
      <c r="I181" s="545"/>
      <c r="J181" s="545"/>
      <c r="K181" s="545"/>
      <c r="L181" s="545"/>
      <c r="M181" s="545"/>
      <c r="N181" s="545"/>
      <c r="O181" s="545"/>
      <c r="P181" s="545"/>
      <c r="Q181" s="545"/>
      <c r="R181" s="545"/>
      <c r="S181" s="576"/>
      <c r="T181" s="576"/>
      <c r="U181" s="576"/>
      <c r="V181" s="576"/>
      <c r="W181" s="545"/>
      <c r="X181" s="545"/>
      <c r="Y181" s="576"/>
      <c r="Z181" s="576"/>
      <c r="AA181" s="545"/>
      <c r="AB181" s="545"/>
      <c r="AC181" s="545"/>
      <c r="AD181" s="576"/>
      <c r="AE181" s="576"/>
      <c r="AF181" s="576"/>
      <c r="AG181" s="576"/>
      <c r="AH181" s="576"/>
      <c r="AI181" s="576"/>
      <c r="AJ181" s="576"/>
      <c r="AK181" s="576"/>
      <c r="AL181" s="576"/>
      <c r="AM181" s="576"/>
      <c r="AN181" s="576"/>
      <c r="AO181" s="576"/>
      <c r="AP181" s="576"/>
      <c r="AQ181" s="576"/>
      <c r="AR181" s="576"/>
      <c r="AS181" s="576"/>
      <c r="AT181" s="576"/>
      <c r="AU181" s="576"/>
      <c r="AV181" s="576"/>
      <c r="AW181" s="576"/>
      <c r="AX181" s="576"/>
      <c r="AY181" s="576"/>
      <c r="AZ181" s="576"/>
      <c r="BA181" s="576"/>
      <c r="BB181" s="576"/>
      <c r="BC181" s="576"/>
      <c r="BD181" s="572"/>
      <c r="BE181" s="710"/>
      <c r="BF181" s="710"/>
      <c r="BG181" s="710"/>
      <c r="BH181" s="710"/>
      <c r="BI181" s="710"/>
      <c r="BJ181" s="710"/>
      <c r="BK181" s="710"/>
      <c r="BL181" s="710"/>
      <c r="BM181" s="710"/>
      <c r="BN181" s="710"/>
      <c r="BO181" s="710"/>
      <c r="BP181" s="710"/>
      <c r="BQ181" s="710"/>
      <c r="BR181" s="710"/>
      <c r="BS181" s="710"/>
      <c r="BT181" s="710"/>
    </row>
    <row r="182" spans="1:72" s="709" customFormat="1" ht="15.75">
      <c r="A182" s="545"/>
      <c r="B182" s="545"/>
      <c r="C182" s="545"/>
      <c r="D182" s="545"/>
      <c r="E182" s="545"/>
      <c r="F182" s="545"/>
      <c r="G182" s="545"/>
      <c r="H182" s="545"/>
      <c r="I182" s="545"/>
      <c r="J182" s="545"/>
      <c r="K182" s="545"/>
      <c r="L182" s="545"/>
      <c r="M182" s="545"/>
      <c r="N182" s="545"/>
      <c r="O182" s="545"/>
      <c r="P182" s="545"/>
      <c r="Q182" s="545"/>
      <c r="R182" s="545"/>
      <c r="S182" s="576"/>
      <c r="T182" s="576"/>
      <c r="U182" s="576"/>
      <c r="V182" s="576"/>
      <c r="W182" s="545"/>
      <c r="X182" s="545"/>
      <c r="Y182" s="576"/>
      <c r="Z182" s="576"/>
      <c r="AA182" s="545"/>
      <c r="AB182" s="545"/>
      <c r="AC182" s="545"/>
      <c r="AD182" s="576"/>
      <c r="AE182" s="576"/>
      <c r="AF182" s="576"/>
      <c r="AG182" s="576"/>
      <c r="AH182" s="576"/>
      <c r="AI182" s="576"/>
      <c r="AJ182" s="576"/>
      <c r="AK182" s="576"/>
      <c r="AL182" s="576"/>
      <c r="AM182" s="576"/>
      <c r="AN182" s="576"/>
      <c r="AO182" s="576"/>
      <c r="AP182" s="576"/>
      <c r="AQ182" s="576"/>
      <c r="AR182" s="576"/>
      <c r="AS182" s="576"/>
      <c r="AT182" s="576"/>
      <c r="AU182" s="576"/>
      <c r="AV182" s="576"/>
      <c r="AW182" s="576"/>
      <c r="AX182" s="576"/>
      <c r="AY182" s="576"/>
      <c r="AZ182" s="576"/>
      <c r="BA182" s="576"/>
      <c r="BB182" s="576"/>
      <c r="BC182" s="576"/>
      <c r="BD182" s="572"/>
      <c r="BE182" s="710"/>
      <c r="BF182" s="710"/>
      <c r="BG182" s="710"/>
      <c r="BH182" s="710"/>
      <c r="BI182" s="710"/>
      <c r="BJ182" s="710"/>
      <c r="BK182" s="710"/>
      <c r="BL182" s="710"/>
      <c r="BM182" s="710"/>
      <c r="BN182" s="710"/>
      <c r="BO182" s="710"/>
      <c r="BP182" s="710"/>
      <c r="BQ182" s="710"/>
      <c r="BR182" s="710"/>
      <c r="BS182" s="710"/>
      <c r="BT182" s="710"/>
    </row>
    <row r="183" spans="1:72" s="709" customFormat="1" ht="15.75">
      <c r="A183" s="545"/>
      <c r="B183" s="545"/>
      <c r="C183" s="545"/>
      <c r="D183" s="545"/>
      <c r="E183" s="545"/>
      <c r="F183" s="545"/>
      <c r="G183" s="545"/>
      <c r="H183" s="545"/>
      <c r="I183" s="545"/>
      <c r="J183" s="545"/>
      <c r="K183" s="545"/>
      <c r="L183" s="545"/>
      <c r="M183" s="545"/>
      <c r="N183" s="545"/>
      <c r="O183" s="545"/>
      <c r="P183" s="545"/>
      <c r="Q183" s="545"/>
      <c r="R183" s="545"/>
      <c r="S183" s="576"/>
      <c r="T183" s="576"/>
      <c r="U183" s="576"/>
      <c r="V183" s="576"/>
      <c r="W183" s="545"/>
      <c r="X183" s="545"/>
      <c r="Y183" s="576"/>
      <c r="Z183" s="576"/>
      <c r="AA183" s="545"/>
      <c r="AB183" s="545"/>
      <c r="AC183" s="545"/>
      <c r="AD183" s="576"/>
      <c r="AE183" s="576"/>
      <c r="AF183" s="576"/>
      <c r="AG183" s="576"/>
      <c r="AH183" s="576"/>
      <c r="AI183" s="576"/>
      <c r="AJ183" s="576"/>
      <c r="AK183" s="576"/>
      <c r="AL183" s="576"/>
      <c r="AM183" s="576"/>
      <c r="AN183" s="576"/>
      <c r="AO183" s="576"/>
      <c r="AP183" s="576"/>
      <c r="AQ183" s="576"/>
      <c r="AR183" s="576"/>
      <c r="AS183" s="576"/>
      <c r="AT183" s="576"/>
      <c r="AU183" s="576"/>
      <c r="AV183" s="576"/>
      <c r="AW183" s="576"/>
      <c r="AX183" s="576"/>
      <c r="AY183" s="576"/>
      <c r="AZ183" s="576"/>
      <c r="BA183" s="576"/>
      <c r="BB183" s="576"/>
      <c r="BC183" s="576"/>
      <c r="BD183" s="572"/>
      <c r="BE183" s="710"/>
      <c r="BF183" s="710"/>
      <c r="BG183" s="710"/>
      <c r="BH183" s="710"/>
      <c r="BI183" s="710"/>
      <c r="BJ183" s="710"/>
      <c r="BK183" s="710"/>
      <c r="BL183" s="710"/>
      <c r="BM183" s="710"/>
      <c r="BN183" s="710"/>
      <c r="BO183" s="710"/>
      <c r="BP183" s="710"/>
      <c r="BQ183" s="710"/>
      <c r="BR183" s="710"/>
      <c r="BS183" s="710"/>
      <c r="BT183" s="710"/>
    </row>
    <row r="184" spans="1:72" s="709" customFormat="1" ht="15.75">
      <c r="A184" s="545"/>
      <c r="B184" s="545"/>
      <c r="C184" s="545"/>
      <c r="D184" s="545"/>
      <c r="E184" s="545"/>
      <c r="F184" s="545"/>
      <c r="G184" s="545"/>
      <c r="H184" s="545"/>
      <c r="I184" s="545"/>
      <c r="J184" s="545"/>
      <c r="K184" s="545"/>
      <c r="L184" s="545"/>
      <c r="M184" s="545"/>
      <c r="N184" s="545"/>
      <c r="O184" s="545"/>
      <c r="P184" s="545"/>
      <c r="Q184" s="545"/>
      <c r="R184" s="545"/>
      <c r="S184" s="576"/>
      <c r="T184" s="576"/>
      <c r="U184" s="576"/>
      <c r="V184" s="576"/>
      <c r="W184" s="545"/>
      <c r="X184" s="545"/>
      <c r="Y184" s="576"/>
      <c r="Z184" s="576"/>
      <c r="AA184" s="545"/>
      <c r="AB184" s="545"/>
      <c r="AC184" s="545"/>
      <c r="AD184" s="576"/>
      <c r="AE184" s="576"/>
      <c r="AF184" s="576"/>
      <c r="AG184" s="576"/>
      <c r="AH184" s="576"/>
      <c r="AI184" s="576"/>
      <c r="AJ184" s="576"/>
      <c r="AK184" s="576"/>
      <c r="AL184" s="576"/>
      <c r="AM184" s="576"/>
      <c r="AN184" s="576"/>
      <c r="AO184" s="576"/>
      <c r="AP184" s="576"/>
      <c r="AQ184" s="576"/>
      <c r="AR184" s="576"/>
      <c r="AS184" s="576"/>
      <c r="AT184" s="576"/>
      <c r="AU184" s="576"/>
      <c r="AV184" s="576"/>
      <c r="AW184" s="576"/>
      <c r="AX184" s="576"/>
      <c r="AY184" s="576"/>
      <c r="AZ184" s="576"/>
      <c r="BA184" s="576"/>
      <c r="BB184" s="576"/>
      <c r="BC184" s="576"/>
      <c r="BD184" s="572"/>
      <c r="BE184" s="710"/>
      <c r="BF184" s="710"/>
      <c r="BG184" s="710"/>
      <c r="BH184" s="710"/>
      <c r="BI184" s="710"/>
      <c r="BJ184" s="710"/>
      <c r="BK184" s="710"/>
      <c r="BL184" s="710"/>
      <c r="BM184" s="710"/>
      <c r="BN184" s="710"/>
      <c r="BO184" s="710"/>
      <c r="BP184" s="710"/>
      <c r="BQ184" s="710"/>
      <c r="BR184" s="710"/>
      <c r="BS184" s="710"/>
      <c r="BT184" s="710"/>
    </row>
    <row r="185" spans="1:72" s="709" customFormat="1" ht="15.75">
      <c r="A185" s="545"/>
      <c r="B185" s="545"/>
      <c r="C185" s="545"/>
      <c r="D185" s="545"/>
      <c r="E185" s="545"/>
      <c r="F185" s="545"/>
      <c r="G185" s="545"/>
      <c r="H185" s="545"/>
      <c r="I185" s="545"/>
      <c r="J185" s="545"/>
      <c r="K185" s="545"/>
      <c r="L185" s="545"/>
      <c r="M185" s="545"/>
      <c r="N185" s="545"/>
      <c r="O185" s="545"/>
      <c r="P185" s="545"/>
      <c r="Q185" s="545"/>
      <c r="R185" s="545"/>
      <c r="S185" s="576"/>
      <c r="T185" s="576"/>
      <c r="U185" s="576"/>
      <c r="V185" s="576"/>
      <c r="W185" s="545"/>
      <c r="X185" s="545"/>
      <c r="Y185" s="576"/>
      <c r="Z185" s="576"/>
      <c r="AA185" s="545"/>
      <c r="AB185" s="545"/>
      <c r="AC185" s="545"/>
      <c r="AD185" s="576"/>
      <c r="AE185" s="576"/>
      <c r="AF185" s="576"/>
      <c r="AG185" s="576"/>
      <c r="AH185" s="576"/>
      <c r="AI185" s="576"/>
      <c r="AJ185" s="576"/>
      <c r="AK185" s="576"/>
      <c r="AL185" s="576"/>
      <c r="AM185" s="576"/>
      <c r="AN185" s="576"/>
      <c r="AO185" s="576"/>
      <c r="AP185" s="576"/>
      <c r="AQ185" s="576"/>
      <c r="AR185" s="576"/>
      <c r="AS185" s="576"/>
      <c r="AT185" s="576"/>
      <c r="AU185" s="576"/>
      <c r="AV185" s="576"/>
      <c r="AW185" s="576"/>
      <c r="AX185" s="576"/>
      <c r="AY185" s="576"/>
      <c r="AZ185" s="576"/>
      <c r="BA185" s="576"/>
      <c r="BB185" s="576"/>
      <c r="BC185" s="576"/>
      <c r="BD185" s="572"/>
      <c r="BE185" s="710"/>
      <c r="BF185" s="710"/>
      <c r="BG185" s="710"/>
      <c r="BH185" s="710"/>
      <c r="BI185" s="710"/>
      <c r="BJ185" s="710"/>
      <c r="BK185" s="710"/>
      <c r="BL185" s="710"/>
      <c r="BM185" s="710"/>
      <c r="BN185" s="710"/>
      <c r="BO185" s="710"/>
      <c r="BP185" s="710"/>
      <c r="BQ185" s="710"/>
      <c r="BR185" s="710"/>
      <c r="BS185" s="710"/>
      <c r="BT185" s="710"/>
    </row>
    <row r="186" spans="1:72" s="709" customFormat="1" ht="15.75">
      <c r="A186" s="545"/>
      <c r="B186" s="545"/>
      <c r="C186" s="545"/>
      <c r="D186" s="545"/>
      <c r="E186" s="545"/>
      <c r="F186" s="545"/>
      <c r="G186" s="545"/>
      <c r="H186" s="545"/>
      <c r="I186" s="545"/>
      <c r="J186" s="545"/>
      <c r="K186" s="545"/>
      <c r="L186" s="545"/>
      <c r="M186" s="545"/>
      <c r="N186" s="545"/>
      <c r="O186" s="545"/>
      <c r="P186" s="545"/>
      <c r="Q186" s="545"/>
      <c r="R186" s="545"/>
      <c r="S186" s="576"/>
      <c r="T186" s="576"/>
      <c r="U186" s="576"/>
      <c r="V186" s="576"/>
      <c r="W186" s="545"/>
      <c r="X186" s="545"/>
      <c r="Y186" s="576"/>
      <c r="Z186" s="576"/>
      <c r="AA186" s="545"/>
      <c r="AB186" s="545"/>
      <c r="AC186" s="545"/>
      <c r="AD186" s="576"/>
      <c r="AE186" s="576"/>
      <c r="AF186" s="576"/>
      <c r="AG186" s="576"/>
      <c r="AH186" s="576"/>
      <c r="AI186" s="576"/>
      <c r="AJ186" s="576"/>
      <c r="AK186" s="576"/>
      <c r="AL186" s="576"/>
      <c r="AM186" s="576"/>
      <c r="AN186" s="576"/>
      <c r="AO186" s="576"/>
      <c r="AP186" s="576"/>
      <c r="AQ186" s="576"/>
      <c r="AR186" s="576"/>
      <c r="AS186" s="576"/>
      <c r="AT186" s="576"/>
      <c r="AU186" s="576"/>
      <c r="AV186" s="576"/>
      <c r="AW186" s="576"/>
      <c r="AX186" s="576"/>
      <c r="AY186" s="576"/>
      <c r="AZ186" s="576"/>
      <c r="BA186" s="576"/>
      <c r="BB186" s="576"/>
      <c r="BC186" s="576"/>
      <c r="BD186" s="572"/>
      <c r="BE186" s="710"/>
      <c r="BF186" s="710"/>
      <c r="BG186" s="710"/>
      <c r="BH186" s="710"/>
      <c r="BI186" s="710"/>
      <c r="BJ186" s="710"/>
      <c r="BK186" s="710"/>
      <c r="BL186" s="710"/>
      <c r="BM186" s="710"/>
      <c r="BN186" s="710"/>
      <c r="BO186" s="710"/>
      <c r="BP186" s="710"/>
      <c r="BQ186" s="710"/>
      <c r="BR186" s="710"/>
      <c r="BS186" s="710"/>
      <c r="BT186" s="710"/>
    </row>
    <row r="187" spans="1:72" s="709" customFormat="1" ht="15.75">
      <c r="A187" s="545"/>
      <c r="B187" s="545"/>
      <c r="C187" s="545"/>
      <c r="D187" s="545"/>
      <c r="E187" s="545"/>
      <c r="F187" s="545"/>
      <c r="G187" s="545"/>
      <c r="H187" s="545"/>
      <c r="I187" s="545"/>
      <c r="J187" s="545"/>
      <c r="K187" s="545"/>
      <c r="L187" s="545"/>
      <c r="M187" s="545"/>
      <c r="N187" s="545"/>
      <c r="O187" s="545"/>
      <c r="P187" s="545"/>
      <c r="Q187" s="545"/>
      <c r="R187" s="545"/>
      <c r="S187" s="576"/>
      <c r="T187" s="576"/>
      <c r="U187" s="576"/>
      <c r="V187" s="576"/>
      <c r="W187" s="545"/>
      <c r="X187" s="545"/>
      <c r="Y187" s="576"/>
      <c r="Z187" s="576"/>
      <c r="AA187" s="545"/>
      <c r="AB187" s="545"/>
      <c r="AC187" s="545"/>
      <c r="AD187" s="576"/>
      <c r="AE187" s="576"/>
      <c r="AF187" s="576"/>
      <c r="AG187" s="576"/>
      <c r="AH187" s="576"/>
      <c r="AI187" s="576"/>
      <c r="AJ187" s="576"/>
      <c r="AK187" s="576"/>
      <c r="AL187" s="576"/>
      <c r="AM187" s="576"/>
      <c r="AN187" s="576"/>
      <c r="AO187" s="576"/>
      <c r="AP187" s="576"/>
      <c r="AQ187" s="576"/>
      <c r="AR187" s="576"/>
      <c r="AS187" s="576"/>
      <c r="AT187" s="576"/>
      <c r="AU187" s="576"/>
      <c r="AV187" s="576"/>
      <c r="AW187" s="576"/>
      <c r="AX187" s="576"/>
      <c r="AY187" s="576"/>
      <c r="AZ187" s="576"/>
      <c r="BA187" s="576"/>
      <c r="BB187" s="576"/>
      <c r="BC187" s="576"/>
      <c r="BD187" s="572"/>
      <c r="BE187" s="710"/>
      <c r="BF187" s="710"/>
      <c r="BG187" s="710"/>
      <c r="BH187" s="710"/>
      <c r="BI187" s="710"/>
      <c r="BJ187" s="710"/>
      <c r="BK187" s="710"/>
      <c r="BL187" s="710"/>
      <c r="BM187" s="710"/>
      <c r="BN187" s="710"/>
      <c r="BO187" s="710"/>
      <c r="BP187" s="710"/>
      <c r="BQ187" s="710"/>
      <c r="BR187" s="710"/>
      <c r="BS187" s="710"/>
      <c r="BT187" s="710"/>
    </row>
    <row r="188" spans="1:72" s="709" customFormat="1" ht="15.75">
      <c r="A188" s="545"/>
      <c r="B188" s="545"/>
      <c r="C188" s="545"/>
      <c r="D188" s="545"/>
      <c r="E188" s="545"/>
      <c r="F188" s="545"/>
      <c r="G188" s="545"/>
      <c r="H188" s="545"/>
      <c r="I188" s="545"/>
      <c r="J188" s="545"/>
      <c r="K188" s="545"/>
      <c r="L188" s="545"/>
      <c r="M188" s="545"/>
      <c r="N188" s="545"/>
      <c r="O188" s="545"/>
      <c r="P188" s="545"/>
      <c r="Q188" s="545"/>
      <c r="R188" s="545"/>
      <c r="S188" s="576"/>
      <c r="T188" s="576"/>
      <c r="U188" s="576"/>
      <c r="V188" s="576"/>
      <c r="W188" s="545"/>
      <c r="X188" s="545"/>
      <c r="Y188" s="576"/>
      <c r="Z188" s="576"/>
      <c r="AA188" s="545"/>
      <c r="AB188" s="545"/>
      <c r="AC188" s="545"/>
      <c r="AD188" s="576"/>
      <c r="AE188" s="576"/>
      <c r="AF188" s="576"/>
      <c r="AG188" s="576"/>
      <c r="AH188" s="576"/>
      <c r="AI188" s="576"/>
      <c r="AJ188" s="576"/>
      <c r="AK188" s="576"/>
      <c r="AL188" s="576"/>
      <c r="AM188" s="576"/>
      <c r="AN188" s="576"/>
      <c r="AO188" s="576"/>
      <c r="AP188" s="576"/>
      <c r="AQ188" s="576"/>
      <c r="AR188" s="576"/>
      <c r="AS188" s="576"/>
      <c r="AT188" s="576"/>
      <c r="AU188" s="576"/>
      <c r="AV188" s="576"/>
      <c r="AW188" s="576"/>
      <c r="AX188" s="576"/>
      <c r="AY188" s="576"/>
      <c r="AZ188" s="576"/>
      <c r="BA188" s="576"/>
      <c r="BB188" s="576"/>
      <c r="BC188" s="576"/>
      <c r="BD188" s="572"/>
      <c r="BE188" s="710"/>
      <c r="BF188" s="710"/>
      <c r="BG188" s="710"/>
      <c r="BH188" s="710"/>
      <c r="BI188" s="710"/>
      <c r="BJ188" s="710"/>
      <c r="BK188" s="710"/>
      <c r="BL188" s="710"/>
      <c r="BM188" s="710"/>
      <c r="BN188" s="710"/>
      <c r="BO188" s="710"/>
      <c r="BP188" s="710"/>
      <c r="BQ188" s="710"/>
      <c r="BR188" s="710"/>
      <c r="BS188" s="710"/>
      <c r="BT188" s="710"/>
    </row>
    <row r="189" spans="1:72" s="709" customFormat="1" ht="15.75">
      <c r="A189" s="545"/>
      <c r="B189" s="545"/>
      <c r="C189" s="545"/>
      <c r="D189" s="545"/>
      <c r="E189" s="545"/>
      <c r="F189" s="545"/>
      <c r="G189" s="545"/>
      <c r="H189" s="545"/>
      <c r="I189" s="545"/>
      <c r="J189" s="545"/>
      <c r="K189" s="545"/>
      <c r="L189" s="545"/>
      <c r="M189" s="545"/>
      <c r="N189" s="545"/>
      <c r="O189" s="545"/>
      <c r="P189" s="545"/>
      <c r="Q189" s="545"/>
      <c r="R189" s="545"/>
      <c r="S189" s="576"/>
      <c r="T189" s="576"/>
      <c r="U189" s="576"/>
      <c r="V189" s="576"/>
      <c r="W189" s="545"/>
      <c r="X189" s="545"/>
      <c r="Y189" s="576"/>
      <c r="Z189" s="576"/>
      <c r="AA189" s="545"/>
      <c r="AB189" s="545"/>
      <c r="AC189" s="545"/>
      <c r="AD189" s="576"/>
      <c r="AE189" s="576"/>
      <c r="AF189" s="576"/>
      <c r="AG189" s="576"/>
      <c r="AH189" s="576"/>
      <c r="AI189" s="576"/>
      <c r="AJ189" s="576"/>
      <c r="AK189" s="576"/>
      <c r="AL189" s="576"/>
      <c r="AM189" s="576"/>
      <c r="AN189" s="576"/>
      <c r="AO189" s="576"/>
      <c r="AP189" s="576"/>
      <c r="AQ189" s="576"/>
      <c r="AR189" s="576"/>
      <c r="AS189" s="576"/>
      <c r="AT189" s="576"/>
      <c r="AU189" s="576"/>
      <c r="AV189" s="576"/>
      <c r="AW189" s="576"/>
      <c r="AX189" s="576"/>
      <c r="AY189" s="576"/>
      <c r="AZ189" s="576"/>
      <c r="BA189" s="576"/>
      <c r="BB189" s="576"/>
      <c r="BC189" s="576"/>
      <c r="BD189" s="572"/>
      <c r="BE189" s="710"/>
      <c r="BF189" s="710"/>
      <c r="BG189" s="710"/>
      <c r="BH189" s="710"/>
      <c r="BI189" s="710"/>
      <c r="BJ189" s="710"/>
      <c r="BK189" s="710"/>
      <c r="BL189" s="710"/>
      <c r="BM189" s="710"/>
      <c r="BN189" s="710"/>
      <c r="BO189" s="710"/>
      <c r="BP189" s="710"/>
      <c r="BQ189" s="710"/>
      <c r="BR189" s="710"/>
      <c r="BS189" s="710"/>
      <c r="BT189" s="710"/>
    </row>
    <row r="190" spans="1:72" s="709" customFormat="1" ht="15.75">
      <c r="A190" s="545"/>
      <c r="B190" s="545"/>
      <c r="C190" s="545"/>
      <c r="D190" s="545"/>
      <c r="E190" s="545"/>
      <c r="F190" s="545"/>
      <c r="G190" s="545"/>
      <c r="H190" s="545"/>
      <c r="I190" s="545"/>
      <c r="J190" s="545"/>
      <c r="K190" s="545"/>
      <c r="L190" s="545"/>
      <c r="M190" s="545"/>
      <c r="N190" s="545"/>
      <c r="O190" s="545"/>
      <c r="P190" s="545"/>
      <c r="Q190" s="545"/>
      <c r="R190" s="545"/>
      <c r="S190" s="576"/>
      <c r="T190" s="576"/>
      <c r="U190" s="576"/>
      <c r="V190" s="576"/>
      <c r="W190" s="545"/>
      <c r="X190" s="545"/>
      <c r="Y190" s="576"/>
      <c r="Z190" s="576"/>
      <c r="AA190" s="545"/>
      <c r="AB190" s="545"/>
      <c r="AC190" s="545"/>
      <c r="AD190" s="576"/>
      <c r="AE190" s="576"/>
      <c r="AF190" s="576"/>
      <c r="AG190" s="576"/>
      <c r="AH190" s="576"/>
      <c r="AI190" s="576"/>
      <c r="AJ190" s="576"/>
      <c r="AK190" s="576"/>
      <c r="AL190" s="576"/>
      <c r="AM190" s="576"/>
      <c r="AN190" s="576"/>
      <c r="AO190" s="576"/>
      <c r="AP190" s="576"/>
      <c r="AQ190" s="576"/>
      <c r="AR190" s="576"/>
      <c r="AS190" s="576"/>
      <c r="AT190" s="576"/>
      <c r="AU190" s="576"/>
      <c r="AV190" s="576"/>
      <c r="AW190" s="576"/>
      <c r="AX190" s="576"/>
      <c r="AY190" s="576"/>
      <c r="AZ190" s="576"/>
      <c r="BA190" s="576"/>
      <c r="BB190" s="576"/>
      <c r="BC190" s="576"/>
      <c r="BD190" s="572"/>
      <c r="BE190" s="710"/>
      <c r="BF190" s="710"/>
      <c r="BG190" s="710"/>
      <c r="BH190" s="710"/>
      <c r="BI190" s="710"/>
      <c r="BJ190" s="710"/>
      <c r="BK190" s="710"/>
      <c r="BL190" s="710"/>
      <c r="BM190" s="710"/>
      <c r="BN190" s="710"/>
      <c r="BO190" s="710"/>
      <c r="BP190" s="710"/>
      <c r="BQ190" s="710"/>
      <c r="BR190" s="710"/>
      <c r="BS190" s="710"/>
      <c r="BT190" s="710"/>
    </row>
    <row r="191" spans="1:72" s="709" customFormat="1" ht="15.75">
      <c r="A191" s="545"/>
      <c r="B191" s="545"/>
      <c r="C191" s="545"/>
      <c r="D191" s="545"/>
      <c r="E191" s="545"/>
      <c r="F191" s="545"/>
      <c r="G191" s="545"/>
      <c r="H191" s="545"/>
      <c r="I191" s="545"/>
      <c r="J191" s="545"/>
      <c r="K191" s="545"/>
      <c r="L191" s="545"/>
      <c r="M191" s="545"/>
      <c r="N191" s="545"/>
      <c r="O191" s="545"/>
      <c r="P191" s="545"/>
      <c r="Q191" s="545"/>
      <c r="R191" s="545"/>
      <c r="S191" s="576"/>
      <c r="T191" s="576"/>
      <c r="U191" s="576"/>
      <c r="V191" s="576"/>
      <c r="W191" s="545"/>
      <c r="X191" s="545"/>
      <c r="Y191" s="576"/>
      <c r="Z191" s="576"/>
      <c r="AA191" s="545"/>
      <c r="AB191" s="545"/>
      <c r="AC191" s="545"/>
      <c r="AD191" s="576"/>
      <c r="AE191" s="576"/>
      <c r="AF191" s="576"/>
      <c r="AG191" s="576"/>
      <c r="AH191" s="576"/>
      <c r="AI191" s="576"/>
      <c r="AJ191" s="576"/>
      <c r="AK191" s="576"/>
      <c r="AL191" s="576"/>
      <c r="AM191" s="576"/>
      <c r="AN191" s="576"/>
      <c r="AO191" s="576"/>
      <c r="AP191" s="576"/>
      <c r="AQ191" s="576"/>
      <c r="AR191" s="576"/>
      <c r="AS191" s="576"/>
      <c r="AT191" s="576"/>
      <c r="AU191" s="576"/>
      <c r="AV191" s="576"/>
      <c r="AW191" s="576"/>
      <c r="AX191" s="576"/>
      <c r="AY191" s="576"/>
      <c r="AZ191" s="576"/>
      <c r="BA191" s="576"/>
      <c r="BB191" s="576"/>
      <c r="BC191" s="576"/>
      <c r="BD191" s="572"/>
      <c r="BE191" s="710"/>
      <c r="BF191" s="710"/>
      <c r="BG191" s="710"/>
      <c r="BH191" s="710"/>
      <c r="BI191" s="710"/>
      <c r="BJ191" s="710"/>
      <c r="BK191" s="710"/>
      <c r="BL191" s="710"/>
      <c r="BM191" s="710"/>
      <c r="BN191" s="710"/>
      <c r="BO191" s="710"/>
      <c r="BP191" s="710"/>
      <c r="BQ191" s="710"/>
      <c r="BR191" s="710"/>
      <c r="BS191" s="710"/>
      <c r="BT191" s="710"/>
    </row>
    <row r="192" spans="1:72" s="709" customFormat="1" ht="15.75">
      <c r="A192" s="545"/>
      <c r="B192" s="545"/>
      <c r="C192" s="545"/>
      <c r="D192" s="545"/>
      <c r="E192" s="545"/>
      <c r="F192" s="545"/>
      <c r="G192" s="545"/>
      <c r="H192" s="545"/>
      <c r="I192" s="545"/>
      <c r="J192" s="545"/>
      <c r="K192" s="545"/>
      <c r="L192" s="545"/>
      <c r="M192" s="545"/>
      <c r="N192" s="545"/>
      <c r="O192" s="545"/>
      <c r="P192" s="545"/>
      <c r="Q192" s="545"/>
      <c r="R192" s="545"/>
      <c r="S192" s="576"/>
      <c r="T192" s="576"/>
      <c r="U192" s="576"/>
      <c r="V192" s="576"/>
      <c r="W192" s="545"/>
      <c r="X192" s="545"/>
      <c r="Y192" s="576"/>
      <c r="Z192" s="576"/>
      <c r="AA192" s="545"/>
      <c r="AB192" s="545"/>
      <c r="AC192" s="545"/>
      <c r="AD192" s="576"/>
      <c r="AE192" s="576"/>
      <c r="AF192" s="576"/>
      <c r="AG192" s="576"/>
      <c r="AH192" s="576"/>
      <c r="AI192" s="576"/>
      <c r="AJ192" s="576"/>
      <c r="AK192" s="576"/>
      <c r="AL192" s="576"/>
      <c r="AM192" s="576"/>
      <c r="AN192" s="576"/>
      <c r="AO192" s="576"/>
      <c r="AP192" s="576"/>
      <c r="AQ192" s="576"/>
      <c r="AR192" s="576"/>
      <c r="AS192" s="576"/>
      <c r="AT192" s="576"/>
      <c r="AU192" s="576"/>
      <c r="AV192" s="576"/>
      <c r="AW192" s="576"/>
      <c r="AX192" s="576"/>
      <c r="AY192" s="576"/>
      <c r="AZ192" s="576"/>
      <c r="BA192" s="576"/>
      <c r="BB192" s="576"/>
      <c r="BC192" s="576"/>
      <c r="BD192" s="572"/>
      <c r="BE192" s="710"/>
      <c r="BF192" s="710"/>
      <c r="BG192" s="710"/>
      <c r="BH192" s="710"/>
      <c r="BI192" s="710"/>
      <c r="BJ192" s="710"/>
      <c r="BK192" s="710"/>
      <c r="BL192" s="710"/>
      <c r="BM192" s="710"/>
      <c r="BN192" s="710"/>
      <c r="BO192" s="710"/>
      <c r="BP192" s="710"/>
      <c r="BQ192" s="710"/>
      <c r="BR192" s="710"/>
      <c r="BS192" s="710"/>
      <c r="BT192" s="710"/>
    </row>
    <row r="193" spans="1:72" s="709" customFormat="1" ht="15.75">
      <c r="A193" s="545"/>
      <c r="B193" s="545"/>
      <c r="C193" s="545"/>
      <c r="D193" s="545"/>
      <c r="E193" s="545"/>
      <c r="F193" s="545"/>
      <c r="G193" s="545"/>
      <c r="H193" s="545"/>
      <c r="I193" s="545"/>
      <c r="J193" s="545"/>
      <c r="K193" s="545"/>
      <c r="L193" s="545"/>
      <c r="M193" s="545"/>
      <c r="N193" s="545"/>
      <c r="O193" s="545"/>
      <c r="P193" s="545"/>
      <c r="Q193" s="545"/>
      <c r="R193" s="545"/>
      <c r="S193" s="576"/>
      <c r="T193" s="576"/>
      <c r="U193" s="576"/>
      <c r="V193" s="576"/>
      <c r="W193" s="545"/>
      <c r="X193" s="545"/>
      <c r="Y193" s="576"/>
      <c r="Z193" s="576"/>
      <c r="AA193" s="545"/>
      <c r="AB193" s="545"/>
      <c r="AC193" s="545"/>
      <c r="AD193" s="576"/>
      <c r="AE193" s="576"/>
      <c r="AF193" s="576"/>
      <c r="AG193" s="576"/>
      <c r="AH193" s="576"/>
      <c r="AI193" s="576"/>
      <c r="AJ193" s="576"/>
      <c r="AK193" s="576"/>
      <c r="AL193" s="576"/>
      <c r="AM193" s="576"/>
      <c r="AN193" s="576"/>
      <c r="AO193" s="576"/>
      <c r="AP193" s="576"/>
      <c r="AQ193" s="576"/>
      <c r="AR193" s="576"/>
      <c r="AS193" s="576"/>
      <c r="AT193" s="576"/>
      <c r="AU193" s="576"/>
      <c r="AV193" s="576"/>
      <c r="AW193" s="576"/>
      <c r="AX193" s="576"/>
      <c r="AY193" s="576"/>
      <c r="AZ193" s="576"/>
      <c r="BA193" s="576"/>
      <c r="BB193" s="576"/>
      <c r="BC193" s="576"/>
      <c r="BD193" s="572"/>
      <c r="BE193" s="710"/>
      <c r="BF193" s="710"/>
      <c r="BG193" s="710"/>
      <c r="BH193" s="710"/>
      <c r="BI193" s="710"/>
      <c r="BJ193" s="710"/>
      <c r="BK193" s="710"/>
      <c r="BL193" s="710"/>
      <c r="BM193" s="710"/>
      <c r="BN193" s="710"/>
      <c r="BO193" s="710"/>
      <c r="BP193" s="710"/>
      <c r="BQ193" s="710"/>
      <c r="BR193" s="710"/>
      <c r="BS193" s="710"/>
      <c r="BT193" s="710"/>
    </row>
    <row r="194" spans="1:72" s="709" customFormat="1" ht="15.75">
      <c r="A194" s="545"/>
      <c r="B194" s="545"/>
      <c r="C194" s="545"/>
      <c r="D194" s="545"/>
      <c r="E194" s="545"/>
      <c r="F194" s="545"/>
      <c r="G194" s="545"/>
      <c r="H194" s="545"/>
      <c r="I194" s="545"/>
      <c r="J194" s="545"/>
      <c r="K194" s="545"/>
      <c r="L194" s="545"/>
      <c r="M194" s="545"/>
      <c r="N194" s="545"/>
      <c r="O194" s="545"/>
      <c r="P194" s="545"/>
      <c r="Q194" s="545"/>
      <c r="R194" s="545"/>
      <c r="S194" s="576"/>
      <c r="T194" s="576"/>
      <c r="U194" s="576"/>
      <c r="V194" s="576"/>
      <c r="W194" s="545"/>
      <c r="X194" s="545"/>
      <c r="Y194" s="576"/>
      <c r="Z194" s="576"/>
      <c r="AA194" s="545"/>
      <c r="AB194" s="545"/>
      <c r="AC194" s="545"/>
      <c r="AD194" s="576"/>
      <c r="AE194" s="576"/>
      <c r="AF194" s="576"/>
      <c r="AG194" s="576"/>
      <c r="AH194" s="576"/>
      <c r="AI194" s="576"/>
      <c r="AJ194" s="576"/>
      <c r="AK194" s="576"/>
      <c r="AL194" s="576"/>
      <c r="AM194" s="576"/>
      <c r="AN194" s="576"/>
      <c r="AO194" s="576"/>
      <c r="AP194" s="576"/>
      <c r="AQ194" s="576"/>
      <c r="AR194" s="576"/>
      <c r="AS194" s="576"/>
      <c r="AT194" s="576"/>
      <c r="AU194" s="576"/>
      <c r="AV194" s="576"/>
      <c r="AW194" s="576"/>
      <c r="AX194" s="576"/>
      <c r="AY194" s="576"/>
      <c r="AZ194" s="576"/>
      <c r="BA194" s="576"/>
      <c r="BB194" s="576"/>
      <c r="BC194" s="576"/>
      <c r="BD194" s="572"/>
      <c r="BE194" s="710"/>
      <c r="BF194" s="710"/>
      <c r="BG194" s="710"/>
      <c r="BH194" s="710"/>
      <c r="BI194" s="710"/>
      <c r="BJ194" s="710"/>
      <c r="BK194" s="710"/>
      <c r="BL194" s="710"/>
      <c r="BM194" s="710"/>
      <c r="BN194" s="710"/>
      <c r="BO194" s="710"/>
      <c r="BP194" s="710"/>
      <c r="BQ194" s="710"/>
      <c r="BR194" s="710"/>
      <c r="BS194" s="710"/>
      <c r="BT194" s="710"/>
    </row>
    <row r="195" spans="1:72" s="709" customFormat="1" ht="15.75">
      <c r="A195" s="545"/>
      <c r="B195" s="545"/>
      <c r="C195" s="545"/>
      <c r="D195" s="545"/>
      <c r="E195" s="545"/>
      <c r="F195" s="545"/>
      <c r="G195" s="545"/>
      <c r="H195" s="545"/>
      <c r="I195" s="545"/>
      <c r="J195" s="545"/>
      <c r="K195" s="545"/>
      <c r="L195" s="545"/>
      <c r="M195" s="545"/>
      <c r="N195" s="545"/>
      <c r="O195" s="545"/>
      <c r="P195" s="545"/>
      <c r="Q195" s="545"/>
      <c r="R195" s="545"/>
      <c r="S195" s="576"/>
      <c r="T195" s="576"/>
      <c r="U195" s="576"/>
      <c r="V195" s="576"/>
      <c r="W195" s="545"/>
      <c r="X195" s="545"/>
      <c r="Y195" s="576"/>
      <c r="Z195" s="576"/>
      <c r="AA195" s="545"/>
      <c r="AB195" s="545"/>
      <c r="AC195" s="545"/>
      <c r="AD195" s="576"/>
      <c r="AE195" s="576"/>
      <c r="AF195" s="576"/>
      <c r="AG195" s="576"/>
      <c r="AH195" s="576"/>
      <c r="AI195" s="576"/>
      <c r="AJ195" s="576"/>
      <c r="AK195" s="576"/>
      <c r="AL195" s="576"/>
      <c r="AM195" s="576"/>
      <c r="AN195" s="576"/>
      <c r="AO195" s="576"/>
      <c r="AP195" s="576"/>
      <c r="AQ195" s="576"/>
      <c r="AR195" s="576"/>
      <c r="AS195" s="576"/>
      <c r="AT195" s="576"/>
      <c r="AU195" s="576"/>
      <c r="AV195" s="576"/>
      <c r="AW195" s="576"/>
      <c r="AX195" s="576"/>
      <c r="AY195" s="576"/>
      <c r="AZ195" s="576"/>
      <c r="BA195" s="576"/>
      <c r="BB195" s="576"/>
      <c r="BC195" s="576"/>
      <c r="BD195" s="572"/>
      <c r="BE195" s="710"/>
      <c r="BF195" s="710"/>
      <c r="BG195" s="710"/>
      <c r="BH195" s="710"/>
      <c r="BI195" s="710"/>
      <c r="BJ195" s="710"/>
      <c r="BK195" s="710"/>
      <c r="BL195" s="710"/>
      <c r="BM195" s="710"/>
      <c r="BN195" s="710"/>
      <c r="BO195" s="710"/>
      <c r="BP195" s="710"/>
      <c r="BQ195" s="710"/>
      <c r="BR195" s="710"/>
      <c r="BS195" s="710"/>
      <c r="BT195" s="710"/>
    </row>
    <row r="196" spans="1:72" s="709" customFormat="1" ht="15.75">
      <c r="A196" s="545"/>
      <c r="B196" s="545"/>
      <c r="C196" s="545"/>
      <c r="D196" s="545"/>
      <c r="E196" s="545"/>
      <c r="F196" s="545"/>
      <c r="G196" s="545"/>
      <c r="H196" s="545"/>
      <c r="I196" s="545"/>
      <c r="J196" s="545"/>
      <c r="K196" s="545"/>
      <c r="L196" s="545"/>
      <c r="M196" s="545"/>
      <c r="N196" s="545"/>
      <c r="O196" s="545"/>
      <c r="P196" s="545"/>
      <c r="Q196" s="545"/>
      <c r="R196" s="545"/>
      <c r="S196" s="576"/>
      <c r="T196" s="576"/>
      <c r="U196" s="576"/>
      <c r="V196" s="576"/>
      <c r="W196" s="545"/>
      <c r="X196" s="545"/>
      <c r="Y196" s="576"/>
      <c r="Z196" s="576"/>
      <c r="AA196" s="545"/>
      <c r="AB196" s="545"/>
      <c r="AC196" s="545"/>
      <c r="AD196" s="576"/>
      <c r="AE196" s="576"/>
      <c r="AF196" s="576"/>
      <c r="AG196" s="576"/>
      <c r="AH196" s="576"/>
      <c r="AI196" s="576"/>
      <c r="AJ196" s="576"/>
      <c r="AK196" s="576"/>
      <c r="AL196" s="576"/>
      <c r="AM196" s="576"/>
      <c r="AN196" s="576"/>
      <c r="AO196" s="576"/>
      <c r="AP196" s="576"/>
      <c r="AQ196" s="576"/>
      <c r="AR196" s="576"/>
      <c r="AS196" s="576"/>
      <c r="AT196" s="576"/>
      <c r="AU196" s="576"/>
      <c r="AV196" s="576"/>
      <c r="AW196" s="576"/>
      <c r="AX196" s="576"/>
      <c r="AY196" s="576"/>
      <c r="AZ196" s="576"/>
      <c r="BA196" s="576"/>
      <c r="BB196" s="576"/>
      <c r="BC196" s="576"/>
      <c r="BD196" s="572"/>
      <c r="BE196" s="710"/>
      <c r="BF196" s="710"/>
      <c r="BG196" s="710"/>
      <c r="BH196" s="710"/>
      <c r="BI196" s="710"/>
      <c r="BJ196" s="710"/>
      <c r="BK196" s="710"/>
      <c r="BL196" s="710"/>
      <c r="BM196" s="710"/>
      <c r="BN196" s="710"/>
      <c r="BO196" s="710"/>
      <c r="BP196" s="710"/>
      <c r="BQ196" s="710"/>
      <c r="BR196" s="710"/>
      <c r="BS196" s="710"/>
      <c r="BT196" s="710"/>
    </row>
    <row r="197" spans="1:72" s="709" customFormat="1" ht="15.75">
      <c r="A197" s="545"/>
      <c r="B197" s="545"/>
      <c r="C197" s="545"/>
      <c r="D197" s="545"/>
      <c r="E197" s="545"/>
      <c r="F197" s="545"/>
      <c r="G197" s="545"/>
      <c r="H197" s="545"/>
      <c r="I197" s="545"/>
      <c r="J197" s="545"/>
      <c r="K197" s="545"/>
      <c r="L197" s="545"/>
      <c r="M197" s="545"/>
      <c r="N197" s="545"/>
      <c r="O197" s="545"/>
      <c r="P197" s="545"/>
      <c r="Q197" s="545"/>
      <c r="R197" s="545"/>
      <c r="S197" s="576"/>
      <c r="T197" s="576"/>
      <c r="U197" s="576"/>
      <c r="V197" s="576"/>
      <c r="W197" s="545"/>
      <c r="X197" s="545"/>
      <c r="Y197" s="576"/>
      <c r="Z197" s="576"/>
      <c r="AA197" s="545"/>
      <c r="AB197" s="545"/>
      <c r="AC197" s="545"/>
      <c r="AD197" s="576"/>
      <c r="AE197" s="576"/>
      <c r="AF197" s="576"/>
      <c r="AG197" s="576"/>
      <c r="AH197" s="576"/>
      <c r="AI197" s="576"/>
      <c r="AJ197" s="576"/>
      <c r="AK197" s="576"/>
      <c r="AL197" s="576"/>
      <c r="AM197" s="576"/>
      <c r="AN197" s="576"/>
      <c r="AO197" s="576"/>
      <c r="AP197" s="576"/>
      <c r="AQ197" s="576"/>
      <c r="AR197" s="576"/>
      <c r="AS197" s="576"/>
      <c r="AT197" s="576"/>
      <c r="AU197" s="576"/>
      <c r="AV197" s="576"/>
      <c r="AW197" s="576"/>
      <c r="AX197" s="576"/>
      <c r="AY197" s="576"/>
      <c r="AZ197" s="576"/>
      <c r="BA197" s="576"/>
      <c r="BB197" s="576"/>
      <c r="BC197" s="576"/>
      <c r="BD197" s="572"/>
      <c r="BE197" s="710"/>
      <c r="BF197" s="710"/>
      <c r="BG197" s="710"/>
      <c r="BH197" s="710"/>
      <c r="BI197" s="710"/>
      <c r="BJ197" s="710"/>
      <c r="BK197" s="710"/>
      <c r="BL197" s="710"/>
      <c r="BM197" s="710"/>
      <c r="BN197" s="710"/>
      <c r="BO197" s="710"/>
      <c r="BP197" s="710"/>
      <c r="BQ197" s="710"/>
      <c r="BR197" s="710"/>
      <c r="BS197" s="710"/>
      <c r="BT197" s="710"/>
    </row>
    <row r="198" spans="1:72" s="709" customFormat="1" ht="15.75">
      <c r="A198" s="545"/>
      <c r="B198" s="545"/>
      <c r="C198" s="545"/>
      <c r="D198" s="545"/>
      <c r="E198" s="545"/>
      <c r="F198" s="545"/>
      <c r="G198" s="545"/>
      <c r="H198" s="545"/>
      <c r="I198" s="545"/>
      <c r="J198" s="545"/>
      <c r="K198" s="545"/>
      <c r="L198" s="545"/>
      <c r="M198" s="545"/>
      <c r="N198" s="545"/>
      <c r="O198" s="545"/>
      <c r="P198" s="545"/>
      <c r="Q198" s="545"/>
      <c r="R198" s="545"/>
      <c r="S198" s="576"/>
      <c r="T198" s="576"/>
      <c r="U198" s="576"/>
      <c r="V198" s="576"/>
      <c r="W198" s="545"/>
      <c r="X198" s="545"/>
      <c r="Y198" s="576"/>
      <c r="Z198" s="576"/>
      <c r="AA198" s="545"/>
      <c r="AB198" s="545"/>
      <c r="AC198" s="545"/>
      <c r="AD198" s="576"/>
      <c r="AE198" s="576"/>
      <c r="AF198" s="576"/>
      <c r="AG198" s="576"/>
      <c r="AH198" s="576"/>
      <c r="AI198" s="576"/>
      <c r="AJ198" s="576"/>
      <c r="AK198" s="576"/>
      <c r="AL198" s="576"/>
      <c r="AM198" s="576"/>
      <c r="AN198" s="576"/>
      <c r="AO198" s="576"/>
      <c r="AP198" s="576"/>
      <c r="AQ198" s="576"/>
      <c r="AR198" s="576"/>
      <c r="AS198" s="576"/>
      <c r="AT198" s="576"/>
      <c r="AU198" s="576"/>
      <c r="AV198" s="576"/>
      <c r="AW198" s="576"/>
      <c r="AX198" s="576"/>
      <c r="AY198" s="576"/>
      <c r="AZ198" s="576"/>
      <c r="BA198" s="576"/>
      <c r="BB198" s="576"/>
      <c r="BC198" s="576"/>
      <c r="BD198" s="572"/>
      <c r="BE198" s="710"/>
      <c r="BF198" s="710"/>
      <c r="BG198" s="710"/>
      <c r="BH198" s="710"/>
      <c r="BI198" s="710"/>
      <c r="BJ198" s="710"/>
      <c r="BK198" s="710"/>
      <c r="BL198" s="710"/>
      <c r="BM198" s="710"/>
      <c r="BN198" s="710"/>
      <c r="BO198" s="710"/>
      <c r="BP198" s="710"/>
      <c r="BQ198" s="710"/>
      <c r="BR198" s="710"/>
      <c r="BS198" s="710"/>
      <c r="BT198" s="710"/>
    </row>
    <row r="199" spans="1:72" s="709" customFormat="1" ht="15.75">
      <c r="A199" s="545"/>
      <c r="B199" s="545"/>
      <c r="C199" s="545"/>
      <c r="D199" s="545"/>
      <c r="E199" s="545"/>
      <c r="F199" s="545"/>
      <c r="G199" s="545"/>
      <c r="H199" s="545"/>
      <c r="I199" s="545"/>
      <c r="J199" s="545"/>
      <c r="K199" s="545"/>
      <c r="L199" s="545"/>
      <c r="M199" s="545"/>
      <c r="N199" s="545"/>
      <c r="O199" s="545"/>
      <c r="P199" s="545"/>
      <c r="Q199" s="545"/>
      <c r="R199" s="545"/>
      <c r="S199" s="576"/>
      <c r="T199" s="576"/>
      <c r="U199" s="576"/>
      <c r="V199" s="576"/>
      <c r="W199" s="545"/>
      <c r="X199" s="545"/>
      <c r="Y199" s="576"/>
      <c r="Z199" s="576"/>
      <c r="AA199" s="545"/>
      <c r="AB199" s="545"/>
      <c r="AC199" s="545"/>
      <c r="AD199" s="576"/>
      <c r="AE199" s="576"/>
      <c r="AF199" s="576"/>
      <c r="AG199" s="576"/>
      <c r="AH199" s="576"/>
      <c r="AI199" s="576"/>
      <c r="AJ199" s="576"/>
      <c r="AK199" s="576"/>
      <c r="AL199" s="576"/>
      <c r="AM199" s="576"/>
      <c r="AN199" s="576"/>
      <c r="AO199" s="576"/>
      <c r="AP199" s="576"/>
      <c r="AQ199" s="576"/>
      <c r="AR199" s="576"/>
      <c r="AS199" s="576"/>
      <c r="AT199" s="576"/>
      <c r="AU199" s="576"/>
      <c r="AV199" s="576"/>
      <c r="AW199" s="576"/>
      <c r="AX199" s="576"/>
      <c r="AY199" s="576"/>
      <c r="AZ199" s="576"/>
      <c r="BA199" s="576"/>
      <c r="BB199" s="576"/>
      <c r="BC199" s="576"/>
      <c r="BD199" s="572"/>
      <c r="BE199" s="710"/>
      <c r="BF199" s="710"/>
      <c r="BG199" s="710"/>
      <c r="BH199" s="710"/>
      <c r="BI199" s="710"/>
      <c r="BJ199" s="710"/>
      <c r="BK199" s="710"/>
      <c r="BL199" s="710"/>
      <c r="BM199" s="710"/>
      <c r="BN199" s="710"/>
      <c r="BO199" s="710"/>
      <c r="BP199" s="710"/>
      <c r="BQ199" s="710"/>
      <c r="BR199" s="710"/>
      <c r="BS199" s="710"/>
      <c r="BT199" s="710"/>
    </row>
    <row r="200" spans="1:72" s="709" customFormat="1" ht="15.75">
      <c r="A200" s="545"/>
      <c r="B200" s="545"/>
      <c r="C200" s="545"/>
      <c r="D200" s="545"/>
      <c r="E200" s="545"/>
      <c r="F200" s="545"/>
      <c r="G200" s="545"/>
      <c r="H200" s="545"/>
      <c r="I200" s="545"/>
      <c r="J200" s="545"/>
      <c r="K200" s="545"/>
      <c r="L200" s="545"/>
      <c r="M200" s="545"/>
      <c r="N200" s="545"/>
      <c r="O200" s="545"/>
      <c r="P200" s="545"/>
      <c r="Q200" s="545"/>
      <c r="R200" s="545"/>
      <c r="S200" s="576"/>
      <c r="T200" s="576"/>
      <c r="U200" s="576"/>
      <c r="V200" s="576"/>
      <c r="W200" s="545"/>
      <c r="X200" s="545"/>
      <c r="Y200" s="576"/>
      <c r="Z200" s="576"/>
      <c r="AA200" s="545"/>
      <c r="AB200" s="545"/>
      <c r="AC200" s="545"/>
      <c r="AD200" s="576"/>
      <c r="AE200" s="576"/>
      <c r="AF200" s="576"/>
      <c r="AG200" s="576"/>
      <c r="AH200" s="576"/>
      <c r="AI200" s="576"/>
      <c r="AJ200" s="576"/>
      <c r="AK200" s="576"/>
      <c r="AL200" s="576"/>
      <c r="AM200" s="576"/>
      <c r="AN200" s="576"/>
      <c r="AO200" s="576"/>
      <c r="AP200" s="576"/>
      <c r="AQ200" s="576"/>
      <c r="AR200" s="576"/>
      <c r="AS200" s="576"/>
      <c r="AT200" s="576"/>
      <c r="AU200" s="576"/>
      <c r="AV200" s="576"/>
      <c r="AW200" s="576"/>
      <c r="AX200" s="576"/>
      <c r="AY200" s="576"/>
      <c r="AZ200" s="576"/>
      <c r="BA200" s="576"/>
      <c r="BB200" s="576"/>
      <c r="BC200" s="576"/>
      <c r="BD200" s="572"/>
      <c r="BE200" s="710"/>
      <c r="BF200" s="710"/>
      <c r="BG200" s="710"/>
      <c r="BH200" s="710"/>
      <c r="BI200" s="710"/>
      <c r="BJ200" s="710"/>
      <c r="BK200" s="710"/>
      <c r="BL200" s="710"/>
      <c r="BM200" s="710"/>
      <c r="BN200" s="710"/>
      <c r="BO200" s="710"/>
      <c r="BP200" s="710"/>
      <c r="BQ200" s="710"/>
      <c r="BR200" s="710"/>
      <c r="BS200" s="710"/>
      <c r="BT200" s="710"/>
    </row>
    <row r="201" spans="1:72" s="709" customFormat="1" ht="15.75">
      <c r="A201" s="545"/>
      <c r="B201" s="545"/>
      <c r="C201" s="545"/>
      <c r="D201" s="545"/>
      <c r="E201" s="545"/>
      <c r="F201" s="545"/>
      <c r="G201" s="545"/>
      <c r="H201" s="545"/>
      <c r="I201" s="545"/>
      <c r="J201" s="545"/>
      <c r="K201" s="545"/>
      <c r="L201" s="545"/>
      <c r="M201" s="545"/>
      <c r="N201" s="545"/>
      <c r="O201" s="545"/>
      <c r="P201" s="545"/>
      <c r="Q201" s="545"/>
      <c r="R201" s="545"/>
      <c r="S201" s="576"/>
      <c r="T201" s="576"/>
      <c r="U201" s="576"/>
      <c r="V201" s="576"/>
      <c r="W201" s="545"/>
      <c r="X201" s="545"/>
      <c r="Y201" s="576"/>
      <c r="Z201" s="576"/>
      <c r="AA201" s="545"/>
      <c r="AB201" s="545"/>
      <c r="AC201" s="545"/>
      <c r="AD201" s="576"/>
      <c r="AE201" s="576"/>
      <c r="AF201" s="576"/>
      <c r="AG201" s="576"/>
      <c r="AH201" s="576"/>
      <c r="AI201" s="576"/>
      <c r="AJ201" s="576"/>
      <c r="AK201" s="576"/>
      <c r="AL201" s="576"/>
      <c r="AM201" s="576"/>
      <c r="AN201" s="576"/>
      <c r="AO201" s="576"/>
      <c r="AP201" s="576"/>
      <c r="AQ201" s="576"/>
      <c r="AR201" s="576"/>
      <c r="AS201" s="576"/>
      <c r="AT201" s="576"/>
      <c r="AU201" s="576"/>
      <c r="AV201" s="576"/>
      <c r="AW201" s="576"/>
      <c r="AX201" s="576"/>
      <c r="AY201" s="576"/>
      <c r="AZ201" s="576"/>
      <c r="BA201" s="576"/>
      <c r="BB201" s="576"/>
      <c r="BC201" s="576"/>
      <c r="BD201" s="572"/>
      <c r="BE201" s="710"/>
      <c r="BF201" s="710"/>
      <c r="BG201" s="710"/>
      <c r="BH201" s="710"/>
      <c r="BI201" s="710"/>
      <c r="BJ201" s="710"/>
      <c r="BK201" s="710"/>
      <c r="BL201" s="710"/>
      <c r="BM201" s="710"/>
      <c r="BN201" s="710"/>
      <c r="BO201" s="710"/>
      <c r="BP201" s="710"/>
      <c r="BQ201" s="710"/>
      <c r="BR201" s="710"/>
      <c r="BS201" s="710"/>
      <c r="BT201" s="710"/>
    </row>
    <row r="202" spans="1:72" s="709" customFormat="1" ht="15.75">
      <c r="A202" s="545"/>
      <c r="B202" s="545"/>
      <c r="C202" s="545"/>
      <c r="D202" s="545"/>
      <c r="E202" s="545"/>
      <c r="F202" s="545"/>
      <c r="G202" s="545"/>
      <c r="H202" s="545"/>
      <c r="I202" s="545"/>
      <c r="J202" s="545"/>
      <c r="K202" s="545"/>
      <c r="L202" s="545"/>
      <c r="M202" s="545"/>
      <c r="N202" s="545"/>
      <c r="O202" s="545"/>
      <c r="P202" s="545"/>
      <c r="Q202" s="545"/>
      <c r="R202" s="545"/>
      <c r="S202" s="576"/>
      <c r="T202" s="576"/>
      <c r="U202" s="576"/>
      <c r="V202" s="576"/>
      <c r="W202" s="545"/>
      <c r="X202" s="545"/>
      <c r="Y202" s="576"/>
      <c r="Z202" s="576"/>
      <c r="AA202" s="545"/>
      <c r="AB202" s="545"/>
      <c r="AC202" s="545"/>
      <c r="AD202" s="576"/>
      <c r="AE202" s="576"/>
      <c r="AF202" s="576"/>
      <c r="AG202" s="576"/>
      <c r="AH202" s="576"/>
      <c r="AI202" s="576"/>
      <c r="AJ202" s="576"/>
      <c r="AK202" s="576"/>
      <c r="AL202" s="576"/>
      <c r="AM202" s="576"/>
      <c r="AN202" s="576"/>
      <c r="AO202" s="576"/>
      <c r="AP202" s="576"/>
      <c r="AQ202" s="576"/>
      <c r="AR202" s="576"/>
      <c r="AS202" s="576"/>
      <c r="AT202" s="576"/>
      <c r="AU202" s="576"/>
      <c r="AV202" s="576"/>
      <c r="AW202" s="576"/>
      <c r="AX202" s="576"/>
      <c r="AY202" s="576"/>
      <c r="AZ202" s="576"/>
      <c r="BA202" s="576"/>
      <c r="BB202" s="576"/>
      <c r="BC202" s="576"/>
      <c r="BD202" s="572"/>
      <c r="BE202" s="710"/>
      <c r="BF202" s="710"/>
      <c r="BG202" s="710"/>
      <c r="BH202" s="710"/>
      <c r="BI202" s="710"/>
      <c r="BJ202" s="710"/>
      <c r="BK202" s="710"/>
      <c r="BL202" s="710"/>
      <c r="BM202" s="710"/>
      <c r="BN202" s="710"/>
      <c r="BO202" s="710"/>
      <c r="BP202" s="710"/>
      <c r="BQ202" s="710"/>
      <c r="BR202" s="710"/>
      <c r="BS202" s="710"/>
      <c r="BT202" s="710"/>
    </row>
    <row r="203" spans="1:72" s="709" customFormat="1" ht="15.75">
      <c r="A203" s="545"/>
      <c r="B203" s="545"/>
      <c r="C203" s="545"/>
      <c r="D203" s="545"/>
      <c r="E203" s="545"/>
      <c r="F203" s="545"/>
      <c r="G203" s="545"/>
      <c r="H203" s="545"/>
      <c r="I203" s="545"/>
      <c r="J203" s="545"/>
      <c r="K203" s="545"/>
      <c r="L203" s="545"/>
      <c r="M203" s="545"/>
      <c r="N203" s="545"/>
      <c r="O203" s="545"/>
      <c r="P203" s="545"/>
      <c r="Q203" s="545"/>
      <c r="R203" s="545"/>
      <c r="S203" s="576"/>
      <c r="T203" s="576"/>
      <c r="U203" s="576"/>
      <c r="V203" s="576"/>
      <c r="W203" s="545"/>
      <c r="X203" s="545"/>
      <c r="Y203" s="576"/>
      <c r="Z203" s="576"/>
      <c r="AA203" s="545"/>
      <c r="AB203" s="545"/>
      <c r="AC203" s="545"/>
      <c r="AD203" s="576"/>
      <c r="AE203" s="576"/>
      <c r="AF203" s="576"/>
      <c r="AG203" s="576"/>
      <c r="AH203" s="576"/>
      <c r="AI203" s="576"/>
      <c r="AJ203" s="576"/>
      <c r="AK203" s="576"/>
      <c r="AL203" s="576"/>
      <c r="AM203" s="576"/>
      <c r="AN203" s="576"/>
      <c r="AO203" s="576"/>
      <c r="AP203" s="576"/>
      <c r="AQ203" s="576"/>
      <c r="AR203" s="576"/>
      <c r="AS203" s="576"/>
      <c r="AT203" s="576"/>
      <c r="AU203" s="576"/>
      <c r="AV203" s="576"/>
      <c r="AW203" s="576"/>
      <c r="AX203" s="576"/>
      <c r="AY203" s="576"/>
      <c r="AZ203" s="576"/>
      <c r="BA203" s="576"/>
      <c r="BB203" s="576"/>
      <c r="BC203" s="576"/>
      <c r="BD203" s="572"/>
      <c r="BE203" s="710"/>
      <c r="BF203" s="710"/>
      <c r="BG203" s="710"/>
      <c r="BH203" s="710"/>
      <c r="BI203" s="710"/>
      <c r="BJ203" s="710"/>
      <c r="BK203" s="710"/>
      <c r="BL203" s="710"/>
      <c r="BM203" s="710"/>
      <c r="BN203" s="710"/>
      <c r="BO203" s="710"/>
      <c r="BP203" s="710"/>
      <c r="BQ203" s="710"/>
      <c r="BR203" s="710"/>
      <c r="BS203" s="710"/>
      <c r="BT203" s="710"/>
    </row>
    <row r="204" spans="1:72" s="709" customFormat="1" ht="15.75">
      <c r="A204" s="545"/>
      <c r="B204" s="545"/>
      <c r="C204" s="545"/>
      <c r="D204" s="545"/>
      <c r="E204" s="545"/>
      <c r="F204" s="545"/>
      <c r="G204" s="545"/>
      <c r="H204" s="545"/>
      <c r="I204" s="545"/>
      <c r="J204" s="545"/>
      <c r="K204" s="545"/>
      <c r="L204" s="545"/>
      <c r="M204" s="545"/>
      <c r="N204" s="545"/>
      <c r="O204" s="545"/>
      <c r="P204" s="545"/>
      <c r="Q204" s="545"/>
      <c r="R204" s="545"/>
      <c r="S204" s="576"/>
      <c r="T204" s="576"/>
      <c r="U204" s="576"/>
      <c r="V204" s="576"/>
      <c r="W204" s="545"/>
      <c r="X204" s="545"/>
      <c r="Y204" s="576"/>
      <c r="Z204" s="576"/>
      <c r="AA204" s="545"/>
      <c r="AB204" s="545"/>
      <c r="AC204" s="545"/>
      <c r="AD204" s="576"/>
      <c r="AE204" s="576"/>
      <c r="AF204" s="576"/>
      <c r="AG204" s="576"/>
      <c r="AH204" s="576"/>
      <c r="AI204" s="576"/>
      <c r="AJ204" s="576"/>
      <c r="AK204" s="576"/>
      <c r="AL204" s="576"/>
      <c r="AM204" s="576"/>
      <c r="AN204" s="576"/>
      <c r="AO204" s="576"/>
      <c r="AP204" s="576"/>
      <c r="AQ204" s="576"/>
      <c r="AR204" s="576"/>
      <c r="AS204" s="576"/>
      <c r="AT204" s="576"/>
      <c r="AU204" s="576"/>
      <c r="AV204" s="576"/>
      <c r="AW204" s="576"/>
      <c r="AX204" s="576"/>
      <c r="AY204" s="576"/>
      <c r="AZ204" s="576"/>
      <c r="BA204" s="576"/>
      <c r="BB204" s="576"/>
      <c r="BC204" s="576"/>
      <c r="BD204" s="572"/>
      <c r="BE204" s="710"/>
      <c r="BF204" s="710"/>
      <c r="BG204" s="710"/>
      <c r="BH204" s="710"/>
      <c r="BI204" s="710"/>
      <c r="BJ204" s="710"/>
      <c r="BK204" s="710"/>
      <c r="BL204" s="710"/>
      <c r="BM204" s="710"/>
      <c r="BN204" s="710"/>
      <c r="BO204" s="710"/>
      <c r="BP204" s="710"/>
      <c r="BQ204" s="710"/>
      <c r="BR204" s="710"/>
      <c r="BS204" s="710"/>
      <c r="BT204" s="710"/>
    </row>
    <row r="205" spans="1:72" s="709" customFormat="1" ht="15.75">
      <c r="A205" s="545"/>
      <c r="B205" s="545"/>
      <c r="C205" s="545"/>
      <c r="D205" s="545"/>
      <c r="E205" s="545"/>
      <c r="F205" s="545"/>
      <c r="G205" s="545"/>
      <c r="H205" s="545"/>
      <c r="I205" s="545"/>
      <c r="J205" s="545"/>
      <c r="K205" s="545"/>
      <c r="L205" s="545"/>
      <c r="M205" s="545"/>
      <c r="N205" s="545"/>
      <c r="O205" s="545"/>
      <c r="P205" s="545"/>
      <c r="Q205" s="545"/>
      <c r="R205" s="545"/>
      <c r="S205" s="576"/>
      <c r="T205" s="576"/>
      <c r="U205" s="576"/>
      <c r="V205" s="576"/>
      <c r="W205" s="545"/>
      <c r="X205" s="545"/>
      <c r="Y205" s="576"/>
      <c r="Z205" s="576"/>
      <c r="AA205" s="545"/>
      <c r="AB205" s="545"/>
      <c r="AC205" s="545"/>
      <c r="AD205" s="576"/>
      <c r="AE205" s="576"/>
      <c r="AF205" s="576"/>
      <c r="AG205" s="576"/>
      <c r="AH205" s="576"/>
      <c r="AI205" s="576"/>
      <c r="AJ205" s="576"/>
      <c r="AK205" s="576"/>
      <c r="AL205" s="576"/>
      <c r="AM205" s="576"/>
      <c r="AN205" s="576"/>
      <c r="AO205" s="576"/>
      <c r="AP205" s="576"/>
      <c r="AQ205" s="576"/>
      <c r="AR205" s="576"/>
      <c r="AS205" s="576"/>
      <c r="AT205" s="576"/>
      <c r="AU205" s="576"/>
      <c r="AV205" s="576"/>
      <c r="AW205" s="576"/>
      <c r="AX205" s="576"/>
      <c r="AY205" s="576"/>
      <c r="AZ205" s="576"/>
      <c r="BA205" s="576"/>
      <c r="BB205" s="576"/>
      <c r="BC205" s="576"/>
      <c r="BD205" s="572"/>
      <c r="BE205" s="710"/>
      <c r="BF205" s="710"/>
      <c r="BG205" s="710"/>
      <c r="BH205" s="710"/>
      <c r="BI205" s="710"/>
      <c r="BJ205" s="710"/>
      <c r="BK205" s="710"/>
      <c r="BL205" s="710"/>
      <c r="BM205" s="710"/>
      <c r="BN205" s="710"/>
      <c r="BO205" s="710"/>
      <c r="BP205" s="710"/>
      <c r="BQ205" s="710"/>
      <c r="BR205" s="710"/>
      <c r="BS205" s="710"/>
      <c r="BT205" s="710"/>
    </row>
    <row r="206" spans="1:72" s="709" customFormat="1" ht="15.75">
      <c r="A206" s="545"/>
      <c r="B206" s="545"/>
      <c r="C206" s="545"/>
      <c r="D206" s="545"/>
      <c r="E206" s="545"/>
      <c r="F206" s="545"/>
      <c r="G206" s="545"/>
      <c r="H206" s="545"/>
      <c r="I206" s="545"/>
      <c r="J206" s="545"/>
      <c r="K206" s="545"/>
      <c r="L206" s="545"/>
      <c r="M206" s="545"/>
      <c r="N206" s="545"/>
      <c r="O206" s="545"/>
      <c r="P206" s="545"/>
      <c r="Q206" s="545"/>
      <c r="R206" s="545"/>
      <c r="S206" s="576"/>
      <c r="T206" s="576"/>
      <c r="U206" s="576"/>
      <c r="V206" s="576"/>
      <c r="W206" s="545"/>
      <c r="X206" s="545"/>
      <c r="Y206" s="576"/>
      <c r="Z206" s="576"/>
      <c r="AA206" s="545"/>
      <c r="AB206" s="545"/>
      <c r="AC206" s="545"/>
      <c r="AD206" s="576"/>
      <c r="AE206" s="576"/>
      <c r="AF206" s="576"/>
      <c r="AG206" s="576"/>
      <c r="AH206" s="576"/>
      <c r="AI206" s="576"/>
      <c r="AJ206" s="576"/>
      <c r="AK206" s="576"/>
      <c r="AL206" s="576"/>
      <c r="AM206" s="576"/>
      <c r="AN206" s="576"/>
      <c r="AO206" s="576"/>
      <c r="AP206" s="576"/>
      <c r="AQ206" s="576"/>
      <c r="AR206" s="576"/>
      <c r="AS206" s="576"/>
      <c r="AT206" s="576"/>
      <c r="AU206" s="576"/>
      <c r="AV206" s="576"/>
      <c r="AW206" s="576"/>
      <c r="AX206" s="576"/>
      <c r="AY206" s="576"/>
      <c r="AZ206" s="576"/>
      <c r="BA206" s="576"/>
      <c r="BB206" s="576"/>
      <c r="BC206" s="576"/>
      <c r="BD206" s="572"/>
      <c r="BE206" s="710"/>
      <c r="BF206" s="710"/>
      <c r="BG206" s="710"/>
      <c r="BH206" s="710"/>
      <c r="BI206" s="710"/>
      <c r="BJ206" s="710"/>
      <c r="BK206" s="710"/>
      <c r="BL206" s="710"/>
      <c r="BM206" s="710"/>
      <c r="BN206" s="710"/>
      <c r="BO206" s="710"/>
      <c r="BP206" s="710"/>
      <c r="BQ206" s="710"/>
      <c r="BR206" s="710"/>
      <c r="BS206" s="710"/>
      <c r="BT206" s="710"/>
    </row>
    <row r="207" spans="1:72" s="709" customFormat="1" ht="15.75">
      <c r="A207" s="545"/>
      <c r="B207" s="545"/>
      <c r="C207" s="545"/>
      <c r="D207" s="545"/>
      <c r="E207" s="545"/>
      <c r="F207" s="545"/>
      <c r="G207" s="545"/>
      <c r="H207" s="545"/>
      <c r="I207" s="545"/>
      <c r="J207" s="545"/>
      <c r="K207" s="545"/>
      <c r="L207" s="545"/>
      <c r="M207" s="545"/>
      <c r="N207" s="545"/>
      <c r="O207" s="545"/>
      <c r="P207" s="545"/>
      <c r="Q207" s="545"/>
      <c r="R207" s="545"/>
      <c r="S207" s="576"/>
      <c r="T207" s="576"/>
      <c r="U207" s="576"/>
      <c r="V207" s="576"/>
      <c r="W207" s="545"/>
      <c r="X207" s="545"/>
      <c r="Y207" s="576"/>
      <c r="Z207" s="576"/>
      <c r="AA207" s="545"/>
      <c r="AB207" s="545"/>
      <c r="AC207" s="545"/>
      <c r="AD207" s="576"/>
      <c r="AE207" s="576"/>
      <c r="AF207" s="576"/>
      <c r="AG207" s="576"/>
      <c r="AH207" s="576"/>
      <c r="AI207" s="576"/>
      <c r="AJ207" s="576"/>
      <c r="AK207" s="576"/>
      <c r="AL207" s="576"/>
      <c r="AM207" s="576"/>
      <c r="AN207" s="576"/>
      <c r="AO207" s="576"/>
      <c r="AP207" s="576"/>
      <c r="AQ207" s="576"/>
      <c r="AR207" s="576"/>
      <c r="AS207" s="576"/>
      <c r="AT207" s="576"/>
      <c r="AU207" s="576"/>
      <c r="AV207" s="576"/>
      <c r="AW207" s="576"/>
      <c r="AX207" s="576"/>
      <c r="AY207" s="576"/>
      <c r="AZ207" s="576"/>
      <c r="BA207" s="576"/>
      <c r="BB207" s="576"/>
      <c r="BC207" s="576"/>
      <c r="BD207" s="572"/>
      <c r="BE207" s="710"/>
      <c r="BF207" s="710"/>
      <c r="BG207" s="710"/>
      <c r="BH207" s="710"/>
      <c r="BI207" s="710"/>
      <c r="BJ207" s="710"/>
      <c r="BK207" s="710"/>
      <c r="BL207" s="710"/>
      <c r="BM207" s="710"/>
      <c r="BN207" s="710"/>
      <c r="BO207" s="710"/>
      <c r="BP207" s="710"/>
      <c r="BQ207" s="710"/>
      <c r="BR207" s="710"/>
      <c r="BS207" s="710"/>
      <c r="BT207" s="710"/>
    </row>
    <row r="208" spans="1:72" s="709" customFormat="1" ht="15.75">
      <c r="A208" s="545"/>
      <c r="B208" s="545"/>
      <c r="C208" s="545"/>
      <c r="D208" s="545"/>
      <c r="E208" s="545"/>
      <c r="F208" s="545"/>
      <c r="G208" s="545"/>
      <c r="H208" s="545"/>
      <c r="I208" s="545"/>
      <c r="J208" s="545"/>
      <c r="K208" s="545"/>
      <c r="L208" s="545"/>
      <c r="M208" s="545"/>
      <c r="N208" s="545"/>
      <c r="O208" s="545"/>
      <c r="P208" s="545"/>
      <c r="Q208" s="545"/>
      <c r="R208" s="545"/>
      <c r="S208" s="576"/>
      <c r="T208" s="576"/>
      <c r="U208" s="576"/>
      <c r="V208" s="576"/>
      <c r="W208" s="545"/>
      <c r="X208" s="545"/>
      <c r="Y208" s="576"/>
      <c r="Z208" s="576"/>
      <c r="AA208" s="545"/>
      <c r="AB208" s="545"/>
      <c r="AC208" s="545"/>
      <c r="AD208" s="576"/>
      <c r="AE208" s="576"/>
      <c r="AF208" s="576"/>
      <c r="AG208" s="576"/>
      <c r="AH208" s="576"/>
      <c r="AI208" s="576"/>
      <c r="AJ208" s="576"/>
      <c r="AK208" s="576"/>
      <c r="AL208" s="576"/>
      <c r="AM208" s="576"/>
      <c r="AN208" s="576"/>
      <c r="AO208" s="576"/>
      <c r="AP208" s="576"/>
      <c r="AQ208" s="576"/>
      <c r="AR208" s="576"/>
      <c r="AS208" s="576"/>
      <c r="AT208" s="576"/>
      <c r="AU208" s="576"/>
      <c r="AV208" s="576"/>
      <c r="AW208" s="576"/>
      <c r="AX208" s="576"/>
      <c r="AY208" s="576"/>
      <c r="AZ208" s="576"/>
      <c r="BA208" s="576"/>
      <c r="BB208" s="576"/>
      <c r="BC208" s="576"/>
      <c r="BD208" s="572"/>
      <c r="BE208" s="710"/>
      <c r="BF208" s="710"/>
      <c r="BG208" s="710"/>
      <c r="BH208" s="710"/>
      <c r="BI208" s="710"/>
      <c r="BJ208" s="710"/>
      <c r="BK208" s="710"/>
      <c r="BL208" s="710"/>
      <c r="BM208" s="710"/>
      <c r="BN208" s="710"/>
      <c r="BO208" s="710"/>
      <c r="BP208" s="710"/>
      <c r="BQ208" s="710"/>
      <c r="BR208" s="710"/>
      <c r="BS208" s="710"/>
      <c r="BT208" s="710"/>
    </row>
    <row r="209" spans="1:72" s="709" customFormat="1" ht="15.75">
      <c r="A209" s="545"/>
      <c r="B209" s="545"/>
      <c r="C209" s="545"/>
      <c r="D209" s="545"/>
      <c r="E209" s="545"/>
      <c r="F209" s="545"/>
      <c r="G209" s="545"/>
      <c r="H209" s="545"/>
      <c r="I209" s="545"/>
      <c r="J209" s="545"/>
      <c r="K209" s="545"/>
      <c r="L209" s="545"/>
      <c r="M209" s="545"/>
      <c r="N209" s="545"/>
      <c r="O209" s="545"/>
      <c r="P209" s="545"/>
      <c r="Q209" s="545"/>
      <c r="R209" s="545"/>
      <c r="S209" s="576"/>
      <c r="T209" s="576"/>
      <c r="U209" s="576"/>
      <c r="V209" s="576"/>
      <c r="W209" s="545"/>
      <c r="X209" s="545"/>
      <c r="Y209" s="576"/>
      <c r="Z209" s="576"/>
      <c r="AA209" s="545"/>
      <c r="AB209" s="545"/>
      <c r="AC209" s="545"/>
      <c r="AD209" s="576"/>
      <c r="AE209" s="576"/>
      <c r="AF209" s="576"/>
      <c r="AG209" s="576"/>
      <c r="AH209" s="576"/>
      <c r="AI209" s="576"/>
      <c r="AJ209" s="576"/>
      <c r="AK209" s="576"/>
      <c r="AL209" s="576"/>
      <c r="AM209" s="576"/>
      <c r="AN209" s="576"/>
      <c r="AO209" s="576"/>
      <c r="AP209" s="576"/>
      <c r="AQ209" s="576"/>
      <c r="AR209" s="576"/>
      <c r="AS209" s="576"/>
      <c r="AT209" s="576"/>
      <c r="AU209" s="576"/>
      <c r="AV209" s="576"/>
      <c r="AW209" s="576"/>
      <c r="AX209" s="576"/>
      <c r="AY209" s="576"/>
      <c r="AZ209" s="576"/>
      <c r="BA209" s="576"/>
      <c r="BB209" s="576"/>
      <c r="BC209" s="576"/>
      <c r="BD209" s="572"/>
      <c r="BE209" s="710"/>
      <c r="BF209" s="710"/>
      <c r="BG209" s="710"/>
      <c r="BH209" s="710"/>
      <c r="BI209" s="710"/>
      <c r="BJ209" s="710"/>
      <c r="BK209" s="710"/>
      <c r="BL209" s="710"/>
      <c r="BM209" s="710"/>
      <c r="BN209" s="710"/>
      <c r="BO209" s="710"/>
      <c r="BP209" s="710"/>
      <c r="BQ209" s="710"/>
      <c r="BR209" s="710"/>
      <c r="BS209" s="710"/>
      <c r="BT209" s="710"/>
    </row>
    <row r="210" spans="1:72" s="709" customFormat="1" ht="15.75">
      <c r="A210" s="545"/>
      <c r="B210" s="545"/>
      <c r="C210" s="545"/>
      <c r="D210" s="545"/>
      <c r="E210" s="545"/>
      <c r="F210" s="545"/>
      <c r="G210" s="545"/>
      <c r="H210" s="545"/>
      <c r="I210" s="545"/>
      <c r="J210" s="545"/>
      <c r="K210" s="545"/>
      <c r="L210" s="545"/>
      <c r="M210" s="545"/>
      <c r="N210" s="545"/>
      <c r="O210" s="545"/>
      <c r="P210" s="545"/>
      <c r="Q210" s="545"/>
      <c r="R210" s="545"/>
      <c r="S210" s="576"/>
      <c r="T210" s="576"/>
      <c r="U210" s="576"/>
      <c r="V210" s="576"/>
      <c r="W210" s="545"/>
      <c r="X210" s="545"/>
      <c r="Y210" s="576"/>
      <c r="Z210" s="576"/>
      <c r="AA210" s="545"/>
      <c r="AB210" s="545"/>
      <c r="AC210" s="545"/>
      <c r="AD210" s="576"/>
      <c r="AE210" s="576"/>
      <c r="AF210" s="576"/>
      <c r="AG210" s="576"/>
      <c r="AH210" s="576"/>
      <c r="AI210" s="576"/>
      <c r="AJ210" s="576"/>
      <c r="AK210" s="576"/>
      <c r="AL210" s="576"/>
      <c r="AM210" s="576"/>
      <c r="AN210" s="576"/>
      <c r="AO210" s="576"/>
      <c r="AP210" s="576"/>
      <c r="AQ210" s="576"/>
      <c r="AR210" s="576"/>
      <c r="AS210" s="576"/>
      <c r="AT210" s="576"/>
      <c r="AU210" s="576"/>
      <c r="AV210" s="576"/>
      <c r="AW210" s="576"/>
      <c r="AX210" s="576"/>
      <c r="AY210" s="576"/>
      <c r="AZ210" s="576"/>
      <c r="BA210" s="576"/>
      <c r="BB210" s="576"/>
      <c r="BC210" s="576"/>
      <c r="BD210" s="572"/>
      <c r="BE210" s="710"/>
      <c r="BF210" s="710"/>
      <c r="BG210" s="710"/>
      <c r="BH210" s="710"/>
      <c r="BI210" s="710"/>
      <c r="BJ210" s="710"/>
      <c r="BK210" s="710"/>
      <c r="BL210" s="710"/>
      <c r="BM210" s="710"/>
      <c r="BN210" s="710"/>
      <c r="BO210" s="710"/>
      <c r="BP210" s="710"/>
      <c r="BQ210" s="710"/>
      <c r="BR210" s="710"/>
      <c r="BS210" s="710"/>
      <c r="BT210" s="710"/>
    </row>
    <row r="211" spans="1:72" s="709" customFormat="1" ht="15.75">
      <c r="A211" s="545"/>
      <c r="B211" s="545"/>
      <c r="C211" s="545"/>
      <c r="D211" s="545"/>
      <c r="E211" s="545"/>
      <c r="F211" s="545"/>
      <c r="G211" s="545"/>
      <c r="H211" s="545"/>
      <c r="I211" s="545"/>
      <c r="J211" s="545"/>
      <c r="K211" s="545"/>
      <c r="L211" s="545"/>
      <c r="M211" s="545"/>
      <c r="N211" s="545"/>
      <c r="O211" s="545"/>
      <c r="P211" s="545"/>
      <c r="Q211" s="545"/>
      <c r="R211" s="545"/>
      <c r="S211" s="576"/>
      <c r="T211" s="576"/>
      <c r="U211" s="576"/>
      <c r="V211" s="576"/>
      <c r="W211" s="545"/>
      <c r="X211" s="545"/>
      <c r="Y211" s="576"/>
      <c r="Z211" s="576"/>
      <c r="AA211" s="545"/>
      <c r="AB211" s="545"/>
      <c r="AC211" s="545"/>
      <c r="AD211" s="576"/>
      <c r="AE211" s="576"/>
      <c r="AF211" s="576"/>
      <c r="AG211" s="576"/>
      <c r="AH211" s="576"/>
      <c r="AI211" s="576"/>
      <c r="AJ211" s="576"/>
      <c r="AK211" s="576"/>
      <c r="AL211" s="576"/>
      <c r="AM211" s="576"/>
      <c r="AN211" s="576"/>
      <c r="AO211" s="576"/>
      <c r="AP211" s="576"/>
      <c r="AQ211" s="576"/>
      <c r="AR211" s="576"/>
      <c r="AS211" s="576"/>
      <c r="AT211" s="576"/>
      <c r="AU211" s="576"/>
      <c r="AV211" s="576"/>
      <c r="AW211" s="576"/>
      <c r="AX211" s="576"/>
      <c r="AY211" s="576"/>
      <c r="AZ211" s="576"/>
      <c r="BA211" s="576"/>
      <c r="BB211" s="576"/>
      <c r="BC211" s="576"/>
      <c r="BD211" s="572"/>
      <c r="BE211" s="710"/>
      <c r="BF211" s="710"/>
      <c r="BG211" s="710"/>
      <c r="BH211" s="710"/>
      <c r="BI211" s="710"/>
      <c r="BJ211" s="710"/>
      <c r="BK211" s="710"/>
      <c r="BL211" s="710"/>
      <c r="BM211" s="710"/>
      <c r="BN211" s="710"/>
      <c r="BO211" s="710"/>
      <c r="BP211" s="710"/>
      <c r="BQ211" s="710"/>
      <c r="BR211" s="710"/>
      <c r="BS211" s="710"/>
      <c r="BT211" s="710"/>
    </row>
    <row r="212" spans="1:72" s="709" customFormat="1" ht="15.75">
      <c r="A212" s="545"/>
      <c r="B212" s="545"/>
      <c r="C212" s="545"/>
      <c r="D212" s="545"/>
      <c r="E212" s="545"/>
      <c r="F212" s="545"/>
      <c r="G212" s="545"/>
      <c r="H212" s="545"/>
      <c r="I212" s="545"/>
      <c r="J212" s="545"/>
      <c r="K212" s="545"/>
      <c r="L212" s="545"/>
      <c r="M212" s="545"/>
      <c r="N212" s="545"/>
      <c r="O212" s="545"/>
      <c r="P212" s="545"/>
      <c r="Q212" s="545"/>
      <c r="R212" s="545"/>
      <c r="S212" s="576"/>
      <c r="T212" s="576"/>
      <c r="U212" s="576"/>
      <c r="V212" s="576"/>
      <c r="W212" s="545"/>
      <c r="X212" s="545"/>
      <c r="Y212" s="576"/>
      <c r="Z212" s="576"/>
      <c r="AA212" s="545"/>
      <c r="AB212" s="545"/>
      <c r="AC212" s="545"/>
      <c r="AD212" s="576"/>
      <c r="AE212" s="576"/>
      <c r="AF212" s="576"/>
      <c r="AG212" s="576"/>
      <c r="AH212" s="576"/>
      <c r="AI212" s="576"/>
      <c r="AJ212" s="576"/>
      <c r="AK212" s="576"/>
      <c r="AL212" s="576"/>
      <c r="AM212" s="576"/>
      <c r="AN212" s="576"/>
      <c r="AO212" s="576"/>
      <c r="AP212" s="576"/>
      <c r="AQ212" s="576"/>
      <c r="AR212" s="576"/>
      <c r="AS212" s="576"/>
      <c r="AT212" s="576"/>
      <c r="AU212" s="576"/>
      <c r="AV212" s="576"/>
      <c r="AW212" s="576"/>
      <c r="AX212" s="576"/>
      <c r="AY212" s="576"/>
      <c r="AZ212" s="576"/>
      <c r="BA212" s="576"/>
      <c r="BB212" s="576"/>
      <c r="BC212" s="576"/>
      <c r="BD212" s="572"/>
      <c r="BE212" s="710"/>
      <c r="BF212" s="710"/>
      <c r="BG212" s="710"/>
      <c r="BH212" s="710"/>
      <c r="BI212" s="710"/>
      <c r="BJ212" s="710"/>
      <c r="BK212" s="710"/>
      <c r="BL212" s="710"/>
      <c r="BM212" s="710"/>
      <c r="BN212" s="710"/>
      <c r="BO212" s="710"/>
      <c r="BP212" s="710"/>
      <c r="BQ212" s="710"/>
      <c r="BR212" s="710"/>
      <c r="BS212" s="710"/>
      <c r="BT212" s="710"/>
    </row>
    <row r="213" spans="1:72" s="709" customFormat="1" ht="15.75">
      <c r="A213" s="545"/>
      <c r="B213" s="545"/>
      <c r="C213" s="545"/>
      <c r="D213" s="545"/>
      <c r="E213" s="545"/>
      <c r="F213" s="545"/>
      <c r="G213" s="545"/>
      <c r="H213" s="545"/>
      <c r="I213" s="545"/>
      <c r="J213" s="545"/>
      <c r="K213" s="545"/>
      <c r="L213" s="545"/>
      <c r="M213" s="545"/>
      <c r="N213" s="545"/>
      <c r="O213" s="545"/>
      <c r="P213" s="545"/>
      <c r="Q213" s="545"/>
      <c r="R213" s="545"/>
      <c r="S213" s="576"/>
      <c r="T213" s="576"/>
      <c r="U213" s="576"/>
      <c r="V213" s="576"/>
      <c r="W213" s="545"/>
      <c r="X213" s="545"/>
      <c r="Y213" s="576"/>
      <c r="Z213" s="576"/>
      <c r="AA213" s="545"/>
      <c r="AB213" s="545"/>
      <c r="AC213" s="545"/>
      <c r="AD213" s="576"/>
      <c r="AE213" s="576"/>
      <c r="AF213" s="576"/>
      <c r="AG213" s="576"/>
      <c r="AH213" s="576"/>
      <c r="AI213" s="576"/>
      <c r="AJ213" s="576"/>
      <c r="AK213" s="576"/>
      <c r="AL213" s="576"/>
      <c r="AM213" s="576"/>
      <c r="AN213" s="576"/>
      <c r="AO213" s="576"/>
      <c r="AP213" s="576"/>
      <c r="AQ213" s="576"/>
      <c r="AR213" s="576"/>
      <c r="AS213" s="576"/>
      <c r="AT213" s="576"/>
      <c r="AU213" s="576"/>
      <c r="AV213" s="576"/>
      <c r="AW213" s="576"/>
      <c r="AX213" s="576"/>
      <c r="AY213" s="576"/>
      <c r="AZ213" s="576"/>
      <c r="BA213" s="576"/>
      <c r="BB213" s="576"/>
      <c r="BC213" s="576"/>
      <c r="BD213" s="572"/>
      <c r="BE213" s="710"/>
      <c r="BF213" s="710"/>
      <c r="BG213" s="710"/>
      <c r="BH213" s="710"/>
      <c r="BI213" s="710"/>
      <c r="BJ213" s="710"/>
      <c r="BK213" s="710"/>
      <c r="BL213" s="710"/>
      <c r="BM213" s="710"/>
      <c r="BN213" s="710"/>
      <c r="BO213" s="710"/>
      <c r="BP213" s="710"/>
      <c r="BQ213" s="710"/>
      <c r="BR213" s="710"/>
      <c r="BS213" s="710"/>
      <c r="BT213" s="710"/>
    </row>
    <row r="214" spans="1:72" s="709" customFormat="1" ht="15.75">
      <c r="A214" s="545"/>
      <c r="B214" s="545"/>
      <c r="C214" s="545"/>
      <c r="D214" s="545"/>
      <c r="E214" s="545"/>
      <c r="F214" s="545"/>
      <c r="G214" s="545"/>
      <c r="H214" s="545"/>
      <c r="I214" s="545"/>
      <c r="J214" s="545"/>
      <c r="K214" s="545"/>
      <c r="L214" s="545"/>
      <c r="M214" s="545"/>
      <c r="N214" s="545"/>
      <c r="O214" s="545"/>
      <c r="P214" s="545"/>
      <c r="Q214" s="545"/>
      <c r="R214" s="545"/>
      <c r="S214" s="576"/>
      <c r="T214" s="576"/>
      <c r="U214" s="576"/>
      <c r="V214" s="576"/>
      <c r="W214" s="545"/>
      <c r="X214" s="545"/>
      <c r="Y214" s="576"/>
      <c r="Z214" s="576"/>
      <c r="AA214" s="545"/>
      <c r="AB214" s="545"/>
      <c r="AC214" s="545"/>
      <c r="AD214" s="576"/>
      <c r="AE214" s="576"/>
      <c r="AF214" s="576"/>
      <c r="AG214" s="576"/>
      <c r="AH214" s="576"/>
      <c r="AI214" s="576"/>
      <c r="AJ214" s="576"/>
      <c r="AK214" s="576"/>
      <c r="AL214" s="576"/>
      <c r="AM214" s="576"/>
      <c r="AN214" s="576"/>
      <c r="AO214" s="576"/>
      <c r="AP214" s="576"/>
      <c r="AQ214" s="576"/>
      <c r="AR214" s="576"/>
      <c r="AS214" s="576"/>
      <c r="AT214" s="576"/>
      <c r="AU214" s="576"/>
      <c r="AV214" s="576"/>
      <c r="AW214" s="576"/>
      <c r="AX214" s="576"/>
      <c r="AY214" s="576"/>
      <c r="AZ214" s="576"/>
      <c r="BA214" s="576"/>
      <c r="BB214" s="576"/>
      <c r="BC214" s="576"/>
      <c r="BD214" s="572"/>
      <c r="BE214" s="710"/>
      <c r="BF214" s="710"/>
      <c r="BG214" s="710"/>
      <c r="BH214" s="710"/>
      <c r="BI214" s="710"/>
      <c r="BJ214" s="710"/>
      <c r="BK214" s="710"/>
      <c r="BL214" s="710"/>
      <c r="BM214" s="710"/>
      <c r="BN214" s="710"/>
      <c r="BO214" s="710"/>
      <c r="BP214" s="710"/>
      <c r="BQ214" s="710"/>
      <c r="BR214" s="710"/>
      <c r="BS214" s="710"/>
      <c r="BT214" s="710"/>
    </row>
    <row r="215" spans="1:72" s="709" customFormat="1" ht="15.75">
      <c r="A215" s="545"/>
      <c r="B215" s="545"/>
      <c r="C215" s="545"/>
      <c r="D215" s="545"/>
      <c r="E215" s="545"/>
      <c r="F215" s="545"/>
      <c r="G215" s="545"/>
      <c r="H215" s="545"/>
      <c r="I215" s="545"/>
      <c r="J215" s="545"/>
      <c r="K215" s="545"/>
      <c r="L215" s="545"/>
      <c r="M215" s="545"/>
      <c r="N215" s="545"/>
      <c r="O215" s="545"/>
      <c r="P215" s="545"/>
      <c r="Q215" s="545"/>
      <c r="R215" s="545"/>
      <c r="S215" s="576"/>
      <c r="T215" s="576"/>
      <c r="U215" s="576"/>
      <c r="V215" s="576"/>
      <c r="W215" s="545"/>
      <c r="X215" s="545"/>
      <c r="Y215" s="576"/>
      <c r="Z215" s="576"/>
      <c r="AA215" s="545"/>
      <c r="AB215" s="545"/>
      <c r="AC215" s="545"/>
      <c r="AD215" s="576"/>
      <c r="AE215" s="576"/>
      <c r="AF215" s="576"/>
      <c r="AG215" s="576"/>
      <c r="AH215" s="576"/>
      <c r="AI215" s="576"/>
      <c r="AJ215" s="576"/>
      <c r="AK215" s="576"/>
      <c r="AL215" s="576"/>
      <c r="AM215" s="576"/>
      <c r="AN215" s="576"/>
      <c r="AO215" s="576"/>
      <c r="AP215" s="576"/>
      <c r="AQ215" s="576"/>
      <c r="AR215" s="576"/>
      <c r="AS215" s="576"/>
      <c r="AT215" s="576"/>
      <c r="AU215" s="576"/>
      <c r="AV215" s="576"/>
      <c r="AW215" s="576"/>
      <c r="AX215" s="576"/>
      <c r="AY215" s="576"/>
      <c r="AZ215" s="576"/>
      <c r="BA215" s="576"/>
      <c r="BB215" s="576"/>
      <c r="BC215" s="576"/>
      <c r="BD215" s="572"/>
      <c r="BE215" s="710"/>
      <c r="BF215" s="710"/>
      <c r="BG215" s="710"/>
      <c r="BH215" s="710"/>
      <c r="BI215" s="710"/>
      <c r="BJ215" s="710"/>
      <c r="BK215" s="710"/>
      <c r="BL215" s="710"/>
      <c r="BM215" s="710"/>
      <c r="BN215" s="710"/>
      <c r="BO215" s="710"/>
      <c r="BP215" s="710"/>
      <c r="BQ215" s="710"/>
      <c r="BR215" s="710"/>
      <c r="BS215" s="710"/>
      <c r="BT215" s="710"/>
    </row>
    <row r="216" spans="1:72" s="709" customFormat="1" ht="15.75">
      <c r="A216" s="545"/>
      <c r="B216" s="545"/>
      <c r="C216" s="545"/>
      <c r="D216" s="545"/>
      <c r="E216" s="545"/>
      <c r="F216" s="545"/>
      <c r="G216" s="545"/>
      <c r="H216" s="545"/>
      <c r="I216" s="545"/>
      <c r="J216" s="545"/>
      <c r="K216" s="545"/>
      <c r="L216" s="545"/>
      <c r="M216" s="545"/>
      <c r="N216" s="545"/>
      <c r="O216" s="545"/>
      <c r="P216" s="545"/>
      <c r="Q216" s="545"/>
      <c r="R216" s="545"/>
      <c r="S216" s="576"/>
      <c r="T216" s="576"/>
      <c r="U216" s="576"/>
      <c r="V216" s="576"/>
      <c r="W216" s="545"/>
      <c r="X216" s="545"/>
      <c r="Y216" s="576"/>
      <c r="Z216" s="576"/>
      <c r="AA216" s="545"/>
      <c r="AB216" s="545"/>
      <c r="AC216" s="545"/>
      <c r="AD216" s="576"/>
      <c r="AE216" s="576"/>
      <c r="AF216" s="576"/>
      <c r="AG216" s="576"/>
      <c r="AH216" s="576"/>
      <c r="AI216" s="576"/>
      <c r="AJ216" s="576"/>
      <c r="AK216" s="576"/>
      <c r="AL216" s="576"/>
      <c r="AM216" s="576"/>
      <c r="AN216" s="576"/>
      <c r="AO216" s="576"/>
      <c r="AP216" s="576"/>
      <c r="AQ216" s="576"/>
      <c r="AR216" s="576"/>
      <c r="AS216" s="576"/>
      <c r="AT216" s="576"/>
      <c r="AU216" s="576"/>
      <c r="AV216" s="576"/>
      <c r="AW216" s="576"/>
      <c r="AX216" s="576"/>
      <c r="AY216" s="576"/>
      <c r="AZ216" s="576"/>
      <c r="BA216" s="576"/>
      <c r="BB216" s="576"/>
      <c r="BC216" s="576"/>
      <c r="BD216" s="572"/>
      <c r="BE216" s="710"/>
      <c r="BF216" s="710"/>
      <c r="BG216" s="710"/>
      <c r="BH216" s="710"/>
      <c r="BI216" s="710"/>
      <c r="BJ216" s="710"/>
      <c r="BK216" s="710"/>
      <c r="BL216" s="710"/>
      <c r="BM216" s="710"/>
      <c r="BN216" s="710"/>
      <c r="BO216" s="710"/>
      <c r="BP216" s="710"/>
      <c r="BQ216" s="710"/>
      <c r="BR216" s="710"/>
      <c r="BS216" s="710"/>
      <c r="BT216" s="710"/>
    </row>
    <row r="217" spans="1:72" s="709" customFormat="1" ht="15.75">
      <c r="A217" s="545"/>
      <c r="B217" s="545"/>
      <c r="C217" s="545"/>
      <c r="D217" s="545"/>
      <c r="E217" s="545"/>
      <c r="F217" s="545"/>
      <c r="G217" s="545"/>
      <c r="H217" s="545"/>
      <c r="I217" s="545"/>
      <c r="J217" s="545"/>
      <c r="K217" s="545"/>
      <c r="L217" s="545"/>
      <c r="M217" s="545"/>
      <c r="N217" s="545"/>
      <c r="O217" s="545"/>
      <c r="P217" s="545"/>
      <c r="Q217" s="545"/>
      <c r="R217" s="545"/>
      <c r="S217" s="576"/>
      <c r="T217" s="576"/>
      <c r="U217" s="576"/>
      <c r="V217" s="576"/>
      <c r="W217" s="545"/>
      <c r="X217" s="545"/>
      <c r="Y217" s="576"/>
      <c r="Z217" s="576"/>
      <c r="AA217" s="545"/>
      <c r="AB217" s="545"/>
      <c r="AC217" s="545"/>
      <c r="AD217" s="576"/>
      <c r="AE217" s="576"/>
      <c r="AF217" s="576"/>
      <c r="AG217" s="576"/>
      <c r="AH217" s="576"/>
      <c r="AI217" s="576"/>
      <c r="AJ217" s="576"/>
      <c r="AK217" s="576"/>
      <c r="AL217" s="576"/>
      <c r="AM217" s="576"/>
      <c r="AN217" s="576"/>
      <c r="AO217" s="576"/>
      <c r="AP217" s="576"/>
      <c r="AQ217" s="576"/>
      <c r="AR217" s="576"/>
      <c r="AS217" s="576"/>
      <c r="AT217" s="576"/>
      <c r="AU217" s="576"/>
      <c r="AV217" s="576"/>
      <c r="AW217" s="576"/>
      <c r="AX217" s="576"/>
      <c r="AY217" s="576"/>
      <c r="AZ217" s="576"/>
      <c r="BA217" s="576"/>
      <c r="BB217" s="576"/>
      <c r="BC217" s="576"/>
      <c r="BD217" s="572"/>
      <c r="BE217" s="710"/>
      <c r="BF217" s="710"/>
      <c r="BG217" s="710"/>
      <c r="BH217" s="710"/>
      <c r="BI217" s="710"/>
      <c r="BJ217" s="710"/>
      <c r="BK217" s="710"/>
      <c r="BL217" s="710"/>
      <c r="BM217" s="710"/>
      <c r="BN217" s="710"/>
      <c r="BO217" s="710"/>
      <c r="BP217" s="710"/>
      <c r="BQ217" s="710"/>
      <c r="BR217" s="710"/>
      <c r="BS217" s="710"/>
      <c r="BT217" s="710"/>
    </row>
    <row r="218" spans="1:72" s="709" customFormat="1" ht="15.75">
      <c r="A218" s="545"/>
      <c r="B218" s="545"/>
      <c r="C218" s="545"/>
      <c r="D218" s="545"/>
      <c r="E218" s="545"/>
      <c r="F218" s="545"/>
      <c r="G218" s="545"/>
      <c r="H218" s="545"/>
      <c r="I218" s="545"/>
      <c r="J218" s="545"/>
      <c r="K218" s="545"/>
      <c r="L218" s="545"/>
      <c r="M218" s="545"/>
      <c r="N218" s="545"/>
      <c r="O218" s="545"/>
      <c r="P218" s="545"/>
      <c r="Q218" s="545"/>
      <c r="R218" s="545"/>
      <c r="S218" s="576"/>
      <c r="T218" s="576"/>
      <c r="U218" s="576"/>
      <c r="V218" s="576"/>
      <c r="W218" s="545"/>
      <c r="X218" s="545"/>
      <c r="Y218" s="576"/>
      <c r="Z218" s="576"/>
      <c r="AA218" s="545"/>
      <c r="AB218" s="545"/>
      <c r="AC218" s="545"/>
      <c r="AD218" s="576"/>
      <c r="AE218" s="576"/>
      <c r="AF218" s="576"/>
      <c r="AG218" s="576"/>
      <c r="AH218" s="576"/>
      <c r="AI218" s="576"/>
      <c r="AJ218" s="576"/>
      <c r="AK218" s="576"/>
      <c r="AL218" s="576"/>
      <c r="AM218" s="576"/>
      <c r="AN218" s="576"/>
      <c r="AO218" s="576"/>
      <c r="AP218" s="576"/>
      <c r="AQ218" s="576"/>
      <c r="AR218" s="576"/>
      <c r="AS218" s="576"/>
      <c r="AT218" s="576"/>
      <c r="AU218" s="576"/>
      <c r="AV218" s="576"/>
      <c r="AW218" s="576"/>
      <c r="AX218" s="576"/>
      <c r="AY218" s="576"/>
      <c r="AZ218" s="576"/>
      <c r="BA218" s="576"/>
      <c r="BB218" s="576"/>
      <c r="BC218" s="576"/>
      <c r="BD218" s="572"/>
      <c r="BE218" s="710"/>
      <c r="BF218" s="710"/>
      <c r="BG218" s="710"/>
      <c r="BH218" s="710"/>
      <c r="BI218" s="710"/>
      <c r="BJ218" s="710"/>
      <c r="BK218" s="710"/>
      <c r="BL218" s="710"/>
      <c r="BM218" s="710"/>
      <c r="BN218" s="710"/>
      <c r="BO218" s="710"/>
      <c r="BP218" s="710"/>
      <c r="BQ218" s="710"/>
      <c r="BR218" s="710"/>
      <c r="BS218" s="710"/>
      <c r="BT218" s="710"/>
    </row>
  </sheetData>
  <mergeCells count="156">
    <mergeCell ref="AT69:AW73"/>
    <mergeCell ref="B69:E73"/>
    <mergeCell ref="F69:I73"/>
    <mergeCell ref="J69:M73"/>
    <mergeCell ref="N69:Q73"/>
    <mergeCell ref="AP64:AS68"/>
    <mergeCell ref="AT64:AW68"/>
    <mergeCell ref="J64:M68"/>
    <mergeCell ref="B64:E68"/>
    <mergeCell ref="F64:I68"/>
    <mergeCell ref="N64:Q68"/>
    <mergeCell ref="R69:U73"/>
    <mergeCell ref="V69:Y73"/>
    <mergeCell ref="Z69:AC73"/>
    <mergeCell ref="AD69:AG73"/>
    <mergeCell ref="AH69:AK73"/>
    <mergeCell ref="AL69:AO73"/>
    <mergeCell ref="R64:U68"/>
    <mergeCell ref="V64:Y68"/>
    <mergeCell ref="Z64:AC68"/>
    <mergeCell ref="AD64:AG68"/>
    <mergeCell ref="AH64:AK68"/>
    <mergeCell ref="AL64:AO68"/>
    <mergeCell ref="AP69:AS73"/>
    <mergeCell ref="AL62:AO63"/>
    <mergeCell ref="AP62:AS63"/>
    <mergeCell ref="AT62:AW63"/>
    <mergeCell ref="B62:E63"/>
    <mergeCell ref="F62:I63"/>
    <mergeCell ref="J62:M63"/>
    <mergeCell ref="N62:Q63"/>
    <mergeCell ref="R62:U63"/>
    <mergeCell ref="V62:Y63"/>
    <mergeCell ref="Z62:AC63"/>
    <mergeCell ref="AD62:AG63"/>
    <mergeCell ref="AH62:AK63"/>
    <mergeCell ref="Z60:AC61"/>
    <mergeCell ref="AD60:AG61"/>
    <mergeCell ref="AH60:AK61"/>
    <mergeCell ref="AL60:AO61"/>
    <mergeCell ref="AP60:AS61"/>
    <mergeCell ref="AT60:AW61"/>
    <mergeCell ref="B60:E61"/>
    <mergeCell ref="F60:I61"/>
    <mergeCell ref="J60:M61"/>
    <mergeCell ref="N60:Q61"/>
    <mergeCell ref="R60:U61"/>
    <mergeCell ref="V60:Y61"/>
    <mergeCell ref="Z58:AC59"/>
    <mergeCell ref="AD58:AG59"/>
    <mergeCell ref="AH58:AK59"/>
    <mergeCell ref="AL58:AO59"/>
    <mergeCell ref="AP58:AS59"/>
    <mergeCell ref="AT58:AW59"/>
    <mergeCell ref="B58:E59"/>
    <mergeCell ref="F58:I59"/>
    <mergeCell ref="J58:M59"/>
    <mergeCell ref="N58:Q59"/>
    <mergeCell ref="R58:U59"/>
    <mergeCell ref="V58:Y59"/>
    <mergeCell ref="Z47:AC48"/>
    <mergeCell ref="AD47:AG48"/>
    <mergeCell ref="AH47:AK48"/>
    <mergeCell ref="AL47:AO48"/>
    <mergeCell ref="AP47:AS48"/>
    <mergeCell ref="AT47:AW48"/>
    <mergeCell ref="B47:E48"/>
    <mergeCell ref="F47:I48"/>
    <mergeCell ref="J47:M48"/>
    <mergeCell ref="N47:Q48"/>
    <mergeCell ref="R47:U48"/>
    <mergeCell ref="V47:Y48"/>
    <mergeCell ref="Z45:AC46"/>
    <mergeCell ref="AD45:AG46"/>
    <mergeCell ref="AH45:AK46"/>
    <mergeCell ref="AL45:AO46"/>
    <mergeCell ref="AP45:AS46"/>
    <mergeCell ref="AT45:AW46"/>
    <mergeCell ref="B45:E46"/>
    <mergeCell ref="F45:I46"/>
    <mergeCell ref="J45:M46"/>
    <mergeCell ref="N45:Q46"/>
    <mergeCell ref="R45:U46"/>
    <mergeCell ref="V45:Y46"/>
    <mergeCell ref="Z43:AC44"/>
    <mergeCell ref="AD43:AG44"/>
    <mergeCell ref="AH43:AK44"/>
    <mergeCell ref="AL43:AO44"/>
    <mergeCell ref="AP43:AS44"/>
    <mergeCell ref="AT43:AW44"/>
    <mergeCell ref="B43:E44"/>
    <mergeCell ref="F43:I44"/>
    <mergeCell ref="J43:M44"/>
    <mergeCell ref="N43:Q44"/>
    <mergeCell ref="R43:U44"/>
    <mergeCell ref="V43:Y44"/>
    <mergeCell ref="Z41:AC42"/>
    <mergeCell ref="AD41:AG42"/>
    <mergeCell ref="AH41:AK42"/>
    <mergeCell ref="AL41:AO42"/>
    <mergeCell ref="AP41:AS42"/>
    <mergeCell ref="AT41:AW42"/>
    <mergeCell ref="B41:E42"/>
    <mergeCell ref="F41:I42"/>
    <mergeCell ref="J41:M42"/>
    <mergeCell ref="N41:Q42"/>
    <mergeCell ref="R41:U42"/>
    <mergeCell ref="V41:Y42"/>
    <mergeCell ref="AV3:AY3"/>
    <mergeCell ref="Z39:AC40"/>
    <mergeCell ref="AD39:AG40"/>
    <mergeCell ref="AH39:AK40"/>
    <mergeCell ref="AL39:AO40"/>
    <mergeCell ref="AP39:AS40"/>
    <mergeCell ref="AT39:AW40"/>
    <mergeCell ref="A5:BA5"/>
    <mergeCell ref="BB5:BC5"/>
    <mergeCell ref="J24:M24"/>
    <mergeCell ref="B39:E40"/>
    <mergeCell ref="F39:I40"/>
    <mergeCell ref="J39:M40"/>
    <mergeCell ref="N39:Q40"/>
    <mergeCell ref="R39:U40"/>
    <mergeCell ref="V39:Y40"/>
    <mergeCell ref="AI28:AM29"/>
    <mergeCell ref="AN28:AS29"/>
    <mergeCell ref="H28:L29"/>
    <mergeCell ref="M28:Q29"/>
    <mergeCell ref="R28:V29"/>
    <mergeCell ref="W28:Z29"/>
    <mergeCell ref="AA28:AD29"/>
    <mergeCell ref="AE28:AH29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V2:AY2"/>
    <mergeCell ref="AZ2:BC3"/>
    <mergeCell ref="A3:H3"/>
    <mergeCell ref="I3:L3"/>
    <mergeCell ref="M3:W3"/>
    <mergeCell ref="X3:Z3"/>
    <mergeCell ref="AA3:AR3"/>
    <mergeCell ref="AS3:AU3"/>
  </mergeCells>
  <phoneticPr fontId="54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281ED-0271-46B4-A226-13FB54362481}">
  <sheetPr>
    <pageSetUpPr fitToPage="1"/>
  </sheetPr>
  <dimension ref="A1:CI57"/>
  <sheetViews>
    <sheetView showGridLines="0" tabSelected="1" view="pageBreakPreview" topLeftCell="A22" zoomScale="80" zoomScaleNormal="70" zoomScaleSheetLayoutView="80" workbookViewId="0">
      <selection activeCell="C20" sqref="C20:I20"/>
    </sheetView>
  </sheetViews>
  <sheetFormatPr defaultColWidth="2.5" defaultRowHeight="15.75"/>
  <cols>
    <col min="1" max="10" width="2.5" style="727" customWidth="1"/>
    <col min="11" max="16" width="3.25" style="727" customWidth="1"/>
    <col min="17" max="22" width="2.5" style="727" customWidth="1"/>
    <col min="23" max="38" width="2.5" style="727"/>
    <col min="39" max="39" width="2.5" style="727" customWidth="1"/>
    <col min="40" max="61" width="2.5" style="727"/>
    <col min="62" max="62" width="2.5" style="727" customWidth="1"/>
    <col min="63" max="248" width="2.5" style="727"/>
    <col min="249" max="249" width="4" style="727" customWidth="1"/>
    <col min="250" max="281" width="2.5" style="727"/>
    <col min="282" max="282" width="2.5" style="727" customWidth="1"/>
    <col min="283" max="504" width="2.5" style="727"/>
    <col min="505" max="505" width="4" style="727" customWidth="1"/>
    <col min="506" max="537" width="2.5" style="727"/>
    <col min="538" max="538" width="2.5" style="727" customWidth="1"/>
    <col min="539" max="760" width="2.5" style="727"/>
    <col min="761" max="761" width="4" style="727" customWidth="1"/>
    <col min="762" max="793" width="2.5" style="727"/>
    <col min="794" max="794" width="2.5" style="727" customWidth="1"/>
    <col min="795" max="1016" width="2.5" style="727"/>
    <col min="1017" max="1017" width="4" style="727" customWidth="1"/>
    <col min="1018" max="1049" width="2.5" style="727"/>
    <col min="1050" max="1050" width="2.5" style="727" customWidth="1"/>
    <col min="1051" max="1272" width="2.5" style="727"/>
    <col min="1273" max="1273" width="4" style="727" customWidth="1"/>
    <col min="1274" max="1305" width="2.5" style="727"/>
    <col min="1306" max="1306" width="2.5" style="727" customWidth="1"/>
    <col min="1307" max="1528" width="2.5" style="727"/>
    <col min="1529" max="1529" width="4" style="727" customWidth="1"/>
    <col min="1530" max="1561" width="2.5" style="727"/>
    <col min="1562" max="1562" width="2.5" style="727" customWidth="1"/>
    <col min="1563" max="1784" width="2.5" style="727"/>
    <col min="1785" max="1785" width="4" style="727" customWidth="1"/>
    <col min="1786" max="1817" width="2.5" style="727"/>
    <col min="1818" max="1818" width="2.5" style="727" customWidth="1"/>
    <col min="1819" max="2040" width="2.5" style="727"/>
    <col min="2041" max="2041" width="4" style="727" customWidth="1"/>
    <col min="2042" max="2073" width="2.5" style="727"/>
    <col min="2074" max="2074" width="2.5" style="727" customWidth="1"/>
    <col min="2075" max="2296" width="2.5" style="727"/>
    <col min="2297" max="2297" width="4" style="727" customWidth="1"/>
    <col min="2298" max="2329" width="2.5" style="727"/>
    <col min="2330" max="2330" width="2.5" style="727" customWidth="1"/>
    <col min="2331" max="2552" width="2.5" style="727"/>
    <col min="2553" max="2553" width="4" style="727" customWidth="1"/>
    <col min="2554" max="2585" width="2.5" style="727"/>
    <col min="2586" max="2586" width="2.5" style="727" customWidth="1"/>
    <col min="2587" max="2808" width="2.5" style="727"/>
    <col min="2809" max="2809" width="4" style="727" customWidth="1"/>
    <col min="2810" max="2841" width="2.5" style="727"/>
    <col min="2842" max="2842" width="2.5" style="727" customWidth="1"/>
    <col min="2843" max="3064" width="2.5" style="727"/>
    <col min="3065" max="3065" width="4" style="727" customWidth="1"/>
    <col min="3066" max="3097" width="2.5" style="727"/>
    <col min="3098" max="3098" width="2.5" style="727" customWidth="1"/>
    <col min="3099" max="3320" width="2.5" style="727"/>
    <col min="3321" max="3321" width="4" style="727" customWidth="1"/>
    <col min="3322" max="3353" width="2.5" style="727"/>
    <col min="3354" max="3354" width="2.5" style="727" customWidth="1"/>
    <col min="3355" max="3576" width="2.5" style="727"/>
    <col min="3577" max="3577" width="4" style="727" customWidth="1"/>
    <col min="3578" max="3609" width="2.5" style="727"/>
    <col min="3610" max="3610" width="2.5" style="727" customWidth="1"/>
    <col min="3611" max="3832" width="2.5" style="727"/>
    <col min="3833" max="3833" width="4" style="727" customWidth="1"/>
    <col min="3834" max="3865" width="2.5" style="727"/>
    <col min="3866" max="3866" width="2.5" style="727" customWidth="1"/>
    <col min="3867" max="4088" width="2.5" style="727"/>
    <col min="4089" max="4089" width="4" style="727" customWidth="1"/>
    <col min="4090" max="4121" width="2.5" style="727"/>
    <col min="4122" max="4122" width="2.5" style="727" customWidth="1"/>
    <col min="4123" max="4344" width="2.5" style="727"/>
    <col min="4345" max="4345" width="4" style="727" customWidth="1"/>
    <col min="4346" max="4377" width="2.5" style="727"/>
    <col min="4378" max="4378" width="2.5" style="727" customWidth="1"/>
    <col min="4379" max="4600" width="2.5" style="727"/>
    <col min="4601" max="4601" width="4" style="727" customWidth="1"/>
    <col min="4602" max="4633" width="2.5" style="727"/>
    <col min="4634" max="4634" width="2.5" style="727" customWidth="1"/>
    <col min="4635" max="4856" width="2.5" style="727"/>
    <col min="4857" max="4857" width="4" style="727" customWidth="1"/>
    <col min="4858" max="4889" width="2.5" style="727"/>
    <col min="4890" max="4890" width="2.5" style="727" customWidth="1"/>
    <col min="4891" max="5112" width="2.5" style="727"/>
    <col min="5113" max="5113" width="4" style="727" customWidth="1"/>
    <col min="5114" max="5145" width="2.5" style="727"/>
    <col min="5146" max="5146" width="2.5" style="727" customWidth="1"/>
    <col min="5147" max="5368" width="2.5" style="727"/>
    <col min="5369" max="5369" width="4" style="727" customWidth="1"/>
    <col min="5370" max="5401" width="2.5" style="727"/>
    <col min="5402" max="5402" width="2.5" style="727" customWidth="1"/>
    <col min="5403" max="5624" width="2.5" style="727"/>
    <col min="5625" max="5625" width="4" style="727" customWidth="1"/>
    <col min="5626" max="5657" width="2.5" style="727"/>
    <col min="5658" max="5658" width="2.5" style="727" customWidth="1"/>
    <col min="5659" max="5880" width="2.5" style="727"/>
    <col min="5881" max="5881" width="4" style="727" customWidth="1"/>
    <col min="5882" max="5913" width="2.5" style="727"/>
    <col min="5914" max="5914" width="2.5" style="727" customWidth="1"/>
    <col min="5915" max="6136" width="2.5" style="727"/>
    <col min="6137" max="6137" width="4" style="727" customWidth="1"/>
    <col min="6138" max="6169" width="2.5" style="727"/>
    <col min="6170" max="6170" width="2.5" style="727" customWidth="1"/>
    <col min="6171" max="6392" width="2.5" style="727"/>
    <col min="6393" max="6393" width="4" style="727" customWidth="1"/>
    <col min="6394" max="6425" width="2.5" style="727"/>
    <col min="6426" max="6426" width="2.5" style="727" customWidth="1"/>
    <col min="6427" max="6648" width="2.5" style="727"/>
    <col min="6649" max="6649" width="4" style="727" customWidth="1"/>
    <col min="6650" max="6681" width="2.5" style="727"/>
    <col min="6682" max="6682" width="2.5" style="727" customWidth="1"/>
    <col min="6683" max="6904" width="2.5" style="727"/>
    <col min="6905" max="6905" width="4" style="727" customWidth="1"/>
    <col min="6906" max="6937" width="2.5" style="727"/>
    <col min="6938" max="6938" width="2.5" style="727" customWidth="1"/>
    <col min="6939" max="7160" width="2.5" style="727"/>
    <col min="7161" max="7161" width="4" style="727" customWidth="1"/>
    <col min="7162" max="7193" width="2.5" style="727"/>
    <col min="7194" max="7194" width="2.5" style="727" customWidth="1"/>
    <col min="7195" max="7416" width="2.5" style="727"/>
    <col min="7417" max="7417" width="4" style="727" customWidth="1"/>
    <col min="7418" max="7449" width="2.5" style="727"/>
    <col min="7450" max="7450" width="2.5" style="727" customWidth="1"/>
    <col min="7451" max="7672" width="2.5" style="727"/>
    <col min="7673" max="7673" width="4" style="727" customWidth="1"/>
    <col min="7674" max="7705" width="2.5" style="727"/>
    <col min="7706" max="7706" width="2.5" style="727" customWidth="1"/>
    <col min="7707" max="7928" width="2.5" style="727"/>
    <col min="7929" max="7929" width="4" style="727" customWidth="1"/>
    <col min="7930" max="7961" width="2.5" style="727"/>
    <col min="7962" max="7962" width="2.5" style="727" customWidth="1"/>
    <col min="7963" max="8184" width="2.5" style="727"/>
    <col min="8185" max="8185" width="4" style="727" customWidth="1"/>
    <col min="8186" max="8217" width="2.5" style="727"/>
    <col min="8218" max="8218" width="2.5" style="727" customWidth="1"/>
    <col min="8219" max="8440" width="2.5" style="727"/>
    <col min="8441" max="8441" width="4" style="727" customWidth="1"/>
    <col min="8442" max="8473" width="2.5" style="727"/>
    <col min="8474" max="8474" width="2.5" style="727" customWidth="1"/>
    <col min="8475" max="8696" width="2.5" style="727"/>
    <col min="8697" max="8697" width="4" style="727" customWidth="1"/>
    <col min="8698" max="8729" width="2.5" style="727"/>
    <col min="8730" max="8730" width="2.5" style="727" customWidth="1"/>
    <col min="8731" max="8952" width="2.5" style="727"/>
    <col min="8953" max="8953" width="4" style="727" customWidth="1"/>
    <col min="8954" max="8985" width="2.5" style="727"/>
    <col min="8986" max="8986" width="2.5" style="727" customWidth="1"/>
    <col min="8987" max="9208" width="2.5" style="727"/>
    <col min="9209" max="9209" width="4" style="727" customWidth="1"/>
    <col min="9210" max="9241" width="2.5" style="727"/>
    <col min="9242" max="9242" width="2.5" style="727" customWidth="1"/>
    <col min="9243" max="9464" width="2.5" style="727"/>
    <col min="9465" max="9465" width="4" style="727" customWidth="1"/>
    <col min="9466" max="9497" width="2.5" style="727"/>
    <col min="9498" max="9498" width="2.5" style="727" customWidth="1"/>
    <col min="9499" max="9720" width="2.5" style="727"/>
    <col min="9721" max="9721" width="4" style="727" customWidth="1"/>
    <col min="9722" max="9753" width="2.5" style="727"/>
    <col min="9754" max="9754" width="2.5" style="727" customWidth="1"/>
    <col min="9755" max="9976" width="2.5" style="727"/>
    <col min="9977" max="9977" width="4" style="727" customWidth="1"/>
    <col min="9978" max="10009" width="2.5" style="727"/>
    <col min="10010" max="10010" width="2.5" style="727" customWidth="1"/>
    <col min="10011" max="10232" width="2.5" style="727"/>
    <col min="10233" max="10233" width="4" style="727" customWidth="1"/>
    <col min="10234" max="10265" width="2.5" style="727"/>
    <col min="10266" max="10266" width="2.5" style="727" customWidth="1"/>
    <col min="10267" max="10488" width="2.5" style="727"/>
    <col min="10489" max="10489" width="4" style="727" customWidth="1"/>
    <col min="10490" max="10521" width="2.5" style="727"/>
    <col min="10522" max="10522" width="2.5" style="727" customWidth="1"/>
    <col min="10523" max="10744" width="2.5" style="727"/>
    <col min="10745" max="10745" width="4" style="727" customWidth="1"/>
    <col min="10746" max="10777" width="2.5" style="727"/>
    <col min="10778" max="10778" width="2.5" style="727" customWidth="1"/>
    <col min="10779" max="11000" width="2.5" style="727"/>
    <col min="11001" max="11001" width="4" style="727" customWidth="1"/>
    <col min="11002" max="11033" width="2.5" style="727"/>
    <col min="11034" max="11034" width="2.5" style="727" customWidth="1"/>
    <col min="11035" max="11256" width="2.5" style="727"/>
    <col min="11257" max="11257" width="4" style="727" customWidth="1"/>
    <col min="11258" max="11289" width="2.5" style="727"/>
    <col min="11290" max="11290" width="2.5" style="727" customWidth="1"/>
    <col min="11291" max="11512" width="2.5" style="727"/>
    <col min="11513" max="11513" width="4" style="727" customWidth="1"/>
    <col min="11514" max="11545" width="2.5" style="727"/>
    <col min="11546" max="11546" width="2.5" style="727" customWidth="1"/>
    <col min="11547" max="11768" width="2.5" style="727"/>
    <col min="11769" max="11769" width="4" style="727" customWidth="1"/>
    <col min="11770" max="11801" width="2.5" style="727"/>
    <col min="11802" max="11802" width="2.5" style="727" customWidth="1"/>
    <col min="11803" max="12024" width="2.5" style="727"/>
    <col min="12025" max="12025" width="4" style="727" customWidth="1"/>
    <col min="12026" max="12057" width="2.5" style="727"/>
    <col min="12058" max="12058" width="2.5" style="727" customWidth="1"/>
    <col min="12059" max="12280" width="2.5" style="727"/>
    <col min="12281" max="12281" width="4" style="727" customWidth="1"/>
    <col min="12282" max="12313" width="2.5" style="727"/>
    <col min="12314" max="12314" width="2.5" style="727" customWidth="1"/>
    <col min="12315" max="12536" width="2.5" style="727"/>
    <col min="12537" max="12537" width="4" style="727" customWidth="1"/>
    <col min="12538" max="12569" width="2.5" style="727"/>
    <col min="12570" max="12570" width="2.5" style="727" customWidth="1"/>
    <col min="12571" max="12792" width="2.5" style="727"/>
    <col min="12793" max="12793" width="4" style="727" customWidth="1"/>
    <col min="12794" max="12825" width="2.5" style="727"/>
    <col min="12826" max="12826" width="2.5" style="727" customWidth="1"/>
    <col min="12827" max="13048" width="2.5" style="727"/>
    <col min="13049" max="13049" width="4" style="727" customWidth="1"/>
    <col min="13050" max="13081" width="2.5" style="727"/>
    <col min="13082" max="13082" width="2.5" style="727" customWidth="1"/>
    <col min="13083" max="13304" width="2.5" style="727"/>
    <col min="13305" max="13305" width="4" style="727" customWidth="1"/>
    <col min="13306" max="13337" width="2.5" style="727"/>
    <col min="13338" max="13338" width="2.5" style="727" customWidth="1"/>
    <col min="13339" max="13560" width="2.5" style="727"/>
    <col min="13561" max="13561" width="4" style="727" customWidth="1"/>
    <col min="13562" max="13593" width="2.5" style="727"/>
    <col min="13594" max="13594" width="2.5" style="727" customWidth="1"/>
    <col min="13595" max="13816" width="2.5" style="727"/>
    <col min="13817" max="13817" width="4" style="727" customWidth="1"/>
    <col min="13818" max="13849" width="2.5" style="727"/>
    <col min="13850" max="13850" width="2.5" style="727" customWidth="1"/>
    <col min="13851" max="14072" width="2.5" style="727"/>
    <col min="14073" max="14073" width="4" style="727" customWidth="1"/>
    <col min="14074" max="14105" width="2.5" style="727"/>
    <col min="14106" max="14106" width="2.5" style="727" customWidth="1"/>
    <col min="14107" max="14328" width="2.5" style="727"/>
    <col min="14329" max="14329" width="4" style="727" customWidth="1"/>
    <col min="14330" max="14361" width="2.5" style="727"/>
    <col min="14362" max="14362" width="2.5" style="727" customWidth="1"/>
    <col min="14363" max="14584" width="2.5" style="727"/>
    <col min="14585" max="14585" width="4" style="727" customWidth="1"/>
    <col min="14586" max="14617" width="2.5" style="727"/>
    <col min="14618" max="14618" width="2.5" style="727" customWidth="1"/>
    <col min="14619" max="14840" width="2.5" style="727"/>
    <col min="14841" max="14841" width="4" style="727" customWidth="1"/>
    <col min="14842" max="14873" width="2.5" style="727"/>
    <col min="14874" max="14874" width="2.5" style="727" customWidth="1"/>
    <col min="14875" max="15096" width="2.5" style="727"/>
    <col min="15097" max="15097" width="4" style="727" customWidth="1"/>
    <col min="15098" max="15129" width="2.5" style="727"/>
    <col min="15130" max="15130" width="2.5" style="727" customWidth="1"/>
    <col min="15131" max="15352" width="2.5" style="727"/>
    <col min="15353" max="15353" width="4" style="727" customWidth="1"/>
    <col min="15354" max="15385" width="2.5" style="727"/>
    <col min="15386" max="15386" width="2.5" style="727" customWidth="1"/>
    <col min="15387" max="15608" width="2.5" style="727"/>
    <col min="15609" max="15609" width="4" style="727" customWidth="1"/>
    <col min="15610" max="15641" width="2.5" style="727"/>
    <col min="15642" max="15642" width="2.5" style="727" customWidth="1"/>
    <col min="15643" max="15864" width="2.5" style="727"/>
    <col min="15865" max="15865" width="4" style="727" customWidth="1"/>
    <col min="15866" max="15897" width="2.5" style="727"/>
    <col min="15898" max="15898" width="2.5" style="727" customWidth="1"/>
    <col min="15899" max="16120" width="2.5" style="727"/>
    <col min="16121" max="16121" width="4" style="727" customWidth="1"/>
    <col min="16122" max="16153" width="2.5" style="727"/>
    <col min="16154" max="16154" width="2.5" style="727" customWidth="1"/>
    <col min="16155" max="16384" width="2.5" style="727"/>
  </cols>
  <sheetData>
    <row r="1" spans="1:87" ht="12.75" customHeight="1">
      <c r="A1" s="997" t="s">
        <v>485</v>
      </c>
      <c r="B1" s="997"/>
      <c r="C1" s="997"/>
      <c r="D1" s="997"/>
      <c r="E1" s="997"/>
      <c r="F1" s="997"/>
      <c r="G1" s="997"/>
      <c r="H1" s="997"/>
      <c r="I1" s="997"/>
      <c r="J1" s="725"/>
      <c r="K1" s="725"/>
      <c r="L1" s="725"/>
      <c r="M1" s="725"/>
      <c r="N1" s="725"/>
      <c r="O1" s="725"/>
      <c r="P1" s="725"/>
      <c r="Q1" s="725"/>
      <c r="R1" s="725"/>
      <c r="S1" s="725"/>
      <c r="T1" s="725"/>
      <c r="U1" s="725"/>
      <c r="V1" s="725"/>
      <c r="W1" s="725"/>
      <c r="X1" s="725"/>
      <c r="Y1" s="725"/>
      <c r="Z1" s="725"/>
      <c r="AA1" s="725"/>
      <c r="AB1" s="725"/>
      <c r="AC1" s="725"/>
      <c r="AD1" s="725"/>
      <c r="AE1" s="725"/>
      <c r="AF1" s="725"/>
      <c r="AG1" s="725"/>
      <c r="AH1" s="725"/>
      <c r="AI1" s="725"/>
      <c r="AJ1" s="725"/>
      <c r="AK1" s="725"/>
      <c r="AL1" s="725"/>
      <c r="AM1" s="725"/>
      <c r="AN1" s="725"/>
      <c r="AO1" s="725"/>
      <c r="AP1" s="725"/>
      <c r="AQ1" s="725"/>
      <c r="AR1" s="725"/>
      <c r="AS1" s="725"/>
      <c r="AT1" s="725"/>
      <c r="AU1" s="725"/>
      <c r="AV1" s="725"/>
      <c r="AW1" s="725"/>
      <c r="AX1" s="725"/>
      <c r="AY1" s="725"/>
      <c r="AZ1" s="725"/>
      <c r="BA1" s="725"/>
      <c r="BB1" s="725"/>
      <c r="BC1" s="725"/>
      <c r="BD1" s="725"/>
      <c r="BE1" s="725"/>
      <c r="BF1" s="725"/>
      <c r="BG1" s="725"/>
      <c r="BH1" s="725"/>
      <c r="BI1" s="725"/>
      <c r="BJ1" s="725"/>
      <c r="BK1" s="725"/>
      <c r="BL1" s="725"/>
      <c r="BM1" s="725"/>
      <c r="BN1" s="725"/>
      <c r="BO1" s="725"/>
      <c r="BP1" s="725"/>
      <c r="BQ1" s="725"/>
      <c r="BR1" s="725"/>
      <c r="BS1" s="725"/>
      <c r="BT1" s="725"/>
      <c r="BU1" s="725"/>
      <c r="BV1" s="725"/>
      <c r="BW1" s="725"/>
      <c r="BX1" s="725"/>
      <c r="BY1" s="725"/>
      <c r="BZ1" s="725"/>
      <c r="CA1" s="725"/>
      <c r="CB1" s="725"/>
      <c r="CC1" s="725"/>
      <c r="CD1" s="725"/>
      <c r="CE1" s="725"/>
      <c r="CF1" s="725"/>
      <c r="CG1" s="725"/>
      <c r="CH1" s="726"/>
      <c r="CI1" s="726"/>
    </row>
    <row r="2" spans="1:87" ht="12.75" customHeight="1">
      <c r="A2" s="998" t="s">
        <v>486</v>
      </c>
      <c r="B2" s="998"/>
      <c r="C2" s="998"/>
      <c r="D2" s="998"/>
      <c r="E2" s="998"/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  <c r="AA2" s="998"/>
      <c r="AB2" s="998"/>
      <c r="AC2" s="998"/>
      <c r="AD2" s="998"/>
      <c r="AE2" s="998"/>
      <c r="AF2" s="999" t="s">
        <v>487</v>
      </c>
      <c r="AG2" s="999"/>
      <c r="AH2" s="999"/>
      <c r="AI2" s="999"/>
      <c r="AJ2" s="999"/>
      <c r="AK2" s="999"/>
      <c r="AL2" s="999"/>
      <c r="AM2" s="999"/>
      <c r="AN2" s="999"/>
      <c r="AO2" s="999"/>
      <c r="AP2" s="999"/>
      <c r="AQ2" s="999"/>
      <c r="AR2" s="999"/>
      <c r="AS2" s="999"/>
      <c r="AT2" s="999"/>
      <c r="AU2" s="999"/>
      <c r="AV2" s="999"/>
      <c r="AW2" s="999"/>
      <c r="AX2" s="999"/>
      <c r="AY2" s="999"/>
      <c r="AZ2" s="999"/>
      <c r="BA2" s="999"/>
      <c r="BB2" s="999"/>
      <c r="BC2" s="999"/>
      <c r="BD2" s="999"/>
      <c r="BE2" s="999"/>
      <c r="BF2" s="999"/>
      <c r="BG2" s="999"/>
      <c r="BH2" s="999"/>
      <c r="BI2" s="999"/>
      <c r="BJ2" s="999"/>
      <c r="BK2" s="999"/>
      <c r="BL2" s="999"/>
      <c r="BM2" s="999"/>
      <c r="BN2" s="999"/>
      <c r="BO2" s="999"/>
      <c r="BP2" s="999"/>
      <c r="BQ2" s="999"/>
      <c r="BR2" s="999"/>
      <c r="BS2" s="999"/>
      <c r="BT2" s="999"/>
      <c r="BU2" s="999"/>
      <c r="BV2" s="999"/>
      <c r="BW2" s="999"/>
      <c r="BX2" s="999"/>
      <c r="BY2" s="999"/>
      <c r="BZ2" s="999"/>
      <c r="CA2" s="999"/>
      <c r="CB2" s="999"/>
      <c r="CC2" s="999"/>
      <c r="CD2" s="999"/>
      <c r="CE2" s="999"/>
      <c r="CF2" s="999"/>
      <c r="CG2" s="999"/>
      <c r="CH2" s="999"/>
      <c r="CI2" s="999"/>
    </row>
    <row r="3" spans="1:87" ht="27.75" customHeight="1">
      <c r="A3" s="996" t="s">
        <v>489</v>
      </c>
      <c r="B3" s="1000"/>
      <c r="C3" s="1000" t="s">
        <v>490</v>
      </c>
      <c r="D3" s="1000"/>
      <c r="E3" s="1000"/>
      <c r="F3" s="1000"/>
      <c r="G3" s="1000"/>
      <c r="H3" s="1000"/>
      <c r="I3" s="1000"/>
      <c r="J3" s="1000"/>
      <c r="K3" s="1000"/>
      <c r="L3" s="1000"/>
      <c r="M3" s="1000"/>
      <c r="N3" s="1000"/>
      <c r="O3" s="1000"/>
      <c r="P3" s="1000"/>
      <c r="Q3" s="996" t="s">
        <v>491</v>
      </c>
      <c r="R3" s="1000"/>
      <c r="S3" s="1000"/>
      <c r="T3" s="1000"/>
      <c r="U3" s="1000"/>
      <c r="V3" s="1000"/>
      <c r="W3" s="1000"/>
      <c r="X3" s="996" t="s">
        <v>492</v>
      </c>
      <c r="Y3" s="1000"/>
      <c r="Z3" s="1000"/>
      <c r="AA3" s="1000"/>
      <c r="AB3" s="1000" t="s">
        <v>493</v>
      </c>
      <c r="AC3" s="1000"/>
      <c r="AD3" s="1001" t="s">
        <v>494</v>
      </c>
      <c r="AE3" s="1002"/>
      <c r="AF3" s="996" t="s">
        <v>495</v>
      </c>
      <c r="AG3" s="1000"/>
      <c r="AH3" s="1000"/>
      <c r="AI3" s="1000"/>
      <c r="AJ3" s="996" t="s">
        <v>496</v>
      </c>
      <c r="AK3" s="1000"/>
      <c r="AL3" s="1000"/>
      <c r="AM3" s="1000"/>
      <c r="AN3" s="1000"/>
      <c r="AO3" s="1000"/>
      <c r="AP3" s="953" t="s">
        <v>497</v>
      </c>
      <c r="AQ3" s="954"/>
      <c r="AR3" s="954"/>
      <c r="AS3" s="954"/>
      <c r="AT3" s="954"/>
      <c r="AU3" s="954"/>
      <c r="AV3" s="954"/>
      <c r="AW3" s="954"/>
      <c r="AX3" s="954"/>
      <c r="AY3" s="954"/>
      <c r="AZ3" s="955"/>
      <c r="BA3" s="996" t="s">
        <v>498</v>
      </c>
      <c r="BB3" s="996"/>
      <c r="BC3" s="996"/>
      <c r="BD3" s="996"/>
      <c r="BE3" s="996"/>
      <c r="BF3" s="996"/>
      <c r="BG3" s="996"/>
      <c r="BH3" s="996"/>
      <c r="BI3" s="996"/>
      <c r="BJ3" s="996"/>
      <c r="BK3" s="996"/>
      <c r="BL3" s="996"/>
      <c r="BM3" s="996"/>
      <c r="BN3" s="996"/>
      <c r="BO3" s="996"/>
      <c r="BP3" s="996"/>
      <c r="BQ3" s="996"/>
      <c r="BR3" s="996"/>
      <c r="BS3" s="996"/>
      <c r="BT3" s="996"/>
      <c r="BU3" s="996"/>
      <c r="BV3" s="996"/>
      <c r="BW3" s="996"/>
      <c r="BX3" s="996"/>
      <c r="BY3" s="996"/>
      <c r="BZ3" s="996"/>
      <c r="CA3" s="996"/>
      <c r="CB3" s="996"/>
      <c r="CC3" s="996"/>
      <c r="CD3" s="996"/>
      <c r="CE3" s="996"/>
      <c r="CF3" s="996"/>
      <c r="CG3" s="996"/>
      <c r="CH3" s="996"/>
      <c r="CI3" s="996"/>
    </row>
    <row r="4" spans="1:87" ht="27.75" customHeight="1">
      <c r="A4" s="1000"/>
      <c r="B4" s="1000"/>
      <c r="C4" s="1005" t="s">
        <v>502</v>
      </c>
      <c r="D4" s="1005"/>
      <c r="E4" s="1005"/>
      <c r="F4" s="1005"/>
      <c r="G4" s="1005"/>
      <c r="H4" s="1005"/>
      <c r="I4" s="1005"/>
      <c r="J4" s="1005" t="s">
        <v>503</v>
      </c>
      <c r="K4" s="1005"/>
      <c r="L4" s="1005"/>
      <c r="M4" s="1005"/>
      <c r="N4" s="1005"/>
      <c r="O4" s="1005"/>
      <c r="P4" s="1005"/>
      <c r="Q4" s="1000"/>
      <c r="R4" s="1000"/>
      <c r="S4" s="1000"/>
      <c r="T4" s="1000"/>
      <c r="U4" s="1000"/>
      <c r="V4" s="1000"/>
      <c r="W4" s="1000"/>
      <c r="X4" s="1000"/>
      <c r="Y4" s="1000"/>
      <c r="Z4" s="1000"/>
      <c r="AA4" s="1000"/>
      <c r="AB4" s="1000"/>
      <c r="AC4" s="1000"/>
      <c r="AD4" s="1003"/>
      <c r="AE4" s="1004"/>
      <c r="AF4" s="1000"/>
      <c r="AG4" s="1000"/>
      <c r="AH4" s="1000"/>
      <c r="AI4" s="1000"/>
      <c r="AJ4" s="1000"/>
      <c r="AK4" s="1000"/>
      <c r="AL4" s="1000"/>
      <c r="AM4" s="1000"/>
      <c r="AN4" s="1000"/>
      <c r="AO4" s="1000"/>
      <c r="AP4" s="956"/>
      <c r="AQ4" s="957"/>
      <c r="AR4" s="957"/>
      <c r="AS4" s="957"/>
      <c r="AT4" s="957"/>
      <c r="AU4" s="957"/>
      <c r="AV4" s="957"/>
      <c r="AW4" s="957"/>
      <c r="AX4" s="957"/>
      <c r="AY4" s="957"/>
      <c r="AZ4" s="958"/>
      <c r="BA4" s="996"/>
      <c r="BB4" s="996"/>
      <c r="BC4" s="996"/>
      <c r="BD4" s="996"/>
      <c r="BE4" s="996"/>
      <c r="BF4" s="996"/>
      <c r="BG4" s="996"/>
      <c r="BH4" s="996"/>
      <c r="BI4" s="996"/>
      <c r="BJ4" s="996"/>
      <c r="BK4" s="996"/>
      <c r="BL4" s="996"/>
      <c r="BM4" s="996"/>
      <c r="BN4" s="996"/>
      <c r="BO4" s="996"/>
      <c r="BP4" s="996"/>
      <c r="BQ4" s="996"/>
      <c r="BR4" s="996"/>
      <c r="BS4" s="996"/>
      <c r="BT4" s="996"/>
      <c r="BU4" s="996"/>
      <c r="BV4" s="996"/>
      <c r="BW4" s="996"/>
      <c r="BX4" s="996"/>
      <c r="BY4" s="996"/>
      <c r="BZ4" s="996"/>
      <c r="CA4" s="996"/>
      <c r="CB4" s="996"/>
      <c r="CC4" s="996"/>
      <c r="CD4" s="996"/>
      <c r="CE4" s="996"/>
      <c r="CF4" s="996"/>
      <c r="CG4" s="996"/>
      <c r="CH4" s="996"/>
      <c r="CI4" s="996"/>
    </row>
    <row r="5" spans="1:87">
      <c r="A5" s="968" t="s">
        <v>507</v>
      </c>
      <c r="B5" s="969"/>
      <c r="C5" s="904" t="s">
        <v>508</v>
      </c>
      <c r="D5" s="905"/>
      <c r="E5" s="905"/>
      <c r="F5" s="905"/>
      <c r="G5" s="905"/>
      <c r="H5" s="905"/>
      <c r="I5" s="906"/>
      <c r="J5" s="901"/>
      <c r="K5" s="902"/>
      <c r="L5" s="902"/>
      <c r="M5" s="902"/>
      <c r="N5" s="902"/>
      <c r="O5" s="902"/>
      <c r="P5" s="903"/>
      <c r="Q5" s="987"/>
      <c r="R5" s="988"/>
      <c r="S5" s="988"/>
      <c r="T5" s="988"/>
      <c r="U5" s="988"/>
      <c r="V5" s="988"/>
      <c r="W5" s="989"/>
      <c r="X5" s="973"/>
      <c r="Y5" s="974"/>
      <c r="Z5" s="974"/>
      <c r="AA5" s="975"/>
      <c r="AB5" s="961"/>
      <c r="AC5" s="962"/>
      <c r="AD5" s="961"/>
      <c r="AE5" s="962"/>
      <c r="AF5" s="976"/>
      <c r="AG5" s="977"/>
      <c r="AH5" s="977"/>
      <c r="AI5" s="977"/>
      <c r="AJ5" s="976"/>
      <c r="AK5" s="977"/>
      <c r="AL5" s="977"/>
      <c r="AM5" s="977"/>
      <c r="AN5" s="977"/>
      <c r="AO5" s="978"/>
      <c r="AP5" s="979"/>
      <c r="AQ5" s="966"/>
      <c r="AR5" s="966"/>
      <c r="AS5" s="966"/>
      <c r="AT5" s="966"/>
      <c r="AU5" s="966"/>
      <c r="AV5" s="966"/>
      <c r="AW5" s="966"/>
      <c r="AX5" s="966"/>
      <c r="AY5" s="966"/>
      <c r="AZ5" s="980"/>
      <c r="BA5" s="965"/>
      <c r="BB5" s="966"/>
      <c r="BC5" s="966"/>
      <c r="BD5" s="966"/>
      <c r="BE5" s="966"/>
      <c r="BF5" s="966"/>
      <c r="BG5" s="966"/>
      <c r="BH5" s="966"/>
      <c r="BI5" s="966"/>
      <c r="BJ5" s="966"/>
      <c r="BK5" s="966"/>
      <c r="BL5" s="966"/>
      <c r="BM5" s="966"/>
      <c r="BN5" s="966"/>
      <c r="BO5" s="966"/>
      <c r="BP5" s="966"/>
      <c r="BQ5" s="966"/>
      <c r="BR5" s="966"/>
      <c r="BS5" s="966"/>
      <c r="BT5" s="966"/>
      <c r="BU5" s="966"/>
      <c r="BV5" s="966"/>
      <c r="BW5" s="966"/>
      <c r="BX5" s="966"/>
      <c r="BY5" s="966"/>
      <c r="BZ5" s="966"/>
      <c r="CA5" s="966"/>
      <c r="CB5" s="966"/>
      <c r="CC5" s="966"/>
      <c r="CD5" s="966"/>
      <c r="CE5" s="966"/>
      <c r="CF5" s="966"/>
      <c r="CG5" s="966"/>
      <c r="CH5" s="966"/>
      <c r="CI5" s="967"/>
    </row>
    <row r="6" spans="1:87">
      <c r="A6" s="968" t="s">
        <v>509</v>
      </c>
      <c r="B6" s="969"/>
      <c r="C6" s="904"/>
      <c r="D6" s="905"/>
      <c r="E6" s="905"/>
      <c r="F6" s="905"/>
      <c r="G6" s="905"/>
      <c r="H6" s="905"/>
      <c r="I6" s="906"/>
      <c r="J6" s="901" t="s">
        <v>510</v>
      </c>
      <c r="K6" s="902"/>
      <c r="L6" s="902"/>
      <c r="M6" s="902"/>
      <c r="N6" s="902"/>
      <c r="O6" s="902"/>
      <c r="P6" s="903"/>
      <c r="Q6" s="987" t="s">
        <v>511</v>
      </c>
      <c r="R6" s="988"/>
      <c r="S6" s="988"/>
      <c r="T6" s="988"/>
      <c r="U6" s="988"/>
      <c r="V6" s="988"/>
      <c r="W6" s="989"/>
      <c r="X6" s="973" t="s">
        <v>512</v>
      </c>
      <c r="Y6" s="974"/>
      <c r="Z6" s="974"/>
      <c r="AA6" s="975"/>
      <c r="AB6" s="961" t="s">
        <v>513</v>
      </c>
      <c r="AC6" s="962"/>
      <c r="AD6" s="961" t="s">
        <v>514</v>
      </c>
      <c r="AE6" s="962"/>
      <c r="AF6" s="979" t="s">
        <v>468</v>
      </c>
      <c r="AG6" s="966"/>
      <c r="AH6" s="966"/>
      <c r="AI6" s="980"/>
      <c r="AJ6" s="910"/>
      <c r="AK6" s="908"/>
      <c r="AL6" s="908"/>
      <c r="AM6" s="908"/>
      <c r="AN6" s="908"/>
      <c r="AO6" s="909"/>
      <c r="AP6" s="979" t="s">
        <v>468</v>
      </c>
      <c r="AQ6" s="966"/>
      <c r="AR6" s="966"/>
      <c r="AS6" s="966"/>
      <c r="AT6" s="966"/>
      <c r="AU6" s="966"/>
      <c r="AV6" s="966"/>
      <c r="AW6" s="966"/>
      <c r="AX6" s="966"/>
      <c r="AY6" s="966"/>
      <c r="AZ6" s="980"/>
      <c r="BA6" s="965"/>
      <c r="BB6" s="966"/>
      <c r="BC6" s="966"/>
      <c r="BD6" s="966"/>
      <c r="BE6" s="966"/>
      <c r="BF6" s="966"/>
      <c r="BG6" s="966"/>
      <c r="BH6" s="966"/>
      <c r="BI6" s="966"/>
      <c r="BJ6" s="966"/>
      <c r="BK6" s="966"/>
      <c r="BL6" s="966"/>
      <c r="BM6" s="966"/>
      <c r="BN6" s="966"/>
      <c r="BO6" s="966"/>
      <c r="BP6" s="966"/>
      <c r="BQ6" s="966"/>
      <c r="BR6" s="966"/>
      <c r="BS6" s="966"/>
      <c r="BT6" s="966"/>
      <c r="BU6" s="966"/>
      <c r="BV6" s="966"/>
      <c r="BW6" s="966"/>
      <c r="BX6" s="966"/>
      <c r="BY6" s="966"/>
      <c r="BZ6" s="966"/>
      <c r="CA6" s="966"/>
      <c r="CB6" s="966"/>
      <c r="CC6" s="966"/>
      <c r="CD6" s="966"/>
      <c r="CE6" s="966"/>
      <c r="CF6" s="966"/>
      <c r="CG6" s="966"/>
      <c r="CH6" s="966"/>
      <c r="CI6" s="967"/>
    </row>
    <row r="7" spans="1:87" ht="15.75" customHeight="1">
      <c r="A7" s="941">
        <v>3</v>
      </c>
      <c r="B7" s="981"/>
      <c r="C7" s="912" t="s">
        <v>521</v>
      </c>
      <c r="D7" s="913"/>
      <c r="E7" s="913"/>
      <c r="F7" s="913"/>
      <c r="G7" s="913"/>
      <c r="H7" s="913"/>
      <c r="I7" s="914"/>
      <c r="J7" s="741"/>
      <c r="K7" s="982"/>
      <c r="L7" s="982"/>
      <c r="M7" s="982"/>
      <c r="N7" s="982"/>
      <c r="O7" s="982"/>
      <c r="P7" s="983"/>
      <c r="Q7" s="970"/>
      <c r="R7" s="971"/>
      <c r="S7" s="971"/>
      <c r="T7" s="971"/>
      <c r="U7" s="971"/>
      <c r="V7" s="971"/>
      <c r="W7" s="972"/>
      <c r="X7" s="984"/>
      <c r="Y7" s="985"/>
      <c r="Z7" s="985"/>
      <c r="AA7" s="986"/>
      <c r="AB7" s="961"/>
      <c r="AC7" s="962"/>
      <c r="AD7" s="961"/>
      <c r="AE7" s="962"/>
      <c r="AF7" s="976"/>
      <c r="AG7" s="977"/>
      <c r="AH7" s="977"/>
      <c r="AI7" s="978"/>
      <c r="AJ7" s="976"/>
      <c r="AK7" s="977"/>
      <c r="AL7" s="977"/>
      <c r="AM7" s="977"/>
      <c r="AN7" s="977"/>
      <c r="AO7" s="978"/>
      <c r="AP7" s="979"/>
      <c r="AQ7" s="966"/>
      <c r="AR7" s="966"/>
      <c r="AS7" s="966"/>
      <c r="AT7" s="966"/>
      <c r="AU7" s="966"/>
      <c r="AV7" s="966"/>
      <c r="AW7" s="966"/>
      <c r="AX7" s="966"/>
      <c r="AY7" s="966"/>
      <c r="AZ7" s="980"/>
      <c r="BA7" s="965" t="s">
        <v>522</v>
      </c>
      <c r="BB7" s="966"/>
      <c r="BC7" s="966"/>
      <c r="BD7" s="966"/>
      <c r="BE7" s="966"/>
      <c r="BF7" s="966"/>
      <c r="BG7" s="966"/>
      <c r="BH7" s="966"/>
      <c r="BI7" s="966"/>
      <c r="BJ7" s="966"/>
      <c r="BK7" s="966"/>
      <c r="BL7" s="966"/>
      <c r="BM7" s="966"/>
      <c r="BN7" s="966"/>
      <c r="BO7" s="966"/>
      <c r="BP7" s="966"/>
      <c r="BQ7" s="966"/>
      <c r="BR7" s="966"/>
      <c r="BS7" s="966"/>
      <c r="BT7" s="966"/>
      <c r="BU7" s="966"/>
      <c r="BV7" s="966"/>
      <c r="BW7" s="966"/>
      <c r="BX7" s="966"/>
      <c r="BY7" s="966"/>
      <c r="BZ7" s="966"/>
      <c r="CA7" s="966"/>
      <c r="CB7" s="966"/>
      <c r="CC7" s="966"/>
      <c r="CD7" s="966"/>
      <c r="CE7" s="966"/>
      <c r="CF7" s="966"/>
      <c r="CG7" s="966"/>
      <c r="CH7" s="966"/>
      <c r="CI7" s="967"/>
    </row>
    <row r="8" spans="1:87" ht="15.75" customHeight="1">
      <c r="A8" s="968" t="s">
        <v>523</v>
      </c>
      <c r="B8" s="969"/>
      <c r="C8" s="728"/>
      <c r="D8" s="729"/>
      <c r="E8" s="729"/>
      <c r="F8" s="729"/>
      <c r="G8" s="729"/>
      <c r="H8" s="729"/>
      <c r="I8" s="730"/>
      <c r="J8" s="912" t="s">
        <v>524</v>
      </c>
      <c r="K8" s="913"/>
      <c r="L8" s="913"/>
      <c r="M8" s="913"/>
      <c r="N8" s="913"/>
      <c r="O8" s="913"/>
      <c r="P8" s="914"/>
      <c r="Q8" s="970" t="s">
        <v>525</v>
      </c>
      <c r="R8" s="971"/>
      <c r="S8" s="971"/>
      <c r="T8" s="971"/>
      <c r="U8" s="971"/>
      <c r="V8" s="971"/>
      <c r="W8" s="972"/>
      <c r="X8" s="984"/>
      <c r="Y8" s="985"/>
      <c r="Z8" s="985"/>
      <c r="AA8" s="986"/>
      <c r="AB8" s="731"/>
      <c r="AC8" s="732"/>
      <c r="AD8" s="731"/>
      <c r="AE8" s="732"/>
      <c r="AF8" s="733"/>
      <c r="AG8" s="734"/>
      <c r="AH8" s="734"/>
      <c r="AI8" s="734"/>
      <c r="AJ8" s="733"/>
      <c r="AK8" s="734"/>
      <c r="AL8" s="734"/>
      <c r="AM8" s="734"/>
      <c r="AN8" s="734"/>
      <c r="AO8" s="735"/>
      <c r="AP8" s="963" t="s">
        <v>468</v>
      </c>
      <c r="AQ8" s="964"/>
      <c r="AR8" s="964"/>
      <c r="AS8" s="964"/>
      <c r="AT8" s="964"/>
      <c r="AU8" s="964"/>
      <c r="AV8" s="964"/>
      <c r="AW8" s="964"/>
      <c r="AX8" s="964"/>
      <c r="AY8" s="964"/>
      <c r="AZ8" s="738"/>
      <c r="BA8" s="965" t="s">
        <v>526</v>
      </c>
      <c r="BB8" s="966"/>
      <c r="BC8" s="966"/>
      <c r="BD8" s="966"/>
      <c r="BE8" s="966"/>
      <c r="BF8" s="966"/>
      <c r="BG8" s="966"/>
      <c r="BH8" s="966"/>
      <c r="BI8" s="966"/>
      <c r="BJ8" s="966"/>
      <c r="BK8" s="966"/>
      <c r="BL8" s="966"/>
      <c r="BM8" s="966"/>
      <c r="BN8" s="966"/>
      <c r="BO8" s="966"/>
      <c r="BP8" s="966"/>
      <c r="BQ8" s="966"/>
      <c r="BR8" s="966"/>
      <c r="BS8" s="966"/>
      <c r="BT8" s="966"/>
      <c r="BU8" s="966"/>
      <c r="BV8" s="966"/>
      <c r="BW8" s="966"/>
      <c r="BX8" s="966"/>
      <c r="BY8" s="966"/>
      <c r="BZ8" s="966"/>
      <c r="CA8" s="966"/>
      <c r="CB8" s="966"/>
      <c r="CC8" s="966"/>
      <c r="CD8" s="966"/>
      <c r="CE8" s="966"/>
      <c r="CF8" s="966"/>
      <c r="CG8" s="966"/>
      <c r="CH8" s="966"/>
      <c r="CI8" s="967"/>
    </row>
    <row r="9" spans="1:87" ht="15.75" customHeight="1">
      <c r="A9" s="968" t="s">
        <v>527</v>
      </c>
      <c r="B9" s="969"/>
      <c r="C9" s="728"/>
      <c r="D9" s="729"/>
      <c r="E9" s="729"/>
      <c r="F9" s="729"/>
      <c r="G9" s="729"/>
      <c r="H9" s="729"/>
      <c r="I9" s="730"/>
      <c r="J9" s="912" t="s">
        <v>528</v>
      </c>
      <c r="K9" s="913"/>
      <c r="L9" s="913"/>
      <c r="M9" s="913"/>
      <c r="N9" s="913"/>
      <c r="O9" s="913"/>
      <c r="P9" s="914"/>
      <c r="Q9" s="970" t="s">
        <v>529</v>
      </c>
      <c r="R9" s="971"/>
      <c r="S9" s="971"/>
      <c r="T9" s="971"/>
      <c r="U9" s="971"/>
      <c r="V9" s="971"/>
      <c r="W9" s="972"/>
      <c r="X9" s="984"/>
      <c r="Y9" s="985"/>
      <c r="Z9" s="985"/>
      <c r="AA9" s="986"/>
      <c r="AB9" s="731"/>
      <c r="AC9" s="732"/>
      <c r="AD9" s="731"/>
      <c r="AE9" s="732"/>
      <c r="AF9" s="733"/>
      <c r="AG9" s="734"/>
      <c r="AH9" s="734"/>
      <c r="AI9" s="734"/>
      <c r="AJ9" s="733"/>
      <c r="AK9" s="734"/>
      <c r="AL9" s="734"/>
      <c r="AM9" s="734"/>
      <c r="AN9" s="734"/>
      <c r="AO9" s="735"/>
      <c r="AP9" s="963" t="s">
        <v>468</v>
      </c>
      <c r="AQ9" s="964"/>
      <c r="AR9" s="964"/>
      <c r="AS9" s="964"/>
      <c r="AT9" s="964"/>
      <c r="AU9" s="964"/>
      <c r="AV9" s="964"/>
      <c r="AW9" s="964"/>
      <c r="AX9" s="964"/>
      <c r="AY9" s="964"/>
      <c r="AZ9" s="738"/>
      <c r="BA9" s="965" t="s">
        <v>530</v>
      </c>
      <c r="BB9" s="966"/>
      <c r="BC9" s="966"/>
      <c r="BD9" s="966"/>
      <c r="BE9" s="966"/>
      <c r="BF9" s="966"/>
      <c r="BG9" s="966"/>
      <c r="BH9" s="966"/>
      <c r="BI9" s="966"/>
      <c r="BJ9" s="966"/>
      <c r="BK9" s="966"/>
      <c r="BL9" s="966"/>
      <c r="BM9" s="966"/>
      <c r="BN9" s="966"/>
      <c r="BO9" s="966"/>
      <c r="BP9" s="966"/>
      <c r="BQ9" s="966"/>
      <c r="BR9" s="966"/>
      <c r="BS9" s="966"/>
      <c r="BT9" s="966"/>
      <c r="BU9" s="966"/>
      <c r="BV9" s="966"/>
      <c r="BW9" s="966"/>
      <c r="BX9" s="966"/>
      <c r="BY9" s="966"/>
      <c r="BZ9" s="966"/>
      <c r="CA9" s="966"/>
      <c r="CB9" s="966"/>
      <c r="CC9" s="966"/>
      <c r="CD9" s="966"/>
      <c r="CE9" s="966"/>
      <c r="CF9" s="966"/>
      <c r="CG9" s="966"/>
      <c r="CH9" s="966"/>
      <c r="CI9" s="967"/>
    </row>
    <row r="10" spans="1:87" ht="96" customHeight="1">
      <c r="A10" s="968" t="s">
        <v>531</v>
      </c>
      <c r="B10" s="969"/>
      <c r="C10" s="728"/>
      <c r="D10" s="729"/>
      <c r="E10" s="729"/>
      <c r="F10" s="729"/>
      <c r="G10" s="729"/>
      <c r="H10" s="729"/>
      <c r="I10" s="730"/>
      <c r="J10" s="912" t="s">
        <v>532</v>
      </c>
      <c r="K10" s="913"/>
      <c r="L10" s="913"/>
      <c r="M10" s="913"/>
      <c r="N10" s="913"/>
      <c r="O10" s="913"/>
      <c r="P10" s="914"/>
      <c r="Q10" s="970" t="s">
        <v>533</v>
      </c>
      <c r="R10" s="971"/>
      <c r="S10" s="971"/>
      <c r="T10" s="971"/>
      <c r="U10" s="971"/>
      <c r="V10" s="971"/>
      <c r="W10" s="972"/>
      <c r="X10" s="984"/>
      <c r="Y10" s="985"/>
      <c r="Z10" s="985"/>
      <c r="AA10" s="986"/>
      <c r="AB10" s="731"/>
      <c r="AC10" s="732"/>
      <c r="AD10" s="731"/>
      <c r="AE10" s="732"/>
      <c r="AF10" s="733"/>
      <c r="AG10" s="734"/>
      <c r="AH10" s="734"/>
      <c r="AI10" s="734"/>
      <c r="AJ10" s="733"/>
      <c r="AK10" s="734"/>
      <c r="AL10" s="734"/>
      <c r="AM10" s="734"/>
      <c r="AN10" s="734"/>
      <c r="AO10" s="735"/>
      <c r="AP10" s="736"/>
      <c r="AQ10" s="737"/>
      <c r="AR10" s="737"/>
      <c r="AS10" s="737"/>
      <c r="AT10" s="737"/>
      <c r="AU10" s="737"/>
      <c r="AV10" s="737"/>
      <c r="AW10" s="737"/>
      <c r="AX10" s="737"/>
      <c r="AY10" s="737"/>
      <c r="AZ10" s="738"/>
      <c r="BA10" s="965" t="s">
        <v>534</v>
      </c>
      <c r="BB10" s="966"/>
      <c r="BC10" s="966"/>
      <c r="BD10" s="966"/>
      <c r="BE10" s="966"/>
      <c r="BF10" s="966"/>
      <c r="BG10" s="966"/>
      <c r="BH10" s="966"/>
      <c r="BI10" s="966"/>
      <c r="BJ10" s="966"/>
      <c r="BK10" s="966"/>
      <c r="BL10" s="966"/>
      <c r="BM10" s="966"/>
      <c r="BN10" s="966"/>
      <c r="BO10" s="966"/>
      <c r="BP10" s="966"/>
      <c r="BQ10" s="966"/>
      <c r="BR10" s="966"/>
      <c r="BS10" s="966"/>
      <c r="BT10" s="966"/>
      <c r="BU10" s="966"/>
      <c r="BV10" s="966"/>
      <c r="BW10" s="966"/>
      <c r="BX10" s="966"/>
      <c r="BY10" s="966"/>
      <c r="BZ10" s="966"/>
      <c r="CA10" s="966"/>
      <c r="CB10" s="966"/>
      <c r="CC10" s="966"/>
      <c r="CD10" s="966"/>
      <c r="CE10" s="966"/>
      <c r="CF10" s="966"/>
      <c r="CG10" s="966"/>
      <c r="CH10" s="966"/>
      <c r="CI10" s="967"/>
    </row>
    <row r="11" spans="1:87" ht="15.75" customHeight="1">
      <c r="A11" s="968" t="s">
        <v>535</v>
      </c>
      <c r="B11" s="969"/>
      <c r="C11" s="728"/>
      <c r="D11" s="729"/>
      <c r="E11" s="729"/>
      <c r="F11" s="729"/>
      <c r="G11" s="729"/>
      <c r="H11" s="729"/>
      <c r="I11" s="730"/>
      <c r="J11" s="912" t="s">
        <v>536</v>
      </c>
      <c r="K11" s="913"/>
      <c r="L11" s="913"/>
      <c r="M11" s="913"/>
      <c r="N11" s="913"/>
      <c r="O11" s="913"/>
      <c r="P11" s="914"/>
      <c r="Q11" s="970" t="s">
        <v>525</v>
      </c>
      <c r="R11" s="971"/>
      <c r="S11" s="971"/>
      <c r="T11" s="971"/>
      <c r="U11" s="971"/>
      <c r="V11" s="971"/>
      <c r="W11" s="972"/>
      <c r="X11" s="984"/>
      <c r="Y11" s="985"/>
      <c r="Z11" s="985"/>
      <c r="AA11" s="986"/>
      <c r="AB11" s="731"/>
      <c r="AC11" s="732"/>
      <c r="AD11" s="731"/>
      <c r="AE11" s="732"/>
      <c r="AF11" s="733"/>
      <c r="AG11" s="734"/>
      <c r="AH11" s="734"/>
      <c r="AI11" s="734"/>
      <c r="AJ11" s="733"/>
      <c r="AK11" s="734"/>
      <c r="AL11" s="734"/>
      <c r="AM11" s="734"/>
      <c r="AN11" s="734"/>
      <c r="AO11" s="735"/>
      <c r="AP11" s="736"/>
      <c r="AQ11" s="737"/>
      <c r="AR11" s="737"/>
      <c r="AS11" s="737"/>
      <c r="AT11" s="737"/>
      <c r="AU11" s="737"/>
      <c r="AV11" s="737"/>
      <c r="AW11" s="737"/>
      <c r="AX11" s="737"/>
      <c r="AY11" s="737"/>
      <c r="AZ11" s="738"/>
      <c r="BA11" s="739"/>
      <c r="BB11" s="737"/>
      <c r="BC11" s="737"/>
      <c r="BD11" s="737"/>
      <c r="BE11" s="737"/>
      <c r="BF11" s="737"/>
      <c r="BG11" s="737"/>
      <c r="BH11" s="737"/>
      <c r="BI11" s="737"/>
      <c r="BJ11" s="737"/>
      <c r="BK11" s="737"/>
      <c r="BL11" s="737"/>
      <c r="BM11" s="737"/>
      <c r="BN11" s="737"/>
      <c r="BO11" s="737"/>
      <c r="BP11" s="737"/>
      <c r="BQ11" s="737"/>
      <c r="BR11" s="737"/>
      <c r="BS11" s="737"/>
      <c r="BT11" s="737"/>
      <c r="BU11" s="737"/>
      <c r="BV11" s="737"/>
      <c r="BW11" s="737"/>
      <c r="BX11" s="737"/>
      <c r="BY11" s="737"/>
      <c r="BZ11" s="737"/>
      <c r="CA11" s="737"/>
      <c r="CB11" s="737"/>
      <c r="CC11" s="737"/>
      <c r="CD11" s="737"/>
      <c r="CE11" s="737"/>
      <c r="CF11" s="737"/>
      <c r="CG11" s="737"/>
      <c r="CH11" s="737"/>
      <c r="CI11" s="740"/>
    </row>
    <row r="12" spans="1:87" ht="26.45" customHeight="1">
      <c r="A12" s="968" t="s">
        <v>537</v>
      </c>
      <c r="B12" s="969"/>
      <c r="C12" s="728"/>
      <c r="D12" s="729"/>
      <c r="E12" s="729"/>
      <c r="F12" s="729"/>
      <c r="G12" s="729"/>
      <c r="H12" s="729"/>
      <c r="I12" s="730"/>
      <c r="J12" s="993" t="s">
        <v>538</v>
      </c>
      <c r="K12" s="994"/>
      <c r="L12" s="994"/>
      <c r="M12" s="994"/>
      <c r="N12" s="994"/>
      <c r="O12" s="994"/>
      <c r="P12" s="995"/>
      <c r="Q12" s="970" t="s">
        <v>525</v>
      </c>
      <c r="R12" s="971"/>
      <c r="S12" s="971"/>
      <c r="T12" s="971"/>
      <c r="U12" s="971"/>
      <c r="V12" s="971"/>
      <c r="W12" s="972"/>
      <c r="X12" s="984"/>
      <c r="Y12" s="985"/>
      <c r="Z12" s="985"/>
      <c r="AA12" s="986"/>
      <c r="AB12" s="731"/>
      <c r="AC12" s="732"/>
      <c r="AD12" s="731"/>
      <c r="AE12" s="732"/>
      <c r="AF12" s="733"/>
      <c r="AG12" s="734"/>
      <c r="AH12" s="734"/>
      <c r="AI12" s="734"/>
      <c r="AJ12" s="733"/>
      <c r="AK12" s="734"/>
      <c r="AL12" s="734"/>
      <c r="AM12" s="734"/>
      <c r="AN12" s="734"/>
      <c r="AO12" s="735"/>
      <c r="AP12" s="736"/>
      <c r="AQ12" s="737"/>
      <c r="AR12" s="737"/>
      <c r="AS12" s="737"/>
      <c r="AT12" s="737"/>
      <c r="AU12" s="737"/>
      <c r="AV12" s="737"/>
      <c r="AW12" s="737"/>
      <c r="AX12" s="737"/>
      <c r="AY12" s="737"/>
      <c r="AZ12" s="738"/>
      <c r="BA12" s="739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  <c r="BW12" s="737"/>
      <c r="BX12" s="737"/>
      <c r="BY12" s="737"/>
      <c r="BZ12" s="737"/>
      <c r="CA12" s="737"/>
      <c r="CB12" s="737"/>
      <c r="CC12" s="737"/>
      <c r="CD12" s="737"/>
      <c r="CE12" s="737"/>
      <c r="CF12" s="737"/>
      <c r="CG12" s="737"/>
      <c r="CH12" s="737"/>
      <c r="CI12" s="740"/>
    </row>
    <row r="13" spans="1:87" ht="15.75" customHeight="1">
      <c r="A13" s="968" t="s">
        <v>539</v>
      </c>
      <c r="B13" s="969"/>
      <c r="C13" s="728"/>
      <c r="D13" s="729"/>
      <c r="E13" s="729"/>
      <c r="F13" s="729"/>
      <c r="G13" s="729"/>
      <c r="H13" s="729"/>
      <c r="I13" s="730"/>
      <c r="J13" s="912" t="s">
        <v>519</v>
      </c>
      <c r="K13" s="913"/>
      <c r="L13" s="913"/>
      <c r="M13" s="913"/>
      <c r="N13" s="913"/>
      <c r="O13" s="913"/>
      <c r="P13" s="914"/>
      <c r="Q13" s="970" t="s">
        <v>525</v>
      </c>
      <c r="R13" s="971"/>
      <c r="S13" s="971"/>
      <c r="T13" s="971"/>
      <c r="U13" s="971"/>
      <c r="V13" s="971"/>
      <c r="W13" s="972"/>
      <c r="X13" s="984"/>
      <c r="Y13" s="985"/>
      <c r="Z13" s="985"/>
      <c r="AA13" s="986"/>
      <c r="AB13" s="731"/>
      <c r="AC13" s="732"/>
      <c r="AD13" s="731"/>
      <c r="AE13" s="732"/>
      <c r="AF13" s="733"/>
      <c r="AG13" s="734"/>
      <c r="AH13" s="734"/>
      <c r="AI13" s="734"/>
      <c r="AJ13" s="733"/>
      <c r="AK13" s="734"/>
      <c r="AL13" s="734"/>
      <c r="AM13" s="734"/>
      <c r="AN13" s="734"/>
      <c r="AO13" s="735"/>
      <c r="AP13" s="736"/>
      <c r="AQ13" s="737"/>
      <c r="AR13" s="737"/>
      <c r="AS13" s="737"/>
      <c r="AT13" s="737"/>
      <c r="AU13" s="737"/>
      <c r="AV13" s="737"/>
      <c r="AW13" s="737"/>
      <c r="AX13" s="737"/>
      <c r="AY13" s="737"/>
      <c r="AZ13" s="738"/>
      <c r="BA13" s="739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  <c r="BW13" s="737"/>
      <c r="BX13" s="737"/>
      <c r="BY13" s="737"/>
      <c r="BZ13" s="737"/>
      <c r="CA13" s="737"/>
      <c r="CB13" s="737"/>
      <c r="CC13" s="737"/>
      <c r="CD13" s="737"/>
      <c r="CE13" s="737"/>
      <c r="CF13" s="737"/>
      <c r="CG13" s="737"/>
      <c r="CH13" s="737"/>
      <c r="CI13" s="740"/>
    </row>
    <row r="14" spans="1:87" ht="26.45" customHeight="1">
      <c r="A14" s="968" t="s">
        <v>540</v>
      </c>
      <c r="B14" s="969"/>
      <c r="C14" s="728"/>
      <c r="D14" s="729"/>
      <c r="E14" s="729"/>
      <c r="F14" s="729"/>
      <c r="G14" s="729"/>
      <c r="H14" s="729"/>
      <c r="I14" s="730"/>
      <c r="J14" s="912" t="s">
        <v>541</v>
      </c>
      <c r="K14" s="913"/>
      <c r="L14" s="913"/>
      <c r="M14" s="913"/>
      <c r="N14" s="913"/>
      <c r="O14" s="913"/>
      <c r="P14" s="914"/>
      <c r="Q14" s="970" t="s">
        <v>525</v>
      </c>
      <c r="R14" s="971"/>
      <c r="S14" s="971"/>
      <c r="T14" s="971"/>
      <c r="U14" s="971"/>
      <c r="V14" s="971"/>
      <c r="W14" s="972"/>
      <c r="X14" s="984"/>
      <c r="Y14" s="985"/>
      <c r="Z14" s="985"/>
      <c r="AA14" s="986"/>
      <c r="AB14" s="731"/>
      <c r="AC14" s="732"/>
      <c r="AD14" s="731"/>
      <c r="AE14" s="732"/>
      <c r="AF14" s="733"/>
      <c r="AG14" s="734"/>
      <c r="AH14" s="734"/>
      <c r="AI14" s="734"/>
      <c r="AJ14" s="733"/>
      <c r="AK14" s="734"/>
      <c r="AL14" s="734"/>
      <c r="AM14" s="734"/>
      <c r="AN14" s="734"/>
      <c r="AO14" s="735"/>
      <c r="AP14" s="736"/>
      <c r="AQ14" s="737"/>
      <c r="AR14" s="737"/>
      <c r="AS14" s="737"/>
      <c r="AT14" s="737"/>
      <c r="AU14" s="737"/>
      <c r="AV14" s="737"/>
      <c r="AW14" s="737"/>
      <c r="AX14" s="737"/>
      <c r="AY14" s="737"/>
      <c r="AZ14" s="738"/>
      <c r="BA14" s="739"/>
      <c r="BB14" s="737"/>
      <c r="BC14" s="737"/>
      <c r="BD14" s="737"/>
      <c r="BE14" s="737"/>
      <c r="BF14" s="737"/>
      <c r="BG14" s="737"/>
      <c r="BH14" s="737"/>
      <c r="BI14" s="737"/>
      <c r="BJ14" s="737"/>
      <c r="BK14" s="737"/>
      <c r="BL14" s="737"/>
      <c r="BM14" s="737"/>
      <c r="BN14" s="737"/>
      <c r="BO14" s="737"/>
      <c r="BP14" s="737"/>
      <c r="BQ14" s="737"/>
      <c r="BR14" s="737"/>
      <c r="BS14" s="737"/>
      <c r="BT14" s="737"/>
      <c r="BU14" s="737"/>
      <c r="BV14" s="737"/>
      <c r="BW14" s="737"/>
      <c r="BX14" s="737"/>
      <c r="BY14" s="737"/>
      <c r="BZ14" s="737"/>
      <c r="CA14" s="737"/>
      <c r="CB14" s="737"/>
      <c r="CC14" s="737"/>
      <c r="CD14" s="737"/>
      <c r="CE14" s="737"/>
      <c r="CF14" s="737"/>
      <c r="CG14" s="737"/>
      <c r="CH14" s="737"/>
      <c r="CI14" s="740"/>
    </row>
    <row r="15" spans="1:87" ht="15.75" customHeight="1">
      <c r="A15" s="968" t="s">
        <v>542</v>
      </c>
      <c r="B15" s="969"/>
      <c r="C15" s="728"/>
      <c r="D15" s="729"/>
      <c r="E15" s="729"/>
      <c r="F15" s="729"/>
      <c r="G15" s="729"/>
      <c r="H15" s="729"/>
      <c r="I15" s="730"/>
      <c r="J15" s="912" t="s">
        <v>543</v>
      </c>
      <c r="K15" s="913"/>
      <c r="L15" s="913"/>
      <c r="M15" s="913"/>
      <c r="N15" s="913"/>
      <c r="O15" s="913"/>
      <c r="P15" s="914"/>
      <c r="Q15" s="970" t="s">
        <v>525</v>
      </c>
      <c r="R15" s="971"/>
      <c r="S15" s="971"/>
      <c r="T15" s="971"/>
      <c r="U15" s="971"/>
      <c r="V15" s="971"/>
      <c r="W15" s="972"/>
      <c r="X15" s="984"/>
      <c r="Y15" s="985"/>
      <c r="Z15" s="985"/>
      <c r="AA15" s="986"/>
      <c r="AB15" s="731"/>
      <c r="AC15" s="732"/>
      <c r="AD15" s="731"/>
      <c r="AE15" s="732"/>
      <c r="AF15" s="733"/>
      <c r="AG15" s="734"/>
      <c r="AH15" s="734"/>
      <c r="AI15" s="734"/>
      <c r="AJ15" s="733"/>
      <c r="AK15" s="734"/>
      <c r="AL15" s="734"/>
      <c r="AM15" s="734"/>
      <c r="AN15" s="734"/>
      <c r="AO15" s="735"/>
      <c r="AP15" s="736"/>
      <c r="AQ15" s="737"/>
      <c r="AR15" s="737"/>
      <c r="AS15" s="737"/>
      <c r="AT15" s="737"/>
      <c r="AU15" s="737"/>
      <c r="AV15" s="737"/>
      <c r="AW15" s="737"/>
      <c r="AX15" s="737"/>
      <c r="AY15" s="737"/>
      <c r="AZ15" s="738"/>
      <c r="BA15" s="965" t="s">
        <v>544</v>
      </c>
      <c r="BB15" s="966"/>
      <c r="BC15" s="966"/>
      <c r="BD15" s="966"/>
      <c r="BE15" s="966"/>
      <c r="BF15" s="966"/>
      <c r="BG15" s="966"/>
      <c r="BH15" s="966"/>
      <c r="BI15" s="966"/>
      <c r="BJ15" s="966"/>
      <c r="BK15" s="966"/>
      <c r="BL15" s="966"/>
      <c r="BM15" s="966"/>
      <c r="BN15" s="966"/>
      <c r="BO15" s="966"/>
      <c r="BP15" s="966"/>
      <c r="BQ15" s="966"/>
      <c r="BR15" s="966"/>
      <c r="BS15" s="966"/>
      <c r="BT15" s="966"/>
      <c r="BU15" s="966"/>
      <c r="BV15" s="966"/>
      <c r="BW15" s="966"/>
      <c r="BX15" s="966"/>
      <c r="BY15" s="966"/>
      <c r="BZ15" s="966"/>
      <c r="CA15" s="966"/>
      <c r="CB15" s="966"/>
      <c r="CC15" s="966"/>
      <c r="CD15" s="966"/>
      <c r="CE15" s="966"/>
      <c r="CF15" s="966"/>
      <c r="CG15" s="966"/>
      <c r="CH15" s="966"/>
      <c r="CI15" s="967"/>
    </row>
    <row r="16" spans="1:87" ht="117" customHeight="1">
      <c r="A16" s="968" t="s">
        <v>545</v>
      </c>
      <c r="B16" s="969"/>
      <c r="C16" s="728"/>
      <c r="D16" s="729"/>
      <c r="E16" s="729"/>
      <c r="F16" s="729"/>
      <c r="G16" s="729"/>
      <c r="H16" s="729"/>
      <c r="I16" s="730"/>
      <c r="J16" s="912" t="s">
        <v>546</v>
      </c>
      <c r="K16" s="913"/>
      <c r="L16" s="913"/>
      <c r="M16" s="913"/>
      <c r="N16" s="913"/>
      <c r="O16" s="913"/>
      <c r="P16" s="914"/>
      <c r="Q16" s="970" t="s">
        <v>525</v>
      </c>
      <c r="R16" s="971"/>
      <c r="S16" s="971"/>
      <c r="T16" s="971"/>
      <c r="U16" s="971"/>
      <c r="V16" s="971"/>
      <c r="W16" s="972"/>
      <c r="X16" s="984"/>
      <c r="Y16" s="985"/>
      <c r="Z16" s="985"/>
      <c r="AA16" s="986"/>
      <c r="AB16" s="731"/>
      <c r="AC16" s="732"/>
      <c r="AD16" s="731"/>
      <c r="AE16" s="732"/>
      <c r="AF16" s="733"/>
      <c r="AG16" s="734"/>
      <c r="AH16" s="734"/>
      <c r="AI16" s="734"/>
      <c r="AJ16" s="733"/>
      <c r="AK16" s="734"/>
      <c r="AL16" s="734"/>
      <c r="AM16" s="734"/>
      <c r="AN16" s="734"/>
      <c r="AO16" s="735"/>
      <c r="AP16" s="736"/>
      <c r="AQ16" s="737"/>
      <c r="AR16" s="737"/>
      <c r="AS16" s="737"/>
      <c r="AT16" s="737"/>
      <c r="AU16" s="737"/>
      <c r="AV16" s="737"/>
      <c r="AW16" s="737"/>
      <c r="AX16" s="737"/>
      <c r="AY16" s="737"/>
      <c r="AZ16" s="738"/>
      <c r="BA16" s="965" t="s">
        <v>547</v>
      </c>
      <c r="BB16" s="966"/>
      <c r="BC16" s="966"/>
      <c r="BD16" s="966"/>
      <c r="BE16" s="966"/>
      <c r="BF16" s="966"/>
      <c r="BG16" s="966"/>
      <c r="BH16" s="966"/>
      <c r="BI16" s="966"/>
      <c r="BJ16" s="966"/>
      <c r="BK16" s="966"/>
      <c r="BL16" s="966"/>
      <c r="BM16" s="966"/>
      <c r="BN16" s="966"/>
      <c r="BO16" s="966"/>
      <c r="BP16" s="966"/>
      <c r="BQ16" s="966"/>
      <c r="BR16" s="966"/>
      <c r="BS16" s="966"/>
      <c r="BT16" s="966"/>
      <c r="BU16" s="966"/>
      <c r="BV16" s="966"/>
      <c r="BW16" s="966"/>
      <c r="BX16" s="966"/>
      <c r="BY16" s="966"/>
      <c r="BZ16" s="966"/>
      <c r="CA16" s="966"/>
      <c r="CB16" s="966"/>
      <c r="CC16" s="966"/>
      <c r="CD16" s="966"/>
      <c r="CE16" s="966"/>
      <c r="CF16" s="966"/>
      <c r="CG16" s="966"/>
      <c r="CH16" s="966"/>
      <c r="CI16" s="967"/>
    </row>
    <row r="17" spans="1:87" ht="112.7" customHeight="1">
      <c r="A17" s="968" t="s">
        <v>548</v>
      </c>
      <c r="B17" s="969"/>
      <c r="C17" s="904"/>
      <c r="D17" s="905"/>
      <c r="E17" s="905"/>
      <c r="F17" s="905"/>
      <c r="G17" s="905"/>
      <c r="H17" s="905"/>
      <c r="I17" s="906"/>
      <c r="J17" s="912" t="s">
        <v>549</v>
      </c>
      <c r="K17" s="913"/>
      <c r="L17" s="913"/>
      <c r="M17" s="913"/>
      <c r="N17" s="913"/>
      <c r="O17" s="913"/>
      <c r="P17" s="914"/>
      <c r="Q17" s="987" t="s">
        <v>525</v>
      </c>
      <c r="R17" s="988"/>
      <c r="S17" s="988"/>
      <c r="T17" s="988"/>
      <c r="U17" s="988"/>
      <c r="V17" s="988"/>
      <c r="W17" s="989"/>
      <c r="X17" s="973"/>
      <c r="Y17" s="974"/>
      <c r="Z17" s="974"/>
      <c r="AA17" s="975"/>
      <c r="AB17" s="961"/>
      <c r="AC17" s="962"/>
      <c r="AD17" s="961"/>
      <c r="AE17" s="962"/>
      <c r="AF17" s="976"/>
      <c r="AG17" s="977"/>
      <c r="AH17" s="977"/>
      <c r="AI17" s="977"/>
      <c r="AJ17" s="976"/>
      <c r="AK17" s="977"/>
      <c r="AL17" s="977"/>
      <c r="AM17" s="977"/>
      <c r="AN17" s="977"/>
      <c r="AO17" s="978"/>
      <c r="AP17" s="979"/>
      <c r="AQ17" s="966"/>
      <c r="AR17" s="966"/>
      <c r="AS17" s="966"/>
      <c r="AT17" s="966"/>
      <c r="AU17" s="966"/>
      <c r="AV17" s="966"/>
      <c r="AW17" s="966"/>
      <c r="AX17" s="966"/>
      <c r="AY17" s="966"/>
      <c r="AZ17" s="980"/>
      <c r="BA17" s="965" t="s">
        <v>550</v>
      </c>
      <c r="BB17" s="966"/>
      <c r="BC17" s="966"/>
      <c r="BD17" s="966"/>
      <c r="BE17" s="966"/>
      <c r="BF17" s="966"/>
      <c r="BG17" s="966"/>
      <c r="BH17" s="966"/>
      <c r="BI17" s="966"/>
      <c r="BJ17" s="966"/>
      <c r="BK17" s="966"/>
      <c r="BL17" s="966"/>
      <c r="BM17" s="966"/>
      <c r="BN17" s="966"/>
      <c r="BO17" s="966"/>
      <c r="BP17" s="966"/>
      <c r="BQ17" s="966"/>
      <c r="BR17" s="966"/>
      <c r="BS17" s="966"/>
      <c r="BT17" s="966"/>
      <c r="BU17" s="966"/>
      <c r="BV17" s="966"/>
      <c r="BW17" s="966"/>
      <c r="BX17" s="966"/>
      <c r="BY17" s="966"/>
      <c r="BZ17" s="966"/>
      <c r="CA17" s="966"/>
      <c r="CB17" s="966"/>
      <c r="CC17" s="966"/>
      <c r="CD17" s="966"/>
      <c r="CE17" s="966"/>
      <c r="CF17" s="966"/>
      <c r="CG17" s="966"/>
      <c r="CH17" s="966"/>
      <c r="CI17" s="967"/>
    </row>
    <row r="18" spans="1:87" ht="40.700000000000003" customHeight="1">
      <c r="A18" s="968" t="s">
        <v>551</v>
      </c>
      <c r="B18" s="969"/>
      <c r="C18" s="901"/>
      <c r="D18" s="902"/>
      <c r="E18" s="902"/>
      <c r="F18" s="902"/>
      <c r="G18" s="902"/>
      <c r="H18" s="902"/>
      <c r="I18" s="903"/>
      <c r="J18" s="912" t="s">
        <v>552</v>
      </c>
      <c r="K18" s="913"/>
      <c r="L18" s="913"/>
      <c r="M18" s="913"/>
      <c r="N18" s="913"/>
      <c r="O18" s="913"/>
      <c r="P18" s="914"/>
      <c r="Q18" s="987" t="s">
        <v>520</v>
      </c>
      <c r="R18" s="988"/>
      <c r="S18" s="988"/>
      <c r="T18" s="988"/>
      <c r="U18" s="988"/>
      <c r="V18" s="988"/>
      <c r="W18" s="989"/>
      <c r="X18" s="973"/>
      <c r="Y18" s="974"/>
      <c r="Z18" s="974"/>
      <c r="AA18" s="975"/>
      <c r="AB18" s="961"/>
      <c r="AC18" s="962"/>
      <c r="AD18" s="961"/>
      <c r="AE18" s="962"/>
      <c r="AF18" s="976"/>
      <c r="AG18" s="977"/>
      <c r="AH18" s="977"/>
      <c r="AI18" s="977"/>
      <c r="AJ18" s="976"/>
      <c r="AK18" s="977"/>
      <c r="AL18" s="977"/>
      <c r="AM18" s="977"/>
      <c r="AN18" s="977"/>
      <c r="AO18" s="978"/>
      <c r="AP18" s="979"/>
      <c r="AQ18" s="966"/>
      <c r="AR18" s="966"/>
      <c r="AS18" s="966"/>
      <c r="AT18" s="966"/>
      <c r="AU18" s="966"/>
      <c r="AV18" s="966"/>
      <c r="AW18" s="966"/>
      <c r="AX18" s="966"/>
      <c r="AY18" s="966"/>
      <c r="AZ18" s="980"/>
      <c r="BA18" s="990" t="s">
        <v>553</v>
      </c>
      <c r="BB18" s="991"/>
      <c r="BC18" s="991"/>
      <c r="BD18" s="991"/>
      <c r="BE18" s="991"/>
      <c r="BF18" s="991"/>
      <c r="BG18" s="991"/>
      <c r="BH18" s="991"/>
      <c r="BI18" s="991"/>
      <c r="BJ18" s="991"/>
      <c r="BK18" s="991"/>
      <c r="BL18" s="991"/>
      <c r="BM18" s="991"/>
      <c r="BN18" s="991"/>
      <c r="BO18" s="991"/>
      <c r="BP18" s="991"/>
      <c r="BQ18" s="991"/>
      <c r="BR18" s="991"/>
      <c r="BS18" s="991"/>
      <c r="BT18" s="991"/>
      <c r="BU18" s="991"/>
      <c r="BV18" s="991"/>
      <c r="BW18" s="991"/>
      <c r="BX18" s="991"/>
      <c r="BY18" s="991"/>
      <c r="BZ18" s="991"/>
      <c r="CA18" s="991"/>
      <c r="CB18" s="991"/>
      <c r="CC18" s="991"/>
      <c r="CD18" s="991"/>
      <c r="CE18" s="991"/>
      <c r="CF18" s="991"/>
      <c r="CG18" s="991"/>
      <c r="CH18" s="991"/>
      <c r="CI18" s="992"/>
    </row>
    <row r="19" spans="1:87">
      <c r="A19" s="968" t="s">
        <v>554</v>
      </c>
      <c r="B19" s="969"/>
      <c r="C19" s="912"/>
      <c r="D19" s="913"/>
      <c r="E19" s="913"/>
      <c r="F19" s="913"/>
      <c r="G19" s="913"/>
      <c r="H19" s="913"/>
      <c r="I19" s="914"/>
      <c r="J19" s="912" t="s">
        <v>555</v>
      </c>
      <c r="K19" s="913"/>
      <c r="L19" s="913"/>
      <c r="M19" s="913"/>
      <c r="N19" s="913"/>
      <c r="O19" s="913"/>
      <c r="P19" s="914"/>
      <c r="Q19" s="987" t="s">
        <v>520</v>
      </c>
      <c r="R19" s="988"/>
      <c r="S19" s="988"/>
      <c r="T19" s="988"/>
      <c r="U19" s="988"/>
      <c r="V19" s="988"/>
      <c r="W19" s="989"/>
      <c r="X19" s="973" t="s">
        <v>512</v>
      </c>
      <c r="Y19" s="974"/>
      <c r="Z19" s="974"/>
      <c r="AA19" s="975"/>
      <c r="AB19" s="961" t="s">
        <v>513</v>
      </c>
      <c r="AC19" s="962"/>
      <c r="AD19" s="961" t="s">
        <v>517</v>
      </c>
      <c r="AE19" s="962"/>
      <c r="AF19" s="976"/>
      <c r="AG19" s="977"/>
      <c r="AH19" s="977"/>
      <c r="AI19" s="977"/>
      <c r="AJ19" s="976"/>
      <c r="AK19" s="977"/>
      <c r="AL19" s="977"/>
      <c r="AM19" s="977"/>
      <c r="AN19" s="977"/>
      <c r="AO19" s="978"/>
      <c r="AP19" s="979"/>
      <c r="AQ19" s="966"/>
      <c r="AR19" s="966"/>
      <c r="AS19" s="966"/>
      <c r="AT19" s="966"/>
      <c r="AU19" s="966"/>
      <c r="AV19" s="966"/>
      <c r="AW19" s="966"/>
      <c r="AX19" s="966"/>
      <c r="AY19" s="966"/>
      <c r="AZ19" s="980"/>
      <c r="BA19" s="965" t="s">
        <v>556</v>
      </c>
      <c r="BB19" s="966"/>
      <c r="BC19" s="966"/>
      <c r="BD19" s="966"/>
      <c r="BE19" s="966"/>
      <c r="BF19" s="966"/>
      <c r="BG19" s="966"/>
      <c r="BH19" s="966"/>
      <c r="BI19" s="966"/>
      <c r="BJ19" s="966"/>
      <c r="BK19" s="966"/>
      <c r="BL19" s="966"/>
      <c r="BM19" s="966"/>
      <c r="BN19" s="966"/>
      <c r="BO19" s="966"/>
      <c r="BP19" s="966"/>
      <c r="BQ19" s="966"/>
      <c r="BR19" s="966"/>
      <c r="BS19" s="966"/>
      <c r="BT19" s="966"/>
      <c r="BU19" s="966"/>
      <c r="BV19" s="966"/>
      <c r="BW19" s="966"/>
      <c r="BX19" s="966"/>
      <c r="BY19" s="966"/>
      <c r="BZ19" s="966"/>
      <c r="CA19" s="966"/>
      <c r="CB19" s="966"/>
      <c r="CC19" s="966"/>
      <c r="CD19" s="966"/>
      <c r="CE19" s="966"/>
      <c r="CF19" s="966"/>
      <c r="CG19" s="966"/>
      <c r="CH19" s="966"/>
      <c r="CI19" s="967"/>
    </row>
    <row r="20" spans="1:87" ht="15.75" customHeight="1">
      <c r="A20" s="941">
        <v>4</v>
      </c>
      <c r="B20" s="981"/>
      <c r="C20" s="912" t="s">
        <v>557</v>
      </c>
      <c r="D20" s="913"/>
      <c r="E20" s="913"/>
      <c r="F20" s="913"/>
      <c r="G20" s="913"/>
      <c r="H20" s="913"/>
      <c r="I20" s="914"/>
      <c r="J20" s="741"/>
      <c r="K20" s="982"/>
      <c r="L20" s="982"/>
      <c r="M20" s="982"/>
      <c r="N20" s="982"/>
      <c r="O20" s="982"/>
      <c r="P20" s="983"/>
      <c r="Q20" s="970"/>
      <c r="R20" s="971"/>
      <c r="S20" s="971"/>
      <c r="T20" s="971"/>
      <c r="U20" s="971"/>
      <c r="V20" s="971"/>
      <c r="W20" s="972"/>
      <c r="X20" s="984"/>
      <c r="Y20" s="985"/>
      <c r="Z20" s="985"/>
      <c r="AA20" s="986"/>
      <c r="AB20" s="961"/>
      <c r="AC20" s="962"/>
      <c r="AD20" s="961"/>
      <c r="AE20" s="962"/>
      <c r="AF20" s="976"/>
      <c r="AG20" s="977"/>
      <c r="AH20" s="977"/>
      <c r="AI20" s="978"/>
      <c r="AJ20" s="976"/>
      <c r="AK20" s="977"/>
      <c r="AL20" s="977"/>
      <c r="AM20" s="977"/>
      <c r="AN20" s="977"/>
      <c r="AO20" s="978"/>
      <c r="AP20" s="979"/>
      <c r="AQ20" s="966"/>
      <c r="AR20" s="966"/>
      <c r="AS20" s="966"/>
      <c r="AT20" s="966"/>
      <c r="AU20" s="966"/>
      <c r="AV20" s="966"/>
      <c r="AW20" s="966"/>
      <c r="AX20" s="966"/>
      <c r="AY20" s="966"/>
      <c r="AZ20" s="980"/>
      <c r="BA20" s="965"/>
      <c r="BB20" s="966"/>
      <c r="BC20" s="966"/>
      <c r="BD20" s="966"/>
      <c r="BE20" s="966"/>
      <c r="BF20" s="966"/>
      <c r="BG20" s="966"/>
      <c r="BH20" s="966"/>
      <c r="BI20" s="966"/>
      <c r="BJ20" s="966"/>
      <c r="BK20" s="966"/>
      <c r="BL20" s="966"/>
      <c r="BM20" s="966"/>
      <c r="BN20" s="966"/>
      <c r="BO20" s="966"/>
      <c r="BP20" s="966"/>
      <c r="BQ20" s="966"/>
      <c r="BR20" s="966"/>
      <c r="BS20" s="966"/>
      <c r="BT20" s="966"/>
      <c r="BU20" s="966"/>
      <c r="BV20" s="966"/>
      <c r="BW20" s="966"/>
      <c r="BX20" s="966"/>
      <c r="BY20" s="966"/>
      <c r="BZ20" s="966"/>
      <c r="CA20" s="966"/>
      <c r="CB20" s="966"/>
      <c r="CC20" s="966"/>
      <c r="CD20" s="966"/>
      <c r="CE20" s="966"/>
      <c r="CF20" s="966"/>
      <c r="CG20" s="966"/>
      <c r="CH20" s="966"/>
      <c r="CI20" s="967"/>
    </row>
    <row r="21" spans="1:87" ht="36" customHeight="1">
      <c r="A21" s="968" t="s">
        <v>558</v>
      </c>
      <c r="B21" s="969"/>
      <c r="C21" s="728"/>
      <c r="D21" s="729"/>
      <c r="E21" s="729"/>
      <c r="F21" s="729"/>
      <c r="G21" s="729"/>
      <c r="H21" s="729"/>
      <c r="I21" s="730"/>
      <c r="J21" s="912" t="s">
        <v>559</v>
      </c>
      <c r="K21" s="913"/>
      <c r="L21" s="913"/>
      <c r="M21" s="913"/>
      <c r="N21" s="913"/>
      <c r="O21" s="913"/>
      <c r="P21" s="914"/>
      <c r="Q21" s="970" t="s">
        <v>525</v>
      </c>
      <c r="R21" s="971"/>
      <c r="S21" s="971"/>
      <c r="T21" s="971"/>
      <c r="U21" s="971"/>
      <c r="V21" s="971"/>
      <c r="W21" s="972"/>
      <c r="X21" s="973" t="s">
        <v>515</v>
      </c>
      <c r="Y21" s="974"/>
      <c r="Z21" s="974"/>
      <c r="AA21" s="975"/>
      <c r="AB21" s="961" t="s">
        <v>513</v>
      </c>
      <c r="AC21" s="962"/>
      <c r="AD21" s="961" t="s">
        <v>517</v>
      </c>
      <c r="AE21" s="962"/>
      <c r="AF21" s="733"/>
      <c r="AG21" s="734"/>
      <c r="AH21" s="734"/>
      <c r="AI21" s="734"/>
      <c r="AJ21" s="733"/>
      <c r="AK21" s="734"/>
      <c r="AL21" s="734"/>
      <c r="AM21" s="734"/>
      <c r="AN21" s="734"/>
      <c r="AO21" s="735"/>
      <c r="AP21" s="963" t="s">
        <v>468</v>
      </c>
      <c r="AQ21" s="964"/>
      <c r="AR21" s="964"/>
      <c r="AS21" s="964"/>
      <c r="AT21" s="964"/>
      <c r="AU21" s="964"/>
      <c r="AV21" s="964"/>
      <c r="AW21" s="964"/>
      <c r="AX21" s="964"/>
      <c r="AY21" s="964"/>
      <c r="AZ21" s="738"/>
      <c r="BA21" s="965" t="s">
        <v>560</v>
      </c>
      <c r="BB21" s="966"/>
      <c r="BC21" s="966"/>
      <c r="BD21" s="966"/>
      <c r="BE21" s="966"/>
      <c r="BF21" s="966"/>
      <c r="BG21" s="966"/>
      <c r="BH21" s="966"/>
      <c r="BI21" s="966"/>
      <c r="BJ21" s="966"/>
      <c r="BK21" s="966"/>
      <c r="BL21" s="966"/>
      <c r="BM21" s="966"/>
      <c r="BN21" s="966"/>
      <c r="BO21" s="966"/>
      <c r="BP21" s="966"/>
      <c r="BQ21" s="966"/>
      <c r="BR21" s="966"/>
      <c r="BS21" s="966"/>
      <c r="BT21" s="966"/>
      <c r="BU21" s="966"/>
      <c r="BV21" s="966"/>
      <c r="BW21" s="966"/>
      <c r="BX21" s="966"/>
      <c r="BY21" s="966"/>
      <c r="BZ21" s="966"/>
      <c r="CA21" s="966"/>
      <c r="CB21" s="966"/>
      <c r="CC21" s="966"/>
      <c r="CD21" s="966"/>
      <c r="CE21" s="966"/>
      <c r="CF21" s="966"/>
      <c r="CG21" s="966"/>
      <c r="CH21" s="966"/>
      <c r="CI21" s="967"/>
    </row>
    <row r="22" spans="1:87" ht="36" customHeight="1">
      <c r="A22" s="968" t="s">
        <v>561</v>
      </c>
      <c r="B22" s="969"/>
      <c r="C22" s="728"/>
      <c r="D22" s="729"/>
      <c r="E22" s="729"/>
      <c r="F22" s="729"/>
      <c r="G22" s="729"/>
      <c r="H22" s="729"/>
      <c r="I22" s="730"/>
      <c r="J22" s="912" t="s">
        <v>562</v>
      </c>
      <c r="K22" s="913"/>
      <c r="L22" s="913"/>
      <c r="M22" s="913"/>
      <c r="N22" s="913"/>
      <c r="O22" s="913"/>
      <c r="P22" s="914"/>
      <c r="Q22" s="970" t="s">
        <v>525</v>
      </c>
      <c r="R22" s="971"/>
      <c r="S22" s="971"/>
      <c r="T22" s="971"/>
      <c r="U22" s="971"/>
      <c r="V22" s="971"/>
      <c r="W22" s="972"/>
      <c r="X22" s="973" t="s">
        <v>515</v>
      </c>
      <c r="Y22" s="974"/>
      <c r="Z22" s="974"/>
      <c r="AA22" s="975"/>
      <c r="AB22" s="961" t="s">
        <v>513</v>
      </c>
      <c r="AC22" s="962"/>
      <c r="AD22" s="961" t="s">
        <v>517</v>
      </c>
      <c r="AE22" s="962"/>
      <c r="AF22" s="733"/>
      <c r="AG22" s="734"/>
      <c r="AH22" s="734"/>
      <c r="AI22" s="734"/>
      <c r="AJ22" s="733"/>
      <c r="AK22" s="734"/>
      <c r="AL22" s="734"/>
      <c r="AM22" s="734"/>
      <c r="AN22" s="734"/>
      <c r="AO22" s="735"/>
      <c r="AP22" s="963" t="s">
        <v>468</v>
      </c>
      <c r="AQ22" s="964"/>
      <c r="AR22" s="964"/>
      <c r="AS22" s="964"/>
      <c r="AT22" s="964"/>
      <c r="AU22" s="964"/>
      <c r="AV22" s="964"/>
      <c r="AW22" s="964"/>
      <c r="AX22" s="964"/>
      <c r="AY22" s="964"/>
      <c r="AZ22" s="738"/>
      <c r="BA22" s="965" t="s">
        <v>614</v>
      </c>
      <c r="BB22" s="966"/>
      <c r="BC22" s="966"/>
      <c r="BD22" s="966"/>
      <c r="BE22" s="966"/>
      <c r="BF22" s="966"/>
      <c r="BG22" s="966"/>
      <c r="BH22" s="966"/>
      <c r="BI22" s="966"/>
      <c r="BJ22" s="966"/>
      <c r="BK22" s="966"/>
      <c r="BL22" s="966"/>
      <c r="BM22" s="966"/>
      <c r="BN22" s="966"/>
      <c r="BO22" s="966"/>
      <c r="BP22" s="966"/>
      <c r="BQ22" s="966"/>
      <c r="BR22" s="966"/>
      <c r="BS22" s="966"/>
      <c r="BT22" s="966"/>
      <c r="BU22" s="966"/>
      <c r="BV22" s="966"/>
      <c r="BW22" s="966"/>
      <c r="BX22" s="966"/>
      <c r="BY22" s="966"/>
      <c r="BZ22" s="966"/>
      <c r="CA22" s="966"/>
      <c r="CB22" s="966"/>
      <c r="CC22" s="966"/>
      <c r="CD22" s="966"/>
      <c r="CE22" s="966"/>
      <c r="CF22" s="966"/>
      <c r="CG22" s="966"/>
      <c r="CH22" s="966"/>
      <c r="CI22" s="967"/>
    </row>
    <row r="23" spans="1:87">
      <c r="A23" s="725"/>
      <c r="B23" s="725"/>
      <c r="C23" s="725"/>
      <c r="D23" s="725"/>
      <c r="E23" s="725"/>
      <c r="F23" s="725"/>
      <c r="G23" s="725"/>
      <c r="H23" s="725"/>
      <c r="I23" s="725"/>
      <c r="J23" s="725"/>
      <c r="K23" s="725"/>
      <c r="L23" s="725"/>
      <c r="M23" s="725"/>
      <c r="N23" s="725"/>
      <c r="O23" s="725"/>
      <c r="P23" s="725"/>
      <c r="Q23" s="725"/>
      <c r="R23" s="725"/>
      <c r="S23" s="725"/>
      <c r="T23" s="725"/>
      <c r="U23" s="725"/>
      <c r="V23" s="725"/>
      <c r="W23" s="725"/>
      <c r="X23" s="725"/>
      <c r="Y23" s="725"/>
      <c r="Z23" s="725"/>
      <c r="AA23" s="725"/>
      <c r="AB23" s="725"/>
      <c r="AC23" s="725"/>
      <c r="AD23" s="725"/>
      <c r="AE23" s="725"/>
      <c r="AF23" s="725"/>
      <c r="AG23" s="725"/>
      <c r="AH23" s="725"/>
      <c r="AI23" s="725"/>
      <c r="AJ23" s="745"/>
      <c r="AK23" s="745"/>
      <c r="AL23" s="745"/>
      <c r="AM23" s="745"/>
      <c r="AN23" s="725"/>
      <c r="AO23" s="725"/>
      <c r="AP23" s="725"/>
      <c r="AQ23" s="725"/>
      <c r="AR23" s="725"/>
      <c r="AS23" s="725"/>
      <c r="AT23" s="725"/>
      <c r="AU23" s="725"/>
      <c r="AV23" s="725"/>
      <c r="AW23" s="725"/>
      <c r="AX23" s="725"/>
      <c r="AY23" s="725"/>
      <c r="AZ23" s="725"/>
      <c r="BA23" s="725"/>
      <c r="BB23" s="725"/>
      <c r="BC23" s="725"/>
      <c r="BD23" s="725"/>
      <c r="BE23" s="725"/>
      <c r="BF23" s="725"/>
      <c r="BG23" s="725"/>
      <c r="BH23" s="725"/>
      <c r="BI23" s="725"/>
      <c r="BJ23" s="725"/>
      <c r="BK23" s="725"/>
      <c r="BL23" s="725"/>
      <c r="BM23" s="725"/>
      <c r="BN23" s="725"/>
      <c r="BO23" s="725"/>
      <c r="BP23" s="725"/>
      <c r="BQ23" s="725"/>
      <c r="BR23" s="725"/>
      <c r="BS23" s="725"/>
      <c r="BT23" s="725"/>
      <c r="BU23" s="725"/>
      <c r="BV23" s="725"/>
      <c r="BW23" s="725"/>
      <c r="BX23" s="725"/>
      <c r="BY23" s="725"/>
      <c r="BZ23" s="725"/>
      <c r="CA23" s="725"/>
      <c r="CB23" s="725"/>
      <c r="CC23" s="725"/>
      <c r="CD23" s="725"/>
      <c r="CE23" s="725"/>
      <c r="CF23" s="725"/>
      <c r="CG23" s="725"/>
      <c r="CH23" s="725"/>
      <c r="CI23" s="725"/>
    </row>
    <row r="24" spans="1:87">
      <c r="A24" s="944" t="s">
        <v>563</v>
      </c>
      <c r="B24" s="944"/>
      <c r="C24" s="944"/>
      <c r="D24" s="944"/>
      <c r="E24" s="944"/>
      <c r="F24" s="944"/>
      <c r="G24" s="944"/>
      <c r="H24" s="944"/>
      <c r="I24" s="725"/>
      <c r="J24" s="725"/>
      <c r="K24" s="725"/>
      <c r="L24" s="725"/>
      <c r="M24" s="725"/>
      <c r="N24" s="725"/>
      <c r="O24" s="725"/>
      <c r="P24" s="725"/>
      <c r="Q24" s="725"/>
      <c r="R24" s="725"/>
      <c r="S24" s="725"/>
      <c r="T24" s="725"/>
      <c r="U24" s="725"/>
      <c r="V24" s="725"/>
      <c r="W24" s="725"/>
      <c r="X24" s="725"/>
      <c r="Y24" s="725"/>
      <c r="Z24" s="725"/>
      <c r="AA24" s="725"/>
      <c r="AB24" s="725"/>
      <c r="AC24" s="725"/>
      <c r="AD24" s="725"/>
      <c r="AE24" s="725"/>
      <c r="AF24" s="725"/>
      <c r="AG24" s="725"/>
      <c r="AH24" s="725"/>
      <c r="AI24" s="725"/>
      <c r="AJ24" s="725"/>
      <c r="AK24" s="725"/>
      <c r="AL24" s="725"/>
      <c r="AM24" s="725"/>
      <c r="AN24" s="725"/>
      <c r="AO24" s="725"/>
      <c r="AP24" s="725"/>
      <c r="AQ24" s="725"/>
      <c r="AR24" s="725"/>
      <c r="AS24" s="725"/>
      <c r="AT24" s="725"/>
      <c r="AU24" s="725"/>
      <c r="AV24" s="725"/>
      <c r="AW24" s="725"/>
      <c r="AX24" s="725"/>
      <c r="AY24" s="725"/>
      <c r="AZ24" s="725"/>
      <c r="BA24" s="725"/>
      <c r="BB24" s="725"/>
      <c r="BC24" s="725"/>
      <c r="BD24" s="725"/>
      <c r="BE24" s="725"/>
      <c r="BF24" s="725"/>
      <c r="BG24" s="725"/>
      <c r="BH24" s="725"/>
      <c r="BI24" s="725"/>
      <c r="BJ24" s="725"/>
      <c r="BK24" s="725"/>
      <c r="BL24" s="725"/>
      <c r="BM24" s="725"/>
      <c r="BN24" s="725"/>
      <c r="BO24" s="725"/>
      <c r="BP24" s="725"/>
      <c r="BQ24" s="725"/>
      <c r="BR24" s="725"/>
      <c r="BS24" s="725"/>
      <c r="BT24" s="725"/>
      <c r="BU24" s="725"/>
      <c r="BV24" s="725"/>
      <c r="BW24" s="725"/>
      <c r="BX24" s="725"/>
      <c r="BY24" s="725"/>
      <c r="BZ24" s="725"/>
      <c r="CA24" s="725"/>
      <c r="CB24" s="725"/>
      <c r="CC24" s="725"/>
      <c r="CD24" s="725"/>
      <c r="CE24" s="725"/>
      <c r="CF24" s="725"/>
      <c r="CG24" s="725"/>
      <c r="CH24" s="726"/>
      <c r="CI24" s="726"/>
    </row>
    <row r="25" spans="1:87" ht="21.2" customHeight="1">
      <c r="A25" s="945" t="s">
        <v>564</v>
      </c>
      <c r="B25" s="946"/>
      <c r="C25" s="949" t="s">
        <v>565</v>
      </c>
      <c r="D25" s="950"/>
      <c r="E25" s="950"/>
      <c r="F25" s="950"/>
      <c r="G25" s="950"/>
      <c r="H25" s="950"/>
      <c r="I25" s="950"/>
      <c r="J25" s="953" t="s">
        <v>566</v>
      </c>
      <c r="K25" s="954"/>
      <c r="L25" s="954"/>
      <c r="M25" s="954"/>
      <c r="N25" s="954"/>
      <c r="O25" s="954"/>
      <c r="P25" s="954"/>
      <c r="Q25" s="954"/>
      <c r="R25" s="954"/>
      <c r="S25" s="954"/>
      <c r="T25" s="954"/>
      <c r="U25" s="954"/>
      <c r="V25" s="954"/>
      <c r="W25" s="955"/>
      <c r="X25" s="953" t="s">
        <v>567</v>
      </c>
      <c r="Y25" s="954"/>
      <c r="Z25" s="954"/>
      <c r="AA25" s="954"/>
      <c r="AB25" s="954"/>
      <c r="AC25" s="954"/>
      <c r="AD25" s="954"/>
      <c r="AE25" s="945" t="s">
        <v>568</v>
      </c>
      <c r="AF25" s="959"/>
      <c r="AG25" s="959"/>
      <c r="AH25" s="959"/>
      <c r="AI25" s="959"/>
      <c r="AJ25" s="959"/>
      <c r="AK25" s="959"/>
      <c r="AL25" s="946"/>
      <c r="AM25" s="953" t="s">
        <v>569</v>
      </c>
      <c r="AN25" s="954"/>
      <c r="AO25" s="954"/>
      <c r="AP25" s="954"/>
      <c r="AQ25" s="954"/>
      <c r="AR25" s="954"/>
      <c r="AS25" s="954"/>
      <c r="AT25" s="954"/>
      <c r="AU25" s="954"/>
      <c r="AV25" s="955"/>
      <c r="AW25" s="953" t="s">
        <v>570</v>
      </c>
      <c r="AX25" s="954"/>
      <c r="AY25" s="954"/>
      <c r="AZ25" s="954"/>
      <c r="BA25" s="954"/>
      <c r="BB25" s="954"/>
      <c r="BC25" s="954"/>
      <c r="BD25" s="954"/>
      <c r="BE25" s="954"/>
      <c r="BF25" s="954"/>
      <c r="BG25" s="954"/>
      <c r="BH25" s="954"/>
      <c r="BI25" s="954"/>
      <c r="BJ25" s="954"/>
      <c r="BK25" s="954"/>
      <c r="BL25" s="954"/>
      <c r="BM25" s="954"/>
      <c r="BN25" s="954"/>
      <c r="BO25" s="954"/>
      <c r="BP25" s="954"/>
      <c r="BQ25" s="954"/>
      <c r="BR25" s="954"/>
      <c r="BS25" s="954"/>
      <c r="BT25" s="954"/>
      <c r="BU25" s="954"/>
      <c r="BV25" s="954"/>
      <c r="BW25" s="954"/>
      <c r="BX25" s="954"/>
      <c r="BY25" s="954"/>
      <c r="BZ25" s="954"/>
      <c r="CA25" s="954"/>
      <c r="CB25" s="954"/>
      <c r="CC25" s="954"/>
      <c r="CD25" s="954"/>
      <c r="CE25" s="954"/>
      <c r="CF25" s="954"/>
      <c r="CG25" s="954"/>
      <c r="CH25" s="954"/>
      <c r="CI25" s="955"/>
    </row>
    <row r="26" spans="1:87" ht="21.2" customHeight="1">
      <c r="A26" s="947"/>
      <c r="B26" s="948"/>
      <c r="C26" s="951"/>
      <c r="D26" s="952"/>
      <c r="E26" s="952"/>
      <c r="F26" s="952"/>
      <c r="G26" s="952"/>
      <c r="H26" s="952"/>
      <c r="I26" s="952"/>
      <c r="J26" s="956"/>
      <c r="K26" s="957"/>
      <c r="L26" s="957"/>
      <c r="M26" s="957"/>
      <c r="N26" s="957"/>
      <c r="O26" s="957"/>
      <c r="P26" s="957"/>
      <c r="Q26" s="957"/>
      <c r="R26" s="957"/>
      <c r="S26" s="957"/>
      <c r="T26" s="957"/>
      <c r="U26" s="957"/>
      <c r="V26" s="957"/>
      <c r="W26" s="958"/>
      <c r="X26" s="956"/>
      <c r="Y26" s="957"/>
      <c r="Z26" s="957"/>
      <c r="AA26" s="957"/>
      <c r="AB26" s="957"/>
      <c r="AC26" s="957"/>
      <c r="AD26" s="957"/>
      <c r="AE26" s="947"/>
      <c r="AF26" s="960"/>
      <c r="AG26" s="960"/>
      <c r="AH26" s="960"/>
      <c r="AI26" s="960"/>
      <c r="AJ26" s="960"/>
      <c r="AK26" s="960"/>
      <c r="AL26" s="948"/>
      <c r="AM26" s="956"/>
      <c r="AN26" s="957"/>
      <c r="AO26" s="957"/>
      <c r="AP26" s="957"/>
      <c r="AQ26" s="957"/>
      <c r="AR26" s="957"/>
      <c r="AS26" s="957"/>
      <c r="AT26" s="957"/>
      <c r="AU26" s="957"/>
      <c r="AV26" s="958"/>
      <c r="AW26" s="956"/>
      <c r="AX26" s="957"/>
      <c r="AY26" s="957"/>
      <c r="AZ26" s="957"/>
      <c r="BA26" s="957"/>
      <c r="BB26" s="957"/>
      <c r="BC26" s="957"/>
      <c r="BD26" s="957"/>
      <c r="BE26" s="957"/>
      <c r="BF26" s="957"/>
      <c r="BG26" s="957"/>
      <c r="BH26" s="957"/>
      <c r="BI26" s="957"/>
      <c r="BJ26" s="957"/>
      <c r="BK26" s="957"/>
      <c r="BL26" s="957"/>
      <c r="BM26" s="957"/>
      <c r="BN26" s="957"/>
      <c r="BO26" s="957"/>
      <c r="BP26" s="957"/>
      <c r="BQ26" s="957"/>
      <c r="BR26" s="957"/>
      <c r="BS26" s="957"/>
      <c r="BT26" s="957"/>
      <c r="BU26" s="957"/>
      <c r="BV26" s="957"/>
      <c r="BW26" s="957"/>
      <c r="BX26" s="957"/>
      <c r="BY26" s="957"/>
      <c r="BZ26" s="957"/>
      <c r="CA26" s="957"/>
      <c r="CB26" s="957"/>
      <c r="CC26" s="957"/>
      <c r="CD26" s="957"/>
      <c r="CE26" s="957"/>
      <c r="CF26" s="957"/>
      <c r="CG26" s="957"/>
      <c r="CH26" s="957"/>
      <c r="CI26" s="958"/>
    </row>
    <row r="27" spans="1:87" s="746" customFormat="1" ht="50.25" customHeight="1">
      <c r="A27" s="899">
        <v>1</v>
      </c>
      <c r="B27" s="900"/>
      <c r="C27" s="928" t="s">
        <v>571</v>
      </c>
      <c r="D27" s="929"/>
      <c r="E27" s="929"/>
      <c r="F27" s="929"/>
      <c r="G27" s="929"/>
      <c r="H27" s="929"/>
      <c r="I27" s="930"/>
      <c r="J27" s="931"/>
      <c r="K27" s="932"/>
      <c r="L27" s="932"/>
      <c r="M27" s="932"/>
      <c r="N27" s="932"/>
      <c r="O27" s="932"/>
      <c r="P27" s="933"/>
      <c r="Q27" s="931" t="s">
        <v>572</v>
      </c>
      <c r="R27" s="932"/>
      <c r="S27" s="932"/>
      <c r="T27" s="932"/>
      <c r="U27" s="932"/>
      <c r="V27" s="932"/>
      <c r="W27" s="934"/>
      <c r="X27" s="899" t="s">
        <v>573</v>
      </c>
      <c r="Y27" s="935"/>
      <c r="Z27" s="935"/>
      <c r="AA27" s="935"/>
      <c r="AB27" s="935"/>
      <c r="AC27" s="935"/>
      <c r="AD27" s="936"/>
      <c r="AE27" s="937" t="s">
        <v>574</v>
      </c>
      <c r="AF27" s="935"/>
      <c r="AG27" s="935"/>
      <c r="AH27" s="935"/>
      <c r="AI27" s="935"/>
      <c r="AJ27" s="935"/>
      <c r="AK27" s="935"/>
      <c r="AL27" s="900"/>
      <c r="AM27" s="938" t="s">
        <v>468</v>
      </c>
      <c r="AN27" s="939"/>
      <c r="AO27" s="939"/>
      <c r="AP27" s="939"/>
      <c r="AQ27" s="939"/>
      <c r="AR27" s="939"/>
      <c r="AS27" s="939"/>
      <c r="AT27" s="939"/>
      <c r="AU27" s="939"/>
      <c r="AV27" s="940"/>
      <c r="AW27" s="941" t="s">
        <v>575</v>
      </c>
      <c r="AX27" s="942"/>
      <c r="AY27" s="942"/>
      <c r="AZ27" s="942"/>
      <c r="BA27" s="942"/>
      <c r="BB27" s="942"/>
      <c r="BC27" s="942"/>
      <c r="BD27" s="942"/>
      <c r="BE27" s="942"/>
      <c r="BF27" s="942"/>
      <c r="BG27" s="942"/>
      <c r="BH27" s="942"/>
      <c r="BI27" s="942"/>
      <c r="BJ27" s="942"/>
      <c r="BK27" s="942"/>
      <c r="BL27" s="942"/>
      <c r="BM27" s="942"/>
      <c r="BN27" s="942"/>
      <c r="BO27" s="942"/>
      <c r="BP27" s="942"/>
      <c r="BQ27" s="942"/>
      <c r="BR27" s="942"/>
      <c r="BS27" s="942"/>
      <c r="BT27" s="942"/>
      <c r="BU27" s="942"/>
      <c r="BV27" s="942"/>
      <c r="BW27" s="942"/>
      <c r="BX27" s="942"/>
      <c r="BY27" s="942"/>
      <c r="BZ27" s="942"/>
      <c r="CA27" s="942"/>
      <c r="CB27" s="942"/>
      <c r="CC27" s="942"/>
      <c r="CD27" s="942"/>
      <c r="CE27" s="942"/>
      <c r="CF27" s="942"/>
      <c r="CG27" s="942"/>
      <c r="CH27" s="942"/>
      <c r="CI27" s="943"/>
    </row>
    <row r="28" spans="1:87" s="726" customFormat="1" ht="60.75" customHeight="1">
      <c r="A28" s="899">
        <v>2</v>
      </c>
      <c r="B28" s="900"/>
      <c r="C28" s="919" t="s">
        <v>577</v>
      </c>
      <c r="D28" s="920"/>
      <c r="E28" s="920"/>
      <c r="F28" s="920"/>
      <c r="G28" s="920"/>
      <c r="H28" s="920"/>
      <c r="I28" s="921"/>
      <c r="J28" s="904"/>
      <c r="K28" s="905"/>
      <c r="L28" s="905"/>
      <c r="M28" s="905"/>
      <c r="N28" s="905"/>
      <c r="O28" s="905"/>
      <c r="P28" s="906"/>
      <c r="Q28" s="922"/>
      <c r="R28" s="923"/>
      <c r="S28" s="923"/>
      <c r="T28" s="923"/>
      <c r="U28" s="923"/>
      <c r="V28" s="923"/>
      <c r="W28" s="924"/>
      <c r="X28" s="907" t="s">
        <v>578</v>
      </c>
      <c r="Y28" s="908"/>
      <c r="Z28" s="908"/>
      <c r="AA28" s="908"/>
      <c r="AB28" s="908"/>
      <c r="AC28" s="908"/>
      <c r="AD28" s="909"/>
      <c r="AE28" s="910" t="s">
        <v>579</v>
      </c>
      <c r="AF28" s="908"/>
      <c r="AG28" s="908"/>
      <c r="AH28" s="908"/>
      <c r="AI28" s="908"/>
      <c r="AJ28" s="908"/>
      <c r="AK28" s="908"/>
      <c r="AL28" s="911"/>
      <c r="AM28" s="895" t="s">
        <v>468</v>
      </c>
      <c r="AN28" s="896"/>
      <c r="AO28" s="896"/>
      <c r="AP28" s="896"/>
      <c r="AQ28" s="896"/>
      <c r="AR28" s="896"/>
      <c r="AS28" s="896"/>
      <c r="AT28" s="896"/>
      <c r="AU28" s="896"/>
      <c r="AV28" s="897"/>
      <c r="AW28" s="925" t="s">
        <v>615</v>
      </c>
      <c r="AX28" s="926"/>
      <c r="AY28" s="926"/>
      <c r="AZ28" s="926"/>
      <c r="BA28" s="926"/>
      <c r="BB28" s="926"/>
      <c r="BC28" s="926"/>
      <c r="BD28" s="926"/>
      <c r="BE28" s="926"/>
      <c r="BF28" s="926"/>
      <c r="BG28" s="926"/>
      <c r="BH28" s="926"/>
      <c r="BI28" s="926"/>
      <c r="BJ28" s="926"/>
      <c r="BK28" s="926"/>
      <c r="BL28" s="926"/>
      <c r="BM28" s="926"/>
      <c r="BN28" s="926"/>
      <c r="BO28" s="926"/>
      <c r="BP28" s="926"/>
      <c r="BQ28" s="926"/>
      <c r="BR28" s="926"/>
      <c r="BS28" s="926"/>
      <c r="BT28" s="926"/>
      <c r="BU28" s="926"/>
      <c r="BV28" s="926"/>
      <c r="BW28" s="926"/>
      <c r="BX28" s="926"/>
      <c r="BY28" s="926"/>
      <c r="BZ28" s="926"/>
      <c r="CA28" s="926"/>
      <c r="CB28" s="926"/>
      <c r="CC28" s="926"/>
      <c r="CD28" s="926"/>
      <c r="CE28" s="926"/>
      <c r="CF28" s="926"/>
      <c r="CG28" s="926"/>
      <c r="CH28" s="926"/>
      <c r="CI28" s="927"/>
    </row>
    <row r="29" spans="1:87" s="726" customFormat="1" ht="46.5" customHeight="1">
      <c r="A29" s="899">
        <v>3</v>
      </c>
      <c r="B29" s="900"/>
      <c r="C29" s="919" t="s">
        <v>580</v>
      </c>
      <c r="D29" s="920"/>
      <c r="E29" s="920"/>
      <c r="F29" s="920"/>
      <c r="G29" s="920"/>
      <c r="H29" s="920"/>
      <c r="I29" s="921"/>
      <c r="J29" s="904"/>
      <c r="K29" s="905"/>
      <c r="L29" s="905"/>
      <c r="M29" s="905"/>
      <c r="N29" s="905"/>
      <c r="O29" s="905"/>
      <c r="P29" s="906"/>
      <c r="Q29" s="922"/>
      <c r="R29" s="923"/>
      <c r="S29" s="923"/>
      <c r="T29" s="923"/>
      <c r="U29" s="923"/>
      <c r="V29" s="923"/>
      <c r="W29" s="924"/>
      <c r="X29" s="907" t="s">
        <v>578</v>
      </c>
      <c r="Y29" s="908"/>
      <c r="Z29" s="908"/>
      <c r="AA29" s="908"/>
      <c r="AB29" s="908"/>
      <c r="AC29" s="908"/>
      <c r="AD29" s="909"/>
      <c r="AE29" s="910" t="s">
        <v>579</v>
      </c>
      <c r="AF29" s="908"/>
      <c r="AG29" s="908"/>
      <c r="AH29" s="908"/>
      <c r="AI29" s="908"/>
      <c r="AJ29" s="908"/>
      <c r="AK29" s="908"/>
      <c r="AL29" s="911"/>
      <c r="AM29" s="895" t="s">
        <v>468</v>
      </c>
      <c r="AN29" s="896"/>
      <c r="AO29" s="896"/>
      <c r="AP29" s="896"/>
      <c r="AQ29" s="896"/>
      <c r="AR29" s="896"/>
      <c r="AS29" s="896"/>
      <c r="AT29" s="896"/>
      <c r="AU29" s="896"/>
      <c r="AV29" s="897"/>
      <c r="AW29" s="918" t="s">
        <v>616</v>
      </c>
      <c r="AX29" s="898"/>
      <c r="AY29" s="898"/>
      <c r="AZ29" s="898"/>
      <c r="BA29" s="898"/>
      <c r="BB29" s="898"/>
      <c r="BC29" s="898"/>
      <c r="BD29" s="898"/>
      <c r="BE29" s="898"/>
      <c r="BF29" s="898"/>
      <c r="BG29" s="898"/>
      <c r="BH29" s="898"/>
      <c r="BI29" s="898"/>
      <c r="BJ29" s="898"/>
      <c r="BK29" s="898"/>
      <c r="BL29" s="898"/>
      <c r="BM29" s="898"/>
      <c r="BN29" s="898"/>
      <c r="BO29" s="898"/>
      <c r="BP29" s="898"/>
      <c r="BQ29" s="898"/>
      <c r="BR29" s="898"/>
      <c r="BS29" s="898"/>
      <c r="BT29" s="898"/>
      <c r="BU29" s="898"/>
      <c r="BV29" s="898"/>
      <c r="BW29" s="898"/>
      <c r="BX29" s="898"/>
      <c r="BY29" s="898"/>
      <c r="BZ29" s="898"/>
      <c r="CA29" s="898"/>
      <c r="CB29" s="898"/>
      <c r="CC29" s="898"/>
      <c r="CD29" s="898"/>
      <c r="CE29" s="898"/>
      <c r="CF29" s="898"/>
      <c r="CG29" s="898"/>
      <c r="CH29" s="898"/>
      <c r="CI29" s="898"/>
    </row>
    <row r="30" spans="1:87" s="726" customFormat="1" ht="33" customHeight="1">
      <c r="A30" s="899">
        <v>4</v>
      </c>
      <c r="B30" s="900"/>
      <c r="C30" s="901" t="s">
        <v>581</v>
      </c>
      <c r="D30" s="902"/>
      <c r="E30" s="902"/>
      <c r="F30" s="902"/>
      <c r="G30" s="902"/>
      <c r="H30" s="902"/>
      <c r="I30" s="903"/>
      <c r="J30" s="904"/>
      <c r="K30" s="905"/>
      <c r="L30" s="905"/>
      <c r="M30" s="905"/>
      <c r="N30" s="905"/>
      <c r="O30" s="905"/>
      <c r="P30" s="906"/>
      <c r="Q30" s="901" t="s">
        <v>582</v>
      </c>
      <c r="R30" s="902"/>
      <c r="S30" s="902"/>
      <c r="T30" s="902"/>
      <c r="U30" s="902"/>
      <c r="V30" s="902"/>
      <c r="W30" s="903"/>
      <c r="X30" s="907" t="s">
        <v>576</v>
      </c>
      <c r="Y30" s="908"/>
      <c r="Z30" s="908"/>
      <c r="AA30" s="908"/>
      <c r="AB30" s="908"/>
      <c r="AC30" s="908"/>
      <c r="AD30" s="909"/>
      <c r="AE30" s="910" t="s">
        <v>574</v>
      </c>
      <c r="AF30" s="908"/>
      <c r="AG30" s="908"/>
      <c r="AH30" s="908"/>
      <c r="AI30" s="908"/>
      <c r="AJ30" s="908"/>
      <c r="AK30" s="908"/>
      <c r="AL30" s="911"/>
      <c r="AM30" s="915" t="s">
        <v>583</v>
      </c>
      <c r="AN30" s="916"/>
      <c r="AO30" s="916"/>
      <c r="AP30" s="916"/>
      <c r="AQ30" s="916"/>
      <c r="AR30" s="916"/>
      <c r="AS30" s="916"/>
      <c r="AT30" s="916"/>
      <c r="AU30" s="916"/>
      <c r="AV30" s="917"/>
      <c r="AW30" s="898"/>
      <c r="AX30" s="898"/>
      <c r="AY30" s="898"/>
      <c r="AZ30" s="898"/>
      <c r="BA30" s="898"/>
      <c r="BB30" s="898"/>
      <c r="BC30" s="898"/>
      <c r="BD30" s="898"/>
      <c r="BE30" s="898"/>
      <c r="BF30" s="898"/>
      <c r="BG30" s="898"/>
      <c r="BH30" s="898"/>
      <c r="BI30" s="898"/>
      <c r="BJ30" s="898"/>
      <c r="BK30" s="898"/>
      <c r="BL30" s="898"/>
      <c r="BM30" s="898"/>
      <c r="BN30" s="898"/>
      <c r="BO30" s="898"/>
      <c r="BP30" s="898"/>
      <c r="BQ30" s="898"/>
      <c r="BR30" s="898"/>
      <c r="BS30" s="898"/>
      <c r="BT30" s="898"/>
      <c r="BU30" s="898"/>
      <c r="BV30" s="898"/>
      <c r="BW30" s="898"/>
      <c r="BX30" s="898"/>
      <c r="BY30" s="898"/>
      <c r="BZ30" s="898"/>
      <c r="CA30" s="898"/>
      <c r="CB30" s="898"/>
      <c r="CC30" s="898"/>
      <c r="CD30" s="898"/>
      <c r="CE30" s="898"/>
      <c r="CF30" s="898"/>
      <c r="CG30" s="898"/>
      <c r="CH30" s="898"/>
      <c r="CI30" s="898"/>
    </row>
    <row r="31" spans="1:87" s="726" customFormat="1">
      <c r="A31" s="899">
        <v>5</v>
      </c>
      <c r="B31" s="900"/>
      <c r="C31" s="901"/>
      <c r="D31" s="902"/>
      <c r="E31" s="902"/>
      <c r="F31" s="902"/>
      <c r="G31" s="902"/>
      <c r="H31" s="902"/>
      <c r="I31" s="903"/>
      <c r="J31" s="904"/>
      <c r="K31" s="905"/>
      <c r="L31" s="905"/>
      <c r="M31" s="905"/>
      <c r="N31" s="905"/>
      <c r="O31" s="905"/>
      <c r="P31" s="906"/>
      <c r="Q31" s="901"/>
      <c r="R31" s="902"/>
      <c r="S31" s="902"/>
      <c r="T31" s="902"/>
      <c r="U31" s="902"/>
      <c r="V31" s="902"/>
      <c r="W31" s="903"/>
      <c r="X31" s="907"/>
      <c r="Y31" s="908"/>
      <c r="Z31" s="908"/>
      <c r="AA31" s="908"/>
      <c r="AB31" s="908"/>
      <c r="AC31" s="908"/>
      <c r="AD31" s="909"/>
      <c r="AE31" s="910"/>
      <c r="AF31" s="908"/>
      <c r="AG31" s="908"/>
      <c r="AH31" s="908"/>
      <c r="AI31" s="908"/>
      <c r="AJ31" s="908"/>
      <c r="AK31" s="908"/>
      <c r="AL31" s="911"/>
      <c r="AM31" s="895"/>
      <c r="AN31" s="896"/>
      <c r="AO31" s="896"/>
      <c r="AP31" s="896"/>
      <c r="AQ31" s="896"/>
      <c r="AR31" s="896"/>
      <c r="AS31" s="896"/>
      <c r="AT31" s="896"/>
      <c r="AU31" s="896"/>
      <c r="AV31" s="897"/>
      <c r="AW31" s="898"/>
      <c r="AX31" s="898"/>
      <c r="AY31" s="898"/>
      <c r="AZ31" s="898"/>
      <c r="BA31" s="898"/>
      <c r="BB31" s="898"/>
      <c r="BC31" s="898"/>
      <c r="BD31" s="898"/>
      <c r="BE31" s="898"/>
      <c r="BF31" s="898"/>
      <c r="BG31" s="898"/>
      <c r="BH31" s="898"/>
      <c r="BI31" s="898"/>
      <c r="BJ31" s="898"/>
      <c r="BK31" s="898"/>
      <c r="BL31" s="898"/>
      <c r="BM31" s="898"/>
      <c r="BN31" s="898"/>
      <c r="BO31" s="898"/>
      <c r="BP31" s="898"/>
      <c r="BQ31" s="898"/>
      <c r="BR31" s="898"/>
      <c r="BS31" s="898"/>
      <c r="BT31" s="898"/>
      <c r="BU31" s="898"/>
      <c r="BV31" s="898"/>
      <c r="BW31" s="898"/>
      <c r="BX31" s="898"/>
      <c r="BY31" s="898"/>
      <c r="BZ31" s="898"/>
      <c r="CA31" s="898"/>
      <c r="CB31" s="898"/>
      <c r="CC31" s="898"/>
      <c r="CD31" s="898"/>
      <c r="CE31" s="898"/>
      <c r="CF31" s="898"/>
      <c r="CG31" s="898"/>
      <c r="CH31" s="898"/>
      <c r="CI31" s="898"/>
    </row>
    <row r="32" spans="1:87">
      <c r="A32" s="899">
        <v>6</v>
      </c>
      <c r="B32" s="900"/>
      <c r="C32" s="912"/>
      <c r="D32" s="913"/>
      <c r="E32" s="913"/>
      <c r="F32" s="913"/>
      <c r="G32" s="913"/>
      <c r="H32" s="913"/>
      <c r="I32" s="914"/>
      <c r="J32" s="904"/>
      <c r="K32" s="905"/>
      <c r="L32" s="905"/>
      <c r="M32" s="905"/>
      <c r="N32" s="905"/>
      <c r="O32" s="905"/>
      <c r="P32" s="906"/>
      <c r="Q32" s="912"/>
      <c r="R32" s="913"/>
      <c r="S32" s="913"/>
      <c r="T32" s="913"/>
      <c r="U32" s="913"/>
      <c r="V32" s="913"/>
      <c r="W32" s="914"/>
      <c r="X32" s="907"/>
      <c r="Y32" s="908"/>
      <c r="Z32" s="908"/>
      <c r="AA32" s="908"/>
      <c r="AB32" s="908"/>
      <c r="AC32" s="908"/>
      <c r="AD32" s="909"/>
      <c r="AE32" s="910"/>
      <c r="AF32" s="908"/>
      <c r="AG32" s="908"/>
      <c r="AH32" s="908"/>
      <c r="AI32" s="908"/>
      <c r="AJ32" s="908"/>
      <c r="AK32" s="908"/>
      <c r="AL32" s="911"/>
      <c r="AM32" s="895"/>
      <c r="AN32" s="896"/>
      <c r="AO32" s="896"/>
      <c r="AP32" s="896"/>
      <c r="AQ32" s="896"/>
      <c r="AR32" s="896"/>
      <c r="AS32" s="896"/>
      <c r="AT32" s="896"/>
      <c r="AU32" s="896"/>
      <c r="AV32" s="897"/>
      <c r="AW32" s="898"/>
      <c r="AX32" s="898"/>
      <c r="AY32" s="898"/>
      <c r="AZ32" s="898"/>
      <c r="BA32" s="898"/>
      <c r="BB32" s="898"/>
      <c r="BC32" s="898"/>
      <c r="BD32" s="898"/>
      <c r="BE32" s="898"/>
      <c r="BF32" s="898"/>
      <c r="BG32" s="898"/>
      <c r="BH32" s="898"/>
      <c r="BI32" s="898"/>
      <c r="BJ32" s="898"/>
      <c r="BK32" s="898"/>
      <c r="BL32" s="898"/>
      <c r="BM32" s="898"/>
      <c r="BN32" s="898"/>
      <c r="BO32" s="898"/>
      <c r="BP32" s="898"/>
      <c r="BQ32" s="898"/>
      <c r="BR32" s="898"/>
      <c r="BS32" s="898"/>
      <c r="BT32" s="898"/>
      <c r="BU32" s="898"/>
      <c r="BV32" s="898"/>
      <c r="BW32" s="898"/>
      <c r="BX32" s="898"/>
      <c r="BY32" s="898"/>
      <c r="BZ32" s="898"/>
      <c r="CA32" s="898"/>
      <c r="CB32" s="898"/>
      <c r="CC32" s="898"/>
      <c r="CD32" s="898"/>
      <c r="CE32" s="898"/>
      <c r="CF32" s="898"/>
      <c r="CG32" s="898"/>
      <c r="CH32" s="898"/>
      <c r="CI32" s="898"/>
    </row>
    <row r="33" spans="1:87">
      <c r="A33" s="899">
        <v>7</v>
      </c>
      <c r="B33" s="900"/>
      <c r="C33" s="901"/>
      <c r="D33" s="902"/>
      <c r="E33" s="902"/>
      <c r="F33" s="902"/>
      <c r="G33" s="902"/>
      <c r="H33" s="902"/>
      <c r="I33" s="903"/>
      <c r="J33" s="904"/>
      <c r="K33" s="905"/>
      <c r="L33" s="905"/>
      <c r="M33" s="905"/>
      <c r="N33" s="905"/>
      <c r="O33" s="905"/>
      <c r="P33" s="906"/>
      <c r="Q33" s="901"/>
      <c r="R33" s="902"/>
      <c r="S33" s="902"/>
      <c r="T33" s="902"/>
      <c r="U33" s="902"/>
      <c r="V33" s="902"/>
      <c r="W33" s="903"/>
      <c r="X33" s="907"/>
      <c r="Y33" s="908"/>
      <c r="Z33" s="908"/>
      <c r="AA33" s="908"/>
      <c r="AB33" s="908"/>
      <c r="AC33" s="908"/>
      <c r="AD33" s="909"/>
      <c r="AE33" s="910"/>
      <c r="AF33" s="908"/>
      <c r="AG33" s="908"/>
      <c r="AH33" s="908"/>
      <c r="AI33" s="908"/>
      <c r="AJ33" s="908"/>
      <c r="AK33" s="908"/>
      <c r="AL33" s="911"/>
      <c r="AM33" s="895"/>
      <c r="AN33" s="896"/>
      <c r="AO33" s="896"/>
      <c r="AP33" s="896"/>
      <c r="AQ33" s="896"/>
      <c r="AR33" s="896"/>
      <c r="AS33" s="896"/>
      <c r="AT33" s="896"/>
      <c r="AU33" s="896"/>
      <c r="AV33" s="897"/>
      <c r="AW33" s="898"/>
      <c r="AX33" s="898"/>
      <c r="AY33" s="898"/>
      <c r="AZ33" s="898"/>
      <c r="BA33" s="898"/>
      <c r="BB33" s="898"/>
      <c r="BC33" s="898"/>
      <c r="BD33" s="898"/>
      <c r="BE33" s="898"/>
      <c r="BF33" s="898"/>
      <c r="BG33" s="898"/>
      <c r="BH33" s="898"/>
      <c r="BI33" s="898"/>
      <c r="BJ33" s="898"/>
      <c r="BK33" s="898"/>
      <c r="BL33" s="898"/>
      <c r="BM33" s="898"/>
      <c r="BN33" s="898"/>
      <c r="BO33" s="898"/>
      <c r="BP33" s="898"/>
      <c r="BQ33" s="898"/>
      <c r="BR33" s="898"/>
      <c r="BS33" s="898"/>
      <c r="BT33" s="898"/>
      <c r="BU33" s="898"/>
      <c r="BV33" s="898"/>
      <c r="BW33" s="898"/>
      <c r="BX33" s="898"/>
      <c r="BY33" s="898"/>
      <c r="BZ33" s="898"/>
      <c r="CA33" s="898"/>
      <c r="CB33" s="898"/>
      <c r="CC33" s="898"/>
      <c r="CD33" s="898"/>
      <c r="CE33" s="898"/>
      <c r="CF33" s="898"/>
      <c r="CG33" s="898"/>
      <c r="CH33" s="898"/>
      <c r="CI33" s="898"/>
    </row>
    <row r="36" spans="1:87">
      <c r="C36" s="747" t="s">
        <v>584</v>
      </c>
      <c r="D36" s="748"/>
      <c r="E36" s="749"/>
      <c r="F36" s="750"/>
      <c r="G36" s="750"/>
      <c r="H36" s="750"/>
      <c r="I36" s="750"/>
      <c r="J36" s="750"/>
      <c r="K36" s="750"/>
      <c r="L36" s="751"/>
      <c r="P36" s="752" t="s">
        <v>585</v>
      </c>
      <c r="Q36" s="753"/>
      <c r="R36" s="753"/>
      <c r="S36" s="754"/>
      <c r="T36" s="755"/>
      <c r="U36" s="752" t="s">
        <v>493</v>
      </c>
      <c r="V36" s="754"/>
      <c r="Y36" s="742" t="s">
        <v>494</v>
      </c>
      <c r="Z36" s="743"/>
      <c r="AA36" s="742"/>
      <c r="AB36" s="743"/>
      <c r="AC36" s="743"/>
      <c r="AD36" s="743"/>
      <c r="AE36" s="744"/>
    </row>
    <row r="37" spans="1:87">
      <c r="C37" s="756" t="s">
        <v>586</v>
      </c>
      <c r="D37" s="749"/>
      <c r="E37" s="749"/>
      <c r="F37" s="750"/>
      <c r="G37" s="750"/>
      <c r="H37" s="750"/>
      <c r="I37" s="749"/>
      <c r="J37" s="750"/>
      <c r="K37" s="750"/>
      <c r="L37" s="751"/>
      <c r="P37" s="757" t="s">
        <v>587</v>
      </c>
      <c r="Q37" s="758"/>
      <c r="R37" s="758"/>
      <c r="S37" s="759"/>
      <c r="T37" s="755"/>
      <c r="U37" s="757" t="s">
        <v>516</v>
      </c>
      <c r="V37" s="759"/>
      <c r="Y37" s="742" t="s">
        <v>588</v>
      </c>
      <c r="Z37" s="743"/>
      <c r="AA37" s="742" t="s">
        <v>589</v>
      </c>
      <c r="AB37" s="743"/>
      <c r="AC37" s="743"/>
      <c r="AD37" s="743"/>
      <c r="AE37" s="744"/>
    </row>
    <row r="38" spans="1:87">
      <c r="C38" s="756" t="s">
        <v>590</v>
      </c>
      <c r="D38" s="749"/>
      <c r="E38" s="749"/>
      <c r="F38" s="750"/>
      <c r="G38" s="750"/>
      <c r="H38" s="750"/>
      <c r="I38" s="749"/>
      <c r="J38" s="750"/>
      <c r="K38" s="750"/>
      <c r="L38" s="751"/>
      <c r="P38" s="757" t="s">
        <v>591</v>
      </c>
      <c r="Q38" s="758"/>
      <c r="R38" s="758"/>
      <c r="S38" s="759"/>
      <c r="T38" s="755"/>
      <c r="U38" s="757" t="s">
        <v>513</v>
      </c>
      <c r="V38" s="759"/>
      <c r="Y38" s="742" t="s">
        <v>592</v>
      </c>
      <c r="Z38" s="743"/>
      <c r="AA38" s="742" t="s">
        <v>593</v>
      </c>
      <c r="AB38" s="743"/>
      <c r="AC38" s="743"/>
      <c r="AD38" s="743"/>
      <c r="AE38" s="744"/>
    </row>
    <row r="39" spans="1:87">
      <c r="C39" s="756" t="s">
        <v>594</v>
      </c>
      <c r="D39" s="749"/>
      <c r="E39" s="749"/>
      <c r="F39" s="750"/>
      <c r="G39" s="750"/>
      <c r="H39" s="750"/>
      <c r="I39" s="749"/>
      <c r="J39" s="750"/>
      <c r="K39" s="750"/>
      <c r="L39" s="751"/>
      <c r="T39" s="755"/>
      <c r="U39" s="757" t="s">
        <v>493</v>
      </c>
      <c r="V39" s="759"/>
      <c r="Y39" s="760" t="s">
        <v>595</v>
      </c>
      <c r="Z39" s="761"/>
      <c r="AA39" s="760" t="s">
        <v>596</v>
      </c>
      <c r="AB39" s="761"/>
      <c r="AC39" s="761"/>
      <c r="AD39" s="761"/>
      <c r="AE39" s="762"/>
    </row>
    <row r="40" spans="1:87">
      <c r="C40" s="756" t="s">
        <v>597</v>
      </c>
      <c r="D40" s="749"/>
      <c r="E40" s="749"/>
      <c r="F40" s="750"/>
      <c r="G40" s="750"/>
      <c r="H40" s="750"/>
      <c r="I40" s="749"/>
      <c r="J40" s="750"/>
      <c r="K40" s="750"/>
      <c r="L40" s="751"/>
      <c r="T40" s="755"/>
      <c r="U40" s="757" t="s">
        <v>518</v>
      </c>
      <c r="V40" s="759"/>
      <c r="Z40" s="763"/>
      <c r="AA40" s="763"/>
      <c r="AB40" s="763"/>
      <c r="AC40" s="763"/>
      <c r="AD40" s="763"/>
      <c r="AE40" s="763"/>
      <c r="AF40" s="763"/>
      <c r="AG40" s="763"/>
      <c r="AH40" s="763"/>
      <c r="AI40" s="763"/>
      <c r="AJ40" s="763"/>
      <c r="AK40" s="763"/>
      <c r="AL40" s="763"/>
      <c r="AM40" s="763"/>
      <c r="AN40" s="763"/>
      <c r="AO40" s="763"/>
      <c r="AP40" s="763"/>
      <c r="AQ40" s="763"/>
      <c r="AR40" s="763"/>
      <c r="AS40" s="763"/>
      <c r="AT40" s="763"/>
      <c r="AU40" s="764"/>
      <c r="AV40" s="764"/>
      <c r="AW40" s="764"/>
      <c r="AX40" s="764"/>
      <c r="AY40" s="763"/>
      <c r="AZ40" s="763"/>
      <c r="BA40" s="763"/>
      <c r="BB40" s="763"/>
      <c r="BC40" s="763"/>
      <c r="BD40" s="763"/>
      <c r="BE40" s="763"/>
      <c r="BF40" s="763"/>
      <c r="BG40" s="763"/>
    </row>
    <row r="41" spans="1:87">
      <c r="C41" s="756" t="s">
        <v>598</v>
      </c>
      <c r="D41" s="749"/>
      <c r="E41" s="749"/>
      <c r="F41" s="750"/>
      <c r="G41" s="750"/>
      <c r="H41" s="750"/>
      <c r="I41" s="749"/>
      <c r="J41" s="750"/>
      <c r="K41" s="750"/>
      <c r="L41" s="751"/>
      <c r="Z41" s="765"/>
      <c r="AA41" s="765"/>
      <c r="AB41" s="765"/>
      <c r="AC41" s="765"/>
      <c r="AD41" s="765"/>
      <c r="AE41" s="765"/>
      <c r="AF41" s="765"/>
      <c r="AG41" s="765"/>
      <c r="AH41" s="765"/>
      <c r="AI41" s="765"/>
      <c r="AJ41" s="765"/>
      <c r="AK41" s="765"/>
      <c r="AL41" s="765"/>
      <c r="AM41" s="765"/>
      <c r="AN41" s="765"/>
      <c r="AO41" s="765"/>
      <c r="AP41" s="766"/>
      <c r="AQ41" s="766"/>
      <c r="AR41" s="766"/>
      <c r="AS41" s="766"/>
      <c r="AT41" s="766"/>
      <c r="AU41" s="767"/>
      <c r="AV41" s="767"/>
      <c r="AW41" s="767"/>
      <c r="AX41" s="767"/>
      <c r="AY41" s="768"/>
      <c r="AZ41" s="768"/>
      <c r="BA41" s="768"/>
      <c r="BB41" s="768"/>
      <c r="BC41" s="768"/>
      <c r="BD41" s="768"/>
      <c r="BE41" s="768"/>
      <c r="BF41" s="768"/>
      <c r="BG41" s="768"/>
    </row>
    <row r="42" spans="1:87">
      <c r="C42" s="756" t="s">
        <v>599</v>
      </c>
      <c r="D42" s="749"/>
      <c r="E42" s="749"/>
      <c r="F42" s="750"/>
      <c r="G42" s="750"/>
      <c r="H42" s="750"/>
      <c r="I42" s="749"/>
      <c r="J42" s="750"/>
      <c r="K42" s="750"/>
      <c r="L42" s="751"/>
      <c r="Z42" s="765"/>
      <c r="AA42" s="765"/>
      <c r="AB42" s="765"/>
      <c r="AC42" s="765"/>
      <c r="AD42" s="765"/>
      <c r="AE42" s="765"/>
      <c r="AF42" s="765"/>
      <c r="AG42" s="765"/>
      <c r="AH42" s="765"/>
      <c r="AI42" s="765"/>
      <c r="AJ42" s="765"/>
      <c r="AK42" s="765"/>
      <c r="AL42" s="765"/>
      <c r="AM42" s="765"/>
      <c r="AN42" s="765"/>
      <c r="AO42" s="765"/>
      <c r="AP42" s="766"/>
      <c r="AQ42" s="766"/>
      <c r="AR42" s="766"/>
      <c r="AS42" s="766"/>
      <c r="AT42" s="766"/>
      <c r="AU42" s="767"/>
      <c r="AV42" s="767"/>
      <c r="AW42" s="767"/>
      <c r="AX42" s="767"/>
      <c r="AY42" s="768"/>
      <c r="AZ42" s="768"/>
      <c r="BA42" s="768"/>
      <c r="BB42" s="768"/>
      <c r="BC42" s="768"/>
      <c r="BD42" s="768"/>
      <c r="BE42" s="768"/>
      <c r="BF42" s="768"/>
      <c r="BG42" s="768"/>
    </row>
    <row r="43" spans="1:87">
      <c r="C43" s="756" t="s">
        <v>600</v>
      </c>
      <c r="D43" s="749"/>
      <c r="E43" s="749"/>
      <c r="F43" s="750"/>
      <c r="G43" s="750"/>
      <c r="H43" s="750"/>
      <c r="I43" s="749"/>
      <c r="J43" s="750"/>
      <c r="K43" s="750"/>
      <c r="L43" s="751"/>
      <c r="Z43" s="765"/>
      <c r="AA43" s="765"/>
      <c r="AB43" s="765"/>
      <c r="AC43" s="765"/>
      <c r="AD43" s="765"/>
      <c r="AE43" s="765"/>
      <c r="AF43" s="765"/>
      <c r="AG43" s="765"/>
      <c r="AH43" s="765"/>
      <c r="AI43" s="765"/>
      <c r="AJ43" s="765"/>
      <c r="AK43" s="765"/>
      <c r="AL43" s="765"/>
      <c r="AM43" s="765"/>
      <c r="AN43" s="765"/>
      <c r="AO43" s="765"/>
      <c r="AP43" s="766"/>
      <c r="AQ43" s="766"/>
      <c r="AR43" s="766"/>
      <c r="AS43" s="766"/>
      <c r="AT43" s="766"/>
      <c r="AU43" s="767"/>
      <c r="AV43" s="767"/>
      <c r="AW43" s="767"/>
      <c r="AX43" s="767"/>
      <c r="AY43" s="768"/>
      <c r="AZ43" s="768"/>
      <c r="BA43" s="768"/>
      <c r="BB43" s="768"/>
      <c r="BC43" s="768"/>
      <c r="BD43" s="768"/>
      <c r="BE43" s="768"/>
      <c r="BF43" s="768"/>
      <c r="BG43" s="768"/>
    </row>
    <row r="44" spans="1:87">
      <c r="C44" s="756" t="s">
        <v>601</v>
      </c>
      <c r="D44" s="749"/>
      <c r="E44" s="749"/>
      <c r="F44" s="750"/>
      <c r="G44" s="750"/>
      <c r="H44" s="750"/>
      <c r="I44" s="749"/>
      <c r="J44" s="750"/>
      <c r="K44" s="750"/>
      <c r="L44" s="751"/>
      <c r="Z44" s="765"/>
      <c r="AA44" s="765"/>
      <c r="AB44" s="765"/>
      <c r="AC44" s="765"/>
      <c r="AD44" s="765"/>
      <c r="AE44" s="765"/>
      <c r="AF44" s="765"/>
      <c r="AG44" s="765"/>
      <c r="AH44" s="765"/>
      <c r="AI44" s="765"/>
      <c r="AJ44" s="765"/>
      <c r="AK44" s="765"/>
      <c r="AL44" s="765"/>
      <c r="AM44" s="765"/>
      <c r="AN44" s="765"/>
      <c r="AO44" s="765"/>
      <c r="AP44" s="766"/>
      <c r="AQ44" s="766"/>
      <c r="AR44" s="766"/>
      <c r="AS44" s="766"/>
      <c r="AT44" s="766"/>
      <c r="AU44" s="767"/>
      <c r="AV44" s="767"/>
      <c r="AW44" s="767"/>
      <c r="AX44" s="767"/>
      <c r="AY44" s="768"/>
      <c r="AZ44" s="768"/>
      <c r="BA44" s="768"/>
      <c r="BB44" s="768"/>
      <c r="BC44" s="768"/>
      <c r="BD44" s="768"/>
      <c r="BE44" s="768"/>
      <c r="BF44" s="768"/>
      <c r="BG44" s="768"/>
    </row>
    <row r="45" spans="1:87">
      <c r="C45" s="756" t="s">
        <v>602</v>
      </c>
      <c r="D45" s="749"/>
      <c r="E45" s="749"/>
      <c r="F45" s="750"/>
      <c r="G45" s="750"/>
      <c r="H45" s="750"/>
      <c r="I45" s="749"/>
      <c r="J45" s="750"/>
      <c r="K45" s="750"/>
      <c r="L45" s="751"/>
    </row>
    <row r="46" spans="1:87">
      <c r="C46" s="756" t="s">
        <v>603</v>
      </c>
      <c r="D46" s="749"/>
      <c r="E46" s="749"/>
      <c r="F46" s="750"/>
      <c r="G46" s="750"/>
      <c r="H46" s="750"/>
      <c r="I46" s="749"/>
      <c r="J46" s="750"/>
      <c r="K46" s="750"/>
      <c r="L46" s="751"/>
    </row>
    <row r="47" spans="1:87">
      <c r="C47" s="756" t="s">
        <v>604</v>
      </c>
      <c r="D47" s="749"/>
      <c r="E47" s="749"/>
      <c r="F47" s="750"/>
      <c r="G47" s="750"/>
      <c r="H47" s="750"/>
      <c r="I47" s="749"/>
      <c r="J47" s="750"/>
      <c r="K47" s="750"/>
      <c r="L47" s="751"/>
    </row>
    <row r="48" spans="1:87">
      <c r="C48" s="756" t="s">
        <v>605</v>
      </c>
      <c r="D48" s="749"/>
      <c r="E48" s="749"/>
      <c r="F48" s="750"/>
      <c r="G48" s="750"/>
      <c r="H48" s="750"/>
      <c r="I48" s="749"/>
      <c r="J48" s="750"/>
      <c r="K48" s="750"/>
      <c r="L48" s="751"/>
    </row>
    <row r="49" spans="3:12">
      <c r="C49" s="756" t="s">
        <v>606</v>
      </c>
      <c r="D49" s="749"/>
      <c r="E49" s="749"/>
      <c r="F49" s="750"/>
      <c r="G49" s="750"/>
      <c r="H49" s="750"/>
      <c r="I49" s="749"/>
      <c r="J49" s="750"/>
      <c r="K49" s="750"/>
      <c r="L49" s="751"/>
    </row>
    <row r="50" spans="3:12">
      <c r="C50" s="756" t="s">
        <v>607</v>
      </c>
      <c r="D50" s="749"/>
      <c r="E50" s="749"/>
      <c r="F50" s="750"/>
      <c r="G50" s="750"/>
      <c r="H50" s="750"/>
      <c r="I50" s="749"/>
      <c r="J50" s="750"/>
      <c r="K50" s="750"/>
      <c r="L50" s="751"/>
    </row>
    <row r="51" spans="3:12">
      <c r="C51" s="756" t="s">
        <v>608</v>
      </c>
      <c r="D51" s="749"/>
      <c r="E51" s="749"/>
      <c r="F51" s="750"/>
      <c r="G51" s="750"/>
      <c r="H51" s="750"/>
      <c r="I51" s="749"/>
      <c r="J51" s="750"/>
      <c r="K51" s="750"/>
      <c r="L51" s="751"/>
    </row>
    <row r="52" spans="3:12">
      <c r="C52" s="756" t="s">
        <v>609</v>
      </c>
      <c r="D52" s="749"/>
      <c r="E52" s="749"/>
      <c r="F52" s="750"/>
      <c r="G52" s="750"/>
      <c r="H52" s="750"/>
      <c r="I52" s="749"/>
      <c r="J52" s="750"/>
      <c r="K52" s="750"/>
      <c r="L52" s="751"/>
    </row>
    <row r="53" spans="3:12">
      <c r="C53" s="756" t="s">
        <v>610</v>
      </c>
      <c r="D53" s="749"/>
      <c r="E53" s="749"/>
      <c r="F53" s="750"/>
      <c r="G53" s="750"/>
      <c r="H53" s="750"/>
      <c r="I53" s="749"/>
      <c r="J53" s="750"/>
      <c r="K53" s="750"/>
      <c r="L53" s="751"/>
    </row>
    <row r="54" spans="3:12">
      <c r="C54" s="756" t="s">
        <v>611</v>
      </c>
      <c r="D54" s="749"/>
      <c r="E54" s="749"/>
      <c r="F54" s="750"/>
      <c r="G54" s="750"/>
      <c r="H54" s="750"/>
      <c r="I54" s="749"/>
      <c r="J54" s="750"/>
      <c r="K54" s="750"/>
      <c r="L54" s="751"/>
    </row>
    <row r="55" spans="3:12">
      <c r="C55" s="756" t="s">
        <v>612</v>
      </c>
      <c r="D55" s="749"/>
      <c r="E55" s="749"/>
      <c r="F55" s="750"/>
      <c r="G55" s="750"/>
      <c r="H55" s="750"/>
      <c r="I55" s="749"/>
      <c r="J55" s="750"/>
      <c r="K55" s="750"/>
      <c r="L55" s="751"/>
    </row>
    <row r="56" spans="3:12">
      <c r="C56" s="756" t="s">
        <v>613</v>
      </c>
      <c r="D56" s="749"/>
      <c r="E56" s="749"/>
      <c r="F56" s="750"/>
      <c r="G56" s="750"/>
      <c r="H56" s="750"/>
      <c r="I56" s="749"/>
      <c r="J56" s="750"/>
      <c r="K56" s="750"/>
      <c r="L56" s="751"/>
    </row>
    <row r="57" spans="3:12">
      <c r="C57" s="756" t="s">
        <v>518</v>
      </c>
      <c r="D57" s="749"/>
      <c r="E57" s="749"/>
      <c r="F57" s="750"/>
      <c r="G57" s="750"/>
      <c r="H57" s="750"/>
      <c r="I57" s="749"/>
      <c r="J57" s="750"/>
      <c r="K57" s="750"/>
      <c r="L57" s="751"/>
    </row>
  </sheetData>
  <mergeCells count="215">
    <mergeCell ref="A1:I1"/>
    <mergeCell ref="A2:AE2"/>
    <mergeCell ref="AF2:CI2"/>
    <mergeCell ref="A3:B4"/>
    <mergeCell ref="C3:P3"/>
    <mergeCell ref="Q3:W4"/>
    <mergeCell ref="X3:AA4"/>
    <mergeCell ref="AB3:AC4"/>
    <mergeCell ref="AD3:AE4"/>
    <mergeCell ref="C4:I4"/>
    <mergeCell ref="J4:P4"/>
    <mergeCell ref="AF3:AI4"/>
    <mergeCell ref="AJ3:AO4"/>
    <mergeCell ref="AP3:AZ4"/>
    <mergeCell ref="AP5:AZ5"/>
    <mergeCell ref="BA5:CI5"/>
    <mergeCell ref="BA3:CI4"/>
    <mergeCell ref="A5:B5"/>
    <mergeCell ref="C5:I5"/>
    <mergeCell ref="J5:P5"/>
    <mergeCell ref="Q5:W5"/>
    <mergeCell ref="X5:AA5"/>
    <mergeCell ref="AB5:AC5"/>
    <mergeCell ref="AD5:AE5"/>
    <mergeCell ref="AF5:AI5"/>
    <mergeCell ref="AJ5:AO5"/>
    <mergeCell ref="AJ6:AO6"/>
    <mergeCell ref="AP6:AZ6"/>
    <mergeCell ref="BA6:CI6"/>
    <mergeCell ref="BA7:CI7"/>
    <mergeCell ref="AB7:AC7"/>
    <mergeCell ref="AD7:AE7"/>
    <mergeCell ref="AF7:AI7"/>
    <mergeCell ref="AJ7:AO7"/>
    <mergeCell ref="A6:B6"/>
    <mergeCell ref="C6:I6"/>
    <mergeCell ref="J6:P6"/>
    <mergeCell ref="Q6:W6"/>
    <mergeCell ref="X6:AA6"/>
    <mergeCell ref="AB6:AC6"/>
    <mergeCell ref="AD6:AE6"/>
    <mergeCell ref="AF6:AI6"/>
    <mergeCell ref="AP7:AZ7"/>
    <mergeCell ref="A7:B7"/>
    <mergeCell ref="C7:I7"/>
    <mergeCell ref="K7:P7"/>
    <mergeCell ref="Q7:W7"/>
    <mergeCell ref="X7:AA7"/>
    <mergeCell ref="BA8:CI8"/>
    <mergeCell ref="A9:B9"/>
    <mergeCell ref="J9:P9"/>
    <mergeCell ref="Q9:W9"/>
    <mergeCell ref="X9:AA9"/>
    <mergeCell ref="AP9:AY9"/>
    <mergeCell ref="BA9:CI9"/>
    <mergeCell ref="A8:B8"/>
    <mergeCell ref="J8:P8"/>
    <mergeCell ref="Q8:W8"/>
    <mergeCell ref="X8:AA8"/>
    <mergeCell ref="AP8:AY8"/>
    <mergeCell ref="A11:B11"/>
    <mergeCell ref="J11:P11"/>
    <mergeCell ref="Q11:W11"/>
    <mergeCell ref="X11:AA11"/>
    <mergeCell ref="A10:B10"/>
    <mergeCell ref="J10:P10"/>
    <mergeCell ref="Q10:W10"/>
    <mergeCell ref="X10:AA10"/>
    <mergeCell ref="BA10:CI10"/>
    <mergeCell ref="A14:B14"/>
    <mergeCell ref="J14:P14"/>
    <mergeCell ref="Q14:W14"/>
    <mergeCell ref="X14:AA14"/>
    <mergeCell ref="A13:B13"/>
    <mergeCell ref="J13:P13"/>
    <mergeCell ref="Q13:W13"/>
    <mergeCell ref="X13:AA13"/>
    <mergeCell ref="A12:B12"/>
    <mergeCell ref="J12:P12"/>
    <mergeCell ref="Q12:W12"/>
    <mergeCell ref="X12:AA12"/>
    <mergeCell ref="A16:B16"/>
    <mergeCell ref="J16:P16"/>
    <mergeCell ref="Q16:W16"/>
    <mergeCell ref="X16:AA16"/>
    <mergeCell ref="BA16:CI16"/>
    <mergeCell ref="A15:B15"/>
    <mergeCell ref="J15:P15"/>
    <mergeCell ref="Q15:W15"/>
    <mergeCell ref="X15:AA15"/>
    <mergeCell ref="BA15:CI15"/>
    <mergeCell ref="AD17:AE17"/>
    <mergeCell ref="AF17:AI17"/>
    <mergeCell ref="AJ17:AO17"/>
    <mergeCell ref="AP17:AZ17"/>
    <mergeCell ref="BA17:CI17"/>
    <mergeCell ref="A17:B17"/>
    <mergeCell ref="C17:I17"/>
    <mergeCell ref="J17:P17"/>
    <mergeCell ref="Q17:W17"/>
    <mergeCell ref="X17:AA17"/>
    <mergeCell ref="AB17:AC17"/>
    <mergeCell ref="BA20:CI20"/>
    <mergeCell ref="AB18:AC18"/>
    <mergeCell ref="AD18:AE18"/>
    <mergeCell ref="AF18:AI18"/>
    <mergeCell ref="AJ18:AO18"/>
    <mergeCell ref="AP18:AZ18"/>
    <mergeCell ref="A18:B18"/>
    <mergeCell ref="C18:I18"/>
    <mergeCell ref="J18:P18"/>
    <mergeCell ref="Q18:W18"/>
    <mergeCell ref="X18:AA18"/>
    <mergeCell ref="BA18:CI18"/>
    <mergeCell ref="AD19:AE19"/>
    <mergeCell ref="AF19:AI19"/>
    <mergeCell ref="AJ19:AO19"/>
    <mergeCell ref="AP19:AZ19"/>
    <mergeCell ref="BA19:CI19"/>
    <mergeCell ref="A19:B19"/>
    <mergeCell ref="C19:I19"/>
    <mergeCell ref="J19:P19"/>
    <mergeCell ref="Q19:W19"/>
    <mergeCell ref="X19:AA19"/>
    <mergeCell ref="AB19:AC19"/>
    <mergeCell ref="AB20:AC20"/>
    <mergeCell ref="AD20:AE20"/>
    <mergeCell ref="AF20:AI20"/>
    <mergeCell ref="AJ20:AO20"/>
    <mergeCell ref="AP20:AZ20"/>
    <mergeCell ref="A20:B20"/>
    <mergeCell ref="C20:I20"/>
    <mergeCell ref="K20:P20"/>
    <mergeCell ref="Q20:W20"/>
    <mergeCell ref="X20:AA20"/>
    <mergeCell ref="AD22:AE22"/>
    <mergeCell ref="AP22:AY22"/>
    <mergeCell ref="BA22:CI22"/>
    <mergeCell ref="AP21:AY21"/>
    <mergeCell ref="BA21:CI21"/>
    <mergeCell ref="AD21:AE21"/>
    <mergeCell ref="A22:B22"/>
    <mergeCell ref="J22:P22"/>
    <mergeCell ref="Q22:W22"/>
    <mergeCell ref="X22:AA22"/>
    <mergeCell ref="AB22:AC22"/>
    <mergeCell ref="A21:B21"/>
    <mergeCell ref="J21:P21"/>
    <mergeCell ref="Q21:W21"/>
    <mergeCell ref="X21:AA21"/>
    <mergeCell ref="AB21:AC21"/>
    <mergeCell ref="A27:B27"/>
    <mergeCell ref="C27:I27"/>
    <mergeCell ref="J27:P27"/>
    <mergeCell ref="Q27:W27"/>
    <mergeCell ref="X27:AD27"/>
    <mergeCell ref="AE27:AL27"/>
    <mergeCell ref="AM27:AV27"/>
    <mergeCell ref="AW27:CI27"/>
    <mergeCell ref="A24:H24"/>
    <mergeCell ref="A25:B26"/>
    <mergeCell ref="C25:I26"/>
    <mergeCell ref="J25:W26"/>
    <mergeCell ref="X25:AD26"/>
    <mergeCell ref="AE25:AL26"/>
    <mergeCell ref="AM25:AV26"/>
    <mergeCell ref="AW25:CI26"/>
    <mergeCell ref="AM29:AV29"/>
    <mergeCell ref="AW29:CI29"/>
    <mergeCell ref="A29:B29"/>
    <mergeCell ref="C29:I29"/>
    <mergeCell ref="J29:P29"/>
    <mergeCell ref="Q29:W29"/>
    <mergeCell ref="X29:AD29"/>
    <mergeCell ref="AE29:AL29"/>
    <mergeCell ref="AM28:AV28"/>
    <mergeCell ref="AW28:CI28"/>
    <mergeCell ref="A28:B28"/>
    <mergeCell ref="C28:I28"/>
    <mergeCell ref="J28:P28"/>
    <mergeCell ref="Q28:W28"/>
    <mergeCell ref="X28:AD28"/>
    <mergeCell ref="AE28:AL28"/>
    <mergeCell ref="AM31:AV31"/>
    <mergeCell ref="AW31:CI31"/>
    <mergeCell ref="A31:B31"/>
    <mergeCell ref="C31:I31"/>
    <mergeCell ref="J31:P31"/>
    <mergeCell ref="Q31:W31"/>
    <mergeCell ref="X31:AD31"/>
    <mergeCell ref="AE31:AL31"/>
    <mergeCell ref="AM30:AV30"/>
    <mergeCell ref="AW30:CI30"/>
    <mergeCell ref="A30:B30"/>
    <mergeCell ref="C30:I30"/>
    <mergeCell ref="J30:P30"/>
    <mergeCell ref="Q30:W30"/>
    <mergeCell ref="X30:AD30"/>
    <mergeCell ref="AE30:AL30"/>
    <mergeCell ref="AM33:AV33"/>
    <mergeCell ref="AW33:CI33"/>
    <mergeCell ref="A33:B33"/>
    <mergeCell ref="C33:I33"/>
    <mergeCell ref="J33:P33"/>
    <mergeCell ref="Q33:W33"/>
    <mergeCell ref="X33:AD33"/>
    <mergeCell ref="AE33:AL33"/>
    <mergeCell ref="AM32:AV32"/>
    <mergeCell ref="AW32:CI32"/>
    <mergeCell ref="A32:B32"/>
    <mergeCell ref="C32:I32"/>
    <mergeCell ref="J32:P32"/>
    <mergeCell ref="Q32:W32"/>
    <mergeCell ref="X32:AD32"/>
    <mergeCell ref="AE32:AL32"/>
  </mergeCells>
  <phoneticPr fontId="54"/>
  <conditionalFormatting sqref="AF6 AJ6 AP6 BA6">
    <cfRule type="expression" dxfId="45" priority="14" stopIfTrue="1">
      <formula>FIND("○",$AD6:$AE19)</formula>
    </cfRule>
  </conditionalFormatting>
  <conditionalFormatting sqref="AF5:AP5 BA5">
    <cfRule type="expression" dxfId="44" priority="16" stopIfTrue="1">
      <formula>FIND("○",$AD5:$AE19)</formula>
    </cfRule>
  </conditionalFormatting>
  <conditionalFormatting sqref="AF7:AP7 AF8:AO9 BA9:BA16 AF10:AP16 AF21:AO22 BA22">
    <cfRule type="expression" dxfId="43" priority="22" stopIfTrue="1">
      <formula>FIND("○",$AD7:$AE52)</formula>
    </cfRule>
  </conditionalFormatting>
  <conditionalFormatting sqref="AF17:AP18 BA17:BA18">
    <cfRule type="expression" dxfId="42" priority="12" stopIfTrue="1">
      <formula>FIND("○",$AD17:$AE53)</formula>
    </cfRule>
  </conditionalFormatting>
  <conditionalFormatting sqref="AF19:AP19 BA19">
    <cfRule type="expression" dxfId="41" priority="15" stopIfTrue="1">
      <formula>FIND("○",$AD19:$AE61)</formula>
    </cfRule>
  </conditionalFormatting>
  <conditionalFormatting sqref="AF20:AP20">
    <cfRule type="expression" dxfId="40" priority="3" stopIfTrue="1">
      <formula>FIND("○",$AD20:$AE65)</formula>
    </cfRule>
  </conditionalFormatting>
  <conditionalFormatting sqref="BA7:BA8 AP8:AP9 BA20:BA21 AP21:AP22">
    <cfRule type="expression" dxfId="39" priority="36" stopIfTrue="1">
      <formula>FIND("○",$AD7:$AE41)</formula>
    </cfRule>
  </conditionalFormatting>
  <dataValidations count="9">
    <dataValidation type="list" allowBlank="1" showInputMessage="1" showErrorMessage="1" sqref="AT65571:AW65571 IV65571:IY65571 SR65571:SU65571 ACN65571:ACQ65571 AMJ65571:AMM65571 AWF65571:AWI65571 BGB65571:BGE65571 BPX65571:BQA65571 BZT65571:BZW65571 CJP65571:CJS65571 CTL65571:CTO65571 DDH65571:DDK65571 DND65571:DNG65571 DWZ65571:DXC65571 EGV65571:EGY65571 EQR65571:EQU65571 FAN65571:FAQ65571 FKJ65571:FKM65571 FUF65571:FUI65571 GEB65571:GEE65571 GNX65571:GOA65571 GXT65571:GXW65571 HHP65571:HHS65571 HRL65571:HRO65571 IBH65571:IBK65571 ILD65571:ILG65571 IUZ65571:IVC65571 JEV65571:JEY65571 JOR65571:JOU65571 JYN65571:JYQ65571 KIJ65571:KIM65571 KSF65571:KSI65571 LCB65571:LCE65571 LLX65571:LMA65571 LVT65571:LVW65571 MFP65571:MFS65571 MPL65571:MPO65571 MZH65571:MZK65571 NJD65571:NJG65571 NSZ65571:NTC65571 OCV65571:OCY65571 OMR65571:OMU65571 OWN65571:OWQ65571 PGJ65571:PGM65571 PQF65571:PQI65571 QAB65571:QAE65571 QJX65571:QKA65571 QTT65571:QTW65571 RDP65571:RDS65571 RNL65571:RNO65571 RXH65571:RXK65571 SHD65571:SHG65571 SQZ65571:SRC65571 TAV65571:TAY65571 TKR65571:TKU65571 TUN65571:TUQ65571 UEJ65571:UEM65571 UOF65571:UOI65571 UYB65571:UYE65571 VHX65571:VIA65571 VRT65571:VRW65571 WBP65571:WBS65571 WLL65571:WLO65571 WVH65571:WVK65571 AT131107:AW131107 IV131107:IY131107 SR131107:SU131107 ACN131107:ACQ131107 AMJ131107:AMM131107 AWF131107:AWI131107 BGB131107:BGE131107 BPX131107:BQA131107 BZT131107:BZW131107 CJP131107:CJS131107 CTL131107:CTO131107 DDH131107:DDK131107 DND131107:DNG131107 DWZ131107:DXC131107 EGV131107:EGY131107 EQR131107:EQU131107 FAN131107:FAQ131107 FKJ131107:FKM131107 FUF131107:FUI131107 GEB131107:GEE131107 GNX131107:GOA131107 GXT131107:GXW131107 HHP131107:HHS131107 HRL131107:HRO131107 IBH131107:IBK131107 ILD131107:ILG131107 IUZ131107:IVC131107 JEV131107:JEY131107 JOR131107:JOU131107 JYN131107:JYQ131107 KIJ131107:KIM131107 KSF131107:KSI131107 LCB131107:LCE131107 LLX131107:LMA131107 LVT131107:LVW131107 MFP131107:MFS131107 MPL131107:MPO131107 MZH131107:MZK131107 NJD131107:NJG131107 NSZ131107:NTC131107 OCV131107:OCY131107 OMR131107:OMU131107 OWN131107:OWQ131107 PGJ131107:PGM131107 PQF131107:PQI131107 QAB131107:QAE131107 QJX131107:QKA131107 QTT131107:QTW131107 RDP131107:RDS131107 RNL131107:RNO131107 RXH131107:RXK131107 SHD131107:SHG131107 SQZ131107:SRC131107 TAV131107:TAY131107 TKR131107:TKU131107 TUN131107:TUQ131107 UEJ131107:UEM131107 UOF131107:UOI131107 UYB131107:UYE131107 VHX131107:VIA131107 VRT131107:VRW131107 WBP131107:WBS131107 WLL131107:WLO131107 WVH131107:WVK131107 AT196643:AW196643 IV196643:IY196643 SR196643:SU196643 ACN196643:ACQ196643 AMJ196643:AMM196643 AWF196643:AWI196643 BGB196643:BGE196643 BPX196643:BQA196643 BZT196643:BZW196643 CJP196643:CJS196643 CTL196643:CTO196643 DDH196643:DDK196643 DND196643:DNG196643 DWZ196643:DXC196643 EGV196643:EGY196643 EQR196643:EQU196643 FAN196643:FAQ196643 FKJ196643:FKM196643 FUF196643:FUI196643 GEB196643:GEE196643 GNX196643:GOA196643 GXT196643:GXW196643 HHP196643:HHS196643 HRL196643:HRO196643 IBH196643:IBK196643 ILD196643:ILG196643 IUZ196643:IVC196643 JEV196643:JEY196643 JOR196643:JOU196643 JYN196643:JYQ196643 KIJ196643:KIM196643 KSF196643:KSI196643 LCB196643:LCE196643 LLX196643:LMA196643 LVT196643:LVW196643 MFP196643:MFS196643 MPL196643:MPO196643 MZH196643:MZK196643 NJD196643:NJG196643 NSZ196643:NTC196643 OCV196643:OCY196643 OMR196643:OMU196643 OWN196643:OWQ196643 PGJ196643:PGM196643 PQF196643:PQI196643 QAB196643:QAE196643 QJX196643:QKA196643 QTT196643:QTW196643 RDP196643:RDS196643 RNL196643:RNO196643 RXH196643:RXK196643 SHD196643:SHG196643 SQZ196643:SRC196643 TAV196643:TAY196643 TKR196643:TKU196643 TUN196643:TUQ196643 UEJ196643:UEM196643 UOF196643:UOI196643 UYB196643:UYE196643 VHX196643:VIA196643 VRT196643:VRW196643 WBP196643:WBS196643 WLL196643:WLO196643 WVH196643:WVK196643 AT262179:AW262179 IV262179:IY262179 SR262179:SU262179 ACN262179:ACQ262179 AMJ262179:AMM262179 AWF262179:AWI262179 BGB262179:BGE262179 BPX262179:BQA262179 BZT262179:BZW262179 CJP262179:CJS262179 CTL262179:CTO262179 DDH262179:DDK262179 DND262179:DNG262179 DWZ262179:DXC262179 EGV262179:EGY262179 EQR262179:EQU262179 FAN262179:FAQ262179 FKJ262179:FKM262179 FUF262179:FUI262179 GEB262179:GEE262179 GNX262179:GOA262179 GXT262179:GXW262179 HHP262179:HHS262179 HRL262179:HRO262179 IBH262179:IBK262179 ILD262179:ILG262179 IUZ262179:IVC262179 JEV262179:JEY262179 JOR262179:JOU262179 JYN262179:JYQ262179 KIJ262179:KIM262179 KSF262179:KSI262179 LCB262179:LCE262179 LLX262179:LMA262179 LVT262179:LVW262179 MFP262179:MFS262179 MPL262179:MPO262179 MZH262179:MZK262179 NJD262179:NJG262179 NSZ262179:NTC262179 OCV262179:OCY262179 OMR262179:OMU262179 OWN262179:OWQ262179 PGJ262179:PGM262179 PQF262179:PQI262179 QAB262179:QAE262179 QJX262179:QKA262179 QTT262179:QTW262179 RDP262179:RDS262179 RNL262179:RNO262179 RXH262179:RXK262179 SHD262179:SHG262179 SQZ262179:SRC262179 TAV262179:TAY262179 TKR262179:TKU262179 TUN262179:TUQ262179 UEJ262179:UEM262179 UOF262179:UOI262179 UYB262179:UYE262179 VHX262179:VIA262179 VRT262179:VRW262179 WBP262179:WBS262179 WLL262179:WLO262179 WVH262179:WVK262179 AT327715:AW327715 IV327715:IY327715 SR327715:SU327715 ACN327715:ACQ327715 AMJ327715:AMM327715 AWF327715:AWI327715 BGB327715:BGE327715 BPX327715:BQA327715 BZT327715:BZW327715 CJP327715:CJS327715 CTL327715:CTO327715 DDH327715:DDK327715 DND327715:DNG327715 DWZ327715:DXC327715 EGV327715:EGY327715 EQR327715:EQU327715 FAN327715:FAQ327715 FKJ327715:FKM327715 FUF327715:FUI327715 GEB327715:GEE327715 GNX327715:GOA327715 GXT327715:GXW327715 HHP327715:HHS327715 HRL327715:HRO327715 IBH327715:IBK327715 ILD327715:ILG327715 IUZ327715:IVC327715 JEV327715:JEY327715 JOR327715:JOU327715 JYN327715:JYQ327715 KIJ327715:KIM327715 KSF327715:KSI327715 LCB327715:LCE327715 LLX327715:LMA327715 LVT327715:LVW327715 MFP327715:MFS327715 MPL327715:MPO327715 MZH327715:MZK327715 NJD327715:NJG327715 NSZ327715:NTC327715 OCV327715:OCY327715 OMR327715:OMU327715 OWN327715:OWQ327715 PGJ327715:PGM327715 PQF327715:PQI327715 QAB327715:QAE327715 QJX327715:QKA327715 QTT327715:QTW327715 RDP327715:RDS327715 RNL327715:RNO327715 RXH327715:RXK327715 SHD327715:SHG327715 SQZ327715:SRC327715 TAV327715:TAY327715 TKR327715:TKU327715 TUN327715:TUQ327715 UEJ327715:UEM327715 UOF327715:UOI327715 UYB327715:UYE327715 VHX327715:VIA327715 VRT327715:VRW327715 WBP327715:WBS327715 WLL327715:WLO327715 WVH327715:WVK327715 AT393251:AW393251 IV393251:IY393251 SR393251:SU393251 ACN393251:ACQ393251 AMJ393251:AMM393251 AWF393251:AWI393251 BGB393251:BGE393251 BPX393251:BQA393251 BZT393251:BZW393251 CJP393251:CJS393251 CTL393251:CTO393251 DDH393251:DDK393251 DND393251:DNG393251 DWZ393251:DXC393251 EGV393251:EGY393251 EQR393251:EQU393251 FAN393251:FAQ393251 FKJ393251:FKM393251 FUF393251:FUI393251 GEB393251:GEE393251 GNX393251:GOA393251 GXT393251:GXW393251 HHP393251:HHS393251 HRL393251:HRO393251 IBH393251:IBK393251 ILD393251:ILG393251 IUZ393251:IVC393251 JEV393251:JEY393251 JOR393251:JOU393251 JYN393251:JYQ393251 KIJ393251:KIM393251 KSF393251:KSI393251 LCB393251:LCE393251 LLX393251:LMA393251 LVT393251:LVW393251 MFP393251:MFS393251 MPL393251:MPO393251 MZH393251:MZK393251 NJD393251:NJG393251 NSZ393251:NTC393251 OCV393251:OCY393251 OMR393251:OMU393251 OWN393251:OWQ393251 PGJ393251:PGM393251 PQF393251:PQI393251 QAB393251:QAE393251 QJX393251:QKA393251 QTT393251:QTW393251 RDP393251:RDS393251 RNL393251:RNO393251 RXH393251:RXK393251 SHD393251:SHG393251 SQZ393251:SRC393251 TAV393251:TAY393251 TKR393251:TKU393251 TUN393251:TUQ393251 UEJ393251:UEM393251 UOF393251:UOI393251 UYB393251:UYE393251 VHX393251:VIA393251 VRT393251:VRW393251 WBP393251:WBS393251 WLL393251:WLO393251 WVH393251:WVK393251 AT458787:AW458787 IV458787:IY458787 SR458787:SU458787 ACN458787:ACQ458787 AMJ458787:AMM458787 AWF458787:AWI458787 BGB458787:BGE458787 BPX458787:BQA458787 BZT458787:BZW458787 CJP458787:CJS458787 CTL458787:CTO458787 DDH458787:DDK458787 DND458787:DNG458787 DWZ458787:DXC458787 EGV458787:EGY458787 EQR458787:EQU458787 FAN458787:FAQ458787 FKJ458787:FKM458787 FUF458787:FUI458787 GEB458787:GEE458787 GNX458787:GOA458787 GXT458787:GXW458787 HHP458787:HHS458787 HRL458787:HRO458787 IBH458787:IBK458787 ILD458787:ILG458787 IUZ458787:IVC458787 JEV458787:JEY458787 JOR458787:JOU458787 JYN458787:JYQ458787 KIJ458787:KIM458787 KSF458787:KSI458787 LCB458787:LCE458787 LLX458787:LMA458787 LVT458787:LVW458787 MFP458787:MFS458787 MPL458787:MPO458787 MZH458787:MZK458787 NJD458787:NJG458787 NSZ458787:NTC458787 OCV458787:OCY458787 OMR458787:OMU458787 OWN458787:OWQ458787 PGJ458787:PGM458787 PQF458787:PQI458787 QAB458787:QAE458787 QJX458787:QKA458787 QTT458787:QTW458787 RDP458787:RDS458787 RNL458787:RNO458787 RXH458787:RXK458787 SHD458787:SHG458787 SQZ458787:SRC458787 TAV458787:TAY458787 TKR458787:TKU458787 TUN458787:TUQ458787 UEJ458787:UEM458787 UOF458787:UOI458787 UYB458787:UYE458787 VHX458787:VIA458787 VRT458787:VRW458787 WBP458787:WBS458787 WLL458787:WLO458787 WVH458787:WVK458787 AT524323:AW524323 IV524323:IY524323 SR524323:SU524323 ACN524323:ACQ524323 AMJ524323:AMM524323 AWF524323:AWI524323 BGB524323:BGE524323 BPX524323:BQA524323 BZT524323:BZW524323 CJP524323:CJS524323 CTL524323:CTO524323 DDH524323:DDK524323 DND524323:DNG524323 DWZ524323:DXC524323 EGV524323:EGY524323 EQR524323:EQU524323 FAN524323:FAQ524323 FKJ524323:FKM524323 FUF524323:FUI524323 GEB524323:GEE524323 GNX524323:GOA524323 GXT524323:GXW524323 HHP524323:HHS524323 HRL524323:HRO524323 IBH524323:IBK524323 ILD524323:ILG524323 IUZ524323:IVC524323 JEV524323:JEY524323 JOR524323:JOU524323 JYN524323:JYQ524323 KIJ524323:KIM524323 KSF524323:KSI524323 LCB524323:LCE524323 LLX524323:LMA524323 LVT524323:LVW524323 MFP524323:MFS524323 MPL524323:MPO524323 MZH524323:MZK524323 NJD524323:NJG524323 NSZ524323:NTC524323 OCV524323:OCY524323 OMR524323:OMU524323 OWN524323:OWQ524323 PGJ524323:PGM524323 PQF524323:PQI524323 QAB524323:QAE524323 QJX524323:QKA524323 QTT524323:QTW524323 RDP524323:RDS524323 RNL524323:RNO524323 RXH524323:RXK524323 SHD524323:SHG524323 SQZ524323:SRC524323 TAV524323:TAY524323 TKR524323:TKU524323 TUN524323:TUQ524323 UEJ524323:UEM524323 UOF524323:UOI524323 UYB524323:UYE524323 VHX524323:VIA524323 VRT524323:VRW524323 WBP524323:WBS524323 WLL524323:WLO524323 WVH524323:WVK524323 AT589859:AW589859 IV589859:IY589859 SR589859:SU589859 ACN589859:ACQ589859 AMJ589859:AMM589859 AWF589859:AWI589859 BGB589859:BGE589859 BPX589859:BQA589859 BZT589859:BZW589859 CJP589859:CJS589859 CTL589859:CTO589859 DDH589859:DDK589859 DND589859:DNG589859 DWZ589859:DXC589859 EGV589859:EGY589859 EQR589859:EQU589859 FAN589859:FAQ589859 FKJ589859:FKM589859 FUF589859:FUI589859 GEB589859:GEE589859 GNX589859:GOA589859 GXT589859:GXW589859 HHP589859:HHS589859 HRL589859:HRO589859 IBH589859:IBK589859 ILD589859:ILG589859 IUZ589859:IVC589859 JEV589859:JEY589859 JOR589859:JOU589859 JYN589859:JYQ589859 KIJ589859:KIM589859 KSF589859:KSI589859 LCB589859:LCE589859 LLX589859:LMA589859 LVT589859:LVW589859 MFP589859:MFS589859 MPL589859:MPO589859 MZH589859:MZK589859 NJD589859:NJG589859 NSZ589859:NTC589859 OCV589859:OCY589859 OMR589859:OMU589859 OWN589859:OWQ589859 PGJ589859:PGM589859 PQF589859:PQI589859 QAB589859:QAE589859 QJX589859:QKA589859 QTT589859:QTW589859 RDP589859:RDS589859 RNL589859:RNO589859 RXH589859:RXK589859 SHD589859:SHG589859 SQZ589859:SRC589859 TAV589859:TAY589859 TKR589859:TKU589859 TUN589859:TUQ589859 UEJ589859:UEM589859 UOF589859:UOI589859 UYB589859:UYE589859 VHX589859:VIA589859 VRT589859:VRW589859 WBP589859:WBS589859 WLL589859:WLO589859 WVH589859:WVK589859 AT655395:AW655395 IV655395:IY655395 SR655395:SU655395 ACN655395:ACQ655395 AMJ655395:AMM655395 AWF655395:AWI655395 BGB655395:BGE655395 BPX655395:BQA655395 BZT655395:BZW655395 CJP655395:CJS655395 CTL655395:CTO655395 DDH655395:DDK655395 DND655395:DNG655395 DWZ655395:DXC655395 EGV655395:EGY655395 EQR655395:EQU655395 FAN655395:FAQ655395 FKJ655395:FKM655395 FUF655395:FUI655395 GEB655395:GEE655395 GNX655395:GOA655395 GXT655395:GXW655395 HHP655395:HHS655395 HRL655395:HRO655395 IBH655395:IBK655395 ILD655395:ILG655395 IUZ655395:IVC655395 JEV655395:JEY655395 JOR655395:JOU655395 JYN655395:JYQ655395 KIJ655395:KIM655395 KSF655395:KSI655395 LCB655395:LCE655395 LLX655395:LMA655395 LVT655395:LVW655395 MFP655395:MFS655395 MPL655395:MPO655395 MZH655395:MZK655395 NJD655395:NJG655395 NSZ655395:NTC655395 OCV655395:OCY655395 OMR655395:OMU655395 OWN655395:OWQ655395 PGJ655395:PGM655395 PQF655395:PQI655395 QAB655395:QAE655395 QJX655395:QKA655395 QTT655395:QTW655395 RDP655395:RDS655395 RNL655395:RNO655395 RXH655395:RXK655395 SHD655395:SHG655395 SQZ655395:SRC655395 TAV655395:TAY655395 TKR655395:TKU655395 TUN655395:TUQ655395 UEJ655395:UEM655395 UOF655395:UOI655395 UYB655395:UYE655395 VHX655395:VIA655395 VRT655395:VRW655395 WBP655395:WBS655395 WLL655395:WLO655395 WVH655395:WVK655395 AT720931:AW720931 IV720931:IY720931 SR720931:SU720931 ACN720931:ACQ720931 AMJ720931:AMM720931 AWF720931:AWI720931 BGB720931:BGE720931 BPX720931:BQA720931 BZT720931:BZW720931 CJP720931:CJS720931 CTL720931:CTO720931 DDH720931:DDK720931 DND720931:DNG720931 DWZ720931:DXC720931 EGV720931:EGY720931 EQR720931:EQU720931 FAN720931:FAQ720931 FKJ720931:FKM720931 FUF720931:FUI720931 GEB720931:GEE720931 GNX720931:GOA720931 GXT720931:GXW720931 HHP720931:HHS720931 HRL720931:HRO720931 IBH720931:IBK720931 ILD720931:ILG720931 IUZ720931:IVC720931 JEV720931:JEY720931 JOR720931:JOU720931 JYN720931:JYQ720931 KIJ720931:KIM720931 KSF720931:KSI720931 LCB720931:LCE720931 LLX720931:LMA720931 LVT720931:LVW720931 MFP720931:MFS720931 MPL720931:MPO720931 MZH720931:MZK720931 NJD720931:NJG720931 NSZ720931:NTC720931 OCV720931:OCY720931 OMR720931:OMU720931 OWN720931:OWQ720931 PGJ720931:PGM720931 PQF720931:PQI720931 QAB720931:QAE720931 QJX720931:QKA720931 QTT720931:QTW720931 RDP720931:RDS720931 RNL720931:RNO720931 RXH720931:RXK720931 SHD720931:SHG720931 SQZ720931:SRC720931 TAV720931:TAY720931 TKR720931:TKU720931 TUN720931:TUQ720931 UEJ720931:UEM720931 UOF720931:UOI720931 UYB720931:UYE720931 VHX720931:VIA720931 VRT720931:VRW720931 WBP720931:WBS720931 WLL720931:WLO720931 WVH720931:WVK720931 AT786467:AW786467 IV786467:IY786467 SR786467:SU786467 ACN786467:ACQ786467 AMJ786467:AMM786467 AWF786467:AWI786467 BGB786467:BGE786467 BPX786467:BQA786467 BZT786467:BZW786467 CJP786467:CJS786467 CTL786467:CTO786467 DDH786467:DDK786467 DND786467:DNG786467 DWZ786467:DXC786467 EGV786467:EGY786467 EQR786467:EQU786467 FAN786467:FAQ786467 FKJ786467:FKM786467 FUF786467:FUI786467 GEB786467:GEE786467 GNX786467:GOA786467 GXT786467:GXW786467 HHP786467:HHS786467 HRL786467:HRO786467 IBH786467:IBK786467 ILD786467:ILG786467 IUZ786467:IVC786467 JEV786467:JEY786467 JOR786467:JOU786467 JYN786467:JYQ786467 KIJ786467:KIM786467 KSF786467:KSI786467 LCB786467:LCE786467 LLX786467:LMA786467 LVT786467:LVW786467 MFP786467:MFS786467 MPL786467:MPO786467 MZH786467:MZK786467 NJD786467:NJG786467 NSZ786467:NTC786467 OCV786467:OCY786467 OMR786467:OMU786467 OWN786467:OWQ786467 PGJ786467:PGM786467 PQF786467:PQI786467 QAB786467:QAE786467 QJX786467:QKA786467 QTT786467:QTW786467 RDP786467:RDS786467 RNL786467:RNO786467 RXH786467:RXK786467 SHD786467:SHG786467 SQZ786467:SRC786467 TAV786467:TAY786467 TKR786467:TKU786467 TUN786467:TUQ786467 UEJ786467:UEM786467 UOF786467:UOI786467 UYB786467:UYE786467 VHX786467:VIA786467 VRT786467:VRW786467 WBP786467:WBS786467 WLL786467:WLO786467 WVH786467:WVK786467 AT852003:AW852003 IV852003:IY852003 SR852003:SU852003 ACN852003:ACQ852003 AMJ852003:AMM852003 AWF852003:AWI852003 BGB852003:BGE852003 BPX852003:BQA852003 BZT852003:BZW852003 CJP852003:CJS852003 CTL852003:CTO852003 DDH852003:DDK852003 DND852003:DNG852003 DWZ852003:DXC852003 EGV852003:EGY852003 EQR852003:EQU852003 FAN852003:FAQ852003 FKJ852003:FKM852003 FUF852003:FUI852003 GEB852003:GEE852003 GNX852003:GOA852003 GXT852003:GXW852003 HHP852003:HHS852003 HRL852003:HRO852003 IBH852003:IBK852003 ILD852003:ILG852003 IUZ852003:IVC852003 JEV852003:JEY852003 JOR852003:JOU852003 JYN852003:JYQ852003 KIJ852003:KIM852003 KSF852003:KSI852003 LCB852003:LCE852003 LLX852003:LMA852003 LVT852003:LVW852003 MFP852003:MFS852003 MPL852003:MPO852003 MZH852003:MZK852003 NJD852003:NJG852003 NSZ852003:NTC852003 OCV852003:OCY852003 OMR852003:OMU852003 OWN852003:OWQ852003 PGJ852003:PGM852003 PQF852003:PQI852003 QAB852003:QAE852003 QJX852003:QKA852003 QTT852003:QTW852003 RDP852003:RDS852003 RNL852003:RNO852003 RXH852003:RXK852003 SHD852003:SHG852003 SQZ852003:SRC852003 TAV852003:TAY852003 TKR852003:TKU852003 TUN852003:TUQ852003 UEJ852003:UEM852003 UOF852003:UOI852003 UYB852003:UYE852003 VHX852003:VIA852003 VRT852003:VRW852003 WBP852003:WBS852003 WLL852003:WLO852003 WVH852003:WVK852003 AT917539:AW917539 IV917539:IY917539 SR917539:SU917539 ACN917539:ACQ917539 AMJ917539:AMM917539 AWF917539:AWI917539 BGB917539:BGE917539 BPX917539:BQA917539 BZT917539:BZW917539 CJP917539:CJS917539 CTL917539:CTO917539 DDH917539:DDK917539 DND917539:DNG917539 DWZ917539:DXC917539 EGV917539:EGY917539 EQR917539:EQU917539 FAN917539:FAQ917539 FKJ917539:FKM917539 FUF917539:FUI917539 GEB917539:GEE917539 GNX917539:GOA917539 GXT917539:GXW917539 HHP917539:HHS917539 HRL917539:HRO917539 IBH917539:IBK917539 ILD917539:ILG917539 IUZ917539:IVC917539 JEV917539:JEY917539 JOR917539:JOU917539 JYN917539:JYQ917539 KIJ917539:KIM917539 KSF917539:KSI917539 LCB917539:LCE917539 LLX917539:LMA917539 LVT917539:LVW917539 MFP917539:MFS917539 MPL917539:MPO917539 MZH917539:MZK917539 NJD917539:NJG917539 NSZ917539:NTC917539 OCV917539:OCY917539 OMR917539:OMU917539 OWN917539:OWQ917539 PGJ917539:PGM917539 PQF917539:PQI917539 QAB917539:QAE917539 QJX917539:QKA917539 QTT917539:QTW917539 RDP917539:RDS917539 RNL917539:RNO917539 RXH917539:RXK917539 SHD917539:SHG917539 SQZ917539:SRC917539 TAV917539:TAY917539 TKR917539:TKU917539 TUN917539:TUQ917539 UEJ917539:UEM917539 UOF917539:UOI917539 UYB917539:UYE917539 VHX917539:VIA917539 VRT917539:VRW917539 WBP917539:WBS917539 WLL917539:WLO917539 WVH917539:WVK917539 AT983075:AW983075 IV983075:IY983075 SR983075:SU983075 ACN983075:ACQ983075 AMJ983075:AMM983075 AWF983075:AWI983075 BGB983075:BGE983075 BPX983075:BQA983075 BZT983075:BZW983075 CJP983075:CJS983075 CTL983075:CTO983075 DDH983075:DDK983075 DND983075:DNG983075 DWZ983075:DXC983075 EGV983075:EGY983075 EQR983075:EQU983075 FAN983075:FAQ983075 FKJ983075:FKM983075 FUF983075:FUI983075 GEB983075:GEE983075 GNX983075:GOA983075 GXT983075:GXW983075 HHP983075:HHS983075 HRL983075:HRO983075 IBH983075:IBK983075 ILD983075:ILG983075 IUZ983075:IVC983075 JEV983075:JEY983075 JOR983075:JOU983075 JYN983075:JYQ983075 KIJ983075:KIM983075 KSF983075:KSI983075 LCB983075:LCE983075 LLX983075:LMA983075 LVT983075:LVW983075 MFP983075:MFS983075 MPL983075:MPO983075 MZH983075:MZK983075 NJD983075:NJG983075 NSZ983075:NTC983075 OCV983075:OCY983075 OMR983075:OMU983075 OWN983075:OWQ983075 PGJ983075:PGM983075 PQF983075:PQI983075 QAB983075:QAE983075 QJX983075:QKA983075 QTT983075:QTW983075 RDP983075:RDS983075 RNL983075:RNO983075 RXH983075:RXK983075 SHD983075:SHG983075 SQZ983075:SRC983075 TAV983075:TAY983075 TKR983075:TKU983075 TUN983075:TUQ983075 UEJ983075:UEM983075 UOF983075:UOI983075 UYB983075:UYE983075 VHX983075:VIA983075 VRT983075:VRW983075 WBP983075:WBS983075 WLL983075:WLO983075 WVH983075:WVK983075 AO983074:AR983074 IQ983074:IT983074 SM983074:SP983074 ACI983074:ACL983074 AME983074:AMH983074 AWA983074:AWD983074 BFW983074:BFZ983074 BPS983074:BPV983074 BZO983074:BZR983074 CJK983074:CJN983074 CTG983074:CTJ983074 DDC983074:DDF983074 DMY983074:DNB983074 DWU983074:DWX983074 EGQ983074:EGT983074 EQM983074:EQP983074 FAI983074:FAL983074 FKE983074:FKH983074 FUA983074:FUD983074 GDW983074:GDZ983074 GNS983074:GNV983074 GXO983074:GXR983074 HHK983074:HHN983074 HRG983074:HRJ983074 IBC983074:IBF983074 IKY983074:ILB983074 IUU983074:IUX983074 JEQ983074:JET983074 JOM983074:JOP983074 JYI983074:JYL983074 KIE983074:KIH983074 KSA983074:KSD983074 LBW983074:LBZ983074 LLS983074:LLV983074 LVO983074:LVR983074 MFK983074:MFN983074 MPG983074:MPJ983074 MZC983074:MZF983074 NIY983074:NJB983074 NSU983074:NSX983074 OCQ983074:OCT983074 OMM983074:OMP983074 OWI983074:OWL983074 PGE983074:PGH983074 PQA983074:PQD983074 PZW983074:PZZ983074 QJS983074:QJV983074 QTO983074:QTR983074 RDK983074:RDN983074 RNG983074:RNJ983074 RXC983074:RXF983074 SGY983074:SHB983074 SQU983074:SQX983074 TAQ983074:TAT983074 TKM983074:TKP983074 TUI983074:TUL983074 UEE983074:UEH983074 UOA983074:UOD983074 UXW983074:UXZ983074 VHS983074:VHV983074 VRO983074:VRR983074 WBK983074:WBN983074 WLG983074:WLJ983074 WVC983074:WVF983074 AO65570:AR65570 IQ65570:IT65570 SM65570:SP65570 ACI65570:ACL65570 AME65570:AMH65570 AWA65570:AWD65570 BFW65570:BFZ65570 BPS65570:BPV65570 BZO65570:BZR65570 CJK65570:CJN65570 CTG65570:CTJ65570 DDC65570:DDF65570 DMY65570:DNB65570 DWU65570:DWX65570 EGQ65570:EGT65570 EQM65570:EQP65570 FAI65570:FAL65570 FKE65570:FKH65570 FUA65570:FUD65570 GDW65570:GDZ65570 GNS65570:GNV65570 GXO65570:GXR65570 HHK65570:HHN65570 HRG65570:HRJ65570 IBC65570:IBF65570 IKY65570:ILB65570 IUU65570:IUX65570 JEQ65570:JET65570 JOM65570:JOP65570 JYI65570:JYL65570 KIE65570:KIH65570 KSA65570:KSD65570 LBW65570:LBZ65570 LLS65570:LLV65570 LVO65570:LVR65570 MFK65570:MFN65570 MPG65570:MPJ65570 MZC65570:MZF65570 NIY65570:NJB65570 NSU65570:NSX65570 OCQ65570:OCT65570 OMM65570:OMP65570 OWI65570:OWL65570 PGE65570:PGH65570 PQA65570:PQD65570 PZW65570:PZZ65570 QJS65570:QJV65570 QTO65570:QTR65570 RDK65570:RDN65570 RNG65570:RNJ65570 RXC65570:RXF65570 SGY65570:SHB65570 SQU65570:SQX65570 TAQ65570:TAT65570 TKM65570:TKP65570 TUI65570:TUL65570 UEE65570:UEH65570 UOA65570:UOD65570 UXW65570:UXZ65570 VHS65570:VHV65570 VRO65570:VRR65570 WBK65570:WBN65570 WLG65570:WLJ65570 WVC65570:WVF65570 AO131106:AR131106 IQ131106:IT131106 SM131106:SP131106 ACI131106:ACL131106 AME131106:AMH131106 AWA131106:AWD131106 BFW131106:BFZ131106 BPS131106:BPV131106 BZO131106:BZR131106 CJK131106:CJN131106 CTG131106:CTJ131106 DDC131106:DDF131106 DMY131106:DNB131106 DWU131106:DWX131106 EGQ131106:EGT131106 EQM131106:EQP131106 FAI131106:FAL131106 FKE131106:FKH131106 FUA131106:FUD131106 GDW131106:GDZ131106 GNS131106:GNV131106 GXO131106:GXR131106 HHK131106:HHN131106 HRG131106:HRJ131106 IBC131106:IBF131106 IKY131106:ILB131106 IUU131106:IUX131106 JEQ131106:JET131106 JOM131106:JOP131106 JYI131106:JYL131106 KIE131106:KIH131106 KSA131106:KSD131106 LBW131106:LBZ131106 LLS131106:LLV131106 LVO131106:LVR131106 MFK131106:MFN131106 MPG131106:MPJ131106 MZC131106:MZF131106 NIY131106:NJB131106 NSU131106:NSX131106 OCQ131106:OCT131106 OMM131106:OMP131106 OWI131106:OWL131106 PGE131106:PGH131106 PQA131106:PQD131106 PZW131106:PZZ131106 QJS131106:QJV131106 QTO131106:QTR131106 RDK131106:RDN131106 RNG131106:RNJ131106 RXC131106:RXF131106 SGY131106:SHB131106 SQU131106:SQX131106 TAQ131106:TAT131106 TKM131106:TKP131106 TUI131106:TUL131106 UEE131106:UEH131106 UOA131106:UOD131106 UXW131106:UXZ131106 VHS131106:VHV131106 VRO131106:VRR131106 WBK131106:WBN131106 WLG131106:WLJ131106 WVC131106:WVF131106 AO196642:AR196642 IQ196642:IT196642 SM196642:SP196642 ACI196642:ACL196642 AME196642:AMH196642 AWA196642:AWD196642 BFW196642:BFZ196642 BPS196642:BPV196642 BZO196642:BZR196642 CJK196642:CJN196642 CTG196642:CTJ196642 DDC196642:DDF196642 DMY196642:DNB196642 DWU196642:DWX196642 EGQ196642:EGT196642 EQM196642:EQP196642 FAI196642:FAL196642 FKE196642:FKH196642 FUA196642:FUD196642 GDW196642:GDZ196642 GNS196642:GNV196642 GXO196642:GXR196642 HHK196642:HHN196642 HRG196642:HRJ196642 IBC196642:IBF196642 IKY196642:ILB196642 IUU196642:IUX196642 JEQ196642:JET196642 JOM196642:JOP196642 JYI196642:JYL196642 KIE196642:KIH196642 KSA196642:KSD196642 LBW196642:LBZ196642 LLS196642:LLV196642 LVO196642:LVR196642 MFK196642:MFN196642 MPG196642:MPJ196642 MZC196642:MZF196642 NIY196642:NJB196642 NSU196642:NSX196642 OCQ196642:OCT196642 OMM196642:OMP196642 OWI196642:OWL196642 PGE196642:PGH196642 PQA196642:PQD196642 PZW196642:PZZ196642 QJS196642:QJV196642 QTO196642:QTR196642 RDK196642:RDN196642 RNG196642:RNJ196642 RXC196642:RXF196642 SGY196642:SHB196642 SQU196642:SQX196642 TAQ196642:TAT196642 TKM196642:TKP196642 TUI196642:TUL196642 UEE196642:UEH196642 UOA196642:UOD196642 UXW196642:UXZ196642 VHS196642:VHV196642 VRO196642:VRR196642 WBK196642:WBN196642 WLG196642:WLJ196642 WVC196642:WVF196642 AO262178:AR262178 IQ262178:IT262178 SM262178:SP262178 ACI262178:ACL262178 AME262178:AMH262178 AWA262178:AWD262178 BFW262178:BFZ262178 BPS262178:BPV262178 BZO262178:BZR262178 CJK262178:CJN262178 CTG262178:CTJ262178 DDC262178:DDF262178 DMY262178:DNB262178 DWU262178:DWX262178 EGQ262178:EGT262178 EQM262178:EQP262178 FAI262178:FAL262178 FKE262178:FKH262178 FUA262178:FUD262178 GDW262178:GDZ262178 GNS262178:GNV262178 GXO262178:GXR262178 HHK262178:HHN262178 HRG262178:HRJ262178 IBC262178:IBF262178 IKY262178:ILB262178 IUU262178:IUX262178 JEQ262178:JET262178 JOM262178:JOP262178 JYI262178:JYL262178 KIE262178:KIH262178 KSA262178:KSD262178 LBW262178:LBZ262178 LLS262178:LLV262178 LVO262178:LVR262178 MFK262178:MFN262178 MPG262178:MPJ262178 MZC262178:MZF262178 NIY262178:NJB262178 NSU262178:NSX262178 OCQ262178:OCT262178 OMM262178:OMP262178 OWI262178:OWL262178 PGE262178:PGH262178 PQA262178:PQD262178 PZW262178:PZZ262178 QJS262178:QJV262178 QTO262178:QTR262178 RDK262178:RDN262178 RNG262178:RNJ262178 RXC262178:RXF262178 SGY262178:SHB262178 SQU262178:SQX262178 TAQ262178:TAT262178 TKM262178:TKP262178 TUI262178:TUL262178 UEE262178:UEH262178 UOA262178:UOD262178 UXW262178:UXZ262178 VHS262178:VHV262178 VRO262178:VRR262178 WBK262178:WBN262178 WLG262178:WLJ262178 WVC262178:WVF262178 AO327714:AR327714 IQ327714:IT327714 SM327714:SP327714 ACI327714:ACL327714 AME327714:AMH327714 AWA327714:AWD327714 BFW327714:BFZ327714 BPS327714:BPV327714 BZO327714:BZR327714 CJK327714:CJN327714 CTG327714:CTJ327714 DDC327714:DDF327714 DMY327714:DNB327714 DWU327714:DWX327714 EGQ327714:EGT327714 EQM327714:EQP327714 FAI327714:FAL327714 FKE327714:FKH327714 FUA327714:FUD327714 GDW327714:GDZ327714 GNS327714:GNV327714 GXO327714:GXR327714 HHK327714:HHN327714 HRG327714:HRJ327714 IBC327714:IBF327714 IKY327714:ILB327714 IUU327714:IUX327714 JEQ327714:JET327714 JOM327714:JOP327714 JYI327714:JYL327714 KIE327714:KIH327714 KSA327714:KSD327714 LBW327714:LBZ327714 LLS327714:LLV327714 LVO327714:LVR327714 MFK327714:MFN327714 MPG327714:MPJ327714 MZC327714:MZF327714 NIY327714:NJB327714 NSU327714:NSX327714 OCQ327714:OCT327714 OMM327714:OMP327714 OWI327714:OWL327714 PGE327714:PGH327714 PQA327714:PQD327714 PZW327714:PZZ327714 QJS327714:QJV327714 QTO327714:QTR327714 RDK327714:RDN327714 RNG327714:RNJ327714 RXC327714:RXF327714 SGY327714:SHB327714 SQU327714:SQX327714 TAQ327714:TAT327714 TKM327714:TKP327714 TUI327714:TUL327714 UEE327714:UEH327714 UOA327714:UOD327714 UXW327714:UXZ327714 VHS327714:VHV327714 VRO327714:VRR327714 WBK327714:WBN327714 WLG327714:WLJ327714 WVC327714:WVF327714 AO393250:AR393250 IQ393250:IT393250 SM393250:SP393250 ACI393250:ACL393250 AME393250:AMH393250 AWA393250:AWD393250 BFW393250:BFZ393250 BPS393250:BPV393250 BZO393250:BZR393250 CJK393250:CJN393250 CTG393250:CTJ393250 DDC393250:DDF393250 DMY393250:DNB393250 DWU393250:DWX393250 EGQ393250:EGT393250 EQM393250:EQP393250 FAI393250:FAL393250 FKE393250:FKH393250 FUA393250:FUD393250 GDW393250:GDZ393250 GNS393250:GNV393250 GXO393250:GXR393250 HHK393250:HHN393250 HRG393250:HRJ393250 IBC393250:IBF393250 IKY393250:ILB393250 IUU393250:IUX393250 JEQ393250:JET393250 JOM393250:JOP393250 JYI393250:JYL393250 KIE393250:KIH393250 KSA393250:KSD393250 LBW393250:LBZ393250 LLS393250:LLV393250 LVO393250:LVR393250 MFK393250:MFN393250 MPG393250:MPJ393250 MZC393250:MZF393250 NIY393250:NJB393250 NSU393250:NSX393250 OCQ393250:OCT393250 OMM393250:OMP393250 OWI393250:OWL393250 PGE393250:PGH393250 PQA393250:PQD393250 PZW393250:PZZ393250 QJS393250:QJV393250 QTO393250:QTR393250 RDK393250:RDN393250 RNG393250:RNJ393250 RXC393250:RXF393250 SGY393250:SHB393250 SQU393250:SQX393250 TAQ393250:TAT393250 TKM393250:TKP393250 TUI393250:TUL393250 UEE393250:UEH393250 UOA393250:UOD393250 UXW393250:UXZ393250 VHS393250:VHV393250 VRO393250:VRR393250 WBK393250:WBN393250 WLG393250:WLJ393250 WVC393250:WVF393250 AO458786:AR458786 IQ458786:IT458786 SM458786:SP458786 ACI458786:ACL458786 AME458786:AMH458786 AWA458786:AWD458786 BFW458786:BFZ458786 BPS458786:BPV458786 BZO458786:BZR458786 CJK458786:CJN458786 CTG458786:CTJ458786 DDC458786:DDF458786 DMY458786:DNB458786 DWU458786:DWX458786 EGQ458786:EGT458786 EQM458786:EQP458786 FAI458786:FAL458786 FKE458786:FKH458786 FUA458786:FUD458786 GDW458786:GDZ458786 GNS458786:GNV458786 GXO458786:GXR458786 HHK458786:HHN458786 HRG458786:HRJ458786 IBC458786:IBF458786 IKY458786:ILB458786 IUU458786:IUX458786 JEQ458786:JET458786 JOM458786:JOP458786 JYI458786:JYL458786 KIE458786:KIH458786 KSA458786:KSD458786 LBW458786:LBZ458786 LLS458786:LLV458786 LVO458786:LVR458786 MFK458786:MFN458786 MPG458786:MPJ458786 MZC458786:MZF458786 NIY458786:NJB458786 NSU458786:NSX458786 OCQ458786:OCT458786 OMM458786:OMP458786 OWI458786:OWL458786 PGE458786:PGH458786 PQA458786:PQD458786 PZW458786:PZZ458786 QJS458786:QJV458786 QTO458786:QTR458786 RDK458786:RDN458786 RNG458786:RNJ458786 RXC458786:RXF458786 SGY458786:SHB458786 SQU458786:SQX458786 TAQ458786:TAT458786 TKM458786:TKP458786 TUI458786:TUL458786 UEE458786:UEH458786 UOA458786:UOD458786 UXW458786:UXZ458786 VHS458786:VHV458786 VRO458786:VRR458786 WBK458786:WBN458786 WLG458786:WLJ458786 WVC458786:WVF458786 AO524322:AR524322 IQ524322:IT524322 SM524322:SP524322 ACI524322:ACL524322 AME524322:AMH524322 AWA524322:AWD524322 BFW524322:BFZ524322 BPS524322:BPV524322 BZO524322:BZR524322 CJK524322:CJN524322 CTG524322:CTJ524322 DDC524322:DDF524322 DMY524322:DNB524322 DWU524322:DWX524322 EGQ524322:EGT524322 EQM524322:EQP524322 FAI524322:FAL524322 FKE524322:FKH524322 FUA524322:FUD524322 GDW524322:GDZ524322 GNS524322:GNV524322 GXO524322:GXR524322 HHK524322:HHN524322 HRG524322:HRJ524322 IBC524322:IBF524322 IKY524322:ILB524322 IUU524322:IUX524322 JEQ524322:JET524322 JOM524322:JOP524322 JYI524322:JYL524322 KIE524322:KIH524322 KSA524322:KSD524322 LBW524322:LBZ524322 LLS524322:LLV524322 LVO524322:LVR524322 MFK524322:MFN524322 MPG524322:MPJ524322 MZC524322:MZF524322 NIY524322:NJB524322 NSU524322:NSX524322 OCQ524322:OCT524322 OMM524322:OMP524322 OWI524322:OWL524322 PGE524322:PGH524322 PQA524322:PQD524322 PZW524322:PZZ524322 QJS524322:QJV524322 QTO524322:QTR524322 RDK524322:RDN524322 RNG524322:RNJ524322 RXC524322:RXF524322 SGY524322:SHB524322 SQU524322:SQX524322 TAQ524322:TAT524322 TKM524322:TKP524322 TUI524322:TUL524322 UEE524322:UEH524322 UOA524322:UOD524322 UXW524322:UXZ524322 VHS524322:VHV524322 VRO524322:VRR524322 WBK524322:WBN524322 WLG524322:WLJ524322 WVC524322:WVF524322 AO589858:AR589858 IQ589858:IT589858 SM589858:SP589858 ACI589858:ACL589858 AME589858:AMH589858 AWA589858:AWD589858 BFW589858:BFZ589858 BPS589858:BPV589858 BZO589858:BZR589858 CJK589858:CJN589858 CTG589858:CTJ589858 DDC589858:DDF589858 DMY589858:DNB589858 DWU589858:DWX589858 EGQ589858:EGT589858 EQM589858:EQP589858 FAI589858:FAL589858 FKE589858:FKH589858 FUA589858:FUD589858 GDW589858:GDZ589858 GNS589858:GNV589858 GXO589858:GXR589858 HHK589858:HHN589858 HRG589858:HRJ589858 IBC589858:IBF589858 IKY589858:ILB589858 IUU589858:IUX589858 JEQ589858:JET589858 JOM589858:JOP589858 JYI589858:JYL589858 KIE589858:KIH589858 KSA589858:KSD589858 LBW589858:LBZ589858 LLS589858:LLV589858 LVO589858:LVR589858 MFK589858:MFN589858 MPG589858:MPJ589858 MZC589858:MZF589858 NIY589858:NJB589858 NSU589858:NSX589858 OCQ589858:OCT589858 OMM589858:OMP589858 OWI589858:OWL589858 PGE589858:PGH589858 PQA589858:PQD589858 PZW589858:PZZ589858 QJS589858:QJV589858 QTO589858:QTR589858 RDK589858:RDN589858 RNG589858:RNJ589858 RXC589858:RXF589858 SGY589858:SHB589858 SQU589858:SQX589858 TAQ589858:TAT589858 TKM589858:TKP589858 TUI589858:TUL589858 UEE589858:UEH589858 UOA589858:UOD589858 UXW589858:UXZ589858 VHS589858:VHV589858 VRO589858:VRR589858 WBK589858:WBN589858 WLG589858:WLJ589858 WVC589858:WVF589858 AO655394:AR655394 IQ655394:IT655394 SM655394:SP655394 ACI655394:ACL655394 AME655394:AMH655394 AWA655394:AWD655394 BFW655394:BFZ655394 BPS655394:BPV655394 BZO655394:BZR655394 CJK655394:CJN655394 CTG655394:CTJ655394 DDC655394:DDF655394 DMY655394:DNB655394 DWU655394:DWX655394 EGQ655394:EGT655394 EQM655394:EQP655394 FAI655394:FAL655394 FKE655394:FKH655394 FUA655394:FUD655394 GDW655394:GDZ655394 GNS655394:GNV655394 GXO655394:GXR655394 HHK655394:HHN655394 HRG655394:HRJ655394 IBC655394:IBF655394 IKY655394:ILB655394 IUU655394:IUX655394 JEQ655394:JET655394 JOM655394:JOP655394 JYI655394:JYL655394 KIE655394:KIH655394 KSA655394:KSD655394 LBW655394:LBZ655394 LLS655394:LLV655394 LVO655394:LVR655394 MFK655394:MFN655394 MPG655394:MPJ655394 MZC655394:MZF655394 NIY655394:NJB655394 NSU655394:NSX655394 OCQ655394:OCT655394 OMM655394:OMP655394 OWI655394:OWL655394 PGE655394:PGH655394 PQA655394:PQD655394 PZW655394:PZZ655394 QJS655394:QJV655394 QTO655394:QTR655394 RDK655394:RDN655394 RNG655394:RNJ655394 RXC655394:RXF655394 SGY655394:SHB655394 SQU655394:SQX655394 TAQ655394:TAT655394 TKM655394:TKP655394 TUI655394:TUL655394 UEE655394:UEH655394 UOA655394:UOD655394 UXW655394:UXZ655394 VHS655394:VHV655394 VRO655394:VRR655394 WBK655394:WBN655394 WLG655394:WLJ655394 WVC655394:WVF655394 AO720930:AR720930 IQ720930:IT720930 SM720930:SP720930 ACI720930:ACL720930 AME720930:AMH720930 AWA720930:AWD720930 BFW720930:BFZ720930 BPS720930:BPV720930 BZO720930:BZR720930 CJK720930:CJN720930 CTG720930:CTJ720930 DDC720930:DDF720930 DMY720930:DNB720930 DWU720930:DWX720930 EGQ720930:EGT720930 EQM720930:EQP720930 FAI720930:FAL720930 FKE720930:FKH720930 FUA720930:FUD720930 GDW720930:GDZ720930 GNS720930:GNV720930 GXO720930:GXR720930 HHK720930:HHN720930 HRG720930:HRJ720930 IBC720930:IBF720930 IKY720930:ILB720930 IUU720930:IUX720930 JEQ720930:JET720930 JOM720930:JOP720930 JYI720930:JYL720930 KIE720930:KIH720930 KSA720930:KSD720930 LBW720930:LBZ720930 LLS720930:LLV720930 LVO720930:LVR720930 MFK720930:MFN720930 MPG720930:MPJ720930 MZC720930:MZF720930 NIY720930:NJB720930 NSU720930:NSX720930 OCQ720930:OCT720930 OMM720930:OMP720930 OWI720930:OWL720930 PGE720930:PGH720930 PQA720930:PQD720930 PZW720930:PZZ720930 QJS720930:QJV720930 QTO720930:QTR720930 RDK720930:RDN720930 RNG720930:RNJ720930 RXC720930:RXF720930 SGY720930:SHB720930 SQU720930:SQX720930 TAQ720930:TAT720930 TKM720930:TKP720930 TUI720930:TUL720930 UEE720930:UEH720930 UOA720930:UOD720930 UXW720930:UXZ720930 VHS720930:VHV720930 VRO720930:VRR720930 WBK720930:WBN720930 WLG720930:WLJ720930 WVC720930:WVF720930 AO786466:AR786466 IQ786466:IT786466 SM786466:SP786466 ACI786466:ACL786466 AME786466:AMH786466 AWA786466:AWD786466 BFW786466:BFZ786466 BPS786466:BPV786466 BZO786466:BZR786466 CJK786466:CJN786466 CTG786466:CTJ786466 DDC786466:DDF786466 DMY786466:DNB786466 DWU786466:DWX786466 EGQ786466:EGT786466 EQM786466:EQP786466 FAI786466:FAL786466 FKE786466:FKH786466 FUA786466:FUD786466 GDW786466:GDZ786466 GNS786466:GNV786466 GXO786466:GXR786466 HHK786466:HHN786466 HRG786466:HRJ786466 IBC786466:IBF786466 IKY786466:ILB786466 IUU786466:IUX786466 JEQ786466:JET786466 JOM786466:JOP786466 JYI786466:JYL786466 KIE786466:KIH786466 KSA786466:KSD786466 LBW786466:LBZ786466 LLS786466:LLV786466 LVO786466:LVR786466 MFK786466:MFN786466 MPG786466:MPJ786466 MZC786466:MZF786466 NIY786466:NJB786466 NSU786466:NSX786466 OCQ786466:OCT786466 OMM786466:OMP786466 OWI786466:OWL786466 PGE786466:PGH786466 PQA786466:PQD786466 PZW786466:PZZ786466 QJS786466:QJV786466 QTO786466:QTR786466 RDK786466:RDN786466 RNG786466:RNJ786466 RXC786466:RXF786466 SGY786466:SHB786466 SQU786466:SQX786466 TAQ786466:TAT786466 TKM786466:TKP786466 TUI786466:TUL786466 UEE786466:UEH786466 UOA786466:UOD786466 UXW786466:UXZ786466 VHS786466:VHV786466 VRO786466:VRR786466 WBK786466:WBN786466 WLG786466:WLJ786466 WVC786466:WVF786466 AO852002:AR852002 IQ852002:IT852002 SM852002:SP852002 ACI852002:ACL852002 AME852002:AMH852002 AWA852002:AWD852002 BFW852002:BFZ852002 BPS852002:BPV852002 BZO852002:BZR852002 CJK852002:CJN852002 CTG852002:CTJ852002 DDC852002:DDF852002 DMY852002:DNB852002 DWU852002:DWX852002 EGQ852002:EGT852002 EQM852002:EQP852002 FAI852002:FAL852002 FKE852002:FKH852002 FUA852002:FUD852002 GDW852002:GDZ852002 GNS852002:GNV852002 GXO852002:GXR852002 HHK852002:HHN852002 HRG852002:HRJ852002 IBC852002:IBF852002 IKY852002:ILB852002 IUU852002:IUX852002 JEQ852002:JET852002 JOM852002:JOP852002 JYI852002:JYL852002 KIE852002:KIH852002 KSA852002:KSD852002 LBW852002:LBZ852002 LLS852002:LLV852002 LVO852002:LVR852002 MFK852002:MFN852002 MPG852002:MPJ852002 MZC852002:MZF852002 NIY852002:NJB852002 NSU852002:NSX852002 OCQ852002:OCT852002 OMM852002:OMP852002 OWI852002:OWL852002 PGE852002:PGH852002 PQA852002:PQD852002 PZW852002:PZZ852002 QJS852002:QJV852002 QTO852002:QTR852002 RDK852002:RDN852002 RNG852002:RNJ852002 RXC852002:RXF852002 SGY852002:SHB852002 SQU852002:SQX852002 TAQ852002:TAT852002 TKM852002:TKP852002 TUI852002:TUL852002 UEE852002:UEH852002 UOA852002:UOD852002 UXW852002:UXZ852002 VHS852002:VHV852002 VRO852002:VRR852002 WBK852002:WBN852002 WLG852002:WLJ852002 WVC852002:WVF852002 AO917538:AR917538 IQ917538:IT917538 SM917538:SP917538 ACI917538:ACL917538 AME917538:AMH917538 AWA917538:AWD917538 BFW917538:BFZ917538 BPS917538:BPV917538 BZO917538:BZR917538 CJK917538:CJN917538 CTG917538:CTJ917538 DDC917538:DDF917538 DMY917538:DNB917538 DWU917538:DWX917538 EGQ917538:EGT917538 EQM917538:EQP917538 FAI917538:FAL917538 FKE917538:FKH917538 FUA917538:FUD917538 GDW917538:GDZ917538 GNS917538:GNV917538 GXO917538:GXR917538 HHK917538:HHN917538 HRG917538:HRJ917538 IBC917538:IBF917538 IKY917538:ILB917538 IUU917538:IUX917538 JEQ917538:JET917538 JOM917538:JOP917538 JYI917538:JYL917538 KIE917538:KIH917538 KSA917538:KSD917538 LBW917538:LBZ917538 LLS917538:LLV917538 LVO917538:LVR917538 MFK917538:MFN917538 MPG917538:MPJ917538 MZC917538:MZF917538 NIY917538:NJB917538 NSU917538:NSX917538 OCQ917538:OCT917538 OMM917538:OMP917538 OWI917538:OWL917538 PGE917538:PGH917538 PQA917538:PQD917538 PZW917538:PZZ917538 QJS917538:QJV917538 QTO917538:QTR917538 RDK917538:RDN917538 RNG917538:RNJ917538 RXC917538:RXF917538 SGY917538:SHB917538 SQU917538:SQX917538 TAQ917538:TAT917538 TKM917538:TKP917538 TUI917538:TUL917538 UEE917538:UEH917538 UOA917538:UOD917538 UXW917538:UXZ917538 VHS917538:VHV917538 VRO917538:VRR917538 WBK917538:WBN917538 WLG917538:WLJ917538 WVC917538:WVF917538" xr:uid="{996E16F4-7283-4A3B-82B5-250897E5BBD4}">
      <formula1>"○, ○（オンライン処理設計書なし）"</formula1>
    </dataValidation>
    <dataValidation type="list" allowBlank="1" showInputMessage="1" showErrorMessage="1" sqref="AU41:AX44 IW41:IZ44 SS41:SV44 ACO41:ACR44 AMK41:AMN44 AWG41:AWJ44 BGC41:BGF44 BPY41:BQB44 BZU41:BZX44 CJQ41:CJT44 CTM41:CTP44 DDI41:DDL44 DNE41:DNH44 DXA41:DXD44 EGW41:EGZ44 EQS41:EQV44 FAO41:FAR44 FKK41:FKN44 FUG41:FUJ44 GEC41:GEF44 GNY41:GOB44 GXU41:GXX44 HHQ41:HHT44 HRM41:HRP44 IBI41:IBL44 ILE41:ILH44 IVA41:IVD44 JEW41:JEZ44 JOS41:JOV44 JYO41:JYR44 KIK41:KIN44 KSG41:KSJ44 LCC41:LCF44 LLY41:LMB44 LVU41:LVX44 MFQ41:MFT44 MPM41:MPP44 MZI41:MZL44 NJE41:NJH44 NTA41:NTD44 OCW41:OCZ44 OMS41:OMV44 OWO41:OWR44 PGK41:PGN44 PQG41:PQJ44 QAC41:QAF44 QJY41:QKB44 QTU41:QTX44 RDQ41:RDT44 RNM41:RNP44 RXI41:RXL44 SHE41:SHH44 SRA41:SRD44 TAW41:TAZ44 TKS41:TKV44 TUO41:TUR44 UEK41:UEN44 UOG41:UOJ44 UYC41:UYF44 VHY41:VIB44 VRU41:VRX44 WBQ41:WBT44 WLM41:WLP44 WVI41:WVL44 AU65577:AX65580 IW65577:IZ65580 SS65577:SV65580 ACO65577:ACR65580 AMK65577:AMN65580 AWG65577:AWJ65580 BGC65577:BGF65580 BPY65577:BQB65580 BZU65577:BZX65580 CJQ65577:CJT65580 CTM65577:CTP65580 DDI65577:DDL65580 DNE65577:DNH65580 DXA65577:DXD65580 EGW65577:EGZ65580 EQS65577:EQV65580 FAO65577:FAR65580 FKK65577:FKN65580 FUG65577:FUJ65580 GEC65577:GEF65580 GNY65577:GOB65580 GXU65577:GXX65580 HHQ65577:HHT65580 HRM65577:HRP65580 IBI65577:IBL65580 ILE65577:ILH65580 IVA65577:IVD65580 JEW65577:JEZ65580 JOS65577:JOV65580 JYO65577:JYR65580 KIK65577:KIN65580 KSG65577:KSJ65580 LCC65577:LCF65580 LLY65577:LMB65580 LVU65577:LVX65580 MFQ65577:MFT65580 MPM65577:MPP65580 MZI65577:MZL65580 NJE65577:NJH65580 NTA65577:NTD65580 OCW65577:OCZ65580 OMS65577:OMV65580 OWO65577:OWR65580 PGK65577:PGN65580 PQG65577:PQJ65580 QAC65577:QAF65580 QJY65577:QKB65580 QTU65577:QTX65580 RDQ65577:RDT65580 RNM65577:RNP65580 RXI65577:RXL65580 SHE65577:SHH65580 SRA65577:SRD65580 TAW65577:TAZ65580 TKS65577:TKV65580 TUO65577:TUR65580 UEK65577:UEN65580 UOG65577:UOJ65580 UYC65577:UYF65580 VHY65577:VIB65580 VRU65577:VRX65580 WBQ65577:WBT65580 WLM65577:WLP65580 WVI65577:WVL65580 AU131113:AX131116 IW131113:IZ131116 SS131113:SV131116 ACO131113:ACR131116 AMK131113:AMN131116 AWG131113:AWJ131116 BGC131113:BGF131116 BPY131113:BQB131116 BZU131113:BZX131116 CJQ131113:CJT131116 CTM131113:CTP131116 DDI131113:DDL131116 DNE131113:DNH131116 DXA131113:DXD131116 EGW131113:EGZ131116 EQS131113:EQV131116 FAO131113:FAR131116 FKK131113:FKN131116 FUG131113:FUJ131116 GEC131113:GEF131116 GNY131113:GOB131116 GXU131113:GXX131116 HHQ131113:HHT131116 HRM131113:HRP131116 IBI131113:IBL131116 ILE131113:ILH131116 IVA131113:IVD131116 JEW131113:JEZ131116 JOS131113:JOV131116 JYO131113:JYR131116 KIK131113:KIN131116 KSG131113:KSJ131116 LCC131113:LCF131116 LLY131113:LMB131116 LVU131113:LVX131116 MFQ131113:MFT131116 MPM131113:MPP131116 MZI131113:MZL131116 NJE131113:NJH131116 NTA131113:NTD131116 OCW131113:OCZ131116 OMS131113:OMV131116 OWO131113:OWR131116 PGK131113:PGN131116 PQG131113:PQJ131116 QAC131113:QAF131116 QJY131113:QKB131116 QTU131113:QTX131116 RDQ131113:RDT131116 RNM131113:RNP131116 RXI131113:RXL131116 SHE131113:SHH131116 SRA131113:SRD131116 TAW131113:TAZ131116 TKS131113:TKV131116 TUO131113:TUR131116 UEK131113:UEN131116 UOG131113:UOJ131116 UYC131113:UYF131116 VHY131113:VIB131116 VRU131113:VRX131116 WBQ131113:WBT131116 WLM131113:WLP131116 WVI131113:WVL131116 AU196649:AX196652 IW196649:IZ196652 SS196649:SV196652 ACO196649:ACR196652 AMK196649:AMN196652 AWG196649:AWJ196652 BGC196649:BGF196652 BPY196649:BQB196652 BZU196649:BZX196652 CJQ196649:CJT196652 CTM196649:CTP196652 DDI196649:DDL196652 DNE196649:DNH196652 DXA196649:DXD196652 EGW196649:EGZ196652 EQS196649:EQV196652 FAO196649:FAR196652 FKK196649:FKN196652 FUG196649:FUJ196652 GEC196649:GEF196652 GNY196649:GOB196652 GXU196649:GXX196652 HHQ196649:HHT196652 HRM196649:HRP196652 IBI196649:IBL196652 ILE196649:ILH196652 IVA196649:IVD196652 JEW196649:JEZ196652 JOS196649:JOV196652 JYO196649:JYR196652 KIK196649:KIN196652 KSG196649:KSJ196652 LCC196649:LCF196652 LLY196649:LMB196652 LVU196649:LVX196652 MFQ196649:MFT196652 MPM196649:MPP196652 MZI196649:MZL196652 NJE196649:NJH196652 NTA196649:NTD196652 OCW196649:OCZ196652 OMS196649:OMV196652 OWO196649:OWR196652 PGK196649:PGN196652 PQG196649:PQJ196652 QAC196649:QAF196652 QJY196649:QKB196652 QTU196649:QTX196652 RDQ196649:RDT196652 RNM196649:RNP196652 RXI196649:RXL196652 SHE196649:SHH196652 SRA196649:SRD196652 TAW196649:TAZ196652 TKS196649:TKV196652 TUO196649:TUR196652 UEK196649:UEN196652 UOG196649:UOJ196652 UYC196649:UYF196652 VHY196649:VIB196652 VRU196649:VRX196652 WBQ196649:WBT196652 WLM196649:WLP196652 WVI196649:WVL196652 AU262185:AX262188 IW262185:IZ262188 SS262185:SV262188 ACO262185:ACR262188 AMK262185:AMN262188 AWG262185:AWJ262188 BGC262185:BGF262188 BPY262185:BQB262188 BZU262185:BZX262188 CJQ262185:CJT262188 CTM262185:CTP262188 DDI262185:DDL262188 DNE262185:DNH262188 DXA262185:DXD262188 EGW262185:EGZ262188 EQS262185:EQV262188 FAO262185:FAR262188 FKK262185:FKN262188 FUG262185:FUJ262188 GEC262185:GEF262188 GNY262185:GOB262188 GXU262185:GXX262188 HHQ262185:HHT262188 HRM262185:HRP262188 IBI262185:IBL262188 ILE262185:ILH262188 IVA262185:IVD262188 JEW262185:JEZ262188 JOS262185:JOV262188 JYO262185:JYR262188 KIK262185:KIN262188 KSG262185:KSJ262188 LCC262185:LCF262188 LLY262185:LMB262188 LVU262185:LVX262188 MFQ262185:MFT262188 MPM262185:MPP262188 MZI262185:MZL262188 NJE262185:NJH262188 NTA262185:NTD262188 OCW262185:OCZ262188 OMS262185:OMV262188 OWO262185:OWR262188 PGK262185:PGN262188 PQG262185:PQJ262188 QAC262185:QAF262188 QJY262185:QKB262188 QTU262185:QTX262188 RDQ262185:RDT262188 RNM262185:RNP262188 RXI262185:RXL262188 SHE262185:SHH262188 SRA262185:SRD262188 TAW262185:TAZ262188 TKS262185:TKV262188 TUO262185:TUR262188 UEK262185:UEN262188 UOG262185:UOJ262188 UYC262185:UYF262188 VHY262185:VIB262188 VRU262185:VRX262188 WBQ262185:WBT262188 WLM262185:WLP262188 WVI262185:WVL262188 AU327721:AX327724 IW327721:IZ327724 SS327721:SV327724 ACO327721:ACR327724 AMK327721:AMN327724 AWG327721:AWJ327724 BGC327721:BGF327724 BPY327721:BQB327724 BZU327721:BZX327724 CJQ327721:CJT327724 CTM327721:CTP327724 DDI327721:DDL327724 DNE327721:DNH327724 DXA327721:DXD327724 EGW327721:EGZ327724 EQS327721:EQV327724 FAO327721:FAR327724 FKK327721:FKN327724 FUG327721:FUJ327724 GEC327721:GEF327724 GNY327721:GOB327724 GXU327721:GXX327724 HHQ327721:HHT327724 HRM327721:HRP327724 IBI327721:IBL327724 ILE327721:ILH327724 IVA327721:IVD327724 JEW327721:JEZ327724 JOS327721:JOV327724 JYO327721:JYR327724 KIK327721:KIN327724 KSG327721:KSJ327724 LCC327721:LCF327724 LLY327721:LMB327724 LVU327721:LVX327724 MFQ327721:MFT327724 MPM327721:MPP327724 MZI327721:MZL327724 NJE327721:NJH327724 NTA327721:NTD327724 OCW327721:OCZ327724 OMS327721:OMV327724 OWO327721:OWR327724 PGK327721:PGN327724 PQG327721:PQJ327724 QAC327721:QAF327724 QJY327721:QKB327724 QTU327721:QTX327724 RDQ327721:RDT327724 RNM327721:RNP327724 RXI327721:RXL327724 SHE327721:SHH327724 SRA327721:SRD327724 TAW327721:TAZ327724 TKS327721:TKV327724 TUO327721:TUR327724 UEK327721:UEN327724 UOG327721:UOJ327724 UYC327721:UYF327724 VHY327721:VIB327724 VRU327721:VRX327724 WBQ327721:WBT327724 WLM327721:WLP327724 WVI327721:WVL327724 AU393257:AX393260 IW393257:IZ393260 SS393257:SV393260 ACO393257:ACR393260 AMK393257:AMN393260 AWG393257:AWJ393260 BGC393257:BGF393260 BPY393257:BQB393260 BZU393257:BZX393260 CJQ393257:CJT393260 CTM393257:CTP393260 DDI393257:DDL393260 DNE393257:DNH393260 DXA393257:DXD393260 EGW393257:EGZ393260 EQS393257:EQV393260 FAO393257:FAR393260 FKK393257:FKN393260 FUG393257:FUJ393260 GEC393257:GEF393260 GNY393257:GOB393260 GXU393257:GXX393260 HHQ393257:HHT393260 HRM393257:HRP393260 IBI393257:IBL393260 ILE393257:ILH393260 IVA393257:IVD393260 JEW393257:JEZ393260 JOS393257:JOV393260 JYO393257:JYR393260 KIK393257:KIN393260 KSG393257:KSJ393260 LCC393257:LCF393260 LLY393257:LMB393260 LVU393257:LVX393260 MFQ393257:MFT393260 MPM393257:MPP393260 MZI393257:MZL393260 NJE393257:NJH393260 NTA393257:NTD393260 OCW393257:OCZ393260 OMS393257:OMV393260 OWO393257:OWR393260 PGK393257:PGN393260 PQG393257:PQJ393260 QAC393257:QAF393260 QJY393257:QKB393260 QTU393257:QTX393260 RDQ393257:RDT393260 RNM393257:RNP393260 RXI393257:RXL393260 SHE393257:SHH393260 SRA393257:SRD393260 TAW393257:TAZ393260 TKS393257:TKV393260 TUO393257:TUR393260 UEK393257:UEN393260 UOG393257:UOJ393260 UYC393257:UYF393260 VHY393257:VIB393260 VRU393257:VRX393260 WBQ393257:WBT393260 WLM393257:WLP393260 WVI393257:WVL393260 AU458793:AX458796 IW458793:IZ458796 SS458793:SV458796 ACO458793:ACR458796 AMK458793:AMN458796 AWG458793:AWJ458796 BGC458793:BGF458796 BPY458793:BQB458796 BZU458793:BZX458796 CJQ458793:CJT458796 CTM458793:CTP458796 DDI458793:DDL458796 DNE458793:DNH458796 DXA458793:DXD458796 EGW458793:EGZ458796 EQS458793:EQV458796 FAO458793:FAR458796 FKK458793:FKN458796 FUG458793:FUJ458796 GEC458793:GEF458796 GNY458793:GOB458796 GXU458793:GXX458796 HHQ458793:HHT458796 HRM458793:HRP458796 IBI458793:IBL458796 ILE458793:ILH458796 IVA458793:IVD458796 JEW458793:JEZ458796 JOS458793:JOV458796 JYO458793:JYR458796 KIK458793:KIN458796 KSG458793:KSJ458796 LCC458793:LCF458796 LLY458793:LMB458796 LVU458793:LVX458796 MFQ458793:MFT458796 MPM458793:MPP458796 MZI458793:MZL458796 NJE458793:NJH458796 NTA458793:NTD458796 OCW458793:OCZ458796 OMS458793:OMV458796 OWO458793:OWR458796 PGK458793:PGN458796 PQG458793:PQJ458796 QAC458793:QAF458796 QJY458793:QKB458796 QTU458793:QTX458796 RDQ458793:RDT458796 RNM458793:RNP458796 RXI458793:RXL458796 SHE458793:SHH458796 SRA458793:SRD458796 TAW458793:TAZ458796 TKS458793:TKV458796 TUO458793:TUR458796 UEK458793:UEN458796 UOG458793:UOJ458796 UYC458793:UYF458796 VHY458793:VIB458796 VRU458793:VRX458796 WBQ458793:WBT458796 WLM458793:WLP458796 WVI458793:WVL458796 AU524329:AX524332 IW524329:IZ524332 SS524329:SV524332 ACO524329:ACR524332 AMK524329:AMN524332 AWG524329:AWJ524332 BGC524329:BGF524332 BPY524329:BQB524332 BZU524329:BZX524332 CJQ524329:CJT524332 CTM524329:CTP524332 DDI524329:DDL524332 DNE524329:DNH524332 DXA524329:DXD524332 EGW524329:EGZ524332 EQS524329:EQV524332 FAO524329:FAR524332 FKK524329:FKN524332 FUG524329:FUJ524332 GEC524329:GEF524332 GNY524329:GOB524332 GXU524329:GXX524332 HHQ524329:HHT524332 HRM524329:HRP524332 IBI524329:IBL524332 ILE524329:ILH524332 IVA524329:IVD524332 JEW524329:JEZ524332 JOS524329:JOV524332 JYO524329:JYR524332 KIK524329:KIN524332 KSG524329:KSJ524332 LCC524329:LCF524332 LLY524329:LMB524332 LVU524329:LVX524332 MFQ524329:MFT524332 MPM524329:MPP524332 MZI524329:MZL524332 NJE524329:NJH524332 NTA524329:NTD524332 OCW524329:OCZ524332 OMS524329:OMV524332 OWO524329:OWR524332 PGK524329:PGN524332 PQG524329:PQJ524332 QAC524329:QAF524332 QJY524329:QKB524332 QTU524329:QTX524332 RDQ524329:RDT524332 RNM524329:RNP524332 RXI524329:RXL524332 SHE524329:SHH524332 SRA524329:SRD524332 TAW524329:TAZ524332 TKS524329:TKV524332 TUO524329:TUR524332 UEK524329:UEN524332 UOG524329:UOJ524332 UYC524329:UYF524332 VHY524329:VIB524332 VRU524329:VRX524332 WBQ524329:WBT524332 WLM524329:WLP524332 WVI524329:WVL524332 AU589865:AX589868 IW589865:IZ589868 SS589865:SV589868 ACO589865:ACR589868 AMK589865:AMN589868 AWG589865:AWJ589868 BGC589865:BGF589868 BPY589865:BQB589868 BZU589865:BZX589868 CJQ589865:CJT589868 CTM589865:CTP589868 DDI589865:DDL589868 DNE589865:DNH589868 DXA589865:DXD589868 EGW589865:EGZ589868 EQS589865:EQV589868 FAO589865:FAR589868 FKK589865:FKN589868 FUG589865:FUJ589868 GEC589865:GEF589868 GNY589865:GOB589868 GXU589865:GXX589868 HHQ589865:HHT589868 HRM589865:HRP589868 IBI589865:IBL589868 ILE589865:ILH589868 IVA589865:IVD589868 JEW589865:JEZ589868 JOS589865:JOV589868 JYO589865:JYR589868 KIK589865:KIN589868 KSG589865:KSJ589868 LCC589865:LCF589868 LLY589865:LMB589868 LVU589865:LVX589868 MFQ589865:MFT589868 MPM589865:MPP589868 MZI589865:MZL589868 NJE589865:NJH589868 NTA589865:NTD589868 OCW589865:OCZ589868 OMS589865:OMV589868 OWO589865:OWR589868 PGK589865:PGN589868 PQG589865:PQJ589868 QAC589865:QAF589868 QJY589865:QKB589868 QTU589865:QTX589868 RDQ589865:RDT589868 RNM589865:RNP589868 RXI589865:RXL589868 SHE589865:SHH589868 SRA589865:SRD589868 TAW589865:TAZ589868 TKS589865:TKV589868 TUO589865:TUR589868 UEK589865:UEN589868 UOG589865:UOJ589868 UYC589865:UYF589868 VHY589865:VIB589868 VRU589865:VRX589868 WBQ589865:WBT589868 WLM589865:WLP589868 WVI589865:WVL589868 AU655401:AX655404 IW655401:IZ655404 SS655401:SV655404 ACO655401:ACR655404 AMK655401:AMN655404 AWG655401:AWJ655404 BGC655401:BGF655404 BPY655401:BQB655404 BZU655401:BZX655404 CJQ655401:CJT655404 CTM655401:CTP655404 DDI655401:DDL655404 DNE655401:DNH655404 DXA655401:DXD655404 EGW655401:EGZ655404 EQS655401:EQV655404 FAO655401:FAR655404 FKK655401:FKN655404 FUG655401:FUJ655404 GEC655401:GEF655404 GNY655401:GOB655404 GXU655401:GXX655404 HHQ655401:HHT655404 HRM655401:HRP655404 IBI655401:IBL655404 ILE655401:ILH655404 IVA655401:IVD655404 JEW655401:JEZ655404 JOS655401:JOV655404 JYO655401:JYR655404 KIK655401:KIN655404 KSG655401:KSJ655404 LCC655401:LCF655404 LLY655401:LMB655404 LVU655401:LVX655404 MFQ655401:MFT655404 MPM655401:MPP655404 MZI655401:MZL655404 NJE655401:NJH655404 NTA655401:NTD655404 OCW655401:OCZ655404 OMS655401:OMV655404 OWO655401:OWR655404 PGK655401:PGN655404 PQG655401:PQJ655404 QAC655401:QAF655404 QJY655401:QKB655404 QTU655401:QTX655404 RDQ655401:RDT655404 RNM655401:RNP655404 RXI655401:RXL655404 SHE655401:SHH655404 SRA655401:SRD655404 TAW655401:TAZ655404 TKS655401:TKV655404 TUO655401:TUR655404 UEK655401:UEN655404 UOG655401:UOJ655404 UYC655401:UYF655404 VHY655401:VIB655404 VRU655401:VRX655404 WBQ655401:WBT655404 WLM655401:WLP655404 WVI655401:WVL655404 AU720937:AX720940 IW720937:IZ720940 SS720937:SV720940 ACO720937:ACR720940 AMK720937:AMN720940 AWG720937:AWJ720940 BGC720937:BGF720940 BPY720937:BQB720940 BZU720937:BZX720940 CJQ720937:CJT720940 CTM720937:CTP720940 DDI720937:DDL720940 DNE720937:DNH720940 DXA720937:DXD720940 EGW720937:EGZ720940 EQS720937:EQV720940 FAO720937:FAR720940 FKK720937:FKN720940 FUG720937:FUJ720940 GEC720937:GEF720940 GNY720937:GOB720940 GXU720937:GXX720940 HHQ720937:HHT720940 HRM720937:HRP720940 IBI720937:IBL720940 ILE720937:ILH720940 IVA720937:IVD720940 JEW720937:JEZ720940 JOS720937:JOV720940 JYO720937:JYR720940 KIK720937:KIN720940 KSG720937:KSJ720940 LCC720937:LCF720940 LLY720937:LMB720940 LVU720937:LVX720940 MFQ720937:MFT720940 MPM720937:MPP720940 MZI720937:MZL720940 NJE720937:NJH720940 NTA720937:NTD720940 OCW720937:OCZ720940 OMS720937:OMV720940 OWO720937:OWR720940 PGK720937:PGN720940 PQG720937:PQJ720940 QAC720937:QAF720940 QJY720937:QKB720940 QTU720937:QTX720940 RDQ720937:RDT720940 RNM720937:RNP720940 RXI720937:RXL720940 SHE720937:SHH720940 SRA720937:SRD720940 TAW720937:TAZ720940 TKS720937:TKV720940 TUO720937:TUR720940 UEK720937:UEN720940 UOG720937:UOJ720940 UYC720937:UYF720940 VHY720937:VIB720940 VRU720937:VRX720940 WBQ720937:WBT720940 WLM720937:WLP720940 WVI720937:WVL720940 AU786473:AX786476 IW786473:IZ786476 SS786473:SV786476 ACO786473:ACR786476 AMK786473:AMN786476 AWG786473:AWJ786476 BGC786473:BGF786476 BPY786473:BQB786476 BZU786473:BZX786476 CJQ786473:CJT786476 CTM786473:CTP786476 DDI786473:DDL786476 DNE786473:DNH786476 DXA786473:DXD786476 EGW786473:EGZ786476 EQS786473:EQV786476 FAO786473:FAR786476 FKK786473:FKN786476 FUG786473:FUJ786476 GEC786473:GEF786476 GNY786473:GOB786476 GXU786473:GXX786476 HHQ786473:HHT786476 HRM786473:HRP786476 IBI786473:IBL786476 ILE786473:ILH786476 IVA786473:IVD786476 JEW786473:JEZ786476 JOS786473:JOV786476 JYO786473:JYR786476 KIK786473:KIN786476 KSG786473:KSJ786476 LCC786473:LCF786476 LLY786473:LMB786476 LVU786473:LVX786476 MFQ786473:MFT786476 MPM786473:MPP786476 MZI786473:MZL786476 NJE786473:NJH786476 NTA786473:NTD786476 OCW786473:OCZ786476 OMS786473:OMV786476 OWO786473:OWR786476 PGK786473:PGN786476 PQG786473:PQJ786476 QAC786473:QAF786476 QJY786473:QKB786476 QTU786473:QTX786476 RDQ786473:RDT786476 RNM786473:RNP786476 RXI786473:RXL786476 SHE786473:SHH786476 SRA786473:SRD786476 TAW786473:TAZ786476 TKS786473:TKV786476 TUO786473:TUR786476 UEK786473:UEN786476 UOG786473:UOJ786476 UYC786473:UYF786476 VHY786473:VIB786476 VRU786473:VRX786476 WBQ786473:WBT786476 WLM786473:WLP786476 WVI786473:WVL786476 AU852009:AX852012 IW852009:IZ852012 SS852009:SV852012 ACO852009:ACR852012 AMK852009:AMN852012 AWG852009:AWJ852012 BGC852009:BGF852012 BPY852009:BQB852012 BZU852009:BZX852012 CJQ852009:CJT852012 CTM852009:CTP852012 DDI852009:DDL852012 DNE852009:DNH852012 DXA852009:DXD852012 EGW852009:EGZ852012 EQS852009:EQV852012 FAO852009:FAR852012 FKK852009:FKN852012 FUG852009:FUJ852012 GEC852009:GEF852012 GNY852009:GOB852012 GXU852009:GXX852012 HHQ852009:HHT852012 HRM852009:HRP852012 IBI852009:IBL852012 ILE852009:ILH852012 IVA852009:IVD852012 JEW852009:JEZ852012 JOS852009:JOV852012 JYO852009:JYR852012 KIK852009:KIN852012 KSG852009:KSJ852012 LCC852009:LCF852012 LLY852009:LMB852012 LVU852009:LVX852012 MFQ852009:MFT852012 MPM852009:MPP852012 MZI852009:MZL852012 NJE852009:NJH852012 NTA852009:NTD852012 OCW852009:OCZ852012 OMS852009:OMV852012 OWO852009:OWR852012 PGK852009:PGN852012 PQG852009:PQJ852012 QAC852009:QAF852012 QJY852009:QKB852012 QTU852009:QTX852012 RDQ852009:RDT852012 RNM852009:RNP852012 RXI852009:RXL852012 SHE852009:SHH852012 SRA852009:SRD852012 TAW852009:TAZ852012 TKS852009:TKV852012 TUO852009:TUR852012 UEK852009:UEN852012 UOG852009:UOJ852012 UYC852009:UYF852012 VHY852009:VIB852012 VRU852009:VRX852012 WBQ852009:WBT852012 WLM852009:WLP852012 WVI852009:WVL852012 AU917545:AX917548 IW917545:IZ917548 SS917545:SV917548 ACO917545:ACR917548 AMK917545:AMN917548 AWG917545:AWJ917548 BGC917545:BGF917548 BPY917545:BQB917548 BZU917545:BZX917548 CJQ917545:CJT917548 CTM917545:CTP917548 DDI917545:DDL917548 DNE917545:DNH917548 DXA917545:DXD917548 EGW917545:EGZ917548 EQS917545:EQV917548 FAO917545:FAR917548 FKK917545:FKN917548 FUG917545:FUJ917548 GEC917545:GEF917548 GNY917545:GOB917548 GXU917545:GXX917548 HHQ917545:HHT917548 HRM917545:HRP917548 IBI917545:IBL917548 ILE917545:ILH917548 IVA917545:IVD917548 JEW917545:JEZ917548 JOS917545:JOV917548 JYO917545:JYR917548 KIK917545:KIN917548 KSG917545:KSJ917548 LCC917545:LCF917548 LLY917545:LMB917548 LVU917545:LVX917548 MFQ917545:MFT917548 MPM917545:MPP917548 MZI917545:MZL917548 NJE917545:NJH917548 NTA917545:NTD917548 OCW917545:OCZ917548 OMS917545:OMV917548 OWO917545:OWR917548 PGK917545:PGN917548 PQG917545:PQJ917548 QAC917545:QAF917548 QJY917545:QKB917548 QTU917545:QTX917548 RDQ917545:RDT917548 RNM917545:RNP917548 RXI917545:RXL917548 SHE917545:SHH917548 SRA917545:SRD917548 TAW917545:TAZ917548 TKS917545:TKV917548 TUO917545:TUR917548 UEK917545:UEN917548 UOG917545:UOJ917548 UYC917545:UYF917548 VHY917545:VIB917548 VRU917545:VRX917548 WBQ917545:WBT917548 WLM917545:WLP917548 WVI917545:WVL917548 AU983081:AX983084 IW983081:IZ983084 SS983081:SV983084 ACO983081:ACR983084 AMK983081:AMN983084 AWG983081:AWJ983084 BGC983081:BGF983084 BPY983081:BQB983084 BZU983081:BZX983084 CJQ983081:CJT983084 CTM983081:CTP983084 DDI983081:DDL983084 DNE983081:DNH983084 DXA983081:DXD983084 EGW983081:EGZ983084 EQS983081:EQV983084 FAO983081:FAR983084 FKK983081:FKN983084 FUG983081:FUJ983084 GEC983081:GEF983084 GNY983081:GOB983084 GXU983081:GXX983084 HHQ983081:HHT983084 HRM983081:HRP983084 IBI983081:IBL983084 ILE983081:ILH983084 IVA983081:IVD983084 JEW983081:JEZ983084 JOS983081:JOV983084 JYO983081:JYR983084 KIK983081:KIN983084 KSG983081:KSJ983084 LCC983081:LCF983084 LLY983081:LMB983084 LVU983081:LVX983084 MFQ983081:MFT983084 MPM983081:MPP983084 MZI983081:MZL983084 NJE983081:NJH983084 NTA983081:NTD983084 OCW983081:OCZ983084 OMS983081:OMV983084 OWO983081:OWR983084 PGK983081:PGN983084 PQG983081:PQJ983084 QAC983081:QAF983084 QJY983081:QKB983084 QTU983081:QTX983084 RDQ983081:RDT983084 RNM983081:RNP983084 RXI983081:RXL983084 SHE983081:SHH983084 SRA983081:SRD983084 TAW983081:TAZ983084 TKS983081:TKV983084 TUO983081:TUR983084 UEK983081:UEN983084 UOG983081:UOJ983084 UYC983081:UYF983084 VHY983081:VIB983084 VRU983081:VRX983084 WBQ983081:WBT983084 WLM983081:WLP983084 WVI983081:WVL983084 AP65571:AS65571 IR65571:IU65571 SN65571:SQ65571 ACJ65571:ACM65571 AMF65571:AMI65571 AWB65571:AWE65571 BFX65571:BGA65571 BPT65571:BPW65571 BZP65571:BZS65571 CJL65571:CJO65571 CTH65571:CTK65571 DDD65571:DDG65571 DMZ65571:DNC65571 DWV65571:DWY65571 EGR65571:EGU65571 EQN65571:EQQ65571 FAJ65571:FAM65571 FKF65571:FKI65571 FUB65571:FUE65571 GDX65571:GEA65571 GNT65571:GNW65571 GXP65571:GXS65571 HHL65571:HHO65571 HRH65571:HRK65571 IBD65571:IBG65571 IKZ65571:ILC65571 IUV65571:IUY65571 JER65571:JEU65571 JON65571:JOQ65571 JYJ65571:JYM65571 KIF65571:KII65571 KSB65571:KSE65571 LBX65571:LCA65571 LLT65571:LLW65571 LVP65571:LVS65571 MFL65571:MFO65571 MPH65571:MPK65571 MZD65571:MZG65571 NIZ65571:NJC65571 NSV65571:NSY65571 OCR65571:OCU65571 OMN65571:OMQ65571 OWJ65571:OWM65571 PGF65571:PGI65571 PQB65571:PQE65571 PZX65571:QAA65571 QJT65571:QJW65571 QTP65571:QTS65571 RDL65571:RDO65571 RNH65571:RNK65571 RXD65571:RXG65571 SGZ65571:SHC65571 SQV65571:SQY65571 TAR65571:TAU65571 TKN65571:TKQ65571 TUJ65571:TUM65571 UEF65571:UEI65571 UOB65571:UOE65571 UXX65571:UYA65571 VHT65571:VHW65571 VRP65571:VRS65571 WBL65571:WBO65571 WLH65571:WLK65571 WVD65571:WVG65571 AP131107:AS131107 IR131107:IU131107 SN131107:SQ131107 ACJ131107:ACM131107 AMF131107:AMI131107 AWB131107:AWE131107 BFX131107:BGA131107 BPT131107:BPW131107 BZP131107:BZS131107 CJL131107:CJO131107 CTH131107:CTK131107 DDD131107:DDG131107 DMZ131107:DNC131107 DWV131107:DWY131107 EGR131107:EGU131107 EQN131107:EQQ131107 FAJ131107:FAM131107 FKF131107:FKI131107 FUB131107:FUE131107 GDX131107:GEA131107 GNT131107:GNW131107 GXP131107:GXS131107 HHL131107:HHO131107 HRH131107:HRK131107 IBD131107:IBG131107 IKZ131107:ILC131107 IUV131107:IUY131107 JER131107:JEU131107 JON131107:JOQ131107 JYJ131107:JYM131107 KIF131107:KII131107 KSB131107:KSE131107 LBX131107:LCA131107 LLT131107:LLW131107 LVP131107:LVS131107 MFL131107:MFO131107 MPH131107:MPK131107 MZD131107:MZG131107 NIZ131107:NJC131107 NSV131107:NSY131107 OCR131107:OCU131107 OMN131107:OMQ131107 OWJ131107:OWM131107 PGF131107:PGI131107 PQB131107:PQE131107 PZX131107:QAA131107 QJT131107:QJW131107 QTP131107:QTS131107 RDL131107:RDO131107 RNH131107:RNK131107 RXD131107:RXG131107 SGZ131107:SHC131107 SQV131107:SQY131107 TAR131107:TAU131107 TKN131107:TKQ131107 TUJ131107:TUM131107 UEF131107:UEI131107 UOB131107:UOE131107 UXX131107:UYA131107 VHT131107:VHW131107 VRP131107:VRS131107 WBL131107:WBO131107 WLH131107:WLK131107 WVD131107:WVG131107 AP196643:AS196643 IR196643:IU196643 SN196643:SQ196643 ACJ196643:ACM196643 AMF196643:AMI196643 AWB196643:AWE196643 BFX196643:BGA196643 BPT196643:BPW196643 BZP196643:BZS196643 CJL196643:CJO196643 CTH196643:CTK196643 DDD196643:DDG196643 DMZ196643:DNC196643 DWV196643:DWY196643 EGR196643:EGU196643 EQN196643:EQQ196643 FAJ196643:FAM196643 FKF196643:FKI196643 FUB196643:FUE196643 GDX196643:GEA196643 GNT196643:GNW196643 GXP196643:GXS196643 HHL196643:HHO196643 HRH196643:HRK196643 IBD196643:IBG196643 IKZ196643:ILC196643 IUV196643:IUY196643 JER196643:JEU196643 JON196643:JOQ196643 JYJ196643:JYM196643 KIF196643:KII196643 KSB196643:KSE196643 LBX196643:LCA196643 LLT196643:LLW196643 LVP196643:LVS196643 MFL196643:MFO196643 MPH196643:MPK196643 MZD196643:MZG196643 NIZ196643:NJC196643 NSV196643:NSY196643 OCR196643:OCU196643 OMN196643:OMQ196643 OWJ196643:OWM196643 PGF196643:PGI196643 PQB196643:PQE196643 PZX196643:QAA196643 QJT196643:QJW196643 QTP196643:QTS196643 RDL196643:RDO196643 RNH196643:RNK196643 RXD196643:RXG196643 SGZ196643:SHC196643 SQV196643:SQY196643 TAR196643:TAU196643 TKN196643:TKQ196643 TUJ196643:TUM196643 UEF196643:UEI196643 UOB196643:UOE196643 UXX196643:UYA196643 VHT196643:VHW196643 VRP196643:VRS196643 WBL196643:WBO196643 WLH196643:WLK196643 WVD196643:WVG196643 AP262179:AS262179 IR262179:IU262179 SN262179:SQ262179 ACJ262179:ACM262179 AMF262179:AMI262179 AWB262179:AWE262179 BFX262179:BGA262179 BPT262179:BPW262179 BZP262179:BZS262179 CJL262179:CJO262179 CTH262179:CTK262179 DDD262179:DDG262179 DMZ262179:DNC262179 DWV262179:DWY262179 EGR262179:EGU262179 EQN262179:EQQ262179 FAJ262179:FAM262179 FKF262179:FKI262179 FUB262179:FUE262179 GDX262179:GEA262179 GNT262179:GNW262179 GXP262179:GXS262179 HHL262179:HHO262179 HRH262179:HRK262179 IBD262179:IBG262179 IKZ262179:ILC262179 IUV262179:IUY262179 JER262179:JEU262179 JON262179:JOQ262179 JYJ262179:JYM262179 KIF262179:KII262179 KSB262179:KSE262179 LBX262179:LCA262179 LLT262179:LLW262179 LVP262179:LVS262179 MFL262179:MFO262179 MPH262179:MPK262179 MZD262179:MZG262179 NIZ262179:NJC262179 NSV262179:NSY262179 OCR262179:OCU262179 OMN262179:OMQ262179 OWJ262179:OWM262179 PGF262179:PGI262179 PQB262179:PQE262179 PZX262179:QAA262179 QJT262179:QJW262179 QTP262179:QTS262179 RDL262179:RDO262179 RNH262179:RNK262179 RXD262179:RXG262179 SGZ262179:SHC262179 SQV262179:SQY262179 TAR262179:TAU262179 TKN262179:TKQ262179 TUJ262179:TUM262179 UEF262179:UEI262179 UOB262179:UOE262179 UXX262179:UYA262179 VHT262179:VHW262179 VRP262179:VRS262179 WBL262179:WBO262179 WLH262179:WLK262179 WVD262179:WVG262179 AP327715:AS327715 IR327715:IU327715 SN327715:SQ327715 ACJ327715:ACM327715 AMF327715:AMI327715 AWB327715:AWE327715 BFX327715:BGA327715 BPT327715:BPW327715 BZP327715:BZS327715 CJL327715:CJO327715 CTH327715:CTK327715 DDD327715:DDG327715 DMZ327715:DNC327715 DWV327715:DWY327715 EGR327715:EGU327715 EQN327715:EQQ327715 FAJ327715:FAM327715 FKF327715:FKI327715 FUB327715:FUE327715 GDX327715:GEA327715 GNT327715:GNW327715 GXP327715:GXS327715 HHL327715:HHO327715 HRH327715:HRK327715 IBD327715:IBG327715 IKZ327715:ILC327715 IUV327715:IUY327715 JER327715:JEU327715 JON327715:JOQ327715 JYJ327715:JYM327715 KIF327715:KII327715 KSB327715:KSE327715 LBX327715:LCA327715 LLT327715:LLW327715 LVP327715:LVS327715 MFL327715:MFO327715 MPH327715:MPK327715 MZD327715:MZG327715 NIZ327715:NJC327715 NSV327715:NSY327715 OCR327715:OCU327715 OMN327715:OMQ327715 OWJ327715:OWM327715 PGF327715:PGI327715 PQB327715:PQE327715 PZX327715:QAA327715 QJT327715:QJW327715 QTP327715:QTS327715 RDL327715:RDO327715 RNH327715:RNK327715 RXD327715:RXG327715 SGZ327715:SHC327715 SQV327715:SQY327715 TAR327715:TAU327715 TKN327715:TKQ327715 TUJ327715:TUM327715 UEF327715:UEI327715 UOB327715:UOE327715 UXX327715:UYA327715 VHT327715:VHW327715 VRP327715:VRS327715 WBL327715:WBO327715 WLH327715:WLK327715 WVD327715:WVG327715 AP393251:AS393251 IR393251:IU393251 SN393251:SQ393251 ACJ393251:ACM393251 AMF393251:AMI393251 AWB393251:AWE393251 BFX393251:BGA393251 BPT393251:BPW393251 BZP393251:BZS393251 CJL393251:CJO393251 CTH393251:CTK393251 DDD393251:DDG393251 DMZ393251:DNC393251 DWV393251:DWY393251 EGR393251:EGU393251 EQN393251:EQQ393251 FAJ393251:FAM393251 FKF393251:FKI393251 FUB393251:FUE393251 GDX393251:GEA393251 GNT393251:GNW393251 GXP393251:GXS393251 HHL393251:HHO393251 HRH393251:HRK393251 IBD393251:IBG393251 IKZ393251:ILC393251 IUV393251:IUY393251 JER393251:JEU393251 JON393251:JOQ393251 JYJ393251:JYM393251 KIF393251:KII393251 KSB393251:KSE393251 LBX393251:LCA393251 LLT393251:LLW393251 LVP393251:LVS393251 MFL393251:MFO393251 MPH393251:MPK393251 MZD393251:MZG393251 NIZ393251:NJC393251 NSV393251:NSY393251 OCR393251:OCU393251 OMN393251:OMQ393251 OWJ393251:OWM393251 PGF393251:PGI393251 PQB393251:PQE393251 PZX393251:QAA393251 QJT393251:QJW393251 QTP393251:QTS393251 RDL393251:RDO393251 RNH393251:RNK393251 RXD393251:RXG393251 SGZ393251:SHC393251 SQV393251:SQY393251 TAR393251:TAU393251 TKN393251:TKQ393251 TUJ393251:TUM393251 UEF393251:UEI393251 UOB393251:UOE393251 UXX393251:UYA393251 VHT393251:VHW393251 VRP393251:VRS393251 WBL393251:WBO393251 WLH393251:WLK393251 WVD393251:WVG393251 AP458787:AS458787 IR458787:IU458787 SN458787:SQ458787 ACJ458787:ACM458787 AMF458787:AMI458787 AWB458787:AWE458787 BFX458787:BGA458787 BPT458787:BPW458787 BZP458787:BZS458787 CJL458787:CJO458787 CTH458787:CTK458787 DDD458787:DDG458787 DMZ458787:DNC458787 DWV458787:DWY458787 EGR458787:EGU458787 EQN458787:EQQ458787 FAJ458787:FAM458787 FKF458787:FKI458787 FUB458787:FUE458787 GDX458787:GEA458787 GNT458787:GNW458787 GXP458787:GXS458787 HHL458787:HHO458787 HRH458787:HRK458787 IBD458787:IBG458787 IKZ458787:ILC458787 IUV458787:IUY458787 JER458787:JEU458787 JON458787:JOQ458787 JYJ458787:JYM458787 KIF458787:KII458787 KSB458787:KSE458787 LBX458787:LCA458787 LLT458787:LLW458787 LVP458787:LVS458787 MFL458787:MFO458787 MPH458787:MPK458787 MZD458787:MZG458787 NIZ458787:NJC458787 NSV458787:NSY458787 OCR458787:OCU458787 OMN458787:OMQ458787 OWJ458787:OWM458787 PGF458787:PGI458787 PQB458787:PQE458787 PZX458787:QAA458787 QJT458787:QJW458787 QTP458787:QTS458787 RDL458787:RDO458787 RNH458787:RNK458787 RXD458787:RXG458787 SGZ458787:SHC458787 SQV458787:SQY458787 TAR458787:TAU458787 TKN458787:TKQ458787 TUJ458787:TUM458787 UEF458787:UEI458787 UOB458787:UOE458787 UXX458787:UYA458787 VHT458787:VHW458787 VRP458787:VRS458787 WBL458787:WBO458787 WLH458787:WLK458787 WVD458787:WVG458787 AP524323:AS524323 IR524323:IU524323 SN524323:SQ524323 ACJ524323:ACM524323 AMF524323:AMI524323 AWB524323:AWE524323 BFX524323:BGA524323 BPT524323:BPW524323 BZP524323:BZS524323 CJL524323:CJO524323 CTH524323:CTK524323 DDD524323:DDG524323 DMZ524323:DNC524323 DWV524323:DWY524323 EGR524323:EGU524323 EQN524323:EQQ524323 FAJ524323:FAM524323 FKF524323:FKI524323 FUB524323:FUE524323 GDX524323:GEA524323 GNT524323:GNW524323 GXP524323:GXS524323 HHL524323:HHO524323 HRH524323:HRK524323 IBD524323:IBG524323 IKZ524323:ILC524323 IUV524323:IUY524323 JER524323:JEU524323 JON524323:JOQ524323 JYJ524323:JYM524323 KIF524323:KII524323 KSB524323:KSE524323 LBX524323:LCA524323 LLT524323:LLW524323 LVP524323:LVS524323 MFL524323:MFO524323 MPH524323:MPK524323 MZD524323:MZG524323 NIZ524323:NJC524323 NSV524323:NSY524323 OCR524323:OCU524323 OMN524323:OMQ524323 OWJ524323:OWM524323 PGF524323:PGI524323 PQB524323:PQE524323 PZX524323:QAA524323 QJT524323:QJW524323 QTP524323:QTS524323 RDL524323:RDO524323 RNH524323:RNK524323 RXD524323:RXG524323 SGZ524323:SHC524323 SQV524323:SQY524323 TAR524323:TAU524323 TKN524323:TKQ524323 TUJ524323:TUM524323 UEF524323:UEI524323 UOB524323:UOE524323 UXX524323:UYA524323 VHT524323:VHW524323 VRP524323:VRS524323 WBL524323:WBO524323 WLH524323:WLK524323 WVD524323:WVG524323 AP589859:AS589859 IR589859:IU589859 SN589859:SQ589859 ACJ589859:ACM589859 AMF589859:AMI589859 AWB589859:AWE589859 BFX589859:BGA589859 BPT589859:BPW589859 BZP589859:BZS589859 CJL589859:CJO589859 CTH589859:CTK589859 DDD589859:DDG589859 DMZ589859:DNC589859 DWV589859:DWY589859 EGR589859:EGU589859 EQN589859:EQQ589859 FAJ589859:FAM589859 FKF589859:FKI589859 FUB589859:FUE589859 GDX589859:GEA589859 GNT589859:GNW589859 GXP589859:GXS589859 HHL589859:HHO589859 HRH589859:HRK589859 IBD589859:IBG589859 IKZ589859:ILC589859 IUV589859:IUY589859 JER589859:JEU589859 JON589859:JOQ589859 JYJ589859:JYM589859 KIF589859:KII589859 KSB589859:KSE589859 LBX589859:LCA589859 LLT589859:LLW589859 LVP589859:LVS589859 MFL589859:MFO589859 MPH589859:MPK589859 MZD589859:MZG589859 NIZ589859:NJC589859 NSV589859:NSY589859 OCR589859:OCU589859 OMN589859:OMQ589859 OWJ589859:OWM589859 PGF589859:PGI589859 PQB589859:PQE589859 PZX589859:QAA589859 QJT589859:QJW589859 QTP589859:QTS589859 RDL589859:RDO589859 RNH589859:RNK589859 RXD589859:RXG589859 SGZ589859:SHC589859 SQV589859:SQY589859 TAR589859:TAU589859 TKN589859:TKQ589859 TUJ589859:TUM589859 UEF589859:UEI589859 UOB589859:UOE589859 UXX589859:UYA589859 VHT589859:VHW589859 VRP589859:VRS589859 WBL589859:WBO589859 WLH589859:WLK589859 WVD589859:WVG589859 AP655395:AS655395 IR655395:IU655395 SN655395:SQ655395 ACJ655395:ACM655395 AMF655395:AMI655395 AWB655395:AWE655395 BFX655395:BGA655395 BPT655395:BPW655395 BZP655395:BZS655395 CJL655395:CJO655395 CTH655395:CTK655395 DDD655395:DDG655395 DMZ655395:DNC655395 DWV655395:DWY655395 EGR655395:EGU655395 EQN655395:EQQ655395 FAJ655395:FAM655395 FKF655395:FKI655395 FUB655395:FUE655395 GDX655395:GEA655395 GNT655395:GNW655395 GXP655395:GXS655395 HHL655395:HHO655395 HRH655395:HRK655395 IBD655395:IBG655395 IKZ655395:ILC655395 IUV655395:IUY655395 JER655395:JEU655395 JON655395:JOQ655395 JYJ655395:JYM655395 KIF655395:KII655395 KSB655395:KSE655395 LBX655395:LCA655395 LLT655395:LLW655395 LVP655395:LVS655395 MFL655395:MFO655395 MPH655395:MPK655395 MZD655395:MZG655395 NIZ655395:NJC655395 NSV655395:NSY655395 OCR655395:OCU655395 OMN655395:OMQ655395 OWJ655395:OWM655395 PGF655395:PGI655395 PQB655395:PQE655395 PZX655395:QAA655395 QJT655395:QJW655395 QTP655395:QTS655395 RDL655395:RDO655395 RNH655395:RNK655395 RXD655395:RXG655395 SGZ655395:SHC655395 SQV655395:SQY655395 TAR655395:TAU655395 TKN655395:TKQ655395 TUJ655395:TUM655395 UEF655395:UEI655395 UOB655395:UOE655395 UXX655395:UYA655395 VHT655395:VHW655395 VRP655395:VRS655395 WBL655395:WBO655395 WLH655395:WLK655395 WVD655395:WVG655395 AP720931:AS720931 IR720931:IU720931 SN720931:SQ720931 ACJ720931:ACM720931 AMF720931:AMI720931 AWB720931:AWE720931 BFX720931:BGA720931 BPT720931:BPW720931 BZP720931:BZS720931 CJL720931:CJO720931 CTH720931:CTK720931 DDD720931:DDG720931 DMZ720931:DNC720931 DWV720931:DWY720931 EGR720931:EGU720931 EQN720931:EQQ720931 FAJ720931:FAM720931 FKF720931:FKI720931 FUB720931:FUE720931 GDX720931:GEA720931 GNT720931:GNW720931 GXP720931:GXS720931 HHL720931:HHO720931 HRH720931:HRK720931 IBD720931:IBG720931 IKZ720931:ILC720931 IUV720931:IUY720931 JER720931:JEU720931 JON720931:JOQ720931 JYJ720931:JYM720931 KIF720931:KII720931 KSB720931:KSE720931 LBX720931:LCA720931 LLT720931:LLW720931 LVP720931:LVS720931 MFL720931:MFO720931 MPH720931:MPK720931 MZD720931:MZG720931 NIZ720931:NJC720931 NSV720931:NSY720931 OCR720931:OCU720931 OMN720931:OMQ720931 OWJ720931:OWM720931 PGF720931:PGI720931 PQB720931:PQE720931 PZX720931:QAA720931 QJT720931:QJW720931 QTP720931:QTS720931 RDL720931:RDO720931 RNH720931:RNK720931 RXD720931:RXG720931 SGZ720931:SHC720931 SQV720931:SQY720931 TAR720931:TAU720931 TKN720931:TKQ720931 TUJ720931:TUM720931 UEF720931:UEI720931 UOB720931:UOE720931 UXX720931:UYA720931 VHT720931:VHW720931 VRP720931:VRS720931 WBL720931:WBO720931 WLH720931:WLK720931 WVD720931:WVG720931 AP786467:AS786467 IR786467:IU786467 SN786467:SQ786467 ACJ786467:ACM786467 AMF786467:AMI786467 AWB786467:AWE786467 BFX786467:BGA786467 BPT786467:BPW786467 BZP786467:BZS786467 CJL786467:CJO786467 CTH786467:CTK786467 DDD786467:DDG786467 DMZ786467:DNC786467 DWV786467:DWY786467 EGR786467:EGU786467 EQN786467:EQQ786467 FAJ786467:FAM786467 FKF786467:FKI786467 FUB786467:FUE786467 GDX786467:GEA786467 GNT786467:GNW786467 GXP786467:GXS786467 HHL786467:HHO786467 HRH786467:HRK786467 IBD786467:IBG786467 IKZ786467:ILC786467 IUV786467:IUY786467 JER786467:JEU786467 JON786467:JOQ786467 JYJ786467:JYM786467 KIF786467:KII786467 KSB786467:KSE786467 LBX786467:LCA786467 LLT786467:LLW786467 LVP786467:LVS786467 MFL786467:MFO786467 MPH786467:MPK786467 MZD786467:MZG786467 NIZ786467:NJC786467 NSV786467:NSY786467 OCR786467:OCU786467 OMN786467:OMQ786467 OWJ786467:OWM786467 PGF786467:PGI786467 PQB786467:PQE786467 PZX786467:QAA786467 QJT786467:QJW786467 QTP786467:QTS786467 RDL786467:RDO786467 RNH786467:RNK786467 RXD786467:RXG786467 SGZ786467:SHC786467 SQV786467:SQY786467 TAR786467:TAU786467 TKN786467:TKQ786467 TUJ786467:TUM786467 UEF786467:UEI786467 UOB786467:UOE786467 UXX786467:UYA786467 VHT786467:VHW786467 VRP786467:VRS786467 WBL786467:WBO786467 WLH786467:WLK786467 WVD786467:WVG786467 AP852003:AS852003 IR852003:IU852003 SN852003:SQ852003 ACJ852003:ACM852003 AMF852003:AMI852003 AWB852003:AWE852003 BFX852003:BGA852003 BPT852003:BPW852003 BZP852003:BZS852003 CJL852003:CJO852003 CTH852003:CTK852003 DDD852003:DDG852003 DMZ852003:DNC852003 DWV852003:DWY852003 EGR852003:EGU852003 EQN852003:EQQ852003 FAJ852003:FAM852003 FKF852003:FKI852003 FUB852003:FUE852003 GDX852003:GEA852003 GNT852003:GNW852003 GXP852003:GXS852003 HHL852003:HHO852003 HRH852003:HRK852003 IBD852003:IBG852003 IKZ852003:ILC852003 IUV852003:IUY852003 JER852003:JEU852003 JON852003:JOQ852003 JYJ852003:JYM852003 KIF852003:KII852003 KSB852003:KSE852003 LBX852003:LCA852003 LLT852003:LLW852003 LVP852003:LVS852003 MFL852003:MFO852003 MPH852003:MPK852003 MZD852003:MZG852003 NIZ852003:NJC852003 NSV852003:NSY852003 OCR852003:OCU852003 OMN852003:OMQ852003 OWJ852003:OWM852003 PGF852003:PGI852003 PQB852003:PQE852003 PZX852003:QAA852003 QJT852003:QJW852003 QTP852003:QTS852003 RDL852003:RDO852003 RNH852003:RNK852003 RXD852003:RXG852003 SGZ852003:SHC852003 SQV852003:SQY852003 TAR852003:TAU852003 TKN852003:TKQ852003 TUJ852003:TUM852003 UEF852003:UEI852003 UOB852003:UOE852003 UXX852003:UYA852003 VHT852003:VHW852003 VRP852003:VRS852003 WBL852003:WBO852003 WLH852003:WLK852003 WVD852003:WVG852003 AP917539:AS917539 IR917539:IU917539 SN917539:SQ917539 ACJ917539:ACM917539 AMF917539:AMI917539 AWB917539:AWE917539 BFX917539:BGA917539 BPT917539:BPW917539 BZP917539:BZS917539 CJL917539:CJO917539 CTH917539:CTK917539 DDD917539:DDG917539 DMZ917539:DNC917539 DWV917539:DWY917539 EGR917539:EGU917539 EQN917539:EQQ917539 FAJ917539:FAM917539 FKF917539:FKI917539 FUB917539:FUE917539 GDX917539:GEA917539 GNT917539:GNW917539 GXP917539:GXS917539 HHL917539:HHO917539 HRH917539:HRK917539 IBD917539:IBG917539 IKZ917539:ILC917539 IUV917539:IUY917539 JER917539:JEU917539 JON917539:JOQ917539 JYJ917539:JYM917539 KIF917539:KII917539 KSB917539:KSE917539 LBX917539:LCA917539 LLT917539:LLW917539 LVP917539:LVS917539 MFL917539:MFO917539 MPH917539:MPK917539 MZD917539:MZG917539 NIZ917539:NJC917539 NSV917539:NSY917539 OCR917539:OCU917539 OMN917539:OMQ917539 OWJ917539:OWM917539 PGF917539:PGI917539 PQB917539:PQE917539 PZX917539:QAA917539 QJT917539:QJW917539 QTP917539:QTS917539 RDL917539:RDO917539 RNH917539:RNK917539 RXD917539:RXG917539 SGZ917539:SHC917539 SQV917539:SQY917539 TAR917539:TAU917539 TKN917539:TKQ917539 TUJ917539:TUM917539 UEF917539:UEI917539 UOB917539:UOE917539 UXX917539:UYA917539 VHT917539:VHW917539 VRP917539:VRS917539 WBL917539:WBO917539 WLH917539:WLK917539 WVD917539:WVG917539 AP983075:AS983075 IR983075:IU983075 SN983075:SQ983075 ACJ983075:ACM983075 AMF983075:AMI983075 AWB983075:AWE983075 BFX983075:BGA983075 BPT983075:BPW983075 BZP983075:BZS983075 CJL983075:CJO983075 CTH983075:CTK983075 DDD983075:DDG983075 DMZ983075:DNC983075 DWV983075:DWY983075 EGR983075:EGU983075 EQN983075:EQQ983075 FAJ983075:FAM983075 FKF983075:FKI983075 FUB983075:FUE983075 GDX983075:GEA983075 GNT983075:GNW983075 GXP983075:GXS983075 HHL983075:HHO983075 HRH983075:HRK983075 IBD983075:IBG983075 IKZ983075:ILC983075 IUV983075:IUY983075 JER983075:JEU983075 JON983075:JOQ983075 JYJ983075:JYM983075 KIF983075:KII983075 KSB983075:KSE983075 LBX983075:LCA983075 LLT983075:LLW983075 LVP983075:LVS983075 MFL983075:MFO983075 MPH983075:MPK983075 MZD983075:MZG983075 NIZ983075:NJC983075 NSV983075:NSY983075 OCR983075:OCU983075 OMN983075:OMQ983075 OWJ983075:OWM983075 PGF983075:PGI983075 PQB983075:PQE983075 PZX983075:QAA983075 QJT983075:QJW983075 QTP983075:QTS983075 RDL983075:RDO983075 RNH983075:RNK983075 RXD983075:RXG983075 SGZ983075:SHC983075 SQV983075:SQY983075 TAR983075:TAU983075 TKN983075:TKQ983075 TUJ983075:TUM983075 UEF983075:UEI983075 UOB983075:UOE983075 UXX983075:UYA983075 VHT983075:VHW983075 VRP983075:VRS983075 WBL983075:WBO983075 WLH983075:WLK983075 WVD983075:WVG983075 AK983074:AN983074 IM983074:IP983074 SI983074:SL983074 ACE983074:ACH983074 AMA983074:AMD983074 AVW983074:AVZ983074 BFS983074:BFV983074 BPO983074:BPR983074 BZK983074:BZN983074 CJG983074:CJJ983074 CTC983074:CTF983074 DCY983074:DDB983074 DMU983074:DMX983074 DWQ983074:DWT983074 EGM983074:EGP983074 EQI983074:EQL983074 FAE983074:FAH983074 FKA983074:FKD983074 FTW983074:FTZ983074 GDS983074:GDV983074 GNO983074:GNR983074 GXK983074:GXN983074 HHG983074:HHJ983074 HRC983074:HRF983074 IAY983074:IBB983074 IKU983074:IKX983074 IUQ983074:IUT983074 JEM983074:JEP983074 JOI983074:JOL983074 JYE983074:JYH983074 KIA983074:KID983074 KRW983074:KRZ983074 LBS983074:LBV983074 LLO983074:LLR983074 LVK983074:LVN983074 MFG983074:MFJ983074 MPC983074:MPF983074 MYY983074:MZB983074 NIU983074:NIX983074 NSQ983074:NST983074 OCM983074:OCP983074 OMI983074:OML983074 OWE983074:OWH983074 PGA983074:PGD983074 PPW983074:PPZ983074 PZS983074:PZV983074 QJO983074:QJR983074 QTK983074:QTN983074 RDG983074:RDJ983074 RNC983074:RNF983074 RWY983074:RXB983074 SGU983074:SGX983074 SQQ983074:SQT983074 TAM983074:TAP983074 TKI983074:TKL983074 TUE983074:TUH983074 UEA983074:UED983074 UNW983074:UNZ983074 UXS983074:UXV983074 VHO983074:VHR983074 VRK983074:VRN983074 WBG983074:WBJ983074 WLC983074:WLF983074 WUY983074:WVB983074 AK65570:AN65570 IM65570:IP65570 SI65570:SL65570 ACE65570:ACH65570 AMA65570:AMD65570 AVW65570:AVZ65570 BFS65570:BFV65570 BPO65570:BPR65570 BZK65570:BZN65570 CJG65570:CJJ65570 CTC65570:CTF65570 DCY65570:DDB65570 DMU65570:DMX65570 DWQ65570:DWT65570 EGM65570:EGP65570 EQI65570:EQL65570 FAE65570:FAH65570 FKA65570:FKD65570 FTW65570:FTZ65570 GDS65570:GDV65570 GNO65570:GNR65570 GXK65570:GXN65570 HHG65570:HHJ65570 HRC65570:HRF65570 IAY65570:IBB65570 IKU65570:IKX65570 IUQ65570:IUT65570 JEM65570:JEP65570 JOI65570:JOL65570 JYE65570:JYH65570 KIA65570:KID65570 KRW65570:KRZ65570 LBS65570:LBV65570 LLO65570:LLR65570 LVK65570:LVN65570 MFG65570:MFJ65570 MPC65570:MPF65570 MYY65570:MZB65570 NIU65570:NIX65570 NSQ65570:NST65570 OCM65570:OCP65570 OMI65570:OML65570 OWE65570:OWH65570 PGA65570:PGD65570 PPW65570:PPZ65570 PZS65570:PZV65570 QJO65570:QJR65570 QTK65570:QTN65570 RDG65570:RDJ65570 RNC65570:RNF65570 RWY65570:RXB65570 SGU65570:SGX65570 SQQ65570:SQT65570 TAM65570:TAP65570 TKI65570:TKL65570 TUE65570:TUH65570 UEA65570:UED65570 UNW65570:UNZ65570 UXS65570:UXV65570 VHO65570:VHR65570 VRK65570:VRN65570 WBG65570:WBJ65570 WLC65570:WLF65570 WUY65570:WVB65570 AK131106:AN131106 IM131106:IP131106 SI131106:SL131106 ACE131106:ACH131106 AMA131106:AMD131106 AVW131106:AVZ131106 BFS131106:BFV131106 BPO131106:BPR131106 BZK131106:BZN131106 CJG131106:CJJ131106 CTC131106:CTF131106 DCY131106:DDB131106 DMU131106:DMX131106 DWQ131106:DWT131106 EGM131106:EGP131106 EQI131106:EQL131106 FAE131106:FAH131106 FKA131106:FKD131106 FTW131106:FTZ131106 GDS131106:GDV131106 GNO131106:GNR131106 GXK131106:GXN131106 HHG131106:HHJ131106 HRC131106:HRF131106 IAY131106:IBB131106 IKU131106:IKX131106 IUQ131106:IUT131106 JEM131106:JEP131106 JOI131106:JOL131106 JYE131106:JYH131106 KIA131106:KID131106 KRW131106:KRZ131106 LBS131106:LBV131106 LLO131106:LLR131106 LVK131106:LVN131106 MFG131106:MFJ131106 MPC131106:MPF131106 MYY131106:MZB131106 NIU131106:NIX131106 NSQ131106:NST131106 OCM131106:OCP131106 OMI131106:OML131106 OWE131106:OWH131106 PGA131106:PGD131106 PPW131106:PPZ131106 PZS131106:PZV131106 QJO131106:QJR131106 QTK131106:QTN131106 RDG131106:RDJ131106 RNC131106:RNF131106 RWY131106:RXB131106 SGU131106:SGX131106 SQQ131106:SQT131106 TAM131106:TAP131106 TKI131106:TKL131106 TUE131106:TUH131106 UEA131106:UED131106 UNW131106:UNZ131106 UXS131106:UXV131106 VHO131106:VHR131106 VRK131106:VRN131106 WBG131106:WBJ131106 WLC131106:WLF131106 WUY131106:WVB131106 AK196642:AN196642 IM196642:IP196642 SI196642:SL196642 ACE196642:ACH196642 AMA196642:AMD196642 AVW196642:AVZ196642 BFS196642:BFV196642 BPO196642:BPR196642 BZK196642:BZN196642 CJG196642:CJJ196642 CTC196642:CTF196642 DCY196642:DDB196642 DMU196642:DMX196642 DWQ196642:DWT196642 EGM196642:EGP196642 EQI196642:EQL196642 FAE196642:FAH196642 FKA196642:FKD196642 FTW196642:FTZ196642 GDS196642:GDV196642 GNO196642:GNR196642 GXK196642:GXN196642 HHG196642:HHJ196642 HRC196642:HRF196642 IAY196642:IBB196642 IKU196642:IKX196642 IUQ196642:IUT196642 JEM196642:JEP196642 JOI196642:JOL196642 JYE196642:JYH196642 KIA196642:KID196642 KRW196642:KRZ196642 LBS196642:LBV196642 LLO196642:LLR196642 LVK196642:LVN196642 MFG196642:MFJ196642 MPC196642:MPF196642 MYY196642:MZB196642 NIU196642:NIX196642 NSQ196642:NST196642 OCM196642:OCP196642 OMI196642:OML196642 OWE196642:OWH196642 PGA196642:PGD196642 PPW196642:PPZ196642 PZS196642:PZV196642 QJO196642:QJR196642 QTK196642:QTN196642 RDG196642:RDJ196642 RNC196642:RNF196642 RWY196642:RXB196642 SGU196642:SGX196642 SQQ196642:SQT196642 TAM196642:TAP196642 TKI196642:TKL196642 TUE196642:TUH196642 UEA196642:UED196642 UNW196642:UNZ196642 UXS196642:UXV196642 VHO196642:VHR196642 VRK196642:VRN196642 WBG196642:WBJ196642 WLC196642:WLF196642 WUY196642:WVB196642 AK262178:AN262178 IM262178:IP262178 SI262178:SL262178 ACE262178:ACH262178 AMA262178:AMD262178 AVW262178:AVZ262178 BFS262178:BFV262178 BPO262178:BPR262178 BZK262178:BZN262178 CJG262178:CJJ262178 CTC262178:CTF262178 DCY262178:DDB262178 DMU262178:DMX262178 DWQ262178:DWT262178 EGM262178:EGP262178 EQI262178:EQL262178 FAE262178:FAH262178 FKA262178:FKD262178 FTW262178:FTZ262178 GDS262178:GDV262178 GNO262178:GNR262178 GXK262178:GXN262178 HHG262178:HHJ262178 HRC262178:HRF262178 IAY262178:IBB262178 IKU262178:IKX262178 IUQ262178:IUT262178 JEM262178:JEP262178 JOI262178:JOL262178 JYE262178:JYH262178 KIA262178:KID262178 KRW262178:KRZ262178 LBS262178:LBV262178 LLO262178:LLR262178 LVK262178:LVN262178 MFG262178:MFJ262178 MPC262178:MPF262178 MYY262178:MZB262178 NIU262178:NIX262178 NSQ262178:NST262178 OCM262178:OCP262178 OMI262178:OML262178 OWE262178:OWH262178 PGA262178:PGD262178 PPW262178:PPZ262178 PZS262178:PZV262178 QJO262178:QJR262178 QTK262178:QTN262178 RDG262178:RDJ262178 RNC262178:RNF262178 RWY262178:RXB262178 SGU262178:SGX262178 SQQ262178:SQT262178 TAM262178:TAP262178 TKI262178:TKL262178 TUE262178:TUH262178 UEA262178:UED262178 UNW262178:UNZ262178 UXS262178:UXV262178 VHO262178:VHR262178 VRK262178:VRN262178 WBG262178:WBJ262178 WLC262178:WLF262178 WUY262178:WVB262178 AK327714:AN327714 IM327714:IP327714 SI327714:SL327714 ACE327714:ACH327714 AMA327714:AMD327714 AVW327714:AVZ327714 BFS327714:BFV327714 BPO327714:BPR327714 BZK327714:BZN327714 CJG327714:CJJ327714 CTC327714:CTF327714 DCY327714:DDB327714 DMU327714:DMX327714 DWQ327714:DWT327714 EGM327714:EGP327714 EQI327714:EQL327714 FAE327714:FAH327714 FKA327714:FKD327714 FTW327714:FTZ327714 GDS327714:GDV327714 GNO327714:GNR327714 GXK327714:GXN327714 HHG327714:HHJ327714 HRC327714:HRF327714 IAY327714:IBB327714 IKU327714:IKX327714 IUQ327714:IUT327714 JEM327714:JEP327714 JOI327714:JOL327714 JYE327714:JYH327714 KIA327714:KID327714 KRW327714:KRZ327714 LBS327714:LBV327714 LLO327714:LLR327714 LVK327714:LVN327714 MFG327714:MFJ327714 MPC327714:MPF327714 MYY327714:MZB327714 NIU327714:NIX327714 NSQ327714:NST327714 OCM327714:OCP327714 OMI327714:OML327714 OWE327714:OWH327714 PGA327714:PGD327714 PPW327714:PPZ327714 PZS327714:PZV327714 QJO327714:QJR327714 QTK327714:QTN327714 RDG327714:RDJ327714 RNC327714:RNF327714 RWY327714:RXB327714 SGU327714:SGX327714 SQQ327714:SQT327714 TAM327714:TAP327714 TKI327714:TKL327714 TUE327714:TUH327714 UEA327714:UED327714 UNW327714:UNZ327714 UXS327714:UXV327714 VHO327714:VHR327714 VRK327714:VRN327714 WBG327714:WBJ327714 WLC327714:WLF327714 WUY327714:WVB327714 AK393250:AN393250 IM393250:IP393250 SI393250:SL393250 ACE393250:ACH393250 AMA393250:AMD393250 AVW393250:AVZ393250 BFS393250:BFV393250 BPO393250:BPR393250 BZK393250:BZN393250 CJG393250:CJJ393250 CTC393250:CTF393250 DCY393250:DDB393250 DMU393250:DMX393250 DWQ393250:DWT393250 EGM393250:EGP393250 EQI393250:EQL393250 FAE393250:FAH393250 FKA393250:FKD393250 FTW393250:FTZ393250 GDS393250:GDV393250 GNO393250:GNR393250 GXK393250:GXN393250 HHG393250:HHJ393250 HRC393250:HRF393250 IAY393250:IBB393250 IKU393250:IKX393250 IUQ393250:IUT393250 JEM393250:JEP393250 JOI393250:JOL393250 JYE393250:JYH393250 KIA393250:KID393250 KRW393250:KRZ393250 LBS393250:LBV393250 LLO393250:LLR393250 LVK393250:LVN393250 MFG393250:MFJ393250 MPC393250:MPF393250 MYY393250:MZB393250 NIU393250:NIX393250 NSQ393250:NST393250 OCM393250:OCP393250 OMI393250:OML393250 OWE393250:OWH393250 PGA393250:PGD393250 PPW393250:PPZ393250 PZS393250:PZV393250 QJO393250:QJR393250 QTK393250:QTN393250 RDG393250:RDJ393250 RNC393250:RNF393250 RWY393250:RXB393250 SGU393250:SGX393250 SQQ393250:SQT393250 TAM393250:TAP393250 TKI393250:TKL393250 TUE393250:TUH393250 UEA393250:UED393250 UNW393250:UNZ393250 UXS393250:UXV393250 VHO393250:VHR393250 VRK393250:VRN393250 WBG393250:WBJ393250 WLC393250:WLF393250 WUY393250:WVB393250 AK458786:AN458786 IM458786:IP458786 SI458786:SL458786 ACE458786:ACH458786 AMA458786:AMD458786 AVW458786:AVZ458786 BFS458786:BFV458786 BPO458786:BPR458786 BZK458786:BZN458786 CJG458786:CJJ458786 CTC458786:CTF458786 DCY458786:DDB458786 DMU458786:DMX458786 DWQ458786:DWT458786 EGM458786:EGP458786 EQI458786:EQL458786 FAE458786:FAH458786 FKA458786:FKD458786 FTW458786:FTZ458786 GDS458786:GDV458786 GNO458786:GNR458786 GXK458786:GXN458786 HHG458786:HHJ458786 HRC458786:HRF458786 IAY458786:IBB458786 IKU458786:IKX458786 IUQ458786:IUT458786 JEM458786:JEP458786 JOI458786:JOL458786 JYE458786:JYH458786 KIA458786:KID458786 KRW458786:KRZ458786 LBS458786:LBV458786 LLO458786:LLR458786 LVK458786:LVN458786 MFG458786:MFJ458786 MPC458786:MPF458786 MYY458786:MZB458786 NIU458786:NIX458786 NSQ458786:NST458786 OCM458786:OCP458786 OMI458786:OML458786 OWE458786:OWH458786 PGA458786:PGD458786 PPW458786:PPZ458786 PZS458786:PZV458786 QJO458786:QJR458786 QTK458786:QTN458786 RDG458786:RDJ458786 RNC458786:RNF458786 RWY458786:RXB458786 SGU458786:SGX458786 SQQ458786:SQT458786 TAM458786:TAP458786 TKI458786:TKL458786 TUE458786:TUH458786 UEA458786:UED458786 UNW458786:UNZ458786 UXS458786:UXV458786 VHO458786:VHR458786 VRK458786:VRN458786 WBG458786:WBJ458786 WLC458786:WLF458786 WUY458786:WVB458786 AK524322:AN524322 IM524322:IP524322 SI524322:SL524322 ACE524322:ACH524322 AMA524322:AMD524322 AVW524322:AVZ524322 BFS524322:BFV524322 BPO524322:BPR524322 BZK524322:BZN524322 CJG524322:CJJ524322 CTC524322:CTF524322 DCY524322:DDB524322 DMU524322:DMX524322 DWQ524322:DWT524322 EGM524322:EGP524322 EQI524322:EQL524322 FAE524322:FAH524322 FKA524322:FKD524322 FTW524322:FTZ524322 GDS524322:GDV524322 GNO524322:GNR524322 GXK524322:GXN524322 HHG524322:HHJ524322 HRC524322:HRF524322 IAY524322:IBB524322 IKU524322:IKX524322 IUQ524322:IUT524322 JEM524322:JEP524322 JOI524322:JOL524322 JYE524322:JYH524322 KIA524322:KID524322 KRW524322:KRZ524322 LBS524322:LBV524322 LLO524322:LLR524322 LVK524322:LVN524322 MFG524322:MFJ524322 MPC524322:MPF524322 MYY524322:MZB524322 NIU524322:NIX524322 NSQ524322:NST524322 OCM524322:OCP524322 OMI524322:OML524322 OWE524322:OWH524322 PGA524322:PGD524322 PPW524322:PPZ524322 PZS524322:PZV524322 QJO524322:QJR524322 QTK524322:QTN524322 RDG524322:RDJ524322 RNC524322:RNF524322 RWY524322:RXB524322 SGU524322:SGX524322 SQQ524322:SQT524322 TAM524322:TAP524322 TKI524322:TKL524322 TUE524322:TUH524322 UEA524322:UED524322 UNW524322:UNZ524322 UXS524322:UXV524322 VHO524322:VHR524322 VRK524322:VRN524322 WBG524322:WBJ524322 WLC524322:WLF524322 WUY524322:WVB524322 AK589858:AN589858 IM589858:IP589858 SI589858:SL589858 ACE589858:ACH589858 AMA589858:AMD589858 AVW589858:AVZ589858 BFS589858:BFV589858 BPO589858:BPR589858 BZK589858:BZN589858 CJG589858:CJJ589858 CTC589858:CTF589858 DCY589858:DDB589858 DMU589858:DMX589858 DWQ589858:DWT589858 EGM589858:EGP589858 EQI589858:EQL589858 FAE589858:FAH589858 FKA589858:FKD589858 FTW589858:FTZ589858 GDS589858:GDV589858 GNO589858:GNR589858 GXK589858:GXN589858 HHG589858:HHJ589858 HRC589858:HRF589858 IAY589858:IBB589858 IKU589858:IKX589858 IUQ589858:IUT589858 JEM589858:JEP589858 JOI589858:JOL589858 JYE589858:JYH589858 KIA589858:KID589858 KRW589858:KRZ589858 LBS589858:LBV589858 LLO589858:LLR589858 LVK589858:LVN589858 MFG589858:MFJ589858 MPC589858:MPF589858 MYY589858:MZB589858 NIU589858:NIX589858 NSQ589858:NST589858 OCM589858:OCP589858 OMI589858:OML589858 OWE589858:OWH589858 PGA589858:PGD589858 PPW589858:PPZ589858 PZS589858:PZV589858 QJO589858:QJR589858 QTK589858:QTN589858 RDG589858:RDJ589858 RNC589858:RNF589858 RWY589858:RXB589858 SGU589858:SGX589858 SQQ589858:SQT589858 TAM589858:TAP589858 TKI589858:TKL589858 TUE589858:TUH589858 UEA589858:UED589858 UNW589858:UNZ589858 UXS589858:UXV589858 VHO589858:VHR589858 VRK589858:VRN589858 WBG589858:WBJ589858 WLC589858:WLF589858 WUY589858:WVB589858 AK655394:AN655394 IM655394:IP655394 SI655394:SL655394 ACE655394:ACH655394 AMA655394:AMD655394 AVW655394:AVZ655394 BFS655394:BFV655394 BPO655394:BPR655394 BZK655394:BZN655394 CJG655394:CJJ655394 CTC655394:CTF655394 DCY655394:DDB655394 DMU655394:DMX655394 DWQ655394:DWT655394 EGM655394:EGP655394 EQI655394:EQL655394 FAE655394:FAH655394 FKA655394:FKD655394 FTW655394:FTZ655394 GDS655394:GDV655394 GNO655394:GNR655394 GXK655394:GXN655394 HHG655394:HHJ655394 HRC655394:HRF655394 IAY655394:IBB655394 IKU655394:IKX655394 IUQ655394:IUT655394 JEM655394:JEP655394 JOI655394:JOL655394 JYE655394:JYH655394 KIA655394:KID655394 KRW655394:KRZ655394 LBS655394:LBV655394 LLO655394:LLR655394 LVK655394:LVN655394 MFG655394:MFJ655394 MPC655394:MPF655394 MYY655394:MZB655394 NIU655394:NIX655394 NSQ655394:NST655394 OCM655394:OCP655394 OMI655394:OML655394 OWE655394:OWH655394 PGA655394:PGD655394 PPW655394:PPZ655394 PZS655394:PZV655394 QJO655394:QJR655394 QTK655394:QTN655394 RDG655394:RDJ655394 RNC655394:RNF655394 RWY655394:RXB655394 SGU655394:SGX655394 SQQ655394:SQT655394 TAM655394:TAP655394 TKI655394:TKL655394 TUE655394:TUH655394 UEA655394:UED655394 UNW655394:UNZ655394 UXS655394:UXV655394 VHO655394:VHR655394 VRK655394:VRN655394 WBG655394:WBJ655394 WLC655394:WLF655394 WUY655394:WVB655394 AK720930:AN720930 IM720930:IP720930 SI720930:SL720930 ACE720930:ACH720930 AMA720930:AMD720930 AVW720930:AVZ720930 BFS720930:BFV720930 BPO720930:BPR720930 BZK720930:BZN720930 CJG720930:CJJ720930 CTC720930:CTF720930 DCY720930:DDB720930 DMU720930:DMX720930 DWQ720930:DWT720930 EGM720930:EGP720930 EQI720930:EQL720930 FAE720930:FAH720930 FKA720930:FKD720930 FTW720930:FTZ720930 GDS720930:GDV720930 GNO720930:GNR720930 GXK720930:GXN720930 HHG720930:HHJ720930 HRC720930:HRF720930 IAY720930:IBB720930 IKU720930:IKX720930 IUQ720930:IUT720930 JEM720930:JEP720930 JOI720930:JOL720930 JYE720930:JYH720930 KIA720930:KID720930 KRW720930:KRZ720930 LBS720930:LBV720930 LLO720930:LLR720930 LVK720930:LVN720930 MFG720930:MFJ720930 MPC720930:MPF720930 MYY720930:MZB720930 NIU720930:NIX720930 NSQ720930:NST720930 OCM720930:OCP720930 OMI720930:OML720930 OWE720930:OWH720930 PGA720930:PGD720930 PPW720930:PPZ720930 PZS720930:PZV720930 QJO720930:QJR720930 QTK720930:QTN720930 RDG720930:RDJ720930 RNC720930:RNF720930 RWY720930:RXB720930 SGU720930:SGX720930 SQQ720930:SQT720930 TAM720930:TAP720930 TKI720930:TKL720930 TUE720930:TUH720930 UEA720930:UED720930 UNW720930:UNZ720930 UXS720930:UXV720930 VHO720930:VHR720930 VRK720930:VRN720930 WBG720930:WBJ720930 WLC720930:WLF720930 WUY720930:WVB720930 AK786466:AN786466 IM786466:IP786466 SI786466:SL786466 ACE786466:ACH786466 AMA786466:AMD786466 AVW786466:AVZ786466 BFS786466:BFV786466 BPO786466:BPR786466 BZK786466:BZN786466 CJG786466:CJJ786466 CTC786466:CTF786466 DCY786466:DDB786466 DMU786466:DMX786466 DWQ786466:DWT786466 EGM786466:EGP786466 EQI786466:EQL786466 FAE786466:FAH786466 FKA786466:FKD786466 FTW786466:FTZ786466 GDS786466:GDV786466 GNO786466:GNR786466 GXK786466:GXN786466 HHG786466:HHJ786466 HRC786466:HRF786466 IAY786466:IBB786466 IKU786466:IKX786466 IUQ786466:IUT786466 JEM786466:JEP786466 JOI786466:JOL786466 JYE786466:JYH786466 KIA786466:KID786466 KRW786466:KRZ786466 LBS786466:LBV786466 LLO786466:LLR786466 LVK786466:LVN786466 MFG786466:MFJ786466 MPC786466:MPF786466 MYY786466:MZB786466 NIU786466:NIX786466 NSQ786466:NST786466 OCM786466:OCP786466 OMI786466:OML786466 OWE786466:OWH786466 PGA786466:PGD786466 PPW786466:PPZ786466 PZS786466:PZV786466 QJO786466:QJR786466 QTK786466:QTN786466 RDG786466:RDJ786466 RNC786466:RNF786466 RWY786466:RXB786466 SGU786466:SGX786466 SQQ786466:SQT786466 TAM786466:TAP786466 TKI786466:TKL786466 TUE786466:TUH786466 UEA786466:UED786466 UNW786466:UNZ786466 UXS786466:UXV786466 VHO786466:VHR786466 VRK786466:VRN786466 WBG786466:WBJ786466 WLC786466:WLF786466 WUY786466:WVB786466 AK852002:AN852002 IM852002:IP852002 SI852002:SL852002 ACE852002:ACH852002 AMA852002:AMD852002 AVW852002:AVZ852002 BFS852002:BFV852002 BPO852002:BPR852002 BZK852002:BZN852002 CJG852002:CJJ852002 CTC852002:CTF852002 DCY852002:DDB852002 DMU852002:DMX852002 DWQ852002:DWT852002 EGM852002:EGP852002 EQI852002:EQL852002 FAE852002:FAH852002 FKA852002:FKD852002 FTW852002:FTZ852002 GDS852002:GDV852002 GNO852002:GNR852002 GXK852002:GXN852002 HHG852002:HHJ852002 HRC852002:HRF852002 IAY852002:IBB852002 IKU852002:IKX852002 IUQ852002:IUT852002 JEM852002:JEP852002 JOI852002:JOL852002 JYE852002:JYH852002 KIA852002:KID852002 KRW852002:KRZ852002 LBS852002:LBV852002 LLO852002:LLR852002 LVK852002:LVN852002 MFG852002:MFJ852002 MPC852002:MPF852002 MYY852002:MZB852002 NIU852002:NIX852002 NSQ852002:NST852002 OCM852002:OCP852002 OMI852002:OML852002 OWE852002:OWH852002 PGA852002:PGD852002 PPW852002:PPZ852002 PZS852002:PZV852002 QJO852002:QJR852002 QTK852002:QTN852002 RDG852002:RDJ852002 RNC852002:RNF852002 RWY852002:RXB852002 SGU852002:SGX852002 SQQ852002:SQT852002 TAM852002:TAP852002 TKI852002:TKL852002 TUE852002:TUH852002 UEA852002:UED852002 UNW852002:UNZ852002 UXS852002:UXV852002 VHO852002:VHR852002 VRK852002:VRN852002 WBG852002:WBJ852002 WLC852002:WLF852002 WUY852002:WVB852002 AK917538:AN917538 IM917538:IP917538 SI917538:SL917538 ACE917538:ACH917538 AMA917538:AMD917538 AVW917538:AVZ917538 BFS917538:BFV917538 BPO917538:BPR917538 BZK917538:BZN917538 CJG917538:CJJ917538 CTC917538:CTF917538 DCY917538:DDB917538 DMU917538:DMX917538 DWQ917538:DWT917538 EGM917538:EGP917538 EQI917538:EQL917538 FAE917538:FAH917538 FKA917538:FKD917538 FTW917538:FTZ917538 GDS917538:GDV917538 GNO917538:GNR917538 GXK917538:GXN917538 HHG917538:HHJ917538 HRC917538:HRF917538 IAY917538:IBB917538 IKU917538:IKX917538 IUQ917538:IUT917538 JEM917538:JEP917538 JOI917538:JOL917538 JYE917538:JYH917538 KIA917538:KID917538 KRW917538:KRZ917538 LBS917538:LBV917538 LLO917538:LLR917538 LVK917538:LVN917538 MFG917538:MFJ917538 MPC917538:MPF917538 MYY917538:MZB917538 NIU917538:NIX917538 NSQ917538:NST917538 OCM917538:OCP917538 OMI917538:OML917538 OWE917538:OWH917538 PGA917538:PGD917538 PPW917538:PPZ917538 PZS917538:PZV917538 QJO917538:QJR917538 QTK917538:QTN917538 RDG917538:RDJ917538 RNC917538:RNF917538 RWY917538:RXB917538 SGU917538:SGX917538 SQQ917538:SQT917538 TAM917538:TAP917538 TKI917538:TKL917538 TUE917538:TUH917538 UEA917538:UED917538 UNW917538:UNZ917538 UXS917538:UXV917538 VHO917538:VHR917538 VRK917538:VRN917538 WBG917538:WBJ917538 WLC917538:WLF917538 WUY917538:WVB917538" xr:uid="{19876C68-309A-4E27-9488-5B0BD1A5E560}">
      <formula1>"○"</formula1>
    </dataValidation>
    <dataValidation type="list" allowBlank="1" showInputMessage="1" showErrorMessage="1" sqref="WUE983027:WUO983064 WKI983027:WKS983064 Q65523:AA65560 HS65523:IC65560 RO65523:RY65560 ABK65523:ABU65560 ALG65523:ALQ65560 AVC65523:AVM65560 BEY65523:BFI65560 BOU65523:BPE65560 BYQ65523:BZA65560 CIM65523:CIW65560 CSI65523:CSS65560 DCE65523:DCO65560 DMA65523:DMK65560 DVW65523:DWG65560 EFS65523:EGC65560 EPO65523:EPY65560 EZK65523:EZU65560 FJG65523:FJQ65560 FTC65523:FTM65560 GCY65523:GDI65560 GMU65523:GNE65560 GWQ65523:GXA65560 HGM65523:HGW65560 HQI65523:HQS65560 IAE65523:IAO65560 IKA65523:IKK65560 ITW65523:IUG65560 JDS65523:JEC65560 JNO65523:JNY65560 JXK65523:JXU65560 KHG65523:KHQ65560 KRC65523:KRM65560 LAY65523:LBI65560 LKU65523:LLE65560 LUQ65523:LVA65560 MEM65523:MEW65560 MOI65523:MOS65560 MYE65523:MYO65560 NIA65523:NIK65560 NRW65523:NSG65560 OBS65523:OCC65560 OLO65523:OLY65560 OVK65523:OVU65560 PFG65523:PFQ65560 PPC65523:PPM65560 PYY65523:PZI65560 QIU65523:QJE65560 QSQ65523:QTA65560 RCM65523:RCW65560 RMI65523:RMS65560 RWE65523:RWO65560 SGA65523:SGK65560 SPW65523:SQG65560 SZS65523:TAC65560 TJO65523:TJY65560 TTK65523:TTU65560 UDG65523:UDQ65560 UNC65523:UNM65560 UWY65523:UXI65560 VGU65523:VHE65560 VQQ65523:VRA65560 WAM65523:WAW65560 WKI65523:WKS65560 WUE65523:WUO65560 Q131059:AA131096 HS131059:IC131096 RO131059:RY131096 ABK131059:ABU131096 ALG131059:ALQ131096 AVC131059:AVM131096 BEY131059:BFI131096 BOU131059:BPE131096 BYQ131059:BZA131096 CIM131059:CIW131096 CSI131059:CSS131096 DCE131059:DCO131096 DMA131059:DMK131096 DVW131059:DWG131096 EFS131059:EGC131096 EPO131059:EPY131096 EZK131059:EZU131096 FJG131059:FJQ131096 FTC131059:FTM131096 GCY131059:GDI131096 GMU131059:GNE131096 GWQ131059:GXA131096 HGM131059:HGW131096 HQI131059:HQS131096 IAE131059:IAO131096 IKA131059:IKK131096 ITW131059:IUG131096 JDS131059:JEC131096 JNO131059:JNY131096 JXK131059:JXU131096 KHG131059:KHQ131096 KRC131059:KRM131096 LAY131059:LBI131096 LKU131059:LLE131096 LUQ131059:LVA131096 MEM131059:MEW131096 MOI131059:MOS131096 MYE131059:MYO131096 NIA131059:NIK131096 NRW131059:NSG131096 OBS131059:OCC131096 OLO131059:OLY131096 OVK131059:OVU131096 PFG131059:PFQ131096 PPC131059:PPM131096 PYY131059:PZI131096 QIU131059:QJE131096 QSQ131059:QTA131096 RCM131059:RCW131096 RMI131059:RMS131096 RWE131059:RWO131096 SGA131059:SGK131096 SPW131059:SQG131096 SZS131059:TAC131096 TJO131059:TJY131096 TTK131059:TTU131096 UDG131059:UDQ131096 UNC131059:UNM131096 UWY131059:UXI131096 VGU131059:VHE131096 VQQ131059:VRA131096 WAM131059:WAW131096 WKI131059:WKS131096 WUE131059:WUO131096 Q196595:AA196632 HS196595:IC196632 RO196595:RY196632 ABK196595:ABU196632 ALG196595:ALQ196632 AVC196595:AVM196632 BEY196595:BFI196632 BOU196595:BPE196632 BYQ196595:BZA196632 CIM196595:CIW196632 CSI196595:CSS196632 DCE196595:DCO196632 DMA196595:DMK196632 DVW196595:DWG196632 EFS196595:EGC196632 EPO196595:EPY196632 EZK196595:EZU196632 FJG196595:FJQ196632 FTC196595:FTM196632 GCY196595:GDI196632 GMU196595:GNE196632 GWQ196595:GXA196632 HGM196595:HGW196632 HQI196595:HQS196632 IAE196595:IAO196632 IKA196595:IKK196632 ITW196595:IUG196632 JDS196595:JEC196632 JNO196595:JNY196632 JXK196595:JXU196632 KHG196595:KHQ196632 KRC196595:KRM196632 LAY196595:LBI196632 LKU196595:LLE196632 LUQ196595:LVA196632 MEM196595:MEW196632 MOI196595:MOS196632 MYE196595:MYO196632 NIA196595:NIK196632 NRW196595:NSG196632 OBS196595:OCC196632 OLO196595:OLY196632 OVK196595:OVU196632 PFG196595:PFQ196632 PPC196595:PPM196632 PYY196595:PZI196632 QIU196595:QJE196632 QSQ196595:QTA196632 RCM196595:RCW196632 RMI196595:RMS196632 RWE196595:RWO196632 SGA196595:SGK196632 SPW196595:SQG196632 SZS196595:TAC196632 TJO196595:TJY196632 TTK196595:TTU196632 UDG196595:UDQ196632 UNC196595:UNM196632 UWY196595:UXI196632 VGU196595:VHE196632 VQQ196595:VRA196632 WAM196595:WAW196632 WKI196595:WKS196632 WUE196595:WUO196632 Q262131:AA262168 HS262131:IC262168 RO262131:RY262168 ABK262131:ABU262168 ALG262131:ALQ262168 AVC262131:AVM262168 BEY262131:BFI262168 BOU262131:BPE262168 BYQ262131:BZA262168 CIM262131:CIW262168 CSI262131:CSS262168 DCE262131:DCO262168 DMA262131:DMK262168 DVW262131:DWG262168 EFS262131:EGC262168 EPO262131:EPY262168 EZK262131:EZU262168 FJG262131:FJQ262168 FTC262131:FTM262168 GCY262131:GDI262168 GMU262131:GNE262168 GWQ262131:GXA262168 HGM262131:HGW262168 HQI262131:HQS262168 IAE262131:IAO262168 IKA262131:IKK262168 ITW262131:IUG262168 JDS262131:JEC262168 JNO262131:JNY262168 JXK262131:JXU262168 KHG262131:KHQ262168 KRC262131:KRM262168 LAY262131:LBI262168 LKU262131:LLE262168 LUQ262131:LVA262168 MEM262131:MEW262168 MOI262131:MOS262168 MYE262131:MYO262168 NIA262131:NIK262168 NRW262131:NSG262168 OBS262131:OCC262168 OLO262131:OLY262168 OVK262131:OVU262168 PFG262131:PFQ262168 PPC262131:PPM262168 PYY262131:PZI262168 QIU262131:QJE262168 QSQ262131:QTA262168 RCM262131:RCW262168 RMI262131:RMS262168 RWE262131:RWO262168 SGA262131:SGK262168 SPW262131:SQG262168 SZS262131:TAC262168 TJO262131:TJY262168 TTK262131:TTU262168 UDG262131:UDQ262168 UNC262131:UNM262168 UWY262131:UXI262168 VGU262131:VHE262168 VQQ262131:VRA262168 WAM262131:WAW262168 WKI262131:WKS262168 WUE262131:WUO262168 Q327667:AA327704 HS327667:IC327704 RO327667:RY327704 ABK327667:ABU327704 ALG327667:ALQ327704 AVC327667:AVM327704 BEY327667:BFI327704 BOU327667:BPE327704 BYQ327667:BZA327704 CIM327667:CIW327704 CSI327667:CSS327704 DCE327667:DCO327704 DMA327667:DMK327704 DVW327667:DWG327704 EFS327667:EGC327704 EPO327667:EPY327704 EZK327667:EZU327704 FJG327667:FJQ327704 FTC327667:FTM327704 GCY327667:GDI327704 GMU327667:GNE327704 GWQ327667:GXA327704 HGM327667:HGW327704 HQI327667:HQS327704 IAE327667:IAO327704 IKA327667:IKK327704 ITW327667:IUG327704 JDS327667:JEC327704 JNO327667:JNY327704 JXK327667:JXU327704 KHG327667:KHQ327704 KRC327667:KRM327704 LAY327667:LBI327704 LKU327667:LLE327704 LUQ327667:LVA327704 MEM327667:MEW327704 MOI327667:MOS327704 MYE327667:MYO327704 NIA327667:NIK327704 NRW327667:NSG327704 OBS327667:OCC327704 OLO327667:OLY327704 OVK327667:OVU327704 PFG327667:PFQ327704 PPC327667:PPM327704 PYY327667:PZI327704 QIU327667:QJE327704 QSQ327667:QTA327704 RCM327667:RCW327704 RMI327667:RMS327704 RWE327667:RWO327704 SGA327667:SGK327704 SPW327667:SQG327704 SZS327667:TAC327704 TJO327667:TJY327704 TTK327667:TTU327704 UDG327667:UDQ327704 UNC327667:UNM327704 UWY327667:UXI327704 VGU327667:VHE327704 VQQ327667:VRA327704 WAM327667:WAW327704 WKI327667:WKS327704 WUE327667:WUO327704 Q393203:AA393240 HS393203:IC393240 RO393203:RY393240 ABK393203:ABU393240 ALG393203:ALQ393240 AVC393203:AVM393240 BEY393203:BFI393240 BOU393203:BPE393240 BYQ393203:BZA393240 CIM393203:CIW393240 CSI393203:CSS393240 DCE393203:DCO393240 DMA393203:DMK393240 DVW393203:DWG393240 EFS393203:EGC393240 EPO393203:EPY393240 EZK393203:EZU393240 FJG393203:FJQ393240 FTC393203:FTM393240 GCY393203:GDI393240 GMU393203:GNE393240 GWQ393203:GXA393240 HGM393203:HGW393240 HQI393203:HQS393240 IAE393203:IAO393240 IKA393203:IKK393240 ITW393203:IUG393240 JDS393203:JEC393240 JNO393203:JNY393240 JXK393203:JXU393240 KHG393203:KHQ393240 KRC393203:KRM393240 LAY393203:LBI393240 LKU393203:LLE393240 LUQ393203:LVA393240 MEM393203:MEW393240 MOI393203:MOS393240 MYE393203:MYO393240 NIA393203:NIK393240 NRW393203:NSG393240 OBS393203:OCC393240 OLO393203:OLY393240 OVK393203:OVU393240 PFG393203:PFQ393240 PPC393203:PPM393240 PYY393203:PZI393240 QIU393203:QJE393240 QSQ393203:QTA393240 RCM393203:RCW393240 RMI393203:RMS393240 RWE393203:RWO393240 SGA393203:SGK393240 SPW393203:SQG393240 SZS393203:TAC393240 TJO393203:TJY393240 TTK393203:TTU393240 UDG393203:UDQ393240 UNC393203:UNM393240 UWY393203:UXI393240 VGU393203:VHE393240 VQQ393203:VRA393240 WAM393203:WAW393240 WKI393203:WKS393240 WUE393203:WUO393240 Q458739:AA458776 HS458739:IC458776 RO458739:RY458776 ABK458739:ABU458776 ALG458739:ALQ458776 AVC458739:AVM458776 BEY458739:BFI458776 BOU458739:BPE458776 BYQ458739:BZA458776 CIM458739:CIW458776 CSI458739:CSS458776 DCE458739:DCO458776 DMA458739:DMK458776 DVW458739:DWG458776 EFS458739:EGC458776 EPO458739:EPY458776 EZK458739:EZU458776 FJG458739:FJQ458776 FTC458739:FTM458776 GCY458739:GDI458776 GMU458739:GNE458776 GWQ458739:GXA458776 HGM458739:HGW458776 HQI458739:HQS458776 IAE458739:IAO458776 IKA458739:IKK458776 ITW458739:IUG458776 JDS458739:JEC458776 JNO458739:JNY458776 JXK458739:JXU458776 KHG458739:KHQ458776 KRC458739:KRM458776 LAY458739:LBI458776 LKU458739:LLE458776 LUQ458739:LVA458776 MEM458739:MEW458776 MOI458739:MOS458776 MYE458739:MYO458776 NIA458739:NIK458776 NRW458739:NSG458776 OBS458739:OCC458776 OLO458739:OLY458776 OVK458739:OVU458776 PFG458739:PFQ458776 PPC458739:PPM458776 PYY458739:PZI458776 QIU458739:QJE458776 QSQ458739:QTA458776 RCM458739:RCW458776 RMI458739:RMS458776 RWE458739:RWO458776 SGA458739:SGK458776 SPW458739:SQG458776 SZS458739:TAC458776 TJO458739:TJY458776 TTK458739:TTU458776 UDG458739:UDQ458776 UNC458739:UNM458776 UWY458739:UXI458776 VGU458739:VHE458776 VQQ458739:VRA458776 WAM458739:WAW458776 WKI458739:WKS458776 WUE458739:WUO458776 Q524275:AA524312 HS524275:IC524312 RO524275:RY524312 ABK524275:ABU524312 ALG524275:ALQ524312 AVC524275:AVM524312 BEY524275:BFI524312 BOU524275:BPE524312 BYQ524275:BZA524312 CIM524275:CIW524312 CSI524275:CSS524312 DCE524275:DCO524312 DMA524275:DMK524312 DVW524275:DWG524312 EFS524275:EGC524312 EPO524275:EPY524312 EZK524275:EZU524312 FJG524275:FJQ524312 FTC524275:FTM524312 GCY524275:GDI524312 GMU524275:GNE524312 GWQ524275:GXA524312 HGM524275:HGW524312 HQI524275:HQS524312 IAE524275:IAO524312 IKA524275:IKK524312 ITW524275:IUG524312 JDS524275:JEC524312 JNO524275:JNY524312 JXK524275:JXU524312 KHG524275:KHQ524312 KRC524275:KRM524312 LAY524275:LBI524312 LKU524275:LLE524312 LUQ524275:LVA524312 MEM524275:MEW524312 MOI524275:MOS524312 MYE524275:MYO524312 NIA524275:NIK524312 NRW524275:NSG524312 OBS524275:OCC524312 OLO524275:OLY524312 OVK524275:OVU524312 PFG524275:PFQ524312 PPC524275:PPM524312 PYY524275:PZI524312 QIU524275:QJE524312 QSQ524275:QTA524312 RCM524275:RCW524312 RMI524275:RMS524312 RWE524275:RWO524312 SGA524275:SGK524312 SPW524275:SQG524312 SZS524275:TAC524312 TJO524275:TJY524312 TTK524275:TTU524312 UDG524275:UDQ524312 UNC524275:UNM524312 UWY524275:UXI524312 VGU524275:VHE524312 VQQ524275:VRA524312 WAM524275:WAW524312 WKI524275:WKS524312 WUE524275:WUO524312 Q589811:AA589848 HS589811:IC589848 RO589811:RY589848 ABK589811:ABU589848 ALG589811:ALQ589848 AVC589811:AVM589848 BEY589811:BFI589848 BOU589811:BPE589848 BYQ589811:BZA589848 CIM589811:CIW589848 CSI589811:CSS589848 DCE589811:DCO589848 DMA589811:DMK589848 DVW589811:DWG589848 EFS589811:EGC589848 EPO589811:EPY589848 EZK589811:EZU589848 FJG589811:FJQ589848 FTC589811:FTM589848 GCY589811:GDI589848 GMU589811:GNE589848 GWQ589811:GXA589848 HGM589811:HGW589848 HQI589811:HQS589848 IAE589811:IAO589848 IKA589811:IKK589848 ITW589811:IUG589848 JDS589811:JEC589848 JNO589811:JNY589848 JXK589811:JXU589848 KHG589811:KHQ589848 KRC589811:KRM589848 LAY589811:LBI589848 LKU589811:LLE589848 LUQ589811:LVA589848 MEM589811:MEW589848 MOI589811:MOS589848 MYE589811:MYO589848 NIA589811:NIK589848 NRW589811:NSG589848 OBS589811:OCC589848 OLO589811:OLY589848 OVK589811:OVU589848 PFG589811:PFQ589848 PPC589811:PPM589848 PYY589811:PZI589848 QIU589811:QJE589848 QSQ589811:QTA589848 RCM589811:RCW589848 RMI589811:RMS589848 RWE589811:RWO589848 SGA589811:SGK589848 SPW589811:SQG589848 SZS589811:TAC589848 TJO589811:TJY589848 TTK589811:TTU589848 UDG589811:UDQ589848 UNC589811:UNM589848 UWY589811:UXI589848 VGU589811:VHE589848 VQQ589811:VRA589848 WAM589811:WAW589848 WKI589811:WKS589848 WUE589811:WUO589848 Q655347:AA655384 HS655347:IC655384 RO655347:RY655384 ABK655347:ABU655384 ALG655347:ALQ655384 AVC655347:AVM655384 BEY655347:BFI655384 BOU655347:BPE655384 BYQ655347:BZA655384 CIM655347:CIW655384 CSI655347:CSS655384 DCE655347:DCO655384 DMA655347:DMK655384 DVW655347:DWG655384 EFS655347:EGC655384 EPO655347:EPY655384 EZK655347:EZU655384 FJG655347:FJQ655384 FTC655347:FTM655384 GCY655347:GDI655384 GMU655347:GNE655384 GWQ655347:GXA655384 HGM655347:HGW655384 HQI655347:HQS655384 IAE655347:IAO655384 IKA655347:IKK655384 ITW655347:IUG655384 JDS655347:JEC655384 JNO655347:JNY655384 JXK655347:JXU655384 KHG655347:KHQ655384 KRC655347:KRM655384 LAY655347:LBI655384 LKU655347:LLE655384 LUQ655347:LVA655384 MEM655347:MEW655384 MOI655347:MOS655384 MYE655347:MYO655384 NIA655347:NIK655384 NRW655347:NSG655384 OBS655347:OCC655384 OLO655347:OLY655384 OVK655347:OVU655384 PFG655347:PFQ655384 PPC655347:PPM655384 PYY655347:PZI655384 QIU655347:QJE655384 QSQ655347:QTA655384 RCM655347:RCW655384 RMI655347:RMS655384 RWE655347:RWO655384 SGA655347:SGK655384 SPW655347:SQG655384 SZS655347:TAC655384 TJO655347:TJY655384 TTK655347:TTU655384 UDG655347:UDQ655384 UNC655347:UNM655384 UWY655347:UXI655384 VGU655347:VHE655384 VQQ655347:VRA655384 WAM655347:WAW655384 WKI655347:WKS655384 WUE655347:WUO655384 Q720883:AA720920 HS720883:IC720920 RO720883:RY720920 ABK720883:ABU720920 ALG720883:ALQ720920 AVC720883:AVM720920 BEY720883:BFI720920 BOU720883:BPE720920 BYQ720883:BZA720920 CIM720883:CIW720920 CSI720883:CSS720920 DCE720883:DCO720920 DMA720883:DMK720920 DVW720883:DWG720920 EFS720883:EGC720920 EPO720883:EPY720920 EZK720883:EZU720920 FJG720883:FJQ720920 FTC720883:FTM720920 GCY720883:GDI720920 GMU720883:GNE720920 GWQ720883:GXA720920 HGM720883:HGW720920 HQI720883:HQS720920 IAE720883:IAO720920 IKA720883:IKK720920 ITW720883:IUG720920 JDS720883:JEC720920 JNO720883:JNY720920 JXK720883:JXU720920 KHG720883:KHQ720920 KRC720883:KRM720920 LAY720883:LBI720920 LKU720883:LLE720920 LUQ720883:LVA720920 MEM720883:MEW720920 MOI720883:MOS720920 MYE720883:MYO720920 NIA720883:NIK720920 NRW720883:NSG720920 OBS720883:OCC720920 OLO720883:OLY720920 OVK720883:OVU720920 PFG720883:PFQ720920 PPC720883:PPM720920 PYY720883:PZI720920 QIU720883:QJE720920 QSQ720883:QTA720920 RCM720883:RCW720920 RMI720883:RMS720920 RWE720883:RWO720920 SGA720883:SGK720920 SPW720883:SQG720920 SZS720883:TAC720920 TJO720883:TJY720920 TTK720883:TTU720920 UDG720883:UDQ720920 UNC720883:UNM720920 UWY720883:UXI720920 VGU720883:VHE720920 VQQ720883:VRA720920 WAM720883:WAW720920 WKI720883:WKS720920 WUE720883:WUO720920 Q786419:AA786456 HS786419:IC786456 RO786419:RY786456 ABK786419:ABU786456 ALG786419:ALQ786456 AVC786419:AVM786456 BEY786419:BFI786456 BOU786419:BPE786456 BYQ786419:BZA786456 CIM786419:CIW786456 CSI786419:CSS786456 DCE786419:DCO786456 DMA786419:DMK786456 DVW786419:DWG786456 EFS786419:EGC786456 EPO786419:EPY786456 EZK786419:EZU786456 FJG786419:FJQ786456 FTC786419:FTM786456 GCY786419:GDI786456 GMU786419:GNE786456 GWQ786419:GXA786456 HGM786419:HGW786456 HQI786419:HQS786456 IAE786419:IAO786456 IKA786419:IKK786456 ITW786419:IUG786456 JDS786419:JEC786456 JNO786419:JNY786456 JXK786419:JXU786456 KHG786419:KHQ786456 KRC786419:KRM786456 LAY786419:LBI786456 LKU786419:LLE786456 LUQ786419:LVA786456 MEM786419:MEW786456 MOI786419:MOS786456 MYE786419:MYO786456 NIA786419:NIK786456 NRW786419:NSG786456 OBS786419:OCC786456 OLO786419:OLY786456 OVK786419:OVU786456 PFG786419:PFQ786456 PPC786419:PPM786456 PYY786419:PZI786456 QIU786419:QJE786456 QSQ786419:QTA786456 RCM786419:RCW786456 RMI786419:RMS786456 RWE786419:RWO786456 SGA786419:SGK786456 SPW786419:SQG786456 SZS786419:TAC786456 TJO786419:TJY786456 TTK786419:TTU786456 UDG786419:UDQ786456 UNC786419:UNM786456 UWY786419:UXI786456 VGU786419:VHE786456 VQQ786419:VRA786456 WAM786419:WAW786456 WKI786419:WKS786456 WUE786419:WUO786456 Q851955:AA851992 HS851955:IC851992 RO851955:RY851992 ABK851955:ABU851992 ALG851955:ALQ851992 AVC851955:AVM851992 BEY851955:BFI851992 BOU851955:BPE851992 BYQ851955:BZA851992 CIM851955:CIW851992 CSI851955:CSS851992 DCE851955:DCO851992 DMA851955:DMK851992 DVW851955:DWG851992 EFS851955:EGC851992 EPO851955:EPY851992 EZK851955:EZU851992 FJG851955:FJQ851992 FTC851955:FTM851992 GCY851955:GDI851992 GMU851955:GNE851992 GWQ851955:GXA851992 HGM851955:HGW851992 HQI851955:HQS851992 IAE851955:IAO851992 IKA851955:IKK851992 ITW851955:IUG851992 JDS851955:JEC851992 JNO851955:JNY851992 JXK851955:JXU851992 KHG851955:KHQ851992 KRC851955:KRM851992 LAY851955:LBI851992 LKU851955:LLE851992 LUQ851955:LVA851992 MEM851955:MEW851992 MOI851955:MOS851992 MYE851955:MYO851992 NIA851955:NIK851992 NRW851955:NSG851992 OBS851955:OCC851992 OLO851955:OLY851992 OVK851955:OVU851992 PFG851955:PFQ851992 PPC851955:PPM851992 PYY851955:PZI851992 QIU851955:QJE851992 QSQ851955:QTA851992 RCM851955:RCW851992 RMI851955:RMS851992 RWE851955:RWO851992 SGA851955:SGK851992 SPW851955:SQG851992 SZS851955:TAC851992 TJO851955:TJY851992 TTK851955:TTU851992 UDG851955:UDQ851992 UNC851955:UNM851992 UWY851955:UXI851992 VGU851955:VHE851992 VQQ851955:VRA851992 WAM851955:WAW851992 WKI851955:WKS851992 WUE851955:WUO851992 Q917491:AA917528 HS917491:IC917528 RO917491:RY917528 ABK917491:ABU917528 ALG917491:ALQ917528 AVC917491:AVM917528 BEY917491:BFI917528 BOU917491:BPE917528 BYQ917491:BZA917528 CIM917491:CIW917528 CSI917491:CSS917528 DCE917491:DCO917528 DMA917491:DMK917528 DVW917491:DWG917528 EFS917491:EGC917528 EPO917491:EPY917528 EZK917491:EZU917528 FJG917491:FJQ917528 FTC917491:FTM917528 GCY917491:GDI917528 GMU917491:GNE917528 GWQ917491:GXA917528 HGM917491:HGW917528 HQI917491:HQS917528 IAE917491:IAO917528 IKA917491:IKK917528 ITW917491:IUG917528 JDS917491:JEC917528 JNO917491:JNY917528 JXK917491:JXU917528 KHG917491:KHQ917528 KRC917491:KRM917528 LAY917491:LBI917528 LKU917491:LLE917528 LUQ917491:LVA917528 MEM917491:MEW917528 MOI917491:MOS917528 MYE917491:MYO917528 NIA917491:NIK917528 NRW917491:NSG917528 OBS917491:OCC917528 OLO917491:OLY917528 OVK917491:OVU917528 PFG917491:PFQ917528 PPC917491:PPM917528 PYY917491:PZI917528 QIU917491:QJE917528 QSQ917491:QTA917528 RCM917491:RCW917528 RMI917491:RMS917528 RWE917491:RWO917528 SGA917491:SGK917528 SPW917491:SQG917528 SZS917491:TAC917528 TJO917491:TJY917528 TTK917491:TTU917528 UDG917491:UDQ917528 UNC917491:UNM917528 UWY917491:UXI917528 VGU917491:VHE917528 VQQ917491:VRA917528 WAM917491:WAW917528 WKI917491:WKS917528 WUE917491:WUO917528 Q983027:AA983064 HS983027:IC983064 RO983027:RY983064 ABK983027:ABU983064 ALG983027:ALQ983064 AVC983027:AVM983064 BEY983027:BFI983064 BOU983027:BPE983064 BYQ983027:BZA983064 CIM983027:CIW983064 CSI983027:CSS983064 DCE983027:DCO983064 DMA983027:DMK983064 DVW983027:DWG983064 EFS983027:EGC983064 EPO983027:EPY983064 EZK983027:EZU983064 FJG983027:FJQ983064 FTC983027:FTM983064 GCY983027:GDI983064 GMU983027:GNE983064 GWQ983027:GXA983064 HGM983027:HGW983064 HQI983027:HQS983064 IAE983027:IAO983064 IKA983027:IKK983064 ITW983027:IUG983064 JDS983027:JEC983064 JNO983027:JNY983064 JXK983027:JXU983064 KHG983027:KHQ983064 KRC983027:KRM983064 LAY983027:LBI983064 LKU983027:LLE983064 LUQ983027:LVA983064 MEM983027:MEW983064 MOI983027:MOS983064 MYE983027:MYO983064 NIA983027:NIK983064 NRW983027:NSG983064 OBS983027:OCC983064 OLO983027:OLY983064 OVK983027:OVU983064 PFG983027:PFQ983064 PPC983027:PPM983064 PYY983027:PZI983064 QIU983027:QJE983064 QSQ983027:QTA983064 RCM983027:RCW983064 RMI983027:RMS983064 RWE983027:RWO983064 SGA983027:SGK983064 SPW983027:SQG983064 SZS983027:TAC983064 TJO983027:TJY983064 TTK983027:TTU983064 UDG983027:UDQ983064 UNC983027:UNM983064 UWY983027:UXI983064 VGU983027:VHE983064 VQQ983027:VRA983064 WAM983027:WAW983064 Q5:W22 WUE5:WUO22 HS5:IC22 RO5:RY22 ABK5:ABU22 ALG5:ALQ22 AVC5:AVM22 BEY5:BFI22 BOU5:BPE22 BYQ5:BZA22 CIM5:CIW22 CSI5:CSS22 DCE5:DCO22 DMA5:DMK22 DVW5:DWG22 EFS5:EGC22 EPO5:EPY22 EZK5:EZU22 FJG5:FJQ22 FTC5:FTM22 GCY5:GDI22 GMU5:GNE22 GWQ5:GXA22 HGM5:HGW22 HQI5:HQS22 IAE5:IAO22 IKA5:IKK22 ITW5:IUG22 JDS5:JEC22 JNO5:JNY22 JXK5:JXU22 KHG5:KHQ22 KRC5:KRM22 LAY5:LBI22 LKU5:LLE22 LUQ5:LVA22 MEM5:MEW22 MOI5:MOS22 MYE5:MYO22 NIA5:NIK22 NRW5:NSG22 OBS5:OCC22 OLO5:OLY22 OVK5:OVU22 PFG5:PFQ22 PPC5:PPM22 PYY5:PZI22 QIU5:QJE22 QSQ5:QTA22 RCM5:RCW22 RMI5:RMS22 RWE5:RWO22 SGA5:SGK22 SPW5:SQG22 SZS5:TAC22 TJO5:TJY22 TTK5:TTU22 UDG5:UDQ22 UNC5:UNM22 UWY5:UXI22 VGU5:VHE22 VQQ5:VRA22 WAM5:WAW22 WKI5:WKS22" xr:uid="{7BD5A66D-893A-4D7A-AA21-B4CFFDD6B43F}">
      <formula1>$C$37:$C$57</formula1>
    </dataValidation>
    <dataValidation type="list" allowBlank="1" showInputMessage="1" showErrorMessage="1" sqref="WUP983031:WUQ983064 WAX983031:WAY983064 WKT983031:WKU983064 AB65527:AC65560 ID65527:IE65560 RZ65527:SA65560 ABV65527:ABW65560 ALR65527:ALS65560 AVN65527:AVO65560 BFJ65527:BFK65560 BPF65527:BPG65560 BZB65527:BZC65560 CIX65527:CIY65560 CST65527:CSU65560 DCP65527:DCQ65560 DML65527:DMM65560 DWH65527:DWI65560 EGD65527:EGE65560 EPZ65527:EQA65560 EZV65527:EZW65560 FJR65527:FJS65560 FTN65527:FTO65560 GDJ65527:GDK65560 GNF65527:GNG65560 GXB65527:GXC65560 HGX65527:HGY65560 HQT65527:HQU65560 IAP65527:IAQ65560 IKL65527:IKM65560 IUH65527:IUI65560 JED65527:JEE65560 JNZ65527:JOA65560 JXV65527:JXW65560 KHR65527:KHS65560 KRN65527:KRO65560 LBJ65527:LBK65560 LLF65527:LLG65560 LVB65527:LVC65560 MEX65527:MEY65560 MOT65527:MOU65560 MYP65527:MYQ65560 NIL65527:NIM65560 NSH65527:NSI65560 OCD65527:OCE65560 OLZ65527:OMA65560 OVV65527:OVW65560 PFR65527:PFS65560 PPN65527:PPO65560 PZJ65527:PZK65560 QJF65527:QJG65560 QTB65527:QTC65560 RCX65527:RCY65560 RMT65527:RMU65560 RWP65527:RWQ65560 SGL65527:SGM65560 SQH65527:SQI65560 TAD65527:TAE65560 TJZ65527:TKA65560 TTV65527:TTW65560 UDR65527:UDS65560 UNN65527:UNO65560 UXJ65527:UXK65560 VHF65527:VHG65560 VRB65527:VRC65560 WAX65527:WAY65560 WKT65527:WKU65560 WUP65527:WUQ65560 AB131063:AC131096 ID131063:IE131096 RZ131063:SA131096 ABV131063:ABW131096 ALR131063:ALS131096 AVN131063:AVO131096 BFJ131063:BFK131096 BPF131063:BPG131096 BZB131063:BZC131096 CIX131063:CIY131096 CST131063:CSU131096 DCP131063:DCQ131096 DML131063:DMM131096 DWH131063:DWI131096 EGD131063:EGE131096 EPZ131063:EQA131096 EZV131063:EZW131096 FJR131063:FJS131096 FTN131063:FTO131096 GDJ131063:GDK131096 GNF131063:GNG131096 GXB131063:GXC131096 HGX131063:HGY131096 HQT131063:HQU131096 IAP131063:IAQ131096 IKL131063:IKM131096 IUH131063:IUI131096 JED131063:JEE131096 JNZ131063:JOA131096 JXV131063:JXW131096 KHR131063:KHS131096 KRN131063:KRO131096 LBJ131063:LBK131096 LLF131063:LLG131096 LVB131063:LVC131096 MEX131063:MEY131096 MOT131063:MOU131096 MYP131063:MYQ131096 NIL131063:NIM131096 NSH131063:NSI131096 OCD131063:OCE131096 OLZ131063:OMA131096 OVV131063:OVW131096 PFR131063:PFS131096 PPN131063:PPO131096 PZJ131063:PZK131096 QJF131063:QJG131096 QTB131063:QTC131096 RCX131063:RCY131096 RMT131063:RMU131096 RWP131063:RWQ131096 SGL131063:SGM131096 SQH131063:SQI131096 TAD131063:TAE131096 TJZ131063:TKA131096 TTV131063:TTW131096 UDR131063:UDS131096 UNN131063:UNO131096 UXJ131063:UXK131096 VHF131063:VHG131096 VRB131063:VRC131096 WAX131063:WAY131096 WKT131063:WKU131096 WUP131063:WUQ131096 AB196599:AC196632 ID196599:IE196632 RZ196599:SA196632 ABV196599:ABW196632 ALR196599:ALS196632 AVN196599:AVO196632 BFJ196599:BFK196632 BPF196599:BPG196632 BZB196599:BZC196632 CIX196599:CIY196632 CST196599:CSU196632 DCP196599:DCQ196632 DML196599:DMM196632 DWH196599:DWI196632 EGD196599:EGE196632 EPZ196599:EQA196632 EZV196599:EZW196632 FJR196599:FJS196632 FTN196599:FTO196632 GDJ196599:GDK196632 GNF196599:GNG196632 GXB196599:GXC196632 HGX196599:HGY196632 HQT196599:HQU196632 IAP196599:IAQ196632 IKL196599:IKM196632 IUH196599:IUI196632 JED196599:JEE196632 JNZ196599:JOA196632 JXV196599:JXW196632 KHR196599:KHS196632 KRN196599:KRO196632 LBJ196599:LBK196632 LLF196599:LLG196632 LVB196599:LVC196632 MEX196599:MEY196632 MOT196599:MOU196632 MYP196599:MYQ196632 NIL196599:NIM196632 NSH196599:NSI196632 OCD196599:OCE196632 OLZ196599:OMA196632 OVV196599:OVW196632 PFR196599:PFS196632 PPN196599:PPO196632 PZJ196599:PZK196632 QJF196599:QJG196632 QTB196599:QTC196632 RCX196599:RCY196632 RMT196599:RMU196632 RWP196599:RWQ196632 SGL196599:SGM196632 SQH196599:SQI196632 TAD196599:TAE196632 TJZ196599:TKA196632 TTV196599:TTW196632 UDR196599:UDS196632 UNN196599:UNO196632 UXJ196599:UXK196632 VHF196599:VHG196632 VRB196599:VRC196632 WAX196599:WAY196632 WKT196599:WKU196632 WUP196599:WUQ196632 AB262135:AC262168 ID262135:IE262168 RZ262135:SA262168 ABV262135:ABW262168 ALR262135:ALS262168 AVN262135:AVO262168 BFJ262135:BFK262168 BPF262135:BPG262168 BZB262135:BZC262168 CIX262135:CIY262168 CST262135:CSU262168 DCP262135:DCQ262168 DML262135:DMM262168 DWH262135:DWI262168 EGD262135:EGE262168 EPZ262135:EQA262168 EZV262135:EZW262168 FJR262135:FJS262168 FTN262135:FTO262168 GDJ262135:GDK262168 GNF262135:GNG262168 GXB262135:GXC262168 HGX262135:HGY262168 HQT262135:HQU262168 IAP262135:IAQ262168 IKL262135:IKM262168 IUH262135:IUI262168 JED262135:JEE262168 JNZ262135:JOA262168 JXV262135:JXW262168 KHR262135:KHS262168 KRN262135:KRO262168 LBJ262135:LBK262168 LLF262135:LLG262168 LVB262135:LVC262168 MEX262135:MEY262168 MOT262135:MOU262168 MYP262135:MYQ262168 NIL262135:NIM262168 NSH262135:NSI262168 OCD262135:OCE262168 OLZ262135:OMA262168 OVV262135:OVW262168 PFR262135:PFS262168 PPN262135:PPO262168 PZJ262135:PZK262168 QJF262135:QJG262168 QTB262135:QTC262168 RCX262135:RCY262168 RMT262135:RMU262168 RWP262135:RWQ262168 SGL262135:SGM262168 SQH262135:SQI262168 TAD262135:TAE262168 TJZ262135:TKA262168 TTV262135:TTW262168 UDR262135:UDS262168 UNN262135:UNO262168 UXJ262135:UXK262168 VHF262135:VHG262168 VRB262135:VRC262168 WAX262135:WAY262168 WKT262135:WKU262168 WUP262135:WUQ262168 AB327671:AC327704 ID327671:IE327704 RZ327671:SA327704 ABV327671:ABW327704 ALR327671:ALS327704 AVN327671:AVO327704 BFJ327671:BFK327704 BPF327671:BPG327704 BZB327671:BZC327704 CIX327671:CIY327704 CST327671:CSU327704 DCP327671:DCQ327704 DML327671:DMM327704 DWH327671:DWI327704 EGD327671:EGE327704 EPZ327671:EQA327704 EZV327671:EZW327704 FJR327671:FJS327704 FTN327671:FTO327704 GDJ327671:GDK327704 GNF327671:GNG327704 GXB327671:GXC327704 HGX327671:HGY327704 HQT327671:HQU327704 IAP327671:IAQ327704 IKL327671:IKM327704 IUH327671:IUI327704 JED327671:JEE327704 JNZ327671:JOA327704 JXV327671:JXW327704 KHR327671:KHS327704 KRN327671:KRO327704 LBJ327671:LBK327704 LLF327671:LLG327704 LVB327671:LVC327704 MEX327671:MEY327704 MOT327671:MOU327704 MYP327671:MYQ327704 NIL327671:NIM327704 NSH327671:NSI327704 OCD327671:OCE327704 OLZ327671:OMA327704 OVV327671:OVW327704 PFR327671:PFS327704 PPN327671:PPO327704 PZJ327671:PZK327704 QJF327671:QJG327704 QTB327671:QTC327704 RCX327671:RCY327704 RMT327671:RMU327704 RWP327671:RWQ327704 SGL327671:SGM327704 SQH327671:SQI327704 TAD327671:TAE327704 TJZ327671:TKA327704 TTV327671:TTW327704 UDR327671:UDS327704 UNN327671:UNO327704 UXJ327671:UXK327704 VHF327671:VHG327704 VRB327671:VRC327704 WAX327671:WAY327704 WKT327671:WKU327704 WUP327671:WUQ327704 AB393207:AC393240 ID393207:IE393240 RZ393207:SA393240 ABV393207:ABW393240 ALR393207:ALS393240 AVN393207:AVO393240 BFJ393207:BFK393240 BPF393207:BPG393240 BZB393207:BZC393240 CIX393207:CIY393240 CST393207:CSU393240 DCP393207:DCQ393240 DML393207:DMM393240 DWH393207:DWI393240 EGD393207:EGE393240 EPZ393207:EQA393240 EZV393207:EZW393240 FJR393207:FJS393240 FTN393207:FTO393240 GDJ393207:GDK393240 GNF393207:GNG393240 GXB393207:GXC393240 HGX393207:HGY393240 HQT393207:HQU393240 IAP393207:IAQ393240 IKL393207:IKM393240 IUH393207:IUI393240 JED393207:JEE393240 JNZ393207:JOA393240 JXV393207:JXW393240 KHR393207:KHS393240 KRN393207:KRO393240 LBJ393207:LBK393240 LLF393207:LLG393240 LVB393207:LVC393240 MEX393207:MEY393240 MOT393207:MOU393240 MYP393207:MYQ393240 NIL393207:NIM393240 NSH393207:NSI393240 OCD393207:OCE393240 OLZ393207:OMA393240 OVV393207:OVW393240 PFR393207:PFS393240 PPN393207:PPO393240 PZJ393207:PZK393240 QJF393207:QJG393240 QTB393207:QTC393240 RCX393207:RCY393240 RMT393207:RMU393240 RWP393207:RWQ393240 SGL393207:SGM393240 SQH393207:SQI393240 TAD393207:TAE393240 TJZ393207:TKA393240 TTV393207:TTW393240 UDR393207:UDS393240 UNN393207:UNO393240 UXJ393207:UXK393240 VHF393207:VHG393240 VRB393207:VRC393240 WAX393207:WAY393240 WKT393207:WKU393240 WUP393207:WUQ393240 AB458743:AC458776 ID458743:IE458776 RZ458743:SA458776 ABV458743:ABW458776 ALR458743:ALS458776 AVN458743:AVO458776 BFJ458743:BFK458776 BPF458743:BPG458776 BZB458743:BZC458776 CIX458743:CIY458776 CST458743:CSU458776 DCP458743:DCQ458776 DML458743:DMM458776 DWH458743:DWI458776 EGD458743:EGE458776 EPZ458743:EQA458776 EZV458743:EZW458776 FJR458743:FJS458776 FTN458743:FTO458776 GDJ458743:GDK458776 GNF458743:GNG458776 GXB458743:GXC458776 HGX458743:HGY458776 HQT458743:HQU458776 IAP458743:IAQ458776 IKL458743:IKM458776 IUH458743:IUI458776 JED458743:JEE458776 JNZ458743:JOA458776 JXV458743:JXW458776 KHR458743:KHS458776 KRN458743:KRO458776 LBJ458743:LBK458776 LLF458743:LLG458776 LVB458743:LVC458776 MEX458743:MEY458776 MOT458743:MOU458776 MYP458743:MYQ458776 NIL458743:NIM458776 NSH458743:NSI458776 OCD458743:OCE458776 OLZ458743:OMA458776 OVV458743:OVW458776 PFR458743:PFS458776 PPN458743:PPO458776 PZJ458743:PZK458776 QJF458743:QJG458776 QTB458743:QTC458776 RCX458743:RCY458776 RMT458743:RMU458776 RWP458743:RWQ458776 SGL458743:SGM458776 SQH458743:SQI458776 TAD458743:TAE458776 TJZ458743:TKA458776 TTV458743:TTW458776 UDR458743:UDS458776 UNN458743:UNO458776 UXJ458743:UXK458776 VHF458743:VHG458776 VRB458743:VRC458776 WAX458743:WAY458776 WKT458743:WKU458776 WUP458743:WUQ458776 AB524279:AC524312 ID524279:IE524312 RZ524279:SA524312 ABV524279:ABW524312 ALR524279:ALS524312 AVN524279:AVO524312 BFJ524279:BFK524312 BPF524279:BPG524312 BZB524279:BZC524312 CIX524279:CIY524312 CST524279:CSU524312 DCP524279:DCQ524312 DML524279:DMM524312 DWH524279:DWI524312 EGD524279:EGE524312 EPZ524279:EQA524312 EZV524279:EZW524312 FJR524279:FJS524312 FTN524279:FTO524312 GDJ524279:GDK524312 GNF524279:GNG524312 GXB524279:GXC524312 HGX524279:HGY524312 HQT524279:HQU524312 IAP524279:IAQ524312 IKL524279:IKM524312 IUH524279:IUI524312 JED524279:JEE524312 JNZ524279:JOA524312 JXV524279:JXW524312 KHR524279:KHS524312 KRN524279:KRO524312 LBJ524279:LBK524312 LLF524279:LLG524312 LVB524279:LVC524312 MEX524279:MEY524312 MOT524279:MOU524312 MYP524279:MYQ524312 NIL524279:NIM524312 NSH524279:NSI524312 OCD524279:OCE524312 OLZ524279:OMA524312 OVV524279:OVW524312 PFR524279:PFS524312 PPN524279:PPO524312 PZJ524279:PZK524312 QJF524279:QJG524312 QTB524279:QTC524312 RCX524279:RCY524312 RMT524279:RMU524312 RWP524279:RWQ524312 SGL524279:SGM524312 SQH524279:SQI524312 TAD524279:TAE524312 TJZ524279:TKA524312 TTV524279:TTW524312 UDR524279:UDS524312 UNN524279:UNO524312 UXJ524279:UXK524312 VHF524279:VHG524312 VRB524279:VRC524312 WAX524279:WAY524312 WKT524279:WKU524312 WUP524279:WUQ524312 AB589815:AC589848 ID589815:IE589848 RZ589815:SA589848 ABV589815:ABW589848 ALR589815:ALS589848 AVN589815:AVO589848 BFJ589815:BFK589848 BPF589815:BPG589848 BZB589815:BZC589848 CIX589815:CIY589848 CST589815:CSU589848 DCP589815:DCQ589848 DML589815:DMM589848 DWH589815:DWI589848 EGD589815:EGE589848 EPZ589815:EQA589848 EZV589815:EZW589848 FJR589815:FJS589848 FTN589815:FTO589848 GDJ589815:GDK589848 GNF589815:GNG589848 GXB589815:GXC589848 HGX589815:HGY589848 HQT589815:HQU589848 IAP589815:IAQ589848 IKL589815:IKM589848 IUH589815:IUI589848 JED589815:JEE589848 JNZ589815:JOA589848 JXV589815:JXW589848 KHR589815:KHS589848 KRN589815:KRO589848 LBJ589815:LBK589848 LLF589815:LLG589848 LVB589815:LVC589848 MEX589815:MEY589848 MOT589815:MOU589848 MYP589815:MYQ589848 NIL589815:NIM589848 NSH589815:NSI589848 OCD589815:OCE589848 OLZ589815:OMA589848 OVV589815:OVW589848 PFR589815:PFS589848 PPN589815:PPO589848 PZJ589815:PZK589848 QJF589815:QJG589848 QTB589815:QTC589848 RCX589815:RCY589848 RMT589815:RMU589848 RWP589815:RWQ589848 SGL589815:SGM589848 SQH589815:SQI589848 TAD589815:TAE589848 TJZ589815:TKA589848 TTV589815:TTW589848 UDR589815:UDS589848 UNN589815:UNO589848 UXJ589815:UXK589848 VHF589815:VHG589848 VRB589815:VRC589848 WAX589815:WAY589848 WKT589815:WKU589848 WUP589815:WUQ589848 AB655351:AC655384 ID655351:IE655384 RZ655351:SA655384 ABV655351:ABW655384 ALR655351:ALS655384 AVN655351:AVO655384 BFJ655351:BFK655384 BPF655351:BPG655384 BZB655351:BZC655384 CIX655351:CIY655384 CST655351:CSU655384 DCP655351:DCQ655384 DML655351:DMM655384 DWH655351:DWI655384 EGD655351:EGE655384 EPZ655351:EQA655384 EZV655351:EZW655384 FJR655351:FJS655384 FTN655351:FTO655384 GDJ655351:GDK655384 GNF655351:GNG655384 GXB655351:GXC655384 HGX655351:HGY655384 HQT655351:HQU655384 IAP655351:IAQ655384 IKL655351:IKM655384 IUH655351:IUI655384 JED655351:JEE655384 JNZ655351:JOA655384 JXV655351:JXW655384 KHR655351:KHS655384 KRN655351:KRO655384 LBJ655351:LBK655384 LLF655351:LLG655384 LVB655351:LVC655384 MEX655351:MEY655384 MOT655351:MOU655384 MYP655351:MYQ655384 NIL655351:NIM655384 NSH655351:NSI655384 OCD655351:OCE655384 OLZ655351:OMA655384 OVV655351:OVW655384 PFR655351:PFS655384 PPN655351:PPO655384 PZJ655351:PZK655384 QJF655351:QJG655384 QTB655351:QTC655384 RCX655351:RCY655384 RMT655351:RMU655384 RWP655351:RWQ655384 SGL655351:SGM655384 SQH655351:SQI655384 TAD655351:TAE655384 TJZ655351:TKA655384 TTV655351:TTW655384 UDR655351:UDS655384 UNN655351:UNO655384 UXJ655351:UXK655384 VHF655351:VHG655384 VRB655351:VRC655384 WAX655351:WAY655384 WKT655351:WKU655384 WUP655351:WUQ655384 AB720887:AC720920 ID720887:IE720920 RZ720887:SA720920 ABV720887:ABW720920 ALR720887:ALS720920 AVN720887:AVO720920 BFJ720887:BFK720920 BPF720887:BPG720920 BZB720887:BZC720920 CIX720887:CIY720920 CST720887:CSU720920 DCP720887:DCQ720920 DML720887:DMM720920 DWH720887:DWI720920 EGD720887:EGE720920 EPZ720887:EQA720920 EZV720887:EZW720920 FJR720887:FJS720920 FTN720887:FTO720920 GDJ720887:GDK720920 GNF720887:GNG720920 GXB720887:GXC720920 HGX720887:HGY720920 HQT720887:HQU720920 IAP720887:IAQ720920 IKL720887:IKM720920 IUH720887:IUI720920 JED720887:JEE720920 JNZ720887:JOA720920 JXV720887:JXW720920 KHR720887:KHS720920 KRN720887:KRO720920 LBJ720887:LBK720920 LLF720887:LLG720920 LVB720887:LVC720920 MEX720887:MEY720920 MOT720887:MOU720920 MYP720887:MYQ720920 NIL720887:NIM720920 NSH720887:NSI720920 OCD720887:OCE720920 OLZ720887:OMA720920 OVV720887:OVW720920 PFR720887:PFS720920 PPN720887:PPO720920 PZJ720887:PZK720920 QJF720887:QJG720920 QTB720887:QTC720920 RCX720887:RCY720920 RMT720887:RMU720920 RWP720887:RWQ720920 SGL720887:SGM720920 SQH720887:SQI720920 TAD720887:TAE720920 TJZ720887:TKA720920 TTV720887:TTW720920 UDR720887:UDS720920 UNN720887:UNO720920 UXJ720887:UXK720920 VHF720887:VHG720920 VRB720887:VRC720920 WAX720887:WAY720920 WKT720887:WKU720920 WUP720887:WUQ720920 AB786423:AC786456 ID786423:IE786456 RZ786423:SA786456 ABV786423:ABW786456 ALR786423:ALS786456 AVN786423:AVO786456 BFJ786423:BFK786456 BPF786423:BPG786456 BZB786423:BZC786456 CIX786423:CIY786456 CST786423:CSU786456 DCP786423:DCQ786456 DML786423:DMM786456 DWH786423:DWI786456 EGD786423:EGE786456 EPZ786423:EQA786456 EZV786423:EZW786456 FJR786423:FJS786456 FTN786423:FTO786456 GDJ786423:GDK786456 GNF786423:GNG786456 GXB786423:GXC786456 HGX786423:HGY786456 HQT786423:HQU786456 IAP786423:IAQ786456 IKL786423:IKM786456 IUH786423:IUI786456 JED786423:JEE786456 JNZ786423:JOA786456 JXV786423:JXW786456 KHR786423:KHS786456 KRN786423:KRO786456 LBJ786423:LBK786456 LLF786423:LLG786456 LVB786423:LVC786456 MEX786423:MEY786456 MOT786423:MOU786456 MYP786423:MYQ786456 NIL786423:NIM786456 NSH786423:NSI786456 OCD786423:OCE786456 OLZ786423:OMA786456 OVV786423:OVW786456 PFR786423:PFS786456 PPN786423:PPO786456 PZJ786423:PZK786456 QJF786423:QJG786456 QTB786423:QTC786456 RCX786423:RCY786456 RMT786423:RMU786456 RWP786423:RWQ786456 SGL786423:SGM786456 SQH786423:SQI786456 TAD786423:TAE786456 TJZ786423:TKA786456 TTV786423:TTW786456 UDR786423:UDS786456 UNN786423:UNO786456 UXJ786423:UXK786456 VHF786423:VHG786456 VRB786423:VRC786456 WAX786423:WAY786456 WKT786423:WKU786456 WUP786423:WUQ786456 AB851959:AC851992 ID851959:IE851992 RZ851959:SA851992 ABV851959:ABW851992 ALR851959:ALS851992 AVN851959:AVO851992 BFJ851959:BFK851992 BPF851959:BPG851992 BZB851959:BZC851992 CIX851959:CIY851992 CST851959:CSU851992 DCP851959:DCQ851992 DML851959:DMM851992 DWH851959:DWI851992 EGD851959:EGE851992 EPZ851959:EQA851992 EZV851959:EZW851992 FJR851959:FJS851992 FTN851959:FTO851992 GDJ851959:GDK851992 GNF851959:GNG851992 GXB851959:GXC851992 HGX851959:HGY851992 HQT851959:HQU851992 IAP851959:IAQ851992 IKL851959:IKM851992 IUH851959:IUI851992 JED851959:JEE851992 JNZ851959:JOA851992 JXV851959:JXW851992 KHR851959:KHS851992 KRN851959:KRO851992 LBJ851959:LBK851992 LLF851959:LLG851992 LVB851959:LVC851992 MEX851959:MEY851992 MOT851959:MOU851992 MYP851959:MYQ851992 NIL851959:NIM851992 NSH851959:NSI851992 OCD851959:OCE851992 OLZ851959:OMA851992 OVV851959:OVW851992 PFR851959:PFS851992 PPN851959:PPO851992 PZJ851959:PZK851992 QJF851959:QJG851992 QTB851959:QTC851992 RCX851959:RCY851992 RMT851959:RMU851992 RWP851959:RWQ851992 SGL851959:SGM851992 SQH851959:SQI851992 TAD851959:TAE851992 TJZ851959:TKA851992 TTV851959:TTW851992 UDR851959:UDS851992 UNN851959:UNO851992 UXJ851959:UXK851992 VHF851959:VHG851992 VRB851959:VRC851992 WAX851959:WAY851992 WKT851959:WKU851992 WUP851959:WUQ851992 AB917495:AC917528 ID917495:IE917528 RZ917495:SA917528 ABV917495:ABW917528 ALR917495:ALS917528 AVN917495:AVO917528 BFJ917495:BFK917528 BPF917495:BPG917528 BZB917495:BZC917528 CIX917495:CIY917528 CST917495:CSU917528 DCP917495:DCQ917528 DML917495:DMM917528 DWH917495:DWI917528 EGD917495:EGE917528 EPZ917495:EQA917528 EZV917495:EZW917528 FJR917495:FJS917528 FTN917495:FTO917528 GDJ917495:GDK917528 GNF917495:GNG917528 GXB917495:GXC917528 HGX917495:HGY917528 HQT917495:HQU917528 IAP917495:IAQ917528 IKL917495:IKM917528 IUH917495:IUI917528 JED917495:JEE917528 JNZ917495:JOA917528 JXV917495:JXW917528 KHR917495:KHS917528 KRN917495:KRO917528 LBJ917495:LBK917528 LLF917495:LLG917528 LVB917495:LVC917528 MEX917495:MEY917528 MOT917495:MOU917528 MYP917495:MYQ917528 NIL917495:NIM917528 NSH917495:NSI917528 OCD917495:OCE917528 OLZ917495:OMA917528 OVV917495:OVW917528 PFR917495:PFS917528 PPN917495:PPO917528 PZJ917495:PZK917528 QJF917495:QJG917528 QTB917495:QTC917528 RCX917495:RCY917528 RMT917495:RMU917528 RWP917495:RWQ917528 SGL917495:SGM917528 SQH917495:SQI917528 TAD917495:TAE917528 TJZ917495:TKA917528 TTV917495:TTW917528 UDR917495:UDS917528 UNN917495:UNO917528 UXJ917495:UXK917528 VHF917495:VHG917528 VRB917495:VRC917528 WAX917495:WAY917528 WKT917495:WKU917528 WUP917495:WUQ917528 AB983031:AC983064 ID983031:IE983064 RZ983031:SA983064 ABV983031:ABW983064 ALR983031:ALS983064 AVN983031:AVO983064 BFJ983031:BFK983064 BPF983031:BPG983064 BZB983031:BZC983064 CIX983031:CIY983064 CST983031:CSU983064 DCP983031:DCQ983064 DML983031:DMM983064 DWH983031:DWI983064 EGD983031:EGE983064 EPZ983031:EQA983064 EZV983031:EZW983064 FJR983031:FJS983064 FTN983031:FTO983064 GDJ983031:GDK983064 GNF983031:GNG983064 GXB983031:GXC983064 HGX983031:HGY983064 HQT983031:HQU983064 IAP983031:IAQ983064 IKL983031:IKM983064 IUH983031:IUI983064 JED983031:JEE983064 JNZ983031:JOA983064 JXV983031:JXW983064 KHR983031:KHS983064 KRN983031:KRO983064 LBJ983031:LBK983064 LLF983031:LLG983064 LVB983031:LVC983064 MEX983031:MEY983064 MOT983031:MOU983064 MYP983031:MYQ983064 NIL983031:NIM983064 NSH983031:NSI983064 OCD983031:OCE983064 OLZ983031:OMA983064 OVV983031:OVW983064 PFR983031:PFS983064 PPN983031:PPO983064 PZJ983031:PZK983064 QJF983031:QJG983064 QTB983031:QTC983064 RCX983031:RCY983064 RMT983031:RMU983064 RWP983031:RWQ983064 SGL983031:SGM983064 SQH983031:SQI983064 TAD983031:TAE983064 TJZ983031:TKA983064 TTV983031:TTW983064 UDR983031:UDS983064 UNN983031:UNO983064 UXJ983031:UXK983064 VHF983031:VHG983064 VRB983031:VRC983064 WKT7:WKU22 WUP7:WUQ22 ID7:IE22 RZ7:SA22 ABV7:ABW22 ALR7:ALS22 AVN7:AVO22 BFJ7:BFK22 BPF7:BPG22 BZB7:BZC22 CIX7:CIY22 CST7:CSU22 DCP7:DCQ22 DML7:DMM22 DWH7:DWI22 EGD7:EGE22 EPZ7:EQA22 EZV7:EZW22 FJR7:FJS22 FTN7:FTO22 GDJ7:GDK22 GNF7:GNG22 GXB7:GXC22 HGX7:HGY22 HQT7:HQU22 IAP7:IAQ22 IKL7:IKM22 IUH7:IUI22 JED7:JEE22 JNZ7:JOA22 JXV7:JXW22 KHR7:KHS22 KRN7:KRO22 LBJ7:LBK22 LLF7:LLG22 LVB7:LVC22 MEX7:MEY22 MOT7:MOU22 MYP7:MYQ22 NIL7:NIM22 NSH7:NSI22 OCD7:OCE22 OLZ7:OMA22 OVV7:OVW22 PFR7:PFS22 PPN7:PPO22 PZJ7:PZK22 QJF7:QJG22 QTB7:QTC22 RCX7:RCY22 RMT7:RMU22 RWP7:RWQ22 SGL7:SGM22 SQH7:SQI22 TAD7:TAE22 TJZ7:TKA22 TTV7:TTW22 UDR7:UDS22 UNN7:UNO22 UXJ7:UXK22 VHF7:VHG22 VRB7:VRC22 WAX7:WAY22" xr:uid="{95629BFD-FFB3-4FF5-A3B6-537950BF97B6}">
      <formula1>$U$37:$U$40</formula1>
    </dataValidation>
    <dataValidation type="list" allowBlank="1" showInputMessage="1" showErrorMessage="1" sqref="WUP983027:WUQ983030 ID5:IE6 RZ5:SA6 ABV5:ABW6 ALR5:ALS6 AVN5:AVO6 BFJ5:BFK6 BPF5:BPG6 BZB5:BZC6 CIX5:CIY6 CST5:CSU6 DCP5:DCQ6 DML5:DMM6 DWH5:DWI6 EGD5:EGE6 EPZ5:EQA6 EZV5:EZW6 FJR5:FJS6 FTN5:FTO6 GDJ5:GDK6 GNF5:GNG6 GXB5:GXC6 HGX5:HGY6 HQT5:HQU6 IAP5:IAQ6 IKL5:IKM6 IUH5:IUI6 JED5:JEE6 JNZ5:JOA6 JXV5:JXW6 KHR5:KHS6 KRN5:KRO6 LBJ5:LBK6 LLF5:LLG6 LVB5:LVC6 MEX5:MEY6 MOT5:MOU6 MYP5:MYQ6 NIL5:NIM6 NSH5:NSI6 OCD5:OCE6 OLZ5:OMA6 OVV5:OVW6 PFR5:PFS6 PPN5:PPO6 PZJ5:PZK6 QJF5:QJG6 QTB5:QTC6 RCX5:RCY6 RMT5:RMU6 RWP5:RWQ6 SGL5:SGM6 SQH5:SQI6 TAD5:TAE6 TJZ5:TKA6 TTV5:TTW6 UDR5:UDS6 UNN5:UNO6 UXJ5:UXK6 VHF5:VHG6 VRB5:VRC6 WAX5:WAY6 WKT5:WKU6 WUP5:WUQ6 WKT983027:WKU983030 AB65523:AC65526 ID65523:IE65526 RZ65523:SA65526 ABV65523:ABW65526 ALR65523:ALS65526 AVN65523:AVO65526 BFJ65523:BFK65526 BPF65523:BPG65526 BZB65523:BZC65526 CIX65523:CIY65526 CST65523:CSU65526 DCP65523:DCQ65526 DML65523:DMM65526 DWH65523:DWI65526 EGD65523:EGE65526 EPZ65523:EQA65526 EZV65523:EZW65526 FJR65523:FJS65526 FTN65523:FTO65526 GDJ65523:GDK65526 GNF65523:GNG65526 GXB65523:GXC65526 HGX65523:HGY65526 HQT65523:HQU65526 IAP65523:IAQ65526 IKL65523:IKM65526 IUH65523:IUI65526 JED65523:JEE65526 JNZ65523:JOA65526 JXV65523:JXW65526 KHR65523:KHS65526 KRN65523:KRO65526 LBJ65523:LBK65526 LLF65523:LLG65526 LVB65523:LVC65526 MEX65523:MEY65526 MOT65523:MOU65526 MYP65523:MYQ65526 NIL65523:NIM65526 NSH65523:NSI65526 OCD65523:OCE65526 OLZ65523:OMA65526 OVV65523:OVW65526 PFR65523:PFS65526 PPN65523:PPO65526 PZJ65523:PZK65526 QJF65523:QJG65526 QTB65523:QTC65526 RCX65523:RCY65526 RMT65523:RMU65526 RWP65523:RWQ65526 SGL65523:SGM65526 SQH65523:SQI65526 TAD65523:TAE65526 TJZ65523:TKA65526 TTV65523:TTW65526 UDR65523:UDS65526 UNN65523:UNO65526 UXJ65523:UXK65526 VHF65523:VHG65526 VRB65523:VRC65526 WAX65523:WAY65526 WKT65523:WKU65526 WUP65523:WUQ65526 AB131059:AC131062 ID131059:IE131062 RZ131059:SA131062 ABV131059:ABW131062 ALR131059:ALS131062 AVN131059:AVO131062 BFJ131059:BFK131062 BPF131059:BPG131062 BZB131059:BZC131062 CIX131059:CIY131062 CST131059:CSU131062 DCP131059:DCQ131062 DML131059:DMM131062 DWH131059:DWI131062 EGD131059:EGE131062 EPZ131059:EQA131062 EZV131059:EZW131062 FJR131059:FJS131062 FTN131059:FTO131062 GDJ131059:GDK131062 GNF131059:GNG131062 GXB131059:GXC131062 HGX131059:HGY131062 HQT131059:HQU131062 IAP131059:IAQ131062 IKL131059:IKM131062 IUH131059:IUI131062 JED131059:JEE131062 JNZ131059:JOA131062 JXV131059:JXW131062 KHR131059:KHS131062 KRN131059:KRO131062 LBJ131059:LBK131062 LLF131059:LLG131062 LVB131059:LVC131062 MEX131059:MEY131062 MOT131059:MOU131062 MYP131059:MYQ131062 NIL131059:NIM131062 NSH131059:NSI131062 OCD131059:OCE131062 OLZ131059:OMA131062 OVV131059:OVW131062 PFR131059:PFS131062 PPN131059:PPO131062 PZJ131059:PZK131062 QJF131059:QJG131062 QTB131059:QTC131062 RCX131059:RCY131062 RMT131059:RMU131062 RWP131059:RWQ131062 SGL131059:SGM131062 SQH131059:SQI131062 TAD131059:TAE131062 TJZ131059:TKA131062 TTV131059:TTW131062 UDR131059:UDS131062 UNN131059:UNO131062 UXJ131059:UXK131062 VHF131059:VHG131062 VRB131059:VRC131062 WAX131059:WAY131062 WKT131059:WKU131062 WUP131059:WUQ131062 AB196595:AC196598 ID196595:IE196598 RZ196595:SA196598 ABV196595:ABW196598 ALR196595:ALS196598 AVN196595:AVO196598 BFJ196595:BFK196598 BPF196595:BPG196598 BZB196595:BZC196598 CIX196595:CIY196598 CST196595:CSU196598 DCP196595:DCQ196598 DML196595:DMM196598 DWH196595:DWI196598 EGD196595:EGE196598 EPZ196595:EQA196598 EZV196595:EZW196598 FJR196595:FJS196598 FTN196595:FTO196598 GDJ196595:GDK196598 GNF196595:GNG196598 GXB196595:GXC196598 HGX196595:HGY196598 HQT196595:HQU196598 IAP196595:IAQ196598 IKL196595:IKM196598 IUH196595:IUI196598 JED196595:JEE196598 JNZ196595:JOA196598 JXV196595:JXW196598 KHR196595:KHS196598 KRN196595:KRO196598 LBJ196595:LBK196598 LLF196595:LLG196598 LVB196595:LVC196598 MEX196595:MEY196598 MOT196595:MOU196598 MYP196595:MYQ196598 NIL196595:NIM196598 NSH196595:NSI196598 OCD196595:OCE196598 OLZ196595:OMA196598 OVV196595:OVW196598 PFR196595:PFS196598 PPN196595:PPO196598 PZJ196595:PZK196598 QJF196595:QJG196598 QTB196595:QTC196598 RCX196595:RCY196598 RMT196595:RMU196598 RWP196595:RWQ196598 SGL196595:SGM196598 SQH196595:SQI196598 TAD196595:TAE196598 TJZ196595:TKA196598 TTV196595:TTW196598 UDR196595:UDS196598 UNN196595:UNO196598 UXJ196595:UXK196598 VHF196595:VHG196598 VRB196595:VRC196598 WAX196595:WAY196598 WKT196595:WKU196598 WUP196595:WUQ196598 AB262131:AC262134 ID262131:IE262134 RZ262131:SA262134 ABV262131:ABW262134 ALR262131:ALS262134 AVN262131:AVO262134 BFJ262131:BFK262134 BPF262131:BPG262134 BZB262131:BZC262134 CIX262131:CIY262134 CST262131:CSU262134 DCP262131:DCQ262134 DML262131:DMM262134 DWH262131:DWI262134 EGD262131:EGE262134 EPZ262131:EQA262134 EZV262131:EZW262134 FJR262131:FJS262134 FTN262131:FTO262134 GDJ262131:GDK262134 GNF262131:GNG262134 GXB262131:GXC262134 HGX262131:HGY262134 HQT262131:HQU262134 IAP262131:IAQ262134 IKL262131:IKM262134 IUH262131:IUI262134 JED262131:JEE262134 JNZ262131:JOA262134 JXV262131:JXW262134 KHR262131:KHS262134 KRN262131:KRO262134 LBJ262131:LBK262134 LLF262131:LLG262134 LVB262131:LVC262134 MEX262131:MEY262134 MOT262131:MOU262134 MYP262131:MYQ262134 NIL262131:NIM262134 NSH262131:NSI262134 OCD262131:OCE262134 OLZ262131:OMA262134 OVV262131:OVW262134 PFR262131:PFS262134 PPN262131:PPO262134 PZJ262131:PZK262134 QJF262131:QJG262134 QTB262131:QTC262134 RCX262131:RCY262134 RMT262131:RMU262134 RWP262131:RWQ262134 SGL262131:SGM262134 SQH262131:SQI262134 TAD262131:TAE262134 TJZ262131:TKA262134 TTV262131:TTW262134 UDR262131:UDS262134 UNN262131:UNO262134 UXJ262131:UXK262134 VHF262131:VHG262134 VRB262131:VRC262134 WAX262131:WAY262134 WKT262131:WKU262134 WUP262131:WUQ262134 AB327667:AC327670 ID327667:IE327670 RZ327667:SA327670 ABV327667:ABW327670 ALR327667:ALS327670 AVN327667:AVO327670 BFJ327667:BFK327670 BPF327667:BPG327670 BZB327667:BZC327670 CIX327667:CIY327670 CST327667:CSU327670 DCP327667:DCQ327670 DML327667:DMM327670 DWH327667:DWI327670 EGD327667:EGE327670 EPZ327667:EQA327670 EZV327667:EZW327670 FJR327667:FJS327670 FTN327667:FTO327670 GDJ327667:GDK327670 GNF327667:GNG327670 GXB327667:GXC327670 HGX327667:HGY327670 HQT327667:HQU327670 IAP327667:IAQ327670 IKL327667:IKM327670 IUH327667:IUI327670 JED327667:JEE327670 JNZ327667:JOA327670 JXV327667:JXW327670 KHR327667:KHS327670 KRN327667:KRO327670 LBJ327667:LBK327670 LLF327667:LLG327670 LVB327667:LVC327670 MEX327667:MEY327670 MOT327667:MOU327670 MYP327667:MYQ327670 NIL327667:NIM327670 NSH327667:NSI327670 OCD327667:OCE327670 OLZ327667:OMA327670 OVV327667:OVW327670 PFR327667:PFS327670 PPN327667:PPO327670 PZJ327667:PZK327670 QJF327667:QJG327670 QTB327667:QTC327670 RCX327667:RCY327670 RMT327667:RMU327670 RWP327667:RWQ327670 SGL327667:SGM327670 SQH327667:SQI327670 TAD327667:TAE327670 TJZ327667:TKA327670 TTV327667:TTW327670 UDR327667:UDS327670 UNN327667:UNO327670 UXJ327667:UXK327670 VHF327667:VHG327670 VRB327667:VRC327670 WAX327667:WAY327670 WKT327667:WKU327670 WUP327667:WUQ327670 AB393203:AC393206 ID393203:IE393206 RZ393203:SA393206 ABV393203:ABW393206 ALR393203:ALS393206 AVN393203:AVO393206 BFJ393203:BFK393206 BPF393203:BPG393206 BZB393203:BZC393206 CIX393203:CIY393206 CST393203:CSU393206 DCP393203:DCQ393206 DML393203:DMM393206 DWH393203:DWI393206 EGD393203:EGE393206 EPZ393203:EQA393206 EZV393203:EZW393206 FJR393203:FJS393206 FTN393203:FTO393206 GDJ393203:GDK393206 GNF393203:GNG393206 GXB393203:GXC393206 HGX393203:HGY393206 HQT393203:HQU393206 IAP393203:IAQ393206 IKL393203:IKM393206 IUH393203:IUI393206 JED393203:JEE393206 JNZ393203:JOA393206 JXV393203:JXW393206 KHR393203:KHS393206 KRN393203:KRO393206 LBJ393203:LBK393206 LLF393203:LLG393206 LVB393203:LVC393206 MEX393203:MEY393206 MOT393203:MOU393206 MYP393203:MYQ393206 NIL393203:NIM393206 NSH393203:NSI393206 OCD393203:OCE393206 OLZ393203:OMA393206 OVV393203:OVW393206 PFR393203:PFS393206 PPN393203:PPO393206 PZJ393203:PZK393206 QJF393203:QJG393206 QTB393203:QTC393206 RCX393203:RCY393206 RMT393203:RMU393206 RWP393203:RWQ393206 SGL393203:SGM393206 SQH393203:SQI393206 TAD393203:TAE393206 TJZ393203:TKA393206 TTV393203:TTW393206 UDR393203:UDS393206 UNN393203:UNO393206 UXJ393203:UXK393206 VHF393203:VHG393206 VRB393203:VRC393206 WAX393203:WAY393206 WKT393203:WKU393206 WUP393203:WUQ393206 AB458739:AC458742 ID458739:IE458742 RZ458739:SA458742 ABV458739:ABW458742 ALR458739:ALS458742 AVN458739:AVO458742 BFJ458739:BFK458742 BPF458739:BPG458742 BZB458739:BZC458742 CIX458739:CIY458742 CST458739:CSU458742 DCP458739:DCQ458742 DML458739:DMM458742 DWH458739:DWI458742 EGD458739:EGE458742 EPZ458739:EQA458742 EZV458739:EZW458742 FJR458739:FJS458742 FTN458739:FTO458742 GDJ458739:GDK458742 GNF458739:GNG458742 GXB458739:GXC458742 HGX458739:HGY458742 HQT458739:HQU458742 IAP458739:IAQ458742 IKL458739:IKM458742 IUH458739:IUI458742 JED458739:JEE458742 JNZ458739:JOA458742 JXV458739:JXW458742 KHR458739:KHS458742 KRN458739:KRO458742 LBJ458739:LBK458742 LLF458739:LLG458742 LVB458739:LVC458742 MEX458739:MEY458742 MOT458739:MOU458742 MYP458739:MYQ458742 NIL458739:NIM458742 NSH458739:NSI458742 OCD458739:OCE458742 OLZ458739:OMA458742 OVV458739:OVW458742 PFR458739:PFS458742 PPN458739:PPO458742 PZJ458739:PZK458742 QJF458739:QJG458742 QTB458739:QTC458742 RCX458739:RCY458742 RMT458739:RMU458742 RWP458739:RWQ458742 SGL458739:SGM458742 SQH458739:SQI458742 TAD458739:TAE458742 TJZ458739:TKA458742 TTV458739:TTW458742 UDR458739:UDS458742 UNN458739:UNO458742 UXJ458739:UXK458742 VHF458739:VHG458742 VRB458739:VRC458742 WAX458739:WAY458742 WKT458739:WKU458742 WUP458739:WUQ458742 AB524275:AC524278 ID524275:IE524278 RZ524275:SA524278 ABV524275:ABW524278 ALR524275:ALS524278 AVN524275:AVO524278 BFJ524275:BFK524278 BPF524275:BPG524278 BZB524275:BZC524278 CIX524275:CIY524278 CST524275:CSU524278 DCP524275:DCQ524278 DML524275:DMM524278 DWH524275:DWI524278 EGD524275:EGE524278 EPZ524275:EQA524278 EZV524275:EZW524278 FJR524275:FJS524278 FTN524275:FTO524278 GDJ524275:GDK524278 GNF524275:GNG524278 GXB524275:GXC524278 HGX524275:HGY524278 HQT524275:HQU524278 IAP524275:IAQ524278 IKL524275:IKM524278 IUH524275:IUI524278 JED524275:JEE524278 JNZ524275:JOA524278 JXV524275:JXW524278 KHR524275:KHS524278 KRN524275:KRO524278 LBJ524275:LBK524278 LLF524275:LLG524278 LVB524275:LVC524278 MEX524275:MEY524278 MOT524275:MOU524278 MYP524275:MYQ524278 NIL524275:NIM524278 NSH524275:NSI524278 OCD524275:OCE524278 OLZ524275:OMA524278 OVV524275:OVW524278 PFR524275:PFS524278 PPN524275:PPO524278 PZJ524275:PZK524278 QJF524275:QJG524278 QTB524275:QTC524278 RCX524275:RCY524278 RMT524275:RMU524278 RWP524275:RWQ524278 SGL524275:SGM524278 SQH524275:SQI524278 TAD524275:TAE524278 TJZ524275:TKA524278 TTV524275:TTW524278 UDR524275:UDS524278 UNN524275:UNO524278 UXJ524275:UXK524278 VHF524275:VHG524278 VRB524275:VRC524278 WAX524275:WAY524278 WKT524275:WKU524278 WUP524275:WUQ524278 AB589811:AC589814 ID589811:IE589814 RZ589811:SA589814 ABV589811:ABW589814 ALR589811:ALS589814 AVN589811:AVO589814 BFJ589811:BFK589814 BPF589811:BPG589814 BZB589811:BZC589814 CIX589811:CIY589814 CST589811:CSU589814 DCP589811:DCQ589814 DML589811:DMM589814 DWH589811:DWI589814 EGD589811:EGE589814 EPZ589811:EQA589814 EZV589811:EZW589814 FJR589811:FJS589814 FTN589811:FTO589814 GDJ589811:GDK589814 GNF589811:GNG589814 GXB589811:GXC589814 HGX589811:HGY589814 HQT589811:HQU589814 IAP589811:IAQ589814 IKL589811:IKM589814 IUH589811:IUI589814 JED589811:JEE589814 JNZ589811:JOA589814 JXV589811:JXW589814 KHR589811:KHS589814 KRN589811:KRO589814 LBJ589811:LBK589814 LLF589811:LLG589814 LVB589811:LVC589814 MEX589811:MEY589814 MOT589811:MOU589814 MYP589811:MYQ589814 NIL589811:NIM589814 NSH589811:NSI589814 OCD589811:OCE589814 OLZ589811:OMA589814 OVV589811:OVW589814 PFR589811:PFS589814 PPN589811:PPO589814 PZJ589811:PZK589814 QJF589811:QJG589814 QTB589811:QTC589814 RCX589811:RCY589814 RMT589811:RMU589814 RWP589811:RWQ589814 SGL589811:SGM589814 SQH589811:SQI589814 TAD589811:TAE589814 TJZ589811:TKA589814 TTV589811:TTW589814 UDR589811:UDS589814 UNN589811:UNO589814 UXJ589811:UXK589814 VHF589811:VHG589814 VRB589811:VRC589814 WAX589811:WAY589814 WKT589811:WKU589814 WUP589811:WUQ589814 AB655347:AC655350 ID655347:IE655350 RZ655347:SA655350 ABV655347:ABW655350 ALR655347:ALS655350 AVN655347:AVO655350 BFJ655347:BFK655350 BPF655347:BPG655350 BZB655347:BZC655350 CIX655347:CIY655350 CST655347:CSU655350 DCP655347:DCQ655350 DML655347:DMM655350 DWH655347:DWI655350 EGD655347:EGE655350 EPZ655347:EQA655350 EZV655347:EZW655350 FJR655347:FJS655350 FTN655347:FTO655350 GDJ655347:GDK655350 GNF655347:GNG655350 GXB655347:GXC655350 HGX655347:HGY655350 HQT655347:HQU655350 IAP655347:IAQ655350 IKL655347:IKM655350 IUH655347:IUI655350 JED655347:JEE655350 JNZ655347:JOA655350 JXV655347:JXW655350 KHR655347:KHS655350 KRN655347:KRO655350 LBJ655347:LBK655350 LLF655347:LLG655350 LVB655347:LVC655350 MEX655347:MEY655350 MOT655347:MOU655350 MYP655347:MYQ655350 NIL655347:NIM655350 NSH655347:NSI655350 OCD655347:OCE655350 OLZ655347:OMA655350 OVV655347:OVW655350 PFR655347:PFS655350 PPN655347:PPO655350 PZJ655347:PZK655350 QJF655347:QJG655350 QTB655347:QTC655350 RCX655347:RCY655350 RMT655347:RMU655350 RWP655347:RWQ655350 SGL655347:SGM655350 SQH655347:SQI655350 TAD655347:TAE655350 TJZ655347:TKA655350 TTV655347:TTW655350 UDR655347:UDS655350 UNN655347:UNO655350 UXJ655347:UXK655350 VHF655347:VHG655350 VRB655347:VRC655350 WAX655347:WAY655350 WKT655347:WKU655350 WUP655347:WUQ655350 AB720883:AC720886 ID720883:IE720886 RZ720883:SA720886 ABV720883:ABW720886 ALR720883:ALS720886 AVN720883:AVO720886 BFJ720883:BFK720886 BPF720883:BPG720886 BZB720883:BZC720886 CIX720883:CIY720886 CST720883:CSU720886 DCP720883:DCQ720886 DML720883:DMM720886 DWH720883:DWI720886 EGD720883:EGE720886 EPZ720883:EQA720886 EZV720883:EZW720886 FJR720883:FJS720886 FTN720883:FTO720886 GDJ720883:GDK720886 GNF720883:GNG720886 GXB720883:GXC720886 HGX720883:HGY720886 HQT720883:HQU720886 IAP720883:IAQ720886 IKL720883:IKM720886 IUH720883:IUI720886 JED720883:JEE720886 JNZ720883:JOA720886 JXV720883:JXW720886 KHR720883:KHS720886 KRN720883:KRO720886 LBJ720883:LBK720886 LLF720883:LLG720886 LVB720883:LVC720886 MEX720883:MEY720886 MOT720883:MOU720886 MYP720883:MYQ720886 NIL720883:NIM720886 NSH720883:NSI720886 OCD720883:OCE720886 OLZ720883:OMA720886 OVV720883:OVW720886 PFR720883:PFS720886 PPN720883:PPO720886 PZJ720883:PZK720886 QJF720883:QJG720886 QTB720883:QTC720886 RCX720883:RCY720886 RMT720883:RMU720886 RWP720883:RWQ720886 SGL720883:SGM720886 SQH720883:SQI720886 TAD720883:TAE720886 TJZ720883:TKA720886 TTV720883:TTW720886 UDR720883:UDS720886 UNN720883:UNO720886 UXJ720883:UXK720886 VHF720883:VHG720886 VRB720883:VRC720886 WAX720883:WAY720886 WKT720883:WKU720886 WUP720883:WUQ720886 AB786419:AC786422 ID786419:IE786422 RZ786419:SA786422 ABV786419:ABW786422 ALR786419:ALS786422 AVN786419:AVO786422 BFJ786419:BFK786422 BPF786419:BPG786422 BZB786419:BZC786422 CIX786419:CIY786422 CST786419:CSU786422 DCP786419:DCQ786422 DML786419:DMM786422 DWH786419:DWI786422 EGD786419:EGE786422 EPZ786419:EQA786422 EZV786419:EZW786422 FJR786419:FJS786422 FTN786419:FTO786422 GDJ786419:GDK786422 GNF786419:GNG786422 GXB786419:GXC786422 HGX786419:HGY786422 HQT786419:HQU786422 IAP786419:IAQ786422 IKL786419:IKM786422 IUH786419:IUI786422 JED786419:JEE786422 JNZ786419:JOA786422 JXV786419:JXW786422 KHR786419:KHS786422 KRN786419:KRO786422 LBJ786419:LBK786422 LLF786419:LLG786422 LVB786419:LVC786422 MEX786419:MEY786422 MOT786419:MOU786422 MYP786419:MYQ786422 NIL786419:NIM786422 NSH786419:NSI786422 OCD786419:OCE786422 OLZ786419:OMA786422 OVV786419:OVW786422 PFR786419:PFS786422 PPN786419:PPO786422 PZJ786419:PZK786422 QJF786419:QJG786422 QTB786419:QTC786422 RCX786419:RCY786422 RMT786419:RMU786422 RWP786419:RWQ786422 SGL786419:SGM786422 SQH786419:SQI786422 TAD786419:TAE786422 TJZ786419:TKA786422 TTV786419:TTW786422 UDR786419:UDS786422 UNN786419:UNO786422 UXJ786419:UXK786422 VHF786419:VHG786422 VRB786419:VRC786422 WAX786419:WAY786422 WKT786419:WKU786422 WUP786419:WUQ786422 AB851955:AC851958 ID851955:IE851958 RZ851955:SA851958 ABV851955:ABW851958 ALR851955:ALS851958 AVN851955:AVO851958 BFJ851955:BFK851958 BPF851955:BPG851958 BZB851955:BZC851958 CIX851955:CIY851958 CST851955:CSU851958 DCP851955:DCQ851958 DML851955:DMM851958 DWH851955:DWI851958 EGD851955:EGE851958 EPZ851955:EQA851958 EZV851955:EZW851958 FJR851955:FJS851958 FTN851955:FTO851958 GDJ851955:GDK851958 GNF851955:GNG851958 GXB851955:GXC851958 HGX851955:HGY851958 HQT851955:HQU851958 IAP851955:IAQ851958 IKL851955:IKM851958 IUH851955:IUI851958 JED851955:JEE851958 JNZ851955:JOA851958 JXV851955:JXW851958 KHR851955:KHS851958 KRN851955:KRO851958 LBJ851955:LBK851958 LLF851955:LLG851958 LVB851955:LVC851958 MEX851955:MEY851958 MOT851955:MOU851958 MYP851955:MYQ851958 NIL851955:NIM851958 NSH851955:NSI851958 OCD851955:OCE851958 OLZ851955:OMA851958 OVV851955:OVW851958 PFR851955:PFS851958 PPN851955:PPO851958 PZJ851955:PZK851958 QJF851955:QJG851958 QTB851955:QTC851958 RCX851955:RCY851958 RMT851955:RMU851958 RWP851955:RWQ851958 SGL851955:SGM851958 SQH851955:SQI851958 TAD851955:TAE851958 TJZ851955:TKA851958 TTV851955:TTW851958 UDR851955:UDS851958 UNN851955:UNO851958 UXJ851955:UXK851958 VHF851955:VHG851958 VRB851955:VRC851958 WAX851955:WAY851958 WKT851955:WKU851958 WUP851955:WUQ851958 AB917491:AC917494 ID917491:IE917494 RZ917491:SA917494 ABV917491:ABW917494 ALR917491:ALS917494 AVN917491:AVO917494 BFJ917491:BFK917494 BPF917491:BPG917494 BZB917491:BZC917494 CIX917491:CIY917494 CST917491:CSU917494 DCP917491:DCQ917494 DML917491:DMM917494 DWH917491:DWI917494 EGD917491:EGE917494 EPZ917491:EQA917494 EZV917491:EZW917494 FJR917491:FJS917494 FTN917491:FTO917494 GDJ917491:GDK917494 GNF917491:GNG917494 GXB917491:GXC917494 HGX917491:HGY917494 HQT917491:HQU917494 IAP917491:IAQ917494 IKL917491:IKM917494 IUH917491:IUI917494 JED917491:JEE917494 JNZ917491:JOA917494 JXV917491:JXW917494 KHR917491:KHS917494 KRN917491:KRO917494 LBJ917491:LBK917494 LLF917491:LLG917494 LVB917491:LVC917494 MEX917491:MEY917494 MOT917491:MOU917494 MYP917491:MYQ917494 NIL917491:NIM917494 NSH917491:NSI917494 OCD917491:OCE917494 OLZ917491:OMA917494 OVV917491:OVW917494 PFR917491:PFS917494 PPN917491:PPO917494 PZJ917491:PZK917494 QJF917491:QJG917494 QTB917491:QTC917494 RCX917491:RCY917494 RMT917491:RMU917494 RWP917491:RWQ917494 SGL917491:SGM917494 SQH917491:SQI917494 TAD917491:TAE917494 TJZ917491:TKA917494 TTV917491:TTW917494 UDR917491:UDS917494 UNN917491:UNO917494 UXJ917491:UXK917494 VHF917491:VHG917494 VRB917491:VRC917494 WAX917491:WAY917494 WKT917491:WKU917494 WUP917491:WUQ917494 AB983027:AC983030 ID983027:IE983030 RZ983027:SA983030 ABV983027:ABW983030 ALR983027:ALS983030 AVN983027:AVO983030 BFJ983027:BFK983030 BPF983027:BPG983030 BZB983027:BZC983030 CIX983027:CIY983030 CST983027:CSU983030 DCP983027:DCQ983030 DML983027:DMM983030 DWH983027:DWI983030 EGD983027:EGE983030 EPZ983027:EQA983030 EZV983027:EZW983030 FJR983027:FJS983030 FTN983027:FTO983030 GDJ983027:GDK983030 GNF983027:GNG983030 GXB983027:GXC983030 HGX983027:HGY983030 HQT983027:HQU983030 IAP983027:IAQ983030 IKL983027:IKM983030 IUH983027:IUI983030 JED983027:JEE983030 JNZ983027:JOA983030 JXV983027:JXW983030 KHR983027:KHS983030 KRN983027:KRO983030 LBJ983027:LBK983030 LLF983027:LLG983030 LVB983027:LVC983030 MEX983027:MEY983030 MOT983027:MOU983030 MYP983027:MYQ983030 NIL983027:NIM983030 NSH983027:NSI983030 OCD983027:OCE983030 OLZ983027:OMA983030 OVV983027:OVW983030 PFR983027:PFS983030 PPN983027:PPO983030 PZJ983027:PZK983030 QJF983027:QJG983030 QTB983027:QTC983030 RCX983027:RCY983030 RMT983027:RMU983030 RWP983027:RWQ983030 SGL983027:SGM983030 SQH983027:SQI983030 TAD983027:TAE983030 TJZ983027:TKA983030 TTV983027:TTW983030 UDR983027:UDS983030 UNN983027:UNO983030 UXJ983027:UXK983030 VHF983027:VHG983030 VRB983027:VRC983030 WAX983027:WAY983030" xr:uid="{B60797C6-1CDE-462C-9879-FBC80D88924B}">
      <formula1>$U$46:$U$49</formula1>
    </dataValidation>
    <dataValidation type="list" allowBlank="1" showInputMessage="1" showErrorMessage="1" sqref="AE983068:AL983073 IG983068:IN983073 SC983068:SJ983073 ABY983068:ACF983073 ALU983068:AMB983073 AVQ983068:AVX983073 BFM983068:BFT983073 BPI983068:BPP983073 BZE983068:BZL983073 CJA983068:CJH983073 CSW983068:CTD983073 DCS983068:DCZ983073 DMO983068:DMV983073 DWK983068:DWR983073 EGG983068:EGN983073 EQC983068:EQJ983073 EZY983068:FAF983073 FJU983068:FKB983073 FTQ983068:FTX983073 GDM983068:GDT983073 GNI983068:GNP983073 GXE983068:GXL983073 HHA983068:HHH983073 HQW983068:HRD983073 IAS983068:IAZ983073 IKO983068:IKV983073 IUK983068:IUR983073 JEG983068:JEN983073 JOC983068:JOJ983073 JXY983068:JYF983073 KHU983068:KIB983073 KRQ983068:KRX983073 LBM983068:LBT983073 LLI983068:LLP983073 LVE983068:LVL983073 MFA983068:MFH983073 MOW983068:MPD983073 MYS983068:MYZ983073 NIO983068:NIV983073 NSK983068:NSR983073 OCG983068:OCN983073 OMC983068:OMJ983073 OVY983068:OWF983073 PFU983068:PGB983073 PPQ983068:PPX983073 PZM983068:PZT983073 QJI983068:QJP983073 QTE983068:QTL983073 RDA983068:RDH983073 RMW983068:RND983073 RWS983068:RWZ983073 SGO983068:SGV983073 SQK983068:SQR983073 TAG983068:TAN983073 TKC983068:TKJ983073 TTY983068:TUF983073 UDU983068:UEB983073 UNQ983068:UNX983073 UXM983068:UXT983073 VHI983068:VHP983073 VRE983068:VRL983073 WBA983068:WBH983073 WKW983068:WLD983073 WUS983068:WUZ983073 AE65564:AL65569 IG65564:IN65569 SC65564:SJ65569 ABY65564:ACF65569 ALU65564:AMB65569 AVQ65564:AVX65569 BFM65564:BFT65569 BPI65564:BPP65569 BZE65564:BZL65569 CJA65564:CJH65569 CSW65564:CTD65569 DCS65564:DCZ65569 DMO65564:DMV65569 DWK65564:DWR65569 EGG65564:EGN65569 EQC65564:EQJ65569 EZY65564:FAF65569 FJU65564:FKB65569 FTQ65564:FTX65569 GDM65564:GDT65569 GNI65564:GNP65569 GXE65564:GXL65569 HHA65564:HHH65569 HQW65564:HRD65569 IAS65564:IAZ65569 IKO65564:IKV65569 IUK65564:IUR65569 JEG65564:JEN65569 JOC65564:JOJ65569 JXY65564:JYF65569 KHU65564:KIB65569 KRQ65564:KRX65569 LBM65564:LBT65569 LLI65564:LLP65569 LVE65564:LVL65569 MFA65564:MFH65569 MOW65564:MPD65569 MYS65564:MYZ65569 NIO65564:NIV65569 NSK65564:NSR65569 OCG65564:OCN65569 OMC65564:OMJ65569 OVY65564:OWF65569 PFU65564:PGB65569 PPQ65564:PPX65569 PZM65564:PZT65569 QJI65564:QJP65569 QTE65564:QTL65569 RDA65564:RDH65569 RMW65564:RND65569 RWS65564:RWZ65569 SGO65564:SGV65569 SQK65564:SQR65569 TAG65564:TAN65569 TKC65564:TKJ65569 TTY65564:TUF65569 UDU65564:UEB65569 UNQ65564:UNX65569 UXM65564:UXT65569 VHI65564:VHP65569 VRE65564:VRL65569 WBA65564:WBH65569 WKW65564:WLD65569 WUS65564:WUZ65569 AE131100:AL131105 IG131100:IN131105 SC131100:SJ131105 ABY131100:ACF131105 ALU131100:AMB131105 AVQ131100:AVX131105 BFM131100:BFT131105 BPI131100:BPP131105 BZE131100:BZL131105 CJA131100:CJH131105 CSW131100:CTD131105 DCS131100:DCZ131105 DMO131100:DMV131105 DWK131100:DWR131105 EGG131100:EGN131105 EQC131100:EQJ131105 EZY131100:FAF131105 FJU131100:FKB131105 FTQ131100:FTX131105 GDM131100:GDT131105 GNI131100:GNP131105 GXE131100:GXL131105 HHA131100:HHH131105 HQW131100:HRD131105 IAS131100:IAZ131105 IKO131100:IKV131105 IUK131100:IUR131105 JEG131100:JEN131105 JOC131100:JOJ131105 JXY131100:JYF131105 KHU131100:KIB131105 KRQ131100:KRX131105 LBM131100:LBT131105 LLI131100:LLP131105 LVE131100:LVL131105 MFA131100:MFH131105 MOW131100:MPD131105 MYS131100:MYZ131105 NIO131100:NIV131105 NSK131100:NSR131105 OCG131100:OCN131105 OMC131100:OMJ131105 OVY131100:OWF131105 PFU131100:PGB131105 PPQ131100:PPX131105 PZM131100:PZT131105 QJI131100:QJP131105 QTE131100:QTL131105 RDA131100:RDH131105 RMW131100:RND131105 RWS131100:RWZ131105 SGO131100:SGV131105 SQK131100:SQR131105 TAG131100:TAN131105 TKC131100:TKJ131105 TTY131100:TUF131105 UDU131100:UEB131105 UNQ131100:UNX131105 UXM131100:UXT131105 VHI131100:VHP131105 VRE131100:VRL131105 WBA131100:WBH131105 WKW131100:WLD131105 WUS131100:WUZ131105 AE196636:AL196641 IG196636:IN196641 SC196636:SJ196641 ABY196636:ACF196641 ALU196636:AMB196641 AVQ196636:AVX196641 BFM196636:BFT196641 BPI196636:BPP196641 BZE196636:BZL196641 CJA196636:CJH196641 CSW196636:CTD196641 DCS196636:DCZ196641 DMO196636:DMV196641 DWK196636:DWR196641 EGG196636:EGN196641 EQC196636:EQJ196641 EZY196636:FAF196641 FJU196636:FKB196641 FTQ196636:FTX196641 GDM196636:GDT196641 GNI196636:GNP196641 GXE196636:GXL196641 HHA196636:HHH196641 HQW196636:HRD196641 IAS196636:IAZ196641 IKO196636:IKV196641 IUK196636:IUR196641 JEG196636:JEN196641 JOC196636:JOJ196641 JXY196636:JYF196641 KHU196636:KIB196641 KRQ196636:KRX196641 LBM196636:LBT196641 LLI196636:LLP196641 LVE196636:LVL196641 MFA196636:MFH196641 MOW196636:MPD196641 MYS196636:MYZ196641 NIO196636:NIV196641 NSK196636:NSR196641 OCG196636:OCN196641 OMC196636:OMJ196641 OVY196636:OWF196641 PFU196636:PGB196641 PPQ196636:PPX196641 PZM196636:PZT196641 QJI196636:QJP196641 QTE196636:QTL196641 RDA196636:RDH196641 RMW196636:RND196641 RWS196636:RWZ196641 SGO196636:SGV196641 SQK196636:SQR196641 TAG196636:TAN196641 TKC196636:TKJ196641 TTY196636:TUF196641 UDU196636:UEB196641 UNQ196636:UNX196641 UXM196636:UXT196641 VHI196636:VHP196641 VRE196636:VRL196641 WBA196636:WBH196641 WKW196636:WLD196641 WUS196636:WUZ196641 AE262172:AL262177 IG262172:IN262177 SC262172:SJ262177 ABY262172:ACF262177 ALU262172:AMB262177 AVQ262172:AVX262177 BFM262172:BFT262177 BPI262172:BPP262177 BZE262172:BZL262177 CJA262172:CJH262177 CSW262172:CTD262177 DCS262172:DCZ262177 DMO262172:DMV262177 DWK262172:DWR262177 EGG262172:EGN262177 EQC262172:EQJ262177 EZY262172:FAF262177 FJU262172:FKB262177 FTQ262172:FTX262177 GDM262172:GDT262177 GNI262172:GNP262177 GXE262172:GXL262177 HHA262172:HHH262177 HQW262172:HRD262177 IAS262172:IAZ262177 IKO262172:IKV262177 IUK262172:IUR262177 JEG262172:JEN262177 JOC262172:JOJ262177 JXY262172:JYF262177 KHU262172:KIB262177 KRQ262172:KRX262177 LBM262172:LBT262177 LLI262172:LLP262177 LVE262172:LVL262177 MFA262172:MFH262177 MOW262172:MPD262177 MYS262172:MYZ262177 NIO262172:NIV262177 NSK262172:NSR262177 OCG262172:OCN262177 OMC262172:OMJ262177 OVY262172:OWF262177 PFU262172:PGB262177 PPQ262172:PPX262177 PZM262172:PZT262177 QJI262172:QJP262177 QTE262172:QTL262177 RDA262172:RDH262177 RMW262172:RND262177 RWS262172:RWZ262177 SGO262172:SGV262177 SQK262172:SQR262177 TAG262172:TAN262177 TKC262172:TKJ262177 TTY262172:TUF262177 UDU262172:UEB262177 UNQ262172:UNX262177 UXM262172:UXT262177 VHI262172:VHP262177 VRE262172:VRL262177 WBA262172:WBH262177 WKW262172:WLD262177 WUS262172:WUZ262177 AE327708:AL327713 IG327708:IN327713 SC327708:SJ327713 ABY327708:ACF327713 ALU327708:AMB327713 AVQ327708:AVX327713 BFM327708:BFT327713 BPI327708:BPP327713 BZE327708:BZL327713 CJA327708:CJH327713 CSW327708:CTD327713 DCS327708:DCZ327713 DMO327708:DMV327713 DWK327708:DWR327713 EGG327708:EGN327713 EQC327708:EQJ327713 EZY327708:FAF327713 FJU327708:FKB327713 FTQ327708:FTX327713 GDM327708:GDT327713 GNI327708:GNP327713 GXE327708:GXL327713 HHA327708:HHH327713 HQW327708:HRD327713 IAS327708:IAZ327713 IKO327708:IKV327713 IUK327708:IUR327713 JEG327708:JEN327713 JOC327708:JOJ327713 JXY327708:JYF327713 KHU327708:KIB327713 KRQ327708:KRX327713 LBM327708:LBT327713 LLI327708:LLP327713 LVE327708:LVL327713 MFA327708:MFH327713 MOW327708:MPD327713 MYS327708:MYZ327713 NIO327708:NIV327713 NSK327708:NSR327713 OCG327708:OCN327713 OMC327708:OMJ327713 OVY327708:OWF327713 PFU327708:PGB327713 PPQ327708:PPX327713 PZM327708:PZT327713 QJI327708:QJP327713 QTE327708:QTL327713 RDA327708:RDH327713 RMW327708:RND327713 RWS327708:RWZ327713 SGO327708:SGV327713 SQK327708:SQR327713 TAG327708:TAN327713 TKC327708:TKJ327713 TTY327708:TUF327713 UDU327708:UEB327713 UNQ327708:UNX327713 UXM327708:UXT327713 VHI327708:VHP327713 VRE327708:VRL327713 WBA327708:WBH327713 WKW327708:WLD327713 WUS327708:WUZ327713 AE393244:AL393249 IG393244:IN393249 SC393244:SJ393249 ABY393244:ACF393249 ALU393244:AMB393249 AVQ393244:AVX393249 BFM393244:BFT393249 BPI393244:BPP393249 BZE393244:BZL393249 CJA393244:CJH393249 CSW393244:CTD393249 DCS393244:DCZ393249 DMO393244:DMV393249 DWK393244:DWR393249 EGG393244:EGN393249 EQC393244:EQJ393249 EZY393244:FAF393249 FJU393244:FKB393249 FTQ393244:FTX393249 GDM393244:GDT393249 GNI393244:GNP393249 GXE393244:GXL393249 HHA393244:HHH393249 HQW393244:HRD393249 IAS393244:IAZ393249 IKO393244:IKV393249 IUK393244:IUR393249 JEG393244:JEN393249 JOC393244:JOJ393249 JXY393244:JYF393249 KHU393244:KIB393249 KRQ393244:KRX393249 LBM393244:LBT393249 LLI393244:LLP393249 LVE393244:LVL393249 MFA393244:MFH393249 MOW393244:MPD393249 MYS393244:MYZ393249 NIO393244:NIV393249 NSK393244:NSR393249 OCG393244:OCN393249 OMC393244:OMJ393249 OVY393244:OWF393249 PFU393244:PGB393249 PPQ393244:PPX393249 PZM393244:PZT393249 QJI393244:QJP393249 QTE393244:QTL393249 RDA393244:RDH393249 RMW393244:RND393249 RWS393244:RWZ393249 SGO393244:SGV393249 SQK393244:SQR393249 TAG393244:TAN393249 TKC393244:TKJ393249 TTY393244:TUF393249 UDU393244:UEB393249 UNQ393244:UNX393249 UXM393244:UXT393249 VHI393244:VHP393249 VRE393244:VRL393249 WBA393244:WBH393249 WKW393244:WLD393249 WUS393244:WUZ393249 AE458780:AL458785 IG458780:IN458785 SC458780:SJ458785 ABY458780:ACF458785 ALU458780:AMB458785 AVQ458780:AVX458785 BFM458780:BFT458785 BPI458780:BPP458785 BZE458780:BZL458785 CJA458780:CJH458785 CSW458780:CTD458785 DCS458780:DCZ458785 DMO458780:DMV458785 DWK458780:DWR458785 EGG458780:EGN458785 EQC458780:EQJ458785 EZY458780:FAF458785 FJU458780:FKB458785 FTQ458780:FTX458785 GDM458780:GDT458785 GNI458780:GNP458785 GXE458780:GXL458785 HHA458780:HHH458785 HQW458780:HRD458785 IAS458780:IAZ458785 IKO458780:IKV458785 IUK458780:IUR458785 JEG458780:JEN458785 JOC458780:JOJ458785 JXY458780:JYF458785 KHU458780:KIB458785 KRQ458780:KRX458785 LBM458780:LBT458785 LLI458780:LLP458785 LVE458780:LVL458785 MFA458780:MFH458785 MOW458780:MPD458785 MYS458780:MYZ458785 NIO458780:NIV458785 NSK458780:NSR458785 OCG458780:OCN458785 OMC458780:OMJ458785 OVY458780:OWF458785 PFU458780:PGB458785 PPQ458780:PPX458785 PZM458780:PZT458785 QJI458780:QJP458785 QTE458780:QTL458785 RDA458780:RDH458785 RMW458780:RND458785 RWS458780:RWZ458785 SGO458780:SGV458785 SQK458780:SQR458785 TAG458780:TAN458785 TKC458780:TKJ458785 TTY458780:TUF458785 UDU458780:UEB458785 UNQ458780:UNX458785 UXM458780:UXT458785 VHI458780:VHP458785 VRE458780:VRL458785 WBA458780:WBH458785 WKW458780:WLD458785 WUS458780:WUZ458785 AE524316:AL524321 IG524316:IN524321 SC524316:SJ524321 ABY524316:ACF524321 ALU524316:AMB524321 AVQ524316:AVX524321 BFM524316:BFT524321 BPI524316:BPP524321 BZE524316:BZL524321 CJA524316:CJH524321 CSW524316:CTD524321 DCS524316:DCZ524321 DMO524316:DMV524321 DWK524316:DWR524321 EGG524316:EGN524321 EQC524316:EQJ524321 EZY524316:FAF524321 FJU524316:FKB524321 FTQ524316:FTX524321 GDM524316:GDT524321 GNI524316:GNP524321 GXE524316:GXL524321 HHA524316:HHH524321 HQW524316:HRD524321 IAS524316:IAZ524321 IKO524316:IKV524321 IUK524316:IUR524321 JEG524316:JEN524321 JOC524316:JOJ524321 JXY524316:JYF524321 KHU524316:KIB524321 KRQ524316:KRX524321 LBM524316:LBT524321 LLI524316:LLP524321 LVE524316:LVL524321 MFA524316:MFH524321 MOW524316:MPD524321 MYS524316:MYZ524321 NIO524316:NIV524321 NSK524316:NSR524321 OCG524316:OCN524321 OMC524316:OMJ524321 OVY524316:OWF524321 PFU524316:PGB524321 PPQ524316:PPX524321 PZM524316:PZT524321 QJI524316:QJP524321 QTE524316:QTL524321 RDA524316:RDH524321 RMW524316:RND524321 RWS524316:RWZ524321 SGO524316:SGV524321 SQK524316:SQR524321 TAG524316:TAN524321 TKC524316:TKJ524321 TTY524316:TUF524321 UDU524316:UEB524321 UNQ524316:UNX524321 UXM524316:UXT524321 VHI524316:VHP524321 VRE524316:VRL524321 WBA524316:WBH524321 WKW524316:WLD524321 WUS524316:WUZ524321 AE589852:AL589857 IG589852:IN589857 SC589852:SJ589857 ABY589852:ACF589857 ALU589852:AMB589857 AVQ589852:AVX589857 BFM589852:BFT589857 BPI589852:BPP589857 BZE589852:BZL589857 CJA589852:CJH589857 CSW589852:CTD589857 DCS589852:DCZ589857 DMO589852:DMV589857 DWK589852:DWR589857 EGG589852:EGN589857 EQC589852:EQJ589857 EZY589852:FAF589857 FJU589852:FKB589857 FTQ589852:FTX589857 GDM589852:GDT589857 GNI589852:GNP589857 GXE589852:GXL589857 HHA589852:HHH589857 HQW589852:HRD589857 IAS589852:IAZ589857 IKO589852:IKV589857 IUK589852:IUR589857 JEG589852:JEN589857 JOC589852:JOJ589857 JXY589852:JYF589857 KHU589852:KIB589857 KRQ589852:KRX589857 LBM589852:LBT589857 LLI589852:LLP589857 LVE589852:LVL589857 MFA589852:MFH589857 MOW589852:MPD589857 MYS589852:MYZ589857 NIO589852:NIV589857 NSK589852:NSR589857 OCG589852:OCN589857 OMC589852:OMJ589857 OVY589852:OWF589857 PFU589852:PGB589857 PPQ589852:PPX589857 PZM589852:PZT589857 QJI589852:QJP589857 QTE589852:QTL589857 RDA589852:RDH589857 RMW589852:RND589857 RWS589852:RWZ589857 SGO589852:SGV589857 SQK589852:SQR589857 TAG589852:TAN589857 TKC589852:TKJ589857 TTY589852:TUF589857 UDU589852:UEB589857 UNQ589852:UNX589857 UXM589852:UXT589857 VHI589852:VHP589857 VRE589852:VRL589857 WBA589852:WBH589857 WKW589852:WLD589857 WUS589852:WUZ589857 AE655388:AL655393 IG655388:IN655393 SC655388:SJ655393 ABY655388:ACF655393 ALU655388:AMB655393 AVQ655388:AVX655393 BFM655388:BFT655393 BPI655388:BPP655393 BZE655388:BZL655393 CJA655388:CJH655393 CSW655388:CTD655393 DCS655388:DCZ655393 DMO655388:DMV655393 DWK655388:DWR655393 EGG655388:EGN655393 EQC655388:EQJ655393 EZY655388:FAF655393 FJU655388:FKB655393 FTQ655388:FTX655393 GDM655388:GDT655393 GNI655388:GNP655393 GXE655388:GXL655393 HHA655388:HHH655393 HQW655388:HRD655393 IAS655388:IAZ655393 IKO655388:IKV655393 IUK655388:IUR655393 JEG655388:JEN655393 JOC655388:JOJ655393 JXY655388:JYF655393 KHU655388:KIB655393 KRQ655388:KRX655393 LBM655388:LBT655393 LLI655388:LLP655393 LVE655388:LVL655393 MFA655388:MFH655393 MOW655388:MPD655393 MYS655388:MYZ655393 NIO655388:NIV655393 NSK655388:NSR655393 OCG655388:OCN655393 OMC655388:OMJ655393 OVY655388:OWF655393 PFU655388:PGB655393 PPQ655388:PPX655393 PZM655388:PZT655393 QJI655388:QJP655393 QTE655388:QTL655393 RDA655388:RDH655393 RMW655388:RND655393 RWS655388:RWZ655393 SGO655388:SGV655393 SQK655388:SQR655393 TAG655388:TAN655393 TKC655388:TKJ655393 TTY655388:TUF655393 UDU655388:UEB655393 UNQ655388:UNX655393 UXM655388:UXT655393 VHI655388:VHP655393 VRE655388:VRL655393 WBA655388:WBH655393 WKW655388:WLD655393 WUS655388:WUZ655393 AE720924:AL720929 IG720924:IN720929 SC720924:SJ720929 ABY720924:ACF720929 ALU720924:AMB720929 AVQ720924:AVX720929 BFM720924:BFT720929 BPI720924:BPP720929 BZE720924:BZL720929 CJA720924:CJH720929 CSW720924:CTD720929 DCS720924:DCZ720929 DMO720924:DMV720929 DWK720924:DWR720929 EGG720924:EGN720929 EQC720924:EQJ720929 EZY720924:FAF720929 FJU720924:FKB720929 FTQ720924:FTX720929 GDM720924:GDT720929 GNI720924:GNP720929 GXE720924:GXL720929 HHA720924:HHH720929 HQW720924:HRD720929 IAS720924:IAZ720929 IKO720924:IKV720929 IUK720924:IUR720929 JEG720924:JEN720929 JOC720924:JOJ720929 JXY720924:JYF720929 KHU720924:KIB720929 KRQ720924:KRX720929 LBM720924:LBT720929 LLI720924:LLP720929 LVE720924:LVL720929 MFA720924:MFH720929 MOW720924:MPD720929 MYS720924:MYZ720929 NIO720924:NIV720929 NSK720924:NSR720929 OCG720924:OCN720929 OMC720924:OMJ720929 OVY720924:OWF720929 PFU720924:PGB720929 PPQ720924:PPX720929 PZM720924:PZT720929 QJI720924:QJP720929 QTE720924:QTL720929 RDA720924:RDH720929 RMW720924:RND720929 RWS720924:RWZ720929 SGO720924:SGV720929 SQK720924:SQR720929 TAG720924:TAN720929 TKC720924:TKJ720929 TTY720924:TUF720929 UDU720924:UEB720929 UNQ720924:UNX720929 UXM720924:UXT720929 VHI720924:VHP720929 VRE720924:VRL720929 WBA720924:WBH720929 WKW720924:WLD720929 WUS720924:WUZ720929 AE786460:AL786465 IG786460:IN786465 SC786460:SJ786465 ABY786460:ACF786465 ALU786460:AMB786465 AVQ786460:AVX786465 BFM786460:BFT786465 BPI786460:BPP786465 BZE786460:BZL786465 CJA786460:CJH786465 CSW786460:CTD786465 DCS786460:DCZ786465 DMO786460:DMV786465 DWK786460:DWR786465 EGG786460:EGN786465 EQC786460:EQJ786465 EZY786460:FAF786465 FJU786460:FKB786465 FTQ786460:FTX786465 GDM786460:GDT786465 GNI786460:GNP786465 GXE786460:GXL786465 HHA786460:HHH786465 HQW786460:HRD786465 IAS786460:IAZ786465 IKO786460:IKV786465 IUK786460:IUR786465 JEG786460:JEN786465 JOC786460:JOJ786465 JXY786460:JYF786465 KHU786460:KIB786465 KRQ786460:KRX786465 LBM786460:LBT786465 LLI786460:LLP786465 LVE786460:LVL786465 MFA786460:MFH786465 MOW786460:MPD786465 MYS786460:MYZ786465 NIO786460:NIV786465 NSK786460:NSR786465 OCG786460:OCN786465 OMC786460:OMJ786465 OVY786460:OWF786465 PFU786460:PGB786465 PPQ786460:PPX786465 PZM786460:PZT786465 QJI786460:QJP786465 QTE786460:QTL786465 RDA786460:RDH786465 RMW786460:RND786465 RWS786460:RWZ786465 SGO786460:SGV786465 SQK786460:SQR786465 TAG786460:TAN786465 TKC786460:TKJ786465 TTY786460:TUF786465 UDU786460:UEB786465 UNQ786460:UNX786465 UXM786460:UXT786465 VHI786460:VHP786465 VRE786460:VRL786465 WBA786460:WBH786465 WKW786460:WLD786465 WUS786460:WUZ786465 AE851996:AL852001 IG851996:IN852001 SC851996:SJ852001 ABY851996:ACF852001 ALU851996:AMB852001 AVQ851996:AVX852001 BFM851996:BFT852001 BPI851996:BPP852001 BZE851996:BZL852001 CJA851996:CJH852001 CSW851996:CTD852001 DCS851996:DCZ852001 DMO851996:DMV852001 DWK851996:DWR852001 EGG851996:EGN852001 EQC851996:EQJ852001 EZY851996:FAF852001 FJU851996:FKB852001 FTQ851996:FTX852001 GDM851996:GDT852001 GNI851996:GNP852001 GXE851996:GXL852001 HHA851996:HHH852001 HQW851996:HRD852001 IAS851996:IAZ852001 IKO851996:IKV852001 IUK851996:IUR852001 JEG851996:JEN852001 JOC851996:JOJ852001 JXY851996:JYF852001 KHU851996:KIB852001 KRQ851996:KRX852001 LBM851996:LBT852001 LLI851996:LLP852001 LVE851996:LVL852001 MFA851996:MFH852001 MOW851996:MPD852001 MYS851996:MYZ852001 NIO851996:NIV852001 NSK851996:NSR852001 OCG851996:OCN852001 OMC851996:OMJ852001 OVY851996:OWF852001 PFU851996:PGB852001 PPQ851996:PPX852001 PZM851996:PZT852001 QJI851996:QJP852001 QTE851996:QTL852001 RDA851996:RDH852001 RMW851996:RND852001 RWS851996:RWZ852001 SGO851996:SGV852001 SQK851996:SQR852001 TAG851996:TAN852001 TKC851996:TKJ852001 TTY851996:TUF852001 UDU851996:UEB852001 UNQ851996:UNX852001 UXM851996:UXT852001 VHI851996:VHP852001 VRE851996:VRL852001 WBA851996:WBH852001 WKW851996:WLD852001 WUS851996:WUZ852001 AE917532:AL917537 IG917532:IN917537 SC917532:SJ917537 ABY917532:ACF917537 ALU917532:AMB917537 AVQ917532:AVX917537 BFM917532:BFT917537 BPI917532:BPP917537 BZE917532:BZL917537 CJA917532:CJH917537 CSW917532:CTD917537 DCS917532:DCZ917537 DMO917532:DMV917537 DWK917532:DWR917537 EGG917532:EGN917537 EQC917532:EQJ917537 EZY917532:FAF917537 FJU917532:FKB917537 FTQ917532:FTX917537 GDM917532:GDT917537 GNI917532:GNP917537 GXE917532:GXL917537 HHA917532:HHH917537 HQW917532:HRD917537 IAS917532:IAZ917537 IKO917532:IKV917537 IUK917532:IUR917537 JEG917532:JEN917537 JOC917532:JOJ917537 JXY917532:JYF917537 KHU917532:KIB917537 KRQ917532:KRX917537 LBM917532:LBT917537 LLI917532:LLP917537 LVE917532:LVL917537 MFA917532:MFH917537 MOW917532:MPD917537 MYS917532:MYZ917537 NIO917532:NIV917537 NSK917532:NSR917537 OCG917532:OCN917537 OMC917532:OMJ917537 OVY917532:OWF917537 PFU917532:PGB917537 PPQ917532:PPX917537 PZM917532:PZT917537 QJI917532:QJP917537 QTE917532:QTL917537 RDA917532:RDH917537 RMW917532:RND917537 RWS917532:RWZ917537 SGO917532:SGV917537 SQK917532:SQR917537 TAG917532:TAN917537 TKC917532:TKJ917537 TTY917532:TUF917537 UDU917532:UEB917537 UNQ917532:UNX917537 UXM917532:UXT917537 VHI917532:VHP917537 VRE917532:VRL917537 WBA917532:WBH917537 WKW917532:WLD917537 WUS917532:WUZ917537 AE27:AL33 WKW27:WLD31 WBA27:WBH31 VRE27:VRL31 VHI27:VHP31 UXM27:UXT31 UNQ27:UNX31 UDU27:UEB31 TTY27:TUF31 TKC27:TKJ31 TAG27:TAN31 SQK27:SQR31 SGO27:SGV31 RWS27:RWZ31 RMW27:RND31 RDA27:RDH31 QTE27:QTL31 QJI27:QJP31 PZM27:PZT31 PPQ27:PPX31 PFU27:PGB31 OVY27:OWF31 OMC27:OMJ31 OCG27:OCN31 NSK27:NSR31 NIO27:NIV31 MYS27:MYZ31 MOW27:MPD31 MFA27:MFH31 LVE27:LVL31 LLI27:LLP31 LBM27:LBT31 KRQ27:KRX31 KHU27:KIB31 JXY27:JYF31 JOC27:JOJ31 JEG27:JEN31 IUK27:IUR31 IKO27:IKV31 IAS27:IAZ31 HQW27:HRD31 HHA27:HHH31 GXE27:GXL31 GNI27:GNP31 GDM27:GDT31 FTQ27:FTX31 FJU27:FKB31 EZY27:FAF31 EQC27:EQJ31 EGG27:EGN31 DWK27:DWR31 DMO27:DMV31 DCS27:DCZ31 CSW27:CTD31 CJA27:CJH31 BZE27:BZL31 BPI27:BPP31 BFM27:BFT31 AVQ27:AVX31 ALU27:AMB31 ABY27:ACF31 SC27:SJ31 IG27:IN31 WUS27:WUZ31" xr:uid="{92E3B9A6-2BA9-4464-BC49-C91A4CCFB7D3}">
      <formula1>"サーバ,クライアント"</formula1>
    </dataValidation>
    <dataValidation type="list" allowBlank="1" showInputMessage="1" showErrorMessage="1" sqref="WKV983027:WKW983064 WUR983027:WUS983064 AD5:AE22 AD65523:AE65560 IF65523:IG65560 SB65523:SC65560 ABX65523:ABY65560 ALT65523:ALU65560 AVP65523:AVQ65560 BFL65523:BFM65560 BPH65523:BPI65560 BZD65523:BZE65560 CIZ65523:CJA65560 CSV65523:CSW65560 DCR65523:DCS65560 DMN65523:DMO65560 DWJ65523:DWK65560 EGF65523:EGG65560 EQB65523:EQC65560 EZX65523:EZY65560 FJT65523:FJU65560 FTP65523:FTQ65560 GDL65523:GDM65560 GNH65523:GNI65560 GXD65523:GXE65560 HGZ65523:HHA65560 HQV65523:HQW65560 IAR65523:IAS65560 IKN65523:IKO65560 IUJ65523:IUK65560 JEF65523:JEG65560 JOB65523:JOC65560 JXX65523:JXY65560 KHT65523:KHU65560 KRP65523:KRQ65560 LBL65523:LBM65560 LLH65523:LLI65560 LVD65523:LVE65560 MEZ65523:MFA65560 MOV65523:MOW65560 MYR65523:MYS65560 NIN65523:NIO65560 NSJ65523:NSK65560 OCF65523:OCG65560 OMB65523:OMC65560 OVX65523:OVY65560 PFT65523:PFU65560 PPP65523:PPQ65560 PZL65523:PZM65560 QJH65523:QJI65560 QTD65523:QTE65560 RCZ65523:RDA65560 RMV65523:RMW65560 RWR65523:RWS65560 SGN65523:SGO65560 SQJ65523:SQK65560 TAF65523:TAG65560 TKB65523:TKC65560 TTX65523:TTY65560 UDT65523:UDU65560 UNP65523:UNQ65560 UXL65523:UXM65560 VHH65523:VHI65560 VRD65523:VRE65560 WAZ65523:WBA65560 WKV65523:WKW65560 WUR65523:WUS65560 AD131059:AE131096 IF131059:IG131096 SB131059:SC131096 ABX131059:ABY131096 ALT131059:ALU131096 AVP131059:AVQ131096 BFL131059:BFM131096 BPH131059:BPI131096 BZD131059:BZE131096 CIZ131059:CJA131096 CSV131059:CSW131096 DCR131059:DCS131096 DMN131059:DMO131096 DWJ131059:DWK131096 EGF131059:EGG131096 EQB131059:EQC131096 EZX131059:EZY131096 FJT131059:FJU131096 FTP131059:FTQ131096 GDL131059:GDM131096 GNH131059:GNI131096 GXD131059:GXE131096 HGZ131059:HHA131096 HQV131059:HQW131096 IAR131059:IAS131096 IKN131059:IKO131096 IUJ131059:IUK131096 JEF131059:JEG131096 JOB131059:JOC131096 JXX131059:JXY131096 KHT131059:KHU131096 KRP131059:KRQ131096 LBL131059:LBM131096 LLH131059:LLI131096 LVD131059:LVE131096 MEZ131059:MFA131096 MOV131059:MOW131096 MYR131059:MYS131096 NIN131059:NIO131096 NSJ131059:NSK131096 OCF131059:OCG131096 OMB131059:OMC131096 OVX131059:OVY131096 PFT131059:PFU131096 PPP131059:PPQ131096 PZL131059:PZM131096 QJH131059:QJI131096 QTD131059:QTE131096 RCZ131059:RDA131096 RMV131059:RMW131096 RWR131059:RWS131096 SGN131059:SGO131096 SQJ131059:SQK131096 TAF131059:TAG131096 TKB131059:TKC131096 TTX131059:TTY131096 UDT131059:UDU131096 UNP131059:UNQ131096 UXL131059:UXM131096 VHH131059:VHI131096 VRD131059:VRE131096 WAZ131059:WBA131096 WKV131059:WKW131096 WUR131059:WUS131096 AD196595:AE196632 IF196595:IG196632 SB196595:SC196632 ABX196595:ABY196632 ALT196595:ALU196632 AVP196595:AVQ196632 BFL196595:BFM196632 BPH196595:BPI196632 BZD196595:BZE196632 CIZ196595:CJA196632 CSV196595:CSW196632 DCR196595:DCS196632 DMN196595:DMO196632 DWJ196595:DWK196632 EGF196595:EGG196632 EQB196595:EQC196632 EZX196595:EZY196632 FJT196595:FJU196632 FTP196595:FTQ196632 GDL196595:GDM196632 GNH196595:GNI196632 GXD196595:GXE196632 HGZ196595:HHA196632 HQV196595:HQW196632 IAR196595:IAS196632 IKN196595:IKO196632 IUJ196595:IUK196632 JEF196595:JEG196632 JOB196595:JOC196632 JXX196595:JXY196632 KHT196595:KHU196632 KRP196595:KRQ196632 LBL196595:LBM196632 LLH196595:LLI196632 LVD196595:LVE196632 MEZ196595:MFA196632 MOV196595:MOW196632 MYR196595:MYS196632 NIN196595:NIO196632 NSJ196595:NSK196632 OCF196595:OCG196632 OMB196595:OMC196632 OVX196595:OVY196632 PFT196595:PFU196632 PPP196595:PPQ196632 PZL196595:PZM196632 QJH196595:QJI196632 QTD196595:QTE196632 RCZ196595:RDA196632 RMV196595:RMW196632 RWR196595:RWS196632 SGN196595:SGO196632 SQJ196595:SQK196632 TAF196595:TAG196632 TKB196595:TKC196632 TTX196595:TTY196632 UDT196595:UDU196632 UNP196595:UNQ196632 UXL196595:UXM196632 VHH196595:VHI196632 VRD196595:VRE196632 WAZ196595:WBA196632 WKV196595:WKW196632 WUR196595:WUS196632 AD262131:AE262168 IF262131:IG262168 SB262131:SC262168 ABX262131:ABY262168 ALT262131:ALU262168 AVP262131:AVQ262168 BFL262131:BFM262168 BPH262131:BPI262168 BZD262131:BZE262168 CIZ262131:CJA262168 CSV262131:CSW262168 DCR262131:DCS262168 DMN262131:DMO262168 DWJ262131:DWK262168 EGF262131:EGG262168 EQB262131:EQC262168 EZX262131:EZY262168 FJT262131:FJU262168 FTP262131:FTQ262168 GDL262131:GDM262168 GNH262131:GNI262168 GXD262131:GXE262168 HGZ262131:HHA262168 HQV262131:HQW262168 IAR262131:IAS262168 IKN262131:IKO262168 IUJ262131:IUK262168 JEF262131:JEG262168 JOB262131:JOC262168 JXX262131:JXY262168 KHT262131:KHU262168 KRP262131:KRQ262168 LBL262131:LBM262168 LLH262131:LLI262168 LVD262131:LVE262168 MEZ262131:MFA262168 MOV262131:MOW262168 MYR262131:MYS262168 NIN262131:NIO262168 NSJ262131:NSK262168 OCF262131:OCG262168 OMB262131:OMC262168 OVX262131:OVY262168 PFT262131:PFU262168 PPP262131:PPQ262168 PZL262131:PZM262168 QJH262131:QJI262168 QTD262131:QTE262168 RCZ262131:RDA262168 RMV262131:RMW262168 RWR262131:RWS262168 SGN262131:SGO262168 SQJ262131:SQK262168 TAF262131:TAG262168 TKB262131:TKC262168 TTX262131:TTY262168 UDT262131:UDU262168 UNP262131:UNQ262168 UXL262131:UXM262168 VHH262131:VHI262168 VRD262131:VRE262168 WAZ262131:WBA262168 WKV262131:WKW262168 WUR262131:WUS262168 AD327667:AE327704 IF327667:IG327704 SB327667:SC327704 ABX327667:ABY327704 ALT327667:ALU327704 AVP327667:AVQ327704 BFL327667:BFM327704 BPH327667:BPI327704 BZD327667:BZE327704 CIZ327667:CJA327704 CSV327667:CSW327704 DCR327667:DCS327704 DMN327667:DMO327704 DWJ327667:DWK327704 EGF327667:EGG327704 EQB327667:EQC327704 EZX327667:EZY327704 FJT327667:FJU327704 FTP327667:FTQ327704 GDL327667:GDM327704 GNH327667:GNI327704 GXD327667:GXE327704 HGZ327667:HHA327704 HQV327667:HQW327704 IAR327667:IAS327704 IKN327667:IKO327704 IUJ327667:IUK327704 JEF327667:JEG327704 JOB327667:JOC327704 JXX327667:JXY327704 KHT327667:KHU327704 KRP327667:KRQ327704 LBL327667:LBM327704 LLH327667:LLI327704 LVD327667:LVE327704 MEZ327667:MFA327704 MOV327667:MOW327704 MYR327667:MYS327704 NIN327667:NIO327704 NSJ327667:NSK327704 OCF327667:OCG327704 OMB327667:OMC327704 OVX327667:OVY327704 PFT327667:PFU327704 PPP327667:PPQ327704 PZL327667:PZM327704 QJH327667:QJI327704 QTD327667:QTE327704 RCZ327667:RDA327704 RMV327667:RMW327704 RWR327667:RWS327704 SGN327667:SGO327704 SQJ327667:SQK327704 TAF327667:TAG327704 TKB327667:TKC327704 TTX327667:TTY327704 UDT327667:UDU327704 UNP327667:UNQ327704 UXL327667:UXM327704 VHH327667:VHI327704 VRD327667:VRE327704 WAZ327667:WBA327704 WKV327667:WKW327704 WUR327667:WUS327704 AD393203:AE393240 IF393203:IG393240 SB393203:SC393240 ABX393203:ABY393240 ALT393203:ALU393240 AVP393203:AVQ393240 BFL393203:BFM393240 BPH393203:BPI393240 BZD393203:BZE393240 CIZ393203:CJA393240 CSV393203:CSW393240 DCR393203:DCS393240 DMN393203:DMO393240 DWJ393203:DWK393240 EGF393203:EGG393240 EQB393203:EQC393240 EZX393203:EZY393240 FJT393203:FJU393240 FTP393203:FTQ393240 GDL393203:GDM393240 GNH393203:GNI393240 GXD393203:GXE393240 HGZ393203:HHA393240 HQV393203:HQW393240 IAR393203:IAS393240 IKN393203:IKO393240 IUJ393203:IUK393240 JEF393203:JEG393240 JOB393203:JOC393240 JXX393203:JXY393240 KHT393203:KHU393240 KRP393203:KRQ393240 LBL393203:LBM393240 LLH393203:LLI393240 LVD393203:LVE393240 MEZ393203:MFA393240 MOV393203:MOW393240 MYR393203:MYS393240 NIN393203:NIO393240 NSJ393203:NSK393240 OCF393203:OCG393240 OMB393203:OMC393240 OVX393203:OVY393240 PFT393203:PFU393240 PPP393203:PPQ393240 PZL393203:PZM393240 QJH393203:QJI393240 QTD393203:QTE393240 RCZ393203:RDA393240 RMV393203:RMW393240 RWR393203:RWS393240 SGN393203:SGO393240 SQJ393203:SQK393240 TAF393203:TAG393240 TKB393203:TKC393240 TTX393203:TTY393240 UDT393203:UDU393240 UNP393203:UNQ393240 UXL393203:UXM393240 VHH393203:VHI393240 VRD393203:VRE393240 WAZ393203:WBA393240 WKV393203:WKW393240 WUR393203:WUS393240 AD458739:AE458776 IF458739:IG458776 SB458739:SC458776 ABX458739:ABY458776 ALT458739:ALU458776 AVP458739:AVQ458776 BFL458739:BFM458776 BPH458739:BPI458776 BZD458739:BZE458776 CIZ458739:CJA458776 CSV458739:CSW458776 DCR458739:DCS458776 DMN458739:DMO458776 DWJ458739:DWK458776 EGF458739:EGG458776 EQB458739:EQC458776 EZX458739:EZY458776 FJT458739:FJU458776 FTP458739:FTQ458776 GDL458739:GDM458776 GNH458739:GNI458776 GXD458739:GXE458776 HGZ458739:HHA458776 HQV458739:HQW458776 IAR458739:IAS458776 IKN458739:IKO458776 IUJ458739:IUK458776 JEF458739:JEG458776 JOB458739:JOC458776 JXX458739:JXY458776 KHT458739:KHU458776 KRP458739:KRQ458776 LBL458739:LBM458776 LLH458739:LLI458776 LVD458739:LVE458776 MEZ458739:MFA458776 MOV458739:MOW458776 MYR458739:MYS458776 NIN458739:NIO458776 NSJ458739:NSK458776 OCF458739:OCG458776 OMB458739:OMC458776 OVX458739:OVY458776 PFT458739:PFU458776 PPP458739:PPQ458776 PZL458739:PZM458776 QJH458739:QJI458776 QTD458739:QTE458776 RCZ458739:RDA458776 RMV458739:RMW458776 RWR458739:RWS458776 SGN458739:SGO458776 SQJ458739:SQK458776 TAF458739:TAG458776 TKB458739:TKC458776 TTX458739:TTY458776 UDT458739:UDU458776 UNP458739:UNQ458776 UXL458739:UXM458776 VHH458739:VHI458776 VRD458739:VRE458776 WAZ458739:WBA458776 WKV458739:WKW458776 WUR458739:WUS458776 AD524275:AE524312 IF524275:IG524312 SB524275:SC524312 ABX524275:ABY524312 ALT524275:ALU524312 AVP524275:AVQ524312 BFL524275:BFM524312 BPH524275:BPI524312 BZD524275:BZE524312 CIZ524275:CJA524312 CSV524275:CSW524312 DCR524275:DCS524312 DMN524275:DMO524312 DWJ524275:DWK524312 EGF524275:EGG524312 EQB524275:EQC524312 EZX524275:EZY524312 FJT524275:FJU524312 FTP524275:FTQ524312 GDL524275:GDM524312 GNH524275:GNI524312 GXD524275:GXE524312 HGZ524275:HHA524312 HQV524275:HQW524312 IAR524275:IAS524312 IKN524275:IKO524312 IUJ524275:IUK524312 JEF524275:JEG524312 JOB524275:JOC524312 JXX524275:JXY524312 KHT524275:KHU524312 KRP524275:KRQ524312 LBL524275:LBM524312 LLH524275:LLI524312 LVD524275:LVE524312 MEZ524275:MFA524312 MOV524275:MOW524312 MYR524275:MYS524312 NIN524275:NIO524312 NSJ524275:NSK524312 OCF524275:OCG524312 OMB524275:OMC524312 OVX524275:OVY524312 PFT524275:PFU524312 PPP524275:PPQ524312 PZL524275:PZM524312 QJH524275:QJI524312 QTD524275:QTE524312 RCZ524275:RDA524312 RMV524275:RMW524312 RWR524275:RWS524312 SGN524275:SGO524312 SQJ524275:SQK524312 TAF524275:TAG524312 TKB524275:TKC524312 TTX524275:TTY524312 UDT524275:UDU524312 UNP524275:UNQ524312 UXL524275:UXM524312 VHH524275:VHI524312 VRD524275:VRE524312 WAZ524275:WBA524312 WKV524275:WKW524312 WUR524275:WUS524312 AD589811:AE589848 IF589811:IG589848 SB589811:SC589848 ABX589811:ABY589848 ALT589811:ALU589848 AVP589811:AVQ589848 BFL589811:BFM589848 BPH589811:BPI589848 BZD589811:BZE589848 CIZ589811:CJA589848 CSV589811:CSW589848 DCR589811:DCS589848 DMN589811:DMO589848 DWJ589811:DWK589848 EGF589811:EGG589848 EQB589811:EQC589848 EZX589811:EZY589848 FJT589811:FJU589848 FTP589811:FTQ589848 GDL589811:GDM589848 GNH589811:GNI589848 GXD589811:GXE589848 HGZ589811:HHA589848 HQV589811:HQW589848 IAR589811:IAS589848 IKN589811:IKO589848 IUJ589811:IUK589848 JEF589811:JEG589848 JOB589811:JOC589848 JXX589811:JXY589848 KHT589811:KHU589848 KRP589811:KRQ589848 LBL589811:LBM589848 LLH589811:LLI589848 LVD589811:LVE589848 MEZ589811:MFA589848 MOV589811:MOW589848 MYR589811:MYS589848 NIN589811:NIO589848 NSJ589811:NSK589848 OCF589811:OCG589848 OMB589811:OMC589848 OVX589811:OVY589848 PFT589811:PFU589848 PPP589811:PPQ589848 PZL589811:PZM589848 QJH589811:QJI589848 QTD589811:QTE589848 RCZ589811:RDA589848 RMV589811:RMW589848 RWR589811:RWS589848 SGN589811:SGO589848 SQJ589811:SQK589848 TAF589811:TAG589848 TKB589811:TKC589848 TTX589811:TTY589848 UDT589811:UDU589848 UNP589811:UNQ589848 UXL589811:UXM589848 VHH589811:VHI589848 VRD589811:VRE589848 WAZ589811:WBA589848 WKV589811:WKW589848 WUR589811:WUS589848 AD655347:AE655384 IF655347:IG655384 SB655347:SC655384 ABX655347:ABY655384 ALT655347:ALU655384 AVP655347:AVQ655384 BFL655347:BFM655384 BPH655347:BPI655384 BZD655347:BZE655384 CIZ655347:CJA655384 CSV655347:CSW655384 DCR655347:DCS655384 DMN655347:DMO655384 DWJ655347:DWK655384 EGF655347:EGG655384 EQB655347:EQC655384 EZX655347:EZY655384 FJT655347:FJU655384 FTP655347:FTQ655384 GDL655347:GDM655384 GNH655347:GNI655384 GXD655347:GXE655384 HGZ655347:HHA655384 HQV655347:HQW655384 IAR655347:IAS655384 IKN655347:IKO655384 IUJ655347:IUK655384 JEF655347:JEG655384 JOB655347:JOC655384 JXX655347:JXY655384 KHT655347:KHU655384 KRP655347:KRQ655384 LBL655347:LBM655384 LLH655347:LLI655384 LVD655347:LVE655384 MEZ655347:MFA655384 MOV655347:MOW655384 MYR655347:MYS655384 NIN655347:NIO655384 NSJ655347:NSK655384 OCF655347:OCG655384 OMB655347:OMC655384 OVX655347:OVY655384 PFT655347:PFU655384 PPP655347:PPQ655384 PZL655347:PZM655384 QJH655347:QJI655384 QTD655347:QTE655384 RCZ655347:RDA655384 RMV655347:RMW655384 RWR655347:RWS655384 SGN655347:SGO655384 SQJ655347:SQK655384 TAF655347:TAG655384 TKB655347:TKC655384 TTX655347:TTY655384 UDT655347:UDU655384 UNP655347:UNQ655384 UXL655347:UXM655384 VHH655347:VHI655384 VRD655347:VRE655384 WAZ655347:WBA655384 WKV655347:WKW655384 WUR655347:WUS655384 AD720883:AE720920 IF720883:IG720920 SB720883:SC720920 ABX720883:ABY720920 ALT720883:ALU720920 AVP720883:AVQ720920 BFL720883:BFM720920 BPH720883:BPI720920 BZD720883:BZE720920 CIZ720883:CJA720920 CSV720883:CSW720920 DCR720883:DCS720920 DMN720883:DMO720920 DWJ720883:DWK720920 EGF720883:EGG720920 EQB720883:EQC720920 EZX720883:EZY720920 FJT720883:FJU720920 FTP720883:FTQ720920 GDL720883:GDM720920 GNH720883:GNI720920 GXD720883:GXE720920 HGZ720883:HHA720920 HQV720883:HQW720920 IAR720883:IAS720920 IKN720883:IKO720920 IUJ720883:IUK720920 JEF720883:JEG720920 JOB720883:JOC720920 JXX720883:JXY720920 KHT720883:KHU720920 KRP720883:KRQ720920 LBL720883:LBM720920 LLH720883:LLI720920 LVD720883:LVE720920 MEZ720883:MFA720920 MOV720883:MOW720920 MYR720883:MYS720920 NIN720883:NIO720920 NSJ720883:NSK720920 OCF720883:OCG720920 OMB720883:OMC720920 OVX720883:OVY720920 PFT720883:PFU720920 PPP720883:PPQ720920 PZL720883:PZM720920 QJH720883:QJI720920 QTD720883:QTE720920 RCZ720883:RDA720920 RMV720883:RMW720920 RWR720883:RWS720920 SGN720883:SGO720920 SQJ720883:SQK720920 TAF720883:TAG720920 TKB720883:TKC720920 TTX720883:TTY720920 UDT720883:UDU720920 UNP720883:UNQ720920 UXL720883:UXM720920 VHH720883:VHI720920 VRD720883:VRE720920 WAZ720883:WBA720920 WKV720883:WKW720920 WUR720883:WUS720920 AD786419:AE786456 IF786419:IG786456 SB786419:SC786456 ABX786419:ABY786456 ALT786419:ALU786456 AVP786419:AVQ786456 BFL786419:BFM786456 BPH786419:BPI786456 BZD786419:BZE786456 CIZ786419:CJA786456 CSV786419:CSW786456 DCR786419:DCS786456 DMN786419:DMO786456 DWJ786419:DWK786456 EGF786419:EGG786456 EQB786419:EQC786456 EZX786419:EZY786456 FJT786419:FJU786456 FTP786419:FTQ786456 GDL786419:GDM786456 GNH786419:GNI786456 GXD786419:GXE786456 HGZ786419:HHA786456 HQV786419:HQW786456 IAR786419:IAS786456 IKN786419:IKO786456 IUJ786419:IUK786456 JEF786419:JEG786456 JOB786419:JOC786456 JXX786419:JXY786456 KHT786419:KHU786456 KRP786419:KRQ786456 LBL786419:LBM786456 LLH786419:LLI786456 LVD786419:LVE786456 MEZ786419:MFA786456 MOV786419:MOW786456 MYR786419:MYS786456 NIN786419:NIO786456 NSJ786419:NSK786456 OCF786419:OCG786456 OMB786419:OMC786456 OVX786419:OVY786456 PFT786419:PFU786456 PPP786419:PPQ786456 PZL786419:PZM786456 QJH786419:QJI786456 QTD786419:QTE786456 RCZ786419:RDA786456 RMV786419:RMW786456 RWR786419:RWS786456 SGN786419:SGO786456 SQJ786419:SQK786456 TAF786419:TAG786456 TKB786419:TKC786456 TTX786419:TTY786456 UDT786419:UDU786456 UNP786419:UNQ786456 UXL786419:UXM786456 VHH786419:VHI786456 VRD786419:VRE786456 WAZ786419:WBA786456 WKV786419:WKW786456 WUR786419:WUS786456 AD851955:AE851992 IF851955:IG851992 SB851955:SC851992 ABX851955:ABY851992 ALT851955:ALU851992 AVP851955:AVQ851992 BFL851955:BFM851992 BPH851955:BPI851992 BZD851955:BZE851992 CIZ851955:CJA851992 CSV851955:CSW851992 DCR851955:DCS851992 DMN851955:DMO851992 DWJ851955:DWK851992 EGF851955:EGG851992 EQB851955:EQC851992 EZX851955:EZY851992 FJT851955:FJU851992 FTP851955:FTQ851992 GDL851955:GDM851992 GNH851955:GNI851992 GXD851955:GXE851992 HGZ851955:HHA851992 HQV851955:HQW851992 IAR851955:IAS851992 IKN851955:IKO851992 IUJ851955:IUK851992 JEF851955:JEG851992 JOB851955:JOC851992 JXX851955:JXY851992 KHT851955:KHU851992 KRP851955:KRQ851992 LBL851955:LBM851992 LLH851955:LLI851992 LVD851955:LVE851992 MEZ851955:MFA851992 MOV851955:MOW851992 MYR851955:MYS851992 NIN851955:NIO851992 NSJ851955:NSK851992 OCF851955:OCG851992 OMB851955:OMC851992 OVX851955:OVY851992 PFT851955:PFU851992 PPP851955:PPQ851992 PZL851955:PZM851992 QJH851955:QJI851992 QTD851955:QTE851992 RCZ851955:RDA851992 RMV851955:RMW851992 RWR851955:RWS851992 SGN851955:SGO851992 SQJ851955:SQK851992 TAF851955:TAG851992 TKB851955:TKC851992 TTX851955:TTY851992 UDT851955:UDU851992 UNP851955:UNQ851992 UXL851955:UXM851992 VHH851955:VHI851992 VRD851955:VRE851992 WAZ851955:WBA851992 WKV851955:WKW851992 WUR851955:WUS851992 AD917491:AE917528 IF917491:IG917528 SB917491:SC917528 ABX917491:ABY917528 ALT917491:ALU917528 AVP917491:AVQ917528 BFL917491:BFM917528 BPH917491:BPI917528 BZD917491:BZE917528 CIZ917491:CJA917528 CSV917491:CSW917528 DCR917491:DCS917528 DMN917491:DMO917528 DWJ917491:DWK917528 EGF917491:EGG917528 EQB917491:EQC917528 EZX917491:EZY917528 FJT917491:FJU917528 FTP917491:FTQ917528 GDL917491:GDM917528 GNH917491:GNI917528 GXD917491:GXE917528 HGZ917491:HHA917528 HQV917491:HQW917528 IAR917491:IAS917528 IKN917491:IKO917528 IUJ917491:IUK917528 JEF917491:JEG917528 JOB917491:JOC917528 JXX917491:JXY917528 KHT917491:KHU917528 KRP917491:KRQ917528 LBL917491:LBM917528 LLH917491:LLI917528 LVD917491:LVE917528 MEZ917491:MFA917528 MOV917491:MOW917528 MYR917491:MYS917528 NIN917491:NIO917528 NSJ917491:NSK917528 OCF917491:OCG917528 OMB917491:OMC917528 OVX917491:OVY917528 PFT917491:PFU917528 PPP917491:PPQ917528 PZL917491:PZM917528 QJH917491:QJI917528 QTD917491:QTE917528 RCZ917491:RDA917528 RMV917491:RMW917528 RWR917491:RWS917528 SGN917491:SGO917528 SQJ917491:SQK917528 TAF917491:TAG917528 TKB917491:TKC917528 TTX917491:TTY917528 UDT917491:UDU917528 UNP917491:UNQ917528 UXL917491:UXM917528 VHH917491:VHI917528 VRD917491:VRE917528 WAZ917491:WBA917528 WKV917491:WKW917528 WUR917491:WUS917528 AD983027:AE983064 IF983027:IG983064 SB983027:SC983064 ABX983027:ABY983064 ALT983027:ALU983064 AVP983027:AVQ983064 BFL983027:BFM983064 BPH983027:BPI983064 BZD983027:BZE983064 CIZ983027:CJA983064 CSV983027:CSW983064 DCR983027:DCS983064 DMN983027:DMO983064 DWJ983027:DWK983064 EGF983027:EGG983064 EQB983027:EQC983064 EZX983027:EZY983064 FJT983027:FJU983064 FTP983027:FTQ983064 GDL983027:GDM983064 GNH983027:GNI983064 GXD983027:GXE983064 HGZ983027:HHA983064 HQV983027:HQW983064 IAR983027:IAS983064 IKN983027:IKO983064 IUJ983027:IUK983064 JEF983027:JEG983064 JOB983027:JOC983064 JXX983027:JXY983064 KHT983027:KHU983064 KRP983027:KRQ983064 LBL983027:LBM983064 LLH983027:LLI983064 LVD983027:LVE983064 MEZ983027:MFA983064 MOV983027:MOW983064 MYR983027:MYS983064 NIN983027:NIO983064 NSJ983027:NSK983064 OCF983027:OCG983064 OMB983027:OMC983064 OVX983027:OVY983064 PFT983027:PFU983064 PPP983027:PPQ983064 PZL983027:PZM983064 QJH983027:QJI983064 QTD983027:QTE983064 RCZ983027:RDA983064 RMV983027:RMW983064 RWR983027:RWS983064 SGN983027:SGO983064 SQJ983027:SQK983064 TAF983027:TAG983064 TKB983027:TKC983064 TTX983027:TTY983064 UDT983027:UDU983064 UNP983027:UNQ983064 UXL983027:UXM983064 VHH983027:VHI983064 VRD983027:VRE983064 WAZ983027:WBA983064 WUR5:WUS22 IF5:IG22 SB5:SC22 ABX5:ABY22 ALT5:ALU22 AVP5:AVQ22 BFL5:BFM22 BPH5:BPI22 BZD5:BZE22 CIZ5:CJA22 CSV5:CSW22 DCR5:DCS22 DMN5:DMO22 DWJ5:DWK22 EGF5:EGG22 EQB5:EQC22 EZX5:EZY22 FJT5:FJU22 FTP5:FTQ22 GDL5:GDM22 GNH5:GNI22 GXD5:GXE22 HGZ5:HHA22 HQV5:HQW22 IAR5:IAS22 IKN5:IKO22 IUJ5:IUK22 JEF5:JEG22 JOB5:JOC22 JXX5:JXY22 KHT5:KHU22 KRP5:KRQ22 LBL5:LBM22 LLH5:LLI22 LVD5:LVE22 MEZ5:MFA22 MOV5:MOW22 MYR5:MYS22 NIN5:NIO22 NSJ5:NSK22 OCF5:OCG22 OMB5:OMC22 OVX5:OVY22 PFT5:PFU22 PPP5:PPQ22 PZL5:PZM22 QJH5:QJI22 QTD5:QTE22 RCZ5:RDA22 RMV5:RMW22 RWR5:RWS22 SGN5:SGO22 SQJ5:SQK22 TAF5:TAG22 TKB5:TKC22 TTX5:TTY22 UDT5:UDU22 UNP5:UNQ22 UXL5:UXM22 VHH5:VHI22 VRD5:VRE22 WAZ5:WBA22 WKV5:WKW22" xr:uid="{862CB3A2-3EF3-4732-806F-6B141C2D23CD}">
      <formula1>$Y$37:$Y$39</formula1>
    </dataValidation>
    <dataValidation type="list" allowBlank="1" showInputMessage="1" showErrorMessage="1" sqref="AB5:AC22" xr:uid="{1AB7915E-BE57-4031-BE53-0CBBEEB7EA32}">
      <formula1>$U$37:$U$39</formula1>
    </dataValidation>
    <dataValidation type="list" allowBlank="1" showInputMessage="1" showErrorMessage="1" sqref="X5:AA22" xr:uid="{4BBD340B-CFE9-45CE-BEA9-3451BDA5BC72}">
      <formula1>$P$37:$P$38</formula1>
    </dataValidation>
  </dataValidations>
  <pageMargins left="0.7" right="0.7" top="0.75" bottom="0.75" header="0.3" footer="0.3"/>
  <pageSetup paperSize="9" scale="59" fitToHeight="0" orientation="landscape" r:id="rId1"/>
  <ignoredErrors>
    <ignoredError sqref="A5:B22" numberStoredAsText="1"/>
  </ignoredError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6560E-51E2-4EAA-AFB9-2B956555320D}">
  <sheetPr>
    <pageSetUpPr fitToPage="1"/>
  </sheetPr>
  <dimension ref="A1:BN25"/>
  <sheetViews>
    <sheetView showGridLines="0" view="pageBreakPreview" zoomScale="80" zoomScaleNormal="85" zoomScaleSheetLayoutView="80" workbookViewId="0">
      <selection sqref="A1:J1"/>
    </sheetView>
  </sheetViews>
  <sheetFormatPr defaultColWidth="2.5" defaultRowHeight="15.75"/>
  <cols>
    <col min="1" max="10" width="2.5" style="769" customWidth="1"/>
    <col min="11" max="16" width="3.25" style="769" customWidth="1"/>
    <col min="17" max="54" width="2.5" style="769" customWidth="1"/>
    <col min="55" max="16384" width="2.5" style="769"/>
  </cols>
  <sheetData>
    <row r="1" spans="1:66" ht="13.7" customHeight="1">
      <c r="A1" s="1006" t="s">
        <v>617</v>
      </c>
      <c r="B1" s="1006"/>
      <c r="C1" s="1006"/>
      <c r="D1" s="1006"/>
      <c r="E1" s="1006"/>
      <c r="F1" s="1006"/>
      <c r="G1" s="1006"/>
      <c r="H1" s="1006"/>
      <c r="I1" s="1006"/>
      <c r="J1" s="1006"/>
      <c r="K1" s="770"/>
      <c r="L1" s="770"/>
      <c r="M1" s="770"/>
      <c r="N1" s="770"/>
      <c r="O1" s="770"/>
      <c r="P1" s="770"/>
      <c r="Q1" s="770"/>
      <c r="R1" s="770"/>
      <c r="S1" s="770"/>
      <c r="T1" s="770"/>
      <c r="U1" s="770"/>
      <c r="V1" s="770"/>
      <c r="W1" s="770"/>
      <c r="X1" s="770"/>
      <c r="Y1" s="770"/>
      <c r="Z1" s="770"/>
      <c r="AA1" s="770"/>
      <c r="AB1" s="770"/>
      <c r="AC1" s="770"/>
      <c r="AD1" s="770"/>
      <c r="AE1" s="1007" t="s">
        <v>488</v>
      </c>
      <c r="AF1" s="1007"/>
      <c r="AG1" s="1007"/>
      <c r="AH1" s="1007"/>
      <c r="AI1" s="1007"/>
      <c r="AJ1" s="1007"/>
      <c r="AK1" s="1007"/>
      <c r="AL1" s="1007"/>
      <c r="AM1" s="1007"/>
      <c r="AN1" s="1007"/>
      <c r="AO1" s="1007"/>
      <c r="AP1" s="1007"/>
      <c r="AQ1" s="1007"/>
      <c r="AR1" s="1007"/>
      <c r="AS1" s="1007"/>
      <c r="AT1" s="1007"/>
      <c r="AU1" s="1007"/>
      <c r="AV1" s="1007"/>
      <c r="AW1" s="1007"/>
      <c r="AX1" s="1007"/>
      <c r="AY1" s="1007"/>
      <c r="AZ1" s="1007"/>
      <c r="BA1" s="1007"/>
      <c r="BB1" s="1007"/>
      <c r="BC1" s="1007"/>
      <c r="BD1" s="1007"/>
      <c r="BE1" s="1007"/>
      <c r="BF1" s="1007"/>
      <c r="BG1" s="1007"/>
      <c r="BH1" s="1007"/>
      <c r="BI1" s="1007"/>
      <c r="BJ1" s="1007"/>
      <c r="BK1" s="1007"/>
      <c r="BL1" s="1007"/>
      <c r="BM1" s="1007"/>
      <c r="BN1" s="1007"/>
    </row>
    <row r="2" spans="1:66" ht="13.7" customHeight="1">
      <c r="A2" s="1008" t="s">
        <v>564</v>
      </c>
      <c r="B2" s="1009"/>
      <c r="C2" s="1008" t="s">
        <v>618</v>
      </c>
      <c r="D2" s="1009"/>
      <c r="E2" s="1009"/>
      <c r="F2" s="1009"/>
      <c r="G2" s="1009"/>
      <c r="H2" s="1009"/>
      <c r="I2" s="1009"/>
      <c r="J2" s="1009"/>
      <c r="K2" s="1009"/>
      <c r="L2" s="1009"/>
      <c r="M2" s="1009"/>
      <c r="N2" s="1009"/>
      <c r="O2" s="1009"/>
      <c r="P2" s="1009"/>
      <c r="Q2" s="1010" t="s">
        <v>619</v>
      </c>
      <c r="R2" s="1011"/>
      <c r="S2" s="1011"/>
      <c r="T2" s="1011"/>
      <c r="U2" s="1011"/>
      <c r="V2" s="1011"/>
      <c r="W2" s="1011"/>
      <c r="X2" s="1011"/>
      <c r="Y2" s="1011"/>
      <c r="Z2" s="1011"/>
      <c r="AA2" s="1011"/>
      <c r="AB2" s="1011"/>
      <c r="AC2" s="1011"/>
      <c r="AD2" s="1012"/>
      <c r="AE2" s="1013" t="s">
        <v>499</v>
      </c>
      <c r="AF2" s="1014"/>
      <c r="AG2" s="1014"/>
      <c r="AH2" s="1014"/>
      <c r="AI2" s="1014"/>
      <c r="AJ2" s="1014"/>
      <c r="AK2" s="1014"/>
      <c r="AL2" s="1014"/>
      <c r="AM2" s="1014"/>
      <c r="AN2" s="1015"/>
      <c r="AO2" s="1013" t="s">
        <v>500</v>
      </c>
      <c r="AP2" s="1014"/>
      <c r="AQ2" s="1014"/>
      <c r="AR2" s="1014"/>
      <c r="AS2" s="1014"/>
      <c r="AT2" s="1014"/>
      <c r="AU2" s="1014"/>
      <c r="AV2" s="1014"/>
      <c r="AW2" s="1014"/>
      <c r="AX2" s="1015"/>
      <c r="AY2" s="1016" t="s">
        <v>501</v>
      </c>
      <c r="AZ2" s="1017"/>
      <c r="BA2" s="1017"/>
      <c r="BB2" s="1017"/>
      <c r="BC2" s="1017"/>
      <c r="BD2" s="1017"/>
      <c r="BE2" s="1017"/>
      <c r="BF2" s="1018"/>
      <c r="BG2" s="1016" t="s">
        <v>22</v>
      </c>
      <c r="BH2" s="1017"/>
      <c r="BI2" s="1017"/>
      <c r="BJ2" s="1017"/>
      <c r="BK2" s="1017"/>
      <c r="BL2" s="1017"/>
      <c r="BM2" s="1017"/>
      <c r="BN2" s="1018"/>
    </row>
    <row r="3" spans="1:66" ht="38.25" customHeight="1">
      <c r="A3" s="1009"/>
      <c r="B3" s="1009"/>
      <c r="C3" s="1009"/>
      <c r="D3" s="1009"/>
      <c r="E3" s="1009"/>
      <c r="F3" s="1009"/>
      <c r="G3" s="1009"/>
      <c r="H3" s="1009"/>
      <c r="I3" s="1009"/>
      <c r="J3" s="1009"/>
      <c r="K3" s="1009"/>
      <c r="L3" s="1009"/>
      <c r="M3" s="1009"/>
      <c r="N3" s="1009"/>
      <c r="O3" s="1009"/>
      <c r="P3" s="1009"/>
      <c r="Q3" s="1019" t="s">
        <v>620</v>
      </c>
      <c r="R3" s="1019"/>
      <c r="S3" s="1019"/>
      <c r="T3" s="1019"/>
      <c r="U3" s="1019"/>
      <c r="V3" s="1019"/>
      <c r="W3" s="1019"/>
      <c r="X3" s="1019" t="s">
        <v>621</v>
      </c>
      <c r="Y3" s="1019"/>
      <c r="Z3" s="1019"/>
      <c r="AA3" s="1019"/>
      <c r="AB3" s="1019"/>
      <c r="AC3" s="1019"/>
      <c r="AD3" s="1019"/>
      <c r="AE3" s="1020" t="s">
        <v>504</v>
      </c>
      <c r="AF3" s="1022"/>
      <c r="AG3" s="1022"/>
      <c r="AH3" s="1021"/>
      <c r="AI3" s="1020" t="s">
        <v>505</v>
      </c>
      <c r="AJ3" s="1022"/>
      <c r="AK3" s="1022"/>
      <c r="AL3" s="1021"/>
      <c r="AM3" s="1020" t="s">
        <v>506</v>
      </c>
      <c r="AN3" s="1021"/>
      <c r="AO3" s="1020" t="s">
        <v>504</v>
      </c>
      <c r="AP3" s="1022"/>
      <c r="AQ3" s="1022"/>
      <c r="AR3" s="1021"/>
      <c r="AS3" s="1020" t="s">
        <v>505</v>
      </c>
      <c r="AT3" s="1022"/>
      <c r="AU3" s="1022"/>
      <c r="AV3" s="1021"/>
      <c r="AW3" s="1020" t="s">
        <v>506</v>
      </c>
      <c r="AX3" s="1021"/>
      <c r="AY3" s="1013"/>
      <c r="AZ3" s="1014"/>
      <c r="BA3" s="1014"/>
      <c r="BB3" s="1014"/>
      <c r="BC3" s="1014"/>
      <c r="BD3" s="1014"/>
      <c r="BE3" s="1014"/>
      <c r="BF3" s="1015"/>
      <c r="BG3" s="1013"/>
      <c r="BH3" s="1014"/>
      <c r="BI3" s="1014"/>
      <c r="BJ3" s="1014"/>
      <c r="BK3" s="1014"/>
      <c r="BL3" s="1014"/>
      <c r="BM3" s="1014"/>
      <c r="BN3" s="1015"/>
    </row>
    <row r="4" spans="1:66" ht="13.7" customHeight="1">
      <c r="A4" s="1030" t="s">
        <v>507</v>
      </c>
      <c r="B4" s="1031"/>
      <c r="C4" s="1032" t="s">
        <v>508</v>
      </c>
      <c r="D4" s="1033"/>
      <c r="E4" s="1033"/>
      <c r="F4" s="1033"/>
      <c r="G4" s="1033"/>
      <c r="H4" s="1033"/>
      <c r="I4" s="1034"/>
      <c r="J4" s="1035"/>
      <c r="K4" s="1036"/>
      <c r="L4" s="1036"/>
      <c r="M4" s="1036"/>
      <c r="N4" s="1036"/>
      <c r="O4" s="1036"/>
      <c r="P4" s="1037"/>
      <c r="Q4" s="937"/>
      <c r="R4" s="935"/>
      <c r="S4" s="935"/>
      <c r="T4" s="935"/>
      <c r="U4" s="935"/>
      <c r="V4" s="935"/>
      <c r="W4" s="900"/>
      <c r="X4" s="937"/>
      <c r="Y4" s="935"/>
      <c r="Z4" s="935"/>
      <c r="AA4" s="935"/>
      <c r="AB4" s="935"/>
      <c r="AC4" s="935"/>
      <c r="AD4" s="900"/>
      <c r="AE4" s="1038"/>
      <c r="AF4" s="1039"/>
      <c r="AG4" s="1040"/>
      <c r="AH4" s="1024"/>
      <c r="AI4" s="1038"/>
      <c r="AJ4" s="1039"/>
      <c r="AK4" s="1040"/>
      <c r="AL4" s="1024"/>
      <c r="AM4" s="1023"/>
      <c r="AN4" s="1024"/>
      <c r="AO4" s="771" t="s">
        <v>468</v>
      </c>
      <c r="AP4" s="772"/>
      <c r="AQ4" s="773"/>
      <c r="AR4" s="774"/>
      <c r="AS4" s="1025" t="s">
        <v>468</v>
      </c>
      <c r="AT4" s="1026"/>
      <c r="AU4" s="1027"/>
      <c r="AV4" s="1028"/>
      <c r="AW4" s="1025" t="s">
        <v>468</v>
      </c>
      <c r="AX4" s="1028"/>
      <c r="AY4" s="1029"/>
      <c r="AZ4" s="1029"/>
      <c r="BA4" s="1029"/>
      <c r="BB4" s="1029"/>
      <c r="BC4" s="1029"/>
      <c r="BD4" s="1029"/>
      <c r="BE4" s="1029"/>
      <c r="BF4" s="1029"/>
      <c r="BG4" s="1029"/>
      <c r="BH4" s="1029"/>
      <c r="BI4" s="1029"/>
      <c r="BJ4" s="1029"/>
      <c r="BK4" s="1029"/>
      <c r="BL4" s="1029"/>
      <c r="BM4" s="1029"/>
      <c r="BN4" s="1029"/>
    </row>
    <row r="5" spans="1:66" ht="13.7" customHeight="1">
      <c r="A5" s="1030" t="s">
        <v>509</v>
      </c>
      <c r="B5" s="1031"/>
      <c r="C5" s="1032"/>
      <c r="D5" s="1033"/>
      <c r="E5" s="1033"/>
      <c r="F5" s="1033"/>
      <c r="G5" s="1033"/>
      <c r="H5" s="1033"/>
      <c r="I5" s="1034"/>
      <c r="J5" s="1035" t="s">
        <v>510</v>
      </c>
      <c r="K5" s="1036"/>
      <c r="L5" s="1036"/>
      <c r="M5" s="1036"/>
      <c r="N5" s="1036"/>
      <c r="O5" s="1036"/>
      <c r="P5" s="1037"/>
      <c r="Q5" s="937" t="s">
        <v>514</v>
      </c>
      <c r="R5" s="935"/>
      <c r="S5" s="935"/>
      <c r="T5" s="935"/>
      <c r="U5" s="935"/>
      <c r="V5" s="935"/>
      <c r="W5" s="900"/>
      <c r="X5" s="937" t="s">
        <v>514</v>
      </c>
      <c r="Y5" s="935"/>
      <c r="Z5" s="935"/>
      <c r="AA5" s="935"/>
      <c r="AB5" s="935"/>
      <c r="AC5" s="935"/>
      <c r="AD5" s="900"/>
      <c r="AE5" s="1038"/>
      <c r="AF5" s="1039"/>
      <c r="AG5" s="1040"/>
      <c r="AH5" s="1024"/>
      <c r="AI5" s="1038"/>
      <c r="AJ5" s="1039"/>
      <c r="AK5" s="1040"/>
      <c r="AL5" s="1024"/>
      <c r="AM5" s="1023"/>
      <c r="AN5" s="1024"/>
      <c r="AO5" s="771" t="s">
        <v>468</v>
      </c>
      <c r="AP5" s="772"/>
      <c r="AQ5" s="773"/>
      <c r="AR5" s="774"/>
      <c r="AS5" s="1025" t="s">
        <v>468</v>
      </c>
      <c r="AT5" s="1026"/>
      <c r="AU5" s="1027"/>
      <c r="AV5" s="1028"/>
      <c r="AW5" s="1025" t="s">
        <v>468</v>
      </c>
      <c r="AX5" s="1028"/>
      <c r="AY5" s="1029"/>
      <c r="AZ5" s="1029"/>
      <c r="BA5" s="1029"/>
      <c r="BB5" s="1029"/>
      <c r="BC5" s="1029"/>
      <c r="BD5" s="1029"/>
      <c r="BE5" s="1029"/>
      <c r="BF5" s="1029"/>
      <c r="BG5" s="1029"/>
      <c r="BH5" s="1029"/>
      <c r="BI5" s="1029"/>
      <c r="BJ5" s="1029"/>
      <c r="BK5" s="1029"/>
      <c r="BL5" s="1029"/>
      <c r="BM5" s="1029"/>
      <c r="BN5" s="1029"/>
    </row>
    <row r="6" spans="1:66" ht="13.7" customHeight="1">
      <c r="A6" s="1030">
        <v>3</v>
      </c>
      <c r="B6" s="1031"/>
      <c r="C6" s="1041" t="s">
        <v>632</v>
      </c>
      <c r="D6" s="1042"/>
      <c r="E6" s="1042"/>
      <c r="F6" s="1042"/>
      <c r="G6" s="1042"/>
      <c r="H6" s="1042"/>
      <c r="I6" s="1043"/>
      <c r="J6" s="1041" t="s">
        <v>30</v>
      </c>
      <c r="K6" s="1042"/>
      <c r="L6" s="1042"/>
      <c r="M6" s="1042"/>
      <c r="N6" s="1042"/>
      <c r="O6" s="1042"/>
      <c r="P6" s="1043"/>
      <c r="Q6" s="937"/>
      <c r="R6" s="935"/>
      <c r="S6" s="935"/>
      <c r="T6" s="935"/>
      <c r="U6" s="935"/>
      <c r="V6" s="935"/>
      <c r="W6" s="900"/>
      <c r="X6" s="937"/>
      <c r="Y6" s="935"/>
      <c r="Z6" s="935"/>
      <c r="AA6" s="935"/>
      <c r="AB6" s="935"/>
      <c r="AC6" s="935"/>
      <c r="AD6" s="900"/>
      <c r="AE6" s="1038"/>
      <c r="AF6" s="1039"/>
      <c r="AG6" s="1040"/>
      <c r="AH6" s="1024"/>
      <c r="AI6" s="1038"/>
      <c r="AJ6" s="1039"/>
      <c r="AK6" s="1040"/>
      <c r="AL6" s="1024"/>
      <c r="AM6" s="1023"/>
      <c r="AN6" s="1024"/>
      <c r="AO6" s="771" t="s">
        <v>468</v>
      </c>
      <c r="AP6" s="772"/>
      <c r="AQ6" s="773"/>
      <c r="AR6" s="774"/>
      <c r="AS6" s="1025" t="s">
        <v>468</v>
      </c>
      <c r="AT6" s="1026"/>
      <c r="AU6" s="1027"/>
      <c r="AV6" s="1028"/>
      <c r="AW6" s="1025" t="s">
        <v>468</v>
      </c>
      <c r="AX6" s="1028"/>
      <c r="AY6" s="1029"/>
      <c r="AZ6" s="1029"/>
      <c r="BA6" s="1029"/>
      <c r="BB6" s="1029"/>
      <c r="BC6" s="1029"/>
      <c r="BD6" s="1029"/>
      <c r="BE6" s="1029"/>
      <c r="BF6" s="1029"/>
      <c r="BG6" s="1029"/>
      <c r="BH6" s="1029"/>
      <c r="BI6" s="1029"/>
      <c r="BJ6" s="1029"/>
      <c r="BK6" s="1029"/>
      <c r="BL6" s="1029"/>
      <c r="BM6" s="1029"/>
      <c r="BN6" s="1029"/>
    </row>
    <row r="7" spans="1:66" ht="15.75" customHeight="1">
      <c r="A7" s="1030" t="s">
        <v>633</v>
      </c>
      <c r="B7" s="1031"/>
      <c r="C7" s="1041"/>
      <c r="D7" s="1042"/>
      <c r="E7" s="1042"/>
      <c r="F7" s="1042"/>
      <c r="G7" s="1042"/>
      <c r="H7" s="1042"/>
      <c r="I7" s="1043"/>
      <c r="J7" s="1041" t="s">
        <v>636</v>
      </c>
      <c r="K7" s="1042"/>
      <c r="L7" s="1042"/>
      <c r="M7" s="1042"/>
      <c r="N7" s="1042"/>
      <c r="O7" s="1042"/>
      <c r="P7" s="1043"/>
      <c r="Q7" s="937" t="s">
        <v>622</v>
      </c>
      <c r="R7" s="935"/>
      <c r="S7" s="935"/>
      <c r="T7" s="935"/>
      <c r="U7" s="935"/>
      <c r="V7" s="935"/>
      <c r="W7" s="900"/>
      <c r="X7" s="937" t="s">
        <v>514</v>
      </c>
      <c r="Y7" s="935"/>
      <c r="Z7" s="935"/>
      <c r="AA7" s="935"/>
      <c r="AB7" s="935"/>
      <c r="AC7" s="935"/>
      <c r="AD7" s="900"/>
      <c r="AE7" s="1038"/>
      <c r="AF7" s="1039"/>
      <c r="AG7" s="1040"/>
      <c r="AH7" s="1024"/>
      <c r="AI7" s="1038"/>
      <c r="AJ7" s="1039"/>
      <c r="AK7" s="1040"/>
      <c r="AL7" s="1024"/>
      <c r="AM7" s="1023"/>
      <c r="AN7" s="1024"/>
      <c r="AO7" s="771" t="s">
        <v>468</v>
      </c>
      <c r="AP7" s="772"/>
      <c r="AQ7" s="773"/>
      <c r="AR7" s="774"/>
      <c r="AS7" s="1025" t="s">
        <v>468</v>
      </c>
      <c r="AT7" s="1026"/>
      <c r="AU7" s="1027"/>
      <c r="AV7" s="1028"/>
      <c r="AW7" s="1025" t="s">
        <v>468</v>
      </c>
      <c r="AX7" s="1028"/>
      <c r="AY7" s="1029"/>
      <c r="AZ7" s="1029"/>
      <c r="BA7" s="1029"/>
      <c r="BB7" s="1029"/>
      <c r="BC7" s="1029"/>
      <c r="BD7" s="1029"/>
      <c r="BE7" s="1029"/>
      <c r="BF7" s="1029"/>
      <c r="BG7" s="1029"/>
      <c r="BH7" s="1029"/>
      <c r="BI7" s="1029"/>
      <c r="BJ7" s="1029"/>
      <c r="BK7" s="1029"/>
      <c r="BL7" s="1029"/>
      <c r="BM7" s="1029"/>
      <c r="BN7" s="1029"/>
    </row>
    <row r="8" spans="1:66" ht="15.75" customHeight="1">
      <c r="A8" s="1030" t="s">
        <v>634</v>
      </c>
      <c r="B8" s="1031"/>
      <c r="C8" s="1044"/>
      <c r="D8" s="1045"/>
      <c r="E8" s="1045"/>
      <c r="F8" s="1045"/>
      <c r="G8" s="1045"/>
      <c r="H8" s="1045"/>
      <c r="I8" s="1046"/>
      <c r="J8" s="1041" t="s">
        <v>637</v>
      </c>
      <c r="K8" s="1042"/>
      <c r="L8" s="1042"/>
      <c r="M8" s="1042"/>
      <c r="N8" s="1042"/>
      <c r="O8" s="1042"/>
      <c r="P8" s="1043"/>
      <c r="Q8" s="937" t="s">
        <v>622</v>
      </c>
      <c r="R8" s="935"/>
      <c r="S8" s="935"/>
      <c r="T8" s="935"/>
      <c r="U8" s="935"/>
      <c r="V8" s="935"/>
      <c r="W8" s="900"/>
      <c r="X8" s="937" t="s">
        <v>514</v>
      </c>
      <c r="Y8" s="935"/>
      <c r="Z8" s="935"/>
      <c r="AA8" s="935"/>
      <c r="AB8" s="935"/>
      <c r="AC8" s="935"/>
      <c r="AD8" s="900"/>
      <c r="AE8" s="1038"/>
      <c r="AF8" s="1039"/>
      <c r="AG8" s="1040"/>
      <c r="AH8" s="1024"/>
      <c r="AI8" s="1038"/>
      <c r="AJ8" s="1039"/>
      <c r="AK8" s="1040"/>
      <c r="AL8" s="1024"/>
      <c r="AM8" s="1023"/>
      <c r="AN8" s="1024"/>
      <c r="AO8" s="771" t="s">
        <v>468</v>
      </c>
      <c r="AP8" s="772"/>
      <c r="AQ8" s="773"/>
      <c r="AR8" s="774"/>
      <c r="AS8" s="1025" t="s">
        <v>468</v>
      </c>
      <c r="AT8" s="1026"/>
      <c r="AU8" s="1027"/>
      <c r="AV8" s="1028"/>
      <c r="AW8" s="1025" t="s">
        <v>468</v>
      </c>
      <c r="AX8" s="1028"/>
      <c r="AY8" s="1029"/>
      <c r="AZ8" s="1029"/>
      <c r="BA8" s="1029"/>
      <c r="BB8" s="1029"/>
      <c r="BC8" s="1029"/>
      <c r="BD8" s="1029"/>
      <c r="BE8" s="1029"/>
      <c r="BF8" s="1029"/>
      <c r="BG8" s="1029"/>
      <c r="BH8" s="1029"/>
      <c r="BI8" s="1029"/>
      <c r="BJ8" s="1029"/>
      <c r="BK8" s="1029"/>
      <c r="BL8" s="1029"/>
      <c r="BM8" s="1029"/>
      <c r="BN8" s="1029"/>
    </row>
    <row r="9" spans="1:66" ht="13.7" customHeight="1">
      <c r="A9" s="1030" t="s">
        <v>531</v>
      </c>
      <c r="B9" s="1031"/>
      <c r="C9" s="1044"/>
      <c r="D9" s="1045"/>
      <c r="E9" s="1045"/>
      <c r="F9" s="1045"/>
      <c r="G9" s="1045"/>
      <c r="H9" s="1045"/>
      <c r="I9" s="1046"/>
      <c r="J9" s="1041" t="s">
        <v>638</v>
      </c>
      <c r="K9" s="1042"/>
      <c r="L9" s="1042"/>
      <c r="M9" s="1042"/>
      <c r="N9" s="1042"/>
      <c r="O9" s="1042"/>
      <c r="P9" s="1043"/>
      <c r="Q9" s="937" t="s">
        <v>622</v>
      </c>
      <c r="R9" s="935"/>
      <c r="S9" s="935"/>
      <c r="T9" s="935"/>
      <c r="U9" s="935"/>
      <c r="V9" s="935"/>
      <c r="W9" s="900"/>
      <c r="X9" s="937" t="s">
        <v>514</v>
      </c>
      <c r="Y9" s="935"/>
      <c r="Z9" s="935"/>
      <c r="AA9" s="935"/>
      <c r="AB9" s="935"/>
      <c r="AC9" s="935"/>
      <c r="AD9" s="900"/>
      <c r="AE9" s="1038"/>
      <c r="AF9" s="1039"/>
      <c r="AG9" s="1040"/>
      <c r="AH9" s="1024"/>
      <c r="AI9" s="1038"/>
      <c r="AJ9" s="1039"/>
      <c r="AK9" s="1040"/>
      <c r="AL9" s="1024"/>
      <c r="AM9" s="1023"/>
      <c r="AN9" s="1024"/>
      <c r="AO9" s="771" t="s">
        <v>468</v>
      </c>
      <c r="AP9" s="772"/>
      <c r="AQ9" s="773"/>
      <c r="AR9" s="774"/>
      <c r="AS9" s="1025" t="s">
        <v>468</v>
      </c>
      <c r="AT9" s="1026"/>
      <c r="AU9" s="1027"/>
      <c r="AV9" s="1028"/>
      <c r="AW9" s="1025" t="s">
        <v>468</v>
      </c>
      <c r="AX9" s="1028"/>
      <c r="AY9" s="1029"/>
      <c r="AZ9" s="1029"/>
      <c r="BA9" s="1029"/>
      <c r="BB9" s="1029"/>
      <c r="BC9" s="1029"/>
      <c r="BD9" s="1029"/>
      <c r="BE9" s="1029"/>
      <c r="BF9" s="1029"/>
      <c r="BG9" s="1029"/>
      <c r="BH9" s="1029"/>
      <c r="BI9" s="1029"/>
      <c r="BJ9" s="1029"/>
      <c r="BK9" s="1029"/>
      <c r="BL9" s="1029"/>
      <c r="BM9" s="1029"/>
      <c r="BN9" s="1029"/>
    </row>
    <row r="10" spans="1:66" ht="13.7" customHeight="1">
      <c r="A10" s="1030" t="s">
        <v>535</v>
      </c>
      <c r="B10" s="1031"/>
      <c r="C10" s="1044"/>
      <c r="D10" s="1045"/>
      <c r="E10" s="1045"/>
      <c r="F10" s="1045"/>
      <c r="G10" s="1045"/>
      <c r="H10" s="1045"/>
      <c r="I10" s="1046"/>
      <c r="J10" s="1041" t="s">
        <v>639</v>
      </c>
      <c r="K10" s="1042"/>
      <c r="L10" s="1042"/>
      <c r="M10" s="1042"/>
      <c r="N10" s="1042"/>
      <c r="O10" s="1042"/>
      <c r="P10" s="1043"/>
      <c r="Q10" s="937" t="s">
        <v>622</v>
      </c>
      <c r="R10" s="935"/>
      <c r="S10" s="935"/>
      <c r="T10" s="935"/>
      <c r="U10" s="935"/>
      <c r="V10" s="935"/>
      <c r="W10" s="900"/>
      <c r="X10" s="937" t="s">
        <v>514</v>
      </c>
      <c r="Y10" s="935"/>
      <c r="Z10" s="935"/>
      <c r="AA10" s="935"/>
      <c r="AB10" s="935"/>
      <c r="AC10" s="935"/>
      <c r="AD10" s="900"/>
      <c r="AE10" s="1038"/>
      <c r="AF10" s="1039"/>
      <c r="AG10" s="1040"/>
      <c r="AH10" s="1024"/>
      <c r="AI10" s="1038"/>
      <c r="AJ10" s="1039"/>
      <c r="AK10" s="1040"/>
      <c r="AL10" s="1024"/>
      <c r="AM10" s="1023"/>
      <c r="AN10" s="1024"/>
      <c r="AO10" s="771" t="s">
        <v>468</v>
      </c>
      <c r="AP10" s="772"/>
      <c r="AQ10" s="773"/>
      <c r="AR10" s="774"/>
      <c r="AS10" s="1025" t="s">
        <v>468</v>
      </c>
      <c r="AT10" s="1026"/>
      <c r="AU10" s="1027"/>
      <c r="AV10" s="1028"/>
      <c r="AW10" s="1025" t="s">
        <v>468</v>
      </c>
      <c r="AX10" s="1028"/>
      <c r="AY10" s="1029"/>
      <c r="AZ10" s="1029"/>
      <c r="BA10" s="1029"/>
      <c r="BB10" s="1029"/>
      <c r="BC10" s="1029"/>
      <c r="BD10" s="1029"/>
      <c r="BE10" s="1029"/>
      <c r="BF10" s="1029"/>
      <c r="BG10" s="1029"/>
      <c r="BH10" s="1029"/>
      <c r="BI10" s="1029"/>
      <c r="BJ10" s="1029"/>
      <c r="BK10" s="1029"/>
      <c r="BL10" s="1029"/>
      <c r="BM10" s="1029"/>
      <c r="BN10" s="1029"/>
    </row>
    <row r="11" spans="1:66" ht="13.7" customHeight="1">
      <c r="A11" s="1030" t="s">
        <v>537</v>
      </c>
      <c r="B11" s="1031"/>
      <c r="C11" s="1044"/>
      <c r="D11" s="1045"/>
      <c r="E11" s="1045"/>
      <c r="F11" s="1045"/>
      <c r="G11" s="1045"/>
      <c r="H11" s="1045"/>
      <c r="I11" s="1046"/>
      <c r="J11" s="1047" t="s">
        <v>640</v>
      </c>
      <c r="K11" s="1048"/>
      <c r="L11" s="1048"/>
      <c r="M11" s="1048"/>
      <c r="N11" s="1048"/>
      <c r="O11" s="1048"/>
      <c r="P11" s="1049"/>
      <c r="Q11" s="937" t="s">
        <v>622</v>
      </c>
      <c r="R11" s="935"/>
      <c r="S11" s="935"/>
      <c r="T11" s="935"/>
      <c r="U11" s="935"/>
      <c r="V11" s="935"/>
      <c r="W11" s="900"/>
      <c r="X11" s="937" t="s">
        <v>514</v>
      </c>
      <c r="Y11" s="935"/>
      <c r="Z11" s="935"/>
      <c r="AA11" s="935"/>
      <c r="AB11" s="935"/>
      <c r="AC11" s="935"/>
      <c r="AD11" s="900"/>
      <c r="AE11" s="1038"/>
      <c r="AF11" s="1039"/>
      <c r="AG11" s="1040"/>
      <c r="AH11" s="1024"/>
      <c r="AI11" s="1038"/>
      <c r="AJ11" s="1039"/>
      <c r="AK11" s="1040"/>
      <c r="AL11" s="1024"/>
      <c r="AM11" s="1023"/>
      <c r="AN11" s="1024"/>
      <c r="AO11" s="771" t="s">
        <v>468</v>
      </c>
      <c r="AP11" s="772"/>
      <c r="AQ11" s="773"/>
      <c r="AR11" s="774"/>
      <c r="AS11" s="1025" t="s">
        <v>468</v>
      </c>
      <c r="AT11" s="1026"/>
      <c r="AU11" s="1027"/>
      <c r="AV11" s="1028"/>
      <c r="AW11" s="1025" t="s">
        <v>468</v>
      </c>
      <c r="AX11" s="1028"/>
      <c r="AY11" s="1029"/>
      <c r="AZ11" s="1029"/>
      <c r="BA11" s="1029"/>
      <c r="BB11" s="1029"/>
      <c r="BC11" s="1029"/>
      <c r="BD11" s="1029"/>
      <c r="BE11" s="1029"/>
      <c r="BF11" s="1029"/>
      <c r="BG11" s="1029"/>
      <c r="BH11" s="1029"/>
      <c r="BI11" s="1029"/>
      <c r="BJ11" s="1029"/>
      <c r="BK11" s="1029"/>
      <c r="BL11" s="1029"/>
      <c r="BM11" s="1029"/>
      <c r="BN11" s="1029"/>
    </row>
    <row r="12" spans="1:66" ht="13.7" customHeight="1">
      <c r="A12" s="1030" t="s">
        <v>539</v>
      </c>
      <c r="B12" s="1031"/>
      <c r="C12" s="1050"/>
      <c r="D12" s="1051"/>
      <c r="E12" s="1051"/>
      <c r="F12" s="1051"/>
      <c r="G12" s="1051"/>
      <c r="H12" s="1051"/>
      <c r="I12" s="1052"/>
      <c r="J12" s="1041" t="s">
        <v>641</v>
      </c>
      <c r="K12" s="1042"/>
      <c r="L12" s="1042"/>
      <c r="M12" s="1042"/>
      <c r="N12" s="1042"/>
      <c r="O12" s="1042"/>
      <c r="P12" s="1043"/>
      <c r="Q12" s="937" t="s">
        <v>622</v>
      </c>
      <c r="R12" s="935"/>
      <c r="S12" s="935"/>
      <c r="T12" s="935"/>
      <c r="U12" s="935"/>
      <c r="V12" s="935"/>
      <c r="W12" s="900"/>
      <c r="X12" s="937" t="s">
        <v>514</v>
      </c>
      <c r="Y12" s="935"/>
      <c r="Z12" s="935"/>
      <c r="AA12" s="935"/>
      <c r="AB12" s="935"/>
      <c r="AC12" s="935"/>
      <c r="AD12" s="900"/>
      <c r="AE12" s="1038"/>
      <c r="AF12" s="1039"/>
      <c r="AG12" s="1040"/>
      <c r="AH12" s="1024"/>
      <c r="AI12" s="1038"/>
      <c r="AJ12" s="1039"/>
      <c r="AK12" s="1040"/>
      <c r="AL12" s="1024"/>
      <c r="AM12" s="1023"/>
      <c r="AN12" s="1024"/>
      <c r="AO12" s="771" t="s">
        <v>468</v>
      </c>
      <c r="AP12" s="772"/>
      <c r="AQ12" s="773"/>
      <c r="AR12" s="774"/>
      <c r="AS12" s="1025" t="s">
        <v>468</v>
      </c>
      <c r="AT12" s="1026"/>
      <c r="AU12" s="1027"/>
      <c r="AV12" s="1028"/>
      <c r="AW12" s="1025" t="s">
        <v>468</v>
      </c>
      <c r="AX12" s="1028"/>
      <c r="AY12" s="1029"/>
      <c r="AZ12" s="1029"/>
      <c r="BA12" s="1029"/>
      <c r="BB12" s="1029"/>
      <c r="BC12" s="1029"/>
      <c r="BD12" s="1029"/>
      <c r="BE12" s="1029"/>
      <c r="BF12" s="1029"/>
      <c r="BG12" s="1029"/>
      <c r="BH12" s="1029"/>
      <c r="BI12" s="1029"/>
      <c r="BJ12" s="1029"/>
      <c r="BK12" s="1029"/>
      <c r="BL12" s="1029"/>
      <c r="BM12" s="1029"/>
      <c r="BN12" s="1029"/>
    </row>
    <row r="13" spans="1:66" ht="13.7" customHeight="1">
      <c r="A13" s="1030" t="s">
        <v>540</v>
      </c>
      <c r="B13" s="1031"/>
      <c r="C13" s="1050"/>
      <c r="D13" s="1051"/>
      <c r="E13" s="1051"/>
      <c r="F13" s="1051"/>
      <c r="G13" s="1051"/>
      <c r="H13" s="1051"/>
      <c r="I13" s="1052"/>
      <c r="J13" s="1041" t="s">
        <v>642</v>
      </c>
      <c r="K13" s="1042"/>
      <c r="L13" s="1042"/>
      <c r="M13" s="1042"/>
      <c r="N13" s="1042"/>
      <c r="O13" s="1042"/>
      <c r="P13" s="1043"/>
      <c r="Q13" s="937" t="s">
        <v>622</v>
      </c>
      <c r="R13" s="935"/>
      <c r="S13" s="935"/>
      <c r="T13" s="935"/>
      <c r="U13" s="935"/>
      <c r="V13" s="935"/>
      <c r="W13" s="900"/>
      <c r="X13" s="937" t="s">
        <v>514</v>
      </c>
      <c r="Y13" s="935"/>
      <c r="Z13" s="935"/>
      <c r="AA13" s="935"/>
      <c r="AB13" s="935"/>
      <c r="AC13" s="935"/>
      <c r="AD13" s="900"/>
      <c r="AE13" s="1038"/>
      <c r="AF13" s="1039"/>
      <c r="AG13" s="1040"/>
      <c r="AH13" s="1024"/>
      <c r="AI13" s="1038"/>
      <c r="AJ13" s="1039"/>
      <c r="AK13" s="1040"/>
      <c r="AL13" s="1024"/>
      <c r="AM13" s="1023"/>
      <c r="AN13" s="1024"/>
      <c r="AO13" s="771" t="s">
        <v>468</v>
      </c>
      <c r="AP13" s="772"/>
      <c r="AQ13" s="773"/>
      <c r="AR13" s="774"/>
      <c r="AS13" s="1025" t="s">
        <v>468</v>
      </c>
      <c r="AT13" s="1026"/>
      <c r="AU13" s="1027"/>
      <c r="AV13" s="1028"/>
      <c r="AW13" s="1025" t="s">
        <v>468</v>
      </c>
      <c r="AX13" s="1028"/>
      <c r="AY13" s="1029"/>
      <c r="AZ13" s="1029"/>
      <c r="BA13" s="1029"/>
      <c r="BB13" s="1029"/>
      <c r="BC13" s="1029"/>
      <c r="BD13" s="1029"/>
      <c r="BE13" s="1029"/>
      <c r="BF13" s="1029"/>
      <c r="BG13" s="1029"/>
      <c r="BH13" s="1029"/>
      <c r="BI13" s="1029"/>
      <c r="BJ13" s="1029"/>
      <c r="BK13" s="1029"/>
      <c r="BL13" s="1029"/>
      <c r="BM13" s="1029"/>
      <c r="BN13" s="1029"/>
    </row>
    <row r="14" spans="1:66" ht="13.7" customHeight="1">
      <c r="A14" s="1030" t="s">
        <v>542</v>
      </c>
      <c r="B14" s="1031"/>
      <c r="C14" s="1035"/>
      <c r="D14" s="1036"/>
      <c r="E14" s="1036"/>
      <c r="F14" s="1036"/>
      <c r="G14" s="1036"/>
      <c r="H14" s="1036"/>
      <c r="I14" s="1037"/>
      <c r="J14" s="1041" t="s">
        <v>643</v>
      </c>
      <c r="K14" s="1042"/>
      <c r="L14" s="1042"/>
      <c r="M14" s="1042"/>
      <c r="N14" s="1042"/>
      <c r="O14" s="1042"/>
      <c r="P14" s="1043"/>
      <c r="Q14" s="937" t="s">
        <v>622</v>
      </c>
      <c r="R14" s="935"/>
      <c r="S14" s="935"/>
      <c r="T14" s="935"/>
      <c r="U14" s="935"/>
      <c r="V14" s="935"/>
      <c r="W14" s="900"/>
      <c r="X14" s="937" t="s">
        <v>514</v>
      </c>
      <c r="Y14" s="935"/>
      <c r="Z14" s="935"/>
      <c r="AA14" s="935"/>
      <c r="AB14" s="935"/>
      <c r="AC14" s="935"/>
      <c r="AD14" s="900"/>
      <c r="AE14" s="1038"/>
      <c r="AF14" s="1039"/>
      <c r="AG14" s="1040"/>
      <c r="AH14" s="1024"/>
      <c r="AI14" s="1038"/>
      <c r="AJ14" s="1039"/>
      <c r="AK14" s="1040"/>
      <c r="AL14" s="1024"/>
      <c r="AM14" s="1023"/>
      <c r="AN14" s="1024"/>
      <c r="AO14" s="771" t="s">
        <v>468</v>
      </c>
      <c r="AP14" s="772"/>
      <c r="AQ14" s="773"/>
      <c r="AR14" s="774"/>
      <c r="AS14" s="1025" t="s">
        <v>468</v>
      </c>
      <c r="AT14" s="1026"/>
      <c r="AU14" s="1027"/>
      <c r="AV14" s="1028"/>
      <c r="AW14" s="1025" t="s">
        <v>468</v>
      </c>
      <c r="AX14" s="1028"/>
      <c r="AY14" s="1029"/>
      <c r="AZ14" s="1029"/>
      <c r="BA14" s="1029"/>
      <c r="BB14" s="1029"/>
      <c r="BC14" s="1029"/>
      <c r="BD14" s="1029"/>
      <c r="BE14" s="1029"/>
      <c r="BF14" s="1029"/>
      <c r="BG14" s="1029"/>
      <c r="BH14" s="1029"/>
      <c r="BI14" s="1029"/>
      <c r="BJ14" s="1029"/>
      <c r="BK14" s="1029"/>
      <c r="BL14" s="1029"/>
      <c r="BM14" s="1029"/>
      <c r="BN14" s="1029"/>
    </row>
    <row r="15" spans="1:66" ht="13.7" customHeight="1">
      <c r="A15" s="1030" t="s">
        <v>545</v>
      </c>
      <c r="B15" s="1031"/>
      <c r="C15" s="1053"/>
      <c r="D15" s="1054"/>
      <c r="E15" s="1054"/>
      <c r="F15" s="1054"/>
      <c r="G15" s="1054"/>
      <c r="H15" s="1054"/>
      <c r="I15" s="1055"/>
      <c r="J15" s="1041" t="s">
        <v>644</v>
      </c>
      <c r="K15" s="1042"/>
      <c r="L15" s="1042"/>
      <c r="M15" s="1042"/>
      <c r="N15" s="1042"/>
      <c r="O15" s="1042"/>
      <c r="P15" s="1043"/>
      <c r="Q15" s="937" t="s">
        <v>623</v>
      </c>
      <c r="R15" s="935"/>
      <c r="S15" s="935"/>
      <c r="T15" s="935"/>
      <c r="U15" s="935"/>
      <c r="V15" s="935"/>
      <c r="W15" s="900"/>
      <c r="X15" s="937" t="s">
        <v>514</v>
      </c>
      <c r="Y15" s="935"/>
      <c r="Z15" s="935"/>
      <c r="AA15" s="935"/>
      <c r="AB15" s="935"/>
      <c r="AC15" s="935"/>
      <c r="AD15" s="900"/>
      <c r="AE15" s="1038"/>
      <c r="AF15" s="1039"/>
      <c r="AG15" s="1040"/>
      <c r="AH15" s="1024"/>
      <c r="AI15" s="1038"/>
      <c r="AJ15" s="1039"/>
      <c r="AK15" s="1040"/>
      <c r="AL15" s="1024"/>
      <c r="AM15" s="1023"/>
      <c r="AN15" s="1024"/>
      <c r="AO15" s="771" t="s">
        <v>468</v>
      </c>
      <c r="AP15" s="772"/>
      <c r="AQ15" s="773"/>
      <c r="AR15" s="774"/>
      <c r="AS15" s="1025" t="s">
        <v>468</v>
      </c>
      <c r="AT15" s="1026"/>
      <c r="AU15" s="1027"/>
      <c r="AV15" s="1028"/>
      <c r="AW15" s="1025" t="s">
        <v>468</v>
      </c>
      <c r="AX15" s="1028"/>
      <c r="AY15" s="1029"/>
      <c r="AZ15" s="1029"/>
      <c r="BA15" s="1029"/>
      <c r="BB15" s="1029"/>
      <c r="BC15" s="1029"/>
      <c r="BD15" s="1029"/>
      <c r="BE15" s="1029"/>
      <c r="BF15" s="1029"/>
      <c r="BG15" s="1029"/>
      <c r="BH15" s="1029"/>
      <c r="BI15" s="1029"/>
      <c r="BJ15" s="1029"/>
      <c r="BK15" s="1029"/>
      <c r="BL15" s="1029"/>
      <c r="BM15" s="1029"/>
      <c r="BN15" s="1029"/>
    </row>
    <row r="16" spans="1:66" ht="46.5" customHeight="1">
      <c r="A16" s="1030" t="s">
        <v>548</v>
      </c>
      <c r="B16" s="1031"/>
      <c r="C16" s="1044"/>
      <c r="D16" s="1045"/>
      <c r="E16" s="1045"/>
      <c r="F16" s="1045"/>
      <c r="G16" s="1045"/>
      <c r="H16" s="1045"/>
      <c r="I16" s="1046"/>
      <c r="J16" s="1041" t="s">
        <v>645</v>
      </c>
      <c r="K16" s="1042"/>
      <c r="L16" s="1042"/>
      <c r="M16" s="1042"/>
      <c r="N16" s="1042"/>
      <c r="O16" s="1042"/>
      <c r="P16" s="1043"/>
      <c r="Q16" s="937" t="s">
        <v>622</v>
      </c>
      <c r="R16" s="935"/>
      <c r="S16" s="935"/>
      <c r="T16" s="935"/>
      <c r="U16" s="935"/>
      <c r="V16" s="935"/>
      <c r="W16" s="900"/>
      <c r="X16" s="937" t="s">
        <v>514</v>
      </c>
      <c r="Y16" s="935"/>
      <c r="Z16" s="935"/>
      <c r="AA16" s="935"/>
      <c r="AB16" s="935"/>
      <c r="AC16" s="935"/>
      <c r="AD16" s="900"/>
      <c r="AE16" s="1038"/>
      <c r="AF16" s="1039"/>
      <c r="AG16" s="1040"/>
      <c r="AH16" s="1024"/>
      <c r="AI16" s="1038"/>
      <c r="AJ16" s="1039"/>
      <c r="AK16" s="1040"/>
      <c r="AL16" s="1024"/>
      <c r="AM16" s="1023"/>
      <c r="AN16" s="1024"/>
      <c r="AO16" s="771" t="s">
        <v>468</v>
      </c>
      <c r="AP16" s="772"/>
      <c r="AQ16" s="773"/>
      <c r="AR16" s="774"/>
      <c r="AS16" s="1025" t="s">
        <v>468</v>
      </c>
      <c r="AT16" s="1026"/>
      <c r="AU16" s="1027"/>
      <c r="AV16" s="1028"/>
      <c r="AW16" s="1025" t="s">
        <v>468</v>
      </c>
      <c r="AX16" s="1028"/>
      <c r="AY16" s="1029" t="s">
        <v>624</v>
      </c>
      <c r="AZ16" s="1029"/>
      <c r="BA16" s="1029"/>
      <c r="BB16" s="1029"/>
      <c r="BC16" s="1029"/>
      <c r="BD16" s="1029"/>
      <c r="BE16" s="1029"/>
      <c r="BF16" s="1029"/>
      <c r="BG16" s="1029"/>
      <c r="BH16" s="1029"/>
      <c r="BI16" s="1029"/>
      <c r="BJ16" s="1029"/>
      <c r="BK16" s="1029"/>
      <c r="BL16" s="1029"/>
      <c r="BM16" s="1029"/>
      <c r="BN16" s="1029"/>
    </row>
    <row r="17" spans="1:66" ht="29.25" customHeight="1">
      <c r="A17" s="1030" t="s">
        <v>551</v>
      </c>
      <c r="B17" s="1031"/>
      <c r="C17" s="1056" t="s">
        <v>30</v>
      </c>
      <c r="D17" s="1057"/>
      <c r="E17" s="1057"/>
      <c r="F17" s="1057"/>
      <c r="G17" s="1057"/>
      <c r="H17" s="1057"/>
      <c r="I17" s="1058"/>
      <c r="J17" s="1041" t="s">
        <v>646</v>
      </c>
      <c r="K17" s="1042"/>
      <c r="L17" s="1042"/>
      <c r="M17" s="1042"/>
      <c r="N17" s="1042"/>
      <c r="O17" s="1042"/>
      <c r="P17" s="1043"/>
      <c r="Q17" s="937" t="s">
        <v>622</v>
      </c>
      <c r="R17" s="935"/>
      <c r="S17" s="935"/>
      <c r="T17" s="935"/>
      <c r="U17" s="935"/>
      <c r="V17" s="935"/>
      <c r="W17" s="900"/>
      <c r="X17" s="937" t="s">
        <v>514</v>
      </c>
      <c r="Y17" s="935"/>
      <c r="Z17" s="935"/>
      <c r="AA17" s="935"/>
      <c r="AB17" s="935"/>
      <c r="AC17" s="935"/>
      <c r="AD17" s="900"/>
      <c r="AE17" s="1038"/>
      <c r="AF17" s="1039"/>
      <c r="AG17" s="1040"/>
      <c r="AH17" s="1024"/>
      <c r="AI17" s="1038"/>
      <c r="AJ17" s="1039"/>
      <c r="AK17" s="1040"/>
      <c r="AL17" s="1024"/>
      <c r="AM17" s="1023"/>
      <c r="AN17" s="1024"/>
      <c r="AO17" s="771" t="s">
        <v>468</v>
      </c>
      <c r="AP17" s="772"/>
      <c r="AQ17" s="773"/>
      <c r="AR17" s="774"/>
      <c r="AS17" s="1025" t="s">
        <v>468</v>
      </c>
      <c r="AT17" s="1026"/>
      <c r="AU17" s="1027"/>
      <c r="AV17" s="1028"/>
      <c r="AW17" s="1025" t="s">
        <v>468</v>
      </c>
      <c r="AX17" s="1028"/>
      <c r="AY17" s="1029" t="s">
        <v>625</v>
      </c>
      <c r="AZ17" s="1029"/>
      <c r="BA17" s="1029"/>
      <c r="BB17" s="1029"/>
      <c r="BC17" s="1029"/>
      <c r="BD17" s="1029"/>
      <c r="BE17" s="1029"/>
      <c r="BF17" s="1029"/>
      <c r="BG17" s="1029"/>
      <c r="BH17" s="1029"/>
      <c r="BI17" s="1029"/>
      <c r="BJ17" s="1029"/>
      <c r="BK17" s="1029"/>
      <c r="BL17" s="1029"/>
      <c r="BM17" s="1029"/>
      <c r="BN17" s="1029"/>
    </row>
    <row r="18" spans="1:66" ht="13.7" customHeight="1">
      <c r="A18" s="1030" t="s">
        <v>554</v>
      </c>
      <c r="B18" s="1031"/>
      <c r="C18" s="1056" t="s">
        <v>30</v>
      </c>
      <c r="D18" s="1057"/>
      <c r="E18" s="1057"/>
      <c r="F18" s="1057"/>
      <c r="G18" s="1057"/>
      <c r="H18" s="1057"/>
      <c r="I18" s="1058"/>
      <c r="J18" s="1041" t="s">
        <v>647</v>
      </c>
      <c r="K18" s="1042"/>
      <c r="L18" s="1042"/>
      <c r="M18" s="1042"/>
      <c r="N18" s="1042"/>
      <c r="O18" s="1042"/>
      <c r="P18" s="1043"/>
      <c r="Q18" s="937" t="s">
        <v>514</v>
      </c>
      <c r="R18" s="935"/>
      <c r="S18" s="935"/>
      <c r="T18" s="935"/>
      <c r="U18" s="935"/>
      <c r="V18" s="935"/>
      <c r="W18" s="900"/>
      <c r="X18" s="937" t="s">
        <v>514</v>
      </c>
      <c r="Y18" s="935"/>
      <c r="Z18" s="935"/>
      <c r="AA18" s="935"/>
      <c r="AB18" s="935"/>
      <c r="AC18" s="935"/>
      <c r="AD18" s="900"/>
      <c r="AE18" s="1038"/>
      <c r="AF18" s="1039"/>
      <c r="AG18" s="1040"/>
      <c r="AH18" s="1024"/>
      <c r="AI18" s="1038"/>
      <c r="AJ18" s="1039"/>
      <c r="AK18" s="1040"/>
      <c r="AL18" s="1024"/>
      <c r="AM18" s="1023"/>
      <c r="AN18" s="1024"/>
      <c r="AO18" s="771" t="s">
        <v>468</v>
      </c>
      <c r="AP18" s="772"/>
      <c r="AQ18" s="773"/>
      <c r="AR18" s="774"/>
      <c r="AS18" s="1025" t="s">
        <v>468</v>
      </c>
      <c r="AT18" s="1026"/>
      <c r="AU18" s="1027"/>
      <c r="AV18" s="1028"/>
      <c r="AW18" s="1025" t="s">
        <v>468</v>
      </c>
      <c r="AX18" s="1028"/>
      <c r="AY18" s="1029"/>
      <c r="AZ18" s="1029"/>
      <c r="BA18" s="1029"/>
      <c r="BB18" s="1029"/>
      <c r="BC18" s="1029"/>
      <c r="BD18" s="1029"/>
      <c r="BE18" s="1029"/>
      <c r="BF18" s="1029"/>
      <c r="BG18" s="1029"/>
      <c r="BH18" s="1029"/>
      <c r="BI18" s="1029"/>
      <c r="BJ18" s="1029"/>
      <c r="BK18" s="1029"/>
      <c r="BL18" s="1029"/>
      <c r="BM18" s="1029"/>
      <c r="BN18" s="1029"/>
    </row>
    <row r="19" spans="1:66" ht="13.7" customHeight="1">
      <c r="A19" s="1030">
        <v>4</v>
      </c>
      <c r="B19" s="1031"/>
      <c r="C19" s="1041" t="s">
        <v>635</v>
      </c>
      <c r="D19" s="1042"/>
      <c r="E19" s="1042"/>
      <c r="F19" s="1042"/>
      <c r="G19" s="1042"/>
      <c r="H19" s="1042"/>
      <c r="I19" s="1043"/>
      <c r="J19" s="1059" t="s">
        <v>30</v>
      </c>
      <c r="K19" s="1060"/>
      <c r="L19" s="1060"/>
      <c r="M19" s="1060"/>
      <c r="N19" s="1060"/>
      <c r="O19" s="1060"/>
      <c r="P19" s="1061"/>
      <c r="Q19" s="937"/>
      <c r="R19" s="935"/>
      <c r="S19" s="935"/>
      <c r="T19" s="935"/>
      <c r="U19" s="935"/>
      <c r="V19" s="935"/>
      <c r="W19" s="900"/>
      <c r="X19" s="937"/>
      <c r="Y19" s="935"/>
      <c r="Z19" s="935"/>
      <c r="AA19" s="935"/>
      <c r="AB19" s="935"/>
      <c r="AC19" s="935"/>
      <c r="AD19" s="900"/>
      <c r="AE19" s="1038"/>
      <c r="AF19" s="1039"/>
      <c r="AG19" s="1040"/>
      <c r="AH19" s="1024"/>
      <c r="AI19" s="1038"/>
      <c r="AJ19" s="1039"/>
      <c r="AK19" s="1040"/>
      <c r="AL19" s="1024"/>
      <c r="AM19" s="1023"/>
      <c r="AN19" s="1024"/>
      <c r="AO19" s="771" t="s">
        <v>468</v>
      </c>
      <c r="AP19" s="772"/>
      <c r="AQ19" s="773"/>
      <c r="AR19" s="774"/>
      <c r="AS19" s="1025" t="s">
        <v>468</v>
      </c>
      <c r="AT19" s="1026"/>
      <c r="AU19" s="1027"/>
      <c r="AV19" s="1028"/>
      <c r="AW19" s="1025" t="s">
        <v>468</v>
      </c>
      <c r="AX19" s="1028"/>
      <c r="AY19" s="1029"/>
      <c r="AZ19" s="1029"/>
      <c r="BA19" s="1029"/>
      <c r="BB19" s="1029"/>
      <c r="BC19" s="1029"/>
      <c r="BD19" s="1029"/>
      <c r="BE19" s="1029"/>
      <c r="BF19" s="1029"/>
      <c r="BG19" s="1029"/>
      <c r="BH19" s="1029"/>
      <c r="BI19" s="1029"/>
      <c r="BJ19" s="1029"/>
      <c r="BK19" s="1029"/>
      <c r="BL19" s="1029"/>
      <c r="BM19" s="1029"/>
      <c r="BN19" s="1029"/>
    </row>
    <row r="20" spans="1:66" ht="13.7" customHeight="1"/>
    <row r="21" spans="1:66" ht="13.7" customHeight="1"/>
    <row r="22" spans="1:66" ht="13.7" customHeight="1">
      <c r="D22" s="1064" t="s">
        <v>626</v>
      </c>
      <c r="E22" s="1064"/>
      <c r="F22" s="1064"/>
      <c r="G22" s="1064"/>
      <c r="H22" s="1064"/>
      <c r="I22" s="1064"/>
      <c r="J22" s="1064"/>
      <c r="K22" s="1065" t="s">
        <v>627</v>
      </c>
      <c r="L22" s="1065"/>
      <c r="M22" s="1065"/>
      <c r="N22" s="1065"/>
      <c r="O22" s="1065"/>
      <c r="P22" s="1065"/>
    </row>
    <row r="23" spans="1:66" ht="13.7" customHeight="1">
      <c r="D23" s="1062" t="s">
        <v>628</v>
      </c>
      <c r="E23" s="1062"/>
      <c r="F23" s="1062"/>
      <c r="G23" s="1062"/>
      <c r="H23" s="1062"/>
      <c r="I23" s="1062"/>
      <c r="J23" s="1062"/>
      <c r="K23" s="1063" t="s">
        <v>588</v>
      </c>
      <c r="L23" s="1063"/>
      <c r="M23" s="1063"/>
      <c r="N23" s="1063"/>
      <c r="O23" s="1063"/>
      <c r="P23" s="1063"/>
    </row>
    <row r="24" spans="1:66" ht="13.7" customHeight="1">
      <c r="D24" s="1062" t="s">
        <v>629</v>
      </c>
      <c r="E24" s="1062"/>
      <c r="F24" s="1062"/>
      <c r="G24" s="1062"/>
      <c r="H24" s="1062"/>
      <c r="I24" s="1062"/>
      <c r="J24" s="1062"/>
      <c r="K24" s="1063" t="s">
        <v>630</v>
      </c>
      <c r="L24" s="1063"/>
      <c r="M24" s="1063"/>
      <c r="N24" s="1063"/>
      <c r="O24" s="1063"/>
      <c r="P24" s="1063"/>
    </row>
    <row r="25" spans="1:66" ht="13.7" customHeight="1">
      <c r="D25" s="1062" t="s">
        <v>631</v>
      </c>
      <c r="E25" s="1062"/>
      <c r="F25" s="1062"/>
      <c r="G25" s="1062"/>
      <c r="H25" s="1062"/>
      <c r="I25" s="1062"/>
      <c r="J25" s="1062"/>
      <c r="K25" s="1063" t="s">
        <v>595</v>
      </c>
      <c r="L25" s="1063"/>
      <c r="M25" s="1063"/>
      <c r="N25" s="1063"/>
      <c r="O25" s="1063"/>
      <c r="P25" s="1063"/>
    </row>
  </sheetData>
  <mergeCells count="217">
    <mergeCell ref="D24:J24"/>
    <mergeCell ref="K24:P24"/>
    <mergeCell ref="D25:J25"/>
    <mergeCell ref="K25:P25"/>
    <mergeCell ref="D22:J22"/>
    <mergeCell ref="K22:P22"/>
    <mergeCell ref="D23:J23"/>
    <mergeCell ref="K23:P23"/>
    <mergeCell ref="AM19:AN19"/>
    <mergeCell ref="AS19:AV19"/>
    <mergeCell ref="AW19:AX19"/>
    <mergeCell ref="AY19:BF19"/>
    <mergeCell ref="BG19:BN19"/>
    <mergeCell ref="AW18:AX18"/>
    <mergeCell ref="AY18:BF18"/>
    <mergeCell ref="BG18:BN18"/>
    <mergeCell ref="A19:B19"/>
    <mergeCell ref="C19:I19"/>
    <mergeCell ref="J19:P19"/>
    <mergeCell ref="Q19:W19"/>
    <mergeCell ref="X19:AD19"/>
    <mergeCell ref="AE19:AH19"/>
    <mergeCell ref="AI19:AL19"/>
    <mergeCell ref="A18:B18"/>
    <mergeCell ref="C18:I18"/>
    <mergeCell ref="J18:P18"/>
    <mergeCell ref="Q18:W18"/>
    <mergeCell ref="X18:AD18"/>
    <mergeCell ref="AE18:AH18"/>
    <mergeCell ref="AI18:AL18"/>
    <mergeCell ref="AM18:AN18"/>
    <mergeCell ref="AS18:AV18"/>
    <mergeCell ref="AW16:AX16"/>
    <mergeCell ref="AY16:BF16"/>
    <mergeCell ref="BG16:BN16"/>
    <mergeCell ref="A17:B17"/>
    <mergeCell ref="C17:I17"/>
    <mergeCell ref="J17:P17"/>
    <mergeCell ref="Q17:W17"/>
    <mergeCell ref="X17:AD17"/>
    <mergeCell ref="BG17:BN17"/>
    <mergeCell ref="AE17:AH17"/>
    <mergeCell ref="AI17:AL17"/>
    <mergeCell ref="AM17:AN17"/>
    <mergeCell ref="AS17:AV17"/>
    <mergeCell ref="AW17:AX17"/>
    <mergeCell ref="AY17:BF17"/>
    <mergeCell ref="A16:B16"/>
    <mergeCell ref="C16:I16"/>
    <mergeCell ref="J16:P16"/>
    <mergeCell ref="Q16:W16"/>
    <mergeCell ref="X16:AD16"/>
    <mergeCell ref="AE16:AH16"/>
    <mergeCell ref="AI16:AL16"/>
    <mergeCell ref="AM16:AN16"/>
    <mergeCell ref="AS16:AV16"/>
    <mergeCell ref="A14:B14"/>
    <mergeCell ref="C14:I14"/>
    <mergeCell ref="J14:P14"/>
    <mergeCell ref="Q14:W14"/>
    <mergeCell ref="X14:AD14"/>
    <mergeCell ref="BG14:BN14"/>
    <mergeCell ref="A15:B15"/>
    <mergeCell ref="C15:I15"/>
    <mergeCell ref="J15:P15"/>
    <mergeCell ref="Q15:W15"/>
    <mergeCell ref="X15:AD15"/>
    <mergeCell ref="AE15:AH15"/>
    <mergeCell ref="AI15:AL15"/>
    <mergeCell ref="AM15:AN15"/>
    <mergeCell ref="AS15:AV15"/>
    <mergeCell ref="AE14:AH14"/>
    <mergeCell ref="AI14:AL14"/>
    <mergeCell ref="AM14:AN14"/>
    <mergeCell ref="AS14:AV14"/>
    <mergeCell ref="AW14:AX14"/>
    <mergeCell ref="AY14:BF14"/>
    <mergeCell ref="AW15:AX15"/>
    <mergeCell ref="AY15:BF15"/>
    <mergeCell ref="BG15:BN15"/>
    <mergeCell ref="AW12:AX12"/>
    <mergeCell ref="AY12:BF12"/>
    <mergeCell ref="BG12:BN12"/>
    <mergeCell ref="A13:B13"/>
    <mergeCell ref="C13:I13"/>
    <mergeCell ref="J13:P13"/>
    <mergeCell ref="Q13:W13"/>
    <mergeCell ref="X13:AD13"/>
    <mergeCell ref="AE13:AH13"/>
    <mergeCell ref="AI13:AL13"/>
    <mergeCell ref="AM13:AN13"/>
    <mergeCell ref="AS13:AV13"/>
    <mergeCell ref="AW13:AX13"/>
    <mergeCell ref="AY13:BF13"/>
    <mergeCell ref="BG13:BN13"/>
    <mergeCell ref="A12:B12"/>
    <mergeCell ref="C12:I12"/>
    <mergeCell ref="J12:P12"/>
    <mergeCell ref="Q12:W12"/>
    <mergeCell ref="X12:AD12"/>
    <mergeCell ref="AE12:AH12"/>
    <mergeCell ref="AI12:AL12"/>
    <mergeCell ref="AM12:AN12"/>
    <mergeCell ref="AS12:AV12"/>
    <mergeCell ref="AW10:AX10"/>
    <mergeCell ref="AY10:BF10"/>
    <mergeCell ref="BG10:BN10"/>
    <mergeCell ref="A11:B11"/>
    <mergeCell ref="C11:I11"/>
    <mergeCell ref="J11:P11"/>
    <mergeCell ref="Q11:W11"/>
    <mergeCell ref="X11:AD11"/>
    <mergeCell ref="BG11:BN11"/>
    <mergeCell ref="AE11:AH11"/>
    <mergeCell ref="AI11:AL11"/>
    <mergeCell ref="AM11:AN11"/>
    <mergeCell ref="AS11:AV11"/>
    <mergeCell ref="AW11:AX11"/>
    <mergeCell ref="AY11:BF11"/>
    <mergeCell ref="A10:B10"/>
    <mergeCell ref="C10:I10"/>
    <mergeCell ref="J10:P10"/>
    <mergeCell ref="Q10:W10"/>
    <mergeCell ref="X10:AD10"/>
    <mergeCell ref="AE10:AH10"/>
    <mergeCell ref="AI10:AL10"/>
    <mergeCell ref="AM10:AN10"/>
    <mergeCell ref="AS10:AV10"/>
    <mergeCell ref="A8:B8"/>
    <mergeCell ref="C8:I8"/>
    <mergeCell ref="J8:P8"/>
    <mergeCell ref="Q8:W8"/>
    <mergeCell ref="X8:AD8"/>
    <mergeCell ref="BG8:BN8"/>
    <mergeCell ref="A9:B9"/>
    <mergeCell ref="C9:I9"/>
    <mergeCell ref="J9:P9"/>
    <mergeCell ref="Q9:W9"/>
    <mergeCell ref="X9:AD9"/>
    <mergeCell ref="AE9:AH9"/>
    <mergeCell ref="AI9:AL9"/>
    <mergeCell ref="AM9:AN9"/>
    <mergeCell ref="AS9:AV9"/>
    <mergeCell ref="AE8:AH8"/>
    <mergeCell ref="AI8:AL8"/>
    <mergeCell ref="AM8:AN8"/>
    <mergeCell ref="AS8:AV8"/>
    <mergeCell ref="AW8:AX8"/>
    <mergeCell ref="AY8:BF8"/>
    <mergeCell ref="AW9:AX9"/>
    <mergeCell ref="AY9:BF9"/>
    <mergeCell ref="BG9:BN9"/>
    <mergeCell ref="AW6:AX6"/>
    <mergeCell ref="AY6:BF6"/>
    <mergeCell ref="BG6:BN6"/>
    <mergeCell ref="A7:B7"/>
    <mergeCell ref="C7:I7"/>
    <mergeCell ref="J7:P7"/>
    <mergeCell ref="Q7:W7"/>
    <mergeCell ref="X7:AD7"/>
    <mergeCell ref="AE7:AH7"/>
    <mergeCell ref="AI7:AL7"/>
    <mergeCell ref="A6:B6"/>
    <mergeCell ref="C6:I6"/>
    <mergeCell ref="J6:P6"/>
    <mergeCell ref="Q6:W6"/>
    <mergeCell ref="X6:AD6"/>
    <mergeCell ref="AE6:AH6"/>
    <mergeCell ref="AI6:AL6"/>
    <mergeCell ref="AM6:AN6"/>
    <mergeCell ref="AS6:AV6"/>
    <mergeCell ref="AM7:AN7"/>
    <mergeCell ref="AS7:AV7"/>
    <mergeCell ref="AW7:AX7"/>
    <mergeCell ref="AY7:BF7"/>
    <mergeCell ref="BG7:BN7"/>
    <mergeCell ref="AM5:AN5"/>
    <mergeCell ref="AS5:AV5"/>
    <mergeCell ref="AW5:AX5"/>
    <mergeCell ref="AY5:BF5"/>
    <mergeCell ref="BG5:BN5"/>
    <mergeCell ref="AW4:AX4"/>
    <mergeCell ref="AY4:BF4"/>
    <mergeCell ref="BG4:BN4"/>
    <mergeCell ref="A5:B5"/>
    <mergeCell ref="C5:I5"/>
    <mergeCell ref="J5:P5"/>
    <mergeCell ref="Q5:W5"/>
    <mergeCell ref="X5:AD5"/>
    <mergeCell ref="AE5:AH5"/>
    <mergeCell ref="AI5:AL5"/>
    <mergeCell ref="A4:B4"/>
    <mergeCell ref="C4:I4"/>
    <mergeCell ref="J4:P4"/>
    <mergeCell ref="Q4:W4"/>
    <mergeCell ref="X4:AD4"/>
    <mergeCell ref="AE4:AH4"/>
    <mergeCell ref="AI4:AL4"/>
    <mergeCell ref="AM4:AN4"/>
    <mergeCell ref="AS4:AV4"/>
    <mergeCell ref="A1:J1"/>
    <mergeCell ref="AE1:BN1"/>
    <mergeCell ref="A2:B3"/>
    <mergeCell ref="C2:P3"/>
    <mergeCell ref="Q2:AD2"/>
    <mergeCell ref="AE2:AN2"/>
    <mergeCell ref="AO2:AX2"/>
    <mergeCell ref="AY2:BF3"/>
    <mergeCell ref="BG2:BN3"/>
    <mergeCell ref="Q3:W3"/>
    <mergeCell ref="AW3:AX3"/>
    <mergeCell ref="X3:AD3"/>
    <mergeCell ref="AE3:AH3"/>
    <mergeCell ref="AI3:AL3"/>
    <mergeCell ref="AM3:AN3"/>
    <mergeCell ref="AO3:AR3"/>
    <mergeCell ref="AS3:AV3"/>
  </mergeCells>
  <phoneticPr fontId="54"/>
  <dataValidations count="1">
    <dataValidation type="list" allowBlank="1" showInputMessage="1" showErrorMessage="1" sqref="Q4:AD19" xr:uid="{ABEABCEF-2E9A-420B-A8F7-6D217512B9B1}">
      <formula1>$K$23:$K$25</formula1>
    </dataValidation>
  </dataValidations>
  <pageMargins left="0.7" right="0.7" top="0.75" bottom="0.75" header="0.3" footer="0.3"/>
  <pageSetup paperSize="9" scale="45" fitToHeight="0" orientation="landscape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A103C-7954-4552-B9D9-C12A138F5161}">
  <dimension ref="A1:BT258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.5"/>
  <cols>
    <col min="1" max="18" width="2.625" style="35" customWidth="1"/>
    <col min="19" max="22" width="2.625" style="25" customWidth="1"/>
    <col min="23" max="24" width="2.625" style="35" customWidth="1"/>
    <col min="25" max="26" width="2.625" style="25" customWidth="1"/>
    <col min="27" max="29" width="2.625" style="35" customWidth="1"/>
    <col min="30" max="55" width="2.625" style="25" customWidth="1"/>
    <col min="56" max="56" width="2.625" style="81" customWidth="1"/>
    <col min="57" max="59" width="2.625" style="28" customWidth="1"/>
    <col min="60" max="128" width="2.625" style="35" customWidth="1"/>
    <col min="129" max="16384" width="9" style="35"/>
  </cols>
  <sheetData>
    <row r="1" spans="1:72" ht="12" customHeight="1">
      <c r="A1" s="846" t="s">
        <v>4</v>
      </c>
      <c r="B1" s="846"/>
      <c r="C1" s="846"/>
      <c r="D1" s="846"/>
      <c r="E1" s="846"/>
      <c r="F1" s="846"/>
      <c r="G1" s="846"/>
      <c r="H1" s="846"/>
      <c r="I1" s="829" t="s">
        <v>5</v>
      </c>
      <c r="J1" s="829"/>
      <c r="K1" s="829"/>
      <c r="L1" s="829"/>
      <c r="M1" s="844" t="str">
        <f>変更来歴!M1</f>
        <v>ヒロセ電機株式会社</v>
      </c>
      <c r="N1" s="844"/>
      <c r="O1" s="844"/>
      <c r="P1" s="844"/>
      <c r="Q1" s="844"/>
      <c r="R1" s="844"/>
      <c r="S1" s="844"/>
      <c r="T1" s="844"/>
      <c r="U1" s="844"/>
      <c r="V1" s="844"/>
      <c r="W1" s="844"/>
      <c r="X1" s="829" t="s">
        <v>7</v>
      </c>
      <c r="Y1" s="829"/>
      <c r="Z1" s="829"/>
      <c r="AA1" s="848" t="str">
        <f>変更来歴!AA1</f>
        <v>契約書DB</v>
      </c>
      <c r="AB1" s="848"/>
      <c r="AC1" s="848"/>
      <c r="AD1" s="848"/>
      <c r="AE1" s="848"/>
      <c r="AF1" s="848"/>
      <c r="AG1" s="848"/>
      <c r="AH1" s="848"/>
      <c r="AI1" s="848"/>
      <c r="AJ1" s="848"/>
      <c r="AK1" s="833" t="s">
        <v>8</v>
      </c>
      <c r="AL1" s="833"/>
      <c r="AM1" s="833"/>
      <c r="AN1" s="834" t="str">
        <f>変更来歴!AP7</f>
        <v>古竹</v>
      </c>
      <c r="AO1" s="834"/>
      <c r="AP1" s="834"/>
      <c r="AQ1" s="834"/>
      <c r="AR1" s="834"/>
      <c r="AS1" s="833" t="s">
        <v>9</v>
      </c>
      <c r="AT1" s="833"/>
      <c r="AU1" s="833"/>
      <c r="AV1" s="836">
        <f>変更来歴!AL7</f>
        <v>46125</v>
      </c>
      <c r="AW1" s="849"/>
      <c r="AX1" s="849"/>
      <c r="AY1" s="849"/>
      <c r="AZ1" s="825" t="s">
        <v>10</v>
      </c>
      <c r="BA1" s="826"/>
      <c r="BB1" s="826"/>
      <c r="BC1" s="827"/>
    </row>
    <row r="2" spans="1:72">
      <c r="A2" s="828" t="s">
        <v>16</v>
      </c>
      <c r="B2" s="828"/>
      <c r="C2" s="828"/>
      <c r="D2" s="828"/>
      <c r="E2" s="828"/>
      <c r="F2" s="828"/>
      <c r="G2" s="828"/>
      <c r="H2" s="828"/>
      <c r="I2" s="829" t="s">
        <v>11</v>
      </c>
      <c r="J2" s="829"/>
      <c r="K2" s="829"/>
      <c r="L2" s="829"/>
      <c r="M2" s="862" t="str">
        <f>変更来歴!M2</f>
        <v>　</v>
      </c>
      <c r="N2" s="862"/>
      <c r="O2" s="862"/>
      <c r="P2" s="862"/>
      <c r="Q2" s="862"/>
      <c r="R2" s="862"/>
      <c r="S2" s="862"/>
      <c r="T2" s="862"/>
      <c r="U2" s="862"/>
      <c r="V2" s="862"/>
      <c r="W2" s="862"/>
      <c r="X2" s="829"/>
      <c r="Y2" s="829"/>
      <c r="Z2" s="829"/>
      <c r="AA2" s="848"/>
      <c r="AB2" s="848"/>
      <c r="AC2" s="848"/>
      <c r="AD2" s="848"/>
      <c r="AE2" s="848"/>
      <c r="AF2" s="848"/>
      <c r="AG2" s="848"/>
      <c r="AH2" s="848"/>
      <c r="AI2" s="848"/>
      <c r="AJ2" s="848"/>
      <c r="AK2" s="833" t="s">
        <v>12</v>
      </c>
      <c r="AL2" s="833"/>
      <c r="AM2" s="833"/>
      <c r="AN2" s="834" t="str">
        <f ca="1">INDIRECT("変更来歴!AP" &amp; COUNTA(変更来歴!AP7:'変更来歴'!AP39) + 6)</f>
        <v>古竹</v>
      </c>
      <c r="AO2" s="834"/>
      <c r="AP2" s="834"/>
      <c r="AQ2" s="834"/>
      <c r="AR2" s="834"/>
      <c r="AS2" s="833" t="s">
        <v>13</v>
      </c>
      <c r="AT2" s="833"/>
      <c r="AU2" s="833"/>
      <c r="AV2" s="836">
        <f ca="1">INDIRECT("変更来歴!AL" &amp; COUNTA(変更来歴!AL7:'変更来歴'!AL39) + 6)</f>
        <v>46134</v>
      </c>
      <c r="AW2" s="849"/>
      <c r="AX2" s="849"/>
      <c r="AY2" s="849"/>
      <c r="AZ2" s="837" t="str">
        <f>変更来歴!AX2</f>
        <v>IMWF-53</v>
      </c>
      <c r="BA2" s="838"/>
      <c r="BB2" s="838"/>
      <c r="BC2" s="839"/>
    </row>
    <row r="3" spans="1:72" ht="12" customHeight="1">
      <c r="A3" s="843" t="str">
        <f>変更来歴!A3</f>
        <v>画面設計書</v>
      </c>
      <c r="B3" s="843"/>
      <c r="C3" s="843"/>
      <c r="D3" s="843"/>
      <c r="E3" s="843"/>
      <c r="F3" s="843"/>
      <c r="G3" s="843"/>
      <c r="H3" s="843"/>
      <c r="I3" s="829" t="s">
        <v>14</v>
      </c>
      <c r="J3" s="829"/>
      <c r="K3" s="829"/>
      <c r="L3" s="829"/>
      <c r="M3" s="844" t="str">
        <f ca="1">RIGHT(CELL("filename",A1),LEN(CELL("filename",A1))-FIND("]",CELL("filename",A1)))</f>
        <v>化学物質データ画面 (2)</v>
      </c>
      <c r="N3" s="844"/>
      <c r="O3" s="844"/>
      <c r="P3" s="844"/>
      <c r="Q3" s="844"/>
      <c r="R3" s="844"/>
      <c r="S3" s="844"/>
      <c r="T3" s="844"/>
      <c r="U3" s="844"/>
      <c r="V3" s="844"/>
      <c r="W3" s="844"/>
      <c r="X3" s="829" t="s">
        <v>27</v>
      </c>
      <c r="Y3" s="829"/>
      <c r="Z3" s="829"/>
      <c r="AA3" s="845" t="str">
        <f ca="1">MID(CELL("filename"),FIND("]",CELL("filename"))+1,LEN(CELL("filename"))) &amp; "画面"</f>
        <v>化学物質データ画面(日英併記)画面</v>
      </c>
      <c r="AB3" s="845"/>
      <c r="AC3" s="845"/>
      <c r="AD3" s="845"/>
      <c r="AE3" s="845"/>
      <c r="AF3" s="845"/>
      <c r="AG3" s="845"/>
      <c r="AH3" s="845"/>
      <c r="AI3" s="845"/>
      <c r="AJ3" s="845"/>
      <c r="AK3" s="845"/>
      <c r="AL3" s="845"/>
      <c r="AM3" s="845"/>
      <c r="AN3" s="845"/>
      <c r="AO3" s="845"/>
      <c r="AP3" s="845"/>
      <c r="AQ3" s="845"/>
      <c r="AR3" s="845"/>
      <c r="AS3" s="833" t="s">
        <v>15</v>
      </c>
      <c r="AT3" s="833"/>
      <c r="AU3" s="833"/>
      <c r="AV3" s="849" t="str">
        <f ca="1">INDIRECT("変更来歴!A" &amp; COUNTA(変更来歴!A7:'変更来歴'!A39) + 6)</f>
        <v>r1.1</v>
      </c>
      <c r="AW3" s="849"/>
      <c r="AX3" s="849"/>
      <c r="AY3" s="849"/>
      <c r="AZ3" s="840"/>
      <c r="BA3" s="841"/>
      <c r="BB3" s="841"/>
      <c r="BC3" s="842"/>
    </row>
    <row r="4" spans="1:72" ht="5.85" customHeight="1"/>
    <row r="5" spans="1:72" ht="13.5" customHeight="1">
      <c r="A5" s="864" t="str">
        <f ca="1">"画面レイアウト"&amp;"("&amp;MID(CELL("filename"),FIND("]",CELL("filename"))+1,LEN(CELL("filename")))&amp;")"</f>
        <v>画面レイアウト(化学物質データ画面(日英併記))</v>
      </c>
      <c r="B5" s="865"/>
      <c r="C5" s="865"/>
      <c r="D5" s="865"/>
      <c r="E5" s="865"/>
      <c r="F5" s="865"/>
      <c r="G5" s="865"/>
      <c r="H5" s="865"/>
      <c r="I5" s="865"/>
      <c r="J5" s="865"/>
      <c r="K5" s="865"/>
      <c r="L5" s="865"/>
      <c r="M5" s="865"/>
      <c r="N5" s="865"/>
      <c r="O5" s="865"/>
      <c r="P5" s="865"/>
      <c r="Q5" s="865"/>
      <c r="R5" s="865"/>
      <c r="S5" s="865"/>
      <c r="T5" s="865"/>
      <c r="U5" s="865"/>
      <c r="V5" s="865"/>
      <c r="W5" s="865"/>
      <c r="X5" s="865"/>
      <c r="Y5" s="865"/>
      <c r="Z5" s="865"/>
      <c r="AA5" s="865"/>
      <c r="AB5" s="865"/>
      <c r="AC5" s="865"/>
      <c r="AD5" s="865"/>
      <c r="AE5" s="865"/>
      <c r="AF5" s="865"/>
      <c r="AG5" s="865"/>
      <c r="AH5" s="865"/>
      <c r="AI5" s="865"/>
      <c r="AJ5" s="865"/>
      <c r="AK5" s="865"/>
      <c r="AL5" s="865"/>
      <c r="AM5" s="865"/>
      <c r="AN5" s="865"/>
      <c r="AO5" s="865"/>
      <c r="AP5" s="865"/>
      <c r="AQ5" s="865"/>
      <c r="AR5" s="865"/>
      <c r="AS5" s="865"/>
      <c r="AT5" s="865"/>
      <c r="AU5" s="865"/>
      <c r="AV5" s="865"/>
      <c r="AW5" s="865"/>
      <c r="AX5" s="865"/>
      <c r="AY5" s="865"/>
      <c r="AZ5" s="865"/>
      <c r="BA5" s="866"/>
      <c r="BB5" s="867" t="s">
        <v>24</v>
      </c>
      <c r="BC5" s="868"/>
      <c r="BD5" s="28"/>
    </row>
    <row r="6" spans="1:72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72" ht="42.95" customHeight="1">
      <c r="A7" s="536"/>
      <c r="B7" s="537"/>
      <c r="C7" s="538"/>
      <c r="D7" s="538"/>
      <c r="E7" s="538"/>
      <c r="F7" s="538"/>
      <c r="G7" s="538"/>
      <c r="H7" s="538"/>
      <c r="I7" s="538"/>
      <c r="J7" s="538"/>
      <c r="K7" s="538"/>
      <c r="L7" s="538"/>
      <c r="M7" s="538"/>
      <c r="N7" s="538"/>
      <c r="O7" s="538"/>
      <c r="P7" s="538"/>
      <c r="Q7" s="538"/>
      <c r="R7" s="538"/>
      <c r="S7" s="538"/>
      <c r="T7" s="538"/>
      <c r="U7" s="538"/>
      <c r="V7" s="538"/>
      <c r="W7" s="538"/>
      <c r="X7" s="538"/>
      <c r="Y7" s="538"/>
      <c r="Z7" s="538"/>
      <c r="AA7" s="538"/>
      <c r="AB7" s="538"/>
      <c r="AC7" s="538"/>
      <c r="AD7" s="538"/>
      <c r="AE7" s="538"/>
      <c r="AF7" s="538"/>
      <c r="AG7" s="538"/>
      <c r="AH7" s="538"/>
      <c r="AI7" s="538"/>
      <c r="AJ7" s="538"/>
      <c r="AK7" s="538"/>
      <c r="AL7" s="538"/>
      <c r="AM7" s="538"/>
      <c r="AN7" s="538"/>
      <c r="AO7" s="538"/>
      <c r="AP7" s="538"/>
      <c r="AQ7" s="538"/>
      <c r="AR7" s="538"/>
      <c r="AS7" s="538"/>
      <c r="AT7" s="538"/>
      <c r="AU7" s="538"/>
      <c r="AV7" s="585" t="s">
        <v>304</v>
      </c>
      <c r="AW7" s="584"/>
      <c r="AX7" s="539"/>
      <c r="AY7" s="539"/>
      <c r="AZ7" s="540"/>
      <c r="BA7" s="541" t="s">
        <v>30</v>
      </c>
      <c r="BB7" s="542"/>
      <c r="BC7" s="543"/>
      <c r="BD7" s="544"/>
      <c r="BE7" s="544"/>
      <c r="BF7" s="544"/>
      <c r="BG7" s="544"/>
      <c r="BH7" s="545"/>
      <c r="BI7" s="545"/>
      <c r="BJ7" s="545"/>
      <c r="BK7" s="545"/>
      <c r="BL7" s="545"/>
      <c r="BM7" s="545"/>
      <c r="BN7" s="545"/>
      <c r="BO7" s="545"/>
      <c r="BP7" s="545"/>
      <c r="BQ7" s="545"/>
      <c r="BR7" s="545"/>
      <c r="BS7" s="545"/>
      <c r="BT7" s="545"/>
    </row>
    <row r="8" spans="1:72" ht="18" customHeight="1">
      <c r="A8" s="536"/>
      <c r="B8" s="578"/>
      <c r="C8" s="579"/>
      <c r="D8" s="579"/>
      <c r="E8" s="579"/>
      <c r="F8" s="579"/>
      <c r="G8" s="579"/>
      <c r="H8" s="579"/>
      <c r="I8" s="579"/>
      <c r="J8" s="579"/>
      <c r="K8" s="579"/>
      <c r="L8" s="580"/>
      <c r="M8" s="579"/>
      <c r="N8" s="581"/>
      <c r="O8" s="581"/>
      <c r="P8" s="580"/>
      <c r="Q8" s="581"/>
      <c r="R8" s="581"/>
      <c r="S8" s="581"/>
      <c r="T8" s="582"/>
      <c r="U8" s="582"/>
      <c r="V8" s="582"/>
      <c r="W8" s="582"/>
      <c r="X8" s="583"/>
      <c r="Y8" s="579"/>
      <c r="Z8" s="579"/>
      <c r="AA8" s="546"/>
      <c r="AB8" s="547"/>
      <c r="AC8" s="577" t="s">
        <v>301</v>
      </c>
      <c r="AD8" s="549"/>
      <c r="AE8" s="549"/>
      <c r="AF8" s="550"/>
      <c r="AG8" s="548"/>
      <c r="AH8" s="548"/>
      <c r="AI8" s="551" t="s">
        <v>302</v>
      </c>
      <c r="AJ8" s="551"/>
      <c r="AK8" s="551"/>
      <c r="AL8" s="551"/>
      <c r="AM8" s="551"/>
      <c r="AN8" s="552"/>
      <c r="AO8" s="553"/>
      <c r="AP8" s="553"/>
      <c r="AQ8" s="551"/>
      <c r="AR8" s="551"/>
      <c r="AS8" s="551" t="s">
        <v>303</v>
      </c>
      <c r="AT8" s="551"/>
      <c r="AU8" s="551"/>
      <c r="AV8" s="549"/>
      <c r="AW8" s="549"/>
      <c r="AX8" s="549"/>
      <c r="AY8" s="548"/>
      <c r="AZ8" s="554"/>
      <c r="BA8" s="555"/>
      <c r="BB8" s="542"/>
      <c r="BC8" s="543"/>
      <c r="BD8" s="544"/>
      <c r="BE8" s="544"/>
      <c r="BF8" s="544"/>
      <c r="BG8" s="544"/>
      <c r="BH8" s="545"/>
      <c r="BI8" s="545"/>
      <c r="BJ8" s="545"/>
      <c r="BK8" s="545"/>
      <c r="BL8" s="545"/>
      <c r="BM8" s="545"/>
      <c r="BN8" s="545"/>
      <c r="BO8" s="545"/>
      <c r="BP8" s="545"/>
      <c r="BQ8" s="545"/>
      <c r="BR8" s="545"/>
      <c r="BS8" s="545"/>
      <c r="BT8" s="545"/>
    </row>
    <row r="9" spans="1:72" ht="20.45" customHeight="1">
      <c r="A9" s="556"/>
      <c r="B9" s="586" t="s">
        <v>305</v>
      </c>
      <c r="C9" s="587"/>
      <c r="D9" s="587"/>
      <c r="E9" s="587"/>
      <c r="F9" s="587"/>
      <c r="G9" s="587"/>
      <c r="H9" s="587"/>
      <c r="I9" s="587"/>
      <c r="J9" s="587" t="s">
        <v>306</v>
      </c>
      <c r="K9" s="587"/>
      <c r="L9" s="587"/>
      <c r="M9" s="587"/>
      <c r="N9" s="587"/>
      <c r="O9" s="587"/>
      <c r="P9" s="587"/>
      <c r="Q9" s="587"/>
      <c r="R9" s="587"/>
      <c r="S9" s="587"/>
      <c r="T9" s="587"/>
      <c r="U9" s="587" t="s">
        <v>308</v>
      </c>
      <c r="V9" s="587"/>
      <c r="W9" s="587"/>
      <c r="X9" s="587"/>
      <c r="Y9" s="587"/>
      <c r="Z9" s="588"/>
      <c r="AA9" s="588"/>
      <c r="AB9" s="587" t="s">
        <v>309</v>
      </c>
      <c r="AC9" s="587"/>
      <c r="AD9" s="587"/>
      <c r="AE9" s="587"/>
      <c r="AF9" s="587"/>
      <c r="AG9" s="587"/>
      <c r="AH9" s="587"/>
      <c r="AI9" s="588"/>
      <c r="AJ9" s="587" t="s">
        <v>310</v>
      </c>
      <c r="AK9" s="587"/>
      <c r="AL9" s="587"/>
      <c r="AM9" s="590"/>
      <c r="AN9" s="590"/>
      <c r="AO9" s="590"/>
      <c r="AP9" s="590"/>
      <c r="AQ9" s="590"/>
      <c r="AR9" s="590" t="s">
        <v>307</v>
      </c>
      <c r="AS9" s="590"/>
      <c r="AT9" s="590"/>
      <c r="AU9" s="590"/>
      <c r="AV9" s="590"/>
      <c r="AW9" s="590"/>
      <c r="AX9" s="590"/>
      <c r="AY9" s="590"/>
      <c r="AZ9" s="589"/>
      <c r="BA9" s="559"/>
      <c r="BB9" s="542"/>
      <c r="BC9" s="543"/>
      <c r="BD9" s="544"/>
      <c r="BE9" s="544"/>
      <c r="BF9" s="544"/>
      <c r="BG9" s="544"/>
      <c r="BH9" s="545"/>
      <c r="BI9" s="545"/>
      <c r="BJ9" s="545"/>
      <c r="BK9" s="545"/>
      <c r="BL9" s="545"/>
      <c r="BM9" s="545"/>
      <c r="BN9" s="545"/>
      <c r="BO9" s="545"/>
      <c r="BP9" s="545"/>
      <c r="BQ9" s="545"/>
      <c r="BR9" s="545"/>
      <c r="BS9" s="545"/>
      <c r="BT9" s="545"/>
    </row>
    <row r="10" spans="1:72" ht="21" customHeight="1">
      <c r="A10" s="556"/>
      <c r="B10" s="701"/>
      <c r="C10" s="706" t="s">
        <v>375</v>
      </c>
      <c r="D10" s="702"/>
      <c r="E10" s="703"/>
      <c r="F10" s="703"/>
      <c r="G10" s="703"/>
      <c r="H10" s="659"/>
      <c r="I10" s="659"/>
      <c r="J10" s="1066"/>
      <c r="K10" s="1066"/>
      <c r="L10" s="1066"/>
      <c r="M10" s="1066"/>
      <c r="N10" s="664"/>
      <c r="O10" s="662"/>
      <c r="P10" s="664"/>
      <c r="Q10" s="659"/>
      <c r="R10" s="659"/>
      <c r="S10" s="659"/>
      <c r="T10" s="661"/>
      <c r="U10" s="661"/>
      <c r="V10" s="661"/>
      <c r="W10" s="661"/>
      <c r="X10" s="661"/>
      <c r="Y10" s="662"/>
      <c r="Z10" s="661"/>
      <c r="AA10" s="659"/>
      <c r="AB10" s="662"/>
      <c r="AC10" s="661"/>
      <c r="AD10" s="659"/>
      <c r="AE10" s="662"/>
      <c r="AF10" s="659"/>
      <c r="AG10" s="659"/>
      <c r="AH10" s="662"/>
      <c r="AI10" s="659"/>
      <c r="AJ10" s="659"/>
      <c r="AK10" s="704"/>
      <c r="AL10" s="659"/>
      <c r="AM10" s="659"/>
      <c r="AN10" s="659"/>
      <c r="AO10" s="659"/>
      <c r="AP10" s="659"/>
      <c r="AQ10" s="659"/>
      <c r="AR10" s="659"/>
      <c r="AS10" s="659"/>
      <c r="AT10" s="703"/>
      <c r="AU10" s="703"/>
      <c r="AV10" s="703"/>
      <c r="AW10" s="703"/>
      <c r="AX10" s="703"/>
      <c r="AY10" s="703"/>
      <c r="AZ10" s="705"/>
      <c r="BA10" s="604"/>
      <c r="BB10" s="570"/>
      <c r="BC10" s="571"/>
      <c r="BD10" s="544"/>
      <c r="BE10" s="544"/>
      <c r="BF10" s="544"/>
      <c r="BG10" s="569"/>
      <c r="BH10" s="544"/>
      <c r="BI10" s="545"/>
      <c r="BJ10" s="545"/>
      <c r="BK10" s="545"/>
      <c r="BL10" s="545"/>
      <c r="BM10" s="545"/>
      <c r="BN10" s="545"/>
      <c r="BO10" s="545"/>
      <c r="BP10" s="545"/>
      <c r="BQ10" s="545"/>
      <c r="BR10" s="545"/>
      <c r="BS10" s="545"/>
      <c r="BT10" s="545"/>
    </row>
    <row r="11" spans="1:72" ht="12.6" customHeight="1">
      <c r="A11" s="556"/>
      <c r="B11" s="600"/>
      <c r="C11" s="614"/>
      <c r="D11" s="615"/>
      <c r="E11" s="603"/>
      <c r="F11" s="603"/>
      <c r="G11" s="603"/>
      <c r="H11" s="653"/>
      <c r="I11" s="653"/>
      <c r="J11" s="653"/>
      <c r="K11" s="653"/>
      <c r="L11" s="653"/>
      <c r="M11" s="653"/>
      <c r="N11" s="653"/>
      <c r="O11" s="653"/>
      <c r="P11" s="653"/>
      <c r="Q11" s="653"/>
      <c r="R11" s="653"/>
      <c r="S11" s="653"/>
      <c r="T11" s="653"/>
      <c r="U11" s="653"/>
      <c r="V11" s="653"/>
      <c r="W11" s="653"/>
      <c r="X11" s="653"/>
      <c r="Y11" s="653"/>
      <c r="Z11" s="653"/>
      <c r="AA11" s="653"/>
      <c r="AB11" s="653"/>
      <c r="AC11" s="653"/>
      <c r="AD11" s="653"/>
      <c r="AE11" s="653"/>
      <c r="AF11" s="653"/>
      <c r="AG11" s="653"/>
      <c r="AH11" s="653"/>
      <c r="AI11" s="653"/>
      <c r="AJ11" s="653"/>
      <c r="AK11" s="653"/>
      <c r="AL11" s="653"/>
      <c r="AM11" s="653"/>
      <c r="AN11" s="653"/>
      <c r="AO11" s="653"/>
      <c r="AP11" s="653"/>
      <c r="AQ11" s="653"/>
      <c r="AR11" s="653"/>
      <c r="AS11" s="655"/>
      <c r="AT11" s="616"/>
      <c r="AU11" s="616"/>
      <c r="AV11" s="616"/>
      <c r="AW11" s="616"/>
      <c r="AX11" s="616"/>
      <c r="AY11" s="616"/>
      <c r="AZ11" s="604"/>
      <c r="BA11" s="604"/>
      <c r="BB11" s="570"/>
      <c r="BC11" s="571"/>
      <c r="BD11" s="544"/>
      <c r="BE11" s="544"/>
      <c r="BF11" s="544"/>
      <c r="BG11" s="569"/>
      <c r="BH11" s="544"/>
      <c r="BI11" s="545"/>
      <c r="BJ11" s="545"/>
      <c r="BK11" s="545"/>
      <c r="BL11" s="545"/>
      <c r="BM11" s="545"/>
      <c r="BN11" s="545"/>
      <c r="BO11" s="545"/>
      <c r="BP11" s="545"/>
      <c r="BQ11" s="545"/>
      <c r="BR11" s="545"/>
      <c r="BS11" s="545"/>
      <c r="BT11" s="545"/>
    </row>
    <row r="12" spans="1:72" ht="24" customHeight="1">
      <c r="A12" s="556"/>
      <c r="B12" s="557"/>
      <c r="C12" s="560"/>
      <c r="D12" s="560"/>
      <c r="E12" s="560"/>
      <c r="F12" s="558"/>
      <c r="G12" s="558"/>
      <c r="H12" s="591"/>
      <c r="I12" s="592"/>
      <c r="J12" s="592"/>
      <c r="K12" s="592"/>
      <c r="L12" s="592"/>
      <c r="M12" s="592"/>
      <c r="N12" s="592"/>
      <c r="O12" s="592"/>
      <c r="P12" s="592"/>
      <c r="Q12" s="592"/>
      <c r="R12" s="592"/>
      <c r="S12" s="592"/>
      <c r="T12" s="593"/>
      <c r="U12" s="593"/>
      <c r="V12" s="593"/>
      <c r="W12" s="591" t="s">
        <v>374</v>
      </c>
      <c r="X12" s="591"/>
      <c r="Y12" s="591"/>
      <c r="Z12" s="593"/>
      <c r="AA12" s="593"/>
      <c r="AB12" s="595"/>
      <c r="AC12" s="593"/>
      <c r="AD12" s="596"/>
      <c r="AE12" s="596"/>
      <c r="AF12" s="596"/>
      <c r="AG12" s="596"/>
      <c r="AH12" s="596"/>
      <c r="AI12" s="592"/>
      <c r="AJ12" s="593"/>
      <c r="AK12" s="593"/>
      <c r="AL12" s="593"/>
      <c r="AM12" s="593"/>
      <c r="AN12" s="597"/>
      <c r="AO12" s="594"/>
      <c r="AP12" s="594"/>
      <c r="AQ12" s="593"/>
      <c r="AR12" s="593"/>
      <c r="AS12" s="593"/>
      <c r="AT12" s="563"/>
      <c r="AU12" s="561"/>
      <c r="AV12" s="564"/>
      <c r="AW12" s="564"/>
      <c r="AX12" s="564"/>
      <c r="AY12" s="558"/>
      <c r="AZ12" s="559"/>
      <c r="BA12" s="559"/>
      <c r="BB12" s="542"/>
      <c r="BC12" s="543"/>
      <c r="BD12" s="544"/>
      <c r="BE12" s="544"/>
      <c r="BF12" s="544"/>
      <c r="BG12" s="544"/>
      <c r="BH12" s="545"/>
      <c r="BI12" s="545"/>
      <c r="BJ12" s="545"/>
      <c r="BK12" s="545"/>
      <c r="BL12" s="545"/>
      <c r="BM12" s="545"/>
      <c r="BN12" s="545"/>
      <c r="BO12" s="545"/>
      <c r="BP12" s="545"/>
      <c r="BQ12" s="545"/>
      <c r="BR12" s="545"/>
      <c r="BS12" s="545"/>
      <c r="BT12" s="545"/>
    </row>
    <row r="13" spans="1:72" ht="12" customHeight="1">
      <c r="A13" s="556"/>
      <c r="B13" s="565"/>
      <c r="C13" s="566"/>
      <c r="D13" s="544"/>
      <c r="E13" s="544"/>
      <c r="F13" s="544"/>
      <c r="G13" s="544"/>
      <c r="H13" s="567"/>
      <c r="I13" s="562"/>
      <c r="J13" s="561"/>
      <c r="K13" s="562"/>
      <c r="L13" s="561"/>
      <c r="M13" s="568"/>
      <c r="N13" s="568"/>
      <c r="O13" s="564"/>
      <c r="P13" s="568"/>
      <c r="Q13" s="564"/>
      <c r="R13" s="568"/>
      <c r="S13" s="545"/>
      <c r="T13" s="544"/>
      <c r="U13" s="544"/>
      <c r="V13" s="544"/>
      <c r="W13" s="544"/>
      <c r="X13" s="544"/>
      <c r="Y13" s="567"/>
      <c r="Z13" s="562"/>
      <c r="AA13" s="561"/>
      <c r="AB13" s="562"/>
      <c r="AC13" s="561"/>
      <c r="AD13" s="568"/>
      <c r="AE13" s="568"/>
      <c r="AF13" s="564"/>
      <c r="AG13" s="568"/>
      <c r="AH13" s="568"/>
      <c r="AI13" s="563"/>
      <c r="AJ13" s="568"/>
      <c r="AK13" s="564"/>
      <c r="AL13" s="544"/>
      <c r="AM13" s="544"/>
      <c r="AN13" s="544"/>
      <c r="AO13" s="544"/>
      <c r="AP13" s="544"/>
      <c r="AQ13" s="544"/>
      <c r="AR13" s="544"/>
      <c r="AS13" s="561"/>
      <c r="AT13" s="563"/>
      <c r="AU13" s="561"/>
      <c r="AV13" s="564"/>
      <c r="AW13" s="564"/>
      <c r="AX13" s="564"/>
      <c r="AY13" s="558"/>
      <c r="AZ13" s="559"/>
      <c r="BA13" s="559"/>
      <c r="BB13" s="542"/>
      <c r="BC13" s="543"/>
      <c r="BD13" s="544"/>
      <c r="BE13" s="544"/>
      <c r="BF13" s="544"/>
      <c r="BG13" s="544"/>
      <c r="BH13" s="545"/>
      <c r="BI13" s="545"/>
      <c r="BJ13" s="545"/>
      <c r="BK13" s="545"/>
      <c r="BL13" s="545"/>
      <c r="BM13" s="545"/>
      <c r="BN13" s="545"/>
      <c r="BO13" s="545"/>
      <c r="BP13" s="545"/>
      <c r="BQ13" s="545"/>
      <c r="BR13" s="545"/>
      <c r="BS13" s="545"/>
      <c r="BT13" s="545"/>
    </row>
    <row r="14" spans="1:72" ht="12.6" customHeight="1">
      <c r="A14" s="556"/>
      <c r="B14" s="557"/>
      <c r="C14" s="544"/>
      <c r="D14" s="544"/>
      <c r="E14" s="544"/>
      <c r="F14" s="545"/>
      <c r="G14" s="560"/>
      <c r="H14" s="621"/>
      <c r="I14" s="621"/>
      <c r="J14" s="621"/>
      <c r="K14" s="621"/>
      <c r="L14" s="621"/>
      <c r="M14" s="621"/>
      <c r="N14" s="621"/>
      <c r="O14" s="621"/>
      <c r="P14" s="621"/>
      <c r="Q14" s="621"/>
      <c r="R14" s="621"/>
      <c r="S14" s="621"/>
      <c r="T14" s="622"/>
      <c r="U14" s="622"/>
      <c r="V14" s="622"/>
      <c r="W14" s="622"/>
      <c r="X14" s="623"/>
      <c r="Y14" s="622"/>
      <c r="Z14" s="622"/>
      <c r="AA14" s="622"/>
      <c r="AB14" s="624"/>
      <c r="AC14" s="622"/>
      <c r="AD14" s="625"/>
      <c r="AE14" s="625"/>
      <c r="AF14" s="625"/>
      <c r="AG14" s="625"/>
      <c r="AH14" s="625"/>
      <c r="AI14" s="621"/>
      <c r="AJ14" s="622"/>
      <c r="AK14" s="622"/>
      <c r="AL14" s="622"/>
      <c r="AM14" s="622"/>
      <c r="AN14" s="626"/>
      <c r="AO14" s="623"/>
      <c r="AP14" s="623"/>
      <c r="AQ14" s="622"/>
      <c r="AR14" s="622"/>
      <c r="AS14" s="622"/>
      <c r="AT14" s="563"/>
      <c r="AU14" s="561"/>
      <c r="AV14" s="564"/>
      <c r="AW14" s="564"/>
      <c r="AX14" s="564"/>
      <c r="AY14" s="558"/>
      <c r="AZ14" s="559"/>
      <c r="BA14" s="559"/>
      <c r="BB14" s="542"/>
      <c r="BC14" s="543"/>
      <c r="BD14" s="544"/>
      <c r="BE14" s="544"/>
      <c r="BF14" s="544"/>
      <c r="BG14" s="544"/>
      <c r="BH14" s="545"/>
      <c r="BI14" s="545"/>
      <c r="BJ14" s="545"/>
      <c r="BK14" s="545"/>
      <c r="BL14" s="545"/>
      <c r="BM14" s="545"/>
      <c r="BN14" s="545"/>
      <c r="BO14" s="545"/>
      <c r="BP14" s="545"/>
      <c r="BQ14" s="545"/>
      <c r="BR14" s="545"/>
      <c r="BS14" s="545"/>
      <c r="BT14" s="545"/>
    </row>
    <row r="15" spans="1:72" ht="12.6" customHeight="1">
      <c r="A15" s="556"/>
      <c r="B15" s="600"/>
      <c r="C15" s="598"/>
      <c r="D15" s="601"/>
      <c r="E15" s="601"/>
      <c r="F15" s="601"/>
      <c r="G15" s="598"/>
      <c r="H15" s="621"/>
      <c r="I15" s="621" t="s">
        <v>311</v>
      </c>
      <c r="J15" s="621"/>
      <c r="K15" s="621"/>
      <c r="L15" s="621"/>
      <c r="M15" s="621"/>
      <c r="N15" s="621"/>
      <c r="O15" s="621"/>
      <c r="P15" s="621"/>
      <c r="Q15" s="621"/>
      <c r="R15" s="621"/>
      <c r="S15" s="621"/>
      <c r="T15" s="622"/>
      <c r="U15" s="622"/>
      <c r="V15" s="622"/>
      <c r="W15" s="622"/>
      <c r="X15" s="623"/>
      <c r="Y15" s="622"/>
      <c r="Z15" s="621"/>
      <c r="AA15" s="621"/>
      <c r="AB15" s="621"/>
      <c r="AC15" s="621"/>
      <c r="AD15" s="621"/>
      <c r="AE15" s="621"/>
      <c r="AF15" s="621"/>
      <c r="AG15" s="621"/>
      <c r="AH15" s="621"/>
      <c r="AI15" s="621"/>
      <c r="AJ15" s="621"/>
      <c r="AK15" s="621"/>
      <c r="AL15" s="621"/>
      <c r="AM15" s="621"/>
      <c r="AN15" s="621"/>
      <c r="AO15" s="621"/>
      <c r="AP15" s="621"/>
      <c r="AQ15" s="621"/>
      <c r="AR15" s="621"/>
      <c r="AS15" s="621"/>
      <c r="AT15" s="598"/>
      <c r="AU15" s="598"/>
      <c r="AV15" s="598"/>
      <c r="AW15" s="598"/>
      <c r="AX15" s="603"/>
      <c r="AY15" s="598"/>
      <c r="AZ15" s="604"/>
      <c r="BA15" s="604"/>
      <c r="BB15" s="542"/>
      <c r="BC15" s="543"/>
      <c r="BD15" s="544"/>
      <c r="BE15" s="569"/>
      <c r="BF15" s="569"/>
      <c r="BG15" s="544"/>
      <c r="BH15" s="545"/>
      <c r="BI15" s="545"/>
      <c r="BJ15" s="545"/>
      <c r="BK15" s="545"/>
      <c r="BL15" s="545"/>
      <c r="BM15" s="545"/>
      <c r="BN15" s="545"/>
      <c r="BO15" s="545"/>
      <c r="BP15" s="545"/>
      <c r="BQ15" s="545"/>
      <c r="BR15" s="545"/>
      <c r="BS15" s="545"/>
      <c r="BT15" s="545"/>
    </row>
    <row r="16" spans="1:72" ht="12.6" customHeight="1">
      <c r="A16" s="556"/>
      <c r="B16" s="600"/>
      <c r="C16" s="605"/>
      <c r="D16" s="601"/>
      <c r="E16" s="601"/>
      <c r="F16" s="601"/>
      <c r="G16" s="603"/>
      <c r="H16" s="621"/>
      <c r="I16" s="627" t="s">
        <v>312</v>
      </c>
      <c r="J16" s="628" t="s">
        <v>313</v>
      </c>
      <c r="K16" s="627"/>
      <c r="L16" s="627"/>
      <c r="M16" s="627"/>
      <c r="N16" s="627"/>
      <c r="O16" s="627"/>
      <c r="P16" s="627"/>
      <c r="Q16" s="627"/>
      <c r="R16" s="627"/>
      <c r="S16" s="627"/>
      <c r="T16" s="627"/>
      <c r="U16" s="627"/>
      <c r="V16" s="627"/>
      <c r="W16" s="627"/>
      <c r="X16" s="629"/>
      <c r="Y16" s="621"/>
      <c r="Z16" s="621"/>
      <c r="AA16" s="630"/>
      <c r="AB16" s="621"/>
      <c r="AC16" s="631"/>
      <c r="AD16" s="631"/>
      <c r="AE16" s="632"/>
      <c r="AF16" s="631"/>
      <c r="AG16" s="632"/>
      <c r="AH16" s="631"/>
      <c r="AI16" s="633"/>
      <c r="AJ16" s="631"/>
      <c r="AK16" s="632"/>
      <c r="AL16" s="632"/>
      <c r="AM16" s="632"/>
      <c r="AN16" s="632"/>
      <c r="AO16" s="632"/>
      <c r="AP16" s="632"/>
      <c r="AQ16" s="632"/>
      <c r="AR16" s="632"/>
      <c r="AS16" s="632"/>
      <c r="AT16" s="603"/>
      <c r="AU16" s="603"/>
      <c r="AV16" s="603"/>
      <c r="AW16" s="603"/>
      <c r="AX16" s="603"/>
      <c r="AY16" s="598"/>
      <c r="AZ16" s="604"/>
      <c r="BA16" s="604"/>
      <c r="BB16" s="542"/>
      <c r="BC16" s="543"/>
      <c r="BD16" s="544"/>
      <c r="BE16" s="544"/>
      <c r="BF16" s="544"/>
      <c r="BG16" s="544"/>
      <c r="BH16" s="545"/>
      <c r="BI16" s="545"/>
      <c r="BJ16" s="545"/>
      <c r="BK16" s="545"/>
      <c r="BL16" s="545"/>
      <c r="BM16" s="545"/>
      <c r="BN16" s="545"/>
      <c r="BO16" s="545"/>
      <c r="BP16" s="545"/>
      <c r="BQ16" s="545"/>
      <c r="BR16" s="545"/>
      <c r="BS16" s="545"/>
      <c r="BT16" s="545"/>
    </row>
    <row r="17" spans="1:72" ht="12.6" customHeight="1">
      <c r="A17" s="556"/>
      <c r="B17" s="600"/>
      <c r="C17" s="608"/>
      <c r="D17" s="603"/>
      <c r="E17" s="603"/>
      <c r="F17" s="603"/>
      <c r="G17" s="603"/>
      <c r="H17" s="634"/>
      <c r="I17" s="629"/>
      <c r="J17" s="627" t="s">
        <v>314</v>
      </c>
      <c r="K17" s="629"/>
      <c r="L17" s="627"/>
      <c r="M17" s="627"/>
      <c r="N17" s="627"/>
      <c r="O17" s="627"/>
      <c r="P17" s="627"/>
      <c r="Q17" s="627"/>
      <c r="R17" s="627"/>
      <c r="S17" s="627"/>
      <c r="T17" s="627"/>
      <c r="U17" s="627"/>
      <c r="V17" s="627"/>
      <c r="W17" s="627"/>
      <c r="X17" s="629"/>
      <c r="Y17" s="621"/>
      <c r="Z17" s="630"/>
      <c r="AA17" s="621"/>
      <c r="AB17" s="630"/>
      <c r="AC17" s="621"/>
      <c r="AD17" s="631"/>
      <c r="AE17" s="631"/>
      <c r="AF17" s="632"/>
      <c r="AG17" s="631"/>
      <c r="AH17" s="631"/>
      <c r="AI17" s="633"/>
      <c r="AJ17" s="631"/>
      <c r="AK17" s="632"/>
      <c r="AL17" s="632"/>
      <c r="AM17" s="632"/>
      <c r="AN17" s="632"/>
      <c r="AO17" s="632"/>
      <c r="AP17" s="632"/>
      <c r="AQ17" s="632"/>
      <c r="AR17" s="632"/>
      <c r="AS17" s="621"/>
      <c r="AT17" s="607"/>
      <c r="AU17" s="598"/>
      <c r="AV17" s="603"/>
      <c r="AW17" s="603"/>
      <c r="AX17" s="603"/>
      <c r="AY17" s="598"/>
      <c r="AZ17" s="604"/>
      <c r="BA17" s="604"/>
      <c r="BB17" s="542"/>
      <c r="BC17" s="543"/>
      <c r="BD17" s="544"/>
      <c r="BE17" s="544"/>
      <c r="BF17" s="544"/>
      <c r="BG17" s="544"/>
      <c r="BH17" s="545"/>
      <c r="BI17" s="545"/>
      <c r="BJ17" s="545"/>
      <c r="BK17" s="545"/>
      <c r="BL17" s="545"/>
      <c r="BM17" s="545"/>
      <c r="BN17" s="545"/>
      <c r="BO17" s="545"/>
      <c r="BP17" s="545"/>
      <c r="BQ17" s="545"/>
      <c r="BR17" s="545"/>
      <c r="BS17" s="545"/>
      <c r="BT17" s="545"/>
    </row>
    <row r="18" spans="1:72" ht="12.6" customHeight="1">
      <c r="A18" s="556"/>
      <c r="B18" s="600"/>
      <c r="C18" s="598"/>
      <c r="D18" s="603"/>
      <c r="E18" s="603"/>
      <c r="F18" s="603"/>
      <c r="G18" s="603"/>
      <c r="H18" s="634"/>
      <c r="I18" s="629"/>
      <c r="J18" s="627" t="s">
        <v>315</v>
      </c>
      <c r="K18" s="629"/>
      <c r="L18" s="627"/>
      <c r="M18" s="627"/>
      <c r="N18" s="627"/>
      <c r="O18" s="627"/>
      <c r="P18" s="627"/>
      <c r="Q18" s="627"/>
      <c r="R18" s="627"/>
      <c r="S18" s="627"/>
      <c r="T18" s="627"/>
      <c r="U18" s="627"/>
      <c r="V18" s="627"/>
      <c r="W18" s="627"/>
      <c r="X18" s="629"/>
      <c r="Y18" s="621"/>
      <c r="Z18" s="632"/>
      <c r="AA18" s="632"/>
      <c r="AB18" s="632"/>
      <c r="AC18" s="632"/>
      <c r="AD18" s="632"/>
      <c r="AE18" s="632"/>
      <c r="AF18" s="632"/>
      <c r="AG18" s="632"/>
      <c r="AH18" s="632"/>
      <c r="AI18" s="632"/>
      <c r="AJ18" s="632"/>
      <c r="AK18" s="632"/>
      <c r="AL18" s="632"/>
      <c r="AM18" s="621"/>
      <c r="AN18" s="621"/>
      <c r="AO18" s="621"/>
      <c r="AP18" s="621"/>
      <c r="AQ18" s="621"/>
      <c r="AR18" s="621"/>
      <c r="AS18" s="621"/>
      <c r="AT18" s="598"/>
      <c r="AU18" s="598"/>
      <c r="AV18" s="598"/>
      <c r="AW18" s="598"/>
      <c r="AX18" s="603"/>
      <c r="AY18" s="598"/>
      <c r="AZ18" s="604"/>
      <c r="BA18" s="604"/>
      <c r="BB18" s="542"/>
      <c r="BC18" s="543"/>
      <c r="BD18" s="544"/>
      <c r="BE18" s="545"/>
      <c r="BF18" s="545"/>
      <c r="BG18" s="545"/>
      <c r="BH18" s="545"/>
      <c r="BI18" s="545"/>
      <c r="BJ18" s="545"/>
      <c r="BK18" s="545"/>
      <c r="BL18" s="545"/>
      <c r="BM18" s="545"/>
      <c r="BN18" s="545"/>
      <c r="BO18" s="545"/>
      <c r="BP18" s="545"/>
      <c r="BQ18" s="545"/>
      <c r="BR18" s="545"/>
      <c r="BS18" s="545"/>
      <c r="BT18" s="545"/>
    </row>
    <row r="19" spans="1:72" ht="12.6" customHeight="1">
      <c r="A19" s="556"/>
      <c r="B19" s="600"/>
      <c r="C19" s="598"/>
      <c r="D19" s="598"/>
      <c r="E19" s="598"/>
      <c r="F19" s="598"/>
      <c r="G19" s="598"/>
      <c r="H19" s="630"/>
      <c r="I19" s="627" t="s">
        <v>312</v>
      </c>
      <c r="J19" s="628" t="s">
        <v>316</v>
      </c>
      <c r="K19" s="627"/>
      <c r="L19" s="627"/>
      <c r="M19" s="627"/>
      <c r="N19" s="627"/>
      <c r="O19" s="627"/>
      <c r="P19" s="627"/>
      <c r="Q19" s="627"/>
      <c r="R19" s="627"/>
      <c r="S19" s="627"/>
      <c r="T19" s="627"/>
      <c r="U19" s="627"/>
      <c r="V19" s="627"/>
      <c r="W19" s="627"/>
      <c r="X19" s="629"/>
      <c r="Y19" s="621"/>
      <c r="Z19" s="621"/>
      <c r="AA19" s="621"/>
      <c r="AB19" s="633"/>
      <c r="AC19" s="621"/>
      <c r="AD19" s="632"/>
      <c r="AE19" s="632"/>
      <c r="AF19" s="632"/>
      <c r="AG19" s="632"/>
      <c r="AH19" s="632"/>
      <c r="AI19" s="621"/>
      <c r="AJ19" s="621"/>
      <c r="AK19" s="621"/>
      <c r="AL19" s="621"/>
      <c r="AM19" s="621"/>
      <c r="AN19" s="635"/>
      <c r="AO19" s="630"/>
      <c r="AP19" s="630"/>
      <c r="AQ19" s="636"/>
      <c r="AR19" s="621"/>
      <c r="AS19" s="621"/>
      <c r="AT19" s="607"/>
      <c r="AU19" s="598"/>
      <c r="AV19" s="603"/>
      <c r="AW19" s="603"/>
      <c r="AX19" s="603"/>
      <c r="AY19" s="598"/>
      <c r="AZ19" s="604"/>
      <c r="BA19" s="604"/>
      <c r="BB19" s="542"/>
      <c r="BC19" s="543"/>
      <c r="BD19" s="544"/>
      <c r="BE19" s="545"/>
      <c r="BF19" s="545"/>
      <c r="BG19" s="545"/>
      <c r="BH19" s="545"/>
      <c r="BI19" s="545"/>
      <c r="BJ19" s="545"/>
      <c r="BK19" s="545"/>
      <c r="BL19" s="545"/>
      <c r="BM19" s="545"/>
      <c r="BN19" s="545"/>
      <c r="BO19" s="545"/>
      <c r="BP19" s="545"/>
      <c r="BQ19" s="545"/>
      <c r="BR19" s="545"/>
      <c r="BS19" s="545"/>
      <c r="BT19" s="545"/>
    </row>
    <row r="20" spans="1:72" ht="12.6" customHeight="1">
      <c r="A20" s="556"/>
      <c r="B20" s="600"/>
      <c r="C20" s="598"/>
      <c r="D20" s="598"/>
      <c r="E20" s="598"/>
      <c r="F20" s="598"/>
      <c r="G20" s="598"/>
      <c r="H20" s="630"/>
      <c r="I20" s="629"/>
      <c r="J20" s="627" t="s">
        <v>317</v>
      </c>
      <c r="K20" s="627"/>
      <c r="L20" s="627"/>
      <c r="M20" s="627"/>
      <c r="N20" s="627"/>
      <c r="O20" s="627"/>
      <c r="P20" s="627"/>
      <c r="Q20" s="627"/>
      <c r="R20" s="627"/>
      <c r="S20" s="627"/>
      <c r="T20" s="627"/>
      <c r="U20" s="627"/>
      <c r="V20" s="627"/>
      <c r="W20" s="627"/>
      <c r="X20" s="629"/>
      <c r="Y20" s="621"/>
      <c r="Z20" s="621"/>
      <c r="AA20" s="621"/>
      <c r="AB20" s="621"/>
      <c r="AC20" s="633"/>
      <c r="AD20" s="621"/>
      <c r="AE20" s="632"/>
      <c r="AF20" s="632"/>
      <c r="AG20" s="632"/>
      <c r="AH20" s="632"/>
      <c r="AI20" s="621"/>
      <c r="AJ20" s="621"/>
      <c r="AK20" s="621"/>
      <c r="AL20" s="621"/>
      <c r="AM20" s="621"/>
      <c r="AN20" s="621"/>
      <c r="AO20" s="621"/>
      <c r="AP20" s="630"/>
      <c r="AQ20" s="621"/>
      <c r="AR20" s="621"/>
      <c r="AS20" s="621"/>
      <c r="AT20" s="607"/>
      <c r="AU20" s="598"/>
      <c r="AV20" s="603"/>
      <c r="AW20" s="603"/>
      <c r="AX20" s="603"/>
      <c r="AY20" s="598"/>
      <c r="AZ20" s="604"/>
      <c r="BA20" s="604"/>
      <c r="BB20" s="542"/>
      <c r="BC20" s="543"/>
      <c r="BD20" s="544"/>
      <c r="BE20" s="545"/>
      <c r="BF20" s="545"/>
      <c r="BG20" s="545"/>
      <c r="BH20" s="545"/>
      <c r="BI20" s="545"/>
      <c r="BJ20" s="545"/>
      <c r="BK20" s="545"/>
      <c r="BL20" s="545"/>
      <c r="BM20" s="545"/>
      <c r="BN20" s="545"/>
      <c r="BO20" s="545"/>
      <c r="BP20" s="545"/>
      <c r="BQ20" s="545"/>
      <c r="BR20" s="545"/>
      <c r="BS20" s="545"/>
      <c r="BT20" s="545"/>
    </row>
    <row r="21" spans="1:72" ht="12.6" customHeight="1">
      <c r="A21" s="556"/>
      <c r="B21" s="600"/>
      <c r="C21" s="598"/>
      <c r="D21" s="598"/>
      <c r="E21" s="598"/>
      <c r="F21" s="598"/>
      <c r="G21" s="598"/>
      <c r="H21" s="630"/>
      <c r="I21" s="629"/>
      <c r="J21" s="627" t="s">
        <v>318</v>
      </c>
      <c r="K21" s="627"/>
      <c r="L21" s="627"/>
      <c r="M21" s="627"/>
      <c r="N21" s="627"/>
      <c r="O21" s="627"/>
      <c r="P21" s="627"/>
      <c r="Q21" s="627"/>
      <c r="R21" s="627"/>
      <c r="S21" s="627"/>
      <c r="T21" s="627"/>
      <c r="U21" s="627"/>
      <c r="V21" s="627"/>
      <c r="W21" s="627"/>
      <c r="X21" s="629"/>
      <c r="Y21" s="621"/>
      <c r="Z21" s="621"/>
      <c r="AA21" s="621"/>
      <c r="AB21" s="621"/>
      <c r="AC21" s="633"/>
      <c r="AD21" s="621"/>
      <c r="AE21" s="632"/>
      <c r="AF21" s="632"/>
      <c r="AG21" s="632"/>
      <c r="AH21" s="632"/>
      <c r="AI21" s="621"/>
      <c r="AJ21" s="621"/>
      <c r="AK21" s="621"/>
      <c r="AL21" s="621"/>
      <c r="AM21" s="621"/>
      <c r="AN21" s="635"/>
      <c r="AO21" s="630"/>
      <c r="AP21" s="630"/>
      <c r="AQ21" s="621"/>
      <c r="AR21" s="621"/>
      <c r="AS21" s="621"/>
      <c r="AT21" s="607"/>
      <c r="AU21" s="598"/>
      <c r="AV21" s="603"/>
      <c r="AW21" s="603"/>
      <c r="AX21" s="603"/>
      <c r="AY21" s="598"/>
      <c r="AZ21" s="604"/>
      <c r="BA21" s="604"/>
      <c r="BB21" s="542"/>
      <c r="BC21" s="543"/>
      <c r="BD21" s="544"/>
      <c r="BE21" s="545"/>
      <c r="BF21" s="545"/>
      <c r="BG21" s="545"/>
      <c r="BH21" s="545"/>
      <c r="BI21" s="545"/>
      <c r="BJ21" s="545"/>
      <c r="BK21" s="545"/>
      <c r="BL21" s="545"/>
      <c r="BM21" s="545"/>
      <c r="BN21" s="545"/>
      <c r="BO21" s="545"/>
      <c r="BP21" s="545"/>
      <c r="BQ21" s="545"/>
      <c r="BR21" s="545"/>
      <c r="BS21" s="545"/>
      <c r="BT21" s="545"/>
    </row>
    <row r="22" spans="1:72" ht="12.6" customHeight="1">
      <c r="A22" s="556"/>
      <c r="B22" s="600"/>
      <c r="C22" s="605"/>
      <c r="D22" s="598"/>
      <c r="E22" s="598"/>
      <c r="F22" s="598"/>
      <c r="G22" s="598"/>
      <c r="H22" s="630"/>
      <c r="I22" s="637"/>
      <c r="J22" s="637"/>
      <c r="K22" s="637"/>
      <c r="L22" s="637"/>
      <c r="M22" s="637"/>
      <c r="N22" s="637"/>
      <c r="O22" s="637"/>
      <c r="P22" s="637"/>
      <c r="Q22" s="637"/>
      <c r="R22" s="637"/>
      <c r="S22" s="637"/>
      <c r="T22" s="637"/>
      <c r="U22" s="637"/>
      <c r="V22" s="637"/>
      <c r="W22" s="637"/>
      <c r="X22" s="638"/>
      <c r="Y22" s="637"/>
      <c r="Z22" s="637"/>
      <c r="AA22" s="637"/>
      <c r="AB22" s="637"/>
      <c r="AC22" s="639"/>
      <c r="AD22" s="637"/>
      <c r="AE22" s="640"/>
      <c r="AF22" s="640"/>
      <c r="AG22" s="640"/>
      <c r="AH22" s="640"/>
      <c r="AI22" s="637"/>
      <c r="AJ22" s="637"/>
      <c r="AK22" s="637"/>
      <c r="AL22" s="637"/>
      <c r="AM22" s="637"/>
      <c r="AN22" s="641"/>
      <c r="AO22" s="638"/>
      <c r="AP22" s="638"/>
      <c r="AQ22" s="637"/>
      <c r="AR22" s="637"/>
      <c r="AS22" s="621"/>
      <c r="AT22" s="607"/>
      <c r="AU22" s="598"/>
      <c r="AV22" s="603"/>
      <c r="AW22" s="603"/>
      <c r="AX22" s="603"/>
      <c r="AY22" s="598"/>
      <c r="AZ22" s="604"/>
      <c r="BA22" s="604"/>
      <c r="BB22" s="542"/>
      <c r="BC22" s="543"/>
      <c r="BD22" s="544"/>
      <c r="BE22" s="545"/>
      <c r="BF22" s="545"/>
      <c r="BG22" s="545"/>
      <c r="BH22" s="545"/>
      <c r="BI22" s="545"/>
      <c r="BJ22" s="545"/>
      <c r="BK22" s="545"/>
      <c r="BL22" s="545"/>
      <c r="BM22" s="545"/>
      <c r="BN22" s="545"/>
      <c r="BO22" s="545"/>
      <c r="BP22" s="545"/>
      <c r="BQ22" s="545"/>
      <c r="BR22" s="545"/>
      <c r="BS22" s="545"/>
      <c r="BT22" s="545"/>
    </row>
    <row r="23" spans="1:72" ht="12.6" customHeight="1">
      <c r="A23" s="556"/>
      <c r="B23" s="600"/>
      <c r="C23" s="598"/>
      <c r="D23" s="598"/>
      <c r="E23" s="598"/>
      <c r="F23" s="598"/>
      <c r="G23" s="598"/>
      <c r="H23" s="630"/>
      <c r="I23" s="621"/>
      <c r="J23" s="621"/>
      <c r="K23" s="621"/>
      <c r="L23" s="621"/>
      <c r="M23" s="621"/>
      <c r="N23" s="621"/>
      <c r="O23" s="621"/>
      <c r="P23" s="621"/>
      <c r="Q23" s="621"/>
      <c r="R23" s="621"/>
      <c r="S23" s="621"/>
      <c r="T23" s="621"/>
      <c r="U23" s="621"/>
      <c r="V23" s="621"/>
      <c r="W23" s="621"/>
      <c r="X23" s="630"/>
      <c r="Y23" s="621"/>
      <c r="Z23" s="621"/>
      <c r="AA23" s="621"/>
      <c r="AB23" s="621"/>
      <c r="AC23" s="633"/>
      <c r="AD23" s="621"/>
      <c r="AE23" s="632"/>
      <c r="AF23" s="632"/>
      <c r="AG23" s="632"/>
      <c r="AH23" s="632"/>
      <c r="AI23" s="621"/>
      <c r="AJ23" s="621"/>
      <c r="AK23" s="621"/>
      <c r="AL23" s="621"/>
      <c r="AM23" s="621"/>
      <c r="AN23" s="635"/>
      <c r="AO23" s="630"/>
      <c r="AP23" s="630"/>
      <c r="AQ23" s="621"/>
      <c r="AR23" s="621"/>
      <c r="AS23" s="621"/>
      <c r="AT23" s="607"/>
      <c r="AU23" s="598"/>
      <c r="AV23" s="603"/>
      <c r="AW23" s="603"/>
      <c r="AX23" s="603"/>
      <c r="AY23" s="598"/>
      <c r="AZ23" s="604"/>
      <c r="BA23" s="604"/>
      <c r="BB23" s="542"/>
      <c r="BC23" s="543"/>
      <c r="BD23" s="544"/>
      <c r="BE23" s="545"/>
      <c r="BF23" s="545"/>
      <c r="BG23" s="545"/>
      <c r="BH23" s="545"/>
      <c r="BI23" s="545"/>
      <c r="BJ23" s="545"/>
      <c r="BK23" s="545"/>
      <c r="BL23" s="545"/>
      <c r="BM23" s="545"/>
      <c r="BN23" s="545"/>
      <c r="BO23" s="545"/>
      <c r="BP23" s="545"/>
      <c r="BQ23" s="545"/>
      <c r="BR23" s="545"/>
      <c r="BS23" s="545"/>
      <c r="BT23" s="545"/>
    </row>
    <row r="24" spans="1:72" ht="12.6" customHeight="1">
      <c r="A24" s="556"/>
      <c r="B24" s="610"/>
      <c r="C24" s="607"/>
      <c r="D24" s="603"/>
      <c r="E24" s="603"/>
      <c r="F24" s="598"/>
      <c r="G24" s="598"/>
      <c r="H24" s="631"/>
      <c r="I24" s="642" t="s">
        <v>319</v>
      </c>
      <c r="J24" s="632"/>
      <c r="K24" s="631"/>
      <c r="L24" s="621"/>
      <c r="M24" s="621"/>
      <c r="N24" s="621"/>
      <c r="O24" s="621"/>
      <c r="P24" s="621"/>
      <c r="Q24" s="621"/>
      <c r="R24" s="621"/>
      <c r="S24" s="621"/>
      <c r="T24" s="621"/>
      <c r="U24" s="621"/>
      <c r="V24" s="621"/>
      <c r="W24" s="621"/>
      <c r="X24" s="630"/>
      <c r="Y24" s="621"/>
      <c r="Z24" s="621"/>
      <c r="AA24" s="632"/>
      <c r="AB24" s="633"/>
      <c r="AC24" s="621"/>
      <c r="AD24" s="632"/>
      <c r="AE24" s="633"/>
      <c r="AF24" s="632"/>
      <c r="AG24" s="632"/>
      <c r="AH24" s="632"/>
      <c r="AI24" s="632"/>
      <c r="AJ24" s="643"/>
      <c r="AK24" s="632"/>
      <c r="AL24" s="632"/>
      <c r="AM24" s="632"/>
      <c r="AN24" s="632"/>
      <c r="AO24" s="632"/>
      <c r="AP24" s="632"/>
      <c r="AQ24" s="632"/>
      <c r="AR24" s="632"/>
      <c r="AS24" s="621"/>
      <c r="AT24" s="607"/>
      <c r="AU24" s="598"/>
      <c r="AV24" s="603"/>
      <c r="AW24" s="603"/>
      <c r="AX24" s="603"/>
      <c r="AY24" s="598"/>
      <c r="AZ24" s="604"/>
      <c r="BA24" s="604"/>
      <c r="BB24" s="542"/>
      <c r="BC24" s="543"/>
      <c r="BD24" s="544"/>
      <c r="BE24" s="544"/>
      <c r="BF24" s="544"/>
      <c r="BG24" s="544"/>
      <c r="BH24" s="545"/>
      <c r="BI24" s="545"/>
      <c r="BJ24" s="545"/>
      <c r="BK24" s="545"/>
      <c r="BL24" s="545"/>
      <c r="BM24" s="545"/>
      <c r="BN24" s="545"/>
      <c r="BO24" s="545"/>
      <c r="BP24" s="545"/>
      <c r="BQ24" s="545"/>
      <c r="BR24" s="545"/>
      <c r="BS24" s="545"/>
      <c r="BT24" s="545"/>
    </row>
    <row r="25" spans="1:72" ht="12.6" customHeight="1">
      <c r="A25" s="556"/>
      <c r="B25" s="600"/>
      <c r="C25" s="608"/>
      <c r="D25" s="598"/>
      <c r="E25" s="598"/>
      <c r="F25" s="603"/>
      <c r="G25" s="603"/>
      <c r="H25" s="634"/>
      <c r="I25" s="630" t="s">
        <v>312</v>
      </c>
      <c r="J25" s="621" t="s">
        <v>320</v>
      </c>
      <c r="K25" s="630"/>
      <c r="L25" s="621"/>
      <c r="M25" s="621"/>
      <c r="N25" s="621"/>
      <c r="O25" s="621"/>
      <c r="P25" s="621"/>
      <c r="Q25" s="621"/>
      <c r="R25" s="621"/>
      <c r="S25" s="621"/>
      <c r="T25" s="621"/>
      <c r="U25" s="621"/>
      <c r="V25" s="621"/>
      <c r="W25" s="621"/>
      <c r="X25" s="630"/>
      <c r="Y25" s="621"/>
      <c r="Z25" s="630"/>
      <c r="AA25" s="621"/>
      <c r="AB25" s="630"/>
      <c r="AC25" s="621"/>
      <c r="AD25" s="631"/>
      <c r="AE25" s="631"/>
      <c r="AF25" s="632"/>
      <c r="AG25" s="631"/>
      <c r="AH25" s="631"/>
      <c r="AI25" s="633"/>
      <c r="AJ25" s="631"/>
      <c r="AK25" s="632"/>
      <c r="AL25" s="632"/>
      <c r="AM25" s="632"/>
      <c r="AN25" s="632"/>
      <c r="AO25" s="632"/>
      <c r="AP25" s="632"/>
      <c r="AQ25" s="632"/>
      <c r="AR25" s="632"/>
      <c r="AS25" s="621"/>
      <c r="AT25" s="607"/>
      <c r="AU25" s="598"/>
      <c r="AV25" s="603"/>
      <c r="AW25" s="603"/>
      <c r="AX25" s="603"/>
      <c r="AY25" s="598"/>
      <c r="AZ25" s="604"/>
      <c r="BA25" s="604"/>
      <c r="BB25" s="542"/>
      <c r="BC25" s="543"/>
      <c r="BD25" s="544"/>
      <c r="BE25" s="544"/>
      <c r="BF25" s="544"/>
      <c r="BG25" s="544"/>
      <c r="BH25" s="545"/>
      <c r="BI25" s="545"/>
      <c r="BJ25" s="545"/>
      <c r="BK25" s="545"/>
      <c r="BL25" s="545"/>
      <c r="BM25" s="545"/>
      <c r="BN25" s="545"/>
      <c r="BO25" s="545"/>
      <c r="BP25" s="545"/>
      <c r="BQ25" s="545"/>
      <c r="BR25" s="545"/>
      <c r="BS25" s="545"/>
      <c r="BT25" s="545"/>
    </row>
    <row r="26" spans="1:72" ht="12.6" customHeight="1">
      <c r="A26" s="556"/>
      <c r="B26" s="600"/>
      <c r="C26" s="598"/>
      <c r="D26" s="603"/>
      <c r="E26" s="603"/>
      <c r="F26" s="603"/>
      <c r="G26" s="603"/>
      <c r="H26" s="630"/>
      <c r="I26" s="621"/>
      <c r="J26" s="621" t="s">
        <v>321</v>
      </c>
      <c r="K26" s="621"/>
      <c r="L26" s="633"/>
      <c r="M26" s="621"/>
      <c r="N26" s="632"/>
      <c r="O26" s="632"/>
      <c r="P26" s="632"/>
      <c r="Q26" s="633"/>
      <c r="R26" s="621"/>
      <c r="S26" s="632"/>
      <c r="T26" s="632"/>
      <c r="U26" s="632"/>
      <c r="V26" s="632"/>
      <c r="W26" s="632"/>
      <c r="X26" s="632"/>
      <c r="Y26" s="630"/>
      <c r="Z26" s="621"/>
      <c r="AA26" s="621"/>
      <c r="AB26" s="621"/>
      <c r="AC26" s="633"/>
      <c r="AD26" s="621"/>
      <c r="AE26" s="632"/>
      <c r="AF26" s="632"/>
      <c r="AG26" s="632"/>
      <c r="AH26" s="632"/>
      <c r="AI26" s="632"/>
      <c r="AJ26" s="632"/>
      <c r="AK26" s="632"/>
      <c r="AL26" s="632"/>
      <c r="AM26" s="632"/>
      <c r="AN26" s="632"/>
      <c r="AO26" s="632"/>
      <c r="AP26" s="630"/>
      <c r="AQ26" s="621"/>
      <c r="AR26" s="621"/>
      <c r="AS26" s="621"/>
      <c r="AT26" s="607"/>
      <c r="AU26" s="598"/>
      <c r="AV26" s="603"/>
      <c r="AW26" s="603"/>
      <c r="AX26" s="603"/>
      <c r="AY26" s="598"/>
      <c r="AZ26" s="604"/>
      <c r="BA26" s="604"/>
      <c r="BB26" s="542"/>
      <c r="BC26" s="543"/>
      <c r="BD26" s="544"/>
      <c r="BE26" s="545"/>
      <c r="BF26" s="545"/>
      <c r="BG26" s="545"/>
      <c r="BH26" s="545"/>
      <c r="BI26" s="545"/>
      <c r="BJ26" s="545"/>
      <c r="BK26" s="545"/>
      <c r="BL26" s="545"/>
      <c r="BM26" s="545"/>
      <c r="BN26" s="545"/>
      <c r="BO26" s="545"/>
      <c r="BP26" s="545"/>
      <c r="BQ26" s="545"/>
      <c r="BR26" s="545"/>
      <c r="BS26" s="545"/>
      <c r="BT26" s="545"/>
    </row>
    <row r="27" spans="1:72" ht="12.6" customHeight="1">
      <c r="A27" s="556"/>
      <c r="B27" s="600"/>
      <c r="C27" s="603"/>
      <c r="D27" s="603"/>
      <c r="E27" s="603"/>
      <c r="F27" s="603"/>
      <c r="G27" s="601"/>
      <c r="H27" s="630"/>
      <c r="I27" s="621"/>
      <c r="J27" s="621"/>
      <c r="K27" s="621"/>
      <c r="L27" s="633"/>
      <c r="M27" s="621"/>
      <c r="N27" s="632"/>
      <c r="O27" s="632"/>
      <c r="P27" s="632"/>
      <c r="Q27" s="633"/>
      <c r="R27" s="632"/>
      <c r="S27" s="632"/>
      <c r="T27" s="632"/>
      <c r="U27" s="632"/>
      <c r="V27" s="632"/>
      <c r="W27" s="632"/>
      <c r="X27" s="632"/>
      <c r="Y27" s="630"/>
      <c r="Z27" s="621"/>
      <c r="AA27" s="621"/>
      <c r="AB27" s="621"/>
      <c r="AC27" s="633"/>
      <c r="AD27" s="621"/>
      <c r="AE27" s="632"/>
      <c r="AF27" s="632"/>
      <c r="AG27" s="632"/>
      <c r="AH27" s="632"/>
      <c r="AI27" s="632"/>
      <c r="AJ27" s="632"/>
      <c r="AK27" s="632"/>
      <c r="AL27" s="632"/>
      <c r="AM27" s="632"/>
      <c r="AN27" s="632"/>
      <c r="AO27" s="632"/>
      <c r="AP27" s="630"/>
      <c r="AQ27" s="621"/>
      <c r="AR27" s="644"/>
      <c r="AS27" s="621"/>
      <c r="AT27" s="602"/>
      <c r="AU27" s="607"/>
      <c r="AV27" s="602"/>
      <c r="AW27" s="598"/>
      <c r="AX27" s="598"/>
      <c r="AY27" s="598"/>
      <c r="AZ27" s="604"/>
      <c r="BA27" s="604"/>
      <c r="BB27" s="542"/>
      <c r="BC27" s="543"/>
      <c r="BD27" s="544"/>
      <c r="BE27" s="545"/>
      <c r="BF27" s="545"/>
      <c r="BG27" s="545"/>
      <c r="BH27" s="545"/>
      <c r="BI27" s="545"/>
      <c r="BJ27" s="545"/>
      <c r="BK27" s="545"/>
      <c r="BL27" s="545"/>
      <c r="BM27" s="545"/>
      <c r="BN27" s="545"/>
      <c r="BO27" s="545"/>
      <c r="BP27" s="545"/>
      <c r="BQ27" s="545"/>
      <c r="BR27" s="545"/>
      <c r="BS27" s="545"/>
      <c r="BT27" s="545"/>
    </row>
    <row r="28" spans="1:72" ht="12.6" customHeight="1">
      <c r="A28" s="556"/>
      <c r="B28" s="611"/>
      <c r="C28" s="612"/>
      <c r="D28" s="601"/>
      <c r="E28" s="601"/>
      <c r="F28" s="612"/>
      <c r="G28" s="612"/>
      <c r="H28" s="632"/>
      <c r="I28" s="630" t="s">
        <v>312</v>
      </c>
      <c r="J28" s="621" t="s">
        <v>322</v>
      </c>
      <c r="K28" s="645"/>
      <c r="L28" s="645"/>
      <c r="M28" s="646"/>
      <c r="N28" s="645"/>
      <c r="O28" s="632"/>
      <c r="P28" s="646"/>
      <c r="Q28" s="632"/>
      <c r="R28" s="645"/>
      <c r="S28" s="632"/>
      <c r="T28" s="647"/>
      <c r="U28" s="632"/>
      <c r="V28" s="647"/>
      <c r="W28" s="647"/>
      <c r="X28" s="647"/>
      <c r="Y28" s="632"/>
      <c r="Z28" s="648"/>
      <c r="AA28" s="645"/>
      <c r="AB28" s="645"/>
      <c r="AC28" s="645"/>
      <c r="AD28" s="646"/>
      <c r="AE28" s="645"/>
      <c r="AF28" s="632"/>
      <c r="AG28" s="646"/>
      <c r="AH28" s="632"/>
      <c r="AI28" s="632"/>
      <c r="AJ28" s="632"/>
      <c r="AK28" s="647"/>
      <c r="AL28" s="632"/>
      <c r="AM28" s="647"/>
      <c r="AN28" s="632"/>
      <c r="AO28" s="632"/>
      <c r="AP28" s="632"/>
      <c r="AQ28" s="648"/>
      <c r="AR28" s="645"/>
      <c r="AS28" s="645"/>
      <c r="AT28" s="613"/>
      <c r="AU28" s="599"/>
      <c r="AV28" s="601"/>
      <c r="AW28" s="603"/>
      <c r="AX28" s="599"/>
      <c r="AY28" s="613"/>
      <c r="AZ28" s="604"/>
      <c r="BA28" s="604"/>
      <c r="BB28" s="542"/>
      <c r="BC28" s="543"/>
      <c r="BD28" s="545"/>
      <c r="BE28" s="545"/>
      <c r="BF28" s="545"/>
      <c r="BG28" s="545"/>
      <c r="BH28" s="545"/>
      <c r="BI28" s="545"/>
      <c r="BJ28" s="545"/>
      <c r="BK28" s="545"/>
      <c r="BL28" s="545"/>
      <c r="BM28" s="545"/>
      <c r="BN28" s="545"/>
      <c r="BO28" s="545"/>
      <c r="BP28" s="545"/>
      <c r="BQ28" s="545"/>
      <c r="BR28" s="545"/>
      <c r="BS28" s="545"/>
      <c r="BT28" s="545"/>
    </row>
    <row r="29" spans="1:72" ht="12.6" customHeight="1">
      <c r="A29" s="556"/>
      <c r="B29" s="600"/>
      <c r="C29" s="603"/>
      <c r="D29" s="603"/>
      <c r="E29" s="603"/>
      <c r="F29" s="603"/>
      <c r="G29" s="601"/>
      <c r="H29" s="630"/>
      <c r="I29" s="621"/>
      <c r="J29" s="621"/>
      <c r="K29" s="621"/>
      <c r="L29" s="633"/>
      <c r="M29" s="621"/>
      <c r="N29" s="632"/>
      <c r="O29" s="632"/>
      <c r="P29" s="632"/>
      <c r="Q29" s="633"/>
      <c r="R29" s="632"/>
      <c r="S29" s="632"/>
      <c r="T29" s="632"/>
      <c r="U29" s="632"/>
      <c r="V29" s="632"/>
      <c r="W29" s="632"/>
      <c r="X29" s="632"/>
      <c r="Y29" s="630"/>
      <c r="Z29" s="621"/>
      <c r="AA29" s="621"/>
      <c r="AB29" s="621"/>
      <c r="AC29" s="633"/>
      <c r="AD29" s="621"/>
      <c r="AE29" s="632"/>
      <c r="AF29" s="632"/>
      <c r="AG29" s="632"/>
      <c r="AH29" s="632"/>
      <c r="AI29" s="632"/>
      <c r="AJ29" s="632"/>
      <c r="AK29" s="632"/>
      <c r="AL29" s="632"/>
      <c r="AM29" s="632"/>
      <c r="AN29" s="632"/>
      <c r="AO29" s="632"/>
      <c r="AP29" s="630"/>
      <c r="AQ29" s="621"/>
      <c r="AR29" s="621"/>
      <c r="AS29" s="621"/>
      <c r="AT29" s="607"/>
      <c r="AU29" s="598"/>
      <c r="AV29" s="603"/>
      <c r="AW29" s="603"/>
      <c r="AX29" s="599"/>
      <c r="AY29" s="598"/>
      <c r="AZ29" s="604"/>
      <c r="BA29" s="604"/>
      <c r="BB29" s="542"/>
      <c r="BC29" s="543"/>
      <c r="BD29" s="544"/>
      <c r="BE29" s="545"/>
      <c r="BF29" s="545"/>
      <c r="BG29" s="545"/>
      <c r="BH29" s="545"/>
      <c r="BI29" s="545"/>
      <c r="BJ29" s="545"/>
      <c r="BK29" s="545"/>
      <c r="BL29" s="545"/>
      <c r="BM29" s="545"/>
      <c r="BN29" s="545"/>
      <c r="BO29" s="545"/>
      <c r="BP29" s="545"/>
      <c r="BQ29" s="545"/>
      <c r="BR29" s="545"/>
      <c r="BS29" s="545"/>
      <c r="BT29" s="545"/>
    </row>
    <row r="30" spans="1:72" ht="12.6" customHeight="1">
      <c r="A30" s="556"/>
      <c r="B30" s="610"/>
      <c r="C30" s="606"/>
      <c r="D30" s="606"/>
      <c r="E30" s="606"/>
      <c r="F30" s="606"/>
      <c r="G30" s="606"/>
      <c r="H30" s="631"/>
      <c r="I30" s="631" t="s">
        <v>312</v>
      </c>
      <c r="J30" s="632" t="s">
        <v>325</v>
      </c>
      <c r="K30" s="631"/>
      <c r="L30" s="632"/>
      <c r="M30" s="631"/>
      <c r="N30" s="633"/>
      <c r="O30" s="631"/>
      <c r="P30" s="632"/>
      <c r="Q30" s="632"/>
      <c r="R30" s="632"/>
      <c r="S30" s="621"/>
      <c r="T30" s="621"/>
      <c r="U30" s="621"/>
      <c r="V30" s="621"/>
      <c r="W30" s="621"/>
      <c r="X30" s="633"/>
      <c r="Y30" s="621"/>
      <c r="Z30" s="632"/>
      <c r="AA30" s="633"/>
      <c r="AB30" s="621"/>
      <c r="AC30" s="632"/>
      <c r="AD30" s="633"/>
      <c r="AE30" s="632"/>
      <c r="AF30" s="632"/>
      <c r="AG30" s="633"/>
      <c r="AH30" s="632"/>
      <c r="AI30" s="632"/>
      <c r="AJ30" s="643"/>
      <c r="AK30" s="632"/>
      <c r="AL30" s="632"/>
      <c r="AM30" s="632"/>
      <c r="AN30" s="632"/>
      <c r="AO30" s="632"/>
      <c r="AP30" s="632"/>
      <c r="AQ30" s="632"/>
      <c r="AR30" s="632"/>
      <c r="AS30" s="632"/>
      <c r="AT30" s="603"/>
      <c r="AU30" s="603"/>
      <c r="AV30" s="603"/>
      <c r="AW30" s="603"/>
      <c r="AX30" s="607"/>
      <c r="AY30" s="598"/>
      <c r="AZ30" s="604"/>
      <c r="BA30" s="604"/>
      <c r="BB30" s="542"/>
      <c r="BC30" s="543"/>
      <c r="BD30" s="544"/>
      <c r="BE30" s="545"/>
      <c r="BF30" s="545"/>
      <c r="BG30" s="545"/>
      <c r="BH30" s="545"/>
      <c r="BI30" s="545"/>
      <c r="BJ30" s="545"/>
      <c r="BK30" s="545"/>
      <c r="BL30" s="545"/>
      <c r="BM30" s="545"/>
      <c r="BN30" s="545"/>
      <c r="BO30" s="545"/>
      <c r="BP30" s="545"/>
      <c r="BQ30" s="545"/>
      <c r="BR30" s="545"/>
      <c r="BS30" s="545"/>
      <c r="BT30" s="545"/>
    </row>
    <row r="31" spans="1:72" ht="12.6" customHeight="1">
      <c r="A31" s="556"/>
      <c r="B31" s="610"/>
      <c r="C31" s="606"/>
      <c r="D31" s="606"/>
      <c r="E31" s="606"/>
      <c r="F31" s="606"/>
      <c r="G31" s="606"/>
      <c r="H31" s="631"/>
      <c r="I31" s="631"/>
      <c r="J31" s="632" t="s">
        <v>326</v>
      </c>
      <c r="K31" s="631"/>
      <c r="L31" s="632"/>
      <c r="M31" s="631"/>
      <c r="N31" s="633"/>
      <c r="O31" s="631"/>
      <c r="P31" s="632"/>
      <c r="Q31" s="632"/>
      <c r="R31" s="632"/>
      <c r="S31" s="621"/>
      <c r="T31" s="621"/>
      <c r="U31" s="621"/>
      <c r="V31" s="621"/>
      <c r="W31" s="621"/>
      <c r="X31" s="633"/>
      <c r="Y31" s="621"/>
      <c r="Z31" s="632"/>
      <c r="AA31" s="633"/>
      <c r="AB31" s="621"/>
      <c r="AC31" s="632"/>
      <c r="AD31" s="633"/>
      <c r="AE31" s="632"/>
      <c r="AF31" s="632"/>
      <c r="AG31" s="633"/>
      <c r="AH31" s="632"/>
      <c r="AI31" s="632"/>
      <c r="AJ31" s="643"/>
      <c r="AK31" s="632"/>
      <c r="AL31" s="632"/>
      <c r="AM31" s="632"/>
      <c r="AN31" s="632"/>
      <c r="AO31" s="632"/>
      <c r="AP31" s="632"/>
      <c r="AQ31" s="632"/>
      <c r="AR31" s="632"/>
      <c r="AS31" s="632"/>
      <c r="AT31" s="603"/>
      <c r="AU31" s="603"/>
      <c r="AV31" s="603"/>
      <c r="AW31" s="603"/>
      <c r="AX31" s="607"/>
      <c r="AY31" s="598"/>
      <c r="AZ31" s="604"/>
      <c r="BA31" s="604"/>
      <c r="BB31" s="542"/>
      <c r="BC31" s="543"/>
      <c r="BD31" s="544"/>
      <c r="BE31" s="545"/>
      <c r="BF31" s="545"/>
      <c r="BG31" s="545"/>
      <c r="BH31" s="545"/>
      <c r="BI31" s="545"/>
      <c r="BJ31" s="545"/>
      <c r="BK31" s="545"/>
      <c r="BL31" s="545"/>
      <c r="BM31" s="545"/>
      <c r="BN31" s="545"/>
      <c r="BO31" s="545"/>
      <c r="BP31" s="545"/>
      <c r="BQ31" s="545"/>
      <c r="BR31" s="545"/>
      <c r="BS31" s="545"/>
      <c r="BT31" s="545"/>
    </row>
    <row r="32" spans="1:72" ht="12.6" customHeight="1">
      <c r="A32" s="556"/>
      <c r="B32" s="610"/>
      <c r="C32" s="606"/>
      <c r="D32" s="606"/>
      <c r="E32" s="606"/>
      <c r="F32" s="606"/>
      <c r="G32" s="606"/>
      <c r="H32" s="631"/>
      <c r="I32" s="631"/>
      <c r="J32" s="632"/>
      <c r="K32" s="631"/>
      <c r="L32" s="632"/>
      <c r="M32" s="631"/>
      <c r="N32" s="633"/>
      <c r="O32" s="631"/>
      <c r="P32" s="632"/>
      <c r="Q32" s="632"/>
      <c r="R32" s="632"/>
      <c r="S32" s="621"/>
      <c r="T32" s="621"/>
      <c r="U32" s="621"/>
      <c r="V32" s="621"/>
      <c r="W32" s="621"/>
      <c r="X32" s="633"/>
      <c r="Y32" s="621"/>
      <c r="Z32" s="632"/>
      <c r="AA32" s="633"/>
      <c r="AB32" s="621"/>
      <c r="AC32" s="632"/>
      <c r="AD32" s="633"/>
      <c r="AE32" s="632"/>
      <c r="AF32" s="632"/>
      <c r="AG32" s="633"/>
      <c r="AH32" s="632"/>
      <c r="AI32" s="632"/>
      <c r="AJ32" s="643"/>
      <c r="AK32" s="632"/>
      <c r="AL32" s="632"/>
      <c r="AM32" s="632"/>
      <c r="AN32" s="632"/>
      <c r="AO32" s="632"/>
      <c r="AP32" s="632"/>
      <c r="AQ32" s="632"/>
      <c r="AR32" s="632"/>
      <c r="AS32" s="632"/>
      <c r="AT32" s="603"/>
      <c r="AU32" s="603"/>
      <c r="AV32" s="603"/>
      <c r="AW32" s="603"/>
      <c r="AX32" s="607"/>
      <c r="AY32" s="598"/>
      <c r="AZ32" s="604"/>
      <c r="BA32" s="604"/>
      <c r="BB32" s="542"/>
      <c r="BC32" s="543"/>
      <c r="BD32" s="544"/>
      <c r="BE32" s="545"/>
      <c r="BF32" s="545"/>
      <c r="BG32" s="545"/>
      <c r="BH32" s="545"/>
      <c r="BI32" s="545"/>
      <c r="BJ32" s="545"/>
      <c r="BK32" s="545"/>
      <c r="BL32" s="545"/>
      <c r="BM32" s="545"/>
      <c r="BN32" s="545"/>
      <c r="BO32" s="545"/>
      <c r="BP32" s="545"/>
      <c r="BQ32" s="545"/>
      <c r="BR32" s="545"/>
      <c r="BS32" s="545"/>
      <c r="BT32" s="545"/>
    </row>
    <row r="33" spans="1:72" ht="12.6" customHeight="1">
      <c r="A33" s="556"/>
      <c r="B33" s="610"/>
      <c r="C33" s="606"/>
      <c r="D33" s="606"/>
      <c r="E33" s="606"/>
      <c r="F33" s="606"/>
      <c r="G33" s="606"/>
      <c r="H33" s="631"/>
      <c r="I33" s="630" t="s">
        <v>312</v>
      </c>
      <c r="J33" s="621" t="s">
        <v>323</v>
      </c>
      <c r="K33" s="631"/>
      <c r="L33" s="632"/>
      <c r="M33" s="631"/>
      <c r="N33" s="633"/>
      <c r="O33" s="631"/>
      <c r="P33" s="632"/>
      <c r="Q33" s="632"/>
      <c r="R33" s="632"/>
      <c r="S33" s="621"/>
      <c r="T33" s="621"/>
      <c r="U33" s="621"/>
      <c r="V33" s="621"/>
      <c r="W33" s="621"/>
      <c r="X33" s="633"/>
      <c r="Y33" s="621"/>
      <c r="Z33" s="632"/>
      <c r="AA33" s="633"/>
      <c r="AB33" s="621"/>
      <c r="AC33" s="632"/>
      <c r="AD33" s="633"/>
      <c r="AE33" s="632"/>
      <c r="AF33" s="632"/>
      <c r="AG33" s="633"/>
      <c r="AH33" s="632"/>
      <c r="AI33" s="632"/>
      <c r="AJ33" s="643"/>
      <c r="AK33" s="632"/>
      <c r="AL33" s="632"/>
      <c r="AM33" s="632"/>
      <c r="AN33" s="632"/>
      <c r="AO33" s="632"/>
      <c r="AP33" s="632"/>
      <c r="AQ33" s="632"/>
      <c r="AR33" s="632"/>
      <c r="AS33" s="632"/>
      <c r="AT33" s="603"/>
      <c r="AU33" s="603"/>
      <c r="AV33" s="603"/>
      <c r="AW33" s="603"/>
      <c r="AX33" s="607"/>
      <c r="AY33" s="598"/>
      <c r="AZ33" s="604"/>
      <c r="BA33" s="604"/>
      <c r="BB33" s="542"/>
      <c r="BC33" s="543"/>
      <c r="BD33" s="544"/>
      <c r="BE33" s="545"/>
      <c r="BF33" s="545"/>
      <c r="BG33" s="545"/>
      <c r="BH33" s="545"/>
      <c r="BI33" s="545"/>
      <c r="BJ33" s="545"/>
      <c r="BK33" s="545"/>
      <c r="BL33" s="545"/>
      <c r="BM33" s="545"/>
      <c r="BN33" s="545"/>
      <c r="BO33" s="545"/>
      <c r="BP33" s="545"/>
      <c r="BQ33" s="545"/>
      <c r="BR33" s="545"/>
      <c r="BS33" s="545"/>
      <c r="BT33" s="545"/>
    </row>
    <row r="34" spans="1:72" ht="12.6" customHeight="1">
      <c r="A34" s="556"/>
      <c r="B34" s="610"/>
      <c r="C34" s="606"/>
      <c r="D34" s="606"/>
      <c r="E34" s="606"/>
      <c r="F34" s="606"/>
      <c r="G34" s="606"/>
      <c r="H34" s="631"/>
      <c r="I34" s="631"/>
      <c r="J34" s="632" t="s">
        <v>324</v>
      </c>
      <c r="K34" s="631"/>
      <c r="L34" s="632"/>
      <c r="M34" s="631"/>
      <c r="N34" s="633"/>
      <c r="O34" s="631"/>
      <c r="P34" s="632"/>
      <c r="Q34" s="632"/>
      <c r="R34" s="632"/>
      <c r="S34" s="621"/>
      <c r="T34" s="621"/>
      <c r="U34" s="621"/>
      <c r="V34" s="621"/>
      <c r="W34" s="621"/>
      <c r="X34" s="633"/>
      <c r="Y34" s="621"/>
      <c r="Z34" s="632"/>
      <c r="AA34" s="633"/>
      <c r="AB34" s="621"/>
      <c r="AC34" s="632"/>
      <c r="AD34" s="633"/>
      <c r="AE34" s="632"/>
      <c r="AF34" s="632"/>
      <c r="AG34" s="633"/>
      <c r="AH34" s="632"/>
      <c r="AI34" s="632"/>
      <c r="AJ34" s="643"/>
      <c r="AK34" s="632"/>
      <c r="AL34" s="632"/>
      <c r="AM34" s="632"/>
      <c r="AN34" s="632"/>
      <c r="AO34" s="632"/>
      <c r="AP34" s="632"/>
      <c r="AQ34" s="632"/>
      <c r="AR34" s="632"/>
      <c r="AS34" s="632"/>
      <c r="AT34" s="603"/>
      <c r="AU34" s="603"/>
      <c r="AV34" s="603"/>
      <c r="AW34" s="603"/>
      <c r="AX34" s="607"/>
      <c r="AY34" s="598"/>
      <c r="AZ34" s="604"/>
      <c r="BA34" s="604"/>
      <c r="BB34" s="542"/>
      <c r="BC34" s="543"/>
      <c r="BD34" s="544"/>
      <c r="BE34" s="545"/>
      <c r="BF34" s="545"/>
      <c r="BG34" s="545"/>
      <c r="BH34" s="545"/>
      <c r="BI34" s="545"/>
      <c r="BJ34" s="545"/>
      <c r="BK34" s="545"/>
      <c r="BL34" s="545"/>
      <c r="BM34" s="545"/>
      <c r="BN34" s="545"/>
      <c r="BO34" s="545"/>
      <c r="BP34" s="545"/>
      <c r="BQ34" s="545"/>
      <c r="BR34" s="545"/>
      <c r="BS34" s="545"/>
      <c r="BT34" s="545"/>
    </row>
    <row r="35" spans="1:72" ht="12.6" customHeight="1">
      <c r="A35" s="556"/>
      <c r="B35" s="610"/>
      <c r="C35" s="606"/>
      <c r="D35" s="606"/>
      <c r="E35" s="606"/>
      <c r="F35" s="606"/>
      <c r="G35" s="606"/>
      <c r="H35" s="631"/>
      <c r="I35" s="631"/>
      <c r="J35" s="632"/>
      <c r="K35" s="631"/>
      <c r="L35" s="632"/>
      <c r="M35" s="631"/>
      <c r="N35" s="633"/>
      <c r="O35" s="631"/>
      <c r="P35" s="632"/>
      <c r="Q35" s="632"/>
      <c r="R35" s="632"/>
      <c r="S35" s="621"/>
      <c r="T35" s="621"/>
      <c r="U35" s="621"/>
      <c r="V35" s="621"/>
      <c r="W35" s="621"/>
      <c r="X35" s="633"/>
      <c r="Y35" s="621"/>
      <c r="Z35" s="632"/>
      <c r="AA35" s="633"/>
      <c r="AB35" s="621"/>
      <c r="AC35" s="632"/>
      <c r="AD35" s="633"/>
      <c r="AE35" s="632"/>
      <c r="AF35" s="632"/>
      <c r="AG35" s="633"/>
      <c r="AH35" s="632"/>
      <c r="AI35" s="632"/>
      <c r="AJ35" s="643"/>
      <c r="AK35" s="632"/>
      <c r="AL35" s="632"/>
      <c r="AM35" s="632"/>
      <c r="AN35" s="632"/>
      <c r="AO35" s="632"/>
      <c r="AP35" s="632"/>
      <c r="AQ35" s="632"/>
      <c r="AR35" s="632"/>
      <c r="AS35" s="632"/>
      <c r="AT35" s="603"/>
      <c r="AU35" s="603"/>
      <c r="AV35" s="603"/>
      <c r="AW35" s="603"/>
      <c r="AX35" s="607"/>
      <c r="AY35" s="598"/>
      <c r="AZ35" s="604"/>
      <c r="BA35" s="604"/>
      <c r="BB35" s="542"/>
      <c r="BC35" s="543"/>
      <c r="BD35" s="544"/>
      <c r="BE35" s="545"/>
      <c r="BF35" s="545"/>
      <c r="BG35" s="545"/>
      <c r="BH35" s="545"/>
      <c r="BI35" s="545"/>
      <c r="BJ35" s="545"/>
      <c r="BK35" s="545"/>
      <c r="BL35" s="545"/>
      <c r="BM35" s="545"/>
      <c r="BN35" s="545"/>
      <c r="BO35" s="545"/>
      <c r="BP35" s="545"/>
      <c r="BQ35" s="545"/>
      <c r="BR35" s="545"/>
      <c r="BS35" s="545"/>
      <c r="BT35" s="545"/>
    </row>
    <row r="36" spans="1:72" ht="12.6" customHeight="1">
      <c r="A36" s="556"/>
      <c r="B36" s="610"/>
      <c r="C36" s="606"/>
      <c r="D36" s="606"/>
      <c r="E36" s="606"/>
      <c r="F36" s="606"/>
      <c r="G36" s="606"/>
      <c r="H36" s="631"/>
      <c r="I36" s="631" t="s">
        <v>312</v>
      </c>
      <c r="J36" s="632" t="s">
        <v>327</v>
      </c>
      <c r="K36" s="631"/>
      <c r="L36" s="632"/>
      <c r="M36" s="631"/>
      <c r="N36" s="633"/>
      <c r="O36" s="631"/>
      <c r="P36" s="632"/>
      <c r="Q36" s="632"/>
      <c r="R36" s="632"/>
      <c r="S36" s="621"/>
      <c r="T36" s="621"/>
      <c r="U36" s="621"/>
      <c r="V36" s="621"/>
      <c r="W36" s="621"/>
      <c r="X36" s="633"/>
      <c r="Y36" s="621"/>
      <c r="Z36" s="632"/>
      <c r="AA36" s="633"/>
      <c r="AB36" s="621"/>
      <c r="AC36" s="632"/>
      <c r="AD36" s="633"/>
      <c r="AE36" s="632"/>
      <c r="AF36" s="632"/>
      <c r="AG36" s="633"/>
      <c r="AH36" s="632"/>
      <c r="AI36" s="632"/>
      <c r="AJ36" s="643"/>
      <c r="AK36" s="632"/>
      <c r="AL36" s="632"/>
      <c r="AM36" s="632"/>
      <c r="AN36" s="632"/>
      <c r="AO36" s="632"/>
      <c r="AP36" s="632"/>
      <c r="AQ36" s="632"/>
      <c r="AR36" s="632"/>
      <c r="AS36" s="632"/>
      <c r="AT36" s="603"/>
      <c r="AU36" s="603"/>
      <c r="AV36" s="603"/>
      <c r="AW36" s="603"/>
      <c r="AX36" s="607"/>
      <c r="AY36" s="598"/>
      <c r="AZ36" s="604"/>
      <c r="BA36" s="604"/>
      <c r="BB36" s="542"/>
      <c r="BC36" s="543"/>
      <c r="BD36" s="544"/>
      <c r="BE36" s="545"/>
      <c r="BF36" s="545"/>
      <c r="BG36" s="545"/>
      <c r="BH36" s="545"/>
      <c r="BI36" s="545"/>
      <c r="BJ36" s="545"/>
      <c r="BK36" s="545"/>
      <c r="BL36" s="545"/>
      <c r="BM36" s="545"/>
      <c r="BN36" s="545"/>
      <c r="BO36" s="545"/>
      <c r="BP36" s="545"/>
      <c r="BQ36" s="545"/>
      <c r="BR36" s="545"/>
      <c r="BS36" s="545"/>
      <c r="BT36" s="545"/>
    </row>
    <row r="37" spans="1:72" ht="12.6" customHeight="1">
      <c r="A37" s="556"/>
      <c r="B37" s="610"/>
      <c r="C37" s="606"/>
      <c r="D37" s="606"/>
      <c r="E37" s="606"/>
      <c r="F37" s="606"/>
      <c r="G37" s="606"/>
      <c r="H37" s="631"/>
      <c r="I37" s="631"/>
      <c r="J37" s="632"/>
      <c r="K37" s="631"/>
      <c r="L37" s="632"/>
      <c r="M37" s="631"/>
      <c r="N37" s="633"/>
      <c r="O37" s="631"/>
      <c r="P37" s="632"/>
      <c r="Q37" s="632"/>
      <c r="R37" s="632"/>
      <c r="S37" s="621"/>
      <c r="T37" s="621"/>
      <c r="U37" s="621"/>
      <c r="V37" s="621"/>
      <c r="W37" s="621"/>
      <c r="X37" s="633"/>
      <c r="Y37" s="621"/>
      <c r="Z37" s="632"/>
      <c r="AA37" s="633"/>
      <c r="AB37" s="621"/>
      <c r="AC37" s="632"/>
      <c r="AD37" s="633"/>
      <c r="AE37" s="632"/>
      <c r="AF37" s="632"/>
      <c r="AG37" s="633"/>
      <c r="AH37" s="632"/>
      <c r="AI37" s="632"/>
      <c r="AJ37" s="643"/>
      <c r="AK37" s="632"/>
      <c r="AL37" s="632"/>
      <c r="AM37" s="632"/>
      <c r="AN37" s="632"/>
      <c r="AO37" s="632"/>
      <c r="AP37" s="632"/>
      <c r="AQ37" s="632"/>
      <c r="AR37" s="632"/>
      <c r="AS37" s="632"/>
      <c r="AT37" s="603"/>
      <c r="AU37" s="603"/>
      <c r="AV37" s="603"/>
      <c r="AW37" s="603"/>
      <c r="AX37" s="607"/>
      <c r="AY37" s="598"/>
      <c r="AZ37" s="604"/>
      <c r="BA37" s="604"/>
      <c r="BB37" s="542"/>
      <c r="BC37" s="543"/>
      <c r="BD37" s="544"/>
      <c r="BE37" s="545"/>
      <c r="BF37" s="545"/>
      <c r="BG37" s="545"/>
      <c r="BH37" s="545"/>
      <c r="BI37" s="545"/>
      <c r="BJ37" s="545"/>
      <c r="BK37" s="545"/>
      <c r="BL37" s="545"/>
      <c r="BM37" s="545"/>
      <c r="BN37" s="545"/>
      <c r="BO37" s="545"/>
      <c r="BP37" s="545"/>
      <c r="BQ37" s="545"/>
      <c r="BR37" s="545"/>
      <c r="BS37" s="545"/>
      <c r="BT37" s="545"/>
    </row>
    <row r="38" spans="1:72" ht="12.6" customHeight="1">
      <c r="A38" s="556"/>
      <c r="B38" s="610"/>
      <c r="C38" s="606"/>
      <c r="D38" s="606"/>
      <c r="E38" s="606"/>
      <c r="F38" s="606"/>
      <c r="G38" s="606"/>
      <c r="H38" s="631"/>
      <c r="I38" s="631" t="s">
        <v>312</v>
      </c>
      <c r="J38" s="632" t="s">
        <v>328</v>
      </c>
      <c r="K38" s="631"/>
      <c r="L38" s="632"/>
      <c r="M38" s="631"/>
      <c r="N38" s="633"/>
      <c r="O38" s="631"/>
      <c r="P38" s="632"/>
      <c r="Q38" s="632"/>
      <c r="R38" s="632"/>
      <c r="S38" s="621"/>
      <c r="T38" s="621"/>
      <c r="U38" s="621"/>
      <c r="V38" s="621"/>
      <c r="W38" s="621"/>
      <c r="X38" s="633"/>
      <c r="Y38" s="621"/>
      <c r="Z38" s="632"/>
      <c r="AA38" s="633"/>
      <c r="AB38" s="621"/>
      <c r="AC38" s="632"/>
      <c r="AD38" s="633"/>
      <c r="AE38" s="632"/>
      <c r="AF38" s="632"/>
      <c r="AG38" s="633"/>
      <c r="AH38" s="632"/>
      <c r="AI38" s="632"/>
      <c r="AJ38" s="643"/>
      <c r="AK38" s="632"/>
      <c r="AL38" s="632"/>
      <c r="AM38" s="632"/>
      <c r="AN38" s="632"/>
      <c r="AO38" s="632"/>
      <c r="AP38" s="632"/>
      <c r="AQ38" s="632"/>
      <c r="AR38" s="632"/>
      <c r="AS38" s="632"/>
      <c r="AT38" s="603"/>
      <c r="AU38" s="603"/>
      <c r="AV38" s="603"/>
      <c r="AW38" s="603"/>
      <c r="AX38" s="607"/>
      <c r="AY38" s="598"/>
      <c r="AZ38" s="604"/>
      <c r="BA38" s="604"/>
      <c r="BB38" s="542"/>
      <c r="BC38" s="543"/>
      <c r="BD38" s="544"/>
      <c r="BE38" s="545"/>
      <c r="BF38" s="545"/>
      <c r="BG38" s="545"/>
      <c r="BH38" s="545"/>
      <c r="BI38" s="545"/>
      <c r="BJ38" s="545"/>
      <c r="BK38" s="545"/>
      <c r="BL38" s="545"/>
      <c r="BM38" s="545"/>
      <c r="BN38" s="545"/>
      <c r="BO38" s="545"/>
      <c r="BP38" s="545"/>
      <c r="BQ38" s="545"/>
      <c r="BR38" s="545"/>
      <c r="BS38" s="545"/>
      <c r="BT38" s="545"/>
    </row>
    <row r="39" spans="1:72" ht="12.6" customHeight="1">
      <c r="A39" s="556"/>
      <c r="B39" s="610"/>
      <c r="C39" s="606"/>
      <c r="D39" s="606"/>
      <c r="E39" s="606"/>
      <c r="F39" s="606"/>
      <c r="G39" s="606"/>
      <c r="H39" s="631"/>
      <c r="I39" s="637"/>
      <c r="J39" s="637"/>
      <c r="K39" s="637"/>
      <c r="L39" s="637"/>
      <c r="M39" s="637"/>
      <c r="N39" s="637"/>
      <c r="O39" s="637"/>
      <c r="P39" s="637"/>
      <c r="Q39" s="637"/>
      <c r="R39" s="637"/>
      <c r="S39" s="637"/>
      <c r="T39" s="637"/>
      <c r="U39" s="637"/>
      <c r="V39" s="637"/>
      <c r="W39" s="637"/>
      <c r="X39" s="638"/>
      <c r="Y39" s="637"/>
      <c r="Z39" s="637"/>
      <c r="AA39" s="637"/>
      <c r="AB39" s="637"/>
      <c r="AC39" s="639"/>
      <c r="AD39" s="637"/>
      <c r="AE39" s="640"/>
      <c r="AF39" s="640"/>
      <c r="AG39" s="640"/>
      <c r="AH39" s="640"/>
      <c r="AI39" s="637"/>
      <c r="AJ39" s="637"/>
      <c r="AK39" s="637"/>
      <c r="AL39" s="637"/>
      <c r="AM39" s="637"/>
      <c r="AN39" s="641"/>
      <c r="AO39" s="638"/>
      <c r="AP39" s="638"/>
      <c r="AQ39" s="637"/>
      <c r="AR39" s="637"/>
      <c r="AS39" s="632"/>
      <c r="AT39" s="603"/>
      <c r="AU39" s="603"/>
      <c r="AV39" s="603"/>
      <c r="AW39" s="603"/>
      <c r="AX39" s="607"/>
      <c r="AY39" s="598"/>
      <c r="AZ39" s="604"/>
      <c r="BA39" s="604"/>
      <c r="BB39" s="542"/>
      <c r="BC39" s="543"/>
      <c r="BD39" s="544"/>
      <c r="BE39" s="545"/>
      <c r="BF39" s="545"/>
      <c r="BG39" s="545"/>
      <c r="BH39" s="545"/>
      <c r="BI39" s="545"/>
      <c r="BJ39" s="545"/>
      <c r="BK39" s="545"/>
      <c r="BL39" s="545"/>
      <c r="BM39" s="545"/>
      <c r="BN39" s="545"/>
      <c r="BO39" s="545"/>
      <c r="BP39" s="545"/>
      <c r="BQ39" s="545"/>
      <c r="BR39" s="545"/>
      <c r="BS39" s="545"/>
      <c r="BT39" s="545"/>
    </row>
    <row r="40" spans="1:72" ht="12.6" customHeight="1">
      <c r="A40" s="556"/>
      <c r="B40" s="610"/>
      <c r="C40" s="606"/>
      <c r="D40" s="606"/>
      <c r="E40" s="606"/>
      <c r="F40" s="606"/>
      <c r="G40" s="606"/>
      <c r="H40" s="631"/>
      <c r="I40" s="621"/>
      <c r="J40" s="621"/>
      <c r="K40" s="621"/>
      <c r="L40" s="621"/>
      <c r="M40" s="621"/>
      <c r="N40" s="621"/>
      <c r="O40" s="621"/>
      <c r="P40" s="621"/>
      <c r="Q40" s="621"/>
      <c r="R40" s="621"/>
      <c r="S40" s="621"/>
      <c r="T40" s="621"/>
      <c r="U40" s="621"/>
      <c r="V40" s="621"/>
      <c r="W40" s="621"/>
      <c r="X40" s="630"/>
      <c r="Y40" s="621"/>
      <c r="Z40" s="621"/>
      <c r="AA40" s="621"/>
      <c r="AB40" s="621"/>
      <c r="AC40" s="633"/>
      <c r="AD40" s="621"/>
      <c r="AE40" s="632"/>
      <c r="AF40" s="632"/>
      <c r="AG40" s="632"/>
      <c r="AH40" s="632"/>
      <c r="AI40" s="621"/>
      <c r="AJ40" s="621"/>
      <c r="AK40" s="621"/>
      <c r="AL40" s="621"/>
      <c r="AM40" s="621"/>
      <c r="AN40" s="635"/>
      <c r="AO40" s="630"/>
      <c r="AP40" s="630"/>
      <c r="AQ40" s="621"/>
      <c r="AR40" s="621"/>
      <c r="AS40" s="632"/>
      <c r="AT40" s="603"/>
      <c r="AU40" s="603"/>
      <c r="AV40" s="603"/>
      <c r="AW40" s="603"/>
      <c r="AX40" s="607"/>
      <c r="AY40" s="598"/>
      <c r="AZ40" s="604"/>
      <c r="BA40" s="604"/>
      <c r="BB40" s="542"/>
      <c r="BC40" s="543"/>
      <c r="BD40" s="544"/>
      <c r="BE40" s="545"/>
      <c r="BF40" s="545"/>
      <c r="BG40" s="545"/>
      <c r="BH40" s="545"/>
      <c r="BI40" s="545"/>
      <c r="BJ40" s="545"/>
      <c r="BK40" s="545"/>
      <c r="BL40" s="545"/>
      <c r="BM40" s="545"/>
      <c r="BN40" s="545"/>
      <c r="BO40" s="545"/>
      <c r="BP40" s="545"/>
      <c r="BQ40" s="545"/>
      <c r="BR40" s="545"/>
      <c r="BS40" s="545"/>
      <c r="BT40" s="545"/>
    </row>
    <row r="41" spans="1:72" ht="12.6" customHeight="1">
      <c r="A41" s="556"/>
      <c r="B41" s="600"/>
      <c r="C41" s="598"/>
      <c r="D41" s="598"/>
      <c r="E41" s="598"/>
      <c r="F41" s="598"/>
      <c r="G41" s="598"/>
      <c r="H41" s="630"/>
      <c r="I41" s="642" t="s">
        <v>329</v>
      </c>
      <c r="J41" s="621"/>
      <c r="K41" s="621"/>
      <c r="L41" s="633"/>
      <c r="M41" s="621"/>
      <c r="N41" s="632"/>
      <c r="O41" s="632"/>
      <c r="P41" s="632"/>
      <c r="Q41" s="632"/>
      <c r="R41" s="632"/>
      <c r="S41" s="621"/>
      <c r="T41" s="621"/>
      <c r="U41" s="621"/>
      <c r="V41" s="621"/>
      <c r="W41" s="621"/>
      <c r="X41" s="630"/>
      <c r="Y41" s="621"/>
      <c r="Z41" s="621"/>
      <c r="AA41" s="621"/>
      <c r="AB41" s="633"/>
      <c r="AC41" s="621"/>
      <c r="AD41" s="632"/>
      <c r="AE41" s="632"/>
      <c r="AF41" s="632"/>
      <c r="AG41" s="632"/>
      <c r="AH41" s="632"/>
      <c r="AI41" s="621"/>
      <c r="AJ41" s="621"/>
      <c r="AK41" s="621"/>
      <c r="AL41" s="621"/>
      <c r="AM41" s="621"/>
      <c r="AN41" s="635"/>
      <c r="AO41" s="630"/>
      <c r="AP41" s="630"/>
      <c r="AQ41" s="621"/>
      <c r="AR41" s="621"/>
      <c r="AS41" s="621"/>
      <c r="AT41" s="607"/>
      <c r="AU41" s="598"/>
      <c r="AV41" s="603"/>
      <c r="AW41" s="603"/>
      <c r="AX41" s="603"/>
      <c r="AY41" s="598"/>
      <c r="AZ41" s="604"/>
      <c r="BA41" s="604"/>
      <c r="BB41" s="542"/>
      <c r="BC41" s="543"/>
      <c r="BD41" s="545"/>
      <c r="BE41" s="545"/>
      <c r="BF41" s="545"/>
      <c r="BG41" s="545"/>
      <c r="BH41" s="545"/>
      <c r="BI41" s="545"/>
      <c r="BJ41" s="545"/>
      <c r="BK41" s="545"/>
      <c r="BL41" s="545"/>
      <c r="BM41" s="545"/>
      <c r="BN41" s="545"/>
      <c r="BO41" s="545"/>
      <c r="BP41" s="545"/>
      <c r="BQ41" s="545"/>
      <c r="BR41" s="545"/>
      <c r="BS41" s="545"/>
      <c r="BT41" s="545"/>
    </row>
    <row r="42" spans="1:72" ht="12.6" customHeight="1">
      <c r="A42" s="556"/>
      <c r="B42" s="600"/>
      <c r="C42" s="614"/>
      <c r="D42" s="615"/>
      <c r="E42" s="603"/>
      <c r="F42" s="603"/>
      <c r="G42" s="603"/>
      <c r="H42" s="632"/>
      <c r="I42" s="632" t="s">
        <v>312</v>
      </c>
      <c r="J42" s="649" t="s">
        <v>330</v>
      </c>
      <c r="K42" s="650"/>
      <c r="L42" s="650"/>
      <c r="M42" s="650"/>
      <c r="N42" s="632"/>
      <c r="O42" s="632"/>
      <c r="P42" s="632"/>
      <c r="Q42" s="632"/>
      <c r="R42" s="632"/>
      <c r="S42" s="632"/>
      <c r="T42" s="651"/>
      <c r="U42" s="632"/>
      <c r="V42" s="632"/>
      <c r="W42" s="632"/>
      <c r="X42" s="632"/>
      <c r="Y42" s="632"/>
      <c r="Z42" s="632"/>
      <c r="AA42" s="632"/>
      <c r="AB42" s="632"/>
      <c r="AC42" s="632"/>
      <c r="AD42" s="632"/>
      <c r="AE42" s="632"/>
      <c r="AF42" s="632"/>
      <c r="AG42" s="632"/>
      <c r="AH42" s="632"/>
      <c r="AI42" s="632"/>
      <c r="AJ42" s="632"/>
      <c r="AK42" s="632"/>
      <c r="AL42" s="632"/>
      <c r="AM42" s="632"/>
      <c r="AN42" s="632"/>
      <c r="AO42" s="632"/>
      <c r="AP42" s="632"/>
      <c r="AQ42" s="632"/>
      <c r="AR42" s="632"/>
      <c r="AS42" s="632"/>
      <c r="AT42" s="609"/>
      <c r="AU42" s="603"/>
      <c r="AV42" s="603"/>
      <c r="AW42" s="603"/>
      <c r="AX42" s="603"/>
      <c r="AY42" s="603"/>
      <c r="AZ42" s="604"/>
      <c r="BA42" s="604"/>
      <c r="BB42" s="570"/>
      <c r="BC42" s="571"/>
      <c r="BD42" s="544"/>
      <c r="BE42" s="544"/>
      <c r="BF42" s="544"/>
      <c r="BG42" s="569"/>
      <c r="BH42" s="544"/>
      <c r="BI42" s="545"/>
      <c r="BJ42" s="545"/>
      <c r="BK42" s="545"/>
      <c r="BL42" s="545"/>
      <c r="BM42" s="545"/>
      <c r="BN42" s="545"/>
      <c r="BO42" s="545"/>
      <c r="BP42" s="545"/>
      <c r="BQ42" s="545"/>
      <c r="BR42" s="545"/>
      <c r="BS42" s="545"/>
      <c r="BT42" s="545"/>
    </row>
    <row r="43" spans="1:72" ht="12.6" customHeight="1">
      <c r="A43" s="556"/>
      <c r="B43" s="600"/>
      <c r="C43" s="614"/>
      <c r="D43" s="615"/>
      <c r="E43" s="603"/>
      <c r="F43" s="603"/>
      <c r="G43" s="603"/>
      <c r="H43" s="632"/>
      <c r="I43" s="632"/>
      <c r="J43" s="649"/>
      <c r="K43" s="649"/>
      <c r="L43" s="649"/>
      <c r="M43" s="649"/>
      <c r="N43" s="621"/>
      <c r="O43" s="632"/>
      <c r="P43" s="632"/>
      <c r="Q43" s="632"/>
      <c r="R43" s="632"/>
      <c r="S43" s="632"/>
      <c r="T43" s="621"/>
      <c r="U43" s="621"/>
      <c r="V43" s="621"/>
      <c r="W43" s="621"/>
      <c r="X43" s="621"/>
      <c r="Y43" s="633"/>
      <c r="Z43" s="621"/>
      <c r="AA43" s="632"/>
      <c r="AB43" s="633"/>
      <c r="AC43" s="621"/>
      <c r="AD43" s="632"/>
      <c r="AE43" s="633"/>
      <c r="AF43" s="632"/>
      <c r="AG43" s="651"/>
      <c r="AH43" s="631"/>
      <c r="AI43" s="651"/>
      <c r="AJ43" s="651"/>
      <c r="AK43" s="651"/>
      <c r="AL43" s="651"/>
      <c r="AM43" s="651"/>
      <c r="AN43" s="651"/>
      <c r="AO43" s="651"/>
      <c r="AP43" s="651"/>
      <c r="AQ43" s="651"/>
      <c r="AR43" s="651"/>
      <c r="AS43" s="651"/>
      <c r="AT43" s="616"/>
      <c r="AU43" s="616"/>
      <c r="AV43" s="616"/>
      <c r="AW43" s="616"/>
      <c r="AX43" s="616"/>
      <c r="AY43" s="616"/>
      <c r="AZ43" s="604"/>
      <c r="BA43" s="604"/>
      <c r="BB43" s="570"/>
      <c r="BC43" s="571"/>
      <c r="BD43" s="544"/>
      <c r="BE43" s="544"/>
      <c r="BF43" s="544"/>
      <c r="BG43" s="569"/>
      <c r="BH43" s="544"/>
      <c r="BI43" s="545"/>
      <c r="BJ43" s="545"/>
      <c r="BK43" s="545"/>
      <c r="BL43" s="545"/>
      <c r="BM43" s="545"/>
      <c r="BN43" s="545"/>
      <c r="BO43" s="545"/>
      <c r="BP43" s="545"/>
      <c r="BQ43" s="545"/>
      <c r="BR43" s="545"/>
      <c r="BS43" s="545"/>
      <c r="BT43" s="545"/>
    </row>
    <row r="44" spans="1:72" ht="12.6" customHeight="1">
      <c r="A44" s="556"/>
      <c r="B44" s="600"/>
      <c r="C44" s="614"/>
      <c r="D44" s="615"/>
      <c r="E44" s="603"/>
      <c r="F44" s="603"/>
      <c r="G44" s="603"/>
      <c r="H44" s="632"/>
      <c r="I44" s="632" t="s">
        <v>312</v>
      </c>
      <c r="J44" s="649" t="s">
        <v>331</v>
      </c>
      <c r="K44" s="632"/>
      <c r="L44" s="632"/>
      <c r="M44" s="632"/>
      <c r="N44" s="632"/>
      <c r="O44" s="632"/>
      <c r="P44" s="632"/>
      <c r="Q44" s="632"/>
      <c r="R44" s="632"/>
      <c r="S44" s="632"/>
      <c r="T44" s="632"/>
      <c r="U44" s="632"/>
      <c r="V44" s="632"/>
      <c r="W44" s="632"/>
      <c r="X44" s="632"/>
      <c r="Y44" s="632"/>
      <c r="Z44" s="632"/>
      <c r="AA44" s="632"/>
      <c r="AB44" s="632"/>
      <c r="AC44" s="632"/>
      <c r="AD44" s="632"/>
      <c r="AE44" s="632"/>
      <c r="AF44" s="632"/>
      <c r="AG44" s="632"/>
      <c r="AH44" s="632"/>
      <c r="AI44" s="632"/>
      <c r="AJ44" s="632"/>
      <c r="AK44" s="632"/>
      <c r="AL44" s="632"/>
      <c r="AM44" s="632"/>
      <c r="AN44" s="632"/>
      <c r="AO44" s="632"/>
      <c r="AP44" s="632"/>
      <c r="AQ44" s="632"/>
      <c r="AR44" s="632"/>
      <c r="AS44" s="632"/>
      <c r="AT44" s="603"/>
      <c r="AU44" s="603"/>
      <c r="AV44" s="603"/>
      <c r="AW44" s="603"/>
      <c r="AX44" s="603"/>
      <c r="AY44" s="603"/>
      <c r="AZ44" s="604"/>
      <c r="BA44" s="604"/>
      <c r="BB44" s="570"/>
      <c r="BC44" s="571"/>
      <c r="BD44" s="544"/>
      <c r="BE44" s="544"/>
      <c r="BF44" s="544"/>
      <c r="BG44" s="569"/>
      <c r="BH44" s="544"/>
      <c r="BI44" s="545"/>
      <c r="BJ44" s="545"/>
      <c r="BK44" s="545"/>
      <c r="BL44" s="545"/>
      <c r="BM44" s="545"/>
      <c r="BN44" s="545"/>
      <c r="BO44" s="545"/>
      <c r="BP44" s="545"/>
      <c r="BQ44" s="545"/>
      <c r="BR44" s="545"/>
      <c r="BS44" s="545"/>
      <c r="BT44" s="545"/>
    </row>
    <row r="45" spans="1:72" ht="12.6" customHeight="1">
      <c r="A45" s="556"/>
      <c r="B45" s="610"/>
      <c r="C45" s="606"/>
      <c r="D45" s="606"/>
      <c r="E45" s="606"/>
      <c r="F45" s="606"/>
      <c r="G45" s="606"/>
      <c r="H45" s="632"/>
      <c r="I45" s="632"/>
      <c r="J45" s="649"/>
      <c r="K45" s="632"/>
      <c r="L45" s="632"/>
      <c r="M45" s="632"/>
      <c r="N45" s="632"/>
      <c r="O45" s="632"/>
      <c r="P45" s="632"/>
      <c r="Q45" s="632"/>
      <c r="R45" s="632"/>
      <c r="S45" s="632"/>
      <c r="T45" s="632"/>
      <c r="U45" s="632"/>
      <c r="V45" s="632"/>
      <c r="W45" s="632"/>
      <c r="X45" s="632"/>
      <c r="Y45" s="632"/>
      <c r="Z45" s="632"/>
      <c r="AA45" s="632"/>
      <c r="AB45" s="632"/>
      <c r="AC45" s="632"/>
      <c r="AD45" s="632"/>
      <c r="AE45" s="632"/>
      <c r="AF45" s="632"/>
      <c r="AG45" s="632"/>
      <c r="AH45" s="632"/>
      <c r="AI45" s="632"/>
      <c r="AJ45" s="632"/>
      <c r="AK45" s="632"/>
      <c r="AL45" s="632"/>
      <c r="AM45" s="632"/>
      <c r="AN45" s="632"/>
      <c r="AO45" s="632"/>
      <c r="AP45" s="632"/>
      <c r="AQ45" s="632"/>
      <c r="AR45" s="632"/>
      <c r="AS45" s="632"/>
      <c r="AT45" s="603"/>
      <c r="AU45" s="603"/>
      <c r="AV45" s="603"/>
      <c r="AW45" s="603"/>
      <c r="AX45" s="607"/>
      <c r="AY45" s="598"/>
      <c r="AZ45" s="604"/>
      <c r="BA45" s="604"/>
      <c r="BB45" s="542"/>
      <c r="BC45" s="543"/>
      <c r="BD45" s="544"/>
      <c r="BE45" s="545"/>
      <c r="BF45" s="545"/>
      <c r="BG45" s="545"/>
      <c r="BH45" s="545"/>
      <c r="BI45" s="545"/>
      <c r="BJ45" s="545"/>
      <c r="BK45" s="545"/>
      <c r="BL45" s="545"/>
      <c r="BM45" s="545"/>
      <c r="BN45" s="545"/>
      <c r="BO45" s="545"/>
      <c r="BP45" s="545"/>
      <c r="BQ45" s="545"/>
      <c r="BR45" s="545"/>
      <c r="BS45" s="545"/>
      <c r="BT45" s="545"/>
    </row>
    <row r="46" spans="1:72" ht="12.6" customHeight="1">
      <c r="A46" s="556"/>
      <c r="B46" s="610"/>
      <c r="C46" s="606"/>
      <c r="D46" s="606"/>
      <c r="E46" s="606"/>
      <c r="F46" s="606"/>
      <c r="G46" s="606"/>
      <c r="H46" s="632"/>
      <c r="I46" s="632" t="s">
        <v>312</v>
      </c>
      <c r="J46" s="649" t="s">
        <v>332</v>
      </c>
      <c r="K46" s="632"/>
      <c r="L46" s="632"/>
      <c r="M46" s="632"/>
      <c r="N46" s="632"/>
      <c r="O46" s="632"/>
      <c r="P46" s="632"/>
      <c r="Q46" s="632"/>
      <c r="R46" s="632"/>
      <c r="S46" s="632"/>
      <c r="T46" s="632"/>
      <c r="U46" s="632"/>
      <c r="V46" s="632"/>
      <c r="W46" s="632"/>
      <c r="X46" s="632"/>
      <c r="Y46" s="632"/>
      <c r="Z46" s="632"/>
      <c r="AA46" s="632"/>
      <c r="AB46" s="632"/>
      <c r="AC46" s="632"/>
      <c r="AD46" s="632"/>
      <c r="AE46" s="632"/>
      <c r="AF46" s="632"/>
      <c r="AG46" s="632"/>
      <c r="AH46" s="632"/>
      <c r="AI46" s="632"/>
      <c r="AJ46" s="632"/>
      <c r="AK46" s="632"/>
      <c r="AL46" s="632"/>
      <c r="AM46" s="632"/>
      <c r="AN46" s="632"/>
      <c r="AO46" s="632"/>
      <c r="AP46" s="632"/>
      <c r="AQ46" s="632"/>
      <c r="AR46" s="632"/>
      <c r="AS46" s="632"/>
      <c r="AT46" s="603"/>
      <c r="AU46" s="603"/>
      <c r="AV46" s="603"/>
      <c r="AW46" s="603"/>
      <c r="AX46" s="607"/>
      <c r="AY46" s="598"/>
      <c r="AZ46" s="604"/>
      <c r="BA46" s="604"/>
      <c r="BB46" s="542"/>
      <c r="BC46" s="543"/>
      <c r="BD46" s="544"/>
      <c r="BE46" s="545"/>
      <c r="BF46" s="545"/>
      <c r="BG46" s="545"/>
      <c r="BH46" s="545"/>
      <c r="BI46" s="545"/>
      <c r="BJ46" s="545"/>
      <c r="BK46" s="545"/>
      <c r="BL46" s="545"/>
      <c r="BM46" s="545"/>
      <c r="BN46" s="545"/>
      <c r="BO46" s="545"/>
      <c r="BP46" s="545"/>
      <c r="BQ46" s="545"/>
      <c r="BR46" s="545"/>
      <c r="BS46" s="545"/>
      <c r="BT46" s="545"/>
    </row>
    <row r="47" spans="1:72" ht="12.6" customHeight="1">
      <c r="A47" s="556"/>
      <c r="B47" s="610"/>
      <c r="C47" s="606"/>
      <c r="D47" s="606"/>
      <c r="E47" s="606"/>
      <c r="F47" s="606"/>
      <c r="G47" s="606"/>
      <c r="H47" s="631"/>
      <c r="I47" s="637"/>
      <c r="J47" s="637"/>
      <c r="K47" s="637"/>
      <c r="L47" s="637"/>
      <c r="M47" s="637"/>
      <c r="N47" s="637"/>
      <c r="O47" s="637"/>
      <c r="P47" s="637"/>
      <c r="Q47" s="637"/>
      <c r="R47" s="637"/>
      <c r="S47" s="637"/>
      <c r="T47" s="637"/>
      <c r="U47" s="637"/>
      <c r="V47" s="637"/>
      <c r="W47" s="637"/>
      <c r="X47" s="638"/>
      <c r="Y47" s="637"/>
      <c r="Z47" s="637"/>
      <c r="AA47" s="637"/>
      <c r="AB47" s="637"/>
      <c r="AC47" s="639"/>
      <c r="AD47" s="637"/>
      <c r="AE47" s="640"/>
      <c r="AF47" s="640"/>
      <c r="AG47" s="640"/>
      <c r="AH47" s="640"/>
      <c r="AI47" s="637"/>
      <c r="AJ47" s="637"/>
      <c r="AK47" s="637"/>
      <c r="AL47" s="637"/>
      <c r="AM47" s="637"/>
      <c r="AN47" s="641"/>
      <c r="AO47" s="638"/>
      <c r="AP47" s="638"/>
      <c r="AQ47" s="637"/>
      <c r="AR47" s="637"/>
      <c r="AS47" s="632"/>
      <c r="AT47" s="603"/>
      <c r="AU47" s="603"/>
      <c r="AV47" s="603"/>
      <c r="AW47" s="603"/>
      <c r="AX47" s="607"/>
      <c r="AY47" s="598"/>
      <c r="AZ47" s="604"/>
      <c r="BA47" s="604"/>
      <c r="BB47" s="542"/>
      <c r="BC47" s="543"/>
      <c r="BD47" s="544"/>
      <c r="BE47" s="545"/>
      <c r="BF47" s="545"/>
      <c r="BG47" s="545"/>
      <c r="BH47" s="545"/>
      <c r="BI47" s="545"/>
      <c r="BJ47" s="545"/>
      <c r="BK47" s="545"/>
      <c r="BL47" s="545"/>
      <c r="BM47" s="545"/>
      <c r="BN47" s="545"/>
      <c r="BO47" s="545"/>
      <c r="BP47" s="545"/>
      <c r="BQ47" s="545"/>
      <c r="BR47" s="545"/>
      <c r="BS47" s="545"/>
      <c r="BT47" s="545"/>
    </row>
    <row r="48" spans="1:72" ht="12.6" customHeight="1">
      <c r="A48" s="556"/>
      <c r="B48" s="610"/>
      <c r="C48" s="606"/>
      <c r="D48" s="606"/>
      <c r="E48" s="606"/>
      <c r="F48" s="606"/>
      <c r="G48" s="606"/>
      <c r="H48" s="631"/>
      <c r="I48" s="621"/>
      <c r="J48" s="621"/>
      <c r="K48" s="621"/>
      <c r="L48" s="621"/>
      <c r="M48" s="621"/>
      <c r="N48" s="621"/>
      <c r="O48" s="621"/>
      <c r="P48" s="621"/>
      <c r="Q48" s="621"/>
      <c r="R48" s="621"/>
      <c r="S48" s="621"/>
      <c r="T48" s="621"/>
      <c r="U48" s="621"/>
      <c r="V48" s="621"/>
      <c r="W48" s="621"/>
      <c r="X48" s="630"/>
      <c r="Y48" s="621"/>
      <c r="Z48" s="621"/>
      <c r="AA48" s="621"/>
      <c r="AB48" s="621"/>
      <c r="AC48" s="633"/>
      <c r="AD48" s="621"/>
      <c r="AE48" s="632"/>
      <c r="AF48" s="632"/>
      <c r="AG48" s="632"/>
      <c r="AH48" s="632"/>
      <c r="AI48" s="621"/>
      <c r="AJ48" s="621"/>
      <c r="AK48" s="621"/>
      <c r="AL48" s="621"/>
      <c r="AM48" s="621"/>
      <c r="AN48" s="635"/>
      <c r="AO48" s="630"/>
      <c r="AP48" s="630"/>
      <c r="AQ48" s="621"/>
      <c r="AR48" s="621"/>
      <c r="AS48" s="632"/>
      <c r="AT48" s="603"/>
      <c r="AU48" s="603"/>
      <c r="AV48" s="603"/>
      <c r="AW48" s="603"/>
      <c r="AX48" s="607"/>
      <c r="AY48" s="598"/>
      <c r="AZ48" s="604"/>
      <c r="BA48" s="604"/>
      <c r="BB48" s="542"/>
      <c r="BC48" s="543"/>
      <c r="BD48" s="544"/>
      <c r="BE48" s="545"/>
      <c r="BF48" s="545"/>
      <c r="BG48" s="545"/>
      <c r="BH48" s="545"/>
      <c r="BI48" s="545"/>
      <c r="BJ48" s="545"/>
      <c r="BK48" s="545"/>
      <c r="BL48" s="545"/>
      <c r="BM48" s="545"/>
      <c r="BN48" s="545"/>
      <c r="BO48" s="545"/>
      <c r="BP48" s="545"/>
      <c r="BQ48" s="545"/>
      <c r="BR48" s="545"/>
      <c r="BS48" s="545"/>
      <c r="BT48" s="545"/>
    </row>
    <row r="49" spans="1:72" ht="12.6" customHeight="1">
      <c r="A49" s="556"/>
      <c r="B49" s="610"/>
      <c r="C49" s="606"/>
      <c r="D49" s="606"/>
      <c r="E49" s="606"/>
      <c r="F49" s="606"/>
      <c r="G49" s="606"/>
      <c r="H49" s="632"/>
      <c r="I49" s="642" t="s">
        <v>333</v>
      </c>
      <c r="J49" s="649"/>
      <c r="K49" s="632"/>
      <c r="L49" s="632"/>
      <c r="M49" s="632"/>
      <c r="N49" s="632"/>
      <c r="O49" s="632"/>
      <c r="P49" s="632"/>
      <c r="Q49" s="632"/>
      <c r="R49" s="632"/>
      <c r="S49" s="632"/>
      <c r="T49" s="632"/>
      <c r="U49" s="632"/>
      <c r="V49" s="632"/>
      <c r="W49" s="632"/>
      <c r="X49" s="632"/>
      <c r="Y49" s="632"/>
      <c r="Z49" s="632"/>
      <c r="AA49" s="632"/>
      <c r="AB49" s="632"/>
      <c r="AC49" s="632"/>
      <c r="AD49" s="632"/>
      <c r="AE49" s="632"/>
      <c r="AF49" s="632"/>
      <c r="AG49" s="632"/>
      <c r="AH49" s="632"/>
      <c r="AI49" s="632"/>
      <c r="AJ49" s="632"/>
      <c r="AK49" s="632"/>
      <c r="AL49" s="632"/>
      <c r="AM49" s="632"/>
      <c r="AN49" s="632"/>
      <c r="AO49" s="632"/>
      <c r="AP49" s="632"/>
      <c r="AQ49" s="632"/>
      <c r="AR49" s="632"/>
      <c r="AS49" s="632"/>
      <c r="AT49" s="603"/>
      <c r="AU49" s="603"/>
      <c r="AV49" s="603"/>
      <c r="AW49" s="603"/>
      <c r="AX49" s="607"/>
      <c r="AY49" s="598"/>
      <c r="AZ49" s="604"/>
      <c r="BA49" s="604"/>
      <c r="BB49" s="542"/>
      <c r="BC49" s="543"/>
      <c r="BD49" s="544"/>
      <c r="BE49" s="545"/>
      <c r="BF49" s="545"/>
      <c r="BG49" s="545"/>
      <c r="BH49" s="545"/>
      <c r="BI49" s="545"/>
      <c r="BJ49" s="545"/>
      <c r="BK49" s="545"/>
      <c r="BL49" s="545"/>
      <c r="BM49" s="545"/>
      <c r="BN49" s="545"/>
      <c r="BO49" s="545"/>
      <c r="BP49" s="545"/>
      <c r="BQ49" s="545"/>
      <c r="BR49" s="545"/>
      <c r="BS49" s="545"/>
      <c r="BT49" s="545"/>
    </row>
    <row r="50" spans="1:72" ht="12.6" customHeight="1">
      <c r="A50" s="556"/>
      <c r="B50" s="610"/>
      <c r="C50" s="606"/>
      <c r="D50" s="606"/>
      <c r="E50" s="606"/>
      <c r="F50" s="606"/>
      <c r="G50" s="606"/>
      <c r="H50" s="632"/>
      <c r="I50" s="632"/>
      <c r="J50" s="652" t="s">
        <v>334</v>
      </c>
      <c r="K50" s="632"/>
      <c r="L50" s="632"/>
      <c r="M50" s="632"/>
      <c r="N50" s="632"/>
      <c r="O50" s="632"/>
      <c r="P50" s="632"/>
      <c r="Q50" s="632"/>
      <c r="R50" s="632"/>
      <c r="S50" s="632"/>
      <c r="T50" s="632"/>
      <c r="U50" s="632"/>
      <c r="V50" s="632"/>
      <c r="W50" s="632"/>
      <c r="X50" s="632"/>
      <c r="Y50" s="632"/>
      <c r="Z50" s="632"/>
      <c r="AA50" s="632"/>
      <c r="AB50" s="632"/>
      <c r="AC50" s="632"/>
      <c r="AD50" s="632"/>
      <c r="AE50" s="632"/>
      <c r="AF50" s="632"/>
      <c r="AG50" s="632"/>
      <c r="AH50" s="632"/>
      <c r="AI50" s="632"/>
      <c r="AJ50" s="632"/>
      <c r="AK50" s="632"/>
      <c r="AL50" s="632"/>
      <c r="AM50" s="632"/>
      <c r="AN50" s="632"/>
      <c r="AO50" s="632"/>
      <c r="AP50" s="632"/>
      <c r="AQ50" s="632"/>
      <c r="AR50" s="632"/>
      <c r="AS50" s="632"/>
      <c r="AT50" s="603"/>
      <c r="AU50" s="603"/>
      <c r="AV50" s="603"/>
      <c r="AW50" s="603"/>
      <c r="AX50" s="607"/>
      <c r="AY50" s="598"/>
      <c r="AZ50" s="604"/>
      <c r="BA50" s="604"/>
      <c r="BB50" s="542"/>
      <c r="BC50" s="543"/>
      <c r="BD50" s="544"/>
      <c r="BE50" s="545"/>
      <c r="BF50" s="545"/>
      <c r="BG50" s="545"/>
      <c r="BH50" s="545"/>
      <c r="BI50" s="545"/>
      <c r="BJ50" s="545"/>
      <c r="BK50" s="545"/>
      <c r="BL50" s="545"/>
      <c r="BM50" s="545"/>
      <c r="BN50" s="545"/>
      <c r="BO50" s="545"/>
      <c r="BP50" s="545"/>
      <c r="BQ50" s="545"/>
      <c r="BR50" s="545"/>
      <c r="BS50" s="545"/>
      <c r="BT50" s="545"/>
    </row>
    <row r="51" spans="1:72" ht="12.6" customHeight="1">
      <c r="A51" s="556"/>
      <c r="B51" s="600"/>
      <c r="C51" s="614"/>
      <c r="D51" s="615"/>
      <c r="E51" s="603"/>
      <c r="F51" s="603"/>
      <c r="G51" s="603"/>
      <c r="H51" s="632"/>
      <c r="I51" s="632"/>
      <c r="J51" s="649"/>
      <c r="K51" s="649"/>
      <c r="L51" s="649"/>
      <c r="M51" s="649"/>
      <c r="N51" s="621"/>
      <c r="O51" s="632"/>
      <c r="P51" s="632"/>
      <c r="Q51" s="632"/>
      <c r="R51" s="632"/>
      <c r="S51" s="632"/>
      <c r="T51" s="621"/>
      <c r="U51" s="621"/>
      <c r="V51" s="621"/>
      <c r="W51" s="621"/>
      <c r="X51" s="621"/>
      <c r="Y51" s="633"/>
      <c r="Z51" s="621"/>
      <c r="AA51" s="632"/>
      <c r="AB51" s="633"/>
      <c r="AC51" s="621"/>
      <c r="AD51" s="632"/>
      <c r="AE51" s="633"/>
      <c r="AF51" s="632"/>
      <c r="AG51" s="651"/>
      <c r="AH51" s="631"/>
      <c r="AI51" s="651"/>
      <c r="AJ51" s="651"/>
      <c r="AK51" s="651"/>
      <c r="AL51" s="651"/>
      <c r="AM51" s="651"/>
      <c r="AN51" s="651"/>
      <c r="AO51" s="651"/>
      <c r="AP51" s="651"/>
      <c r="AQ51" s="651"/>
      <c r="AR51" s="651"/>
      <c r="AS51" s="651"/>
      <c r="AT51" s="616"/>
      <c r="AU51" s="616"/>
      <c r="AV51" s="616"/>
      <c r="AW51" s="616"/>
      <c r="AX51" s="616"/>
      <c r="AY51" s="616"/>
      <c r="AZ51" s="604"/>
      <c r="BA51" s="604"/>
      <c r="BB51" s="570"/>
      <c r="BC51" s="571"/>
      <c r="BD51" s="544"/>
      <c r="BE51" s="544"/>
      <c r="BF51" s="544"/>
      <c r="BG51" s="569"/>
      <c r="BH51" s="544"/>
      <c r="BI51" s="545"/>
      <c r="BJ51" s="545"/>
      <c r="BK51" s="545"/>
      <c r="BL51" s="545"/>
      <c r="BM51" s="545"/>
      <c r="BN51" s="545"/>
      <c r="BO51" s="545"/>
      <c r="BP51" s="545"/>
      <c r="BQ51" s="545"/>
      <c r="BR51" s="545"/>
      <c r="BS51" s="545"/>
      <c r="BT51" s="545"/>
    </row>
    <row r="52" spans="1:72" ht="12.6" customHeight="1">
      <c r="A52" s="556"/>
      <c r="B52" s="610"/>
      <c r="C52" s="606"/>
      <c r="D52" s="606"/>
      <c r="E52" s="606"/>
      <c r="F52" s="606"/>
      <c r="G52" s="606"/>
      <c r="H52" s="632"/>
      <c r="I52" s="632"/>
      <c r="J52" s="649"/>
      <c r="K52" s="649"/>
      <c r="L52" s="649"/>
      <c r="M52" s="649"/>
      <c r="N52" s="621"/>
      <c r="O52" s="632"/>
      <c r="P52" s="632"/>
      <c r="Q52" s="632"/>
      <c r="R52" s="632"/>
      <c r="S52" s="632"/>
      <c r="T52" s="621"/>
      <c r="U52" s="621"/>
      <c r="V52" s="621"/>
      <c r="W52" s="621"/>
      <c r="X52" s="621"/>
      <c r="Y52" s="633"/>
      <c r="Z52" s="621"/>
      <c r="AA52" s="632"/>
      <c r="AB52" s="633"/>
      <c r="AC52" s="621"/>
      <c r="AD52" s="632"/>
      <c r="AE52" s="633"/>
      <c r="AF52" s="632"/>
      <c r="AG52" s="651"/>
      <c r="AH52" s="631"/>
      <c r="AI52" s="651"/>
      <c r="AJ52" s="651"/>
      <c r="AK52" s="651"/>
      <c r="AL52" s="651"/>
      <c r="AM52" s="651"/>
      <c r="AN52" s="651"/>
      <c r="AO52" s="651"/>
      <c r="AP52" s="651"/>
      <c r="AQ52" s="651"/>
      <c r="AR52" s="651"/>
      <c r="AS52" s="651"/>
      <c r="AT52" s="603"/>
      <c r="AU52" s="603"/>
      <c r="AV52" s="603"/>
      <c r="AW52" s="603"/>
      <c r="AX52" s="607"/>
      <c r="AY52" s="598"/>
      <c r="AZ52" s="604"/>
      <c r="BA52" s="604"/>
      <c r="BB52" s="542"/>
      <c r="BC52" s="543"/>
      <c r="BD52" s="544"/>
      <c r="BE52" s="545"/>
      <c r="BF52" s="545"/>
      <c r="BG52" s="545"/>
      <c r="BH52" s="545"/>
      <c r="BI52" s="545"/>
      <c r="BJ52" s="545"/>
      <c r="BK52" s="545"/>
      <c r="BL52" s="545"/>
      <c r="BM52" s="545"/>
      <c r="BN52" s="545"/>
      <c r="BO52" s="545"/>
      <c r="BP52" s="545"/>
      <c r="BQ52" s="545"/>
      <c r="BR52" s="545"/>
      <c r="BS52" s="545"/>
      <c r="BT52" s="545"/>
    </row>
    <row r="53" spans="1:72" ht="12.6" customHeight="1">
      <c r="A53" s="556"/>
      <c r="B53" s="600"/>
      <c r="C53" s="598"/>
      <c r="D53" s="598"/>
      <c r="E53" s="598"/>
      <c r="F53" s="598"/>
      <c r="G53" s="598"/>
      <c r="H53" s="653"/>
      <c r="I53" s="653"/>
      <c r="J53" s="653"/>
      <c r="K53" s="653"/>
      <c r="L53" s="653"/>
      <c r="M53" s="653"/>
      <c r="N53" s="653"/>
      <c r="O53" s="653"/>
      <c r="P53" s="653"/>
      <c r="Q53" s="653"/>
      <c r="R53" s="653"/>
      <c r="S53" s="653"/>
      <c r="T53" s="653"/>
      <c r="U53" s="653"/>
      <c r="V53" s="653"/>
      <c r="W53" s="653"/>
      <c r="X53" s="653"/>
      <c r="Y53" s="653"/>
      <c r="Z53" s="653"/>
      <c r="AA53" s="653"/>
      <c r="AB53" s="653"/>
      <c r="AC53" s="653"/>
      <c r="AD53" s="653"/>
      <c r="AE53" s="653"/>
      <c r="AF53" s="653"/>
      <c r="AG53" s="653"/>
      <c r="AH53" s="653"/>
      <c r="AI53" s="653"/>
      <c r="AJ53" s="653"/>
      <c r="AK53" s="653"/>
      <c r="AL53" s="653"/>
      <c r="AM53" s="653"/>
      <c r="AN53" s="653"/>
      <c r="AO53" s="653"/>
      <c r="AP53" s="653"/>
      <c r="AQ53" s="653"/>
      <c r="AR53" s="653"/>
      <c r="AS53" s="654"/>
      <c r="AT53" s="607"/>
      <c r="AU53" s="598"/>
      <c r="AV53" s="603"/>
      <c r="AW53" s="603"/>
      <c r="AX53" s="603"/>
      <c r="AY53" s="598"/>
      <c r="AZ53" s="604"/>
      <c r="BA53" s="604"/>
      <c r="BB53" s="542"/>
      <c r="BC53" s="543"/>
      <c r="BD53" s="545"/>
      <c r="BE53" s="545"/>
      <c r="BF53" s="545"/>
      <c r="BG53" s="545"/>
      <c r="BH53" s="545"/>
      <c r="BI53" s="545"/>
      <c r="BJ53" s="545"/>
      <c r="BK53" s="545"/>
      <c r="BL53" s="545"/>
      <c r="BM53" s="545"/>
      <c r="BN53" s="545"/>
      <c r="BO53" s="545"/>
      <c r="BP53" s="545"/>
      <c r="BQ53" s="545"/>
      <c r="BR53" s="545"/>
      <c r="BS53" s="545"/>
      <c r="BT53" s="545"/>
    </row>
    <row r="54" spans="1:72" ht="12.6" customHeight="1">
      <c r="A54" s="556"/>
      <c r="B54" s="600"/>
      <c r="C54" s="614"/>
      <c r="D54" s="615"/>
      <c r="E54" s="603"/>
      <c r="F54" s="603"/>
      <c r="G54" s="603"/>
      <c r="H54" s="653"/>
      <c r="I54" s="653"/>
      <c r="J54" s="653"/>
      <c r="K54" s="653"/>
      <c r="L54" s="653"/>
      <c r="M54" s="653"/>
      <c r="N54" s="653"/>
      <c r="O54" s="653"/>
      <c r="P54" s="653"/>
      <c r="Q54" s="653"/>
      <c r="R54" s="653"/>
      <c r="S54" s="653"/>
      <c r="T54" s="653"/>
      <c r="U54" s="653"/>
      <c r="V54" s="653"/>
      <c r="W54" s="653"/>
      <c r="X54" s="653"/>
      <c r="Y54" s="653"/>
      <c r="Z54" s="653"/>
      <c r="AA54" s="653"/>
      <c r="AB54" s="653"/>
      <c r="AC54" s="653"/>
      <c r="AD54" s="653"/>
      <c r="AE54" s="653"/>
      <c r="AF54" s="653"/>
      <c r="AG54" s="653"/>
      <c r="AH54" s="653"/>
      <c r="AI54" s="653"/>
      <c r="AJ54" s="653"/>
      <c r="AK54" s="653"/>
      <c r="AL54" s="653"/>
      <c r="AM54" s="653"/>
      <c r="AN54" s="653"/>
      <c r="AO54" s="653"/>
      <c r="AP54" s="653"/>
      <c r="AQ54" s="653"/>
      <c r="AR54" s="653"/>
      <c r="AS54" s="653"/>
      <c r="AT54" s="609"/>
      <c r="AU54" s="603"/>
      <c r="AV54" s="603"/>
      <c r="AW54" s="603"/>
      <c r="AX54" s="603"/>
      <c r="AY54" s="603"/>
      <c r="AZ54" s="604"/>
      <c r="BA54" s="604"/>
      <c r="BB54" s="570"/>
      <c r="BC54" s="571"/>
      <c r="BD54" s="544"/>
      <c r="BE54" s="544"/>
      <c r="BF54" s="544"/>
      <c r="BG54" s="569"/>
      <c r="BH54" s="544"/>
      <c r="BI54" s="545"/>
      <c r="BJ54" s="545"/>
      <c r="BK54" s="545"/>
      <c r="BL54" s="545"/>
      <c r="BM54" s="545"/>
      <c r="BN54" s="545"/>
      <c r="BO54" s="545"/>
      <c r="BP54" s="545"/>
      <c r="BQ54" s="545"/>
      <c r="BR54" s="545"/>
      <c r="BS54" s="545"/>
      <c r="BT54" s="545"/>
    </row>
    <row r="55" spans="1:72" ht="12.6" customHeight="1">
      <c r="A55" s="556"/>
      <c r="B55" s="600"/>
      <c r="C55" s="614"/>
      <c r="D55" s="615"/>
      <c r="E55" s="603"/>
      <c r="F55" s="603"/>
      <c r="G55" s="603"/>
      <c r="H55" s="653"/>
      <c r="I55" s="653"/>
      <c r="J55" s="653"/>
      <c r="K55" s="653"/>
      <c r="L55" s="653"/>
      <c r="M55" s="653"/>
      <c r="N55" s="653"/>
      <c r="O55" s="653"/>
      <c r="P55" s="653"/>
      <c r="Q55" s="653"/>
      <c r="R55" s="653"/>
      <c r="S55" s="653"/>
      <c r="T55" s="653"/>
      <c r="U55" s="653"/>
      <c r="V55" s="653"/>
      <c r="W55" s="653"/>
      <c r="X55" s="653"/>
      <c r="Y55" s="653"/>
      <c r="Z55" s="653"/>
      <c r="AA55" s="653"/>
      <c r="AB55" s="653"/>
      <c r="AC55" s="653"/>
      <c r="AD55" s="653"/>
      <c r="AE55" s="653"/>
      <c r="AF55" s="653"/>
      <c r="AG55" s="653"/>
      <c r="AH55" s="653"/>
      <c r="AI55" s="653"/>
      <c r="AJ55" s="653"/>
      <c r="AK55" s="653"/>
      <c r="AL55" s="653"/>
      <c r="AM55" s="653"/>
      <c r="AN55" s="653"/>
      <c r="AO55" s="653"/>
      <c r="AP55" s="653"/>
      <c r="AQ55" s="653"/>
      <c r="AR55" s="653"/>
      <c r="AS55" s="655"/>
      <c r="AT55" s="616"/>
      <c r="AU55" s="616"/>
      <c r="AV55" s="616"/>
      <c r="AW55" s="616"/>
      <c r="AX55" s="616"/>
      <c r="AY55" s="616"/>
      <c r="AZ55" s="604"/>
      <c r="BA55" s="604"/>
      <c r="BB55" s="570"/>
      <c r="BC55" s="571"/>
      <c r="BD55" s="544"/>
      <c r="BE55" s="544"/>
      <c r="BF55" s="544"/>
      <c r="BG55" s="569"/>
      <c r="BH55" s="544"/>
      <c r="BI55" s="545"/>
      <c r="BJ55" s="545"/>
      <c r="BK55" s="545"/>
      <c r="BL55" s="545"/>
      <c r="BM55" s="545"/>
      <c r="BN55" s="545"/>
      <c r="BO55" s="545"/>
      <c r="BP55" s="545"/>
      <c r="BQ55" s="545"/>
      <c r="BR55" s="545"/>
      <c r="BS55" s="545"/>
      <c r="BT55" s="545"/>
    </row>
    <row r="56" spans="1:72" ht="12.6" customHeight="1">
      <c r="A56" s="556"/>
      <c r="B56" s="600"/>
      <c r="C56" s="614"/>
      <c r="D56" s="615"/>
      <c r="E56" s="603"/>
      <c r="F56" s="603"/>
      <c r="G56" s="603"/>
      <c r="H56" s="653"/>
      <c r="I56" s="653"/>
      <c r="J56" s="863"/>
      <c r="K56" s="863"/>
      <c r="L56" s="863"/>
      <c r="M56" s="863"/>
      <c r="N56" s="656"/>
      <c r="O56" s="657"/>
      <c r="P56" s="656"/>
      <c r="Q56" s="653"/>
      <c r="R56" s="653"/>
      <c r="S56" s="653"/>
      <c r="T56" s="654"/>
      <c r="U56" s="654"/>
      <c r="V56" s="654"/>
      <c r="W56" s="654"/>
      <c r="X56" s="654"/>
      <c r="Y56" s="657"/>
      <c r="Z56" s="654"/>
      <c r="AA56" s="653"/>
      <c r="AB56" s="657"/>
      <c r="AC56" s="654"/>
      <c r="AD56" s="653"/>
      <c r="AE56" s="657"/>
      <c r="AF56" s="653"/>
      <c r="AG56" s="653"/>
      <c r="AH56" s="657"/>
      <c r="AI56" s="653"/>
      <c r="AJ56" s="653"/>
      <c r="AK56" s="658"/>
      <c r="AL56" s="653"/>
      <c r="AM56" s="653"/>
      <c r="AN56" s="653"/>
      <c r="AO56" s="653"/>
      <c r="AP56" s="653"/>
      <c r="AQ56" s="653"/>
      <c r="AR56" s="653"/>
      <c r="AS56" s="653"/>
      <c r="AT56" s="603"/>
      <c r="AU56" s="603"/>
      <c r="AV56" s="603"/>
      <c r="AW56" s="603"/>
      <c r="AX56" s="603"/>
      <c r="AY56" s="603"/>
      <c r="AZ56" s="604"/>
      <c r="BA56" s="604"/>
      <c r="BB56" s="570"/>
      <c r="BC56" s="571"/>
      <c r="BD56" s="544"/>
      <c r="BE56" s="544"/>
      <c r="BF56" s="544"/>
      <c r="BG56" s="569"/>
      <c r="BH56" s="544"/>
      <c r="BI56" s="545"/>
      <c r="BJ56" s="545"/>
      <c r="BK56" s="545"/>
      <c r="BL56" s="545"/>
      <c r="BM56" s="545"/>
      <c r="BN56" s="545"/>
      <c r="BO56" s="545"/>
      <c r="BP56" s="545"/>
      <c r="BQ56" s="545"/>
      <c r="BR56" s="545"/>
      <c r="BS56" s="545"/>
      <c r="BT56" s="545"/>
    </row>
    <row r="57" spans="1:72" ht="25.5" customHeight="1">
      <c r="A57" s="556"/>
      <c r="B57" s="610"/>
      <c r="C57" s="606"/>
      <c r="D57" s="606"/>
      <c r="E57" s="606"/>
      <c r="F57" s="606"/>
      <c r="G57" s="606"/>
      <c r="H57" s="659"/>
      <c r="I57" s="659" t="s">
        <v>335</v>
      </c>
      <c r="J57" s="660"/>
      <c r="K57" s="660"/>
      <c r="L57" s="660"/>
      <c r="M57" s="660"/>
      <c r="N57" s="661"/>
      <c r="O57" s="659"/>
      <c r="P57" s="659"/>
      <c r="Q57" s="659"/>
      <c r="R57" s="659"/>
      <c r="S57" s="659"/>
      <c r="T57" s="661"/>
      <c r="U57" s="661"/>
      <c r="V57" s="661"/>
      <c r="W57" s="661"/>
      <c r="X57" s="661"/>
      <c r="Y57" s="662"/>
      <c r="Z57" s="661"/>
      <c r="AA57" s="659"/>
      <c r="AB57" s="662"/>
      <c r="AC57" s="661"/>
      <c r="AD57" s="659"/>
      <c r="AE57" s="662"/>
      <c r="AF57" s="659"/>
      <c r="AG57" s="663"/>
      <c r="AH57" s="664"/>
      <c r="AI57" s="663"/>
      <c r="AJ57" s="663"/>
      <c r="AK57" s="663"/>
      <c r="AL57" s="663"/>
      <c r="AM57" s="663"/>
      <c r="AN57" s="663"/>
      <c r="AO57" s="663"/>
      <c r="AP57" s="663"/>
      <c r="AQ57" s="663"/>
      <c r="AR57" s="663"/>
      <c r="AS57" s="663"/>
      <c r="AT57" s="603"/>
      <c r="AU57" s="603"/>
      <c r="AV57" s="603"/>
      <c r="AW57" s="603"/>
      <c r="AX57" s="607"/>
      <c r="AY57" s="598"/>
      <c r="AZ57" s="604"/>
      <c r="BA57" s="604"/>
      <c r="BB57" s="542"/>
      <c r="BC57" s="543"/>
      <c r="BD57" s="544"/>
      <c r="BE57" s="545"/>
      <c r="BF57" s="545"/>
      <c r="BG57" s="545"/>
      <c r="BH57" s="545"/>
      <c r="BI57" s="545"/>
      <c r="BJ57" s="545"/>
      <c r="BK57" s="545"/>
      <c r="BL57" s="545"/>
      <c r="BM57" s="545"/>
      <c r="BN57" s="545"/>
      <c r="BO57" s="545"/>
      <c r="BP57" s="545"/>
      <c r="BQ57" s="545"/>
      <c r="BR57" s="545"/>
      <c r="BS57" s="545"/>
      <c r="BT57" s="545"/>
    </row>
    <row r="58" spans="1:72" ht="12.6" customHeight="1">
      <c r="A58" s="556"/>
      <c r="B58" s="600"/>
      <c r="C58" s="602"/>
      <c r="D58" s="602"/>
      <c r="E58" s="602"/>
      <c r="F58" s="602"/>
      <c r="G58" s="602"/>
      <c r="H58" s="602"/>
      <c r="I58" s="602"/>
      <c r="J58" s="602"/>
      <c r="K58" s="602"/>
      <c r="L58" s="602"/>
      <c r="M58" s="602"/>
      <c r="N58" s="602"/>
      <c r="O58" s="602"/>
      <c r="P58" s="602"/>
      <c r="Q58" s="602"/>
      <c r="R58" s="602"/>
      <c r="S58" s="602"/>
      <c r="T58" s="602"/>
      <c r="U58" s="602"/>
      <c r="V58" s="602"/>
      <c r="W58" s="602"/>
      <c r="X58" s="602"/>
      <c r="Y58" s="602"/>
      <c r="Z58" s="602"/>
      <c r="AA58" s="602"/>
      <c r="AB58" s="602"/>
      <c r="AC58" s="602"/>
      <c r="AD58" s="602"/>
      <c r="AE58" s="602"/>
      <c r="AF58" s="602"/>
      <c r="AG58" s="602"/>
      <c r="AH58" s="602"/>
      <c r="AI58" s="602"/>
      <c r="AJ58" s="602"/>
      <c r="AK58" s="602"/>
      <c r="AL58" s="602"/>
      <c r="AM58" s="602"/>
      <c r="AN58" s="602"/>
      <c r="AO58" s="602"/>
      <c r="AP58" s="602"/>
      <c r="AQ58" s="602"/>
      <c r="AR58" s="602"/>
      <c r="AS58" s="602"/>
      <c r="AT58" s="602"/>
      <c r="AU58" s="602"/>
      <c r="AV58" s="602"/>
      <c r="AW58" s="602"/>
      <c r="AX58" s="602"/>
      <c r="AY58" s="602"/>
      <c r="AZ58" s="604"/>
      <c r="BA58" s="604"/>
      <c r="BB58" s="570"/>
      <c r="BC58" s="571"/>
      <c r="BD58" s="544"/>
      <c r="BE58" s="544"/>
      <c r="BF58" s="544"/>
      <c r="BG58" s="569"/>
      <c r="BH58" s="544"/>
      <c r="BI58" s="545"/>
      <c r="BJ58" s="545"/>
      <c r="BK58" s="545"/>
      <c r="BL58" s="545"/>
      <c r="BM58" s="545"/>
      <c r="BN58" s="545"/>
      <c r="BO58" s="545"/>
      <c r="BP58" s="545"/>
      <c r="BQ58" s="545"/>
      <c r="BR58" s="545"/>
      <c r="BS58" s="545"/>
      <c r="BT58" s="545"/>
    </row>
    <row r="59" spans="1:72" ht="17.100000000000001" customHeight="1">
      <c r="A59" s="556"/>
      <c r="B59" s="600"/>
      <c r="C59" s="598"/>
      <c r="D59" s="598"/>
      <c r="E59" s="598"/>
      <c r="F59" s="598"/>
      <c r="G59" s="598"/>
      <c r="H59" s="665" t="s">
        <v>336</v>
      </c>
      <c r="I59" s="666"/>
      <c r="J59" s="667"/>
      <c r="K59" s="667"/>
      <c r="L59" s="668"/>
      <c r="M59" s="669" t="s">
        <v>337</v>
      </c>
      <c r="N59" s="670"/>
      <c r="O59" s="666"/>
      <c r="P59" s="666"/>
      <c r="Q59" s="671"/>
      <c r="R59" s="665" t="s">
        <v>339</v>
      </c>
      <c r="S59" s="666"/>
      <c r="T59" s="670"/>
      <c r="U59" s="670"/>
      <c r="V59" s="672"/>
      <c r="W59" s="673" t="s">
        <v>338</v>
      </c>
      <c r="X59" s="670"/>
      <c r="Y59" s="672"/>
      <c r="Z59" s="673"/>
      <c r="AA59" s="673" t="s">
        <v>340</v>
      </c>
      <c r="AB59" s="666"/>
      <c r="AC59" s="670"/>
      <c r="AD59" s="672"/>
      <c r="AE59" s="665" t="s">
        <v>341</v>
      </c>
      <c r="AF59" s="666"/>
      <c r="AG59" s="666"/>
      <c r="AH59" s="672"/>
      <c r="AI59" s="665" t="s">
        <v>342</v>
      </c>
      <c r="AJ59" s="666"/>
      <c r="AK59" s="666"/>
      <c r="AL59" s="666"/>
      <c r="AM59" s="671"/>
      <c r="AN59" s="665" t="s">
        <v>343</v>
      </c>
      <c r="AO59" s="666"/>
      <c r="AP59" s="666"/>
      <c r="AQ59" s="666"/>
      <c r="AR59" s="666"/>
      <c r="AS59" s="671"/>
      <c r="AT59" s="607"/>
      <c r="AU59" s="598"/>
      <c r="AV59" s="603"/>
      <c r="AW59" s="603"/>
      <c r="AX59" s="603"/>
      <c r="AY59" s="598"/>
      <c r="AZ59" s="604"/>
      <c r="BA59" s="604"/>
      <c r="BB59" s="542"/>
      <c r="BC59" s="543"/>
      <c r="BD59" s="545"/>
      <c r="BE59" s="545"/>
      <c r="BF59" s="545"/>
      <c r="BG59" s="545"/>
      <c r="BH59" s="545"/>
      <c r="BI59" s="545"/>
      <c r="BJ59" s="545"/>
      <c r="BK59" s="545"/>
      <c r="BL59" s="545"/>
      <c r="BM59" s="545"/>
      <c r="BN59" s="545"/>
      <c r="BO59" s="545"/>
      <c r="BP59" s="545"/>
      <c r="BQ59" s="545"/>
      <c r="BR59" s="545"/>
      <c r="BS59" s="545"/>
      <c r="BT59" s="545"/>
    </row>
    <row r="60" spans="1:72" ht="16.5" customHeight="1">
      <c r="A60" s="556"/>
      <c r="B60" s="600"/>
      <c r="C60" s="614"/>
      <c r="D60" s="615"/>
      <c r="E60" s="603"/>
      <c r="F60" s="603"/>
      <c r="G60" s="603"/>
      <c r="H60" s="674" t="s">
        <v>346</v>
      </c>
      <c r="I60" s="675"/>
      <c r="J60" s="675"/>
      <c r="K60" s="675"/>
      <c r="L60" s="676"/>
      <c r="M60" s="674" t="s">
        <v>351</v>
      </c>
      <c r="N60" s="675"/>
      <c r="O60" s="675"/>
      <c r="P60" s="675"/>
      <c r="Q60" s="676"/>
      <c r="R60" s="677" t="s">
        <v>352</v>
      </c>
      <c r="S60" s="678"/>
      <c r="T60" s="679"/>
      <c r="U60" s="679"/>
      <c r="V60" s="680"/>
      <c r="W60" s="688">
        <v>45929</v>
      </c>
      <c r="X60" s="679"/>
      <c r="Y60" s="680"/>
      <c r="Z60" s="681"/>
      <c r="AA60" s="688">
        <v>45959</v>
      </c>
      <c r="AB60" s="678"/>
      <c r="AC60" s="679"/>
      <c r="AD60" s="680"/>
      <c r="AE60" s="682"/>
      <c r="AF60" s="683"/>
      <c r="AG60" s="678"/>
      <c r="AH60" s="684" t="s">
        <v>344</v>
      </c>
      <c r="AI60" s="677" t="s">
        <v>345</v>
      </c>
      <c r="AJ60" s="678"/>
      <c r="AK60" s="678"/>
      <c r="AL60" s="678"/>
      <c r="AM60" s="685"/>
      <c r="AN60" s="689"/>
      <c r="AO60" s="678"/>
      <c r="AP60" s="678"/>
      <c r="AQ60" s="678"/>
      <c r="AR60" s="678"/>
      <c r="AS60" s="686"/>
      <c r="AT60" s="609"/>
      <c r="AU60" s="603"/>
      <c r="AV60" s="603"/>
      <c r="AW60" s="603"/>
      <c r="AX60" s="603"/>
      <c r="AY60" s="603"/>
      <c r="AZ60" s="604"/>
      <c r="BA60" s="604"/>
      <c r="BB60" s="570"/>
      <c r="BC60" s="571"/>
      <c r="BD60" s="544"/>
      <c r="BE60" s="544"/>
      <c r="BF60" s="544"/>
      <c r="BG60" s="569"/>
      <c r="BH60" s="544"/>
      <c r="BI60" s="545"/>
      <c r="BJ60" s="545"/>
      <c r="BK60" s="545"/>
      <c r="BL60" s="545"/>
      <c r="BM60" s="545"/>
      <c r="BN60" s="545"/>
      <c r="BO60" s="545"/>
      <c r="BP60" s="545"/>
      <c r="BQ60" s="545"/>
      <c r="BR60" s="545"/>
      <c r="BS60" s="545"/>
      <c r="BT60" s="545"/>
    </row>
    <row r="61" spans="1:72" ht="16.5" customHeight="1">
      <c r="A61" s="556"/>
      <c r="B61" s="600"/>
      <c r="C61" s="614"/>
      <c r="D61" s="615"/>
      <c r="E61" s="603"/>
      <c r="F61" s="603"/>
      <c r="G61" s="603"/>
      <c r="H61" s="674" t="s">
        <v>347</v>
      </c>
      <c r="I61" s="675"/>
      <c r="J61" s="675"/>
      <c r="K61" s="675"/>
      <c r="L61" s="676"/>
      <c r="M61" s="674" t="s">
        <v>353</v>
      </c>
      <c r="N61" s="675"/>
      <c r="O61" s="675"/>
      <c r="P61" s="675"/>
      <c r="Q61" s="676"/>
      <c r="R61" s="677" t="s">
        <v>352</v>
      </c>
      <c r="S61" s="678"/>
      <c r="T61" s="679"/>
      <c r="U61" s="679"/>
      <c r="V61" s="680"/>
      <c r="W61" s="688">
        <v>45929</v>
      </c>
      <c r="X61" s="679"/>
      <c r="Y61" s="680"/>
      <c r="Z61" s="681"/>
      <c r="AA61" s="688">
        <v>45959</v>
      </c>
      <c r="AB61" s="678"/>
      <c r="AC61" s="679"/>
      <c r="AD61" s="680"/>
      <c r="AE61" s="682"/>
      <c r="AF61" s="683"/>
      <c r="AG61" s="678"/>
      <c r="AH61" s="684" t="s">
        <v>344</v>
      </c>
      <c r="AI61" s="677" t="s">
        <v>345</v>
      </c>
      <c r="AJ61" s="678"/>
      <c r="AK61" s="678"/>
      <c r="AL61" s="678"/>
      <c r="AM61" s="685"/>
      <c r="AN61" s="689"/>
      <c r="AO61" s="678"/>
      <c r="AP61" s="678"/>
      <c r="AQ61" s="678"/>
      <c r="AR61" s="678"/>
      <c r="AS61" s="686"/>
      <c r="AT61" s="616"/>
      <c r="AU61" s="616"/>
      <c r="AV61" s="616"/>
      <c r="AW61" s="616"/>
      <c r="AX61" s="616"/>
      <c r="AY61" s="616"/>
      <c r="AZ61" s="604"/>
      <c r="BA61" s="604"/>
      <c r="BB61" s="570"/>
      <c r="BC61" s="571"/>
      <c r="BD61" s="544"/>
      <c r="BE61" s="544"/>
      <c r="BF61" s="544"/>
      <c r="BG61" s="569"/>
      <c r="BH61" s="544"/>
      <c r="BI61" s="545"/>
      <c r="BJ61" s="545"/>
      <c r="BK61" s="545"/>
      <c r="BL61" s="545"/>
      <c r="BM61" s="545"/>
      <c r="BN61" s="545"/>
      <c r="BO61" s="545"/>
      <c r="BP61" s="545"/>
      <c r="BQ61" s="545"/>
      <c r="BR61" s="545"/>
      <c r="BS61" s="545"/>
      <c r="BT61" s="545"/>
    </row>
    <row r="62" spans="1:72" ht="16.5" customHeight="1">
      <c r="A62" s="556"/>
      <c r="B62" s="600"/>
      <c r="C62" s="602"/>
      <c r="D62" s="602"/>
      <c r="E62" s="602"/>
      <c r="F62" s="602"/>
      <c r="G62" s="602"/>
      <c r="H62" s="674" t="s">
        <v>348</v>
      </c>
      <c r="I62" s="675"/>
      <c r="J62" s="675"/>
      <c r="K62" s="675"/>
      <c r="L62" s="676"/>
      <c r="M62" s="674" t="s">
        <v>353</v>
      </c>
      <c r="N62" s="675"/>
      <c r="O62" s="675"/>
      <c r="P62" s="675"/>
      <c r="Q62" s="676"/>
      <c r="R62" s="677" t="s">
        <v>352</v>
      </c>
      <c r="S62" s="678"/>
      <c r="T62" s="679"/>
      <c r="U62" s="679"/>
      <c r="V62" s="680"/>
      <c r="W62" s="688">
        <v>45814</v>
      </c>
      <c r="X62" s="679"/>
      <c r="Y62" s="680"/>
      <c r="Z62" s="681"/>
      <c r="AA62" s="688">
        <v>45844</v>
      </c>
      <c r="AB62" s="678"/>
      <c r="AC62" s="679"/>
      <c r="AD62" s="680"/>
      <c r="AE62" s="682"/>
      <c r="AF62" s="683"/>
      <c r="AG62" s="678"/>
      <c r="AH62" s="684" t="s">
        <v>344</v>
      </c>
      <c r="AI62" s="677" t="s">
        <v>345</v>
      </c>
      <c r="AJ62" s="678"/>
      <c r="AK62" s="678"/>
      <c r="AL62" s="678"/>
      <c r="AM62" s="685"/>
      <c r="AN62" s="689"/>
      <c r="AO62" s="678"/>
      <c r="AP62" s="678"/>
      <c r="AQ62" s="678"/>
      <c r="AR62" s="678"/>
      <c r="AS62" s="686"/>
      <c r="AT62" s="602"/>
      <c r="AU62" s="602"/>
      <c r="AV62" s="602"/>
      <c r="AW62" s="602"/>
      <c r="AX62" s="602"/>
      <c r="AY62" s="602"/>
      <c r="AZ62" s="604"/>
      <c r="BA62" s="604"/>
      <c r="BB62" s="570"/>
      <c r="BC62" s="571"/>
      <c r="BD62" s="544"/>
      <c r="BE62" s="544"/>
      <c r="BF62" s="544"/>
      <c r="BG62" s="569"/>
      <c r="BH62" s="544"/>
      <c r="BI62" s="545"/>
      <c r="BJ62" s="545"/>
      <c r="BK62" s="545"/>
      <c r="BL62" s="545"/>
      <c r="BM62" s="545"/>
      <c r="BN62" s="545"/>
      <c r="BO62" s="545"/>
      <c r="BP62" s="545"/>
      <c r="BQ62" s="545"/>
      <c r="BR62" s="545"/>
      <c r="BS62" s="545"/>
      <c r="BT62" s="545"/>
    </row>
    <row r="63" spans="1:72" ht="16.5" customHeight="1">
      <c r="A63" s="556"/>
      <c r="B63" s="600"/>
      <c r="C63" s="602"/>
      <c r="D63" s="602"/>
      <c r="E63" s="602"/>
      <c r="F63" s="602"/>
      <c r="G63" s="602"/>
      <c r="H63" s="674" t="s">
        <v>349</v>
      </c>
      <c r="I63" s="675"/>
      <c r="J63" s="675"/>
      <c r="K63" s="675"/>
      <c r="L63" s="676"/>
      <c r="M63" s="687" t="s">
        <v>354</v>
      </c>
      <c r="N63" s="675"/>
      <c r="O63" s="675"/>
      <c r="P63" s="675"/>
      <c r="Q63" s="676"/>
      <c r="R63" s="677" t="s">
        <v>352</v>
      </c>
      <c r="S63" s="678"/>
      <c r="T63" s="679"/>
      <c r="U63" s="679"/>
      <c r="V63" s="680"/>
      <c r="W63" s="688">
        <v>45216</v>
      </c>
      <c r="X63" s="679"/>
      <c r="Y63" s="680"/>
      <c r="Z63" s="681"/>
      <c r="AA63" s="688">
        <v>45215</v>
      </c>
      <c r="AB63" s="678"/>
      <c r="AC63" s="679"/>
      <c r="AD63" s="680"/>
      <c r="AE63" s="682"/>
      <c r="AF63" s="683"/>
      <c r="AG63" s="678"/>
      <c r="AH63" s="684" t="s">
        <v>344</v>
      </c>
      <c r="AI63" s="677" t="s">
        <v>345</v>
      </c>
      <c r="AJ63" s="678"/>
      <c r="AK63" s="678"/>
      <c r="AL63" s="678"/>
      <c r="AM63" s="685"/>
      <c r="AN63" s="689"/>
      <c r="AO63" s="678"/>
      <c r="AP63" s="678"/>
      <c r="AQ63" s="678"/>
      <c r="AR63" s="678"/>
      <c r="AS63" s="686"/>
      <c r="AT63" s="602"/>
      <c r="AU63" s="602"/>
      <c r="AV63" s="602"/>
      <c r="AW63" s="602"/>
      <c r="AX63" s="602"/>
      <c r="AY63" s="602"/>
      <c r="AZ63" s="604"/>
      <c r="BA63" s="604"/>
      <c r="BB63" s="542"/>
      <c r="BC63" s="543"/>
      <c r="BD63" s="545"/>
      <c r="BE63" s="545"/>
      <c r="BF63" s="545"/>
      <c r="BG63" s="545"/>
      <c r="BH63" s="545"/>
      <c r="BI63" s="545"/>
      <c r="BJ63" s="545"/>
      <c r="BK63" s="545"/>
      <c r="BL63" s="545"/>
      <c r="BM63" s="545"/>
      <c r="BN63" s="545"/>
      <c r="BO63" s="545"/>
      <c r="BP63" s="545"/>
      <c r="BQ63" s="545"/>
      <c r="BR63" s="545"/>
      <c r="BS63" s="545"/>
      <c r="BT63" s="545"/>
    </row>
    <row r="64" spans="1:72" ht="16.5" customHeight="1">
      <c r="A64" s="556"/>
      <c r="B64" s="600"/>
      <c r="C64" s="602"/>
      <c r="D64" s="602"/>
      <c r="E64" s="602"/>
      <c r="F64" s="602"/>
      <c r="G64" s="602"/>
      <c r="H64" s="674" t="s">
        <v>350</v>
      </c>
      <c r="I64" s="675"/>
      <c r="J64" s="675"/>
      <c r="K64" s="675"/>
      <c r="L64" s="676"/>
      <c r="M64" s="687" t="s">
        <v>355</v>
      </c>
      <c r="N64" s="675"/>
      <c r="O64" s="675"/>
      <c r="P64" s="675"/>
      <c r="Q64" s="676"/>
      <c r="R64" s="677" t="s">
        <v>352</v>
      </c>
      <c r="S64" s="678"/>
      <c r="T64" s="679"/>
      <c r="U64" s="679"/>
      <c r="V64" s="680"/>
      <c r="W64" s="688">
        <v>45193</v>
      </c>
      <c r="X64" s="679"/>
      <c r="Y64" s="680"/>
      <c r="Z64" s="681"/>
      <c r="AA64" s="688">
        <v>45223</v>
      </c>
      <c r="AB64" s="678"/>
      <c r="AC64" s="679"/>
      <c r="AD64" s="680"/>
      <c r="AE64" s="682"/>
      <c r="AF64" s="683"/>
      <c r="AG64" s="678"/>
      <c r="AH64" s="684" t="s">
        <v>344</v>
      </c>
      <c r="AI64" s="677" t="s">
        <v>345</v>
      </c>
      <c r="AJ64" s="678"/>
      <c r="AK64" s="678"/>
      <c r="AL64" s="678"/>
      <c r="AM64" s="685"/>
      <c r="AN64" s="689"/>
      <c r="AO64" s="678"/>
      <c r="AP64" s="678"/>
      <c r="AQ64" s="678"/>
      <c r="AR64" s="678"/>
      <c r="AS64" s="686"/>
      <c r="AT64" s="602"/>
      <c r="AU64" s="602"/>
      <c r="AV64" s="602"/>
      <c r="AW64" s="602"/>
      <c r="AX64" s="602"/>
      <c r="AY64" s="602"/>
      <c r="AZ64" s="604"/>
      <c r="BA64" s="604"/>
      <c r="BB64" s="570"/>
      <c r="BC64" s="571"/>
      <c r="BD64" s="544"/>
      <c r="BE64" s="544"/>
      <c r="BF64" s="544"/>
      <c r="BG64" s="569"/>
      <c r="BH64" s="544"/>
      <c r="BI64" s="545"/>
      <c r="BJ64" s="545"/>
      <c r="BK64" s="545"/>
      <c r="BL64" s="545"/>
      <c r="BM64" s="545"/>
      <c r="BN64" s="545"/>
      <c r="BO64" s="545"/>
      <c r="BP64" s="545"/>
      <c r="BQ64" s="545"/>
      <c r="BR64" s="545"/>
      <c r="BS64" s="545"/>
      <c r="BT64" s="545"/>
    </row>
    <row r="65" spans="1:72" ht="12.6" customHeight="1">
      <c r="A65" s="556"/>
      <c r="B65" s="600"/>
      <c r="C65" s="602"/>
      <c r="D65" s="602"/>
      <c r="E65" s="602"/>
      <c r="F65" s="602"/>
      <c r="G65" s="602"/>
      <c r="H65" s="602"/>
      <c r="I65" s="602"/>
      <c r="J65" s="602"/>
      <c r="K65" s="602"/>
      <c r="L65" s="602"/>
      <c r="M65" s="602"/>
      <c r="N65" s="602"/>
      <c r="O65" s="602"/>
      <c r="P65" s="602"/>
      <c r="Q65" s="602"/>
      <c r="R65" s="602"/>
      <c r="S65" s="602"/>
      <c r="T65" s="602"/>
      <c r="U65" s="602"/>
      <c r="V65" s="602"/>
      <c r="W65" s="602"/>
      <c r="X65" s="602"/>
      <c r="Y65" s="602"/>
      <c r="Z65" s="602"/>
      <c r="AA65" s="602"/>
      <c r="AB65" s="602"/>
      <c r="AC65" s="602"/>
      <c r="AD65" s="602"/>
      <c r="AE65" s="602"/>
      <c r="AF65" s="602"/>
      <c r="AG65" s="602"/>
      <c r="AH65" s="602"/>
      <c r="AI65" s="602"/>
      <c r="AJ65" s="602"/>
      <c r="AK65" s="602"/>
      <c r="AL65" s="602"/>
      <c r="AM65" s="602"/>
      <c r="AN65" s="602"/>
      <c r="AO65" s="602"/>
      <c r="AP65" s="602"/>
      <c r="AQ65" s="602"/>
      <c r="AR65" s="602"/>
      <c r="AS65" s="602"/>
      <c r="AT65" s="602"/>
      <c r="AU65" s="602"/>
      <c r="AV65" s="602"/>
      <c r="AW65" s="602"/>
      <c r="AX65" s="602"/>
      <c r="AY65" s="602"/>
      <c r="AZ65" s="604"/>
      <c r="BA65" s="604"/>
      <c r="BB65" s="570"/>
      <c r="BC65" s="571"/>
      <c r="BD65" s="544"/>
      <c r="BE65" s="544"/>
      <c r="BF65" s="544"/>
      <c r="BG65" s="569"/>
      <c r="BH65" s="544"/>
      <c r="BI65" s="545"/>
      <c r="BJ65" s="545"/>
      <c r="BK65" s="545"/>
      <c r="BL65" s="545"/>
      <c r="BM65" s="545"/>
      <c r="BN65" s="545"/>
      <c r="BO65" s="545"/>
      <c r="BP65" s="545"/>
      <c r="BQ65" s="545"/>
      <c r="BR65" s="545"/>
      <c r="BS65" s="545"/>
      <c r="BT65" s="545"/>
    </row>
    <row r="66" spans="1:72" ht="12.6" customHeight="1">
      <c r="A66" s="556"/>
      <c r="B66" s="610"/>
      <c r="C66" s="602"/>
      <c r="D66" s="602"/>
      <c r="E66" s="602"/>
      <c r="F66" s="602"/>
      <c r="G66" s="602"/>
      <c r="H66" s="602"/>
      <c r="I66" s="602"/>
      <c r="J66" s="602"/>
      <c r="K66" s="602"/>
      <c r="L66" s="602"/>
      <c r="M66" s="602"/>
      <c r="N66" s="602"/>
      <c r="O66" s="602"/>
      <c r="P66" s="602"/>
      <c r="Q66" s="602"/>
      <c r="R66" s="602"/>
      <c r="S66" s="602"/>
      <c r="T66" s="602"/>
      <c r="U66" s="602"/>
      <c r="V66" s="602"/>
      <c r="W66" s="602"/>
      <c r="X66" s="602"/>
      <c r="Y66" s="602"/>
      <c r="Z66" s="602"/>
      <c r="AA66" s="602"/>
      <c r="AB66" s="602"/>
      <c r="AC66" s="602"/>
      <c r="AD66" s="602"/>
      <c r="AE66" s="602"/>
      <c r="AF66" s="602"/>
      <c r="AG66" s="602"/>
      <c r="AH66" s="602"/>
      <c r="AI66" s="602"/>
      <c r="AJ66" s="602"/>
      <c r="AK66" s="602"/>
      <c r="AL66" s="602"/>
      <c r="AM66" s="602"/>
      <c r="AN66" s="602"/>
      <c r="AO66" s="602"/>
      <c r="AP66" s="602"/>
      <c r="AQ66" s="602"/>
      <c r="AR66" s="602"/>
      <c r="AS66" s="602"/>
      <c r="AT66" s="602"/>
      <c r="AU66" s="602"/>
      <c r="AV66" s="602"/>
      <c r="AW66" s="602"/>
      <c r="AX66" s="602"/>
      <c r="AY66" s="602"/>
      <c r="AZ66" s="604"/>
      <c r="BA66" s="604"/>
      <c r="BB66" s="542"/>
      <c r="BC66" s="543"/>
      <c r="BD66" s="544"/>
      <c r="BE66" s="545"/>
      <c r="BF66" s="545"/>
      <c r="BG66" s="545"/>
      <c r="BH66" s="545"/>
      <c r="BI66" s="545"/>
      <c r="BJ66" s="545"/>
      <c r="BK66" s="545"/>
      <c r="BL66" s="545"/>
      <c r="BM66" s="545"/>
      <c r="BN66" s="545"/>
      <c r="BO66" s="545"/>
      <c r="BP66" s="545"/>
      <c r="BQ66" s="545"/>
      <c r="BR66" s="545"/>
      <c r="BS66" s="545"/>
      <c r="BT66" s="545"/>
    </row>
    <row r="67" spans="1:72" ht="12.6" customHeight="1">
      <c r="A67" s="556"/>
      <c r="B67" s="690"/>
      <c r="C67" s="691"/>
      <c r="D67" s="691"/>
      <c r="E67" s="691"/>
      <c r="F67" s="691"/>
      <c r="G67" s="691"/>
      <c r="H67" s="691"/>
      <c r="I67" s="691"/>
      <c r="J67" s="691"/>
      <c r="K67" s="691"/>
      <c r="L67" s="691"/>
      <c r="M67" s="691"/>
      <c r="N67" s="691"/>
      <c r="O67" s="691"/>
      <c r="P67" s="691"/>
      <c r="Q67" s="691"/>
      <c r="R67" s="691"/>
      <c r="S67" s="691"/>
      <c r="T67" s="691"/>
      <c r="U67" s="691"/>
      <c r="V67" s="691"/>
      <c r="W67" s="691"/>
      <c r="X67" s="691"/>
      <c r="Y67" s="691"/>
      <c r="Z67" s="691"/>
      <c r="AA67" s="691"/>
      <c r="AB67" s="691"/>
      <c r="AC67" s="691"/>
      <c r="AD67" s="691"/>
      <c r="AE67" s="691"/>
      <c r="AF67" s="691"/>
      <c r="AG67" s="694"/>
      <c r="AH67" s="694"/>
      <c r="AI67" s="694"/>
      <c r="AJ67" s="694"/>
      <c r="AK67" s="694"/>
      <c r="AL67" s="694"/>
      <c r="AM67" s="694"/>
      <c r="AN67" s="694"/>
      <c r="AO67" s="694"/>
      <c r="AP67" s="694"/>
      <c r="AQ67" s="694"/>
      <c r="AR67" s="694"/>
      <c r="AS67" s="694"/>
      <c r="AT67" s="694"/>
      <c r="AU67" s="694"/>
      <c r="AV67" s="691"/>
      <c r="AW67" s="691"/>
      <c r="AX67" s="691"/>
      <c r="AY67" s="691"/>
      <c r="AZ67" s="692"/>
      <c r="BA67" s="604"/>
      <c r="BB67" s="542"/>
      <c r="BC67" s="543"/>
      <c r="BD67" s="544"/>
      <c r="BE67" s="545"/>
      <c r="BF67" s="545"/>
      <c r="BG67" s="545"/>
      <c r="BH67" s="545"/>
      <c r="BI67" s="545"/>
      <c r="BJ67" s="545"/>
      <c r="BK67" s="545"/>
      <c r="BL67" s="545"/>
      <c r="BM67" s="545"/>
      <c r="BN67" s="545"/>
      <c r="BO67" s="545"/>
      <c r="BP67" s="545"/>
      <c r="BQ67" s="545"/>
      <c r="BR67" s="545"/>
      <c r="BS67" s="545"/>
      <c r="BT67" s="545"/>
    </row>
    <row r="68" spans="1:72" ht="12.6" customHeight="1">
      <c r="A68" s="556"/>
      <c r="B68" s="693"/>
      <c r="C68" s="691"/>
      <c r="D68" s="691"/>
      <c r="E68" s="691"/>
      <c r="F68" s="691"/>
      <c r="G68" s="691"/>
      <c r="H68" s="691"/>
      <c r="I68" s="691"/>
      <c r="J68" s="691"/>
      <c r="K68" s="691"/>
      <c r="L68" s="691"/>
      <c r="M68" s="691"/>
      <c r="N68" s="691"/>
      <c r="O68" s="691"/>
      <c r="P68" s="691"/>
      <c r="Q68" s="691"/>
      <c r="R68" s="691"/>
      <c r="S68" s="691"/>
      <c r="T68" s="691"/>
      <c r="U68" s="691"/>
      <c r="V68" s="691"/>
      <c r="W68" s="691"/>
      <c r="X68" s="691"/>
      <c r="Y68" s="691"/>
      <c r="Z68" s="691"/>
      <c r="AA68" s="691"/>
      <c r="AB68" s="691"/>
      <c r="AC68" s="691"/>
      <c r="AD68" s="691"/>
      <c r="AE68" s="691"/>
      <c r="AF68" s="691"/>
      <c r="AG68" s="694"/>
      <c r="AH68" s="694"/>
      <c r="AI68" s="694"/>
      <c r="AJ68" s="694"/>
      <c r="AK68" s="694"/>
      <c r="AL68" s="694"/>
      <c r="AM68" s="694"/>
      <c r="AN68" s="694"/>
      <c r="AO68" s="694"/>
      <c r="AP68" s="694"/>
      <c r="AQ68" s="694"/>
      <c r="AR68" s="694"/>
      <c r="AS68" s="694"/>
      <c r="AT68" s="694"/>
      <c r="AU68" s="694"/>
      <c r="AV68" s="691"/>
      <c r="AW68" s="691"/>
      <c r="AX68" s="691"/>
      <c r="AY68" s="691"/>
      <c r="AZ68" s="692"/>
      <c r="BA68" s="604"/>
      <c r="BB68" s="542"/>
      <c r="BC68" s="543"/>
      <c r="BD68" s="545"/>
      <c r="BE68" s="545"/>
      <c r="BF68" s="545"/>
      <c r="BG68" s="545"/>
      <c r="BH68" s="545"/>
      <c r="BI68" s="545"/>
      <c r="BJ68" s="545"/>
      <c r="BK68" s="545"/>
      <c r="BL68" s="545"/>
      <c r="BM68" s="545"/>
      <c r="BN68" s="545"/>
      <c r="BO68" s="545"/>
      <c r="BP68" s="545"/>
      <c r="BQ68" s="545"/>
      <c r="BR68" s="545"/>
      <c r="BS68" s="545"/>
      <c r="BT68" s="545"/>
    </row>
    <row r="69" spans="1:72" ht="12.6" customHeight="1">
      <c r="A69" s="556"/>
      <c r="B69" s="693"/>
      <c r="C69" s="691"/>
      <c r="D69" s="691"/>
      <c r="E69" s="691"/>
      <c r="F69" s="691"/>
      <c r="G69" s="691"/>
      <c r="H69" s="691"/>
      <c r="I69" s="691"/>
      <c r="J69" s="691"/>
      <c r="K69" s="691"/>
      <c r="L69" s="691"/>
      <c r="M69" s="691"/>
      <c r="N69" s="691"/>
      <c r="O69" s="691"/>
      <c r="P69" s="691"/>
      <c r="Q69" s="691"/>
      <c r="R69" s="691"/>
      <c r="S69" s="691"/>
      <c r="T69" s="691"/>
      <c r="U69" s="691"/>
      <c r="V69" s="691"/>
      <c r="W69" s="691"/>
      <c r="X69" s="691"/>
      <c r="Y69" s="691"/>
      <c r="Z69" s="691"/>
      <c r="AA69" s="691"/>
      <c r="AB69" s="691"/>
      <c r="AC69" s="691"/>
      <c r="AD69" s="691"/>
      <c r="AE69" s="691"/>
      <c r="AF69" s="691"/>
      <c r="AG69" s="694"/>
      <c r="AH69" s="694"/>
      <c r="AI69" s="694"/>
      <c r="AJ69" s="694"/>
      <c r="AK69" s="694"/>
      <c r="AL69" s="694"/>
      <c r="AM69" s="696" t="s">
        <v>356</v>
      </c>
      <c r="AN69" s="695"/>
      <c r="AO69" s="694"/>
      <c r="AP69" s="694"/>
      <c r="AQ69" s="694"/>
      <c r="AR69" s="694"/>
      <c r="AS69" s="694"/>
      <c r="AT69" s="694"/>
      <c r="AU69" s="694"/>
      <c r="AV69" s="691"/>
      <c r="AW69" s="691"/>
      <c r="AX69" s="691"/>
      <c r="AY69" s="691"/>
      <c r="AZ69" s="692"/>
      <c r="BA69" s="604"/>
      <c r="BB69" s="570"/>
      <c r="BC69" s="571"/>
      <c r="BD69" s="544"/>
      <c r="BE69" s="544"/>
      <c r="BF69" s="544"/>
      <c r="BG69" s="569"/>
      <c r="BH69" s="544"/>
      <c r="BI69" s="545"/>
      <c r="BJ69" s="545"/>
      <c r="BK69" s="545"/>
      <c r="BL69" s="545"/>
      <c r="BM69" s="545"/>
      <c r="BN69" s="545"/>
      <c r="BO69" s="545"/>
      <c r="BP69" s="545"/>
      <c r="BQ69" s="545"/>
      <c r="BR69" s="545"/>
      <c r="BS69" s="545"/>
      <c r="BT69" s="545"/>
    </row>
    <row r="70" spans="1:72" ht="12.6" customHeight="1">
      <c r="A70" s="556"/>
      <c r="B70" s="693"/>
      <c r="C70" s="691"/>
      <c r="D70" s="691"/>
      <c r="E70" s="691"/>
      <c r="F70" s="691"/>
      <c r="G70" s="691"/>
      <c r="H70" s="691"/>
      <c r="I70" s="691"/>
      <c r="J70" s="691"/>
      <c r="K70" s="691"/>
      <c r="L70" s="691"/>
      <c r="M70" s="691"/>
      <c r="N70" s="691"/>
      <c r="O70" s="699" t="s">
        <v>357</v>
      </c>
      <c r="P70" s="699"/>
      <c r="Q70" s="699"/>
      <c r="R70" s="699"/>
      <c r="S70" s="699"/>
      <c r="T70" s="699"/>
      <c r="U70" s="699"/>
      <c r="V70" s="699" t="s">
        <v>360</v>
      </c>
      <c r="W70" s="699"/>
      <c r="X70" s="699"/>
      <c r="Y70" s="699"/>
      <c r="Z70" s="699"/>
      <c r="AA70" s="699" t="s">
        <v>363</v>
      </c>
      <c r="AB70" s="699"/>
      <c r="AC70" s="698"/>
      <c r="AD70" s="697"/>
      <c r="AE70" s="697"/>
      <c r="AF70" s="697"/>
      <c r="AG70" s="694"/>
      <c r="AH70" s="694"/>
      <c r="AI70" s="694"/>
      <c r="AJ70" s="694"/>
      <c r="AK70" s="694"/>
      <c r="AL70" s="694"/>
      <c r="AM70" s="694"/>
      <c r="AN70" s="694"/>
      <c r="AO70" s="694"/>
      <c r="AP70" s="694"/>
      <c r="AQ70" s="694"/>
      <c r="AR70" s="694"/>
      <c r="AS70" s="694"/>
      <c r="AT70" s="694"/>
      <c r="AU70" s="694"/>
      <c r="AV70" s="691"/>
      <c r="AW70" s="691"/>
      <c r="AX70" s="691"/>
      <c r="AY70" s="691"/>
      <c r="AZ70" s="692"/>
      <c r="BA70" s="604"/>
      <c r="BB70" s="570"/>
      <c r="BC70" s="571"/>
      <c r="BD70" s="544"/>
      <c r="BE70" s="544"/>
      <c r="BF70" s="544"/>
      <c r="BG70" s="569"/>
      <c r="BH70" s="544"/>
      <c r="BI70" s="545"/>
      <c r="BJ70" s="545"/>
      <c r="BK70" s="545"/>
      <c r="BL70" s="545"/>
      <c r="BM70" s="545"/>
      <c r="BN70" s="545"/>
      <c r="BO70" s="545"/>
      <c r="BP70" s="545"/>
      <c r="BQ70" s="545"/>
      <c r="BR70" s="545"/>
      <c r="BS70" s="545"/>
      <c r="BT70" s="545"/>
    </row>
    <row r="71" spans="1:72" ht="12.6" customHeight="1">
      <c r="A71" s="556"/>
      <c r="B71" s="693"/>
      <c r="C71" s="691"/>
      <c r="D71" s="691"/>
      <c r="E71" s="691"/>
      <c r="F71" s="691"/>
      <c r="G71" s="691"/>
      <c r="H71" s="691"/>
      <c r="I71" s="691"/>
      <c r="J71" s="691"/>
      <c r="K71" s="691"/>
      <c r="L71" s="691"/>
      <c r="M71" s="691"/>
      <c r="N71" s="691"/>
      <c r="O71" s="699" t="s">
        <v>358</v>
      </c>
      <c r="P71" s="699"/>
      <c r="Q71" s="699"/>
      <c r="R71" s="699"/>
      <c r="S71" s="699"/>
      <c r="T71" s="699"/>
      <c r="U71" s="699"/>
      <c r="V71" s="699" t="s">
        <v>361</v>
      </c>
      <c r="W71" s="699"/>
      <c r="X71" s="699"/>
      <c r="Y71" s="699"/>
      <c r="Z71" s="699"/>
      <c r="AA71" s="699" t="s">
        <v>364</v>
      </c>
      <c r="AB71" s="699"/>
      <c r="AC71" s="698"/>
      <c r="AD71" s="697"/>
      <c r="AE71" s="697"/>
      <c r="AF71" s="697"/>
      <c r="AG71" s="694"/>
      <c r="AH71" s="694"/>
      <c r="AI71" s="694"/>
      <c r="AJ71" s="694"/>
      <c r="AK71" s="694"/>
      <c r="AL71" s="694"/>
      <c r="AM71" s="694"/>
      <c r="AN71" s="694"/>
      <c r="AO71" s="694"/>
      <c r="AP71" s="694"/>
      <c r="AQ71" s="694"/>
      <c r="AR71" s="694"/>
      <c r="AS71" s="694"/>
      <c r="AT71" s="694"/>
      <c r="AU71" s="694"/>
      <c r="AV71" s="691"/>
      <c r="AW71" s="691"/>
      <c r="AX71" s="691"/>
      <c r="AY71" s="691"/>
      <c r="AZ71" s="692"/>
      <c r="BA71" s="604"/>
      <c r="BB71" s="570"/>
      <c r="BC71" s="571"/>
      <c r="BD71" s="544"/>
      <c r="BE71" s="544"/>
      <c r="BF71" s="544"/>
      <c r="BG71" s="569"/>
      <c r="BH71" s="544"/>
      <c r="BI71" s="545"/>
      <c r="BJ71" s="545"/>
      <c r="BK71" s="545"/>
      <c r="BL71" s="545"/>
      <c r="BM71" s="545"/>
      <c r="BN71" s="545"/>
      <c r="BO71" s="545"/>
      <c r="BP71" s="545"/>
      <c r="BQ71" s="545"/>
      <c r="BR71" s="545"/>
      <c r="BS71" s="545"/>
      <c r="BT71" s="545"/>
    </row>
    <row r="72" spans="1:72" ht="12.6" customHeight="1">
      <c r="A72" s="556"/>
      <c r="B72" s="693"/>
      <c r="C72" s="691"/>
      <c r="D72" s="691"/>
      <c r="E72" s="691"/>
      <c r="F72" s="691"/>
      <c r="G72" s="691"/>
      <c r="H72" s="691"/>
      <c r="I72" s="691"/>
      <c r="J72" s="691"/>
      <c r="K72" s="691"/>
      <c r="L72" s="691"/>
      <c r="M72" s="691"/>
      <c r="N72" s="691"/>
      <c r="O72" s="699" t="s">
        <v>359</v>
      </c>
      <c r="P72" s="699"/>
      <c r="Q72" s="699"/>
      <c r="R72" s="699"/>
      <c r="S72" s="699"/>
      <c r="T72" s="699"/>
      <c r="U72" s="699"/>
      <c r="V72" s="699" t="s">
        <v>362</v>
      </c>
      <c r="W72" s="699"/>
      <c r="X72" s="699"/>
      <c r="Y72" s="699"/>
      <c r="Z72" s="699"/>
      <c r="AA72" s="699" t="s">
        <v>365</v>
      </c>
      <c r="AB72" s="699"/>
      <c r="AC72" s="698"/>
      <c r="AD72" s="697"/>
      <c r="AE72" s="697"/>
      <c r="AF72" s="697"/>
      <c r="AG72" s="694"/>
      <c r="AH72" s="694"/>
      <c r="AI72" s="694"/>
      <c r="AJ72" s="694"/>
      <c r="AK72" s="694"/>
      <c r="AL72" s="694"/>
      <c r="AM72" s="694"/>
      <c r="AN72" s="694"/>
      <c r="AO72" s="694"/>
      <c r="AP72" s="694"/>
      <c r="AQ72" s="694"/>
      <c r="AR72" s="694"/>
      <c r="AS72" s="694"/>
      <c r="AT72" s="694"/>
      <c r="AU72" s="694"/>
      <c r="AV72" s="691"/>
      <c r="AW72" s="691"/>
      <c r="AX72" s="691"/>
      <c r="AY72" s="691"/>
      <c r="AZ72" s="692"/>
      <c r="BA72" s="604"/>
      <c r="BB72" s="570"/>
      <c r="BC72" s="571"/>
      <c r="BD72" s="544"/>
      <c r="BE72" s="544"/>
      <c r="BF72" s="544"/>
      <c r="BG72" s="569"/>
      <c r="BH72" s="544"/>
      <c r="BI72" s="545"/>
      <c r="BJ72" s="545"/>
      <c r="BK72" s="545"/>
      <c r="BL72" s="545"/>
      <c r="BM72" s="545"/>
      <c r="BN72" s="545"/>
      <c r="BO72" s="545"/>
      <c r="BP72" s="545"/>
      <c r="BQ72" s="545"/>
      <c r="BR72" s="545"/>
      <c r="BS72" s="545"/>
      <c r="BT72" s="545"/>
    </row>
    <row r="73" spans="1:72" ht="12.6" customHeight="1">
      <c r="A73" s="556"/>
      <c r="B73" s="693"/>
      <c r="C73" s="691"/>
      <c r="D73" s="691"/>
      <c r="E73" s="691"/>
      <c r="F73" s="691"/>
      <c r="G73" s="691"/>
      <c r="H73" s="691"/>
      <c r="I73" s="691"/>
      <c r="J73" s="691"/>
      <c r="K73" s="691"/>
      <c r="L73" s="691"/>
      <c r="M73" s="691"/>
      <c r="N73" s="691"/>
      <c r="O73" s="699" t="s">
        <v>366</v>
      </c>
      <c r="P73" s="699"/>
      <c r="Q73" s="699"/>
      <c r="R73" s="699"/>
      <c r="S73" s="699"/>
      <c r="T73" s="699"/>
      <c r="U73" s="699"/>
      <c r="V73" s="699" t="s">
        <v>370</v>
      </c>
      <c r="W73" s="699"/>
      <c r="X73" s="699"/>
      <c r="Y73" s="699"/>
      <c r="Z73" s="699"/>
      <c r="AA73" s="699"/>
      <c r="AB73" s="699"/>
      <c r="AC73" s="699"/>
      <c r="AD73" s="699"/>
      <c r="AE73" s="697"/>
      <c r="AF73" s="697"/>
      <c r="AG73" s="691"/>
      <c r="AH73" s="691"/>
      <c r="AI73" s="691"/>
      <c r="AJ73" s="691"/>
      <c r="AK73" s="691"/>
      <c r="AL73" s="691"/>
      <c r="AM73" s="691"/>
      <c r="AN73" s="691"/>
      <c r="AO73" s="691"/>
      <c r="AP73" s="691"/>
      <c r="AQ73" s="691"/>
      <c r="AR73" s="691"/>
      <c r="AS73" s="691"/>
      <c r="AT73" s="691"/>
      <c r="AU73" s="691"/>
      <c r="AV73" s="691"/>
      <c r="AW73" s="691"/>
      <c r="AX73" s="691"/>
      <c r="AY73" s="691"/>
      <c r="AZ73" s="692"/>
      <c r="BA73" s="604"/>
      <c r="BB73" s="570"/>
      <c r="BC73" s="571"/>
      <c r="BD73" s="544"/>
      <c r="BE73" s="544"/>
      <c r="BF73" s="544"/>
      <c r="BG73" s="569"/>
      <c r="BH73" s="544"/>
      <c r="BI73" s="545"/>
      <c r="BJ73" s="545"/>
      <c r="BK73" s="545"/>
      <c r="BL73" s="545"/>
      <c r="BM73" s="545"/>
      <c r="BN73" s="545"/>
      <c r="BO73" s="545"/>
      <c r="BP73" s="545"/>
      <c r="BQ73" s="545"/>
      <c r="BR73" s="545"/>
      <c r="BS73" s="545"/>
      <c r="BT73" s="545"/>
    </row>
    <row r="74" spans="1:72" ht="12.6" customHeight="1">
      <c r="A74" s="556"/>
      <c r="B74" s="693"/>
      <c r="C74" s="691"/>
      <c r="D74" s="691"/>
      <c r="E74" s="691"/>
      <c r="F74" s="691"/>
      <c r="G74" s="691"/>
      <c r="H74" s="691"/>
      <c r="I74" s="691"/>
      <c r="J74" s="691"/>
      <c r="K74" s="691"/>
      <c r="L74" s="691"/>
      <c r="M74" s="691"/>
      <c r="N74" s="691"/>
      <c r="O74" s="699" t="s">
        <v>367</v>
      </c>
      <c r="P74" s="699"/>
      <c r="Q74" s="699"/>
      <c r="R74" s="699"/>
      <c r="S74" s="699"/>
      <c r="T74" s="699"/>
      <c r="U74" s="699"/>
      <c r="V74" s="699" t="s">
        <v>371</v>
      </c>
      <c r="W74" s="699"/>
      <c r="X74" s="699"/>
      <c r="Y74" s="699"/>
      <c r="Z74" s="699"/>
      <c r="AA74" s="699"/>
      <c r="AB74" s="699"/>
      <c r="AC74" s="699"/>
      <c r="AD74" s="699"/>
      <c r="AE74" s="697"/>
      <c r="AF74" s="697"/>
      <c r="AG74" s="691"/>
      <c r="AH74" s="691"/>
      <c r="AI74" s="691"/>
      <c r="AJ74" s="691"/>
      <c r="AK74" s="691"/>
      <c r="AL74" s="691"/>
      <c r="AM74" s="691"/>
      <c r="AN74" s="691"/>
      <c r="AO74" s="691"/>
      <c r="AP74" s="691"/>
      <c r="AQ74" s="691"/>
      <c r="AR74" s="691"/>
      <c r="AS74" s="691"/>
      <c r="AT74" s="691"/>
      <c r="AU74" s="691"/>
      <c r="AV74" s="691"/>
      <c r="AW74" s="691"/>
      <c r="AX74" s="691"/>
      <c r="AY74" s="691"/>
      <c r="AZ74" s="692"/>
      <c r="BA74" s="604"/>
      <c r="BB74" s="570"/>
      <c r="BC74" s="571"/>
      <c r="BD74" s="544"/>
      <c r="BE74" s="544"/>
      <c r="BF74" s="544"/>
      <c r="BG74" s="569"/>
      <c r="BH74" s="545"/>
      <c r="BI74" s="545"/>
      <c r="BJ74" s="545"/>
      <c r="BK74" s="545"/>
      <c r="BL74" s="545"/>
      <c r="BM74" s="545"/>
      <c r="BN74" s="545"/>
      <c r="BO74" s="545"/>
      <c r="BP74" s="545"/>
      <c r="BQ74" s="545"/>
      <c r="BR74" s="545"/>
      <c r="BS74" s="545"/>
      <c r="BT74" s="545"/>
    </row>
    <row r="75" spans="1:72" ht="12.6" customHeight="1">
      <c r="A75" s="556"/>
      <c r="B75" s="690"/>
      <c r="C75" s="691"/>
      <c r="D75" s="691"/>
      <c r="E75" s="691"/>
      <c r="F75" s="691"/>
      <c r="G75" s="691"/>
      <c r="H75" s="691"/>
      <c r="I75" s="691"/>
      <c r="J75" s="691"/>
      <c r="K75" s="691"/>
      <c r="L75" s="691"/>
      <c r="M75" s="691"/>
      <c r="N75" s="691"/>
      <c r="O75" s="699" t="s">
        <v>368</v>
      </c>
      <c r="P75" s="699"/>
      <c r="Q75" s="699"/>
      <c r="R75" s="699"/>
      <c r="S75" s="699"/>
      <c r="T75" s="699"/>
      <c r="U75" s="699"/>
      <c r="V75" s="699" t="s">
        <v>372</v>
      </c>
      <c r="W75" s="699"/>
      <c r="X75" s="699"/>
      <c r="Y75" s="699"/>
      <c r="Z75" s="699"/>
      <c r="AA75" s="699"/>
      <c r="AB75" s="699"/>
      <c r="AC75" s="699"/>
      <c r="AD75" s="699"/>
      <c r="AE75" s="697"/>
      <c r="AF75" s="697"/>
      <c r="AG75" s="691"/>
      <c r="AH75" s="691"/>
      <c r="AI75" s="691"/>
      <c r="AJ75" s="691"/>
      <c r="AK75" s="691"/>
      <c r="AL75" s="691"/>
      <c r="AM75" s="691"/>
      <c r="AN75" s="691"/>
      <c r="AO75" s="691"/>
      <c r="AP75" s="691"/>
      <c r="AQ75" s="691"/>
      <c r="AR75" s="691"/>
      <c r="AS75" s="691"/>
      <c r="AT75" s="691"/>
      <c r="AU75" s="691"/>
      <c r="AV75" s="691"/>
      <c r="AW75" s="691"/>
      <c r="AX75" s="691"/>
      <c r="AY75" s="691"/>
      <c r="AZ75" s="692"/>
      <c r="BA75" s="604"/>
      <c r="BB75" s="542"/>
      <c r="BC75" s="543"/>
      <c r="BD75" s="544"/>
      <c r="BE75" s="545"/>
      <c r="BF75" s="545"/>
      <c r="BG75" s="545"/>
      <c r="BH75" s="545"/>
      <c r="BJ75" s="545"/>
      <c r="BK75" s="545"/>
      <c r="BL75" s="545"/>
      <c r="BM75" s="545"/>
      <c r="BN75" s="545"/>
      <c r="BO75" s="545"/>
      <c r="BP75" s="545"/>
      <c r="BQ75" s="545"/>
      <c r="BR75" s="545"/>
      <c r="BS75" s="545"/>
      <c r="BT75" s="545"/>
    </row>
    <row r="76" spans="1:72" ht="12.6" customHeight="1">
      <c r="A76" s="556"/>
      <c r="B76" s="690"/>
      <c r="C76" s="691"/>
      <c r="D76" s="691"/>
      <c r="E76" s="691"/>
      <c r="F76" s="691"/>
      <c r="G76" s="691"/>
      <c r="H76" s="691"/>
      <c r="I76" s="691"/>
      <c r="J76" s="691"/>
      <c r="K76" s="691"/>
      <c r="L76" s="691"/>
      <c r="M76" s="691"/>
      <c r="N76" s="691"/>
      <c r="O76" s="699" t="s">
        <v>369</v>
      </c>
      <c r="P76" s="699"/>
      <c r="Q76" s="699"/>
      <c r="R76" s="699"/>
      <c r="S76" s="699"/>
      <c r="T76" s="699"/>
      <c r="U76" s="699"/>
      <c r="V76" s="699"/>
      <c r="W76" s="699"/>
      <c r="X76" s="699"/>
      <c r="Y76" s="699"/>
      <c r="Z76" s="699"/>
      <c r="AA76" s="699"/>
      <c r="AB76" s="699"/>
      <c r="AC76" s="699"/>
      <c r="AD76" s="699"/>
      <c r="AE76" s="697"/>
      <c r="AF76" s="697"/>
      <c r="AG76" s="691"/>
      <c r="AH76" s="691"/>
      <c r="AI76" s="691"/>
      <c r="AJ76" s="691"/>
      <c r="AK76" s="691"/>
      <c r="AL76" s="691"/>
      <c r="AM76" s="691"/>
      <c r="AN76" s="691"/>
      <c r="AO76" s="691"/>
      <c r="AP76" s="691"/>
      <c r="AQ76" s="691"/>
      <c r="AR76" s="691"/>
      <c r="AS76" s="691"/>
      <c r="AT76" s="691"/>
      <c r="AU76" s="691"/>
      <c r="AV76" s="691"/>
      <c r="AW76" s="691"/>
      <c r="AX76" s="691"/>
      <c r="AY76" s="691"/>
      <c r="AZ76" s="692"/>
      <c r="BA76" s="604"/>
      <c r="BB76" s="542"/>
      <c r="BC76" s="543"/>
      <c r="BD76" s="544"/>
      <c r="BE76" s="545"/>
      <c r="BF76" s="545"/>
      <c r="BG76" s="545"/>
      <c r="BH76" s="545"/>
      <c r="BI76" s="545"/>
      <c r="BJ76" s="545"/>
      <c r="BK76" s="545"/>
      <c r="BL76" s="545"/>
      <c r="BM76" s="545"/>
      <c r="BN76" s="545"/>
      <c r="BO76" s="545"/>
      <c r="BP76" s="545"/>
      <c r="BQ76" s="545"/>
      <c r="BR76" s="545"/>
      <c r="BS76" s="545"/>
      <c r="BT76" s="545"/>
    </row>
    <row r="77" spans="1:72" ht="12.6" customHeight="1">
      <c r="A77" s="556"/>
      <c r="B77" s="693"/>
      <c r="C77" s="691"/>
      <c r="D77" s="691"/>
      <c r="E77" s="691"/>
      <c r="F77" s="691"/>
      <c r="G77" s="691"/>
      <c r="H77" s="691"/>
      <c r="I77" s="691"/>
      <c r="J77" s="691"/>
      <c r="K77" s="691"/>
      <c r="L77" s="691"/>
      <c r="M77" s="691"/>
      <c r="N77" s="691"/>
      <c r="O77" s="699"/>
      <c r="P77" s="699"/>
      <c r="Q77" s="699"/>
      <c r="R77" s="699"/>
      <c r="S77" s="699"/>
      <c r="T77" s="699"/>
      <c r="U77" s="699"/>
      <c r="V77" s="699"/>
      <c r="W77" s="699"/>
      <c r="X77" s="699"/>
      <c r="Y77" s="699"/>
      <c r="Z77" s="699"/>
      <c r="AA77" s="699"/>
      <c r="AB77" s="699"/>
      <c r="AC77" s="699"/>
      <c r="AD77" s="699"/>
      <c r="AE77" s="697"/>
      <c r="AF77" s="697"/>
      <c r="AG77" s="691"/>
      <c r="AH77" s="691"/>
      <c r="AI77" s="691"/>
      <c r="AJ77" s="691"/>
      <c r="AK77" s="691"/>
      <c r="AL77" s="691"/>
      <c r="AM77" s="691"/>
      <c r="AN77" s="691"/>
      <c r="AO77" s="691"/>
      <c r="AP77" s="691"/>
      <c r="AQ77" s="691"/>
      <c r="AR77" s="691"/>
      <c r="AS77" s="691"/>
      <c r="AT77" s="691"/>
      <c r="AU77" s="691"/>
      <c r="AV77" s="691"/>
      <c r="AW77" s="691"/>
      <c r="AX77" s="691"/>
      <c r="AY77" s="691"/>
      <c r="AZ77" s="692"/>
      <c r="BA77" s="604"/>
      <c r="BB77" s="542"/>
      <c r="BC77" s="543"/>
      <c r="BD77" s="545"/>
      <c r="BE77" s="545"/>
      <c r="BF77" s="545"/>
      <c r="BG77" s="545"/>
      <c r="BH77" s="545"/>
      <c r="BI77" s="545"/>
      <c r="BJ77" s="545"/>
      <c r="BK77" s="545"/>
      <c r="BL77" s="545"/>
      <c r="BM77" s="545"/>
      <c r="BN77" s="545"/>
      <c r="BO77" s="545"/>
      <c r="BP77" s="545"/>
      <c r="BQ77" s="545"/>
      <c r="BR77" s="545"/>
      <c r="BS77" s="545"/>
      <c r="BT77" s="545"/>
    </row>
    <row r="78" spans="1:72" ht="15.75">
      <c r="A78" s="556"/>
      <c r="B78" s="610"/>
      <c r="C78" s="603"/>
      <c r="D78" s="603"/>
      <c r="E78" s="603"/>
      <c r="F78" s="603"/>
      <c r="G78" s="603"/>
      <c r="H78" s="603"/>
      <c r="I78" s="603"/>
      <c r="J78" s="603"/>
      <c r="K78" s="603"/>
      <c r="L78" s="603"/>
      <c r="M78" s="603"/>
      <c r="N78" s="603"/>
      <c r="O78" s="603"/>
      <c r="P78" s="603"/>
      <c r="Q78" s="603"/>
      <c r="R78" s="603"/>
      <c r="S78" s="609"/>
      <c r="T78" s="609"/>
      <c r="U78" s="609"/>
      <c r="V78" s="609"/>
      <c r="W78" s="603"/>
      <c r="X78" s="603"/>
      <c r="Y78" s="609"/>
      <c r="Z78" s="700" t="s">
        <v>373</v>
      </c>
      <c r="AA78" s="603"/>
      <c r="AB78" s="603"/>
      <c r="AC78" s="603"/>
      <c r="AD78" s="609"/>
      <c r="AE78" s="609"/>
      <c r="AF78" s="609"/>
      <c r="AG78" s="609"/>
      <c r="AH78" s="609"/>
      <c r="AI78" s="609"/>
      <c r="AJ78" s="609"/>
      <c r="AK78" s="609"/>
      <c r="AL78" s="609"/>
      <c r="AM78" s="609"/>
      <c r="AN78" s="609"/>
      <c r="AO78" s="609"/>
      <c r="AP78" s="609"/>
      <c r="AQ78" s="609"/>
      <c r="AR78" s="609"/>
      <c r="AS78" s="609"/>
      <c r="AT78" s="609"/>
      <c r="AU78" s="609"/>
      <c r="AV78" s="609"/>
      <c r="AW78" s="609"/>
      <c r="AX78" s="609"/>
      <c r="AY78" s="598"/>
      <c r="AZ78" s="604"/>
      <c r="BA78" s="604"/>
      <c r="BB78" s="570"/>
      <c r="BC78" s="571"/>
      <c r="BD78" s="572"/>
      <c r="BE78" s="544"/>
      <c r="BF78" s="544"/>
      <c r="BG78" s="544"/>
      <c r="BH78" s="545"/>
      <c r="BI78" s="545"/>
      <c r="BJ78" s="545"/>
      <c r="BK78" s="545"/>
      <c r="BL78" s="545"/>
      <c r="BM78" s="545"/>
      <c r="BN78" s="545"/>
      <c r="BO78" s="545"/>
      <c r="BP78" s="545"/>
      <c r="BQ78" s="545"/>
      <c r="BR78" s="545"/>
      <c r="BS78" s="545"/>
      <c r="BT78" s="545"/>
    </row>
    <row r="79" spans="1:72" ht="15.75">
      <c r="A79" s="573"/>
      <c r="B79" s="617"/>
      <c r="C79" s="618"/>
      <c r="D79" s="618"/>
      <c r="E79" s="618"/>
      <c r="F79" s="618"/>
      <c r="G79" s="618"/>
      <c r="H79" s="618"/>
      <c r="I79" s="618"/>
      <c r="J79" s="618"/>
      <c r="K79" s="618"/>
      <c r="L79" s="618"/>
      <c r="M79" s="618"/>
      <c r="N79" s="618"/>
      <c r="O79" s="618"/>
      <c r="P79" s="618"/>
      <c r="Q79" s="618"/>
      <c r="R79" s="618"/>
      <c r="S79" s="619"/>
      <c r="T79" s="619"/>
      <c r="U79" s="619"/>
      <c r="V79" s="619"/>
      <c r="W79" s="618"/>
      <c r="X79" s="618"/>
      <c r="Y79" s="619"/>
      <c r="Z79" s="619"/>
      <c r="AA79" s="618"/>
      <c r="AB79" s="618"/>
      <c r="AC79" s="618"/>
      <c r="AD79" s="619"/>
      <c r="AE79" s="619"/>
      <c r="AF79" s="619"/>
      <c r="AG79" s="619"/>
      <c r="AH79" s="619"/>
      <c r="AI79" s="619"/>
      <c r="AJ79" s="619"/>
      <c r="AK79" s="619"/>
      <c r="AL79" s="619"/>
      <c r="AM79" s="619"/>
      <c r="AN79" s="619"/>
      <c r="AO79" s="619"/>
      <c r="AP79" s="619"/>
      <c r="AQ79" s="619"/>
      <c r="AR79" s="619"/>
      <c r="AS79" s="619"/>
      <c r="AT79" s="619"/>
      <c r="AU79" s="619"/>
      <c r="AV79" s="619"/>
      <c r="AW79" s="619"/>
      <c r="AX79" s="619"/>
      <c r="AY79" s="617"/>
      <c r="AZ79" s="617"/>
      <c r="BA79" s="620"/>
      <c r="BB79" s="574"/>
      <c r="BC79" s="575"/>
      <c r="BD79" s="572"/>
      <c r="BE79" s="544"/>
      <c r="BF79" s="544"/>
      <c r="BG79" s="544"/>
      <c r="BH79" s="545"/>
      <c r="BI79" s="545"/>
      <c r="BJ79" s="545"/>
      <c r="BK79" s="545"/>
      <c r="BL79" s="545"/>
      <c r="BM79" s="545"/>
      <c r="BN79" s="545"/>
      <c r="BO79" s="545"/>
      <c r="BP79" s="545"/>
      <c r="BQ79" s="545"/>
      <c r="BR79" s="545"/>
      <c r="BS79" s="545"/>
      <c r="BT79" s="545"/>
    </row>
    <row r="80" spans="1:72" ht="15.75">
      <c r="A80" s="545"/>
      <c r="B80" s="545"/>
      <c r="C80" s="545"/>
      <c r="D80" s="545"/>
      <c r="E80" s="545"/>
      <c r="F80" s="545"/>
      <c r="G80" s="545"/>
      <c r="H80" s="545"/>
      <c r="I80" s="545"/>
      <c r="J80" s="545"/>
      <c r="K80" s="545"/>
      <c r="L80" s="545"/>
      <c r="M80" s="545"/>
      <c r="N80" s="545"/>
      <c r="O80" s="545"/>
      <c r="P80" s="545"/>
      <c r="Q80" s="545"/>
      <c r="R80" s="545"/>
      <c r="S80" s="576"/>
      <c r="T80" s="576"/>
      <c r="U80" s="576"/>
      <c r="V80" s="576"/>
      <c r="W80" s="545"/>
      <c r="X80" s="545"/>
      <c r="Y80" s="576"/>
      <c r="Z80" s="576"/>
      <c r="AA80" s="545"/>
      <c r="AB80" s="545"/>
      <c r="AC80" s="545"/>
      <c r="AD80" s="576"/>
      <c r="AE80" s="576"/>
      <c r="AF80" s="576"/>
      <c r="AG80" s="576"/>
      <c r="AH80" s="576"/>
      <c r="AI80" s="576"/>
      <c r="AJ80" s="576"/>
      <c r="AK80" s="576"/>
      <c r="AL80" s="576"/>
      <c r="AM80" s="576"/>
      <c r="AN80" s="576"/>
      <c r="AO80" s="576"/>
      <c r="AP80" s="576"/>
      <c r="AQ80" s="576"/>
      <c r="AR80" s="576"/>
      <c r="AS80" s="576"/>
      <c r="AT80" s="576"/>
      <c r="AU80" s="576"/>
      <c r="AV80" s="576"/>
      <c r="AW80" s="576"/>
      <c r="AX80" s="576"/>
      <c r="AY80" s="576"/>
      <c r="AZ80" s="576"/>
      <c r="BA80" s="576"/>
      <c r="BB80" s="576"/>
      <c r="BC80" s="576"/>
      <c r="BD80" s="572"/>
      <c r="BE80" s="544"/>
      <c r="BF80" s="544"/>
      <c r="BG80" s="544"/>
      <c r="BH80" s="545"/>
      <c r="BI80" s="545"/>
      <c r="BJ80" s="545"/>
      <c r="BK80" s="545"/>
      <c r="BL80" s="545"/>
      <c r="BM80" s="545"/>
      <c r="BN80" s="545"/>
      <c r="BO80" s="545"/>
      <c r="BP80" s="545"/>
      <c r="BQ80" s="545"/>
      <c r="BR80" s="545"/>
      <c r="BS80" s="545"/>
      <c r="BT80" s="545"/>
    </row>
    <row r="81" spans="1:72" ht="15.75">
      <c r="A81" s="545"/>
      <c r="B81" s="545"/>
      <c r="C81" s="545"/>
      <c r="D81" s="545"/>
      <c r="E81" s="545"/>
      <c r="F81" s="545"/>
      <c r="G81" s="545"/>
      <c r="H81" s="545"/>
      <c r="I81" s="545"/>
      <c r="J81" s="545"/>
      <c r="K81" s="545"/>
      <c r="L81" s="545"/>
      <c r="M81" s="545"/>
      <c r="N81" s="545"/>
      <c r="O81" s="545"/>
      <c r="P81" s="545"/>
      <c r="Q81" s="545"/>
      <c r="R81" s="545"/>
      <c r="S81" s="576"/>
      <c r="T81" s="576"/>
      <c r="U81" s="576"/>
      <c r="V81" s="576"/>
      <c r="W81" s="545"/>
      <c r="X81" s="545"/>
      <c r="Y81" s="576"/>
      <c r="Z81" s="576"/>
      <c r="AA81" s="545"/>
      <c r="AB81" s="545"/>
      <c r="AC81" s="545"/>
      <c r="AD81" s="576"/>
      <c r="AE81" s="576"/>
      <c r="AF81" s="576"/>
      <c r="AG81" s="576"/>
      <c r="AH81" s="576"/>
      <c r="AI81" s="576"/>
      <c r="AJ81" s="576"/>
      <c r="AK81" s="576"/>
      <c r="AL81" s="576"/>
      <c r="AM81" s="576"/>
      <c r="AN81" s="576"/>
      <c r="AO81" s="576"/>
      <c r="AP81" s="576"/>
      <c r="AQ81" s="576"/>
      <c r="AR81" s="576"/>
      <c r="AS81" s="576"/>
      <c r="AT81" s="576"/>
      <c r="AU81" s="576"/>
      <c r="AV81" s="576"/>
      <c r="AW81" s="576"/>
      <c r="AX81" s="576"/>
      <c r="AY81" s="576"/>
      <c r="AZ81" s="576"/>
      <c r="BA81" s="576"/>
      <c r="BB81" s="576"/>
      <c r="BC81" s="576"/>
      <c r="BD81" s="572"/>
      <c r="BE81" s="544"/>
      <c r="BF81" s="544"/>
      <c r="BG81" s="544"/>
      <c r="BH81" s="545"/>
      <c r="BI81" s="545"/>
      <c r="BJ81" s="545"/>
      <c r="BK81" s="545"/>
      <c r="BL81" s="545"/>
      <c r="BM81" s="545"/>
      <c r="BN81" s="545"/>
      <c r="BO81" s="545"/>
      <c r="BP81" s="545"/>
      <c r="BQ81" s="545"/>
      <c r="BR81" s="545"/>
      <c r="BS81" s="545"/>
      <c r="BT81" s="545"/>
    </row>
    <row r="82" spans="1:72" ht="15.75">
      <c r="A82" s="545"/>
      <c r="B82" s="545"/>
      <c r="C82" s="545"/>
      <c r="D82" s="545"/>
      <c r="E82" s="545"/>
      <c r="F82" s="545"/>
      <c r="G82" s="545"/>
      <c r="H82" s="545"/>
      <c r="I82" s="545"/>
      <c r="J82" s="545"/>
      <c r="K82" s="545"/>
      <c r="L82" s="545"/>
      <c r="M82" s="545"/>
      <c r="N82" s="545"/>
      <c r="O82" s="545"/>
      <c r="P82" s="545"/>
      <c r="Q82" s="545"/>
      <c r="R82" s="545"/>
      <c r="S82" s="576"/>
      <c r="T82" s="576"/>
      <c r="U82" s="576"/>
      <c r="V82" s="576"/>
      <c r="W82" s="545"/>
      <c r="X82" s="545"/>
      <c r="Y82" s="576"/>
      <c r="Z82" s="576"/>
      <c r="AA82" s="545"/>
      <c r="AB82" s="545"/>
      <c r="AC82" s="545"/>
      <c r="AD82" s="576"/>
      <c r="AE82" s="576"/>
      <c r="AF82" s="576"/>
      <c r="AG82" s="576"/>
      <c r="AH82" s="576"/>
      <c r="AI82" s="576"/>
      <c r="AJ82" s="576"/>
      <c r="AK82" s="576"/>
      <c r="AL82" s="576"/>
      <c r="AM82" s="576"/>
      <c r="AN82" s="576"/>
      <c r="AO82" s="576"/>
      <c r="AP82" s="576"/>
      <c r="AQ82" s="576"/>
      <c r="AR82" s="576"/>
      <c r="AS82" s="576"/>
      <c r="AT82" s="576"/>
      <c r="AU82" s="576"/>
      <c r="AV82" s="576"/>
      <c r="AW82" s="576"/>
      <c r="AX82" s="576"/>
      <c r="AY82" s="576"/>
      <c r="AZ82" s="576"/>
      <c r="BA82" s="576"/>
      <c r="BB82" s="576"/>
      <c r="BC82" s="576"/>
      <c r="BD82" s="572"/>
      <c r="BE82" s="544"/>
      <c r="BF82" s="544"/>
      <c r="BG82" s="544"/>
      <c r="BH82" s="545"/>
      <c r="BI82" s="545"/>
      <c r="BJ82" s="545"/>
      <c r="BK82" s="545"/>
      <c r="BL82" s="545"/>
      <c r="BM82" s="545"/>
      <c r="BN82" s="545"/>
      <c r="BO82" s="545"/>
      <c r="BP82" s="545"/>
      <c r="BQ82" s="545"/>
      <c r="BR82" s="545"/>
      <c r="BS82" s="545"/>
      <c r="BT82" s="545"/>
    </row>
    <row r="83" spans="1:72" ht="15.75">
      <c r="A83" s="545"/>
      <c r="B83" s="545"/>
      <c r="C83" s="545"/>
      <c r="D83" s="545"/>
      <c r="E83" s="545"/>
      <c r="F83" s="545"/>
      <c r="G83" s="545"/>
      <c r="H83" s="545"/>
      <c r="I83" s="545"/>
      <c r="J83" s="545"/>
      <c r="K83" s="545"/>
      <c r="L83" s="545"/>
      <c r="M83" s="545"/>
      <c r="N83" s="545"/>
      <c r="O83" s="545"/>
      <c r="P83" s="545"/>
      <c r="Q83" s="545"/>
      <c r="R83" s="545"/>
      <c r="S83" s="576"/>
      <c r="T83" s="576"/>
      <c r="U83" s="576"/>
      <c r="V83" s="576"/>
      <c r="W83" s="545"/>
      <c r="X83" s="545"/>
      <c r="Y83" s="576"/>
      <c r="Z83" s="576"/>
      <c r="AA83" s="545"/>
      <c r="AB83" s="545"/>
      <c r="AC83" s="545"/>
      <c r="AD83" s="576"/>
      <c r="AE83" s="576"/>
      <c r="AF83" s="576"/>
      <c r="AG83" s="576"/>
      <c r="AH83" s="576"/>
      <c r="AI83" s="576"/>
      <c r="AJ83" s="576"/>
      <c r="AK83" s="576"/>
      <c r="AL83" s="576"/>
      <c r="AM83" s="576"/>
      <c r="AN83" s="576"/>
      <c r="AO83" s="576"/>
      <c r="AP83" s="576"/>
      <c r="AQ83" s="576"/>
      <c r="AR83" s="576"/>
      <c r="AS83" s="576"/>
      <c r="AT83" s="576"/>
      <c r="AU83" s="576"/>
      <c r="AV83" s="576"/>
      <c r="AW83" s="576"/>
      <c r="AX83" s="576"/>
      <c r="AY83" s="576"/>
      <c r="AZ83" s="576"/>
      <c r="BA83" s="576"/>
      <c r="BB83" s="576"/>
      <c r="BC83" s="576"/>
      <c r="BD83" s="572"/>
      <c r="BE83" s="544"/>
      <c r="BF83" s="544"/>
      <c r="BG83" s="544"/>
      <c r="BH83" s="545"/>
      <c r="BI83" s="545"/>
      <c r="BJ83" s="545"/>
      <c r="BK83" s="545"/>
      <c r="BL83" s="545"/>
      <c r="BM83" s="545"/>
      <c r="BN83" s="545"/>
      <c r="BO83" s="545"/>
      <c r="BP83" s="545"/>
      <c r="BQ83" s="545"/>
      <c r="BR83" s="545"/>
      <c r="BS83" s="545"/>
      <c r="BT83" s="545"/>
    </row>
    <row r="84" spans="1:72" ht="15.75">
      <c r="A84" s="545"/>
      <c r="B84" s="545"/>
      <c r="C84" s="545"/>
      <c r="D84" s="545"/>
      <c r="E84" s="545"/>
      <c r="F84" s="545"/>
      <c r="G84" s="545"/>
      <c r="H84" s="545"/>
      <c r="I84" s="545"/>
      <c r="J84" s="545"/>
      <c r="K84" s="545"/>
      <c r="L84" s="545"/>
      <c r="M84" s="545"/>
      <c r="N84" s="545"/>
      <c r="O84" s="545"/>
      <c r="P84" s="545"/>
      <c r="Q84" s="545"/>
      <c r="R84" s="545"/>
      <c r="S84" s="576"/>
      <c r="T84" s="576"/>
      <c r="U84" s="576"/>
      <c r="V84" s="576"/>
      <c r="W84" s="545"/>
      <c r="X84" s="545"/>
      <c r="Y84" s="576"/>
      <c r="Z84" s="576"/>
      <c r="AA84" s="545"/>
      <c r="AB84" s="545"/>
      <c r="AC84" s="545"/>
      <c r="AD84" s="576"/>
      <c r="AE84" s="576"/>
      <c r="AF84" s="576"/>
      <c r="AG84" s="576"/>
      <c r="AH84" s="576"/>
      <c r="AI84" s="576"/>
      <c r="AJ84" s="576"/>
      <c r="AK84" s="576"/>
      <c r="AL84" s="576"/>
      <c r="AM84" s="576"/>
      <c r="AN84" s="576"/>
      <c r="AO84" s="576"/>
      <c r="AP84" s="576"/>
      <c r="AQ84" s="576"/>
      <c r="AR84" s="576"/>
      <c r="AS84" s="576"/>
      <c r="AT84" s="576"/>
      <c r="AU84" s="576"/>
      <c r="AV84" s="576"/>
      <c r="AW84" s="576"/>
      <c r="AX84" s="576"/>
      <c r="AY84" s="576"/>
      <c r="AZ84" s="576"/>
      <c r="BA84" s="576"/>
      <c r="BB84" s="576"/>
      <c r="BC84" s="576"/>
      <c r="BD84" s="572"/>
      <c r="BE84" s="544"/>
      <c r="BF84" s="544"/>
      <c r="BG84" s="544"/>
      <c r="BH84" s="545"/>
      <c r="BI84" s="545"/>
      <c r="BJ84" s="545"/>
      <c r="BK84" s="545"/>
      <c r="BL84" s="545"/>
      <c r="BM84" s="545"/>
      <c r="BN84" s="545"/>
      <c r="BO84" s="545"/>
      <c r="BP84" s="545"/>
      <c r="BQ84" s="545"/>
      <c r="BR84" s="545"/>
      <c r="BS84" s="545"/>
      <c r="BT84" s="545"/>
    </row>
    <row r="85" spans="1:72" ht="15.75">
      <c r="A85" s="545"/>
      <c r="B85" s="545"/>
      <c r="C85" s="545"/>
      <c r="D85" s="545"/>
      <c r="E85" s="545"/>
      <c r="F85" s="545"/>
      <c r="G85" s="545"/>
      <c r="H85" s="545"/>
      <c r="I85" s="545"/>
      <c r="J85" s="545"/>
      <c r="K85" s="545"/>
      <c r="L85" s="545"/>
      <c r="M85" s="545"/>
      <c r="N85" s="545"/>
      <c r="O85" s="545"/>
      <c r="P85" s="545"/>
      <c r="Q85" s="545"/>
      <c r="R85" s="545"/>
      <c r="S85" s="576"/>
      <c r="T85" s="576"/>
      <c r="U85" s="576"/>
      <c r="V85" s="576"/>
      <c r="W85" s="545"/>
      <c r="X85" s="545"/>
      <c r="Y85" s="576"/>
      <c r="Z85" s="576"/>
      <c r="AA85" s="545"/>
      <c r="AB85" s="545"/>
      <c r="AC85" s="545"/>
      <c r="AD85" s="576"/>
      <c r="AE85" s="576"/>
      <c r="AF85" s="576"/>
      <c r="AG85" s="576"/>
      <c r="AH85" s="576"/>
      <c r="AI85" s="576"/>
      <c r="AJ85" s="576"/>
      <c r="AK85" s="576"/>
      <c r="AL85" s="576"/>
      <c r="AM85" s="576"/>
      <c r="AN85" s="576"/>
      <c r="AO85" s="576"/>
      <c r="AP85" s="576"/>
      <c r="AQ85" s="576"/>
      <c r="AR85" s="576"/>
      <c r="AS85" s="576"/>
      <c r="AT85" s="576"/>
      <c r="AU85" s="576"/>
      <c r="AV85" s="576"/>
      <c r="AW85" s="576"/>
      <c r="AX85" s="576"/>
      <c r="AY85" s="576"/>
      <c r="AZ85" s="576"/>
      <c r="BA85" s="576"/>
      <c r="BB85" s="576"/>
      <c r="BC85" s="576"/>
      <c r="BD85" s="572"/>
      <c r="BE85" s="544"/>
      <c r="BF85" s="544"/>
      <c r="BG85" s="544"/>
      <c r="BH85" s="545"/>
      <c r="BI85" s="545"/>
      <c r="BJ85" s="545"/>
      <c r="BK85" s="545"/>
      <c r="BL85" s="545"/>
      <c r="BM85" s="545"/>
      <c r="BN85" s="545"/>
      <c r="BO85" s="545"/>
      <c r="BP85" s="545"/>
      <c r="BQ85" s="545"/>
      <c r="BR85" s="545"/>
      <c r="BS85" s="545"/>
      <c r="BT85" s="545"/>
    </row>
    <row r="86" spans="1:72" ht="15.75">
      <c r="A86" s="545"/>
      <c r="B86" s="545"/>
      <c r="C86" s="545"/>
      <c r="D86" s="545"/>
      <c r="E86" s="545"/>
      <c r="F86" s="545"/>
      <c r="G86" s="545"/>
      <c r="H86" s="545"/>
      <c r="I86" s="545"/>
      <c r="J86" s="545"/>
      <c r="K86" s="545"/>
      <c r="L86" s="545"/>
      <c r="M86" s="545"/>
      <c r="N86" s="545"/>
      <c r="O86" s="545"/>
      <c r="P86" s="545"/>
      <c r="Q86" s="545"/>
      <c r="R86" s="545"/>
      <c r="S86" s="576"/>
      <c r="T86" s="576"/>
      <c r="U86" s="576"/>
      <c r="V86" s="576"/>
      <c r="W86" s="545"/>
      <c r="X86" s="545"/>
      <c r="Y86" s="576"/>
      <c r="Z86" s="576"/>
      <c r="AA86" s="545"/>
      <c r="AB86" s="545"/>
      <c r="AC86" s="545"/>
      <c r="AD86" s="576"/>
      <c r="AE86" s="576"/>
      <c r="AF86" s="576"/>
      <c r="AG86" s="576"/>
      <c r="AH86" s="576"/>
      <c r="AI86" s="576"/>
      <c r="AJ86" s="576"/>
      <c r="AK86" s="576"/>
      <c r="AL86" s="576"/>
      <c r="AM86" s="576"/>
      <c r="AN86" s="576"/>
      <c r="AO86" s="576"/>
      <c r="AP86" s="576"/>
      <c r="AQ86" s="576"/>
      <c r="AR86" s="576"/>
      <c r="AS86" s="576"/>
      <c r="AT86" s="576"/>
      <c r="AU86" s="576"/>
      <c r="AV86" s="576"/>
      <c r="AW86" s="576"/>
      <c r="AX86" s="576"/>
      <c r="AY86" s="576"/>
      <c r="AZ86" s="576"/>
      <c r="BA86" s="576"/>
      <c r="BB86" s="576"/>
      <c r="BC86" s="576"/>
      <c r="BD86" s="572"/>
      <c r="BE86" s="544"/>
      <c r="BF86" s="544"/>
      <c r="BG86" s="544"/>
      <c r="BH86" s="545"/>
      <c r="BI86" s="545"/>
      <c r="BJ86" s="545"/>
      <c r="BK86" s="545"/>
      <c r="BL86" s="545"/>
      <c r="BM86" s="545"/>
      <c r="BN86" s="545"/>
      <c r="BO86" s="545"/>
      <c r="BP86" s="545"/>
      <c r="BQ86" s="545"/>
      <c r="BR86" s="545"/>
      <c r="BS86" s="545"/>
      <c r="BT86" s="545"/>
    </row>
    <row r="87" spans="1:72" ht="15.75">
      <c r="A87" s="545"/>
      <c r="B87" s="545"/>
      <c r="C87" s="545"/>
      <c r="D87" s="545"/>
      <c r="E87" s="545"/>
      <c r="F87" s="545"/>
      <c r="G87" s="545"/>
      <c r="H87" s="545"/>
      <c r="I87" s="545"/>
      <c r="J87" s="545"/>
      <c r="K87" s="545"/>
      <c r="L87" s="545"/>
      <c r="M87" s="545"/>
      <c r="N87" s="545"/>
      <c r="O87" s="545"/>
      <c r="P87" s="545"/>
      <c r="Q87" s="545"/>
      <c r="R87" s="545"/>
      <c r="S87" s="576"/>
      <c r="T87" s="576"/>
      <c r="U87" s="576"/>
      <c r="V87" s="576"/>
      <c r="W87" s="545"/>
      <c r="X87" s="545"/>
      <c r="Y87" s="576"/>
      <c r="Z87" s="576"/>
      <c r="AA87" s="545"/>
      <c r="AB87" s="545"/>
      <c r="AC87" s="545"/>
      <c r="AD87" s="576"/>
      <c r="AE87" s="576"/>
      <c r="AF87" s="576"/>
      <c r="AG87" s="576"/>
      <c r="AH87" s="576"/>
      <c r="AI87" s="576"/>
      <c r="AJ87" s="576"/>
      <c r="AK87" s="576"/>
      <c r="AL87" s="576"/>
      <c r="AM87" s="576"/>
      <c r="AN87" s="576"/>
      <c r="AO87" s="576"/>
      <c r="AP87" s="576"/>
      <c r="AQ87" s="576"/>
      <c r="AR87" s="576"/>
      <c r="AS87" s="576"/>
      <c r="AT87" s="576"/>
      <c r="AU87" s="576"/>
      <c r="AV87" s="576"/>
      <c r="AW87" s="576"/>
      <c r="AX87" s="576"/>
      <c r="AY87" s="576"/>
      <c r="AZ87" s="576"/>
      <c r="BA87" s="576"/>
      <c r="BB87" s="576"/>
      <c r="BC87" s="576"/>
      <c r="BD87" s="572"/>
      <c r="BE87" s="544"/>
      <c r="BF87" s="544"/>
      <c r="BG87" s="544"/>
      <c r="BH87" s="545"/>
      <c r="BI87" s="545"/>
      <c r="BJ87" s="545"/>
      <c r="BK87" s="545"/>
      <c r="BL87" s="545"/>
      <c r="BM87" s="545"/>
      <c r="BN87" s="545"/>
      <c r="BO87" s="545"/>
      <c r="BP87" s="545"/>
      <c r="BQ87" s="545"/>
      <c r="BR87" s="545"/>
      <c r="BS87" s="545"/>
      <c r="BT87" s="545"/>
    </row>
    <row r="88" spans="1:72" ht="15.75">
      <c r="A88" s="545"/>
      <c r="B88" s="545"/>
      <c r="C88" s="545"/>
      <c r="D88" s="545"/>
      <c r="E88" s="545"/>
      <c r="F88" s="545"/>
      <c r="G88" s="545"/>
      <c r="H88" s="545"/>
      <c r="I88" s="545"/>
      <c r="J88" s="545"/>
      <c r="K88" s="545"/>
      <c r="L88" s="545"/>
      <c r="M88" s="545"/>
      <c r="N88" s="545"/>
      <c r="O88" s="545"/>
      <c r="P88" s="545"/>
      <c r="Q88" s="545"/>
      <c r="R88" s="545"/>
      <c r="S88" s="576"/>
      <c r="T88" s="576"/>
      <c r="U88" s="576"/>
      <c r="V88" s="576"/>
      <c r="W88" s="545"/>
      <c r="X88" s="545"/>
      <c r="Y88" s="576"/>
      <c r="Z88" s="576"/>
      <c r="AA88" s="545"/>
      <c r="AB88" s="545"/>
      <c r="AC88" s="545"/>
      <c r="AD88" s="576"/>
      <c r="AE88" s="576"/>
      <c r="AF88" s="576"/>
      <c r="AG88" s="576"/>
      <c r="AH88" s="576"/>
      <c r="AI88" s="576"/>
      <c r="AJ88" s="576"/>
      <c r="AK88" s="576"/>
      <c r="AL88" s="576"/>
      <c r="AM88" s="576"/>
      <c r="AN88" s="576"/>
      <c r="AO88" s="576"/>
      <c r="AP88" s="576"/>
      <c r="AQ88" s="576"/>
      <c r="AR88" s="576"/>
      <c r="AS88" s="576"/>
      <c r="AT88" s="576"/>
      <c r="AU88" s="576"/>
      <c r="AV88" s="576"/>
      <c r="AW88" s="576"/>
      <c r="AX88" s="576"/>
      <c r="AY88" s="576"/>
      <c r="AZ88" s="576"/>
      <c r="BA88" s="576"/>
      <c r="BB88" s="576"/>
      <c r="BC88" s="576"/>
      <c r="BD88" s="572"/>
      <c r="BE88" s="544"/>
      <c r="BF88" s="544"/>
      <c r="BG88" s="544"/>
      <c r="BH88" s="545"/>
      <c r="BI88" s="545"/>
      <c r="BJ88" s="545"/>
      <c r="BK88" s="545"/>
      <c r="BL88" s="545"/>
      <c r="BM88" s="545"/>
      <c r="BN88" s="545"/>
      <c r="BO88" s="545"/>
      <c r="BP88" s="545"/>
      <c r="BQ88" s="545"/>
      <c r="BR88" s="545"/>
      <c r="BS88" s="545"/>
      <c r="BT88" s="545"/>
    </row>
    <row r="89" spans="1:72" ht="15.75">
      <c r="A89" s="545"/>
      <c r="B89" s="545"/>
      <c r="C89" s="545"/>
      <c r="D89" s="545"/>
      <c r="E89" s="545"/>
      <c r="F89" s="545"/>
      <c r="G89" s="545"/>
      <c r="H89" s="545"/>
      <c r="I89" s="545"/>
      <c r="J89" s="545"/>
      <c r="K89" s="545"/>
      <c r="L89" s="545"/>
      <c r="M89" s="545"/>
      <c r="N89" s="545"/>
      <c r="O89" s="545"/>
      <c r="P89" s="545"/>
      <c r="Q89" s="545"/>
      <c r="R89" s="545"/>
      <c r="S89" s="576"/>
      <c r="T89" s="576"/>
      <c r="U89" s="576"/>
      <c r="V89" s="576"/>
      <c r="W89" s="545"/>
      <c r="X89" s="545"/>
      <c r="Y89" s="576"/>
      <c r="Z89" s="576"/>
      <c r="AA89" s="545"/>
      <c r="AB89" s="545"/>
      <c r="AC89" s="545"/>
      <c r="AD89" s="576"/>
      <c r="AE89" s="576"/>
      <c r="AF89" s="576"/>
      <c r="AG89" s="576"/>
      <c r="AH89" s="576"/>
      <c r="AI89" s="576"/>
      <c r="AJ89" s="576"/>
      <c r="AK89" s="576"/>
      <c r="AL89" s="576"/>
      <c r="AM89" s="576"/>
      <c r="AN89" s="576"/>
      <c r="AO89" s="576"/>
      <c r="AP89" s="576"/>
      <c r="AQ89" s="576"/>
      <c r="AR89" s="576"/>
      <c r="AS89" s="576"/>
      <c r="AT89" s="576"/>
      <c r="AU89" s="576"/>
      <c r="AV89" s="576"/>
      <c r="AW89" s="576"/>
      <c r="AX89" s="576"/>
      <c r="AY89" s="576"/>
      <c r="AZ89" s="576"/>
      <c r="BA89" s="576"/>
      <c r="BB89" s="576"/>
      <c r="BC89" s="576"/>
      <c r="BD89" s="572"/>
      <c r="BE89" s="544"/>
      <c r="BF89" s="544"/>
      <c r="BG89" s="544"/>
      <c r="BH89" s="545"/>
      <c r="BI89" s="545"/>
      <c r="BJ89" s="545"/>
      <c r="BK89" s="545"/>
      <c r="BL89" s="545"/>
      <c r="BM89" s="545"/>
      <c r="BN89" s="545"/>
      <c r="BO89" s="545"/>
      <c r="BP89" s="545"/>
      <c r="BQ89" s="545"/>
      <c r="BR89" s="545"/>
      <c r="BS89" s="545"/>
      <c r="BT89" s="545"/>
    </row>
    <row r="90" spans="1:72" ht="15.75">
      <c r="A90" s="545"/>
      <c r="B90" s="545"/>
      <c r="C90" s="545"/>
      <c r="D90" s="545"/>
      <c r="E90" s="545"/>
      <c r="F90" s="545"/>
      <c r="G90" s="545"/>
      <c r="H90" s="545"/>
      <c r="I90" s="545"/>
      <c r="J90" s="545"/>
      <c r="K90" s="545"/>
      <c r="L90" s="545"/>
      <c r="M90" s="545"/>
      <c r="N90" s="545"/>
      <c r="O90" s="545"/>
      <c r="P90" s="545"/>
      <c r="Q90" s="545"/>
      <c r="R90" s="545"/>
      <c r="S90" s="576"/>
      <c r="T90" s="576"/>
      <c r="U90" s="576"/>
      <c r="V90" s="576"/>
      <c r="W90" s="545"/>
      <c r="X90" s="545"/>
      <c r="Y90" s="576"/>
      <c r="Z90" s="576"/>
      <c r="AA90" s="545"/>
      <c r="AB90" s="545"/>
      <c r="AC90" s="545"/>
      <c r="AD90" s="576"/>
      <c r="AE90" s="576"/>
      <c r="AF90" s="576"/>
      <c r="AG90" s="576"/>
      <c r="AH90" s="576"/>
      <c r="AI90" s="576"/>
      <c r="AJ90" s="576"/>
      <c r="AK90" s="576"/>
      <c r="AL90" s="576"/>
      <c r="AM90" s="576"/>
      <c r="AN90" s="576"/>
      <c r="AO90" s="576"/>
      <c r="AP90" s="576"/>
      <c r="AQ90" s="576"/>
      <c r="AR90" s="576"/>
      <c r="AS90" s="576"/>
      <c r="AT90" s="576"/>
      <c r="AU90" s="576"/>
      <c r="AV90" s="576"/>
      <c r="AW90" s="576"/>
      <c r="AX90" s="576"/>
      <c r="AY90" s="576"/>
      <c r="AZ90" s="576"/>
      <c r="BA90" s="576"/>
      <c r="BB90" s="576"/>
      <c r="BC90" s="576"/>
      <c r="BD90" s="572"/>
      <c r="BE90" s="544"/>
      <c r="BF90" s="544"/>
      <c r="BG90" s="544"/>
      <c r="BH90" s="545"/>
      <c r="BI90" s="545"/>
      <c r="BJ90" s="545"/>
      <c r="BK90" s="545"/>
      <c r="BL90" s="545"/>
      <c r="BM90" s="545"/>
      <c r="BN90" s="545"/>
      <c r="BO90" s="545"/>
      <c r="BP90" s="545"/>
      <c r="BQ90" s="545"/>
      <c r="BR90" s="545"/>
      <c r="BS90" s="545"/>
      <c r="BT90" s="545"/>
    </row>
    <row r="91" spans="1:72" ht="15.75">
      <c r="A91" s="545"/>
      <c r="B91" s="545"/>
      <c r="C91" s="545"/>
      <c r="D91" s="545"/>
      <c r="E91" s="545"/>
      <c r="F91" s="545"/>
      <c r="G91" s="545"/>
      <c r="H91" s="545"/>
      <c r="I91" s="545"/>
      <c r="J91" s="545"/>
      <c r="K91" s="545"/>
      <c r="L91" s="545"/>
      <c r="M91" s="545"/>
      <c r="N91" s="545"/>
      <c r="O91" s="545"/>
      <c r="P91" s="545"/>
      <c r="Q91" s="545"/>
      <c r="R91" s="545"/>
      <c r="S91" s="576"/>
      <c r="T91" s="576"/>
      <c r="U91" s="576"/>
      <c r="V91" s="576"/>
      <c r="W91" s="545"/>
      <c r="X91" s="545"/>
      <c r="Y91" s="576"/>
      <c r="Z91" s="576"/>
      <c r="AA91" s="545"/>
      <c r="AB91" s="545"/>
      <c r="AC91" s="545"/>
      <c r="AD91" s="576"/>
      <c r="AE91" s="576"/>
      <c r="AF91" s="576"/>
      <c r="AG91" s="576"/>
      <c r="AH91" s="576"/>
      <c r="AI91" s="576"/>
      <c r="AJ91" s="576"/>
      <c r="AK91" s="576"/>
      <c r="AL91" s="576"/>
      <c r="AM91" s="576"/>
      <c r="AN91" s="576"/>
      <c r="AO91" s="576"/>
      <c r="AP91" s="576"/>
      <c r="AQ91" s="576"/>
      <c r="AR91" s="576"/>
      <c r="AS91" s="576"/>
      <c r="AT91" s="576"/>
      <c r="AU91" s="576"/>
      <c r="AV91" s="576"/>
      <c r="AW91" s="576"/>
      <c r="AX91" s="576"/>
      <c r="AY91" s="576"/>
      <c r="AZ91" s="576"/>
      <c r="BA91" s="576"/>
      <c r="BB91" s="576"/>
      <c r="BC91" s="576"/>
      <c r="BD91" s="572"/>
      <c r="BE91" s="544"/>
      <c r="BF91" s="544"/>
      <c r="BG91" s="544"/>
      <c r="BH91" s="545"/>
      <c r="BI91" s="545"/>
      <c r="BJ91" s="545"/>
      <c r="BK91" s="545"/>
      <c r="BL91" s="545"/>
      <c r="BM91" s="545"/>
      <c r="BN91" s="545"/>
      <c r="BO91" s="545"/>
      <c r="BP91" s="545"/>
      <c r="BQ91" s="545"/>
      <c r="BR91" s="545"/>
      <c r="BS91" s="545"/>
      <c r="BT91" s="545"/>
    </row>
    <row r="92" spans="1:72" ht="15.75">
      <c r="A92" s="545"/>
      <c r="B92" s="545"/>
      <c r="C92" s="545"/>
      <c r="D92" s="545"/>
      <c r="E92" s="545"/>
      <c r="F92" s="545"/>
      <c r="G92" s="545"/>
      <c r="H92" s="545"/>
      <c r="I92" s="545"/>
      <c r="J92" s="545"/>
      <c r="K92" s="545"/>
      <c r="L92" s="545"/>
      <c r="M92" s="545"/>
      <c r="N92" s="545"/>
      <c r="O92" s="545"/>
      <c r="P92" s="545"/>
      <c r="Q92" s="545"/>
      <c r="R92" s="545"/>
      <c r="S92" s="576"/>
      <c r="T92" s="576"/>
      <c r="U92" s="576"/>
      <c r="V92" s="576"/>
      <c r="W92" s="545"/>
      <c r="X92" s="545"/>
      <c r="Y92" s="576"/>
      <c r="Z92" s="576"/>
      <c r="AA92" s="545"/>
      <c r="AB92" s="545"/>
      <c r="AC92" s="545"/>
      <c r="AD92" s="576"/>
      <c r="AE92" s="576"/>
      <c r="AF92" s="576"/>
      <c r="AG92" s="576"/>
      <c r="AH92" s="576"/>
      <c r="AI92" s="576"/>
      <c r="AJ92" s="576"/>
      <c r="AK92" s="576"/>
      <c r="AL92" s="576"/>
      <c r="AM92" s="576"/>
      <c r="AN92" s="576"/>
      <c r="AO92" s="576"/>
      <c r="AP92" s="576"/>
      <c r="AQ92" s="576"/>
      <c r="AR92" s="576"/>
      <c r="AS92" s="576"/>
      <c r="AT92" s="576"/>
      <c r="AU92" s="576"/>
      <c r="AV92" s="576"/>
      <c r="AW92" s="576"/>
      <c r="AX92" s="576"/>
      <c r="AY92" s="576"/>
      <c r="AZ92" s="576"/>
      <c r="BA92" s="576"/>
      <c r="BB92" s="576"/>
      <c r="BC92" s="576"/>
      <c r="BD92" s="572"/>
      <c r="BE92" s="544"/>
      <c r="BF92" s="544"/>
      <c r="BG92" s="544"/>
      <c r="BH92" s="545"/>
      <c r="BI92" s="545"/>
      <c r="BJ92" s="545"/>
      <c r="BK92" s="545"/>
      <c r="BL92" s="545"/>
      <c r="BM92" s="545"/>
      <c r="BN92" s="545"/>
      <c r="BO92" s="545"/>
      <c r="BP92" s="545"/>
      <c r="BQ92" s="545"/>
      <c r="BR92" s="545"/>
      <c r="BS92" s="545"/>
      <c r="BT92" s="545"/>
    </row>
    <row r="93" spans="1:72" ht="15.75">
      <c r="A93" s="545"/>
      <c r="B93" s="545"/>
      <c r="C93" s="545"/>
      <c r="D93" s="545"/>
      <c r="E93" s="545"/>
      <c r="F93" s="545"/>
      <c r="G93" s="545"/>
      <c r="H93" s="545"/>
      <c r="I93" s="545"/>
      <c r="J93" s="545"/>
      <c r="K93" s="545"/>
      <c r="L93" s="545"/>
      <c r="M93" s="545"/>
      <c r="N93" s="545"/>
      <c r="O93" s="545"/>
      <c r="P93" s="545"/>
      <c r="Q93" s="545"/>
      <c r="R93" s="545"/>
      <c r="S93" s="576"/>
      <c r="T93" s="576"/>
      <c r="U93" s="576"/>
      <c r="V93" s="576"/>
      <c r="W93" s="545"/>
      <c r="X93" s="545"/>
      <c r="Y93" s="576"/>
      <c r="Z93" s="576"/>
      <c r="AA93" s="545"/>
      <c r="AB93" s="545"/>
      <c r="AC93" s="545"/>
      <c r="AD93" s="576"/>
      <c r="AE93" s="576"/>
      <c r="AF93" s="576"/>
      <c r="AG93" s="576"/>
      <c r="AH93" s="576"/>
      <c r="AI93" s="576"/>
      <c r="AJ93" s="576"/>
      <c r="AK93" s="576"/>
      <c r="AL93" s="576"/>
      <c r="AM93" s="576"/>
      <c r="AN93" s="576"/>
      <c r="AO93" s="576"/>
      <c r="AP93" s="576"/>
      <c r="AQ93" s="576"/>
      <c r="AR93" s="576"/>
      <c r="AS93" s="576"/>
      <c r="AT93" s="576"/>
      <c r="AU93" s="576"/>
      <c r="AV93" s="576"/>
      <c r="AW93" s="576"/>
      <c r="AX93" s="576"/>
      <c r="AY93" s="576"/>
      <c r="AZ93" s="576"/>
      <c r="BA93" s="576"/>
      <c r="BB93" s="576"/>
      <c r="BC93" s="576"/>
      <c r="BD93" s="572"/>
      <c r="BE93" s="544"/>
      <c r="BF93" s="544"/>
      <c r="BG93" s="544"/>
      <c r="BH93" s="545"/>
      <c r="BI93" s="545"/>
      <c r="BJ93" s="545"/>
      <c r="BK93" s="545"/>
      <c r="BL93" s="545"/>
      <c r="BM93" s="545"/>
      <c r="BN93" s="545"/>
      <c r="BO93" s="545"/>
      <c r="BP93" s="545"/>
      <c r="BQ93" s="545"/>
      <c r="BR93" s="545"/>
      <c r="BS93" s="545"/>
      <c r="BT93" s="545"/>
    </row>
    <row r="94" spans="1:72" ht="15.75">
      <c r="A94" s="545"/>
      <c r="B94" s="545"/>
      <c r="C94" s="545"/>
      <c r="D94" s="545"/>
      <c r="E94" s="545"/>
      <c r="F94" s="545"/>
      <c r="G94" s="545"/>
      <c r="H94" s="545"/>
      <c r="I94" s="545"/>
      <c r="J94" s="545"/>
      <c r="K94" s="545"/>
      <c r="L94" s="545"/>
      <c r="M94" s="545"/>
      <c r="N94" s="545"/>
      <c r="O94" s="545"/>
      <c r="P94" s="545"/>
      <c r="Q94" s="545"/>
      <c r="R94" s="545"/>
      <c r="S94" s="576"/>
      <c r="T94" s="576"/>
      <c r="U94" s="576"/>
      <c r="V94" s="576"/>
      <c r="W94" s="545"/>
      <c r="X94" s="545"/>
      <c r="Y94" s="576"/>
      <c r="Z94" s="576"/>
      <c r="AA94" s="545"/>
      <c r="AB94" s="545"/>
      <c r="AC94" s="545"/>
      <c r="AD94" s="576"/>
      <c r="AE94" s="576"/>
      <c r="AF94" s="576"/>
      <c r="AG94" s="576"/>
      <c r="AH94" s="576"/>
      <c r="AI94" s="576"/>
      <c r="AJ94" s="576"/>
      <c r="AK94" s="576"/>
      <c r="AL94" s="576"/>
      <c r="AM94" s="576"/>
      <c r="AN94" s="576"/>
      <c r="AO94" s="576"/>
      <c r="AP94" s="576"/>
      <c r="AQ94" s="576"/>
      <c r="AR94" s="576"/>
      <c r="AS94" s="576"/>
      <c r="AT94" s="576"/>
      <c r="AU94" s="576"/>
      <c r="AV94" s="576"/>
      <c r="AW94" s="576"/>
      <c r="AX94" s="576"/>
      <c r="AY94" s="576"/>
      <c r="AZ94" s="576"/>
      <c r="BA94" s="576"/>
      <c r="BB94" s="576"/>
      <c r="BC94" s="576"/>
      <c r="BD94" s="572"/>
      <c r="BE94" s="544"/>
      <c r="BF94" s="544"/>
      <c r="BG94" s="544"/>
      <c r="BH94" s="545"/>
      <c r="BI94" s="545"/>
      <c r="BJ94" s="545"/>
      <c r="BK94" s="545"/>
      <c r="BL94" s="545"/>
      <c r="BM94" s="545"/>
      <c r="BN94" s="545"/>
      <c r="BO94" s="545"/>
      <c r="BP94" s="545"/>
      <c r="BQ94" s="545"/>
      <c r="BR94" s="545"/>
      <c r="BS94" s="545"/>
      <c r="BT94" s="545"/>
    </row>
    <row r="95" spans="1:72" ht="15.75">
      <c r="A95" s="545"/>
      <c r="B95" s="545"/>
      <c r="C95" s="545"/>
      <c r="D95" s="545"/>
      <c r="E95" s="545"/>
      <c r="F95" s="545"/>
      <c r="G95" s="545"/>
      <c r="H95" s="545"/>
      <c r="I95" s="545"/>
      <c r="J95" s="545"/>
      <c r="K95" s="545"/>
      <c r="L95" s="545"/>
      <c r="M95" s="545"/>
      <c r="N95" s="545"/>
      <c r="O95" s="545"/>
      <c r="P95" s="545"/>
      <c r="Q95" s="545"/>
      <c r="R95" s="545"/>
      <c r="S95" s="576"/>
      <c r="T95" s="576"/>
      <c r="U95" s="576"/>
      <c r="V95" s="576"/>
      <c r="W95" s="545"/>
      <c r="X95" s="545"/>
      <c r="Y95" s="576"/>
      <c r="Z95" s="576"/>
      <c r="AA95" s="545"/>
      <c r="AB95" s="545"/>
      <c r="AC95" s="545"/>
      <c r="AD95" s="576"/>
      <c r="AE95" s="576"/>
      <c r="AF95" s="576"/>
      <c r="AG95" s="576"/>
      <c r="AH95" s="576"/>
      <c r="AI95" s="576"/>
      <c r="AJ95" s="576"/>
      <c r="AK95" s="576"/>
      <c r="AL95" s="576"/>
      <c r="AM95" s="576"/>
      <c r="AN95" s="576"/>
      <c r="AO95" s="576"/>
      <c r="AP95" s="576"/>
      <c r="AQ95" s="576"/>
      <c r="AR95" s="576"/>
      <c r="AS95" s="576"/>
      <c r="AT95" s="576"/>
      <c r="AU95" s="576"/>
      <c r="AV95" s="576"/>
      <c r="AW95" s="576"/>
      <c r="AX95" s="576"/>
      <c r="AY95" s="576"/>
      <c r="AZ95" s="576"/>
      <c r="BA95" s="576"/>
      <c r="BB95" s="576"/>
      <c r="BC95" s="576"/>
      <c r="BD95" s="572"/>
      <c r="BE95" s="544"/>
      <c r="BF95" s="544"/>
      <c r="BG95" s="544"/>
      <c r="BH95" s="545"/>
      <c r="BI95" s="545"/>
      <c r="BJ95" s="545"/>
      <c r="BK95" s="545"/>
      <c r="BL95" s="545"/>
      <c r="BM95" s="545"/>
      <c r="BN95" s="545"/>
      <c r="BO95" s="545"/>
      <c r="BP95" s="545"/>
      <c r="BQ95" s="545"/>
      <c r="BR95" s="545"/>
      <c r="BS95" s="545"/>
      <c r="BT95" s="545"/>
    </row>
    <row r="96" spans="1:72" ht="15.75">
      <c r="A96" s="545"/>
      <c r="B96" s="545"/>
      <c r="C96" s="545"/>
      <c r="D96" s="545"/>
      <c r="E96" s="545"/>
      <c r="F96" s="545"/>
      <c r="G96" s="545"/>
      <c r="H96" s="545"/>
      <c r="I96" s="545"/>
      <c r="J96" s="545"/>
      <c r="K96" s="545"/>
      <c r="L96" s="545"/>
      <c r="M96" s="545"/>
      <c r="N96" s="545"/>
      <c r="O96" s="545"/>
      <c r="P96" s="545"/>
      <c r="Q96" s="545"/>
      <c r="R96" s="545"/>
      <c r="S96" s="576"/>
      <c r="T96" s="576"/>
      <c r="U96" s="576"/>
      <c r="V96" s="576"/>
      <c r="W96" s="545"/>
      <c r="X96" s="545"/>
      <c r="Y96" s="576"/>
      <c r="Z96" s="576"/>
      <c r="AA96" s="545"/>
      <c r="AB96" s="545"/>
      <c r="AC96" s="545"/>
      <c r="AD96" s="576"/>
      <c r="AE96" s="576"/>
      <c r="AF96" s="576"/>
      <c r="AG96" s="576"/>
      <c r="AH96" s="576"/>
      <c r="AI96" s="576"/>
      <c r="AJ96" s="576"/>
      <c r="AK96" s="576"/>
      <c r="AL96" s="576"/>
      <c r="AM96" s="576"/>
      <c r="AN96" s="576"/>
      <c r="AO96" s="576"/>
      <c r="AP96" s="576"/>
      <c r="AQ96" s="576"/>
      <c r="AR96" s="576"/>
      <c r="AS96" s="576"/>
      <c r="AT96" s="576"/>
      <c r="AU96" s="576"/>
      <c r="AV96" s="576"/>
      <c r="AW96" s="576"/>
      <c r="AX96" s="576"/>
      <c r="AY96" s="576"/>
      <c r="AZ96" s="576"/>
      <c r="BA96" s="576"/>
      <c r="BB96" s="576"/>
      <c r="BC96" s="576"/>
      <c r="BD96" s="572"/>
      <c r="BE96" s="544"/>
      <c r="BF96" s="544"/>
      <c r="BG96" s="544"/>
      <c r="BH96" s="545"/>
      <c r="BI96" s="545"/>
      <c r="BJ96" s="545"/>
      <c r="BK96" s="545"/>
      <c r="BL96" s="545"/>
      <c r="BM96" s="545"/>
      <c r="BN96" s="545"/>
      <c r="BO96" s="545"/>
      <c r="BP96" s="545"/>
      <c r="BQ96" s="545"/>
      <c r="BR96" s="545"/>
      <c r="BS96" s="545"/>
      <c r="BT96" s="545"/>
    </row>
    <row r="97" spans="1:72" ht="15.75">
      <c r="A97" s="545"/>
      <c r="B97" s="545"/>
      <c r="C97" s="545"/>
      <c r="D97" s="545"/>
      <c r="E97" s="545"/>
      <c r="F97" s="545"/>
      <c r="G97" s="545"/>
      <c r="H97" s="545"/>
      <c r="I97" s="545"/>
      <c r="J97" s="545"/>
      <c r="K97" s="545"/>
      <c r="L97" s="545"/>
      <c r="M97" s="545"/>
      <c r="N97" s="545"/>
      <c r="O97" s="545"/>
      <c r="P97" s="545"/>
      <c r="Q97" s="545"/>
      <c r="R97" s="545"/>
      <c r="S97" s="576"/>
      <c r="T97" s="576"/>
      <c r="U97" s="576"/>
      <c r="V97" s="576"/>
      <c r="W97" s="545"/>
      <c r="X97" s="545"/>
      <c r="Y97" s="576"/>
      <c r="Z97" s="576"/>
      <c r="AA97" s="545"/>
      <c r="AB97" s="545"/>
      <c r="AC97" s="545"/>
      <c r="AD97" s="576"/>
      <c r="AE97" s="576"/>
      <c r="AF97" s="576"/>
      <c r="AG97" s="576"/>
      <c r="AH97" s="576"/>
      <c r="AI97" s="576"/>
      <c r="AJ97" s="576"/>
      <c r="AK97" s="576"/>
      <c r="AL97" s="576"/>
      <c r="AM97" s="576"/>
      <c r="AN97" s="576"/>
      <c r="AO97" s="576"/>
      <c r="AP97" s="576"/>
      <c r="AQ97" s="576"/>
      <c r="AR97" s="576"/>
      <c r="AS97" s="576"/>
      <c r="AT97" s="576"/>
      <c r="AU97" s="576"/>
      <c r="AV97" s="576"/>
      <c r="AW97" s="576"/>
      <c r="AX97" s="576"/>
      <c r="AY97" s="576"/>
      <c r="AZ97" s="576"/>
      <c r="BA97" s="576"/>
      <c r="BB97" s="576"/>
      <c r="BC97" s="576"/>
      <c r="BD97" s="572"/>
      <c r="BE97" s="544"/>
      <c r="BF97" s="544"/>
      <c r="BG97" s="544"/>
      <c r="BH97" s="545"/>
      <c r="BI97" s="545"/>
      <c r="BJ97" s="545"/>
      <c r="BK97" s="545"/>
      <c r="BL97" s="545"/>
      <c r="BM97" s="545"/>
      <c r="BN97" s="545"/>
      <c r="BO97" s="545"/>
      <c r="BP97" s="545"/>
      <c r="BQ97" s="545"/>
      <c r="BR97" s="545"/>
      <c r="BS97" s="545"/>
      <c r="BT97" s="545"/>
    </row>
    <row r="98" spans="1:72" ht="15.75">
      <c r="A98" s="545"/>
      <c r="B98" s="545"/>
      <c r="C98" s="545"/>
      <c r="D98" s="545"/>
      <c r="E98" s="545"/>
      <c r="F98" s="545"/>
      <c r="G98" s="545"/>
      <c r="H98" s="545"/>
      <c r="I98" s="545"/>
      <c r="J98" s="545"/>
      <c r="K98" s="545"/>
      <c r="L98" s="545"/>
      <c r="M98" s="545"/>
      <c r="N98" s="545"/>
      <c r="O98" s="545"/>
      <c r="P98" s="545"/>
      <c r="Q98" s="545"/>
      <c r="R98" s="545"/>
      <c r="S98" s="576"/>
      <c r="T98" s="576"/>
      <c r="U98" s="576"/>
      <c r="V98" s="576"/>
      <c r="W98" s="545"/>
      <c r="X98" s="545"/>
      <c r="Y98" s="576"/>
      <c r="Z98" s="576"/>
      <c r="AA98" s="545"/>
      <c r="AB98" s="545"/>
      <c r="AC98" s="545"/>
      <c r="AD98" s="576"/>
      <c r="AE98" s="576"/>
      <c r="AF98" s="576"/>
      <c r="AG98" s="576"/>
      <c r="AH98" s="576"/>
      <c r="AI98" s="576"/>
      <c r="AJ98" s="576"/>
      <c r="AK98" s="576"/>
      <c r="AL98" s="576"/>
      <c r="AM98" s="576"/>
      <c r="AN98" s="576"/>
      <c r="AO98" s="576"/>
      <c r="AP98" s="576"/>
      <c r="AQ98" s="576"/>
      <c r="AR98" s="576"/>
      <c r="AS98" s="576"/>
      <c r="AT98" s="576"/>
      <c r="AU98" s="576"/>
      <c r="AV98" s="576"/>
      <c r="AW98" s="576"/>
      <c r="AX98" s="576"/>
      <c r="AY98" s="576"/>
      <c r="AZ98" s="576"/>
      <c r="BA98" s="576"/>
      <c r="BB98" s="576"/>
      <c r="BC98" s="576"/>
      <c r="BD98" s="572"/>
      <c r="BE98" s="544"/>
      <c r="BF98" s="544"/>
      <c r="BG98" s="544"/>
      <c r="BH98" s="545"/>
      <c r="BI98" s="545"/>
      <c r="BJ98" s="545"/>
      <c r="BK98" s="545"/>
      <c r="BL98" s="545"/>
      <c r="BM98" s="545"/>
      <c r="BN98" s="545"/>
      <c r="BO98" s="545"/>
      <c r="BP98" s="545"/>
      <c r="BQ98" s="545"/>
      <c r="BR98" s="545"/>
      <c r="BS98" s="545"/>
      <c r="BT98" s="545"/>
    </row>
    <row r="99" spans="1:72" ht="15.75">
      <c r="A99" s="545"/>
      <c r="B99" s="545"/>
      <c r="C99" s="545"/>
      <c r="D99" s="545"/>
      <c r="E99" s="545"/>
      <c r="F99" s="545"/>
      <c r="G99" s="545"/>
      <c r="H99" s="545"/>
      <c r="I99" s="545"/>
      <c r="J99" s="545"/>
      <c r="K99" s="545"/>
      <c r="L99" s="545"/>
      <c r="M99" s="545"/>
      <c r="N99" s="545"/>
      <c r="O99" s="545"/>
      <c r="P99" s="545"/>
      <c r="Q99" s="545"/>
      <c r="R99" s="545"/>
      <c r="S99" s="576"/>
      <c r="T99" s="576"/>
      <c r="U99" s="576"/>
      <c r="V99" s="576"/>
      <c r="W99" s="545"/>
      <c r="X99" s="545"/>
      <c r="Y99" s="576"/>
      <c r="Z99" s="576"/>
      <c r="AA99" s="545"/>
      <c r="AB99" s="545"/>
      <c r="AC99" s="545"/>
      <c r="AD99" s="576"/>
      <c r="AE99" s="576"/>
      <c r="AF99" s="576"/>
      <c r="AG99" s="576"/>
      <c r="AH99" s="576"/>
      <c r="AI99" s="576"/>
      <c r="AJ99" s="576"/>
      <c r="AK99" s="576"/>
      <c r="AL99" s="576"/>
      <c r="AM99" s="576"/>
      <c r="AN99" s="576"/>
      <c r="AO99" s="576"/>
      <c r="AP99" s="576"/>
      <c r="AQ99" s="576"/>
      <c r="AR99" s="576"/>
      <c r="AS99" s="576"/>
      <c r="AT99" s="576"/>
      <c r="AU99" s="576"/>
      <c r="AV99" s="576"/>
      <c r="AW99" s="576"/>
      <c r="AX99" s="576"/>
      <c r="AY99" s="576"/>
      <c r="AZ99" s="576"/>
      <c r="BA99" s="576"/>
      <c r="BB99" s="576"/>
      <c r="BC99" s="576"/>
      <c r="BD99" s="572"/>
      <c r="BE99" s="544"/>
      <c r="BF99" s="544"/>
      <c r="BG99" s="544"/>
      <c r="BH99" s="545"/>
      <c r="BI99" s="545"/>
      <c r="BJ99" s="545"/>
      <c r="BK99" s="545"/>
      <c r="BL99" s="545"/>
      <c r="BM99" s="545"/>
      <c r="BN99" s="545"/>
      <c r="BO99" s="545"/>
      <c r="BP99" s="545"/>
      <c r="BQ99" s="545"/>
      <c r="BR99" s="545"/>
      <c r="BS99" s="545"/>
      <c r="BT99" s="545"/>
    </row>
    <row r="100" spans="1:72" ht="15.75">
      <c r="A100" s="545"/>
      <c r="B100" s="545"/>
      <c r="C100" s="545"/>
      <c r="D100" s="545"/>
      <c r="E100" s="545"/>
      <c r="F100" s="545"/>
      <c r="G100" s="545"/>
      <c r="H100" s="545"/>
      <c r="I100" s="545"/>
      <c r="J100" s="545"/>
      <c r="K100" s="545"/>
      <c r="L100" s="545"/>
      <c r="M100" s="545"/>
      <c r="N100" s="545"/>
      <c r="O100" s="545"/>
      <c r="P100" s="545"/>
      <c r="Q100" s="545"/>
      <c r="R100" s="545"/>
      <c r="S100" s="576"/>
      <c r="T100" s="576"/>
      <c r="U100" s="576"/>
      <c r="V100" s="576"/>
      <c r="W100" s="545"/>
      <c r="X100" s="545"/>
      <c r="Y100" s="576"/>
      <c r="Z100" s="576"/>
      <c r="AA100" s="545"/>
      <c r="AB100" s="545"/>
      <c r="AC100" s="545"/>
      <c r="AD100" s="576"/>
      <c r="AE100" s="576"/>
      <c r="AF100" s="576"/>
      <c r="AG100" s="576"/>
      <c r="AH100" s="576"/>
      <c r="AI100" s="576"/>
      <c r="AJ100" s="576"/>
      <c r="AK100" s="576"/>
      <c r="AL100" s="576"/>
      <c r="AM100" s="576"/>
      <c r="AN100" s="576"/>
      <c r="AO100" s="576"/>
      <c r="AP100" s="576"/>
      <c r="AQ100" s="576"/>
      <c r="AR100" s="576"/>
      <c r="AS100" s="576"/>
      <c r="AT100" s="576"/>
      <c r="AU100" s="576"/>
      <c r="AV100" s="576"/>
      <c r="AW100" s="576"/>
      <c r="AX100" s="576"/>
      <c r="AY100" s="576"/>
      <c r="AZ100" s="576"/>
      <c r="BA100" s="576"/>
      <c r="BB100" s="576"/>
      <c r="BC100" s="576"/>
      <c r="BD100" s="572"/>
      <c r="BE100" s="544"/>
      <c r="BF100" s="544"/>
      <c r="BG100" s="544"/>
      <c r="BH100" s="545"/>
      <c r="BI100" s="545"/>
      <c r="BJ100" s="545"/>
      <c r="BK100" s="545"/>
      <c r="BL100" s="545"/>
      <c r="BM100" s="545"/>
      <c r="BN100" s="545"/>
      <c r="BO100" s="545"/>
      <c r="BP100" s="545"/>
      <c r="BQ100" s="545"/>
      <c r="BR100" s="545"/>
      <c r="BS100" s="545"/>
      <c r="BT100" s="545"/>
    </row>
    <row r="101" spans="1:72" ht="15.75">
      <c r="A101" s="545"/>
      <c r="B101" s="545"/>
      <c r="C101" s="545"/>
      <c r="D101" s="545"/>
      <c r="E101" s="545"/>
      <c r="F101" s="545"/>
      <c r="G101" s="545"/>
      <c r="H101" s="545"/>
      <c r="I101" s="545"/>
      <c r="J101" s="545"/>
      <c r="K101" s="545"/>
      <c r="L101" s="545"/>
      <c r="M101" s="545"/>
      <c r="N101" s="545"/>
      <c r="O101" s="545"/>
      <c r="P101" s="545"/>
      <c r="Q101" s="545"/>
      <c r="R101" s="545"/>
      <c r="S101" s="576"/>
      <c r="T101" s="576"/>
      <c r="U101" s="576"/>
      <c r="V101" s="576"/>
      <c r="W101" s="545"/>
      <c r="X101" s="545"/>
      <c r="Y101" s="576"/>
      <c r="Z101" s="576"/>
      <c r="AA101" s="545"/>
      <c r="AB101" s="545"/>
      <c r="AC101" s="545"/>
      <c r="AD101" s="576"/>
      <c r="AE101" s="576"/>
      <c r="AF101" s="576"/>
      <c r="AG101" s="576"/>
      <c r="AH101" s="576"/>
      <c r="AI101" s="576"/>
      <c r="AJ101" s="576"/>
      <c r="AK101" s="576"/>
      <c r="AL101" s="576"/>
      <c r="AM101" s="576"/>
      <c r="AN101" s="576"/>
      <c r="AO101" s="576"/>
      <c r="AP101" s="576"/>
      <c r="AQ101" s="576"/>
      <c r="AR101" s="576"/>
      <c r="AS101" s="576"/>
      <c r="AT101" s="576"/>
      <c r="AU101" s="576"/>
      <c r="AV101" s="576"/>
      <c r="AW101" s="576"/>
      <c r="AX101" s="576"/>
      <c r="AY101" s="576"/>
      <c r="AZ101" s="576"/>
      <c r="BA101" s="576"/>
      <c r="BB101" s="576"/>
      <c r="BC101" s="576"/>
      <c r="BD101" s="572"/>
      <c r="BE101" s="544"/>
      <c r="BF101" s="544"/>
      <c r="BG101" s="544"/>
      <c r="BH101" s="545"/>
      <c r="BI101" s="545"/>
      <c r="BJ101" s="545"/>
      <c r="BK101" s="545"/>
      <c r="BL101" s="545"/>
      <c r="BM101" s="545"/>
      <c r="BN101" s="545"/>
      <c r="BO101" s="545"/>
      <c r="BP101" s="545"/>
      <c r="BQ101" s="545"/>
      <c r="BR101" s="545"/>
      <c r="BS101" s="545"/>
      <c r="BT101" s="545"/>
    </row>
    <row r="102" spans="1:72" ht="15.75">
      <c r="A102" s="545"/>
      <c r="B102" s="545"/>
      <c r="C102" s="545"/>
      <c r="D102" s="545"/>
      <c r="E102" s="545"/>
      <c r="F102" s="545"/>
      <c r="G102" s="545"/>
      <c r="H102" s="545"/>
      <c r="I102" s="545"/>
      <c r="J102" s="545"/>
      <c r="K102" s="545"/>
      <c r="L102" s="545"/>
      <c r="M102" s="545"/>
      <c r="N102" s="545"/>
      <c r="O102" s="545"/>
      <c r="P102" s="545"/>
      <c r="Q102" s="545"/>
      <c r="R102" s="545"/>
      <c r="S102" s="576"/>
      <c r="T102" s="576"/>
      <c r="U102" s="576"/>
      <c r="V102" s="576"/>
      <c r="W102" s="545"/>
      <c r="X102" s="545"/>
      <c r="Y102" s="576"/>
      <c r="Z102" s="576"/>
      <c r="AA102" s="545"/>
      <c r="AB102" s="545"/>
      <c r="AC102" s="545"/>
      <c r="AD102" s="576"/>
      <c r="AE102" s="576"/>
      <c r="AF102" s="576"/>
      <c r="AG102" s="576"/>
      <c r="AH102" s="576"/>
      <c r="AI102" s="576"/>
      <c r="AJ102" s="576"/>
      <c r="AK102" s="576"/>
      <c r="AL102" s="576"/>
      <c r="AM102" s="576"/>
      <c r="AN102" s="576"/>
      <c r="AO102" s="576"/>
      <c r="AP102" s="576"/>
      <c r="AQ102" s="576"/>
      <c r="AR102" s="576"/>
      <c r="AS102" s="576"/>
      <c r="AT102" s="576"/>
      <c r="AU102" s="576"/>
      <c r="AV102" s="576"/>
      <c r="AW102" s="576"/>
      <c r="AX102" s="576"/>
      <c r="AY102" s="576"/>
      <c r="AZ102" s="576"/>
      <c r="BA102" s="576"/>
      <c r="BB102" s="576"/>
      <c r="BC102" s="576"/>
      <c r="BD102" s="572"/>
      <c r="BE102" s="544"/>
      <c r="BF102" s="544"/>
      <c r="BG102" s="544"/>
      <c r="BH102" s="545"/>
      <c r="BI102" s="545"/>
      <c r="BJ102" s="545"/>
      <c r="BK102" s="545"/>
      <c r="BL102" s="545"/>
      <c r="BM102" s="545"/>
      <c r="BN102" s="545"/>
      <c r="BO102" s="545"/>
      <c r="BP102" s="545"/>
      <c r="BQ102" s="545"/>
      <c r="BR102" s="545"/>
      <c r="BS102" s="545"/>
      <c r="BT102" s="545"/>
    </row>
    <row r="103" spans="1:72" ht="15.75">
      <c r="A103" s="545"/>
      <c r="B103" s="545"/>
      <c r="C103" s="545"/>
      <c r="D103" s="545"/>
      <c r="E103" s="545"/>
      <c r="F103" s="545"/>
      <c r="G103" s="545"/>
      <c r="H103" s="545"/>
      <c r="I103" s="545"/>
      <c r="J103" s="545"/>
      <c r="K103" s="545"/>
      <c r="L103" s="545"/>
      <c r="M103" s="545"/>
      <c r="N103" s="545"/>
      <c r="O103" s="545"/>
      <c r="P103" s="545"/>
      <c r="Q103" s="545"/>
      <c r="R103" s="545"/>
      <c r="S103" s="576"/>
      <c r="T103" s="576"/>
      <c r="U103" s="576"/>
      <c r="V103" s="576"/>
      <c r="W103" s="545"/>
      <c r="X103" s="545"/>
      <c r="Y103" s="576"/>
      <c r="Z103" s="576"/>
      <c r="AA103" s="545"/>
      <c r="AB103" s="545"/>
      <c r="AC103" s="545"/>
      <c r="AD103" s="576"/>
      <c r="AE103" s="576"/>
      <c r="AF103" s="576"/>
      <c r="AG103" s="576"/>
      <c r="AH103" s="576"/>
      <c r="AI103" s="576"/>
      <c r="AJ103" s="576"/>
      <c r="AK103" s="576"/>
      <c r="AL103" s="576"/>
      <c r="AM103" s="576"/>
      <c r="AN103" s="576"/>
      <c r="AO103" s="576"/>
      <c r="AP103" s="576"/>
      <c r="AQ103" s="576"/>
      <c r="AR103" s="576"/>
      <c r="AS103" s="576"/>
      <c r="AT103" s="576"/>
      <c r="AU103" s="576"/>
      <c r="AV103" s="576"/>
      <c r="AW103" s="576"/>
      <c r="AX103" s="576"/>
      <c r="AY103" s="576"/>
      <c r="AZ103" s="576"/>
      <c r="BA103" s="576"/>
      <c r="BB103" s="576"/>
      <c r="BC103" s="576"/>
      <c r="BD103" s="572"/>
      <c r="BE103" s="544"/>
      <c r="BF103" s="544"/>
      <c r="BG103" s="544"/>
      <c r="BH103" s="545"/>
      <c r="BI103" s="545"/>
      <c r="BJ103" s="545"/>
      <c r="BK103" s="545"/>
      <c r="BL103" s="545"/>
      <c r="BM103" s="545"/>
      <c r="BN103" s="545"/>
      <c r="BO103" s="545"/>
      <c r="BP103" s="545"/>
      <c r="BQ103" s="545"/>
      <c r="BR103" s="545"/>
      <c r="BS103" s="545"/>
      <c r="BT103" s="545"/>
    </row>
    <row r="104" spans="1:72" ht="15.75">
      <c r="A104" s="545"/>
      <c r="B104" s="545"/>
      <c r="C104" s="545"/>
      <c r="D104" s="545"/>
      <c r="E104" s="545"/>
      <c r="F104" s="545"/>
      <c r="G104" s="545"/>
      <c r="H104" s="545"/>
      <c r="I104" s="545"/>
      <c r="J104" s="545"/>
      <c r="K104" s="545"/>
      <c r="L104" s="545"/>
      <c r="M104" s="545"/>
      <c r="N104" s="545"/>
      <c r="O104" s="545"/>
      <c r="P104" s="545"/>
      <c r="Q104" s="545"/>
      <c r="R104" s="545"/>
      <c r="S104" s="576"/>
      <c r="T104" s="576"/>
      <c r="U104" s="576"/>
      <c r="V104" s="576"/>
      <c r="W104" s="545"/>
      <c r="X104" s="545"/>
      <c r="Y104" s="576"/>
      <c r="Z104" s="576"/>
      <c r="AA104" s="545"/>
      <c r="AB104" s="545"/>
      <c r="AC104" s="545"/>
      <c r="AD104" s="576"/>
      <c r="AE104" s="576"/>
      <c r="AF104" s="576"/>
      <c r="AG104" s="576"/>
      <c r="AH104" s="576"/>
      <c r="AI104" s="576"/>
      <c r="AJ104" s="576"/>
      <c r="AK104" s="576"/>
      <c r="AL104" s="576"/>
      <c r="AM104" s="576"/>
      <c r="AN104" s="576"/>
      <c r="AO104" s="576"/>
      <c r="AP104" s="576"/>
      <c r="AQ104" s="576"/>
      <c r="AR104" s="576"/>
      <c r="AS104" s="576"/>
      <c r="AT104" s="576"/>
      <c r="AU104" s="576"/>
      <c r="AV104" s="576"/>
      <c r="AW104" s="576"/>
      <c r="AX104" s="576"/>
      <c r="AY104" s="576"/>
      <c r="AZ104" s="576"/>
      <c r="BA104" s="576"/>
      <c r="BB104" s="576"/>
      <c r="BC104" s="576"/>
      <c r="BD104" s="572"/>
      <c r="BE104" s="544"/>
      <c r="BF104" s="544"/>
      <c r="BG104" s="544"/>
      <c r="BH104" s="545"/>
      <c r="BI104" s="545"/>
      <c r="BJ104" s="545"/>
      <c r="BK104" s="545"/>
      <c r="BL104" s="545"/>
      <c r="BM104" s="545"/>
      <c r="BN104" s="545"/>
      <c r="BO104" s="545"/>
      <c r="BP104" s="545"/>
      <c r="BQ104" s="545"/>
      <c r="BR104" s="545"/>
      <c r="BS104" s="545"/>
      <c r="BT104" s="545"/>
    </row>
    <row r="105" spans="1:72" ht="15.75">
      <c r="A105" s="545"/>
      <c r="B105" s="545"/>
      <c r="C105" s="545"/>
      <c r="D105" s="545"/>
      <c r="E105" s="545"/>
      <c r="F105" s="545"/>
      <c r="G105" s="545"/>
      <c r="H105" s="545"/>
      <c r="I105" s="545"/>
      <c r="J105" s="545"/>
      <c r="K105" s="545"/>
      <c r="L105" s="545"/>
      <c r="M105" s="545"/>
      <c r="N105" s="545"/>
      <c r="O105" s="545"/>
      <c r="P105" s="545"/>
      <c r="Q105" s="545"/>
      <c r="R105" s="545"/>
      <c r="S105" s="576"/>
      <c r="T105" s="576"/>
      <c r="U105" s="576"/>
      <c r="V105" s="576"/>
      <c r="W105" s="545"/>
      <c r="X105" s="545"/>
      <c r="Y105" s="576"/>
      <c r="Z105" s="576"/>
      <c r="AA105" s="545"/>
      <c r="AB105" s="545"/>
      <c r="AC105" s="545"/>
      <c r="AD105" s="576"/>
      <c r="AE105" s="576"/>
      <c r="AF105" s="576"/>
      <c r="AG105" s="576"/>
      <c r="AH105" s="576"/>
      <c r="AI105" s="576"/>
      <c r="AJ105" s="576"/>
      <c r="AK105" s="576"/>
      <c r="AL105" s="576"/>
      <c r="AM105" s="576"/>
      <c r="AN105" s="576"/>
      <c r="AO105" s="576"/>
      <c r="AP105" s="576"/>
      <c r="AQ105" s="576"/>
      <c r="AR105" s="576"/>
      <c r="AS105" s="576"/>
      <c r="AT105" s="576"/>
      <c r="AU105" s="576"/>
      <c r="AV105" s="576"/>
      <c r="AW105" s="576"/>
      <c r="AX105" s="576"/>
      <c r="AY105" s="576"/>
      <c r="AZ105" s="576"/>
      <c r="BA105" s="576"/>
      <c r="BB105" s="576"/>
      <c r="BC105" s="576"/>
      <c r="BD105" s="572"/>
      <c r="BE105" s="544"/>
      <c r="BF105" s="544"/>
      <c r="BG105" s="544"/>
      <c r="BH105" s="545"/>
      <c r="BI105" s="545"/>
      <c r="BJ105" s="545"/>
      <c r="BK105" s="545"/>
      <c r="BL105" s="545"/>
      <c r="BM105" s="545"/>
      <c r="BN105" s="545"/>
      <c r="BO105" s="545"/>
      <c r="BP105" s="545"/>
      <c r="BQ105" s="545"/>
      <c r="BR105" s="545"/>
      <c r="BS105" s="545"/>
      <c r="BT105" s="545"/>
    </row>
    <row r="106" spans="1:72" ht="15.75">
      <c r="A106" s="545"/>
      <c r="B106" s="545"/>
      <c r="C106" s="545"/>
      <c r="D106" s="545"/>
      <c r="E106" s="545"/>
      <c r="F106" s="545"/>
      <c r="G106" s="545"/>
      <c r="H106" s="545"/>
      <c r="I106" s="545"/>
      <c r="J106" s="545"/>
      <c r="K106" s="545"/>
      <c r="L106" s="545"/>
      <c r="M106" s="545"/>
      <c r="N106" s="545"/>
      <c r="O106" s="545"/>
      <c r="P106" s="545"/>
      <c r="Q106" s="545"/>
      <c r="R106" s="545"/>
      <c r="S106" s="576"/>
      <c r="T106" s="576"/>
      <c r="U106" s="576"/>
      <c r="V106" s="576"/>
      <c r="W106" s="545"/>
      <c r="X106" s="545"/>
      <c r="Y106" s="576"/>
      <c r="Z106" s="576"/>
      <c r="AA106" s="545"/>
      <c r="AB106" s="545"/>
      <c r="AC106" s="545"/>
      <c r="AD106" s="576"/>
      <c r="AE106" s="576"/>
      <c r="AF106" s="576"/>
      <c r="AG106" s="576"/>
      <c r="AH106" s="576"/>
      <c r="AI106" s="576"/>
      <c r="AJ106" s="576"/>
      <c r="AK106" s="576"/>
      <c r="AL106" s="576"/>
      <c r="AM106" s="576"/>
      <c r="AN106" s="576"/>
      <c r="AO106" s="576"/>
      <c r="AP106" s="576"/>
      <c r="AQ106" s="576"/>
      <c r="AR106" s="576"/>
      <c r="AS106" s="576"/>
      <c r="AT106" s="576"/>
      <c r="AU106" s="576"/>
      <c r="AV106" s="576"/>
      <c r="AW106" s="576"/>
      <c r="AX106" s="576"/>
      <c r="AY106" s="576"/>
      <c r="AZ106" s="576"/>
      <c r="BA106" s="576"/>
      <c r="BB106" s="576"/>
      <c r="BC106" s="576"/>
      <c r="BD106" s="572"/>
      <c r="BE106" s="544"/>
      <c r="BF106" s="544"/>
      <c r="BG106" s="544"/>
      <c r="BH106" s="545"/>
      <c r="BI106" s="545"/>
      <c r="BJ106" s="545"/>
      <c r="BK106" s="545"/>
      <c r="BL106" s="545"/>
      <c r="BM106" s="545"/>
      <c r="BN106" s="545"/>
      <c r="BO106" s="545"/>
      <c r="BP106" s="545"/>
      <c r="BQ106" s="545"/>
      <c r="BR106" s="545"/>
      <c r="BS106" s="545"/>
      <c r="BT106" s="545"/>
    </row>
    <row r="107" spans="1:72" ht="15.75">
      <c r="A107" s="545"/>
      <c r="B107" s="545"/>
      <c r="C107" s="545"/>
      <c r="D107" s="545"/>
      <c r="E107" s="545"/>
      <c r="F107" s="545"/>
      <c r="G107" s="545"/>
      <c r="H107" s="545"/>
      <c r="I107" s="545"/>
      <c r="J107" s="545"/>
      <c r="K107" s="545"/>
      <c r="L107" s="545"/>
      <c r="M107" s="545"/>
      <c r="N107" s="545"/>
      <c r="O107" s="545"/>
      <c r="P107" s="545"/>
      <c r="Q107" s="545"/>
      <c r="R107" s="545"/>
      <c r="S107" s="576"/>
      <c r="T107" s="576"/>
      <c r="U107" s="576"/>
      <c r="V107" s="576"/>
      <c r="W107" s="545"/>
      <c r="X107" s="545"/>
      <c r="Y107" s="576"/>
      <c r="Z107" s="576"/>
      <c r="AA107" s="545"/>
      <c r="AB107" s="545"/>
      <c r="AC107" s="545"/>
      <c r="AD107" s="576"/>
      <c r="AE107" s="576"/>
      <c r="AF107" s="576"/>
      <c r="AG107" s="576"/>
      <c r="AH107" s="576"/>
      <c r="AI107" s="576"/>
      <c r="AJ107" s="576"/>
      <c r="AK107" s="576"/>
      <c r="AL107" s="576"/>
      <c r="AM107" s="576"/>
      <c r="AN107" s="576"/>
      <c r="AO107" s="576"/>
      <c r="AP107" s="576"/>
      <c r="AQ107" s="576"/>
      <c r="AR107" s="576"/>
      <c r="AS107" s="576"/>
      <c r="AT107" s="576"/>
      <c r="AU107" s="576"/>
      <c r="AV107" s="576"/>
      <c r="AW107" s="576"/>
      <c r="AX107" s="576"/>
      <c r="AY107" s="576"/>
      <c r="AZ107" s="576"/>
      <c r="BA107" s="576"/>
      <c r="BB107" s="576"/>
      <c r="BC107" s="576"/>
      <c r="BD107" s="572"/>
      <c r="BE107" s="544"/>
      <c r="BF107" s="544"/>
      <c r="BG107" s="544"/>
      <c r="BH107" s="545"/>
      <c r="BI107" s="545"/>
      <c r="BJ107" s="545"/>
      <c r="BK107" s="545"/>
      <c r="BL107" s="545"/>
      <c r="BM107" s="545"/>
      <c r="BN107" s="545"/>
      <c r="BO107" s="545"/>
      <c r="BP107" s="545"/>
      <c r="BQ107" s="545"/>
      <c r="BR107" s="545"/>
      <c r="BS107" s="545"/>
      <c r="BT107" s="545"/>
    </row>
    <row r="108" spans="1:72" ht="15.75">
      <c r="A108" s="545"/>
      <c r="B108" s="545"/>
      <c r="C108" s="545"/>
      <c r="D108" s="545"/>
      <c r="E108" s="545"/>
      <c r="F108" s="545"/>
      <c r="G108" s="545"/>
      <c r="H108" s="545"/>
      <c r="I108" s="545"/>
      <c r="J108" s="545"/>
      <c r="K108" s="545"/>
      <c r="L108" s="545"/>
      <c r="M108" s="545"/>
      <c r="N108" s="545"/>
      <c r="O108" s="545"/>
      <c r="P108" s="545"/>
      <c r="Q108" s="545"/>
      <c r="R108" s="545"/>
      <c r="S108" s="576"/>
      <c r="T108" s="576"/>
      <c r="U108" s="576"/>
      <c r="V108" s="576"/>
      <c r="W108" s="545"/>
      <c r="X108" s="545"/>
      <c r="Y108" s="576"/>
      <c r="Z108" s="576"/>
      <c r="AA108" s="545"/>
      <c r="AB108" s="545"/>
      <c r="AC108" s="545"/>
      <c r="AD108" s="576"/>
      <c r="AE108" s="576"/>
      <c r="AF108" s="576"/>
      <c r="AG108" s="576"/>
      <c r="AH108" s="576"/>
      <c r="AI108" s="576"/>
      <c r="AJ108" s="576"/>
      <c r="AK108" s="576"/>
      <c r="AL108" s="576"/>
      <c r="AM108" s="576"/>
      <c r="AN108" s="576"/>
      <c r="AO108" s="576"/>
      <c r="AP108" s="576"/>
      <c r="AQ108" s="576"/>
      <c r="AR108" s="576"/>
      <c r="AS108" s="576"/>
      <c r="AT108" s="576"/>
      <c r="AU108" s="576"/>
      <c r="AV108" s="576"/>
      <c r="AW108" s="576"/>
      <c r="AX108" s="576"/>
      <c r="AY108" s="576"/>
      <c r="AZ108" s="576"/>
      <c r="BA108" s="576"/>
      <c r="BB108" s="576"/>
      <c r="BC108" s="576"/>
      <c r="BD108" s="572"/>
      <c r="BE108" s="544"/>
      <c r="BF108" s="544"/>
      <c r="BG108" s="544"/>
      <c r="BH108" s="545"/>
      <c r="BI108" s="545"/>
      <c r="BJ108" s="545"/>
      <c r="BK108" s="545"/>
      <c r="BL108" s="545"/>
      <c r="BM108" s="545"/>
      <c r="BN108" s="545"/>
      <c r="BO108" s="545"/>
      <c r="BP108" s="545"/>
      <c r="BQ108" s="545"/>
      <c r="BR108" s="545"/>
      <c r="BS108" s="545"/>
      <c r="BT108" s="545"/>
    </row>
    <row r="109" spans="1:72" ht="15.75">
      <c r="A109" s="545"/>
      <c r="B109" s="545"/>
      <c r="C109" s="545"/>
      <c r="D109" s="545"/>
      <c r="E109" s="545"/>
      <c r="F109" s="545"/>
      <c r="G109" s="545"/>
      <c r="H109" s="545"/>
      <c r="I109" s="545"/>
      <c r="J109" s="545"/>
      <c r="K109" s="545"/>
      <c r="L109" s="545"/>
      <c r="M109" s="545"/>
      <c r="N109" s="545"/>
      <c r="O109" s="545"/>
      <c r="P109" s="545"/>
      <c r="Q109" s="545"/>
      <c r="R109" s="545"/>
      <c r="S109" s="576"/>
      <c r="T109" s="576"/>
      <c r="U109" s="576"/>
      <c r="V109" s="576"/>
      <c r="W109" s="545"/>
      <c r="X109" s="545"/>
      <c r="Y109" s="576"/>
      <c r="Z109" s="576"/>
      <c r="AA109" s="545"/>
      <c r="AB109" s="545"/>
      <c r="AC109" s="545"/>
      <c r="AD109" s="576"/>
      <c r="AE109" s="576"/>
      <c r="AF109" s="576"/>
      <c r="AG109" s="576"/>
      <c r="AH109" s="576"/>
      <c r="AI109" s="576"/>
      <c r="AJ109" s="576"/>
      <c r="AK109" s="576"/>
      <c r="AL109" s="576"/>
      <c r="AM109" s="576"/>
      <c r="AN109" s="576"/>
      <c r="AO109" s="576"/>
      <c r="AP109" s="576"/>
      <c r="AQ109" s="576"/>
      <c r="AR109" s="576"/>
      <c r="AS109" s="576"/>
      <c r="AT109" s="576"/>
      <c r="AU109" s="576"/>
      <c r="AV109" s="576"/>
      <c r="AW109" s="576"/>
      <c r="AX109" s="576"/>
      <c r="AY109" s="576"/>
      <c r="AZ109" s="576"/>
      <c r="BA109" s="576"/>
      <c r="BB109" s="576"/>
      <c r="BC109" s="576"/>
      <c r="BD109" s="572"/>
      <c r="BE109" s="544"/>
      <c r="BF109" s="544"/>
      <c r="BG109" s="544"/>
      <c r="BH109" s="545"/>
      <c r="BI109" s="545"/>
      <c r="BJ109" s="545"/>
      <c r="BK109" s="545"/>
      <c r="BL109" s="545"/>
      <c r="BM109" s="545"/>
      <c r="BN109" s="545"/>
      <c r="BO109" s="545"/>
      <c r="BP109" s="545"/>
      <c r="BQ109" s="545"/>
      <c r="BR109" s="545"/>
      <c r="BS109" s="545"/>
      <c r="BT109" s="545"/>
    </row>
    <row r="110" spans="1:72" ht="15.75">
      <c r="A110" s="545"/>
      <c r="B110" s="545"/>
      <c r="C110" s="545"/>
      <c r="D110" s="545"/>
      <c r="E110" s="545"/>
      <c r="F110" s="545"/>
      <c r="G110" s="545"/>
      <c r="H110" s="545"/>
      <c r="I110" s="545"/>
      <c r="J110" s="545"/>
      <c r="K110" s="545"/>
      <c r="L110" s="545"/>
      <c r="M110" s="545"/>
      <c r="N110" s="545"/>
      <c r="O110" s="545"/>
      <c r="P110" s="545"/>
      <c r="Q110" s="545"/>
      <c r="R110" s="545"/>
      <c r="S110" s="576"/>
      <c r="T110" s="576"/>
      <c r="U110" s="576"/>
      <c r="V110" s="576"/>
      <c r="W110" s="545"/>
      <c r="X110" s="545"/>
      <c r="Y110" s="576"/>
      <c r="Z110" s="576"/>
      <c r="AA110" s="545"/>
      <c r="AB110" s="545"/>
      <c r="AC110" s="545"/>
      <c r="AD110" s="576"/>
      <c r="AE110" s="576"/>
      <c r="AF110" s="576"/>
      <c r="AG110" s="576"/>
      <c r="AH110" s="576"/>
      <c r="AI110" s="576"/>
      <c r="AJ110" s="576"/>
      <c r="AK110" s="576"/>
      <c r="AL110" s="576"/>
      <c r="AM110" s="576"/>
      <c r="AN110" s="576"/>
      <c r="AO110" s="576"/>
      <c r="AP110" s="576"/>
      <c r="AQ110" s="576"/>
      <c r="AR110" s="576"/>
      <c r="AS110" s="576"/>
      <c r="AT110" s="576"/>
      <c r="AU110" s="576"/>
      <c r="AV110" s="576"/>
      <c r="AW110" s="576"/>
      <c r="AX110" s="576"/>
      <c r="AY110" s="576"/>
      <c r="AZ110" s="576"/>
      <c r="BA110" s="576"/>
      <c r="BB110" s="576"/>
      <c r="BC110" s="576"/>
      <c r="BD110" s="572"/>
      <c r="BE110" s="544"/>
      <c r="BF110" s="544"/>
      <c r="BG110" s="544"/>
      <c r="BH110" s="545"/>
      <c r="BI110" s="545"/>
      <c r="BJ110" s="545"/>
      <c r="BK110" s="545"/>
      <c r="BL110" s="545"/>
      <c r="BM110" s="545"/>
      <c r="BN110" s="545"/>
      <c r="BO110" s="545"/>
      <c r="BP110" s="545"/>
      <c r="BQ110" s="545"/>
      <c r="BR110" s="545"/>
      <c r="BS110" s="545"/>
      <c r="BT110" s="545"/>
    </row>
    <row r="111" spans="1:72" ht="15.75">
      <c r="A111" s="545"/>
      <c r="B111" s="545"/>
      <c r="C111" s="545"/>
      <c r="D111" s="545"/>
      <c r="E111" s="545"/>
      <c r="F111" s="545"/>
      <c r="G111" s="545"/>
      <c r="H111" s="545"/>
      <c r="I111" s="545"/>
      <c r="J111" s="545"/>
      <c r="K111" s="545"/>
      <c r="L111" s="545"/>
      <c r="M111" s="545"/>
      <c r="N111" s="545"/>
      <c r="O111" s="545"/>
      <c r="P111" s="545"/>
      <c r="Q111" s="545"/>
      <c r="R111" s="545"/>
      <c r="S111" s="576"/>
      <c r="T111" s="576"/>
      <c r="U111" s="576"/>
      <c r="V111" s="576"/>
      <c r="W111" s="545"/>
      <c r="X111" s="545"/>
      <c r="Y111" s="576"/>
      <c r="Z111" s="576"/>
      <c r="AA111" s="545"/>
      <c r="AB111" s="545"/>
      <c r="AC111" s="545"/>
      <c r="AD111" s="576"/>
      <c r="AE111" s="576"/>
      <c r="AF111" s="576"/>
      <c r="AG111" s="576"/>
      <c r="AH111" s="576"/>
      <c r="AI111" s="576"/>
      <c r="AJ111" s="576"/>
      <c r="AK111" s="576"/>
      <c r="AL111" s="576"/>
      <c r="AM111" s="576"/>
      <c r="AN111" s="576"/>
      <c r="AO111" s="576"/>
      <c r="AP111" s="576"/>
      <c r="AQ111" s="576"/>
      <c r="AR111" s="576"/>
      <c r="AS111" s="576"/>
      <c r="AT111" s="576"/>
      <c r="AU111" s="576"/>
      <c r="AV111" s="576"/>
      <c r="AW111" s="576"/>
      <c r="AX111" s="576"/>
      <c r="AY111" s="576"/>
      <c r="AZ111" s="576"/>
      <c r="BA111" s="576"/>
      <c r="BB111" s="576"/>
      <c r="BC111" s="576"/>
      <c r="BD111" s="572"/>
      <c r="BE111" s="544"/>
      <c r="BF111" s="544"/>
      <c r="BG111" s="544"/>
      <c r="BH111" s="545"/>
      <c r="BI111" s="545"/>
      <c r="BJ111" s="545"/>
      <c r="BK111" s="545"/>
      <c r="BL111" s="545"/>
      <c r="BM111" s="545"/>
      <c r="BN111" s="545"/>
      <c r="BO111" s="545"/>
      <c r="BP111" s="545"/>
      <c r="BQ111" s="545"/>
      <c r="BR111" s="545"/>
      <c r="BS111" s="545"/>
      <c r="BT111" s="545"/>
    </row>
    <row r="112" spans="1:72" ht="15.75">
      <c r="A112" s="545"/>
      <c r="B112" s="545"/>
      <c r="C112" s="545"/>
      <c r="D112" s="545"/>
      <c r="E112" s="545"/>
      <c r="F112" s="545"/>
      <c r="G112" s="545"/>
      <c r="H112" s="545"/>
      <c r="I112" s="545"/>
      <c r="J112" s="545"/>
      <c r="K112" s="545"/>
      <c r="L112" s="545"/>
      <c r="M112" s="545"/>
      <c r="N112" s="545"/>
      <c r="O112" s="545"/>
      <c r="P112" s="545"/>
      <c r="Q112" s="545"/>
      <c r="R112" s="545"/>
      <c r="S112" s="576"/>
      <c r="T112" s="576"/>
      <c r="U112" s="576"/>
      <c r="V112" s="576"/>
      <c r="W112" s="545"/>
      <c r="X112" s="545"/>
      <c r="Y112" s="576"/>
      <c r="Z112" s="576"/>
      <c r="AA112" s="545"/>
      <c r="AB112" s="545"/>
      <c r="AC112" s="545"/>
      <c r="AD112" s="576"/>
      <c r="AE112" s="576"/>
      <c r="AF112" s="576"/>
      <c r="AG112" s="576"/>
      <c r="AH112" s="576"/>
      <c r="AI112" s="576"/>
      <c r="AJ112" s="576"/>
      <c r="AK112" s="576"/>
      <c r="AL112" s="576"/>
      <c r="AM112" s="576"/>
      <c r="AN112" s="576"/>
      <c r="AO112" s="576"/>
      <c r="AP112" s="576"/>
      <c r="AQ112" s="576"/>
      <c r="AR112" s="576"/>
      <c r="AS112" s="576"/>
      <c r="AT112" s="576"/>
      <c r="AU112" s="576"/>
      <c r="AV112" s="576"/>
      <c r="AW112" s="576"/>
      <c r="AX112" s="576"/>
      <c r="AY112" s="576"/>
      <c r="AZ112" s="576"/>
      <c r="BA112" s="576"/>
      <c r="BB112" s="576"/>
      <c r="BC112" s="576"/>
      <c r="BD112" s="572"/>
      <c r="BE112" s="544"/>
      <c r="BF112" s="544"/>
      <c r="BG112" s="544"/>
      <c r="BH112" s="545"/>
      <c r="BI112" s="545"/>
      <c r="BJ112" s="545"/>
      <c r="BK112" s="545"/>
      <c r="BL112" s="545"/>
      <c r="BM112" s="545"/>
      <c r="BN112" s="545"/>
      <c r="BO112" s="545"/>
      <c r="BP112" s="545"/>
      <c r="BQ112" s="545"/>
      <c r="BR112" s="545"/>
      <c r="BS112" s="545"/>
      <c r="BT112" s="545"/>
    </row>
    <row r="113" spans="1:72" ht="15.75">
      <c r="A113" s="545"/>
      <c r="B113" s="545"/>
      <c r="C113" s="545"/>
      <c r="D113" s="545"/>
      <c r="E113" s="545"/>
      <c r="F113" s="545"/>
      <c r="G113" s="545"/>
      <c r="H113" s="545"/>
      <c r="I113" s="545"/>
      <c r="J113" s="545"/>
      <c r="K113" s="545"/>
      <c r="L113" s="545"/>
      <c r="M113" s="545"/>
      <c r="N113" s="545"/>
      <c r="O113" s="545"/>
      <c r="P113" s="545"/>
      <c r="Q113" s="545"/>
      <c r="R113" s="545"/>
      <c r="S113" s="576"/>
      <c r="T113" s="576"/>
      <c r="U113" s="576"/>
      <c r="V113" s="576"/>
      <c r="W113" s="545"/>
      <c r="X113" s="545"/>
      <c r="Y113" s="576"/>
      <c r="Z113" s="576"/>
      <c r="AA113" s="545"/>
      <c r="AB113" s="545"/>
      <c r="AC113" s="545"/>
      <c r="AD113" s="576"/>
      <c r="AE113" s="576"/>
      <c r="AF113" s="576"/>
      <c r="AG113" s="576"/>
      <c r="AH113" s="576"/>
      <c r="AI113" s="576"/>
      <c r="AJ113" s="576"/>
      <c r="AK113" s="576"/>
      <c r="AL113" s="576"/>
      <c r="AM113" s="576"/>
      <c r="AN113" s="576"/>
      <c r="AO113" s="576"/>
      <c r="AP113" s="576"/>
      <c r="AQ113" s="576"/>
      <c r="AR113" s="576"/>
      <c r="AS113" s="576"/>
      <c r="AT113" s="576"/>
      <c r="AU113" s="576"/>
      <c r="AV113" s="576"/>
      <c r="AW113" s="576"/>
      <c r="AX113" s="576"/>
      <c r="AY113" s="576"/>
      <c r="AZ113" s="576"/>
      <c r="BA113" s="576"/>
      <c r="BB113" s="576"/>
      <c r="BC113" s="576"/>
      <c r="BD113" s="572"/>
      <c r="BE113" s="544"/>
      <c r="BF113" s="544"/>
      <c r="BG113" s="544"/>
      <c r="BH113" s="545"/>
      <c r="BI113" s="545"/>
      <c r="BJ113" s="545"/>
      <c r="BK113" s="545"/>
      <c r="BL113" s="545"/>
      <c r="BM113" s="545"/>
      <c r="BN113" s="545"/>
      <c r="BO113" s="545"/>
      <c r="BP113" s="545"/>
      <c r="BQ113" s="545"/>
      <c r="BR113" s="545"/>
      <c r="BS113" s="545"/>
      <c r="BT113" s="545"/>
    </row>
    <row r="114" spans="1:72" ht="15.75">
      <c r="A114" s="545"/>
      <c r="B114" s="545"/>
      <c r="C114" s="545"/>
      <c r="D114" s="545"/>
      <c r="E114" s="545"/>
      <c r="F114" s="545"/>
      <c r="G114" s="545"/>
      <c r="H114" s="545"/>
      <c r="I114" s="545"/>
      <c r="J114" s="545"/>
      <c r="K114" s="545"/>
      <c r="L114" s="545"/>
      <c r="M114" s="545"/>
      <c r="N114" s="545"/>
      <c r="O114" s="545"/>
      <c r="P114" s="545"/>
      <c r="Q114" s="545"/>
      <c r="R114" s="545"/>
      <c r="S114" s="576"/>
      <c r="T114" s="576"/>
      <c r="U114" s="576"/>
      <c r="V114" s="576"/>
      <c r="W114" s="545"/>
      <c r="X114" s="545"/>
      <c r="Y114" s="576"/>
      <c r="Z114" s="576"/>
      <c r="AA114" s="545"/>
      <c r="AB114" s="545"/>
      <c r="AC114" s="545"/>
      <c r="AD114" s="576"/>
      <c r="AE114" s="576"/>
      <c r="AF114" s="576"/>
      <c r="AG114" s="576"/>
      <c r="AH114" s="576"/>
      <c r="AI114" s="576"/>
      <c r="AJ114" s="576"/>
      <c r="AK114" s="576"/>
      <c r="AL114" s="576"/>
      <c r="AM114" s="576"/>
      <c r="AN114" s="576"/>
      <c r="AO114" s="576"/>
      <c r="AP114" s="576"/>
      <c r="AQ114" s="576"/>
      <c r="AR114" s="576"/>
      <c r="AS114" s="576"/>
      <c r="AT114" s="576"/>
      <c r="AU114" s="576"/>
      <c r="AV114" s="576"/>
      <c r="AW114" s="576"/>
      <c r="AX114" s="576"/>
      <c r="AY114" s="576"/>
      <c r="AZ114" s="576"/>
      <c r="BA114" s="576"/>
      <c r="BB114" s="576"/>
      <c r="BC114" s="576"/>
      <c r="BD114" s="572"/>
      <c r="BE114" s="544"/>
      <c r="BF114" s="544"/>
      <c r="BG114" s="544"/>
      <c r="BH114" s="545"/>
      <c r="BI114" s="545"/>
      <c r="BJ114" s="545"/>
      <c r="BK114" s="545"/>
      <c r="BL114" s="545"/>
      <c r="BM114" s="545"/>
      <c r="BN114" s="545"/>
      <c r="BO114" s="545"/>
      <c r="BP114" s="545"/>
      <c r="BQ114" s="545"/>
      <c r="BR114" s="545"/>
      <c r="BS114" s="545"/>
      <c r="BT114" s="545"/>
    </row>
    <row r="115" spans="1:72" ht="15.75">
      <c r="A115" s="545"/>
      <c r="B115" s="545"/>
      <c r="C115" s="545"/>
      <c r="D115" s="545"/>
      <c r="E115" s="545"/>
      <c r="F115" s="545"/>
      <c r="G115" s="545"/>
      <c r="H115" s="545"/>
      <c r="I115" s="545"/>
      <c r="J115" s="545"/>
      <c r="K115" s="545"/>
      <c r="L115" s="545"/>
      <c r="M115" s="545"/>
      <c r="N115" s="545"/>
      <c r="O115" s="545"/>
      <c r="P115" s="545"/>
      <c r="Q115" s="545"/>
      <c r="R115" s="545"/>
      <c r="S115" s="576"/>
      <c r="T115" s="576"/>
      <c r="U115" s="576"/>
      <c r="V115" s="576"/>
      <c r="W115" s="545"/>
      <c r="X115" s="545"/>
      <c r="Y115" s="576"/>
      <c r="Z115" s="576"/>
      <c r="AA115" s="545"/>
      <c r="AB115" s="545"/>
      <c r="AC115" s="545"/>
      <c r="AD115" s="576"/>
      <c r="AE115" s="576"/>
      <c r="AF115" s="576"/>
      <c r="AG115" s="576"/>
      <c r="AH115" s="576"/>
      <c r="AI115" s="576"/>
      <c r="AJ115" s="576"/>
      <c r="AK115" s="576"/>
      <c r="AL115" s="576"/>
      <c r="AM115" s="576"/>
      <c r="AN115" s="576"/>
      <c r="AO115" s="576"/>
      <c r="AP115" s="576"/>
      <c r="AQ115" s="576"/>
      <c r="AR115" s="576"/>
      <c r="AS115" s="576"/>
      <c r="AT115" s="576"/>
      <c r="AU115" s="576"/>
      <c r="AV115" s="576"/>
      <c r="AW115" s="576"/>
      <c r="AX115" s="576"/>
      <c r="AY115" s="576"/>
      <c r="AZ115" s="576"/>
      <c r="BA115" s="576"/>
      <c r="BB115" s="576"/>
      <c r="BC115" s="576"/>
      <c r="BD115" s="572"/>
      <c r="BE115" s="544"/>
      <c r="BF115" s="544"/>
      <c r="BG115" s="544"/>
      <c r="BH115" s="545"/>
      <c r="BI115" s="545"/>
      <c r="BJ115" s="545"/>
      <c r="BK115" s="545"/>
      <c r="BL115" s="545"/>
      <c r="BM115" s="545"/>
      <c r="BN115" s="545"/>
      <c r="BO115" s="545"/>
      <c r="BP115" s="545"/>
      <c r="BQ115" s="545"/>
      <c r="BR115" s="545"/>
      <c r="BS115" s="545"/>
      <c r="BT115" s="545"/>
    </row>
    <row r="116" spans="1:72" ht="15.75">
      <c r="A116" s="545"/>
      <c r="B116" s="545"/>
      <c r="C116" s="545"/>
      <c r="D116" s="545"/>
      <c r="E116" s="545"/>
      <c r="F116" s="545"/>
      <c r="G116" s="545"/>
      <c r="H116" s="545"/>
      <c r="I116" s="545"/>
      <c r="J116" s="545"/>
      <c r="K116" s="545"/>
      <c r="L116" s="545"/>
      <c r="M116" s="545"/>
      <c r="N116" s="545"/>
      <c r="O116" s="545"/>
      <c r="P116" s="545"/>
      <c r="Q116" s="545"/>
      <c r="R116" s="545"/>
      <c r="S116" s="576"/>
      <c r="T116" s="576"/>
      <c r="U116" s="576"/>
      <c r="V116" s="576"/>
      <c r="W116" s="545"/>
      <c r="X116" s="545"/>
      <c r="Y116" s="576"/>
      <c r="Z116" s="576"/>
      <c r="AA116" s="545"/>
      <c r="AB116" s="545"/>
      <c r="AC116" s="545"/>
      <c r="AD116" s="576"/>
      <c r="AE116" s="576"/>
      <c r="AF116" s="576"/>
      <c r="AG116" s="576"/>
      <c r="AH116" s="576"/>
      <c r="AI116" s="576"/>
      <c r="AJ116" s="576"/>
      <c r="AK116" s="576"/>
      <c r="AL116" s="576"/>
      <c r="AM116" s="576"/>
      <c r="AN116" s="576"/>
      <c r="AO116" s="576"/>
      <c r="AP116" s="576"/>
      <c r="AQ116" s="576"/>
      <c r="AR116" s="576"/>
      <c r="AS116" s="576"/>
      <c r="AT116" s="576"/>
      <c r="AU116" s="576"/>
      <c r="AV116" s="576"/>
      <c r="AW116" s="576"/>
      <c r="AX116" s="576"/>
      <c r="AY116" s="576"/>
      <c r="AZ116" s="576"/>
      <c r="BA116" s="576"/>
      <c r="BB116" s="576"/>
      <c r="BC116" s="576"/>
      <c r="BD116" s="572"/>
      <c r="BE116" s="544"/>
      <c r="BF116" s="544"/>
      <c r="BG116" s="544"/>
      <c r="BH116" s="545"/>
      <c r="BI116" s="545"/>
      <c r="BJ116" s="545"/>
      <c r="BK116" s="545"/>
      <c r="BL116" s="545"/>
      <c r="BM116" s="545"/>
      <c r="BN116" s="545"/>
      <c r="BO116" s="545"/>
      <c r="BP116" s="545"/>
      <c r="BQ116" s="545"/>
      <c r="BR116" s="545"/>
      <c r="BS116" s="545"/>
      <c r="BT116" s="545"/>
    </row>
    <row r="117" spans="1:72" ht="15.75">
      <c r="A117" s="545"/>
      <c r="B117" s="545"/>
      <c r="C117" s="545"/>
      <c r="D117" s="545"/>
      <c r="E117" s="545"/>
      <c r="F117" s="545"/>
      <c r="G117" s="545"/>
      <c r="H117" s="545"/>
      <c r="I117" s="545"/>
      <c r="J117" s="545"/>
      <c r="K117" s="545"/>
      <c r="L117" s="545"/>
      <c r="M117" s="545"/>
      <c r="N117" s="545"/>
      <c r="O117" s="545"/>
      <c r="P117" s="545"/>
      <c r="Q117" s="545"/>
      <c r="R117" s="545"/>
      <c r="S117" s="576"/>
      <c r="T117" s="576"/>
      <c r="U117" s="576"/>
      <c r="V117" s="576"/>
      <c r="W117" s="545"/>
      <c r="X117" s="545"/>
      <c r="Y117" s="576"/>
      <c r="Z117" s="576"/>
      <c r="AA117" s="545"/>
      <c r="AB117" s="545"/>
      <c r="AC117" s="545"/>
      <c r="AD117" s="576"/>
      <c r="AE117" s="576"/>
      <c r="AF117" s="576"/>
      <c r="AG117" s="576"/>
      <c r="AH117" s="576"/>
      <c r="AI117" s="576"/>
      <c r="AJ117" s="576"/>
      <c r="AK117" s="576"/>
      <c r="AL117" s="576"/>
      <c r="AM117" s="576"/>
      <c r="AN117" s="576"/>
      <c r="AO117" s="576"/>
      <c r="AP117" s="576"/>
      <c r="AQ117" s="576"/>
      <c r="AR117" s="576"/>
      <c r="AS117" s="576"/>
      <c r="AT117" s="576"/>
      <c r="AU117" s="576"/>
      <c r="AV117" s="576"/>
      <c r="AW117" s="576"/>
      <c r="AX117" s="576"/>
      <c r="AY117" s="576"/>
      <c r="AZ117" s="576"/>
      <c r="BA117" s="576"/>
      <c r="BB117" s="576"/>
      <c r="BC117" s="576"/>
      <c r="BD117" s="572"/>
      <c r="BE117" s="544"/>
      <c r="BF117" s="544"/>
      <c r="BG117" s="544"/>
      <c r="BH117" s="545"/>
      <c r="BI117" s="545"/>
      <c r="BJ117" s="545"/>
      <c r="BK117" s="545"/>
      <c r="BL117" s="545"/>
      <c r="BM117" s="545"/>
      <c r="BN117" s="545"/>
      <c r="BO117" s="545"/>
      <c r="BP117" s="545"/>
      <c r="BQ117" s="545"/>
      <c r="BR117" s="545"/>
      <c r="BS117" s="545"/>
      <c r="BT117" s="545"/>
    </row>
    <row r="118" spans="1:72" ht="15.75">
      <c r="A118" s="545"/>
      <c r="B118" s="545"/>
      <c r="C118" s="545"/>
      <c r="D118" s="545"/>
      <c r="E118" s="545"/>
      <c r="F118" s="545"/>
      <c r="G118" s="545"/>
      <c r="H118" s="545"/>
      <c r="I118" s="545"/>
      <c r="J118" s="545"/>
      <c r="K118" s="545"/>
      <c r="L118" s="545"/>
      <c r="M118" s="545"/>
      <c r="N118" s="545"/>
      <c r="O118" s="545"/>
      <c r="P118" s="545"/>
      <c r="Q118" s="545"/>
      <c r="R118" s="545"/>
      <c r="S118" s="576"/>
      <c r="T118" s="576"/>
      <c r="U118" s="576"/>
      <c r="V118" s="576"/>
      <c r="W118" s="545"/>
      <c r="X118" s="545"/>
      <c r="Y118" s="576"/>
      <c r="Z118" s="576"/>
      <c r="AA118" s="545"/>
      <c r="AB118" s="545"/>
      <c r="AC118" s="545"/>
      <c r="AD118" s="576"/>
      <c r="AE118" s="576"/>
      <c r="AF118" s="576"/>
      <c r="AG118" s="576"/>
      <c r="AH118" s="576"/>
      <c r="AI118" s="576"/>
      <c r="AJ118" s="576"/>
      <c r="AK118" s="576"/>
      <c r="AL118" s="576"/>
      <c r="AM118" s="576"/>
      <c r="AN118" s="576"/>
      <c r="AO118" s="576"/>
      <c r="AP118" s="576"/>
      <c r="AQ118" s="576"/>
      <c r="AR118" s="576"/>
      <c r="AS118" s="576"/>
      <c r="AT118" s="576"/>
      <c r="AU118" s="576"/>
      <c r="AV118" s="576"/>
      <c r="AW118" s="576"/>
      <c r="AX118" s="576"/>
      <c r="AY118" s="576"/>
      <c r="AZ118" s="576"/>
      <c r="BA118" s="576"/>
      <c r="BB118" s="576"/>
      <c r="BC118" s="576"/>
      <c r="BD118" s="572"/>
      <c r="BE118" s="544"/>
      <c r="BF118" s="544"/>
      <c r="BG118" s="544"/>
      <c r="BH118" s="545"/>
      <c r="BI118" s="545"/>
      <c r="BJ118" s="545"/>
      <c r="BK118" s="545"/>
      <c r="BL118" s="545"/>
      <c r="BM118" s="545"/>
      <c r="BN118" s="545"/>
      <c r="BO118" s="545"/>
      <c r="BP118" s="545"/>
      <c r="BQ118" s="545"/>
      <c r="BR118" s="545"/>
      <c r="BS118" s="545"/>
      <c r="BT118" s="545"/>
    </row>
    <row r="119" spans="1:72" ht="15.75">
      <c r="A119" s="545"/>
      <c r="B119" s="545"/>
      <c r="C119" s="545"/>
      <c r="D119" s="545"/>
      <c r="E119" s="545"/>
      <c r="F119" s="545"/>
      <c r="G119" s="545"/>
      <c r="H119" s="545"/>
      <c r="I119" s="545"/>
      <c r="J119" s="545"/>
      <c r="K119" s="545"/>
      <c r="L119" s="545"/>
      <c r="M119" s="545"/>
      <c r="N119" s="545"/>
      <c r="O119" s="545"/>
      <c r="P119" s="545"/>
      <c r="Q119" s="545"/>
      <c r="R119" s="545"/>
      <c r="S119" s="576"/>
      <c r="T119" s="576"/>
      <c r="U119" s="576"/>
      <c r="V119" s="576"/>
      <c r="W119" s="545"/>
      <c r="X119" s="545"/>
      <c r="Y119" s="576"/>
      <c r="Z119" s="576"/>
      <c r="AA119" s="545"/>
      <c r="AB119" s="545"/>
      <c r="AC119" s="545"/>
      <c r="AD119" s="576"/>
      <c r="AE119" s="576"/>
      <c r="AF119" s="576"/>
      <c r="AG119" s="576"/>
      <c r="AH119" s="576"/>
      <c r="AI119" s="576"/>
      <c r="AJ119" s="576"/>
      <c r="AK119" s="576"/>
      <c r="AL119" s="576"/>
      <c r="AM119" s="576"/>
      <c r="AN119" s="576"/>
      <c r="AO119" s="576"/>
      <c r="AP119" s="576"/>
      <c r="AQ119" s="576"/>
      <c r="AR119" s="576"/>
      <c r="AS119" s="576"/>
      <c r="AT119" s="576"/>
      <c r="AU119" s="576"/>
      <c r="AV119" s="576"/>
      <c r="AW119" s="576"/>
      <c r="AX119" s="576"/>
      <c r="AY119" s="576"/>
      <c r="AZ119" s="576"/>
      <c r="BA119" s="576"/>
      <c r="BB119" s="576"/>
      <c r="BC119" s="576"/>
      <c r="BD119" s="572"/>
      <c r="BE119" s="544"/>
      <c r="BF119" s="544"/>
      <c r="BG119" s="544"/>
      <c r="BH119" s="545"/>
      <c r="BI119" s="545"/>
      <c r="BJ119" s="545"/>
      <c r="BK119" s="545"/>
      <c r="BL119" s="545"/>
      <c r="BM119" s="545"/>
      <c r="BN119" s="545"/>
      <c r="BO119" s="545"/>
      <c r="BP119" s="545"/>
      <c r="BQ119" s="545"/>
      <c r="BR119" s="545"/>
      <c r="BS119" s="545"/>
      <c r="BT119" s="545"/>
    </row>
    <row r="120" spans="1:72" ht="15.75">
      <c r="A120" s="545"/>
      <c r="B120" s="545"/>
      <c r="C120" s="545"/>
      <c r="D120" s="545"/>
      <c r="E120" s="545"/>
      <c r="F120" s="545"/>
      <c r="G120" s="545"/>
      <c r="H120" s="545"/>
      <c r="I120" s="545"/>
      <c r="J120" s="545"/>
      <c r="K120" s="545"/>
      <c r="L120" s="545"/>
      <c r="M120" s="545"/>
      <c r="N120" s="545"/>
      <c r="O120" s="545"/>
      <c r="P120" s="545"/>
      <c r="Q120" s="545"/>
      <c r="R120" s="545"/>
      <c r="S120" s="576"/>
      <c r="T120" s="576"/>
      <c r="U120" s="576"/>
      <c r="V120" s="576"/>
      <c r="W120" s="545"/>
      <c r="X120" s="545"/>
      <c r="Y120" s="576"/>
      <c r="Z120" s="576"/>
      <c r="AA120" s="545"/>
      <c r="AB120" s="545"/>
      <c r="AC120" s="545"/>
      <c r="AD120" s="576"/>
      <c r="AE120" s="576"/>
      <c r="AF120" s="576"/>
      <c r="AG120" s="576"/>
      <c r="AH120" s="576"/>
      <c r="AI120" s="576"/>
      <c r="AJ120" s="576"/>
      <c r="AK120" s="576"/>
      <c r="AL120" s="576"/>
      <c r="AM120" s="576"/>
      <c r="AN120" s="576"/>
      <c r="AO120" s="576"/>
      <c r="AP120" s="576"/>
      <c r="AQ120" s="576"/>
      <c r="AR120" s="576"/>
      <c r="AS120" s="576"/>
      <c r="AT120" s="576"/>
      <c r="AU120" s="576"/>
      <c r="AV120" s="576"/>
      <c r="AW120" s="576"/>
      <c r="AX120" s="576"/>
      <c r="AY120" s="576"/>
      <c r="AZ120" s="576"/>
      <c r="BA120" s="576"/>
      <c r="BB120" s="576"/>
      <c r="BC120" s="576"/>
      <c r="BD120" s="572"/>
      <c r="BE120" s="544"/>
      <c r="BF120" s="544"/>
      <c r="BG120" s="544"/>
      <c r="BH120" s="545"/>
      <c r="BI120" s="545"/>
      <c r="BJ120" s="545"/>
      <c r="BK120" s="545"/>
      <c r="BL120" s="545"/>
      <c r="BM120" s="545"/>
      <c r="BN120" s="545"/>
      <c r="BO120" s="545"/>
      <c r="BP120" s="545"/>
      <c r="BQ120" s="545"/>
      <c r="BR120" s="545"/>
      <c r="BS120" s="545"/>
      <c r="BT120" s="545"/>
    </row>
    <row r="121" spans="1:72" ht="15.75">
      <c r="A121" s="545"/>
      <c r="B121" s="545"/>
      <c r="C121" s="545"/>
      <c r="D121" s="545"/>
      <c r="E121" s="545"/>
      <c r="F121" s="545"/>
      <c r="G121" s="545"/>
      <c r="H121" s="545"/>
      <c r="I121" s="545"/>
      <c r="J121" s="545"/>
      <c r="K121" s="545"/>
      <c r="L121" s="545"/>
      <c r="M121" s="545"/>
      <c r="N121" s="545"/>
      <c r="O121" s="545"/>
      <c r="P121" s="545"/>
      <c r="Q121" s="545"/>
      <c r="R121" s="545"/>
      <c r="S121" s="576"/>
      <c r="T121" s="576"/>
      <c r="U121" s="576"/>
      <c r="V121" s="576"/>
      <c r="W121" s="545"/>
      <c r="X121" s="545"/>
      <c r="Y121" s="576"/>
      <c r="Z121" s="576"/>
      <c r="AA121" s="545"/>
      <c r="AB121" s="545"/>
      <c r="AC121" s="545"/>
      <c r="AD121" s="576"/>
      <c r="AE121" s="576"/>
      <c r="AF121" s="576"/>
      <c r="AG121" s="576"/>
      <c r="AH121" s="576"/>
      <c r="AI121" s="576"/>
      <c r="AJ121" s="576"/>
      <c r="AK121" s="576"/>
      <c r="AL121" s="576"/>
      <c r="AM121" s="576"/>
      <c r="AN121" s="576"/>
      <c r="AO121" s="576"/>
      <c r="AP121" s="576"/>
      <c r="AQ121" s="576"/>
      <c r="AR121" s="576"/>
      <c r="AS121" s="576"/>
      <c r="AT121" s="576"/>
      <c r="AU121" s="576"/>
      <c r="AV121" s="576"/>
      <c r="AW121" s="576"/>
      <c r="AX121" s="576"/>
      <c r="AY121" s="576"/>
      <c r="AZ121" s="576"/>
      <c r="BA121" s="576"/>
      <c r="BB121" s="576"/>
      <c r="BC121" s="576"/>
      <c r="BD121" s="572"/>
      <c r="BE121" s="544"/>
      <c r="BF121" s="544"/>
      <c r="BG121" s="544"/>
      <c r="BH121" s="545"/>
      <c r="BI121" s="545"/>
      <c r="BJ121" s="545"/>
      <c r="BK121" s="545"/>
      <c r="BL121" s="545"/>
      <c r="BM121" s="545"/>
      <c r="BN121" s="545"/>
      <c r="BO121" s="545"/>
      <c r="BP121" s="545"/>
      <c r="BQ121" s="545"/>
      <c r="BR121" s="545"/>
      <c r="BS121" s="545"/>
      <c r="BT121" s="545"/>
    </row>
    <row r="122" spans="1:72" ht="15.75">
      <c r="A122" s="545"/>
      <c r="B122" s="545"/>
      <c r="C122" s="545"/>
      <c r="D122" s="545"/>
      <c r="E122" s="545"/>
      <c r="F122" s="545"/>
      <c r="G122" s="545"/>
      <c r="H122" s="545"/>
      <c r="I122" s="545"/>
      <c r="J122" s="545"/>
      <c r="K122" s="545"/>
      <c r="L122" s="545"/>
      <c r="M122" s="545"/>
      <c r="N122" s="545"/>
      <c r="O122" s="545"/>
      <c r="P122" s="545"/>
      <c r="Q122" s="545"/>
      <c r="R122" s="545"/>
      <c r="S122" s="576"/>
      <c r="T122" s="576"/>
      <c r="U122" s="576"/>
      <c r="V122" s="576"/>
      <c r="W122" s="545"/>
      <c r="X122" s="545"/>
      <c r="Y122" s="576"/>
      <c r="Z122" s="576"/>
      <c r="AA122" s="545"/>
      <c r="AB122" s="545"/>
      <c r="AC122" s="545"/>
      <c r="AD122" s="576"/>
      <c r="AE122" s="576"/>
      <c r="AF122" s="576"/>
      <c r="AG122" s="576"/>
      <c r="AH122" s="576"/>
      <c r="AI122" s="576"/>
      <c r="AJ122" s="576"/>
      <c r="AK122" s="576"/>
      <c r="AL122" s="576"/>
      <c r="AM122" s="576"/>
      <c r="AN122" s="576"/>
      <c r="AO122" s="576"/>
      <c r="AP122" s="576"/>
      <c r="AQ122" s="576"/>
      <c r="AR122" s="576"/>
      <c r="AS122" s="576"/>
      <c r="AT122" s="576"/>
      <c r="AU122" s="576"/>
      <c r="AV122" s="576"/>
      <c r="AW122" s="576"/>
      <c r="AX122" s="576"/>
      <c r="AY122" s="576"/>
      <c r="AZ122" s="576"/>
      <c r="BA122" s="576"/>
      <c r="BB122" s="576"/>
      <c r="BC122" s="576"/>
      <c r="BD122" s="572"/>
      <c r="BE122" s="544"/>
      <c r="BF122" s="544"/>
      <c r="BG122" s="544"/>
      <c r="BH122" s="545"/>
      <c r="BI122" s="545"/>
      <c r="BJ122" s="545"/>
      <c r="BK122" s="545"/>
      <c r="BL122" s="545"/>
      <c r="BM122" s="545"/>
      <c r="BN122" s="545"/>
      <c r="BO122" s="545"/>
      <c r="BP122" s="545"/>
      <c r="BQ122" s="545"/>
      <c r="BR122" s="545"/>
      <c r="BS122" s="545"/>
      <c r="BT122" s="545"/>
    </row>
    <row r="123" spans="1:72" ht="15.75">
      <c r="A123" s="545"/>
      <c r="B123" s="545"/>
      <c r="C123" s="545"/>
      <c r="D123" s="545"/>
      <c r="E123" s="545"/>
      <c r="F123" s="545"/>
      <c r="G123" s="545"/>
      <c r="H123" s="545"/>
      <c r="I123" s="545"/>
      <c r="J123" s="545"/>
      <c r="K123" s="545"/>
      <c r="L123" s="545"/>
      <c r="M123" s="545"/>
      <c r="N123" s="545"/>
      <c r="O123" s="545"/>
      <c r="P123" s="545"/>
      <c r="Q123" s="545"/>
      <c r="R123" s="545"/>
      <c r="S123" s="576"/>
      <c r="T123" s="576"/>
      <c r="U123" s="576"/>
      <c r="V123" s="576"/>
      <c r="W123" s="545"/>
      <c r="X123" s="545"/>
      <c r="Y123" s="576"/>
      <c r="Z123" s="576"/>
      <c r="AA123" s="545"/>
      <c r="AB123" s="545"/>
      <c r="AC123" s="545"/>
      <c r="AD123" s="576"/>
      <c r="AE123" s="576"/>
      <c r="AF123" s="576"/>
      <c r="AG123" s="576"/>
      <c r="AH123" s="576"/>
      <c r="AI123" s="576"/>
      <c r="AJ123" s="576"/>
      <c r="AK123" s="576"/>
      <c r="AL123" s="576"/>
      <c r="AM123" s="576"/>
      <c r="AN123" s="576"/>
      <c r="AO123" s="576"/>
      <c r="AP123" s="576"/>
      <c r="AQ123" s="576"/>
      <c r="AR123" s="576"/>
      <c r="AS123" s="576"/>
      <c r="AT123" s="576"/>
      <c r="AU123" s="576"/>
      <c r="AV123" s="576"/>
      <c r="AW123" s="576"/>
      <c r="AX123" s="576"/>
      <c r="AY123" s="576"/>
      <c r="AZ123" s="576"/>
      <c r="BA123" s="576"/>
      <c r="BB123" s="576"/>
      <c r="BC123" s="576"/>
      <c r="BD123" s="572"/>
      <c r="BE123" s="544"/>
      <c r="BF123" s="544"/>
      <c r="BG123" s="544"/>
      <c r="BH123" s="545"/>
      <c r="BI123" s="545"/>
      <c r="BJ123" s="545"/>
      <c r="BK123" s="545"/>
      <c r="BL123" s="545"/>
      <c r="BM123" s="545"/>
      <c r="BN123" s="545"/>
      <c r="BO123" s="545"/>
      <c r="BP123" s="545"/>
      <c r="BQ123" s="545"/>
      <c r="BR123" s="545"/>
      <c r="BS123" s="545"/>
      <c r="BT123" s="545"/>
    </row>
    <row r="124" spans="1:72" ht="15.75">
      <c r="A124" s="545"/>
      <c r="B124" s="545"/>
      <c r="C124" s="545"/>
      <c r="D124" s="545"/>
      <c r="E124" s="545"/>
      <c r="F124" s="545"/>
      <c r="G124" s="545"/>
      <c r="H124" s="545"/>
      <c r="I124" s="545"/>
      <c r="J124" s="545"/>
      <c r="K124" s="545"/>
      <c r="L124" s="545"/>
      <c r="M124" s="545"/>
      <c r="N124" s="545"/>
      <c r="O124" s="545"/>
      <c r="P124" s="545"/>
      <c r="Q124" s="545"/>
      <c r="R124" s="545"/>
      <c r="S124" s="576"/>
      <c r="T124" s="576"/>
      <c r="U124" s="576"/>
      <c r="V124" s="576"/>
      <c r="W124" s="545"/>
      <c r="X124" s="545"/>
      <c r="Y124" s="576"/>
      <c r="Z124" s="576"/>
      <c r="AA124" s="545"/>
      <c r="AB124" s="545"/>
      <c r="AC124" s="545"/>
      <c r="AD124" s="576"/>
      <c r="AE124" s="576"/>
      <c r="AF124" s="576"/>
      <c r="AG124" s="576"/>
      <c r="AH124" s="576"/>
      <c r="AI124" s="576"/>
      <c r="AJ124" s="576"/>
      <c r="AK124" s="576"/>
      <c r="AL124" s="576"/>
      <c r="AM124" s="576"/>
      <c r="AN124" s="576"/>
      <c r="AO124" s="576"/>
      <c r="AP124" s="576"/>
      <c r="AQ124" s="576"/>
      <c r="AR124" s="576"/>
      <c r="AS124" s="576"/>
      <c r="AT124" s="576"/>
      <c r="AU124" s="576"/>
      <c r="AV124" s="576"/>
      <c r="AW124" s="576"/>
      <c r="AX124" s="576"/>
      <c r="AY124" s="576"/>
      <c r="AZ124" s="576"/>
      <c r="BA124" s="576"/>
      <c r="BB124" s="576"/>
      <c r="BC124" s="576"/>
      <c r="BD124" s="572"/>
      <c r="BE124" s="544"/>
      <c r="BF124" s="544"/>
      <c r="BG124" s="544"/>
      <c r="BH124" s="545"/>
      <c r="BI124" s="545"/>
      <c r="BJ124" s="545"/>
      <c r="BK124" s="545"/>
      <c r="BL124" s="545"/>
      <c r="BM124" s="545"/>
      <c r="BN124" s="545"/>
      <c r="BO124" s="545"/>
      <c r="BP124" s="545"/>
      <c r="BQ124" s="545"/>
      <c r="BR124" s="545"/>
      <c r="BS124" s="545"/>
      <c r="BT124" s="545"/>
    </row>
    <row r="125" spans="1:72" ht="15.75">
      <c r="A125" s="545"/>
      <c r="B125" s="545"/>
      <c r="C125" s="545"/>
      <c r="D125" s="545"/>
      <c r="E125" s="545"/>
      <c r="F125" s="545"/>
      <c r="G125" s="545"/>
      <c r="H125" s="545"/>
      <c r="I125" s="545"/>
      <c r="J125" s="545"/>
      <c r="K125" s="545"/>
      <c r="L125" s="545"/>
      <c r="M125" s="545"/>
      <c r="N125" s="545"/>
      <c r="O125" s="545"/>
      <c r="P125" s="545"/>
      <c r="Q125" s="545"/>
      <c r="R125" s="545"/>
      <c r="S125" s="576"/>
      <c r="T125" s="576"/>
      <c r="U125" s="576"/>
      <c r="V125" s="576"/>
      <c r="W125" s="545"/>
      <c r="X125" s="545"/>
      <c r="Y125" s="576"/>
      <c r="Z125" s="576"/>
      <c r="AA125" s="545"/>
      <c r="AB125" s="545"/>
      <c r="AC125" s="545"/>
      <c r="AD125" s="576"/>
      <c r="AE125" s="576"/>
      <c r="AF125" s="576"/>
      <c r="AG125" s="576"/>
      <c r="AH125" s="576"/>
      <c r="AI125" s="576"/>
      <c r="AJ125" s="576"/>
      <c r="AK125" s="576"/>
      <c r="AL125" s="576"/>
      <c r="AM125" s="576"/>
      <c r="AN125" s="576"/>
      <c r="AO125" s="576"/>
      <c r="AP125" s="576"/>
      <c r="AQ125" s="576"/>
      <c r="AR125" s="576"/>
      <c r="AS125" s="576"/>
      <c r="AT125" s="576"/>
      <c r="AU125" s="576"/>
      <c r="AV125" s="576"/>
      <c r="AW125" s="576"/>
      <c r="AX125" s="576"/>
      <c r="AY125" s="576"/>
      <c r="AZ125" s="576"/>
      <c r="BA125" s="576"/>
      <c r="BB125" s="576"/>
      <c r="BC125" s="576"/>
      <c r="BD125" s="572"/>
      <c r="BE125" s="544"/>
      <c r="BF125" s="544"/>
      <c r="BG125" s="544"/>
      <c r="BH125" s="545"/>
      <c r="BI125" s="545"/>
      <c r="BJ125" s="545"/>
      <c r="BK125" s="545"/>
      <c r="BL125" s="545"/>
      <c r="BM125" s="545"/>
      <c r="BN125" s="545"/>
      <c r="BO125" s="545"/>
      <c r="BP125" s="545"/>
      <c r="BQ125" s="545"/>
      <c r="BR125" s="545"/>
      <c r="BS125" s="545"/>
      <c r="BT125" s="545"/>
    </row>
    <row r="126" spans="1:72" ht="15.75">
      <c r="A126" s="545"/>
      <c r="B126" s="545"/>
      <c r="C126" s="545"/>
      <c r="D126" s="545"/>
      <c r="E126" s="545"/>
      <c r="F126" s="545"/>
      <c r="G126" s="545"/>
      <c r="H126" s="545"/>
      <c r="I126" s="545"/>
      <c r="J126" s="545"/>
      <c r="K126" s="545"/>
      <c r="L126" s="545"/>
      <c r="M126" s="545"/>
      <c r="N126" s="545"/>
      <c r="O126" s="545"/>
      <c r="P126" s="545"/>
      <c r="Q126" s="545"/>
      <c r="R126" s="545"/>
      <c r="S126" s="576"/>
      <c r="T126" s="576"/>
      <c r="U126" s="576"/>
      <c r="V126" s="576"/>
      <c r="W126" s="545"/>
      <c r="X126" s="545"/>
      <c r="Y126" s="576"/>
      <c r="Z126" s="576"/>
      <c r="AA126" s="545"/>
      <c r="AB126" s="545"/>
      <c r="AC126" s="545"/>
      <c r="AD126" s="576"/>
      <c r="AE126" s="576"/>
      <c r="AF126" s="576"/>
      <c r="AG126" s="576"/>
      <c r="AH126" s="576"/>
      <c r="AI126" s="576"/>
      <c r="AJ126" s="576"/>
      <c r="AK126" s="576"/>
      <c r="AL126" s="576"/>
      <c r="AM126" s="576"/>
      <c r="AN126" s="576"/>
      <c r="AO126" s="576"/>
      <c r="AP126" s="576"/>
      <c r="AQ126" s="576"/>
      <c r="AR126" s="576"/>
      <c r="AS126" s="576"/>
      <c r="AT126" s="576"/>
      <c r="AU126" s="576"/>
      <c r="AV126" s="576"/>
      <c r="AW126" s="576"/>
      <c r="AX126" s="576"/>
      <c r="AY126" s="576"/>
      <c r="AZ126" s="576"/>
      <c r="BA126" s="576"/>
      <c r="BB126" s="576"/>
      <c r="BC126" s="576"/>
      <c r="BD126" s="572"/>
      <c r="BE126" s="544"/>
      <c r="BF126" s="544"/>
      <c r="BG126" s="544"/>
      <c r="BH126" s="545"/>
      <c r="BI126" s="545"/>
      <c r="BJ126" s="545"/>
      <c r="BK126" s="545"/>
      <c r="BL126" s="545"/>
      <c r="BM126" s="545"/>
      <c r="BN126" s="545"/>
      <c r="BO126" s="545"/>
      <c r="BP126" s="545"/>
      <c r="BQ126" s="545"/>
      <c r="BR126" s="545"/>
      <c r="BS126" s="545"/>
      <c r="BT126" s="545"/>
    </row>
    <row r="127" spans="1:72" ht="15.75">
      <c r="A127" s="545"/>
      <c r="B127" s="545"/>
      <c r="C127" s="545"/>
      <c r="D127" s="545"/>
      <c r="E127" s="545"/>
      <c r="F127" s="545"/>
      <c r="G127" s="545"/>
      <c r="H127" s="545"/>
      <c r="I127" s="545"/>
      <c r="J127" s="545"/>
      <c r="K127" s="545"/>
      <c r="L127" s="545"/>
      <c r="M127" s="545"/>
      <c r="N127" s="545"/>
      <c r="O127" s="545"/>
      <c r="P127" s="545"/>
      <c r="Q127" s="545"/>
      <c r="R127" s="545"/>
      <c r="S127" s="576"/>
      <c r="T127" s="576"/>
      <c r="U127" s="576"/>
      <c r="V127" s="576"/>
      <c r="W127" s="545"/>
      <c r="X127" s="545"/>
      <c r="Y127" s="576"/>
      <c r="Z127" s="576"/>
      <c r="AA127" s="545"/>
      <c r="AB127" s="545"/>
      <c r="AC127" s="545"/>
      <c r="AD127" s="576"/>
      <c r="AE127" s="576"/>
      <c r="AF127" s="576"/>
      <c r="AG127" s="576"/>
      <c r="AH127" s="576"/>
      <c r="AI127" s="576"/>
      <c r="AJ127" s="576"/>
      <c r="AK127" s="576"/>
      <c r="AL127" s="576"/>
      <c r="AM127" s="576"/>
      <c r="AN127" s="576"/>
      <c r="AO127" s="576"/>
      <c r="AP127" s="576"/>
      <c r="AQ127" s="576"/>
      <c r="AR127" s="576"/>
      <c r="AS127" s="576"/>
      <c r="AT127" s="576"/>
      <c r="AU127" s="576"/>
      <c r="AV127" s="576"/>
      <c r="AW127" s="576"/>
      <c r="AX127" s="576"/>
      <c r="AY127" s="576"/>
      <c r="AZ127" s="576"/>
      <c r="BA127" s="576"/>
      <c r="BB127" s="576"/>
      <c r="BC127" s="576"/>
      <c r="BD127" s="572"/>
      <c r="BE127" s="544"/>
      <c r="BF127" s="544"/>
      <c r="BG127" s="544"/>
      <c r="BH127" s="545"/>
      <c r="BI127" s="545"/>
      <c r="BJ127" s="545"/>
      <c r="BK127" s="545"/>
      <c r="BL127" s="545"/>
      <c r="BM127" s="545"/>
      <c r="BN127" s="545"/>
      <c r="BO127" s="545"/>
      <c r="BP127" s="545"/>
      <c r="BQ127" s="545"/>
      <c r="BR127" s="545"/>
      <c r="BS127" s="545"/>
      <c r="BT127" s="545"/>
    </row>
    <row r="128" spans="1:72" ht="15.75">
      <c r="A128" s="545"/>
      <c r="B128" s="545"/>
      <c r="C128" s="545"/>
      <c r="D128" s="545"/>
      <c r="E128" s="545"/>
      <c r="F128" s="545"/>
      <c r="G128" s="545"/>
      <c r="H128" s="545"/>
      <c r="I128" s="545"/>
      <c r="J128" s="545"/>
      <c r="K128" s="545"/>
      <c r="L128" s="545"/>
      <c r="M128" s="545"/>
      <c r="N128" s="545"/>
      <c r="O128" s="545"/>
      <c r="P128" s="545"/>
      <c r="Q128" s="545"/>
      <c r="R128" s="545"/>
      <c r="S128" s="576"/>
      <c r="T128" s="576"/>
      <c r="U128" s="576"/>
      <c r="V128" s="576"/>
      <c r="W128" s="545"/>
      <c r="X128" s="545"/>
      <c r="Y128" s="576"/>
      <c r="Z128" s="576"/>
      <c r="AA128" s="545"/>
      <c r="AB128" s="545"/>
      <c r="AC128" s="545"/>
      <c r="AD128" s="576"/>
      <c r="AE128" s="576"/>
      <c r="AF128" s="576"/>
      <c r="AG128" s="576"/>
      <c r="AH128" s="576"/>
      <c r="AI128" s="576"/>
      <c r="AJ128" s="576"/>
      <c r="AK128" s="576"/>
      <c r="AL128" s="576"/>
      <c r="AM128" s="576"/>
      <c r="AN128" s="576"/>
      <c r="AO128" s="576"/>
      <c r="AP128" s="576"/>
      <c r="AQ128" s="576"/>
      <c r="AR128" s="576"/>
      <c r="AS128" s="576"/>
      <c r="AT128" s="576"/>
      <c r="AU128" s="576"/>
      <c r="AV128" s="576"/>
      <c r="AW128" s="576"/>
      <c r="AX128" s="576"/>
      <c r="AY128" s="576"/>
      <c r="AZ128" s="576"/>
      <c r="BA128" s="576"/>
      <c r="BB128" s="576"/>
      <c r="BC128" s="576"/>
      <c r="BD128" s="572"/>
      <c r="BE128" s="544"/>
      <c r="BF128" s="544"/>
      <c r="BG128" s="544"/>
      <c r="BH128" s="545"/>
      <c r="BI128" s="545"/>
      <c r="BJ128" s="545"/>
      <c r="BK128" s="545"/>
      <c r="BL128" s="545"/>
      <c r="BM128" s="545"/>
      <c r="BN128" s="545"/>
      <c r="BO128" s="545"/>
      <c r="BP128" s="545"/>
      <c r="BQ128" s="545"/>
      <c r="BR128" s="545"/>
      <c r="BS128" s="545"/>
      <c r="BT128" s="545"/>
    </row>
    <row r="129" spans="1:72" ht="15.75">
      <c r="A129" s="545"/>
      <c r="B129" s="545"/>
      <c r="C129" s="545"/>
      <c r="D129" s="545"/>
      <c r="E129" s="545"/>
      <c r="F129" s="545"/>
      <c r="G129" s="545"/>
      <c r="H129" s="545"/>
      <c r="I129" s="545"/>
      <c r="J129" s="545"/>
      <c r="K129" s="545"/>
      <c r="L129" s="545"/>
      <c r="M129" s="545"/>
      <c r="N129" s="545"/>
      <c r="O129" s="545"/>
      <c r="P129" s="545"/>
      <c r="Q129" s="545"/>
      <c r="R129" s="545"/>
      <c r="S129" s="576"/>
      <c r="T129" s="576"/>
      <c r="U129" s="576"/>
      <c r="V129" s="576"/>
      <c r="W129" s="545"/>
      <c r="X129" s="545"/>
      <c r="Y129" s="576"/>
      <c r="Z129" s="576"/>
      <c r="AA129" s="545"/>
      <c r="AB129" s="545"/>
      <c r="AC129" s="545"/>
      <c r="AD129" s="576"/>
      <c r="AE129" s="576"/>
      <c r="AF129" s="576"/>
      <c r="AG129" s="576"/>
      <c r="AH129" s="576"/>
      <c r="AI129" s="576"/>
      <c r="AJ129" s="576"/>
      <c r="AK129" s="576"/>
      <c r="AL129" s="576"/>
      <c r="AM129" s="576"/>
      <c r="AN129" s="576"/>
      <c r="AO129" s="576"/>
      <c r="AP129" s="576"/>
      <c r="AQ129" s="576"/>
      <c r="AR129" s="576"/>
      <c r="AS129" s="576"/>
      <c r="AT129" s="576"/>
      <c r="AU129" s="576"/>
      <c r="AV129" s="576"/>
      <c r="AW129" s="576"/>
      <c r="AX129" s="576"/>
      <c r="AY129" s="576"/>
      <c r="AZ129" s="576"/>
      <c r="BA129" s="576"/>
      <c r="BB129" s="576"/>
      <c r="BC129" s="576"/>
      <c r="BD129" s="572"/>
      <c r="BE129" s="544"/>
      <c r="BF129" s="544"/>
      <c r="BG129" s="544"/>
      <c r="BH129" s="545"/>
      <c r="BI129" s="545"/>
      <c r="BJ129" s="545"/>
      <c r="BK129" s="545"/>
      <c r="BL129" s="545"/>
      <c r="BM129" s="545"/>
      <c r="BN129" s="545"/>
      <c r="BO129" s="545"/>
      <c r="BP129" s="545"/>
      <c r="BQ129" s="545"/>
      <c r="BR129" s="545"/>
      <c r="BS129" s="545"/>
      <c r="BT129" s="545"/>
    </row>
    <row r="130" spans="1:72" ht="15.75">
      <c r="A130" s="545"/>
      <c r="B130" s="545"/>
      <c r="C130" s="545"/>
      <c r="D130" s="545"/>
      <c r="E130" s="545"/>
      <c r="F130" s="545"/>
      <c r="G130" s="545"/>
      <c r="H130" s="545"/>
      <c r="I130" s="545"/>
      <c r="J130" s="545"/>
      <c r="K130" s="545"/>
      <c r="L130" s="545"/>
      <c r="M130" s="545"/>
      <c r="N130" s="545"/>
      <c r="O130" s="545"/>
      <c r="P130" s="545"/>
      <c r="Q130" s="545"/>
      <c r="R130" s="545"/>
      <c r="S130" s="576"/>
      <c r="T130" s="576"/>
      <c r="U130" s="576"/>
      <c r="V130" s="576"/>
      <c r="W130" s="545"/>
      <c r="X130" s="545"/>
      <c r="Y130" s="576"/>
      <c r="Z130" s="576"/>
      <c r="AA130" s="545"/>
      <c r="AB130" s="545"/>
      <c r="AC130" s="545"/>
      <c r="AD130" s="576"/>
      <c r="AE130" s="576"/>
      <c r="AF130" s="576"/>
      <c r="AG130" s="576"/>
      <c r="AH130" s="576"/>
      <c r="AI130" s="576"/>
      <c r="AJ130" s="576"/>
      <c r="AK130" s="576"/>
      <c r="AL130" s="576"/>
      <c r="AM130" s="576"/>
      <c r="AN130" s="576"/>
      <c r="AO130" s="576"/>
      <c r="AP130" s="576"/>
      <c r="AQ130" s="576"/>
      <c r="AR130" s="576"/>
      <c r="AS130" s="576"/>
      <c r="AT130" s="576"/>
      <c r="AU130" s="576"/>
      <c r="AV130" s="576"/>
      <c r="AW130" s="576"/>
      <c r="AX130" s="576"/>
      <c r="AY130" s="576"/>
      <c r="AZ130" s="576"/>
      <c r="BA130" s="576"/>
      <c r="BB130" s="576"/>
      <c r="BC130" s="576"/>
      <c r="BD130" s="572"/>
      <c r="BE130" s="544"/>
      <c r="BF130" s="544"/>
      <c r="BG130" s="544"/>
      <c r="BH130" s="545"/>
      <c r="BI130" s="545"/>
      <c r="BJ130" s="545"/>
      <c r="BK130" s="545"/>
      <c r="BL130" s="545"/>
      <c r="BM130" s="545"/>
      <c r="BN130" s="545"/>
      <c r="BO130" s="545"/>
      <c r="BP130" s="545"/>
      <c r="BQ130" s="545"/>
      <c r="BR130" s="545"/>
      <c r="BS130" s="545"/>
      <c r="BT130" s="545"/>
    </row>
    <row r="131" spans="1:72" ht="15.75">
      <c r="A131" s="545"/>
      <c r="B131" s="545"/>
      <c r="C131" s="545"/>
      <c r="D131" s="545"/>
      <c r="E131" s="545"/>
      <c r="F131" s="545"/>
      <c r="G131" s="545"/>
      <c r="H131" s="545"/>
      <c r="I131" s="545"/>
      <c r="J131" s="545"/>
      <c r="K131" s="545"/>
      <c r="L131" s="545"/>
      <c r="M131" s="545"/>
      <c r="N131" s="545"/>
      <c r="O131" s="545"/>
      <c r="P131" s="545"/>
      <c r="Q131" s="545"/>
      <c r="R131" s="545"/>
      <c r="S131" s="576"/>
      <c r="T131" s="576"/>
      <c r="U131" s="576"/>
      <c r="V131" s="576"/>
      <c r="W131" s="545"/>
      <c r="X131" s="545"/>
      <c r="Y131" s="576"/>
      <c r="Z131" s="576"/>
      <c r="AA131" s="545"/>
      <c r="AB131" s="545"/>
      <c r="AC131" s="545"/>
      <c r="AD131" s="576"/>
      <c r="AE131" s="576"/>
      <c r="AF131" s="576"/>
      <c r="AG131" s="576"/>
      <c r="AH131" s="576"/>
      <c r="AI131" s="576"/>
      <c r="AJ131" s="576"/>
      <c r="AK131" s="576"/>
      <c r="AL131" s="576"/>
      <c r="AM131" s="576"/>
      <c r="AN131" s="576"/>
      <c r="AO131" s="576"/>
      <c r="AP131" s="576"/>
      <c r="AQ131" s="576"/>
      <c r="AR131" s="576"/>
      <c r="AS131" s="576"/>
      <c r="AT131" s="576"/>
      <c r="AU131" s="576"/>
      <c r="AV131" s="576"/>
      <c r="AW131" s="576"/>
      <c r="AX131" s="576"/>
      <c r="AY131" s="576"/>
      <c r="AZ131" s="576"/>
      <c r="BA131" s="576"/>
      <c r="BB131" s="576"/>
      <c r="BC131" s="576"/>
      <c r="BD131" s="572"/>
      <c r="BE131" s="544"/>
      <c r="BF131" s="544"/>
      <c r="BG131" s="544"/>
      <c r="BH131" s="545"/>
      <c r="BI131" s="545"/>
      <c r="BJ131" s="545"/>
      <c r="BK131" s="545"/>
      <c r="BL131" s="545"/>
      <c r="BM131" s="545"/>
      <c r="BN131" s="545"/>
      <c r="BO131" s="545"/>
      <c r="BP131" s="545"/>
      <c r="BQ131" s="545"/>
      <c r="BR131" s="545"/>
      <c r="BS131" s="545"/>
      <c r="BT131" s="545"/>
    </row>
    <row r="132" spans="1:72" ht="15.75">
      <c r="A132" s="545"/>
      <c r="B132" s="545"/>
      <c r="C132" s="545"/>
      <c r="D132" s="545"/>
      <c r="E132" s="545"/>
      <c r="F132" s="545"/>
      <c r="G132" s="545"/>
      <c r="H132" s="545"/>
      <c r="I132" s="545"/>
      <c r="J132" s="545"/>
      <c r="K132" s="545"/>
      <c r="L132" s="545"/>
      <c r="M132" s="545"/>
      <c r="N132" s="545"/>
      <c r="O132" s="545"/>
      <c r="P132" s="545"/>
      <c r="Q132" s="545"/>
      <c r="R132" s="545"/>
      <c r="S132" s="576"/>
      <c r="T132" s="576"/>
      <c r="U132" s="576"/>
      <c r="V132" s="576"/>
      <c r="W132" s="545"/>
      <c r="X132" s="545"/>
      <c r="Y132" s="576"/>
      <c r="Z132" s="576"/>
      <c r="AA132" s="545"/>
      <c r="AB132" s="545"/>
      <c r="AC132" s="545"/>
      <c r="AD132" s="576"/>
      <c r="AE132" s="576"/>
      <c r="AF132" s="576"/>
      <c r="AG132" s="576"/>
      <c r="AH132" s="576"/>
      <c r="AI132" s="576"/>
      <c r="AJ132" s="576"/>
      <c r="AK132" s="576"/>
      <c r="AL132" s="576"/>
      <c r="AM132" s="576"/>
      <c r="AN132" s="576"/>
      <c r="AO132" s="576"/>
      <c r="AP132" s="576"/>
      <c r="AQ132" s="576"/>
      <c r="AR132" s="576"/>
      <c r="AS132" s="576"/>
      <c r="AT132" s="576"/>
      <c r="AU132" s="576"/>
      <c r="AV132" s="576"/>
      <c r="AW132" s="576"/>
      <c r="AX132" s="576"/>
      <c r="AY132" s="576"/>
      <c r="AZ132" s="576"/>
      <c r="BA132" s="576"/>
      <c r="BB132" s="576"/>
      <c r="BC132" s="576"/>
      <c r="BD132" s="572"/>
      <c r="BE132" s="544"/>
      <c r="BF132" s="544"/>
      <c r="BG132" s="544"/>
      <c r="BH132" s="545"/>
      <c r="BI132" s="545"/>
      <c r="BJ132" s="545"/>
      <c r="BK132" s="545"/>
      <c r="BL132" s="545"/>
      <c r="BM132" s="545"/>
      <c r="BN132" s="545"/>
      <c r="BO132" s="545"/>
      <c r="BP132" s="545"/>
      <c r="BQ132" s="545"/>
      <c r="BR132" s="545"/>
      <c r="BS132" s="545"/>
      <c r="BT132" s="545"/>
    </row>
    <row r="133" spans="1:72" ht="15.75">
      <c r="A133" s="545"/>
      <c r="B133" s="545"/>
      <c r="C133" s="545"/>
      <c r="D133" s="545"/>
      <c r="E133" s="545"/>
      <c r="F133" s="545"/>
      <c r="G133" s="545"/>
      <c r="H133" s="545"/>
      <c r="I133" s="545"/>
      <c r="J133" s="545"/>
      <c r="K133" s="545"/>
      <c r="L133" s="545"/>
      <c r="M133" s="545"/>
      <c r="N133" s="545"/>
      <c r="O133" s="545"/>
      <c r="P133" s="545"/>
      <c r="Q133" s="545"/>
      <c r="R133" s="545"/>
      <c r="S133" s="576"/>
      <c r="T133" s="576"/>
      <c r="U133" s="576"/>
      <c r="V133" s="576"/>
      <c r="W133" s="545"/>
      <c r="X133" s="545"/>
      <c r="Y133" s="576"/>
      <c r="Z133" s="576"/>
      <c r="AA133" s="545"/>
      <c r="AB133" s="545"/>
      <c r="AC133" s="545"/>
      <c r="AD133" s="576"/>
      <c r="AE133" s="576"/>
      <c r="AF133" s="576"/>
      <c r="AG133" s="576"/>
      <c r="AH133" s="576"/>
      <c r="AI133" s="576"/>
      <c r="AJ133" s="576"/>
      <c r="AK133" s="576"/>
      <c r="AL133" s="576"/>
      <c r="AM133" s="576"/>
      <c r="AN133" s="576"/>
      <c r="AO133" s="576"/>
      <c r="AP133" s="576"/>
      <c r="AQ133" s="576"/>
      <c r="AR133" s="576"/>
      <c r="AS133" s="576"/>
      <c r="AT133" s="576"/>
      <c r="AU133" s="576"/>
      <c r="AV133" s="576"/>
      <c r="AW133" s="576"/>
      <c r="AX133" s="576"/>
      <c r="AY133" s="576"/>
      <c r="AZ133" s="576"/>
      <c r="BA133" s="576"/>
      <c r="BB133" s="576"/>
      <c r="BC133" s="576"/>
      <c r="BD133" s="572"/>
      <c r="BE133" s="544"/>
      <c r="BF133" s="544"/>
      <c r="BG133" s="544"/>
      <c r="BH133" s="545"/>
      <c r="BI133" s="545"/>
      <c r="BJ133" s="545"/>
      <c r="BK133" s="545"/>
      <c r="BL133" s="545"/>
      <c r="BM133" s="545"/>
      <c r="BN133" s="545"/>
      <c r="BO133" s="545"/>
      <c r="BP133" s="545"/>
      <c r="BQ133" s="545"/>
      <c r="BR133" s="545"/>
      <c r="BS133" s="545"/>
      <c r="BT133" s="545"/>
    </row>
    <row r="134" spans="1:72" ht="15.75">
      <c r="A134" s="545"/>
      <c r="B134" s="545"/>
      <c r="C134" s="545"/>
      <c r="D134" s="545"/>
      <c r="E134" s="545"/>
      <c r="F134" s="545"/>
      <c r="G134" s="545"/>
      <c r="H134" s="545"/>
      <c r="I134" s="545"/>
      <c r="J134" s="545"/>
      <c r="K134" s="545"/>
      <c r="L134" s="545"/>
      <c r="M134" s="545"/>
      <c r="N134" s="545"/>
      <c r="O134" s="545"/>
      <c r="P134" s="545"/>
      <c r="Q134" s="545"/>
      <c r="R134" s="545"/>
      <c r="S134" s="576"/>
      <c r="T134" s="576"/>
      <c r="U134" s="576"/>
      <c r="V134" s="576"/>
      <c r="W134" s="545"/>
      <c r="X134" s="545"/>
      <c r="Y134" s="576"/>
      <c r="Z134" s="576"/>
      <c r="AA134" s="545"/>
      <c r="AB134" s="545"/>
      <c r="AC134" s="545"/>
      <c r="AD134" s="576"/>
      <c r="AE134" s="576"/>
      <c r="AF134" s="576"/>
      <c r="AG134" s="576"/>
      <c r="AH134" s="576"/>
      <c r="AI134" s="576"/>
      <c r="AJ134" s="576"/>
      <c r="AK134" s="576"/>
      <c r="AL134" s="576"/>
      <c r="AM134" s="576"/>
      <c r="AN134" s="576"/>
      <c r="AO134" s="576"/>
      <c r="AP134" s="576"/>
      <c r="AQ134" s="576"/>
      <c r="AR134" s="576"/>
      <c r="AS134" s="576"/>
      <c r="AT134" s="576"/>
      <c r="AU134" s="576"/>
      <c r="AV134" s="576"/>
      <c r="AW134" s="576"/>
      <c r="AX134" s="576"/>
      <c r="AY134" s="576"/>
      <c r="AZ134" s="576"/>
      <c r="BA134" s="576"/>
      <c r="BB134" s="576"/>
      <c r="BC134" s="576"/>
      <c r="BD134" s="572"/>
      <c r="BE134" s="544"/>
      <c r="BF134" s="544"/>
      <c r="BG134" s="544"/>
      <c r="BH134" s="545"/>
      <c r="BI134" s="545"/>
      <c r="BJ134" s="545"/>
      <c r="BK134" s="545"/>
      <c r="BL134" s="545"/>
      <c r="BM134" s="545"/>
      <c r="BN134" s="545"/>
      <c r="BO134" s="545"/>
      <c r="BP134" s="545"/>
      <c r="BQ134" s="545"/>
      <c r="BR134" s="545"/>
      <c r="BS134" s="545"/>
      <c r="BT134" s="545"/>
    </row>
    <row r="135" spans="1:72" ht="15.75">
      <c r="A135" s="545"/>
      <c r="B135" s="545"/>
      <c r="C135" s="545"/>
      <c r="D135" s="545"/>
      <c r="E135" s="545"/>
      <c r="F135" s="545"/>
      <c r="G135" s="545"/>
      <c r="H135" s="545"/>
      <c r="I135" s="545"/>
      <c r="J135" s="545"/>
      <c r="K135" s="545"/>
      <c r="L135" s="545"/>
      <c r="M135" s="545"/>
      <c r="N135" s="545"/>
      <c r="O135" s="545"/>
      <c r="P135" s="545"/>
      <c r="Q135" s="545"/>
      <c r="R135" s="545"/>
      <c r="S135" s="576"/>
      <c r="T135" s="576"/>
      <c r="U135" s="576"/>
      <c r="V135" s="576"/>
      <c r="W135" s="545"/>
      <c r="X135" s="545"/>
      <c r="Y135" s="576"/>
      <c r="Z135" s="576"/>
      <c r="AA135" s="545"/>
      <c r="AB135" s="545"/>
      <c r="AC135" s="545"/>
      <c r="AD135" s="576"/>
      <c r="AE135" s="576"/>
      <c r="AF135" s="576"/>
      <c r="AG135" s="576"/>
      <c r="AH135" s="576"/>
      <c r="AI135" s="576"/>
      <c r="AJ135" s="576"/>
      <c r="AK135" s="576"/>
      <c r="AL135" s="576"/>
      <c r="AM135" s="576"/>
      <c r="AN135" s="576"/>
      <c r="AO135" s="576"/>
      <c r="AP135" s="576"/>
      <c r="AQ135" s="576"/>
      <c r="AR135" s="576"/>
      <c r="AS135" s="576"/>
      <c r="AT135" s="576"/>
      <c r="AU135" s="576"/>
      <c r="AV135" s="576"/>
      <c r="AW135" s="576"/>
      <c r="AX135" s="576"/>
      <c r="AY135" s="576"/>
      <c r="AZ135" s="576"/>
      <c r="BA135" s="576"/>
      <c r="BB135" s="576"/>
      <c r="BC135" s="576"/>
      <c r="BD135" s="572"/>
      <c r="BE135" s="544"/>
      <c r="BF135" s="544"/>
      <c r="BG135" s="544"/>
      <c r="BH135" s="545"/>
      <c r="BI135" s="545"/>
      <c r="BJ135" s="545"/>
      <c r="BK135" s="545"/>
      <c r="BL135" s="545"/>
      <c r="BM135" s="545"/>
      <c r="BN135" s="545"/>
      <c r="BO135" s="545"/>
      <c r="BP135" s="545"/>
      <c r="BQ135" s="545"/>
      <c r="BR135" s="545"/>
      <c r="BS135" s="545"/>
      <c r="BT135" s="545"/>
    </row>
    <row r="136" spans="1:72" ht="15.75">
      <c r="A136" s="545"/>
      <c r="B136" s="545"/>
      <c r="C136" s="545"/>
      <c r="D136" s="545"/>
      <c r="E136" s="545"/>
      <c r="F136" s="545"/>
      <c r="G136" s="545"/>
      <c r="H136" s="545"/>
      <c r="I136" s="545"/>
      <c r="J136" s="545"/>
      <c r="K136" s="545"/>
      <c r="L136" s="545"/>
      <c r="M136" s="545"/>
      <c r="N136" s="545"/>
      <c r="O136" s="545"/>
      <c r="P136" s="545"/>
      <c r="Q136" s="545"/>
      <c r="R136" s="545"/>
      <c r="S136" s="576"/>
      <c r="T136" s="576"/>
      <c r="U136" s="576"/>
      <c r="V136" s="576"/>
      <c r="W136" s="545"/>
      <c r="X136" s="545"/>
      <c r="Y136" s="576"/>
      <c r="Z136" s="576"/>
      <c r="AA136" s="545"/>
      <c r="AB136" s="545"/>
      <c r="AC136" s="545"/>
      <c r="AD136" s="576"/>
      <c r="AE136" s="576"/>
      <c r="AF136" s="576"/>
      <c r="AG136" s="576"/>
      <c r="AH136" s="576"/>
      <c r="AI136" s="576"/>
      <c r="AJ136" s="576"/>
      <c r="AK136" s="576"/>
      <c r="AL136" s="576"/>
      <c r="AM136" s="576"/>
      <c r="AN136" s="576"/>
      <c r="AO136" s="576"/>
      <c r="AP136" s="576"/>
      <c r="AQ136" s="576"/>
      <c r="AR136" s="576"/>
      <c r="AS136" s="576"/>
      <c r="AT136" s="576"/>
      <c r="AU136" s="576"/>
      <c r="AV136" s="576"/>
      <c r="AW136" s="576"/>
      <c r="AX136" s="576"/>
      <c r="AY136" s="576"/>
      <c r="AZ136" s="576"/>
      <c r="BA136" s="576"/>
      <c r="BB136" s="576"/>
      <c r="BC136" s="576"/>
      <c r="BD136" s="572"/>
      <c r="BE136" s="544"/>
      <c r="BF136" s="544"/>
      <c r="BG136" s="544"/>
      <c r="BH136" s="545"/>
      <c r="BI136" s="545"/>
      <c r="BJ136" s="545"/>
      <c r="BK136" s="545"/>
      <c r="BL136" s="545"/>
      <c r="BM136" s="545"/>
      <c r="BN136" s="545"/>
      <c r="BO136" s="545"/>
      <c r="BP136" s="545"/>
      <c r="BQ136" s="545"/>
      <c r="BR136" s="545"/>
      <c r="BS136" s="545"/>
      <c r="BT136" s="545"/>
    </row>
    <row r="137" spans="1:72" ht="15.75">
      <c r="A137" s="545"/>
      <c r="B137" s="545"/>
      <c r="C137" s="545"/>
      <c r="D137" s="545"/>
      <c r="E137" s="545"/>
      <c r="F137" s="545"/>
      <c r="G137" s="545"/>
      <c r="H137" s="545"/>
      <c r="I137" s="545"/>
      <c r="J137" s="545"/>
      <c r="K137" s="545"/>
      <c r="L137" s="545"/>
      <c r="M137" s="545"/>
      <c r="N137" s="545"/>
      <c r="O137" s="545"/>
      <c r="P137" s="545"/>
      <c r="Q137" s="545"/>
      <c r="R137" s="545"/>
      <c r="S137" s="576"/>
      <c r="T137" s="576"/>
      <c r="U137" s="576"/>
      <c r="V137" s="576"/>
      <c r="W137" s="545"/>
      <c r="X137" s="545"/>
      <c r="Y137" s="576"/>
      <c r="Z137" s="576"/>
      <c r="AA137" s="545"/>
      <c r="AB137" s="545"/>
      <c r="AC137" s="545"/>
      <c r="AD137" s="576"/>
      <c r="AE137" s="576"/>
      <c r="AF137" s="576"/>
      <c r="AG137" s="576"/>
      <c r="AH137" s="576"/>
      <c r="AI137" s="576"/>
      <c r="AJ137" s="576"/>
      <c r="AK137" s="576"/>
      <c r="AL137" s="576"/>
      <c r="AM137" s="576"/>
      <c r="AN137" s="576"/>
      <c r="AO137" s="576"/>
      <c r="AP137" s="576"/>
      <c r="AQ137" s="576"/>
      <c r="AR137" s="576"/>
      <c r="AS137" s="576"/>
      <c r="AT137" s="576"/>
      <c r="AU137" s="576"/>
      <c r="AV137" s="576"/>
      <c r="AW137" s="576"/>
      <c r="AX137" s="576"/>
      <c r="AY137" s="576"/>
      <c r="AZ137" s="576"/>
      <c r="BA137" s="576"/>
      <c r="BB137" s="576"/>
      <c r="BC137" s="576"/>
      <c r="BD137" s="572"/>
      <c r="BE137" s="544"/>
      <c r="BF137" s="544"/>
      <c r="BG137" s="544"/>
      <c r="BH137" s="545"/>
      <c r="BI137" s="545"/>
      <c r="BJ137" s="545"/>
      <c r="BK137" s="545"/>
      <c r="BL137" s="545"/>
      <c r="BM137" s="545"/>
      <c r="BN137" s="545"/>
      <c r="BO137" s="545"/>
      <c r="BP137" s="545"/>
      <c r="BQ137" s="545"/>
      <c r="BR137" s="545"/>
      <c r="BS137" s="545"/>
      <c r="BT137" s="545"/>
    </row>
    <row r="138" spans="1:72" ht="15.75">
      <c r="A138" s="545"/>
      <c r="B138" s="545"/>
      <c r="C138" s="545"/>
      <c r="D138" s="545"/>
      <c r="E138" s="545"/>
      <c r="F138" s="545"/>
      <c r="G138" s="545"/>
      <c r="H138" s="545"/>
      <c r="I138" s="545"/>
      <c r="J138" s="545"/>
      <c r="K138" s="545"/>
      <c r="L138" s="545"/>
      <c r="M138" s="545"/>
      <c r="N138" s="545"/>
      <c r="O138" s="545"/>
      <c r="P138" s="545"/>
      <c r="Q138" s="545"/>
      <c r="R138" s="545"/>
      <c r="S138" s="576"/>
      <c r="T138" s="576"/>
      <c r="U138" s="576"/>
      <c r="V138" s="576"/>
      <c r="W138" s="545"/>
      <c r="X138" s="545"/>
      <c r="Y138" s="576"/>
      <c r="Z138" s="576"/>
      <c r="AA138" s="545"/>
      <c r="AB138" s="545"/>
      <c r="AC138" s="545"/>
      <c r="AD138" s="576"/>
      <c r="AE138" s="576"/>
      <c r="AF138" s="576"/>
      <c r="AG138" s="576"/>
      <c r="AH138" s="576"/>
      <c r="AI138" s="576"/>
      <c r="AJ138" s="576"/>
      <c r="AK138" s="576"/>
      <c r="AL138" s="576"/>
      <c r="AM138" s="576"/>
      <c r="AN138" s="576"/>
      <c r="AO138" s="576"/>
      <c r="AP138" s="576"/>
      <c r="AQ138" s="576"/>
      <c r="AR138" s="576"/>
      <c r="AS138" s="576"/>
      <c r="AT138" s="576"/>
      <c r="AU138" s="576"/>
      <c r="AV138" s="576"/>
      <c r="AW138" s="576"/>
      <c r="AX138" s="576"/>
      <c r="AY138" s="576"/>
      <c r="AZ138" s="576"/>
      <c r="BA138" s="576"/>
      <c r="BB138" s="576"/>
      <c r="BC138" s="576"/>
      <c r="BD138" s="572"/>
      <c r="BE138" s="544"/>
      <c r="BF138" s="544"/>
      <c r="BG138" s="544"/>
      <c r="BH138" s="545"/>
      <c r="BI138" s="545"/>
      <c r="BJ138" s="545"/>
      <c r="BK138" s="545"/>
      <c r="BL138" s="545"/>
      <c r="BM138" s="545"/>
      <c r="BN138" s="545"/>
      <c r="BO138" s="545"/>
      <c r="BP138" s="545"/>
      <c r="BQ138" s="545"/>
      <c r="BR138" s="545"/>
      <c r="BS138" s="545"/>
      <c r="BT138" s="545"/>
    </row>
    <row r="139" spans="1:72" ht="15.75">
      <c r="A139" s="545"/>
      <c r="B139" s="545"/>
      <c r="C139" s="545"/>
      <c r="D139" s="545"/>
      <c r="E139" s="545"/>
      <c r="F139" s="545"/>
      <c r="G139" s="545"/>
      <c r="H139" s="545"/>
      <c r="I139" s="545"/>
      <c r="J139" s="545"/>
      <c r="K139" s="545"/>
      <c r="L139" s="545"/>
      <c r="M139" s="545"/>
      <c r="N139" s="545"/>
      <c r="O139" s="545"/>
      <c r="P139" s="545"/>
      <c r="Q139" s="545"/>
      <c r="R139" s="545"/>
      <c r="S139" s="576"/>
      <c r="T139" s="576"/>
      <c r="U139" s="576"/>
      <c r="V139" s="576"/>
      <c r="W139" s="545"/>
      <c r="X139" s="545"/>
      <c r="Y139" s="576"/>
      <c r="Z139" s="576"/>
      <c r="AA139" s="545"/>
      <c r="AB139" s="545"/>
      <c r="AC139" s="545"/>
      <c r="AD139" s="576"/>
      <c r="AE139" s="576"/>
      <c r="AF139" s="576"/>
      <c r="AG139" s="576"/>
      <c r="AH139" s="576"/>
      <c r="AI139" s="576"/>
      <c r="AJ139" s="576"/>
      <c r="AK139" s="576"/>
      <c r="AL139" s="576"/>
      <c r="AM139" s="576"/>
      <c r="AN139" s="576"/>
      <c r="AO139" s="576"/>
      <c r="AP139" s="576"/>
      <c r="AQ139" s="576"/>
      <c r="AR139" s="576"/>
      <c r="AS139" s="576"/>
      <c r="AT139" s="576"/>
      <c r="AU139" s="576"/>
      <c r="AV139" s="576"/>
      <c r="AW139" s="576"/>
      <c r="AX139" s="576"/>
      <c r="AY139" s="576"/>
      <c r="AZ139" s="576"/>
      <c r="BA139" s="576"/>
      <c r="BB139" s="576"/>
      <c r="BC139" s="576"/>
      <c r="BD139" s="572"/>
      <c r="BE139" s="544"/>
      <c r="BF139" s="544"/>
      <c r="BG139" s="544"/>
      <c r="BH139" s="545"/>
      <c r="BI139" s="545"/>
      <c r="BJ139" s="545"/>
      <c r="BK139" s="545"/>
      <c r="BL139" s="545"/>
      <c r="BM139" s="545"/>
      <c r="BN139" s="545"/>
      <c r="BO139" s="545"/>
      <c r="BP139" s="545"/>
      <c r="BQ139" s="545"/>
      <c r="BR139" s="545"/>
      <c r="BS139" s="545"/>
      <c r="BT139" s="545"/>
    </row>
    <row r="140" spans="1:72" ht="15.75">
      <c r="A140" s="545"/>
      <c r="B140" s="545"/>
      <c r="C140" s="545"/>
      <c r="D140" s="545"/>
      <c r="E140" s="545"/>
      <c r="F140" s="545"/>
      <c r="G140" s="545"/>
      <c r="H140" s="545"/>
      <c r="I140" s="545"/>
      <c r="J140" s="545"/>
      <c r="K140" s="545"/>
      <c r="L140" s="545"/>
      <c r="M140" s="545"/>
      <c r="N140" s="545"/>
      <c r="O140" s="545"/>
      <c r="P140" s="545"/>
      <c r="Q140" s="545"/>
      <c r="R140" s="545"/>
      <c r="S140" s="576"/>
      <c r="T140" s="576"/>
      <c r="U140" s="576"/>
      <c r="V140" s="576"/>
      <c r="W140" s="545"/>
      <c r="X140" s="545"/>
      <c r="Y140" s="576"/>
      <c r="Z140" s="576"/>
      <c r="AA140" s="545"/>
      <c r="AB140" s="545"/>
      <c r="AC140" s="545"/>
      <c r="AD140" s="576"/>
      <c r="AE140" s="576"/>
      <c r="AF140" s="576"/>
      <c r="AG140" s="576"/>
      <c r="AH140" s="576"/>
      <c r="AI140" s="576"/>
      <c r="AJ140" s="576"/>
      <c r="AK140" s="576"/>
      <c r="AL140" s="576"/>
      <c r="AM140" s="576"/>
      <c r="AN140" s="576"/>
      <c r="AO140" s="576"/>
      <c r="AP140" s="576"/>
      <c r="AQ140" s="576"/>
      <c r="AR140" s="576"/>
      <c r="AS140" s="576"/>
      <c r="AT140" s="576"/>
      <c r="AU140" s="576"/>
      <c r="AV140" s="576"/>
      <c r="AW140" s="576"/>
      <c r="AX140" s="576"/>
      <c r="AY140" s="576"/>
      <c r="AZ140" s="576"/>
      <c r="BA140" s="576"/>
      <c r="BB140" s="576"/>
      <c r="BC140" s="576"/>
      <c r="BD140" s="572"/>
      <c r="BE140" s="544"/>
      <c r="BF140" s="544"/>
      <c r="BG140" s="544"/>
      <c r="BH140" s="545"/>
      <c r="BI140" s="545"/>
      <c r="BJ140" s="545"/>
      <c r="BK140" s="545"/>
      <c r="BL140" s="545"/>
      <c r="BM140" s="545"/>
      <c r="BN140" s="545"/>
      <c r="BO140" s="545"/>
      <c r="BP140" s="545"/>
      <c r="BQ140" s="545"/>
      <c r="BR140" s="545"/>
      <c r="BS140" s="545"/>
      <c r="BT140" s="545"/>
    </row>
    <row r="141" spans="1:72" ht="15.75">
      <c r="A141" s="545"/>
      <c r="B141" s="545"/>
      <c r="C141" s="545"/>
      <c r="D141" s="545"/>
      <c r="E141" s="545"/>
      <c r="F141" s="545"/>
      <c r="G141" s="545"/>
      <c r="H141" s="545"/>
      <c r="I141" s="545"/>
      <c r="J141" s="545"/>
      <c r="K141" s="545"/>
      <c r="L141" s="545"/>
      <c r="M141" s="545"/>
      <c r="N141" s="545"/>
      <c r="O141" s="545"/>
      <c r="P141" s="545"/>
      <c r="Q141" s="545"/>
      <c r="R141" s="545"/>
      <c r="S141" s="576"/>
      <c r="T141" s="576"/>
      <c r="U141" s="576"/>
      <c r="V141" s="576"/>
      <c r="W141" s="545"/>
      <c r="X141" s="545"/>
      <c r="Y141" s="576"/>
      <c r="Z141" s="576"/>
      <c r="AA141" s="545"/>
      <c r="AB141" s="545"/>
      <c r="AC141" s="545"/>
      <c r="AD141" s="576"/>
      <c r="AE141" s="576"/>
      <c r="AF141" s="576"/>
      <c r="AG141" s="576"/>
      <c r="AH141" s="576"/>
      <c r="AI141" s="576"/>
      <c r="AJ141" s="576"/>
      <c r="AK141" s="576"/>
      <c r="AL141" s="576"/>
      <c r="AM141" s="576"/>
      <c r="AN141" s="576"/>
      <c r="AO141" s="576"/>
      <c r="AP141" s="576"/>
      <c r="AQ141" s="576"/>
      <c r="AR141" s="576"/>
      <c r="AS141" s="576"/>
      <c r="AT141" s="576"/>
      <c r="AU141" s="576"/>
      <c r="AV141" s="576"/>
      <c r="AW141" s="576"/>
      <c r="AX141" s="576"/>
      <c r="AY141" s="576"/>
      <c r="AZ141" s="576"/>
      <c r="BA141" s="576"/>
      <c r="BB141" s="576"/>
      <c r="BC141" s="576"/>
      <c r="BD141" s="572"/>
      <c r="BE141" s="544"/>
      <c r="BF141" s="544"/>
      <c r="BG141" s="544"/>
      <c r="BH141" s="545"/>
      <c r="BI141" s="545"/>
      <c r="BJ141" s="545"/>
      <c r="BK141" s="545"/>
      <c r="BL141" s="545"/>
      <c r="BM141" s="545"/>
      <c r="BN141" s="545"/>
      <c r="BO141" s="545"/>
      <c r="BP141" s="545"/>
      <c r="BQ141" s="545"/>
      <c r="BR141" s="545"/>
      <c r="BS141" s="545"/>
      <c r="BT141" s="545"/>
    </row>
    <row r="142" spans="1:72" ht="15.75">
      <c r="A142" s="545"/>
      <c r="B142" s="545"/>
      <c r="C142" s="545"/>
      <c r="D142" s="545"/>
      <c r="E142" s="545"/>
      <c r="F142" s="545"/>
      <c r="G142" s="545"/>
      <c r="H142" s="545"/>
      <c r="I142" s="545"/>
      <c r="J142" s="545"/>
      <c r="K142" s="545"/>
      <c r="L142" s="545"/>
      <c r="M142" s="545"/>
      <c r="N142" s="545"/>
      <c r="O142" s="545"/>
      <c r="P142" s="545"/>
      <c r="Q142" s="545"/>
      <c r="R142" s="545"/>
      <c r="S142" s="576"/>
      <c r="T142" s="576"/>
      <c r="U142" s="576"/>
      <c r="V142" s="576"/>
      <c r="W142" s="545"/>
      <c r="X142" s="545"/>
      <c r="Y142" s="576"/>
      <c r="Z142" s="576"/>
      <c r="AA142" s="545"/>
      <c r="AB142" s="545"/>
      <c r="AC142" s="545"/>
      <c r="AD142" s="576"/>
      <c r="AE142" s="576"/>
      <c r="AF142" s="576"/>
      <c r="AG142" s="576"/>
      <c r="AH142" s="576"/>
      <c r="AI142" s="576"/>
      <c r="AJ142" s="576"/>
      <c r="AK142" s="576"/>
      <c r="AL142" s="576"/>
      <c r="AM142" s="576"/>
      <c r="AN142" s="576"/>
      <c r="AO142" s="576"/>
      <c r="AP142" s="576"/>
      <c r="AQ142" s="576"/>
      <c r="AR142" s="576"/>
      <c r="AS142" s="576"/>
      <c r="AT142" s="576"/>
      <c r="AU142" s="576"/>
      <c r="AV142" s="576"/>
      <c r="AW142" s="576"/>
      <c r="AX142" s="576"/>
      <c r="AY142" s="576"/>
      <c r="AZ142" s="576"/>
      <c r="BA142" s="576"/>
      <c r="BB142" s="576"/>
      <c r="BC142" s="576"/>
      <c r="BD142" s="572"/>
      <c r="BE142" s="544"/>
      <c r="BF142" s="544"/>
      <c r="BG142" s="544"/>
      <c r="BH142" s="545"/>
      <c r="BI142" s="545"/>
      <c r="BJ142" s="545"/>
      <c r="BK142" s="545"/>
      <c r="BL142" s="545"/>
      <c r="BM142" s="545"/>
      <c r="BN142" s="545"/>
      <c r="BO142" s="545"/>
      <c r="BP142" s="545"/>
      <c r="BQ142" s="545"/>
      <c r="BR142" s="545"/>
      <c r="BS142" s="545"/>
      <c r="BT142" s="545"/>
    </row>
    <row r="143" spans="1:72" ht="15.75">
      <c r="A143" s="545"/>
      <c r="B143" s="545"/>
      <c r="C143" s="545"/>
      <c r="D143" s="545"/>
      <c r="E143" s="545"/>
      <c r="F143" s="545"/>
      <c r="G143" s="545"/>
      <c r="H143" s="545"/>
      <c r="I143" s="545"/>
      <c r="J143" s="545"/>
      <c r="K143" s="545"/>
      <c r="L143" s="545"/>
      <c r="M143" s="545"/>
      <c r="N143" s="545"/>
      <c r="O143" s="545"/>
      <c r="P143" s="545"/>
      <c r="Q143" s="545"/>
      <c r="R143" s="545"/>
      <c r="S143" s="576"/>
      <c r="T143" s="576"/>
      <c r="U143" s="576"/>
      <c r="V143" s="576"/>
      <c r="W143" s="545"/>
      <c r="X143" s="545"/>
      <c r="Y143" s="576"/>
      <c r="Z143" s="576"/>
      <c r="AA143" s="545"/>
      <c r="AB143" s="545"/>
      <c r="AC143" s="545"/>
      <c r="AD143" s="576"/>
      <c r="AE143" s="576"/>
      <c r="AF143" s="576"/>
      <c r="AG143" s="576"/>
      <c r="AH143" s="576"/>
      <c r="AI143" s="576"/>
      <c r="AJ143" s="576"/>
      <c r="AK143" s="576"/>
      <c r="AL143" s="576"/>
      <c r="AM143" s="576"/>
      <c r="AN143" s="576"/>
      <c r="AO143" s="576"/>
      <c r="AP143" s="576"/>
      <c r="AQ143" s="576"/>
      <c r="AR143" s="576"/>
      <c r="AS143" s="576"/>
      <c r="AT143" s="576"/>
      <c r="AU143" s="576"/>
      <c r="AV143" s="576"/>
      <c r="AW143" s="576"/>
      <c r="AX143" s="576"/>
      <c r="AY143" s="576"/>
      <c r="AZ143" s="576"/>
      <c r="BA143" s="576"/>
      <c r="BB143" s="576"/>
      <c r="BC143" s="576"/>
      <c r="BD143" s="572"/>
      <c r="BE143" s="544"/>
      <c r="BF143" s="544"/>
      <c r="BG143" s="544"/>
      <c r="BH143" s="545"/>
      <c r="BI143" s="545"/>
      <c r="BJ143" s="545"/>
      <c r="BK143" s="545"/>
      <c r="BL143" s="545"/>
      <c r="BM143" s="545"/>
      <c r="BN143" s="545"/>
      <c r="BO143" s="545"/>
      <c r="BP143" s="545"/>
      <c r="BQ143" s="545"/>
      <c r="BR143" s="545"/>
      <c r="BS143" s="545"/>
      <c r="BT143" s="545"/>
    </row>
    <row r="144" spans="1:72" ht="15.75">
      <c r="A144" s="545"/>
      <c r="B144" s="545"/>
      <c r="C144" s="545"/>
      <c r="D144" s="545"/>
      <c r="E144" s="545"/>
      <c r="F144" s="545"/>
      <c r="G144" s="545"/>
      <c r="H144" s="545"/>
      <c r="I144" s="545"/>
      <c r="J144" s="545"/>
      <c r="K144" s="545"/>
      <c r="L144" s="545"/>
      <c r="M144" s="545"/>
      <c r="N144" s="545"/>
      <c r="O144" s="545"/>
      <c r="P144" s="545"/>
      <c r="Q144" s="545"/>
      <c r="R144" s="545"/>
      <c r="S144" s="576"/>
      <c r="T144" s="576"/>
      <c r="U144" s="576"/>
      <c r="V144" s="576"/>
      <c r="W144" s="545"/>
      <c r="X144" s="545"/>
      <c r="Y144" s="576"/>
      <c r="Z144" s="576"/>
      <c r="AA144" s="545"/>
      <c r="AB144" s="545"/>
      <c r="AC144" s="545"/>
      <c r="AD144" s="576"/>
      <c r="AE144" s="576"/>
      <c r="AF144" s="576"/>
      <c r="AG144" s="576"/>
      <c r="AH144" s="576"/>
      <c r="AI144" s="576"/>
      <c r="AJ144" s="576"/>
      <c r="AK144" s="576"/>
      <c r="AL144" s="576"/>
      <c r="AM144" s="576"/>
      <c r="AN144" s="576"/>
      <c r="AO144" s="576"/>
      <c r="AP144" s="576"/>
      <c r="AQ144" s="576"/>
      <c r="AR144" s="576"/>
      <c r="AS144" s="576"/>
      <c r="AT144" s="576"/>
      <c r="AU144" s="576"/>
      <c r="AV144" s="576"/>
      <c r="AW144" s="576"/>
      <c r="AX144" s="576"/>
      <c r="AY144" s="576"/>
      <c r="AZ144" s="576"/>
      <c r="BA144" s="576"/>
      <c r="BB144" s="576"/>
      <c r="BC144" s="576"/>
      <c r="BD144" s="572"/>
      <c r="BE144" s="544"/>
      <c r="BF144" s="544"/>
      <c r="BG144" s="544"/>
      <c r="BH144" s="545"/>
      <c r="BI144" s="545"/>
      <c r="BJ144" s="545"/>
      <c r="BK144" s="545"/>
      <c r="BL144" s="545"/>
      <c r="BM144" s="545"/>
      <c r="BN144" s="545"/>
      <c r="BO144" s="545"/>
      <c r="BP144" s="545"/>
      <c r="BQ144" s="545"/>
      <c r="BR144" s="545"/>
      <c r="BS144" s="545"/>
      <c r="BT144" s="545"/>
    </row>
    <row r="145" spans="1:72" ht="15.75">
      <c r="A145" s="545"/>
      <c r="B145" s="545"/>
      <c r="C145" s="545"/>
      <c r="D145" s="545"/>
      <c r="E145" s="545"/>
      <c r="F145" s="545"/>
      <c r="G145" s="545"/>
      <c r="H145" s="545"/>
      <c r="I145" s="545"/>
      <c r="J145" s="545"/>
      <c r="K145" s="545"/>
      <c r="L145" s="545"/>
      <c r="M145" s="545"/>
      <c r="N145" s="545"/>
      <c r="O145" s="545"/>
      <c r="P145" s="545"/>
      <c r="Q145" s="545"/>
      <c r="R145" s="545"/>
      <c r="S145" s="576"/>
      <c r="T145" s="576"/>
      <c r="U145" s="576"/>
      <c r="V145" s="576"/>
      <c r="W145" s="545"/>
      <c r="X145" s="545"/>
      <c r="Y145" s="576"/>
      <c r="Z145" s="576"/>
      <c r="AA145" s="545"/>
      <c r="AB145" s="545"/>
      <c r="AC145" s="545"/>
      <c r="AD145" s="576"/>
      <c r="AE145" s="576"/>
      <c r="AF145" s="576"/>
      <c r="AG145" s="576"/>
      <c r="AH145" s="576"/>
      <c r="AI145" s="576"/>
      <c r="AJ145" s="576"/>
      <c r="AK145" s="576"/>
      <c r="AL145" s="576"/>
      <c r="AM145" s="576"/>
      <c r="AN145" s="576"/>
      <c r="AO145" s="576"/>
      <c r="AP145" s="576"/>
      <c r="AQ145" s="576"/>
      <c r="AR145" s="576"/>
      <c r="AS145" s="576"/>
      <c r="AT145" s="576"/>
      <c r="AU145" s="576"/>
      <c r="AV145" s="576"/>
      <c r="AW145" s="576"/>
      <c r="AX145" s="576"/>
      <c r="AY145" s="576"/>
      <c r="AZ145" s="576"/>
      <c r="BA145" s="576"/>
      <c r="BB145" s="576"/>
      <c r="BC145" s="576"/>
      <c r="BD145" s="572"/>
      <c r="BE145" s="544"/>
      <c r="BF145" s="544"/>
      <c r="BG145" s="544"/>
      <c r="BH145" s="545"/>
      <c r="BI145" s="545"/>
      <c r="BJ145" s="545"/>
      <c r="BK145" s="545"/>
      <c r="BL145" s="545"/>
      <c r="BM145" s="545"/>
      <c r="BN145" s="545"/>
      <c r="BO145" s="545"/>
      <c r="BP145" s="545"/>
      <c r="BQ145" s="545"/>
      <c r="BR145" s="545"/>
      <c r="BS145" s="545"/>
      <c r="BT145" s="545"/>
    </row>
    <row r="146" spans="1:72" ht="15.75">
      <c r="A146" s="545"/>
      <c r="B146" s="545"/>
      <c r="C146" s="545"/>
      <c r="D146" s="545"/>
      <c r="E146" s="545"/>
      <c r="F146" s="545"/>
      <c r="G146" s="545"/>
      <c r="H146" s="545"/>
      <c r="I146" s="545"/>
      <c r="J146" s="545"/>
      <c r="K146" s="545"/>
      <c r="L146" s="545"/>
      <c r="M146" s="545"/>
      <c r="N146" s="545"/>
      <c r="O146" s="545"/>
      <c r="P146" s="545"/>
      <c r="Q146" s="545"/>
      <c r="R146" s="545"/>
      <c r="S146" s="576"/>
      <c r="T146" s="576"/>
      <c r="U146" s="576"/>
      <c r="V146" s="576"/>
      <c r="W146" s="545"/>
      <c r="X146" s="545"/>
      <c r="Y146" s="576"/>
      <c r="Z146" s="576"/>
      <c r="AA146" s="545"/>
      <c r="AB146" s="545"/>
      <c r="AC146" s="545"/>
      <c r="AD146" s="576"/>
      <c r="AE146" s="576"/>
      <c r="AF146" s="576"/>
      <c r="AG146" s="576"/>
      <c r="AH146" s="576"/>
      <c r="AI146" s="576"/>
      <c r="AJ146" s="576"/>
      <c r="AK146" s="576"/>
      <c r="AL146" s="576"/>
      <c r="AM146" s="576"/>
      <c r="AN146" s="576"/>
      <c r="AO146" s="576"/>
      <c r="AP146" s="576"/>
      <c r="AQ146" s="576"/>
      <c r="AR146" s="576"/>
      <c r="AS146" s="576"/>
      <c r="AT146" s="576"/>
      <c r="AU146" s="576"/>
      <c r="AV146" s="576"/>
      <c r="AW146" s="576"/>
      <c r="AX146" s="576"/>
      <c r="AY146" s="576"/>
      <c r="AZ146" s="576"/>
      <c r="BA146" s="576"/>
      <c r="BB146" s="576"/>
      <c r="BC146" s="576"/>
      <c r="BD146" s="572"/>
      <c r="BE146" s="544"/>
      <c r="BF146" s="544"/>
      <c r="BG146" s="544"/>
      <c r="BH146" s="545"/>
      <c r="BI146" s="545"/>
      <c r="BJ146" s="545"/>
      <c r="BK146" s="545"/>
      <c r="BL146" s="545"/>
      <c r="BM146" s="545"/>
      <c r="BN146" s="545"/>
      <c r="BO146" s="545"/>
      <c r="BP146" s="545"/>
      <c r="BQ146" s="545"/>
      <c r="BR146" s="545"/>
      <c r="BS146" s="545"/>
      <c r="BT146" s="545"/>
    </row>
    <row r="147" spans="1:72" ht="15.75">
      <c r="A147" s="545"/>
      <c r="B147" s="545"/>
      <c r="C147" s="545"/>
      <c r="D147" s="545"/>
      <c r="E147" s="545"/>
      <c r="F147" s="545"/>
      <c r="G147" s="545"/>
      <c r="H147" s="545"/>
      <c r="I147" s="545"/>
      <c r="J147" s="545"/>
      <c r="K147" s="545"/>
      <c r="L147" s="545"/>
      <c r="M147" s="545"/>
      <c r="N147" s="545"/>
      <c r="O147" s="545"/>
      <c r="P147" s="545"/>
      <c r="Q147" s="545"/>
      <c r="R147" s="545"/>
      <c r="S147" s="576"/>
      <c r="T147" s="576"/>
      <c r="U147" s="576"/>
      <c r="V147" s="576"/>
      <c r="W147" s="545"/>
      <c r="X147" s="545"/>
      <c r="Y147" s="576"/>
      <c r="Z147" s="576"/>
      <c r="AA147" s="545"/>
      <c r="AB147" s="545"/>
      <c r="AC147" s="545"/>
      <c r="AD147" s="576"/>
      <c r="AE147" s="576"/>
      <c r="AF147" s="576"/>
      <c r="AG147" s="576"/>
      <c r="AH147" s="576"/>
      <c r="AI147" s="576"/>
      <c r="AJ147" s="576"/>
      <c r="AK147" s="576"/>
      <c r="AL147" s="576"/>
      <c r="AM147" s="576"/>
      <c r="AN147" s="576"/>
      <c r="AO147" s="576"/>
      <c r="AP147" s="576"/>
      <c r="AQ147" s="576"/>
      <c r="AR147" s="576"/>
      <c r="AS147" s="576"/>
      <c r="AT147" s="576"/>
      <c r="AU147" s="576"/>
      <c r="AV147" s="576"/>
      <c r="AW147" s="576"/>
      <c r="AX147" s="576"/>
      <c r="AY147" s="576"/>
      <c r="AZ147" s="576"/>
      <c r="BA147" s="576"/>
      <c r="BB147" s="576"/>
      <c r="BC147" s="576"/>
      <c r="BD147" s="572"/>
      <c r="BE147" s="544"/>
      <c r="BF147" s="544"/>
      <c r="BG147" s="544"/>
      <c r="BH147" s="545"/>
      <c r="BI147" s="545"/>
      <c r="BJ147" s="545"/>
      <c r="BK147" s="545"/>
      <c r="BL147" s="545"/>
      <c r="BM147" s="545"/>
      <c r="BN147" s="545"/>
      <c r="BO147" s="545"/>
      <c r="BP147" s="545"/>
      <c r="BQ147" s="545"/>
      <c r="BR147" s="545"/>
      <c r="BS147" s="545"/>
      <c r="BT147" s="545"/>
    </row>
    <row r="148" spans="1:72" ht="15.75">
      <c r="A148" s="545"/>
      <c r="B148" s="545"/>
      <c r="C148" s="545"/>
      <c r="D148" s="545"/>
      <c r="E148" s="545"/>
      <c r="F148" s="545"/>
      <c r="G148" s="545"/>
      <c r="H148" s="545"/>
      <c r="I148" s="545"/>
      <c r="J148" s="545"/>
      <c r="K148" s="545"/>
      <c r="L148" s="545"/>
      <c r="M148" s="545"/>
      <c r="N148" s="545"/>
      <c r="O148" s="545"/>
      <c r="P148" s="545"/>
      <c r="Q148" s="545"/>
      <c r="R148" s="545"/>
      <c r="S148" s="576"/>
      <c r="T148" s="576"/>
      <c r="U148" s="576"/>
      <c r="V148" s="576"/>
      <c r="W148" s="545"/>
      <c r="X148" s="545"/>
      <c r="Y148" s="576"/>
      <c r="Z148" s="576"/>
      <c r="AA148" s="545"/>
      <c r="AB148" s="545"/>
      <c r="AC148" s="545"/>
      <c r="AD148" s="576"/>
      <c r="AE148" s="576"/>
      <c r="AF148" s="576"/>
      <c r="AG148" s="576"/>
      <c r="AH148" s="576"/>
      <c r="AI148" s="576"/>
      <c r="AJ148" s="576"/>
      <c r="AK148" s="576"/>
      <c r="AL148" s="576"/>
      <c r="AM148" s="576"/>
      <c r="AN148" s="576"/>
      <c r="AO148" s="576"/>
      <c r="AP148" s="576"/>
      <c r="AQ148" s="576"/>
      <c r="AR148" s="576"/>
      <c r="AS148" s="576"/>
      <c r="AT148" s="576"/>
      <c r="AU148" s="576"/>
      <c r="AV148" s="576"/>
      <c r="AW148" s="576"/>
      <c r="AX148" s="576"/>
      <c r="AY148" s="576"/>
      <c r="AZ148" s="576"/>
      <c r="BA148" s="576"/>
      <c r="BB148" s="576"/>
      <c r="BC148" s="576"/>
      <c r="BD148" s="572"/>
      <c r="BE148" s="544"/>
      <c r="BF148" s="544"/>
      <c r="BG148" s="544"/>
      <c r="BH148" s="545"/>
      <c r="BI148" s="545"/>
      <c r="BJ148" s="545"/>
      <c r="BK148" s="545"/>
      <c r="BL148" s="545"/>
      <c r="BM148" s="545"/>
      <c r="BN148" s="545"/>
      <c r="BO148" s="545"/>
      <c r="BP148" s="545"/>
      <c r="BQ148" s="545"/>
      <c r="BR148" s="545"/>
      <c r="BS148" s="545"/>
      <c r="BT148" s="545"/>
    </row>
    <row r="149" spans="1:72" ht="15.75">
      <c r="A149" s="545"/>
      <c r="B149" s="545"/>
      <c r="C149" s="545"/>
      <c r="D149" s="545"/>
      <c r="E149" s="545"/>
      <c r="F149" s="545"/>
      <c r="G149" s="545"/>
      <c r="H149" s="545"/>
      <c r="I149" s="545"/>
      <c r="J149" s="545"/>
      <c r="K149" s="545"/>
      <c r="L149" s="545"/>
      <c r="M149" s="545"/>
      <c r="N149" s="545"/>
      <c r="O149" s="545"/>
      <c r="P149" s="545"/>
      <c r="Q149" s="545"/>
      <c r="R149" s="545"/>
      <c r="S149" s="576"/>
      <c r="T149" s="576"/>
      <c r="U149" s="576"/>
      <c r="V149" s="576"/>
      <c r="W149" s="545"/>
      <c r="X149" s="545"/>
      <c r="Y149" s="576"/>
      <c r="Z149" s="576"/>
      <c r="AA149" s="545"/>
      <c r="AB149" s="545"/>
      <c r="AC149" s="545"/>
      <c r="AD149" s="576"/>
      <c r="AE149" s="576"/>
      <c r="AF149" s="576"/>
      <c r="AG149" s="576"/>
      <c r="AH149" s="576"/>
      <c r="AI149" s="576"/>
      <c r="AJ149" s="576"/>
      <c r="AK149" s="576"/>
      <c r="AL149" s="576"/>
      <c r="AM149" s="576"/>
      <c r="AN149" s="576"/>
      <c r="AO149" s="576"/>
      <c r="AP149" s="576"/>
      <c r="AQ149" s="576"/>
      <c r="AR149" s="576"/>
      <c r="AS149" s="576"/>
      <c r="AT149" s="576"/>
      <c r="AU149" s="576"/>
      <c r="AV149" s="576"/>
      <c r="AW149" s="576"/>
      <c r="AX149" s="576"/>
      <c r="AY149" s="576"/>
      <c r="AZ149" s="576"/>
      <c r="BA149" s="576"/>
      <c r="BB149" s="576"/>
      <c r="BC149" s="576"/>
      <c r="BD149" s="572"/>
      <c r="BE149" s="544"/>
      <c r="BF149" s="544"/>
      <c r="BG149" s="544"/>
      <c r="BH149" s="545"/>
      <c r="BI149" s="545"/>
      <c r="BJ149" s="545"/>
      <c r="BK149" s="545"/>
      <c r="BL149" s="545"/>
      <c r="BM149" s="545"/>
      <c r="BN149" s="545"/>
      <c r="BO149" s="545"/>
      <c r="BP149" s="545"/>
      <c r="BQ149" s="545"/>
      <c r="BR149" s="545"/>
      <c r="BS149" s="545"/>
      <c r="BT149" s="545"/>
    </row>
    <row r="150" spans="1:72" ht="15.75">
      <c r="A150" s="545"/>
      <c r="B150" s="545"/>
      <c r="C150" s="545"/>
      <c r="D150" s="545"/>
      <c r="E150" s="545"/>
      <c r="F150" s="545"/>
      <c r="G150" s="545"/>
      <c r="H150" s="545"/>
      <c r="I150" s="545"/>
      <c r="J150" s="545"/>
      <c r="K150" s="545"/>
      <c r="L150" s="545"/>
      <c r="M150" s="545"/>
      <c r="N150" s="545"/>
      <c r="O150" s="545"/>
      <c r="P150" s="545"/>
      <c r="Q150" s="545"/>
      <c r="R150" s="545"/>
      <c r="S150" s="576"/>
      <c r="T150" s="576"/>
      <c r="U150" s="576"/>
      <c r="V150" s="576"/>
      <c r="W150" s="545"/>
      <c r="X150" s="545"/>
      <c r="Y150" s="576"/>
      <c r="Z150" s="576"/>
      <c r="AA150" s="545"/>
      <c r="AB150" s="545"/>
      <c r="AC150" s="545"/>
      <c r="AD150" s="576"/>
      <c r="AE150" s="576"/>
      <c r="AF150" s="576"/>
      <c r="AG150" s="576"/>
      <c r="AH150" s="576"/>
      <c r="AI150" s="576"/>
      <c r="AJ150" s="576"/>
      <c r="AK150" s="576"/>
      <c r="AL150" s="576"/>
      <c r="AM150" s="576"/>
      <c r="AN150" s="576"/>
      <c r="AO150" s="576"/>
      <c r="AP150" s="576"/>
      <c r="AQ150" s="576"/>
      <c r="AR150" s="576"/>
      <c r="AS150" s="576"/>
      <c r="AT150" s="576"/>
      <c r="AU150" s="576"/>
      <c r="AV150" s="576"/>
      <c r="AW150" s="576"/>
      <c r="AX150" s="576"/>
      <c r="AY150" s="576"/>
      <c r="AZ150" s="576"/>
      <c r="BA150" s="576"/>
      <c r="BB150" s="576"/>
      <c r="BC150" s="576"/>
      <c r="BD150" s="572"/>
      <c r="BE150" s="544"/>
      <c r="BF150" s="544"/>
      <c r="BG150" s="544"/>
      <c r="BH150" s="545"/>
      <c r="BI150" s="545"/>
      <c r="BJ150" s="545"/>
      <c r="BK150" s="545"/>
      <c r="BL150" s="545"/>
      <c r="BM150" s="545"/>
      <c r="BN150" s="545"/>
      <c r="BO150" s="545"/>
      <c r="BP150" s="545"/>
      <c r="BQ150" s="545"/>
      <c r="BR150" s="545"/>
      <c r="BS150" s="545"/>
      <c r="BT150" s="545"/>
    </row>
    <row r="151" spans="1:72" ht="15.75">
      <c r="A151" s="545"/>
      <c r="B151" s="545"/>
      <c r="C151" s="545"/>
      <c r="D151" s="545"/>
      <c r="E151" s="545"/>
      <c r="F151" s="545"/>
      <c r="G151" s="545"/>
      <c r="H151" s="545"/>
      <c r="I151" s="545"/>
      <c r="J151" s="545"/>
      <c r="K151" s="545"/>
      <c r="L151" s="545"/>
      <c r="M151" s="545"/>
      <c r="N151" s="545"/>
      <c r="O151" s="545"/>
      <c r="P151" s="545"/>
      <c r="Q151" s="545"/>
      <c r="R151" s="545"/>
      <c r="S151" s="576"/>
      <c r="T151" s="576"/>
      <c r="U151" s="576"/>
      <c r="V151" s="576"/>
      <c r="W151" s="545"/>
      <c r="X151" s="545"/>
      <c r="Y151" s="576"/>
      <c r="Z151" s="576"/>
      <c r="AA151" s="545"/>
      <c r="AB151" s="545"/>
      <c r="AC151" s="545"/>
      <c r="AD151" s="576"/>
      <c r="AE151" s="576"/>
      <c r="AF151" s="576"/>
      <c r="AG151" s="576"/>
      <c r="AH151" s="576"/>
      <c r="AI151" s="576"/>
      <c r="AJ151" s="576"/>
      <c r="AK151" s="576"/>
      <c r="AL151" s="576"/>
      <c r="AM151" s="576"/>
      <c r="AN151" s="576"/>
      <c r="AO151" s="576"/>
      <c r="AP151" s="576"/>
      <c r="AQ151" s="576"/>
      <c r="AR151" s="576"/>
      <c r="AS151" s="576"/>
      <c r="AT151" s="576"/>
      <c r="AU151" s="576"/>
      <c r="AV151" s="576"/>
      <c r="AW151" s="576"/>
      <c r="AX151" s="576"/>
      <c r="AY151" s="576"/>
      <c r="AZ151" s="576"/>
      <c r="BA151" s="576"/>
      <c r="BB151" s="576"/>
      <c r="BC151" s="576"/>
      <c r="BD151" s="572"/>
      <c r="BE151" s="544"/>
      <c r="BF151" s="544"/>
      <c r="BG151" s="544"/>
      <c r="BH151" s="545"/>
      <c r="BI151" s="545"/>
      <c r="BJ151" s="545"/>
      <c r="BK151" s="545"/>
      <c r="BL151" s="545"/>
      <c r="BM151" s="545"/>
      <c r="BN151" s="545"/>
      <c r="BO151" s="545"/>
      <c r="BP151" s="545"/>
      <c r="BQ151" s="545"/>
      <c r="BR151" s="545"/>
      <c r="BS151" s="545"/>
      <c r="BT151" s="545"/>
    </row>
    <row r="152" spans="1:72" ht="15.75">
      <c r="A152" s="545"/>
      <c r="B152" s="545"/>
      <c r="C152" s="545"/>
      <c r="D152" s="545"/>
      <c r="E152" s="545"/>
      <c r="F152" s="545"/>
      <c r="G152" s="545"/>
      <c r="H152" s="545"/>
      <c r="I152" s="545"/>
      <c r="J152" s="545"/>
      <c r="K152" s="545"/>
      <c r="L152" s="545"/>
      <c r="M152" s="545"/>
      <c r="N152" s="545"/>
      <c r="O152" s="545"/>
      <c r="P152" s="545"/>
      <c r="Q152" s="545"/>
      <c r="R152" s="545"/>
      <c r="S152" s="576"/>
      <c r="T152" s="576"/>
      <c r="U152" s="576"/>
      <c r="V152" s="576"/>
      <c r="W152" s="545"/>
      <c r="X152" s="545"/>
      <c r="Y152" s="576"/>
      <c r="Z152" s="576"/>
      <c r="AA152" s="545"/>
      <c r="AB152" s="545"/>
      <c r="AC152" s="545"/>
      <c r="AD152" s="576"/>
      <c r="AE152" s="576"/>
      <c r="AF152" s="576"/>
      <c r="AG152" s="576"/>
      <c r="AH152" s="576"/>
      <c r="AI152" s="576"/>
      <c r="AJ152" s="576"/>
      <c r="AK152" s="576"/>
      <c r="AL152" s="576"/>
      <c r="AM152" s="576"/>
      <c r="AN152" s="576"/>
      <c r="AO152" s="576"/>
      <c r="AP152" s="576"/>
      <c r="AQ152" s="576"/>
      <c r="AR152" s="576"/>
      <c r="AS152" s="576"/>
      <c r="AT152" s="576"/>
      <c r="AU152" s="576"/>
      <c r="AV152" s="576"/>
      <c r="AW152" s="576"/>
      <c r="AX152" s="576"/>
      <c r="AY152" s="576"/>
      <c r="AZ152" s="576"/>
      <c r="BA152" s="576"/>
      <c r="BB152" s="576"/>
      <c r="BC152" s="576"/>
      <c r="BD152" s="572"/>
      <c r="BE152" s="544"/>
      <c r="BF152" s="544"/>
      <c r="BG152" s="544"/>
      <c r="BH152" s="545"/>
      <c r="BI152" s="545"/>
      <c r="BJ152" s="545"/>
      <c r="BK152" s="545"/>
      <c r="BL152" s="545"/>
      <c r="BM152" s="545"/>
      <c r="BN152" s="545"/>
      <c r="BO152" s="545"/>
      <c r="BP152" s="545"/>
      <c r="BQ152" s="545"/>
      <c r="BR152" s="545"/>
      <c r="BS152" s="545"/>
      <c r="BT152" s="545"/>
    </row>
    <row r="153" spans="1:72" ht="15.75">
      <c r="A153" s="545"/>
      <c r="B153" s="545"/>
      <c r="C153" s="545"/>
      <c r="D153" s="545"/>
      <c r="E153" s="545"/>
      <c r="F153" s="545"/>
      <c r="G153" s="545"/>
      <c r="H153" s="545"/>
      <c r="I153" s="545"/>
      <c r="J153" s="545"/>
      <c r="K153" s="545"/>
      <c r="L153" s="545"/>
      <c r="M153" s="545"/>
      <c r="N153" s="545"/>
      <c r="O153" s="545"/>
      <c r="P153" s="545"/>
      <c r="Q153" s="545"/>
      <c r="R153" s="545"/>
      <c r="S153" s="576"/>
      <c r="T153" s="576"/>
      <c r="U153" s="576"/>
      <c r="V153" s="576"/>
      <c r="W153" s="545"/>
      <c r="X153" s="545"/>
      <c r="Y153" s="576"/>
      <c r="Z153" s="576"/>
      <c r="AA153" s="545"/>
      <c r="AB153" s="545"/>
      <c r="AC153" s="545"/>
      <c r="AD153" s="576"/>
      <c r="AE153" s="576"/>
      <c r="AF153" s="576"/>
      <c r="AG153" s="576"/>
      <c r="AH153" s="576"/>
      <c r="AI153" s="576"/>
      <c r="AJ153" s="576"/>
      <c r="AK153" s="576"/>
      <c r="AL153" s="576"/>
      <c r="AM153" s="576"/>
      <c r="AN153" s="576"/>
      <c r="AO153" s="576"/>
      <c r="AP153" s="576"/>
      <c r="AQ153" s="576"/>
      <c r="AR153" s="576"/>
      <c r="AS153" s="576"/>
      <c r="AT153" s="576"/>
      <c r="AU153" s="576"/>
      <c r="AV153" s="576"/>
      <c r="AW153" s="576"/>
      <c r="AX153" s="576"/>
      <c r="AY153" s="576"/>
      <c r="AZ153" s="576"/>
      <c r="BA153" s="576"/>
      <c r="BB153" s="576"/>
      <c r="BC153" s="576"/>
      <c r="BD153" s="572"/>
      <c r="BE153" s="544"/>
      <c r="BF153" s="544"/>
      <c r="BG153" s="544"/>
      <c r="BH153" s="545"/>
      <c r="BI153" s="545"/>
      <c r="BJ153" s="545"/>
      <c r="BK153" s="545"/>
      <c r="BL153" s="545"/>
      <c r="BM153" s="545"/>
      <c r="BN153" s="545"/>
      <c r="BO153" s="545"/>
      <c r="BP153" s="545"/>
      <c r="BQ153" s="545"/>
      <c r="BR153" s="545"/>
      <c r="BS153" s="545"/>
      <c r="BT153" s="545"/>
    </row>
    <row r="154" spans="1:72" ht="15.75">
      <c r="A154" s="545"/>
      <c r="B154" s="545"/>
      <c r="C154" s="545"/>
      <c r="D154" s="545"/>
      <c r="E154" s="545"/>
      <c r="F154" s="545"/>
      <c r="G154" s="545"/>
      <c r="H154" s="545"/>
      <c r="I154" s="545"/>
      <c r="J154" s="545"/>
      <c r="K154" s="545"/>
      <c r="L154" s="545"/>
      <c r="M154" s="545"/>
      <c r="N154" s="545"/>
      <c r="O154" s="545"/>
      <c r="P154" s="545"/>
      <c r="Q154" s="545"/>
      <c r="R154" s="545"/>
      <c r="S154" s="576"/>
      <c r="T154" s="576"/>
      <c r="U154" s="576"/>
      <c r="V154" s="576"/>
      <c r="W154" s="545"/>
      <c r="X154" s="545"/>
      <c r="Y154" s="576"/>
      <c r="Z154" s="576"/>
      <c r="AA154" s="545"/>
      <c r="AB154" s="545"/>
      <c r="AC154" s="545"/>
      <c r="AD154" s="576"/>
      <c r="AE154" s="576"/>
      <c r="AF154" s="576"/>
      <c r="AG154" s="576"/>
      <c r="AH154" s="576"/>
      <c r="AI154" s="576"/>
      <c r="AJ154" s="576"/>
      <c r="AK154" s="576"/>
      <c r="AL154" s="576"/>
      <c r="AM154" s="576"/>
      <c r="AN154" s="576"/>
      <c r="AO154" s="576"/>
      <c r="AP154" s="576"/>
      <c r="AQ154" s="576"/>
      <c r="AR154" s="576"/>
      <c r="AS154" s="576"/>
      <c r="AT154" s="576"/>
      <c r="AU154" s="576"/>
      <c r="AV154" s="576"/>
      <c r="AW154" s="576"/>
      <c r="AX154" s="576"/>
      <c r="AY154" s="576"/>
      <c r="AZ154" s="576"/>
      <c r="BA154" s="576"/>
      <c r="BB154" s="576"/>
      <c r="BC154" s="576"/>
      <c r="BD154" s="572"/>
      <c r="BE154" s="544"/>
      <c r="BF154" s="544"/>
      <c r="BG154" s="544"/>
      <c r="BH154" s="545"/>
      <c r="BI154" s="545"/>
      <c r="BJ154" s="545"/>
      <c r="BK154" s="545"/>
      <c r="BL154" s="545"/>
      <c r="BM154" s="545"/>
      <c r="BN154" s="545"/>
      <c r="BO154" s="545"/>
      <c r="BP154" s="545"/>
      <c r="BQ154" s="545"/>
      <c r="BR154" s="545"/>
      <c r="BS154" s="545"/>
      <c r="BT154" s="545"/>
    </row>
    <row r="155" spans="1:72" ht="15.75">
      <c r="A155" s="545"/>
      <c r="B155" s="545"/>
      <c r="C155" s="545"/>
      <c r="D155" s="545"/>
      <c r="E155" s="545"/>
      <c r="F155" s="545"/>
      <c r="G155" s="545"/>
      <c r="H155" s="545"/>
      <c r="I155" s="545"/>
      <c r="J155" s="545"/>
      <c r="K155" s="545"/>
      <c r="L155" s="545"/>
      <c r="M155" s="545"/>
      <c r="N155" s="545"/>
      <c r="O155" s="545"/>
      <c r="P155" s="545"/>
      <c r="Q155" s="545"/>
      <c r="R155" s="545"/>
      <c r="S155" s="576"/>
      <c r="T155" s="576"/>
      <c r="U155" s="576"/>
      <c r="V155" s="576"/>
      <c r="W155" s="545"/>
      <c r="X155" s="545"/>
      <c r="Y155" s="576"/>
      <c r="Z155" s="576"/>
      <c r="AA155" s="545"/>
      <c r="AB155" s="545"/>
      <c r="AC155" s="545"/>
      <c r="AD155" s="576"/>
      <c r="AE155" s="576"/>
      <c r="AF155" s="576"/>
      <c r="AG155" s="576"/>
      <c r="AH155" s="576"/>
      <c r="AI155" s="576"/>
      <c r="AJ155" s="576"/>
      <c r="AK155" s="576"/>
      <c r="AL155" s="576"/>
      <c r="AM155" s="576"/>
      <c r="AN155" s="576"/>
      <c r="AO155" s="576"/>
      <c r="AP155" s="576"/>
      <c r="AQ155" s="576"/>
      <c r="AR155" s="576"/>
      <c r="AS155" s="576"/>
      <c r="AT155" s="576"/>
      <c r="AU155" s="576"/>
      <c r="AV155" s="576"/>
      <c r="AW155" s="576"/>
      <c r="AX155" s="576"/>
      <c r="AY155" s="576"/>
      <c r="AZ155" s="576"/>
      <c r="BA155" s="576"/>
      <c r="BB155" s="576"/>
      <c r="BC155" s="576"/>
      <c r="BD155" s="572"/>
      <c r="BE155" s="544"/>
      <c r="BF155" s="544"/>
      <c r="BG155" s="544"/>
      <c r="BH155" s="545"/>
      <c r="BI155" s="545"/>
      <c r="BJ155" s="545"/>
      <c r="BK155" s="545"/>
      <c r="BL155" s="545"/>
      <c r="BM155" s="545"/>
      <c r="BN155" s="545"/>
      <c r="BO155" s="545"/>
      <c r="BP155" s="545"/>
      <c r="BQ155" s="545"/>
      <c r="BR155" s="545"/>
      <c r="BS155" s="545"/>
      <c r="BT155" s="545"/>
    </row>
    <row r="156" spans="1:72" ht="15.75">
      <c r="A156" s="545"/>
      <c r="B156" s="545"/>
      <c r="C156" s="545"/>
      <c r="D156" s="545"/>
      <c r="E156" s="545"/>
      <c r="F156" s="545"/>
      <c r="G156" s="545"/>
      <c r="H156" s="545"/>
      <c r="I156" s="545"/>
      <c r="J156" s="545"/>
      <c r="K156" s="545"/>
      <c r="L156" s="545"/>
      <c r="M156" s="545"/>
      <c r="N156" s="545"/>
      <c r="O156" s="545"/>
      <c r="P156" s="545"/>
      <c r="Q156" s="545"/>
      <c r="R156" s="545"/>
      <c r="S156" s="576"/>
      <c r="T156" s="576"/>
      <c r="U156" s="576"/>
      <c r="V156" s="576"/>
      <c r="W156" s="545"/>
      <c r="X156" s="545"/>
      <c r="Y156" s="576"/>
      <c r="Z156" s="576"/>
      <c r="AA156" s="545"/>
      <c r="AB156" s="545"/>
      <c r="AC156" s="545"/>
      <c r="AD156" s="576"/>
      <c r="AE156" s="576"/>
      <c r="AF156" s="576"/>
      <c r="AG156" s="576"/>
      <c r="AH156" s="576"/>
      <c r="AI156" s="576"/>
      <c r="AJ156" s="576"/>
      <c r="AK156" s="576"/>
      <c r="AL156" s="576"/>
      <c r="AM156" s="576"/>
      <c r="AN156" s="576"/>
      <c r="AO156" s="576"/>
      <c r="AP156" s="576"/>
      <c r="AQ156" s="576"/>
      <c r="AR156" s="576"/>
      <c r="AS156" s="576"/>
      <c r="AT156" s="576"/>
      <c r="AU156" s="576"/>
      <c r="AV156" s="576"/>
      <c r="AW156" s="576"/>
      <c r="AX156" s="576"/>
      <c r="AY156" s="576"/>
      <c r="AZ156" s="576"/>
      <c r="BA156" s="576"/>
      <c r="BB156" s="576"/>
      <c r="BC156" s="576"/>
      <c r="BD156" s="572"/>
      <c r="BE156" s="544"/>
      <c r="BF156" s="544"/>
      <c r="BG156" s="544"/>
      <c r="BH156" s="545"/>
      <c r="BI156" s="545"/>
      <c r="BJ156" s="545"/>
      <c r="BK156" s="545"/>
      <c r="BL156" s="545"/>
      <c r="BM156" s="545"/>
      <c r="BN156" s="545"/>
      <c r="BO156" s="545"/>
      <c r="BP156" s="545"/>
      <c r="BQ156" s="545"/>
      <c r="BR156" s="545"/>
      <c r="BS156" s="545"/>
      <c r="BT156" s="545"/>
    </row>
    <row r="157" spans="1:72" ht="15.75">
      <c r="A157" s="545"/>
      <c r="B157" s="545"/>
      <c r="C157" s="545"/>
      <c r="D157" s="545"/>
      <c r="E157" s="545"/>
      <c r="F157" s="545"/>
      <c r="G157" s="545"/>
      <c r="H157" s="545"/>
      <c r="I157" s="545"/>
      <c r="J157" s="545"/>
      <c r="K157" s="545"/>
      <c r="L157" s="545"/>
      <c r="M157" s="545"/>
      <c r="N157" s="545"/>
      <c r="O157" s="545"/>
      <c r="P157" s="545"/>
      <c r="Q157" s="545"/>
      <c r="R157" s="545"/>
      <c r="S157" s="576"/>
      <c r="T157" s="576"/>
      <c r="U157" s="576"/>
      <c r="V157" s="576"/>
      <c r="W157" s="545"/>
      <c r="X157" s="545"/>
      <c r="Y157" s="576"/>
      <c r="Z157" s="576"/>
      <c r="AA157" s="545"/>
      <c r="AB157" s="545"/>
      <c r="AC157" s="545"/>
      <c r="AD157" s="576"/>
      <c r="AE157" s="576"/>
      <c r="AF157" s="576"/>
      <c r="AG157" s="576"/>
      <c r="AH157" s="576"/>
      <c r="AI157" s="576"/>
      <c r="AJ157" s="576"/>
      <c r="AK157" s="576"/>
      <c r="AL157" s="576"/>
      <c r="AM157" s="576"/>
      <c r="AN157" s="576"/>
      <c r="AO157" s="576"/>
      <c r="AP157" s="576"/>
      <c r="AQ157" s="576"/>
      <c r="AR157" s="576"/>
      <c r="AS157" s="576"/>
      <c r="AT157" s="576"/>
      <c r="AU157" s="576"/>
      <c r="AV157" s="576"/>
      <c r="AW157" s="576"/>
      <c r="AX157" s="576"/>
      <c r="AY157" s="576"/>
      <c r="AZ157" s="576"/>
      <c r="BA157" s="576"/>
      <c r="BB157" s="576"/>
      <c r="BC157" s="576"/>
      <c r="BD157" s="572"/>
      <c r="BE157" s="544"/>
      <c r="BF157" s="544"/>
      <c r="BG157" s="544"/>
      <c r="BH157" s="545"/>
      <c r="BI157" s="545"/>
      <c r="BJ157" s="545"/>
      <c r="BK157" s="545"/>
      <c r="BL157" s="545"/>
      <c r="BM157" s="545"/>
      <c r="BN157" s="545"/>
      <c r="BO157" s="545"/>
      <c r="BP157" s="545"/>
      <c r="BQ157" s="545"/>
      <c r="BR157" s="545"/>
      <c r="BS157" s="545"/>
      <c r="BT157" s="545"/>
    </row>
    <row r="158" spans="1:72" ht="15.75">
      <c r="A158" s="545"/>
      <c r="B158" s="545"/>
      <c r="C158" s="545"/>
      <c r="D158" s="545"/>
      <c r="E158" s="545"/>
      <c r="F158" s="545"/>
      <c r="G158" s="545"/>
      <c r="H158" s="545"/>
      <c r="I158" s="545"/>
      <c r="J158" s="545"/>
      <c r="K158" s="545"/>
      <c r="L158" s="545"/>
      <c r="M158" s="545"/>
      <c r="N158" s="545"/>
      <c r="O158" s="545"/>
      <c r="P158" s="545"/>
      <c r="Q158" s="545"/>
      <c r="R158" s="545"/>
      <c r="S158" s="576"/>
      <c r="T158" s="576"/>
      <c r="U158" s="576"/>
      <c r="V158" s="576"/>
      <c r="W158" s="545"/>
      <c r="X158" s="545"/>
      <c r="Y158" s="576"/>
      <c r="Z158" s="576"/>
      <c r="AA158" s="545"/>
      <c r="AB158" s="545"/>
      <c r="AC158" s="545"/>
      <c r="AD158" s="576"/>
      <c r="AE158" s="576"/>
      <c r="AF158" s="576"/>
      <c r="AG158" s="576"/>
      <c r="AH158" s="576"/>
      <c r="AI158" s="576"/>
      <c r="AJ158" s="576"/>
      <c r="AK158" s="576"/>
      <c r="AL158" s="576"/>
      <c r="AM158" s="576"/>
      <c r="AN158" s="576"/>
      <c r="AO158" s="576"/>
      <c r="AP158" s="576"/>
      <c r="AQ158" s="576"/>
      <c r="AR158" s="576"/>
      <c r="AS158" s="576"/>
      <c r="AT158" s="576"/>
      <c r="AU158" s="576"/>
      <c r="AV158" s="576"/>
      <c r="AW158" s="576"/>
      <c r="AX158" s="576"/>
      <c r="AY158" s="576"/>
      <c r="AZ158" s="576"/>
      <c r="BA158" s="576"/>
      <c r="BB158" s="576"/>
      <c r="BC158" s="576"/>
      <c r="BD158" s="572"/>
      <c r="BE158" s="544"/>
      <c r="BF158" s="544"/>
      <c r="BG158" s="544"/>
      <c r="BH158" s="545"/>
      <c r="BI158" s="545"/>
      <c r="BJ158" s="545"/>
      <c r="BK158" s="545"/>
      <c r="BL158" s="545"/>
      <c r="BM158" s="545"/>
      <c r="BN158" s="545"/>
      <c r="BO158" s="545"/>
      <c r="BP158" s="545"/>
      <c r="BQ158" s="545"/>
      <c r="BR158" s="545"/>
      <c r="BS158" s="545"/>
      <c r="BT158" s="545"/>
    </row>
    <row r="159" spans="1:72" ht="15.75">
      <c r="A159" s="545"/>
      <c r="B159" s="545"/>
      <c r="C159" s="545"/>
      <c r="D159" s="545"/>
      <c r="E159" s="545"/>
      <c r="F159" s="545"/>
      <c r="G159" s="545"/>
      <c r="H159" s="545"/>
      <c r="I159" s="545"/>
      <c r="J159" s="545"/>
      <c r="K159" s="545"/>
      <c r="L159" s="545"/>
      <c r="M159" s="545"/>
      <c r="N159" s="545"/>
      <c r="O159" s="545"/>
      <c r="P159" s="545"/>
      <c r="Q159" s="545"/>
      <c r="R159" s="545"/>
      <c r="S159" s="576"/>
      <c r="T159" s="576"/>
      <c r="U159" s="576"/>
      <c r="V159" s="576"/>
      <c r="W159" s="545"/>
      <c r="X159" s="545"/>
      <c r="Y159" s="576"/>
      <c r="Z159" s="576"/>
      <c r="AA159" s="545"/>
      <c r="AB159" s="545"/>
      <c r="AC159" s="545"/>
      <c r="AD159" s="576"/>
      <c r="AE159" s="576"/>
      <c r="AF159" s="576"/>
      <c r="AG159" s="576"/>
      <c r="AH159" s="576"/>
      <c r="AI159" s="576"/>
      <c r="AJ159" s="576"/>
      <c r="AK159" s="576"/>
      <c r="AL159" s="576"/>
      <c r="AM159" s="576"/>
      <c r="AN159" s="576"/>
      <c r="AO159" s="576"/>
      <c r="AP159" s="576"/>
      <c r="AQ159" s="576"/>
      <c r="AR159" s="576"/>
      <c r="AS159" s="576"/>
      <c r="AT159" s="576"/>
      <c r="AU159" s="576"/>
      <c r="AV159" s="576"/>
      <c r="AW159" s="576"/>
      <c r="AX159" s="576"/>
      <c r="AY159" s="576"/>
      <c r="AZ159" s="576"/>
      <c r="BA159" s="576"/>
      <c r="BB159" s="576"/>
      <c r="BC159" s="576"/>
      <c r="BD159" s="572"/>
      <c r="BE159" s="544"/>
      <c r="BF159" s="544"/>
      <c r="BG159" s="544"/>
      <c r="BH159" s="545"/>
      <c r="BI159" s="545"/>
      <c r="BJ159" s="545"/>
      <c r="BK159" s="545"/>
      <c r="BL159" s="545"/>
      <c r="BM159" s="545"/>
      <c r="BN159" s="545"/>
      <c r="BO159" s="545"/>
      <c r="BP159" s="545"/>
      <c r="BQ159" s="545"/>
      <c r="BR159" s="545"/>
      <c r="BS159" s="545"/>
      <c r="BT159" s="545"/>
    </row>
    <row r="160" spans="1:72" ht="15.75">
      <c r="A160" s="545"/>
      <c r="B160" s="545"/>
      <c r="C160" s="545"/>
      <c r="D160" s="545"/>
      <c r="E160" s="545"/>
      <c r="F160" s="545"/>
      <c r="G160" s="545"/>
      <c r="H160" s="545"/>
      <c r="I160" s="545"/>
      <c r="J160" s="545"/>
      <c r="K160" s="545"/>
      <c r="L160" s="545"/>
      <c r="M160" s="545"/>
      <c r="N160" s="545"/>
      <c r="O160" s="545"/>
      <c r="P160" s="545"/>
      <c r="Q160" s="545"/>
      <c r="R160" s="545"/>
      <c r="S160" s="576"/>
      <c r="T160" s="576"/>
      <c r="U160" s="576"/>
      <c r="V160" s="576"/>
      <c r="W160" s="545"/>
      <c r="X160" s="545"/>
      <c r="Y160" s="576"/>
      <c r="Z160" s="576"/>
      <c r="AA160" s="545"/>
      <c r="AB160" s="545"/>
      <c r="AC160" s="545"/>
      <c r="AD160" s="576"/>
      <c r="AE160" s="576"/>
      <c r="AF160" s="576"/>
      <c r="AG160" s="576"/>
      <c r="AH160" s="576"/>
      <c r="AI160" s="576"/>
      <c r="AJ160" s="576"/>
      <c r="AK160" s="576"/>
      <c r="AL160" s="576"/>
      <c r="AM160" s="576"/>
      <c r="AN160" s="576"/>
      <c r="AO160" s="576"/>
      <c r="AP160" s="576"/>
      <c r="AQ160" s="576"/>
      <c r="AR160" s="576"/>
      <c r="AS160" s="576"/>
      <c r="AT160" s="576"/>
      <c r="AU160" s="576"/>
      <c r="AV160" s="576"/>
      <c r="AW160" s="576"/>
      <c r="AX160" s="576"/>
      <c r="AY160" s="576"/>
      <c r="AZ160" s="576"/>
      <c r="BA160" s="576"/>
      <c r="BB160" s="576"/>
      <c r="BC160" s="576"/>
      <c r="BD160" s="572"/>
      <c r="BE160" s="544"/>
      <c r="BF160" s="544"/>
      <c r="BG160" s="544"/>
      <c r="BH160" s="545"/>
      <c r="BI160" s="545"/>
      <c r="BJ160" s="545"/>
      <c r="BK160" s="545"/>
      <c r="BL160" s="545"/>
      <c r="BM160" s="545"/>
      <c r="BN160" s="545"/>
      <c r="BO160" s="545"/>
      <c r="BP160" s="545"/>
      <c r="BQ160" s="545"/>
      <c r="BR160" s="545"/>
      <c r="BS160" s="545"/>
      <c r="BT160" s="545"/>
    </row>
    <row r="161" spans="1:72" ht="15.75">
      <c r="A161" s="545"/>
      <c r="B161" s="545"/>
      <c r="C161" s="545"/>
      <c r="D161" s="545"/>
      <c r="E161" s="545"/>
      <c r="F161" s="545"/>
      <c r="G161" s="545"/>
      <c r="H161" s="545"/>
      <c r="I161" s="545"/>
      <c r="J161" s="545"/>
      <c r="K161" s="545"/>
      <c r="L161" s="545"/>
      <c r="M161" s="545"/>
      <c r="N161" s="545"/>
      <c r="O161" s="545"/>
      <c r="P161" s="545"/>
      <c r="Q161" s="545"/>
      <c r="R161" s="545"/>
      <c r="S161" s="576"/>
      <c r="T161" s="576"/>
      <c r="U161" s="576"/>
      <c r="V161" s="576"/>
      <c r="W161" s="545"/>
      <c r="X161" s="545"/>
      <c r="Y161" s="576"/>
      <c r="Z161" s="576"/>
      <c r="AA161" s="545"/>
      <c r="AB161" s="545"/>
      <c r="AC161" s="545"/>
      <c r="AD161" s="576"/>
      <c r="AE161" s="576"/>
      <c r="AF161" s="576"/>
      <c r="AG161" s="576"/>
      <c r="AH161" s="576"/>
      <c r="AI161" s="576"/>
      <c r="AJ161" s="576"/>
      <c r="AK161" s="576"/>
      <c r="AL161" s="576"/>
      <c r="AM161" s="576"/>
      <c r="AN161" s="576"/>
      <c r="AO161" s="576"/>
      <c r="AP161" s="576"/>
      <c r="AQ161" s="576"/>
      <c r="AR161" s="576"/>
      <c r="AS161" s="576"/>
      <c r="AT161" s="576"/>
      <c r="AU161" s="576"/>
      <c r="AV161" s="576"/>
      <c r="AW161" s="576"/>
      <c r="AX161" s="576"/>
      <c r="AY161" s="576"/>
      <c r="AZ161" s="576"/>
      <c r="BA161" s="576"/>
      <c r="BB161" s="576"/>
      <c r="BC161" s="576"/>
      <c r="BD161" s="572"/>
      <c r="BE161" s="544"/>
      <c r="BF161" s="544"/>
      <c r="BG161" s="544"/>
      <c r="BH161" s="545"/>
      <c r="BI161" s="545"/>
      <c r="BJ161" s="545"/>
      <c r="BK161" s="545"/>
      <c r="BL161" s="545"/>
      <c r="BM161" s="545"/>
      <c r="BN161" s="545"/>
      <c r="BO161" s="545"/>
      <c r="BP161" s="545"/>
      <c r="BQ161" s="545"/>
      <c r="BR161" s="545"/>
      <c r="BS161" s="545"/>
      <c r="BT161" s="545"/>
    </row>
    <row r="162" spans="1:72" ht="15.75">
      <c r="A162" s="545"/>
      <c r="B162" s="545"/>
      <c r="C162" s="545"/>
      <c r="D162" s="545"/>
      <c r="E162" s="545"/>
      <c r="F162" s="545"/>
      <c r="G162" s="545"/>
      <c r="H162" s="545"/>
      <c r="I162" s="545"/>
      <c r="J162" s="545"/>
      <c r="K162" s="545"/>
      <c r="L162" s="545"/>
      <c r="M162" s="545"/>
      <c r="N162" s="545"/>
      <c r="O162" s="545"/>
      <c r="P162" s="545"/>
      <c r="Q162" s="545"/>
      <c r="R162" s="545"/>
      <c r="S162" s="576"/>
      <c r="T162" s="576"/>
      <c r="U162" s="576"/>
      <c r="V162" s="576"/>
      <c r="W162" s="545"/>
      <c r="X162" s="545"/>
      <c r="Y162" s="576"/>
      <c r="Z162" s="576"/>
      <c r="AA162" s="545"/>
      <c r="AB162" s="545"/>
      <c r="AC162" s="545"/>
      <c r="AD162" s="576"/>
      <c r="AE162" s="576"/>
      <c r="AF162" s="576"/>
      <c r="AG162" s="576"/>
      <c r="AH162" s="576"/>
      <c r="AI162" s="576"/>
      <c r="AJ162" s="576"/>
      <c r="AK162" s="576"/>
      <c r="AL162" s="576"/>
      <c r="AM162" s="576"/>
      <c r="AN162" s="576"/>
      <c r="AO162" s="576"/>
      <c r="AP162" s="576"/>
      <c r="AQ162" s="576"/>
      <c r="AR162" s="576"/>
      <c r="AS162" s="576"/>
      <c r="AT162" s="576"/>
      <c r="AU162" s="576"/>
      <c r="AV162" s="576"/>
      <c r="AW162" s="576"/>
      <c r="AX162" s="576"/>
      <c r="AY162" s="576"/>
      <c r="AZ162" s="576"/>
      <c r="BA162" s="576"/>
      <c r="BB162" s="576"/>
      <c r="BC162" s="576"/>
      <c r="BD162" s="572"/>
      <c r="BE162" s="544"/>
      <c r="BF162" s="544"/>
      <c r="BG162" s="544"/>
      <c r="BH162" s="545"/>
      <c r="BI162" s="545"/>
      <c r="BJ162" s="545"/>
      <c r="BK162" s="545"/>
      <c r="BL162" s="545"/>
      <c r="BM162" s="545"/>
      <c r="BN162" s="545"/>
      <c r="BO162" s="545"/>
      <c r="BP162" s="545"/>
      <c r="BQ162" s="545"/>
      <c r="BR162" s="545"/>
      <c r="BS162" s="545"/>
      <c r="BT162" s="545"/>
    </row>
    <row r="163" spans="1:72" ht="15.75">
      <c r="A163" s="545"/>
      <c r="B163" s="545"/>
      <c r="C163" s="545"/>
      <c r="D163" s="545"/>
      <c r="E163" s="545"/>
      <c r="F163" s="545"/>
      <c r="G163" s="545"/>
      <c r="H163" s="545"/>
      <c r="I163" s="545"/>
      <c r="J163" s="545"/>
      <c r="K163" s="545"/>
      <c r="L163" s="545"/>
      <c r="M163" s="545"/>
      <c r="N163" s="545"/>
      <c r="O163" s="545"/>
      <c r="P163" s="545"/>
      <c r="Q163" s="545"/>
      <c r="R163" s="545"/>
      <c r="S163" s="576"/>
      <c r="T163" s="576"/>
      <c r="U163" s="576"/>
      <c r="V163" s="576"/>
      <c r="W163" s="545"/>
      <c r="X163" s="545"/>
      <c r="Y163" s="576"/>
      <c r="Z163" s="576"/>
      <c r="AA163" s="545"/>
      <c r="AB163" s="545"/>
      <c r="AC163" s="545"/>
      <c r="AD163" s="576"/>
      <c r="AE163" s="576"/>
      <c r="AF163" s="576"/>
      <c r="AG163" s="576"/>
      <c r="AH163" s="576"/>
      <c r="AI163" s="576"/>
      <c r="AJ163" s="576"/>
      <c r="AK163" s="576"/>
      <c r="AL163" s="576"/>
      <c r="AM163" s="576"/>
      <c r="AN163" s="576"/>
      <c r="AO163" s="576"/>
      <c r="AP163" s="576"/>
      <c r="AQ163" s="576"/>
      <c r="AR163" s="576"/>
      <c r="AS163" s="576"/>
      <c r="AT163" s="576"/>
      <c r="AU163" s="576"/>
      <c r="AV163" s="576"/>
      <c r="AW163" s="576"/>
      <c r="AX163" s="576"/>
      <c r="AY163" s="576"/>
      <c r="AZ163" s="576"/>
      <c r="BA163" s="576"/>
      <c r="BB163" s="576"/>
      <c r="BC163" s="576"/>
      <c r="BD163" s="572"/>
      <c r="BE163" s="544"/>
      <c r="BF163" s="544"/>
      <c r="BG163" s="544"/>
      <c r="BH163" s="545"/>
      <c r="BI163" s="545"/>
      <c r="BJ163" s="545"/>
      <c r="BK163" s="545"/>
      <c r="BL163" s="545"/>
      <c r="BM163" s="545"/>
      <c r="BN163" s="545"/>
      <c r="BO163" s="545"/>
      <c r="BP163" s="545"/>
      <c r="BQ163" s="545"/>
      <c r="BR163" s="545"/>
      <c r="BS163" s="545"/>
      <c r="BT163" s="545"/>
    </row>
    <row r="164" spans="1:72" ht="15.75">
      <c r="A164" s="545"/>
      <c r="B164" s="545"/>
      <c r="C164" s="545"/>
      <c r="D164" s="545"/>
      <c r="E164" s="545"/>
      <c r="F164" s="545"/>
      <c r="G164" s="545"/>
      <c r="H164" s="545"/>
      <c r="I164" s="545"/>
      <c r="J164" s="545"/>
      <c r="K164" s="545"/>
      <c r="L164" s="545"/>
      <c r="M164" s="545"/>
      <c r="N164" s="545"/>
      <c r="O164" s="545"/>
      <c r="P164" s="545"/>
      <c r="Q164" s="545"/>
      <c r="R164" s="545"/>
      <c r="S164" s="576"/>
      <c r="T164" s="576"/>
      <c r="U164" s="576"/>
      <c r="V164" s="576"/>
      <c r="W164" s="545"/>
      <c r="X164" s="545"/>
      <c r="Y164" s="576"/>
      <c r="Z164" s="576"/>
      <c r="AA164" s="545"/>
      <c r="AB164" s="545"/>
      <c r="AC164" s="545"/>
      <c r="AD164" s="576"/>
      <c r="AE164" s="576"/>
      <c r="AF164" s="576"/>
      <c r="AG164" s="576"/>
      <c r="AH164" s="576"/>
      <c r="AI164" s="576"/>
      <c r="AJ164" s="576"/>
      <c r="AK164" s="576"/>
      <c r="AL164" s="576"/>
      <c r="AM164" s="576"/>
      <c r="AN164" s="576"/>
      <c r="AO164" s="576"/>
      <c r="AP164" s="576"/>
      <c r="AQ164" s="576"/>
      <c r="AR164" s="576"/>
      <c r="AS164" s="576"/>
      <c r="AT164" s="576"/>
      <c r="AU164" s="576"/>
      <c r="AV164" s="576"/>
      <c r="AW164" s="576"/>
      <c r="AX164" s="576"/>
      <c r="AY164" s="576"/>
      <c r="AZ164" s="576"/>
      <c r="BA164" s="576"/>
      <c r="BB164" s="576"/>
      <c r="BC164" s="576"/>
      <c r="BD164" s="572"/>
      <c r="BE164" s="544"/>
      <c r="BF164" s="544"/>
      <c r="BG164" s="544"/>
      <c r="BH164" s="545"/>
      <c r="BI164" s="545"/>
      <c r="BJ164" s="545"/>
      <c r="BK164" s="545"/>
      <c r="BL164" s="545"/>
      <c r="BM164" s="545"/>
      <c r="BN164" s="545"/>
      <c r="BO164" s="545"/>
      <c r="BP164" s="545"/>
      <c r="BQ164" s="545"/>
      <c r="BR164" s="545"/>
      <c r="BS164" s="545"/>
      <c r="BT164" s="545"/>
    </row>
    <row r="165" spans="1:72" ht="15.75">
      <c r="A165" s="545"/>
      <c r="B165" s="545"/>
      <c r="C165" s="545"/>
      <c r="D165" s="545"/>
      <c r="E165" s="545"/>
      <c r="F165" s="545"/>
      <c r="G165" s="545"/>
      <c r="H165" s="545"/>
      <c r="I165" s="545"/>
      <c r="J165" s="545"/>
      <c r="K165" s="545"/>
      <c r="L165" s="545"/>
      <c r="M165" s="545"/>
      <c r="N165" s="545"/>
      <c r="O165" s="545"/>
      <c r="P165" s="545"/>
      <c r="Q165" s="545"/>
      <c r="R165" s="545"/>
      <c r="S165" s="576"/>
      <c r="T165" s="576"/>
      <c r="U165" s="576"/>
      <c r="V165" s="576"/>
      <c r="W165" s="545"/>
      <c r="X165" s="545"/>
      <c r="Y165" s="576"/>
      <c r="Z165" s="576"/>
      <c r="AA165" s="545"/>
      <c r="AB165" s="545"/>
      <c r="AC165" s="545"/>
      <c r="AD165" s="576"/>
      <c r="AE165" s="576"/>
      <c r="AF165" s="576"/>
      <c r="AG165" s="576"/>
      <c r="AH165" s="576"/>
      <c r="AI165" s="576"/>
      <c r="AJ165" s="576"/>
      <c r="AK165" s="576"/>
      <c r="AL165" s="576"/>
      <c r="AM165" s="576"/>
      <c r="AN165" s="576"/>
      <c r="AO165" s="576"/>
      <c r="AP165" s="576"/>
      <c r="AQ165" s="576"/>
      <c r="AR165" s="576"/>
      <c r="AS165" s="576"/>
      <c r="AT165" s="576"/>
      <c r="AU165" s="576"/>
      <c r="AV165" s="576"/>
      <c r="AW165" s="576"/>
      <c r="AX165" s="576"/>
      <c r="AY165" s="576"/>
      <c r="AZ165" s="576"/>
      <c r="BA165" s="576"/>
      <c r="BB165" s="576"/>
      <c r="BC165" s="576"/>
      <c r="BD165" s="572"/>
      <c r="BE165" s="544"/>
      <c r="BF165" s="544"/>
      <c r="BG165" s="544"/>
      <c r="BH165" s="545"/>
      <c r="BI165" s="545"/>
      <c r="BJ165" s="545"/>
      <c r="BK165" s="545"/>
      <c r="BL165" s="545"/>
      <c r="BM165" s="545"/>
      <c r="BN165" s="545"/>
      <c r="BO165" s="545"/>
      <c r="BP165" s="545"/>
      <c r="BQ165" s="545"/>
      <c r="BR165" s="545"/>
      <c r="BS165" s="545"/>
      <c r="BT165" s="545"/>
    </row>
    <row r="166" spans="1:72" ht="15.75">
      <c r="A166" s="545"/>
      <c r="B166" s="545"/>
      <c r="C166" s="545"/>
      <c r="D166" s="545"/>
      <c r="E166" s="545"/>
      <c r="F166" s="545"/>
      <c r="G166" s="545"/>
      <c r="H166" s="545"/>
      <c r="I166" s="545"/>
      <c r="J166" s="545"/>
      <c r="K166" s="545"/>
      <c r="L166" s="545"/>
      <c r="M166" s="545"/>
      <c r="N166" s="545"/>
      <c r="O166" s="545"/>
      <c r="P166" s="545"/>
      <c r="Q166" s="545"/>
      <c r="R166" s="545"/>
      <c r="S166" s="576"/>
      <c r="T166" s="576"/>
      <c r="U166" s="576"/>
      <c r="V166" s="576"/>
      <c r="W166" s="545"/>
      <c r="X166" s="545"/>
      <c r="Y166" s="576"/>
      <c r="Z166" s="576"/>
      <c r="AA166" s="545"/>
      <c r="AB166" s="545"/>
      <c r="AC166" s="545"/>
      <c r="AD166" s="576"/>
      <c r="AE166" s="576"/>
      <c r="AF166" s="576"/>
      <c r="AG166" s="576"/>
      <c r="AH166" s="576"/>
      <c r="AI166" s="576"/>
      <c r="AJ166" s="576"/>
      <c r="AK166" s="576"/>
      <c r="AL166" s="576"/>
      <c r="AM166" s="576"/>
      <c r="AN166" s="576"/>
      <c r="AO166" s="576"/>
      <c r="AP166" s="576"/>
      <c r="AQ166" s="576"/>
      <c r="AR166" s="576"/>
      <c r="AS166" s="576"/>
      <c r="AT166" s="576"/>
      <c r="AU166" s="576"/>
      <c r="AV166" s="576"/>
      <c r="AW166" s="576"/>
      <c r="AX166" s="576"/>
      <c r="AY166" s="576"/>
      <c r="AZ166" s="576"/>
      <c r="BA166" s="576"/>
      <c r="BB166" s="576"/>
      <c r="BC166" s="576"/>
      <c r="BD166" s="572"/>
      <c r="BE166" s="544"/>
      <c r="BF166" s="544"/>
      <c r="BG166" s="544"/>
      <c r="BH166" s="545"/>
      <c r="BI166" s="545"/>
      <c r="BJ166" s="545"/>
      <c r="BK166" s="545"/>
      <c r="BL166" s="545"/>
      <c r="BM166" s="545"/>
      <c r="BN166" s="545"/>
      <c r="BO166" s="545"/>
      <c r="BP166" s="545"/>
      <c r="BQ166" s="545"/>
      <c r="BR166" s="545"/>
      <c r="BS166" s="545"/>
      <c r="BT166" s="545"/>
    </row>
    <row r="167" spans="1:72" ht="15.75">
      <c r="A167" s="545"/>
      <c r="B167" s="545"/>
      <c r="C167" s="545"/>
      <c r="D167" s="545"/>
      <c r="E167" s="545"/>
      <c r="F167" s="545"/>
      <c r="G167" s="545"/>
      <c r="H167" s="545"/>
      <c r="I167" s="545"/>
      <c r="J167" s="545"/>
      <c r="K167" s="545"/>
      <c r="L167" s="545"/>
      <c r="M167" s="545"/>
      <c r="N167" s="545"/>
      <c r="O167" s="545"/>
      <c r="P167" s="545"/>
      <c r="Q167" s="545"/>
      <c r="R167" s="545"/>
      <c r="S167" s="576"/>
      <c r="T167" s="576"/>
      <c r="U167" s="576"/>
      <c r="V167" s="576"/>
      <c r="W167" s="545"/>
      <c r="X167" s="545"/>
      <c r="Y167" s="576"/>
      <c r="Z167" s="576"/>
      <c r="AA167" s="545"/>
      <c r="AB167" s="545"/>
      <c r="AC167" s="545"/>
      <c r="AD167" s="576"/>
      <c r="AE167" s="576"/>
      <c r="AF167" s="576"/>
      <c r="AG167" s="576"/>
      <c r="AH167" s="576"/>
      <c r="AI167" s="576"/>
      <c r="AJ167" s="576"/>
      <c r="AK167" s="576"/>
      <c r="AL167" s="576"/>
      <c r="AM167" s="576"/>
      <c r="AN167" s="576"/>
      <c r="AO167" s="576"/>
      <c r="AP167" s="576"/>
      <c r="AQ167" s="576"/>
      <c r="AR167" s="576"/>
      <c r="AS167" s="576"/>
      <c r="AT167" s="576"/>
      <c r="AU167" s="576"/>
      <c r="AV167" s="576"/>
      <c r="AW167" s="576"/>
      <c r="AX167" s="576"/>
      <c r="AY167" s="576"/>
      <c r="AZ167" s="576"/>
      <c r="BA167" s="576"/>
      <c r="BB167" s="576"/>
      <c r="BC167" s="576"/>
      <c r="BD167" s="572"/>
      <c r="BE167" s="544"/>
      <c r="BF167" s="544"/>
      <c r="BG167" s="544"/>
      <c r="BH167" s="545"/>
      <c r="BI167" s="545"/>
      <c r="BJ167" s="545"/>
      <c r="BK167" s="545"/>
      <c r="BL167" s="545"/>
      <c r="BM167" s="545"/>
      <c r="BN167" s="545"/>
      <c r="BO167" s="545"/>
      <c r="BP167" s="545"/>
      <c r="BQ167" s="545"/>
      <c r="BR167" s="545"/>
      <c r="BS167" s="545"/>
      <c r="BT167" s="545"/>
    </row>
    <row r="168" spans="1:72" ht="15.75">
      <c r="A168" s="545"/>
      <c r="B168" s="545"/>
      <c r="C168" s="545"/>
      <c r="D168" s="545"/>
      <c r="E168" s="545"/>
      <c r="F168" s="545"/>
      <c r="G168" s="545"/>
      <c r="H168" s="545"/>
      <c r="I168" s="545"/>
      <c r="J168" s="545"/>
      <c r="K168" s="545"/>
      <c r="L168" s="545"/>
      <c r="M168" s="545"/>
      <c r="N168" s="545"/>
      <c r="O168" s="545"/>
      <c r="P168" s="545"/>
      <c r="Q168" s="545"/>
      <c r="R168" s="545"/>
      <c r="S168" s="576"/>
      <c r="T168" s="576"/>
      <c r="U168" s="576"/>
      <c r="V168" s="576"/>
      <c r="W168" s="545"/>
      <c r="X168" s="545"/>
      <c r="Y168" s="576"/>
      <c r="Z168" s="576"/>
      <c r="AA168" s="545"/>
      <c r="AB168" s="545"/>
      <c r="AC168" s="545"/>
      <c r="AD168" s="576"/>
      <c r="AE168" s="576"/>
      <c r="AF168" s="576"/>
      <c r="AG168" s="576"/>
      <c r="AH168" s="576"/>
      <c r="AI168" s="576"/>
      <c r="AJ168" s="576"/>
      <c r="AK168" s="576"/>
      <c r="AL168" s="576"/>
      <c r="AM168" s="576"/>
      <c r="AN168" s="576"/>
      <c r="AO168" s="576"/>
      <c r="AP168" s="576"/>
      <c r="AQ168" s="576"/>
      <c r="AR168" s="576"/>
      <c r="AS168" s="576"/>
      <c r="AT168" s="576"/>
      <c r="AU168" s="576"/>
      <c r="AV168" s="576"/>
      <c r="AW168" s="576"/>
      <c r="AX168" s="576"/>
      <c r="AY168" s="576"/>
      <c r="AZ168" s="576"/>
      <c r="BA168" s="576"/>
      <c r="BB168" s="576"/>
      <c r="BC168" s="576"/>
      <c r="BD168" s="572"/>
      <c r="BE168" s="544"/>
      <c r="BF168" s="544"/>
      <c r="BG168" s="544"/>
      <c r="BH168" s="545"/>
      <c r="BI168" s="545"/>
      <c r="BJ168" s="545"/>
      <c r="BK168" s="545"/>
      <c r="BL168" s="545"/>
      <c r="BM168" s="545"/>
      <c r="BN168" s="545"/>
      <c r="BO168" s="545"/>
      <c r="BP168" s="545"/>
      <c r="BQ168" s="545"/>
      <c r="BR168" s="545"/>
      <c r="BS168" s="545"/>
      <c r="BT168" s="545"/>
    </row>
    <row r="169" spans="1:72" ht="15.75">
      <c r="A169" s="545"/>
      <c r="B169" s="545"/>
      <c r="C169" s="545"/>
      <c r="D169" s="545"/>
      <c r="E169" s="545"/>
      <c r="F169" s="545"/>
      <c r="G169" s="545"/>
      <c r="H169" s="545"/>
      <c r="I169" s="545"/>
      <c r="J169" s="545"/>
      <c r="K169" s="545"/>
      <c r="L169" s="545"/>
      <c r="M169" s="545"/>
      <c r="N169" s="545"/>
      <c r="O169" s="545"/>
      <c r="P169" s="545"/>
      <c r="Q169" s="545"/>
      <c r="R169" s="545"/>
      <c r="S169" s="576"/>
      <c r="T169" s="576"/>
      <c r="U169" s="576"/>
      <c r="V169" s="576"/>
      <c r="W169" s="545"/>
      <c r="X169" s="545"/>
      <c r="Y169" s="576"/>
      <c r="Z169" s="576"/>
      <c r="AA169" s="545"/>
      <c r="AB169" s="545"/>
      <c r="AC169" s="545"/>
      <c r="AD169" s="576"/>
      <c r="AE169" s="576"/>
      <c r="AF169" s="576"/>
      <c r="AG169" s="576"/>
      <c r="AH169" s="576"/>
      <c r="AI169" s="576"/>
      <c r="AJ169" s="576"/>
      <c r="AK169" s="576"/>
      <c r="AL169" s="576"/>
      <c r="AM169" s="576"/>
      <c r="AN169" s="576"/>
      <c r="AO169" s="576"/>
      <c r="AP169" s="576"/>
      <c r="AQ169" s="576"/>
      <c r="AR169" s="576"/>
      <c r="AS169" s="576"/>
      <c r="AT169" s="576"/>
      <c r="AU169" s="576"/>
      <c r="AV169" s="576"/>
      <c r="AW169" s="576"/>
      <c r="AX169" s="576"/>
      <c r="AY169" s="576"/>
      <c r="AZ169" s="576"/>
      <c r="BA169" s="576"/>
      <c r="BB169" s="576"/>
      <c r="BC169" s="576"/>
      <c r="BD169" s="572"/>
      <c r="BE169" s="544"/>
      <c r="BF169" s="544"/>
      <c r="BG169" s="544"/>
      <c r="BH169" s="545"/>
      <c r="BI169" s="545"/>
      <c r="BJ169" s="545"/>
      <c r="BK169" s="545"/>
      <c r="BL169" s="545"/>
      <c r="BM169" s="545"/>
      <c r="BN169" s="545"/>
      <c r="BO169" s="545"/>
      <c r="BP169" s="545"/>
      <c r="BQ169" s="545"/>
      <c r="BR169" s="545"/>
      <c r="BS169" s="545"/>
      <c r="BT169" s="545"/>
    </row>
    <row r="170" spans="1:72" ht="15.75">
      <c r="A170" s="545"/>
      <c r="B170" s="545"/>
      <c r="C170" s="545"/>
      <c r="D170" s="545"/>
      <c r="E170" s="545"/>
      <c r="F170" s="545"/>
      <c r="G170" s="545"/>
      <c r="H170" s="545"/>
      <c r="I170" s="545"/>
      <c r="J170" s="545"/>
      <c r="K170" s="545"/>
      <c r="L170" s="545"/>
      <c r="M170" s="545"/>
      <c r="N170" s="545"/>
      <c r="O170" s="545"/>
      <c r="P170" s="545"/>
      <c r="Q170" s="545"/>
      <c r="R170" s="545"/>
      <c r="S170" s="576"/>
      <c r="T170" s="576"/>
      <c r="U170" s="576"/>
      <c r="V170" s="576"/>
      <c r="W170" s="545"/>
      <c r="X170" s="545"/>
      <c r="Y170" s="576"/>
      <c r="Z170" s="576"/>
      <c r="AA170" s="545"/>
      <c r="AB170" s="545"/>
      <c r="AC170" s="545"/>
      <c r="AD170" s="576"/>
      <c r="AE170" s="576"/>
      <c r="AF170" s="576"/>
      <c r="AG170" s="576"/>
      <c r="AH170" s="576"/>
      <c r="AI170" s="576"/>
      <c r="AJ170" s="576"/>
      <c r="AK170" s="576"/>
      <c r="AL170" s="576"/>
      <c r="AM170" s="576"/>
      <c r="AN170" s="576"/>
      <c r="AO170" s="576"/>
      <c r="AP170" s="576"/>
      <c r="AQ170" s="576"/>
      <c r="AR170" s="576"/>
      <c r="AS170" s="576"/>
      <c r="AT170" s="576"/>
      <c r="AU170" s="576"/>
      <c r="AV170" s="576"/>
      <c r="AW170" s="576"/>
      <c r="AX170" s="576"/>
      <c r="AY170" s="576"/>
      <c r="AZ170" s="576"/>
      <c r="BA170" s="576"/>
      <c r="BB170" s="576"/>
      <c r="BC170" s="576"/>
      <c r="BD170" s="572"/>
      <c r="BE170" s="544"/>
      <c r="BF170" s="544"/>
      <c r="BG170" s="544"/>
      <c r="BH170" s="545"/>
      <c r="BI170" s="545"/>
      <c r="BJ170" s="545"/>
      <c r="BK170" s="545"/>
      <c r="BL170" s="545"/>
      <c r="BM170" s="545"/>
      <c r="BN170" s="545"/>
      <c r="BO170" s="545"/>
      <c r="BP170" s="545"/>
      <c r="BQ170" s="545"/>
      <c r="BR170" s="545"/>
      <c r="BS170" s="545"/>
      <c r="BT170" s="545"/>
    </row>
    <row r="171" spans="1:72" ht="15.75">
      <c r="A171" s="545"/>
      <c r="B171" s="545"/>
      <c r="C171" s="545"/>
      <c r="D171" s="545"/>
      <c r="E171" s="545"/>
      <c r="F171" s="545"/>
      <c r="G171" s="545"/>
      <c r="H171" s="545"/>
      <c r="I171" s="545"/>
      <c r="J171" s="545"/>
      <c r="K171" s="545"/>
      <c r="L171" s="545"/>
      <c r="M171" s="545"/>
      <c r="N171" s="545"/>
      <c r="O171" s="545"/>
      <c r="P171" s="545"/>
      <c r="Q171" s="545"/>
      <c r="R171" s="545"/>
      <c r="S171" s="576"/>
      <c r="T171" s="576"/>
      <c r="U171" s="576"/>
      <c r="V171" s="576"/>
      <c r="W171" s="545"/>
      <c r="X171" s="545"/>
      <c r="Y171" s="576"/>
      <c r="Z171" s="576"/>
      <c r="AA171" s="545"/>
      <c r="AB171" s="545"/>
      <c r="AC171" s="545"/>
      <c r="AD171" s="576"/>
      <c r="AE171" s="576"/>
      <c r="AF171" s="576"/>
      <c r="AG171" s="576"/>
      <c r="AH171" s="576"/>
      <c r="AI171" s="576"/>
      <c r="AJ171" s="576"/>
      <c r="AK171" s="576"/>
      <c r="AL171" s="576"/>
      <c r="AM171" s="576"/>
      <c r="AN171" s="576"/>
      <c r="AO171" s="576"/>
      <c r="AP171" s="576"/>
      <c r="AQ171" s="576"/>
      <c r="AR171" s="576"/>
      <c r="AS171" s="576"/>
      <c r="AT171" s="576"/>
      <c r="AU171" s="576"/>
      <c r="AV171" s="576"/>
      <c r="AW171" s="576"/>
      <c r="AX171" s="576"/>
      <c r="AY171" s="576"/>
      <c r="AZ171" s="576"/>
      <c r="BA171" s="576"/>
      <c r="BB171" s="576"/>
      <c r="BC171" s="576"/>
      <c r="BD171" s="572"/>
      <c r="BE171" s="544"/>
      <c r="BF171" s="544"/>
      <c r="BG171" s="544"/>
      <c r="BH171" s="545"/>
      <c r="BI171" s="545"/>
      <c r="BJ171" s="545"/>
      <c r="BK171" s="545"/>
      <c r="BL171" s="545"/>
      <c r="BM171" s="545"/>
      <c r="BN171" s="545"/>
      <c r="BO171" s="545"/>
      <c r="BP171" s="545"/>
      <c r="BQ171" s="545"/>
      <c r="BR171" s="545"/>
      <c r="BS171" s="545"/>
      <c r="BT171" s="545"/>
    </row>
    <row r="172" spans="1:72" ht="15.75">
      <c r="A172" s="545"/>
      <c r="B172" s="545"/>
      <c r="C172" s="545"/>
      <c r="D172" s="545"/>
      <c r="E172" s="545"/>
      <c r="F172" s="545"/>
      <c r="G172" s="545"/>
      <c r="H172" s="545"/>
      <c r="I172" s="545"/>
      <c r="J172" s="545"/>
      <c r="K172" s="545"/>
      <c r="L172" s="545"/>
      <c r="M172" s="545"/>
      <c r="N172" s="545"/>
      <c r="O172" s="545"/>
      <c r="P172" s="545"/>
      <c r="Q172" s="545"/>
      <c r="R172" s="545"/>
      <c r="S172" s="576"/>
      <c r="T172" s="576"/>
      <c r="U172" s="576"/>
      <c r="V172" s="576"/>
      <c r="W172" s="545"/>
      <c r="X172" s="545"/>
      <c r="Y172" s="576"/>
      <c r="Z172" s="576"/>
      <c r="AA172" s="545"/>
      <c r="AB172" s="545"/>
      <c r="AC172" s="545"/>
      <c r="AD172" s="576"/>
      <c r="AE172" s="576"/>
      <c r="AF172" s="576"/>
      <c r="AG172" s="576"/>
      <c r="AH172" s="576"/>
      <c r="AI172" s="576"/>
      <c r="AJ172" s="576"/>
      <c r="AK172" s="576"/>
      <c r="AL172" s="576"/>
      <c r="AM172" s="576"/>
      <c r="AN172" s="576"/>
      <c r="AO172" s="576"/>
      <c r="AP172" s="576"/>
      <c r="AQ172" s="576"/>
      <c r="AR172" s="576"/>
      <c r="AS172" s="576"/>
      <c r="AT172" s="576"/>
      <c r="AU172" s="576"/>
      <c r="AV172" s="576"/>
      <c r="AW172" s="576"/>
      <c r="AX172" s="576"/>
      <c r="AY172" s="576"/>
      <c r="AZ172" s="576"/>
      <c r="BA172" s="576"/>
      <c r="BB172" s="576"/>
      <c r="BC172" s="576"/>
      <c r="BD172" s="572"/>
      <c r="BE172" s="544"/>
      <c r="BF172" s="544"/>
      <c r="BG172" s="544"/>
      <c r="BH172" s="545"/>
      <c r="BI172" s="545"/>
      <c r="BJ172" s="545"/>
      <c r="BK172" s="545"/>
      <c r="BL172" s="545"/>
      <c r="BM172" s="545"/>
      <c r="BN172" s="545"/>
      <c r="BO172" s="545"/>
      <c r="BP172" s="545"/>
      <c r="BQ172" s="545"/>
      <c r="BR172" s="545"/>
      <c r="BS172" s="545"/>
      <c r="BT172" s="545"/>
    </row>
    <row r="173" spans="1:72" ht="15.75">
      <c r="A173" s="545"/>
      <c r="B173" s="545"/>
      <c r="C173" s="545"/>
      <c r="D173" s="545"/>
      <c r="E173" s="545"/>
      <c r="F173" s="545"/>
      <c r="G173" s="545"/>
      <c r="H173" s="545"/>
      <c r="I173" s="545"/>
      <c r="J173" s="545"/>
      <c r="K173" s="545"/>
      <c r="L173" s="545"/>
      <c r="M173" s="545"/>
      <c r="N173" s="545"/>
      <c r="O173" s="545"/>
      <c r="P173" s="545"/>
      <c r="Q173" s="545"/>
      <c r="R173" s="545"/>
      <c r="S173" s="576"/>
      <c r="T173" s="576"/>
      <c r="U173" s="576"/>
      <c r="V173" s="576"/>
      <c r="W173" s="545"/>
      <c r="X173" s="545"/>
      <c r="Y173" s="576"/>
      <c r="Z173" s="576"/>
      <c r="AA173" s="545"/>
      <c r="AB173" s="545"/>
      <c r="AC173" s="545"/>
      <c r="AD173" s="576"/>
      <c r="AE173" s="576"/>
      <c r="AF173" s="576"/>
      <c r="AG173" s="576"/>
      <c r="AH173" s="576"/>
      <c r="AI173" s="576"/>
      <c r="AJ173" s="576"/>
      <c r="AK173" s="576"/>
      <c r="AL173" s="576"/>
      <c r="AM173" s="576"/>
      <c r="AN173" s="576"/>
      <c r="AO173" s="576"/>
      <c r="AP173" s="576"/>
      <c r="AQ173" s="576"/>
      <c r="AR173" s="576"/>
      <c r="AS173" s="576"/>
      <c r="AT173" s="576"/>
      <c r="AU173" s="576"/>
      <c r="AV173" s="576"/>
      <c r="AW173" s="576"/>
      <c r="AX173" s="576"/>
      <c r="AY173" s="576"/>
      <c r="AZ173" s="576"/>
      <c r="BA173" s="576"/>
      <c r="BB173" s="576"/>
      <c r="BC173" s="576"/>
      <c r="BD173" s="572"/>
      <c r="BE173" s="544"/>
      <c r="BF173" s="544"/>
      <c r="BG173" s="544"/>
      <c r="BH173" s="545"/>
      <c r="BI173" s="545"/>
      <c r="BJ173" s="545"/>
      <c r="BK173" s="545"/>
      <c r="BL173" s="545"/>
      <c r="BM173" s="545"/>
      <c r="BN173" s="545"/>
      <c r="BO173" s="545"/>
      <c r="BP173" s="545"/>
      <c r="BQ173" s="545"/>
      <c r="BR173" s="545"/>
      <c r="BS173" s="545"/>
      <c r="BT173" s="545"/>
    </row>
    <row r="174" spans="1:72" ht="15.75">
      <c r="A174" s="545"/>
      <c r="B174" s="545"/>
      <c r="C174" s="545"/>
      <c r="D174" s="545"/>
      <c r="E174" s="545"/>
      <c r="F174" s="545"/>
      <c r="G174" s="545"/>
      <c r="H174" s="545"/>
      <c r="I174" s="545"/>
      <c r="J174" s="545"/>
      <c r="K174" s="545"/>
      <c r="L174" s="545"/>
      <c r="M174" s="545"/>
      <c r="N174" s="545"/>
      <c r="O174" s="545"/>
      <c r="P174" s="545"/>
      <c r="Q174" s="545"/>
      <c r="R174" s="545"/>
      <c r="S174" s="576"/>
      <c r="T174" s="576"/>
      <c r="U174" s="576"/>
      <c r="V174" s="576"/>
      <c r="W174" s="545"/>
      <c r="X174" s="545"/>
      <c r="Y174" s="576"/>
      <c r="Z174" s="576"/>
      <c r="AA174" s="545"/>
      <c r="AB174" s="545"/>
      <c r="AC174" s="545"/>
      <c r="AD174" s="576"/>
      <c r="AE174" s="576"/>
      <c r="AF174" s="576"/>
      <c r="AG174" s="576"/>
      <c r="AH174" s="576"/>
      <c r="AI174" s="576"/>
      <c r="AJ174" s="576"/>
      <c r="AK174" s="576"/>
      <c r="AL174" s="576"/>
      <c r="AM174" s="576"/>
      <c r="AN174" s="576"/>
      <c r="AO174" s="576"/>
      <c r="AP174" s="576"/>
      <c r="AQ174" s="576"/>
      <c r="AR174" s="576"/>
      <c r="AS174" s="576"/>
      <c r="AT174" s="576"/>
      <c r="AU174" s="576"/>
      <c r="AV174" s="576"/>
      <c r="AW174" s="576"/>
      <c r="AX174" s="576"/>
      <c r="AY174" s="576"/>
      <c r="AZ174" s="576"/>
      <c r="BA174" s="576"/>
      <c r="BB174" s="576"/>
      <c r="BC174" s="576"/>
      <c r="BD174" s="572"/>
      <c r="BE174" s="544"/>
      <c r="BF174" s="544"/>
      <c r="BG174" s="544"/>
      <c r="BH174" s="545"/>
      <c r="BI174" s="545"/>
      <c r="BJ174" s="545"/>
      <c r="BK174" s="545"/>
      <c r="BL174" s="545"/>
      <c r="BM174" s="545"/>
      <c r="BN174" s="545"/>
      <c r="BO174" s="545"/>
      <c r="BP174" s="545"/>
      <c r="BQ174" s="545"/>
      <c r="BR174" s="545"/>
      <c r="BS174" s="545"/>
      <c r="BT174" s="545"/>
    </row>
    <row r="175" spans="1:72" ht="15.75">
      <c r="A175" s="545"/>
      <c r="B175" s="545"/>
      <c r="C175" s="545"/>
      <c r="D175" s="545"/>
      <c r="E175" s="545"/>
      <c r="F175" s="545"/>
      <c r="G175" s="545"/>
      <c r="H175" s="545"/>
      <c r="I175" s="545"/>
      <c r="J175" s="545"/>
      <c r="K175" s="545"/>
      <c r="L175" s="545"/>
      <c r="M175" s="545"/>
      <c r="N175" s="545"/>
      <c r="O175" s="545"/>
      <c r="P175" s="545"/>
      <c r="Q175" s="545"/>
      <c r="R175" s="545"/>
      <c r="S175" s="576"/>
      <c r="T175" s="576"/>
      <c r="U175" s="576"/>
      <c r="V175" s="576"/>
      <c r="W175" s="545"/>
      <c r="X175" s="545"/>
      <c r="Y175" s="576"/>
      <c r="Z175" s="576"/>
      <c r="AA175" s="545"/>
      <c r="AB175" s="545"/>
      <c r="AC175" s="545"/>
      <c r="AD175" s="576"/>
      <c r="AE175" s="576"/>
      <c r="AF175" s="576"/>
      <c r="AG175" s="576"/>
      <c r="AH175" s="576"/>
      <c r="AI175" s="576"/>
      <c r="AJ175" s="576"/>
      <c r="AK175" s="576"/>
      <c r="AL175" s="576"/>
      <c r="AM175" s="576"/>
      <c r="AN175" s="576"/>
      <c r="AO175" s="576"/>
      <c r="AP175" s="576"/>
      <c r="AQ175" s="576"/>
      <c r="AR175" s="576"/>
      <c r="AS175" s="576"/>
      <c r="AT175" s="576"/>
      <c r="AU175" s="576"/>
      <c r="AV175" s="576"/>
      <c r="AW175" s="576"/>
      <c r="AX175" s="576"/>
      <c r="AY175" s="576"/>
      <c r="AZ175" s="576"/>
      <c r="BA175" s="576"/>
      <c r="BB175" s="576"/>
      <c r="BC175" s="576"/>
      <c r="BD175" s="572"/>
      <c r="BE175" s="544"/>
      <c r="BF175" s="544"/>
      <c r="BG175" s="544"/>
      <c r="BH175" s="545"/>
      <c r="BI175" s="545"/>
      <c r="BJ175" s="545"/>
      <c r="BK175" s="545"/>
      <c r="BL175" s="545"/>
      <c r="BM175" s="545"/>
      <c r="BN175" s="545"/>
      <c r="BO175" s="545"/>
      <c r="BP175" s="545"/>
      <c r="BQ175" s="545"/>
      <c r="BR175" s="545"/>
      <c r="BS175" s="545"/>
      <c r="BT175" s="545"/>
    </row>
    <row r="176" spans="1:72" ht="15.75">
      <c r="A176" s="545"/>
      <c r="B176" s="545"/>
      <c r="C176" s="545"/>
      <c r="D176" s="545"/>
      <c r="E176" s="545"/>
      <c r="F176" s="545"/>
      <c r="G176" s="545"/>
      <c r="H176" s="545"/>
      <c r="I176" s="545"/>
      <c r="J176" s="545"/>
      <c r="K176" s="545"/>
      <c r="L176" s="545"/>
      <c r="M176" s="545"/>
      <c r="N176" s="545"/>
      <c r="O176" s="545"/>
      <c r="P176" s="545"/>
      <c r="Q176" s="545"/>
      <c r="R176" s="545"/>
      <c r="S176" s="576"/>
      <c r="T176" s="576"/>
      <c r="U176" s="576"/>
      <c r="V176" s="576"/>
      <c r="W176" s="545"/>
      <c r="X176" s="545"/>
      <c r="Y176" s="576"/>
      <c r="Z176" s="576"/>
      <c r="AA176" s="545"/>
      <c r="AB176" s="545"/>
      <c r="AC176" s="545"/>
      <c r="AD176" s="576"/>
      <c r="AE176" s="576"/>
      <c r="AF176" s="576"/>
      <c r="AG176" s="576"/>
      <c r="AH176" s="576"/>
      <c r="AI176" s="576"/>
      <c r="AJ176" s="576"/>
      <c r="AK176" s="576"/>
      <c r="AL176" s="576"/>
      <c r="AM176" s="576"/>
      <c r="AN176" s="576"/>
      <c r="AO176" s="576"/>
      <c r="AP176" s="576"/>
      <c r="AQ176" s="576"/>
      <c r="AR176" s="576"/>
      <c r="AS176" s="576"/>
      <c r="AT176" s="576"/>
      <c r="AU176" s="576"/>
      <c r="AV176" s="576"/>
      <c r="AW176" s="576"/>
      <c r="AX176" s="576"/>
      <c r="AY176" s="576"/>
      <c r="AZ176" s="576"/>
      <c r="BA176" s="576"/>
      <c r="BB176" s="576"/>
      <c r="BC176" s="576"/>
      <c r="BD176" s="572"/>
      <c r="BE176" s="544"/>
      <c r="BF176" s="544"/>
      <c r="BG176" s="544"/>
      <c r="BH176" s="545"/>
      <c r="BI176" s="545"/>
      <c r="BJ176" s="545"/>
      <c r="BK176" s="545"/>
      <c r="BL176" s="545"/>
      <c r="BM176" s="545"/>
      <c r="BN176" s="545"/>
      <c r="BO176" s="545"/>
      <c r="BP176" s="545"/>
      <c r="BQ176" s="545"/>
      <c r="BR176" s="545"/>
      <c r="BS176" s="545"/>
      <c r="BT176" s="545"/>
    </row>
    <row r="177" spans="1:72" ht="15.75">
      <c r="A177" s="545"/>
      <c r="B177" s="545"/>
      <c r="C177" s="545"/>
      <c r="D177" s="545"/>
      <c r="E177" s="545"/>
      <c r="F177" s="545"/>
      <c r="G177" s="545"/>
      <c r="H177" s="545"/>
      <c r="I177" s="545"/>
      <c r="J177" s="545"/>
      <c r="K177" s="545"/>
      <c r="L177" s="545"/>
      <c r="M177" s="545"/>
      <c r="N177" s="545"/>
      <c r="O177" s="545"/>
      <c r="P177" s="545"/>
      <c r="Q177" s="545"/>
      <c r="R177" s="545"/>
      <c r="S177" s="576"/>
      <c r="T177" s="576"/>
      <c r="U177" s="576"/>
      <c r="V177" s="576"/>
      <c r="W177" s="545"/>
      <c r="X177" s="545"/>
      <c r="Y177" s="576"/>
      <c r="Z177" s="576"/>
      <c r="AA177" s="545"/>
      <c r="AB177" s="545"/>
      <c r="AC177" s="545"/>
      <c r="AD177" s="576"/>
      <c r="AE177" s="576"/>
      <c r="AF177" s="576"/>
      <c r="AG177" s="576"/>
      <c r="AH177" s="576"/>
      <c r="AI177" s="576"/>
      <c r="AJ177" s="576"/>
      <c r="AK177" s="576"/>
      <c r="AL177" s="576"/>
      <c r="AM177" s="576"/>
      <c r="AN177" s="576"/>
      <c r="AO177" s="576"/>
      <c r="AP177" s="576"/>
      <c r="AQ177" s="576"/>
      <c r="AR177" s="576"/>
      <c r="AS177" s="576"/>
      <c r="AT177" s="576"/>
      <c r="AU177" s="576"/>
      <c r="AV177" s="576"/>
      <c r="AW177" s="576"/>
      <c r="AX177" s="576"/>
      <c r="AY177" s="576"/>
      <c r="AZ177" s="576"/>
      <c r="BA177" s="576"/>
      <c r="BB177" s="576"/>
      <c r="BC177" s="576"/>
      <c r="BD177" s="572"/>
      <c r="BE177" s="544"/>
      <c r="BF177" s="544"/>
      <c r="BG177" s="544"/>
      <c r="BH177" s="545"/>
      <c r="BI177" s="545"/>
      <c r="BJ177" s="545"/>
      <c r="BK177" s="545"/>
      <c r="BL177" s="545"/>
      <c r="BM177" s="545"/>
      <c r="BN177" s="545"/>
      <c r="BO177" s="545"/>
      <c r="BP177" s="545"/>
      <c r="BQ177" s="545"/>
      <c r="BR177" s="545"/>
      <c r="BS177" s="545"/>
      <c r="BT177" s="545"/>
    </row>
    <row r="178" spans="1:72" ht="15.75">
      <c r="A178" s="545"/>
      <c r="B178" s="545"/>
      <c r="C178" s="545"/>
      <c r="D178" s="545"/>
      <c r="E178" s="545"/>
      <c r="F178" s="545"/>
      <c r="G178" s="545"/>
      <c r="H178" s="545"/>
      <c r="I178" s="545"/>
      <c r="J178" s="545"/>
      <c r="K178" s="545"/>
      <c r="L178" s="545"/>
      <c r="M178" s="545"/>
      <c r="N178" s="545"/>
      <c r="O178" s="545"/>
      <c r="P178" s="545"/>
      <c r="Q178" s="545"/>
      <c r="R178" s="545"/>
      <c r="S178" s="576"/>
      <c r="T178" s="576"/>
      <c r="U178" s="576"/>
      <c r="V178" s="576"/>
      <c r="W178" s="545"/>
      <c r="X178" s="545"/>
      <c r="Y178" s="576"/>
      <c r="Z178" s="576"/>
      <c r="AA178" s="545"/>
      <c r="AB178" s="545"/>
      <c r="AC178" s="545"/>
      <c r="AD178" s="576"/>
      <c r="AE178" s="576"/>
      <c r="AF178" s="576"/>
      <c r="AG178" s="576"/>
      <c r="AH178" s="576"/>
      <c r="AI178" s="576"/>
      <c r="AJ178" s="576"/>
      <c r="AK178" s="576"/>
      <c r="AL178" s="576"/>
      <c r="AM178" s="576"/>
      <c r="AN178" s="576"/>
      <c r="AO178" s="576"/>
      <c r="AP178" s="576"/>
      <c r="AQ178" s="576"/>
      <c r="AR178" s="576"/>
      <c r="AS178" s="576"/>
      <c r="AT178" s="576"/>
      <c r="AU178" s="576"/>
      <c r="AV178" s="576"/>
      <c r="AW178" s="576"/>
      <c r="AX178" s="576"/>
      <c r="AY178" s="576"/>
      <c r="AZ178" s="576"/>
      <c r="BA178" s="576"/>
      <c r="BB178" s="576"/>
      <c r="BC178" s="576"/>
      <c r="BD178" s="572"/>
      <c r="BE178" s="544"/>
      <c r="BF178" s="544"/>
      <c r="BG178" s="544"/>
      <c r="BH178" s="545"/>
      <c r="BI178" s="545"/>
      <c r="BJ178" s="545"/>
      <c r="BK178" s="545"/>
      <c r="BL178" s="545"/>
      <c r="BM178" s="545"/>
      <c r="BN178" s="545"/>
      <c r="BO178" s="545"/>
      <c r="BP178" s="545"/>
      <c r="BQ178" s="545"/>
      <c r="BR178" s="545"/>
      <c r="BS178" s="545"/>
      <c r="BT178" s="545"/>
    </row>
    <row r="179" spans="1:72" ht="15.75">
      <c r="A179" s="545"/>
      <c r="B179" s="545"/>
      <c r="C179" s="545"/>
      <c r="D179" s="545"/>
      <c r="E179" s="545"/>
      <c r="F179" s="545"/>
      <c r="G179" s="545"/>
      <c r="H179" s="545"/>
      <c r="I179" s="545"/>
      <c r="J179" s="545"/>
      <c r="K179" s="545"/>
      <c r="L179" s="545"/>
      <c r="M179" s="545"/>
      <c r="N179" s="545"/>
      <c r="O179" s="545"/>
      <c r="P179" s="545"/>
      <c r="Q179" s="545"/>
      <c r="R179" s="545"/>
      <c r="S179" s="576"/>
      <c r="T179" s="576"/>
      <c r="U179" s="576"/>
      <c r="V179" s="576"/>
      <c r="W179" s="545"/>
      <c r="X179" s="545"/>
      <c r="Y179" s="576"/>
      <c r="Z179" s="576"/>
      <c r="AA179" s="545"/>
      <c r="AB179" s="545"/>
      <c r="AC179" s="545"/>
      <c r="AD179" s="576"/>
      <c r="AE179" s="576"/>
      <c r="AF179" s="576"/>
      <c r="AG179" s="576"/>
      <c r="AH179" s="576"/>
      <c r="AI179" s="576"/>
      <c r="AJ179" s="576"/>
      <c r="AK179" s="576"/>
      <c r="AL179" s="576"/>
      <c r="AM179" s="576"/>
      <c r="AN179" s="576"/>
      <c r="AO179" s="576"/>
      <c r="AP179" s="576"/>
      <c r="AQ179" s="576"/>
      <c r="AR179" s="576"/>
      <c r="AS179" s="576"/>
      <c r="AT179" s="576"/>
      <c r="AU179" s="576"/>
      <c r="AV179" s="576"/>
      <c r="AW179" s="576"/>
      <c r="AX179" s="576"/>
      <c r="AY179" s="576"/>
      <c r="AZ179" s="576"/>
      <c r="BA179" s="576"/>
      <c r="BB179" s="576"/>
      <c r="BC179" s="576"/>
      <c r="BD179" s="572"/>
      <c r="BE179" s="544"/>
      <c r="BF179" s="544"/>
      <c r="BG179" s="544"/>
      <c r="BH179" s="545"/>
      <c r="BI179" s="545"/>
      <c r="BJ179" s="545"/>
      <c r="BK179" s="545"/>
      <c r="BL179" s="545"/>
      <c r="BM179" s="545"/>
      <c r="BN179" s="545"/>
      <c r="BO179" s="545"/>
      <c r="BP179" s="545"/>
      <c r="BQ179" s="545"/>
      <c r="BR179" s="545"/>
      <c r="BS179" s="545"/>
      <c r="BT179" s="545"/>
    </row>
    <row r="180" spans="1:72" ht="15.75">
      <c r="A180" s="545"/>
      <c r="B180" s="545"/>
      <c r="C180" s="545"/>
      <c r="D180" s="545"/>
      <c r="E180" s="545"/>
      <c r="F180" s="545"/>
      <c r="G180" s="545"/>
      <c r="H180" s="545"/>
      <c r="I180" s="545"/>
      <c r="J180" s="545"/>
      <c r="K180" s="545"/>
      <c r="L180" s="545"/>
      <c r="M180" s="545"/>
      <c r="N180" s="545"/>
      <c r="O180" s="545"/>
      <c r="P180" s="545"/>
      <c r="Q180" s="545"/>
      <c r="R180" s="545"/>
      <c r="S180" s="576"/>
      <c r="T180" s="576"/>
      <c r="U180" s="576"/>
      <c r="V180" s="576"/>
      <c r="W180" s="545"/>
      <c r="X180" s="545"/>
      <c r="Y180" s="576"/>
      <c r="Z180" s="576"/>
      <c r="AA180" s="545"/>
      <c r="AB180" s="545"/>
      <c r="AC180" s="545"/>
      <c r="AD180" s="576"/>
      <c r="AE180" s="576"/>
      <c r="AF180" s="576"/>
      <c r="AG180" s="576"/>
      <c r="AH180" s="576"/>
      <c r="AI180" s="576"/>
      <c r="AJ180" s="576"/>
      <c r="AK180" s="576"/>
      <c r="AL180" s="576"/>
      <c r="AM180" s="576"/>
      <c r="AN180" s="576"/>
      <c r="AO180" s="576"/>
      <c r="AP180" s="576"/>
      <c r="AQ180" s="576"/>
      <c r="AR180" s="576"/>
      <c r="AS180" s="576"/>
      <c r="AT180" s="576"/>
      <c r="AU180" s="576"/>
      <c r="AV180" s="576"/>
      <c r="AW180" s="576"/>
      <c r="AX180" s="576"/>
      <c r="AY180" s="576"/>
      <c r="AZ180" s="576"/>
      <c r="BA180" s="576"/>
      <c r="BB180" s="576"/>
      <c r="BC180" s="576"/>
      <c r="BD180" s="572"/>
      <c r="BE180" s="544"/>
      <c r="BF180" s="544"/>
      <c r="BG180" s="544"/>
      <c r="BH180" s="545"/>
      <c r="BI180" s="545"/>
      <c r="BJ180" s="545"/>
      <c r="BK180" s="545"/>
      <c r="BL180" s="545"/>
      <c r="BM180" s="545"/>
      <c r="BN180" s="545"/>
      <c r="BO180" s="545"/>
      <c r="BP180" s="545"/>
      <c r="BQ180" s="545"/>
      <c r="BR180" s="545"/>
      <c r="BS180" s="545"/>
      <c r="BT180" s="545"/>
    </row>
    <row r="181" spans="1:72" ht="15.75">
      <c r="A181" s="545"/>
      <c r="B181" s="545"/>
      <c r="C181" s="545"/>
      <c r="D181" s="545"/>
      <c r="E181" s="545"/>
      <c r="F181" s="545"/>
      <c r="G181" s="545"/>
      <c r="H181" s="545"/>
      <c r="I181" s="545"/>
      <c r="J181" s="545"/>
      <c r="K181" s="545"/>
      <c r="L181" s="545"/>
      <c r="M181" s="545"/>
      <c r="N181" s="545"/>
      <c r="O181" s="545"/>
      <c r="P181" s="545"/>
      <c r="Q181" s="545"/>
      <c r="R181" s="545"/>
      <c r="S181" s="576"/>
      <c r="T181" s="576"/>
      <c r="U181" s="576"/>
      <c r="V181" s="576"/>
      <c r="W181" s="545"/>
      <c r="X181" s="545"/>
      <c r="Y181" s="576"/>
      <c r="Z181" s="576"/>
      <c r="AA181" s="545"/>
      <c r="AB181" s="545"/>
      <c r="AC181" s="545"/>
      <c r="AD181" s="576"/>
      <c r="AE181" s="576"/>
      <c r="AF181" s="576"/>
      <c r="AG181" s="576"/>
      <c r="AH181" s="576"/>
      <c r="AI181" s="576"/>
      <c r="AJ181" s="576"/>
      <c r="AK181" s="576"/>
      <c r="AL181" s="576"/>
      <c r="AM181" s="576"/>
      <c r="AN181" s="576"/>
      <c r="AO181" s="576"/>
      <c r="AP181" s="576"/>
      <c r="AQ181" s="576"/>
      <c r="AR181" s="576"/>
      <c r="AS181" s="576"/>
      <c r="AT181" s="576"/>
      <c r="AU181" s="576"/>
      <c r="AV181" s="576"/>
      <c r="AW181" s="576"/>
      <c r="AX181" s="576"/>
      <c r="AY181" s="576"/>
      <c r="AZ181" s="576"/>
      <c r="BA181" s="576"/>
      <c r="BB181" s="576"/>
      <c r="BC181" s="576"/>
      <c r="BD181" s="572"/>
      <c r="BE181" s="544"/>
      <c r="BF181" s="544"/>
      <c r="BG181" s="544"/>
      <c r="BH181" s="545"/>
      <c r="BI181" s="545"/>
      <c r="BJ181" s="545"/>
      <c r="BK181" s="545"/>
      <c r="BL181" s="545"/>
      <c r="BM181" s="545"/>
      <c r="BN181" s="545"/>
      <c r="BO181" s="545"/>
      <c r="BP181" s="545"/>
      <c r="BQ181" s="545"/>
      <c r="BR181" s="545"/>
      <c r="BS181" s="545"/>
      <c r="BT181" s="545"/>
    </row>
    <row r="182" spans="1:72" ht="15.75">
      <c r="A182" s="545"/>
      <c r="B182" s="545"/>
      <c r="C182" s="545"/>
      <c r="D182" s="545"/>
      <c r="E182" s="545"/>
      <c r="F182" s="545"/>
      <c r="G182" s="545"/>
      <c r="H182" s="545"/>
      <c r="I182" s="545"/>
      <c r="J182" s="545"/>
      <c r="K182" s="545"/>
      <c r="L182" s="545"/>
      <c r="M182" s="545"/>
      <c r="N182" s="545"/>
      <c r="O182" s="545"/>
      <c r="P182" s="545"/>
      <c r="Q182" s="545"/>
      <c r="R182" s="545"/>
      <c r="S182" s="576"/>
      <c r="T182" s="576"/>
      <c r="U182" s="576"/>
      <c r="V182" s="576"/>
      <c r="W182" s="545"/>
      <c r="X182" s="545"/>
      <c r="Y182" s="576"/>
      <c r="Z182" s="576"/>
      <c r="AA182" s="545"/>
      <c r="AB182" s="545"/>
      <c r="AC182" s="545"/>
      <c r="AD182" s="576"/>
      <c r="AE182" s="576"/>
      <c r="AF182" s="576"/>
      <c r="AG182" s="576"/>
      <c r="AH182" s="576"/>
      <c r="AI182" s="576"/>
      <c r="AJ182" s="576"/>
      <c r="AK182" s="576"/>
      <c r="AL182" s="576"/>
      <c r="AM182" s="576"/>
      <c r="AN182" s="576"/>
      <c r="AO182" s="576"/>
      <c r="AP182" s="576"/>
      <c r="AQ182" s="576"/>
      <c r="AR182" s="576"/>
      <c r="AS182" s="576"/>
      <c r="AT182" s="576"/>
      <c r="AU182" s="576"/>
      <c r="AV182" s="576"/>
      <c r="AW182" s="576"/>
      <c r="AX182" s="576"/>
      <c r="AY182" s="576"/>
      <c r="AZ182" s="576"/>
      <c r="BA182" s="576"/>
      <c r="BB182" s="576"/>
      <c r="BC182" s="576"/>
      <c r="BD182" s="572"/>
      <c r="BE182" s="544"/>
      <c r="BF182" s="544"/>
      <c r="BG182" s="544"/>
      <c r="BH182" s="545"/>
      <c r="BI182" s="545"/>
      <c r="BJ182" s="545"/>
      <c r="BK182" s="545"/>
      <c r="BL182" s="545"/>
      <c r="BM182" s="545"/>
      <c r="BN182" s="545"/>
      <c r="BO182" s="545"/>
      <c r="BP182" s="545"/>
      <c r="BQ182" s="545"/>
      <c r="BR182" s="545"/>
      <c r="BS182" s="545"/>
      <c r="BT182" s="545"/>
    </row>
    <row r="183" spans="1:72" ht="15.75">
      <c r="A183" s="545"/>
      <c r="B183" s="545"/>
      <c r="C183" s="545"/>
      <c r="D183" s="545"/>
      <c r="E183" s="545"/>
      <c r="F183" s="545"/>
      <c r="G183" s="545"/>
      <c r="H183" s="545"/>
      <c r="I183" s="545"/>
      <c r="J183" s="545"/>
      <c r="K183" s="545"/>
      <c r="L183" s="545"/>
      <c r="M183" s="545"/>
      <c r="N183" s="545"/>
      <c r="O183" s="545"/>
      <c r="P183" s="545"/>
      <c r="Q183" s="545"/>
      <c r="R183" s="545"/>
      <c r="S183" s="576"/>
      <c r="T183" s="576"/>
      <c r="U183" s="576"/>
      <c r="V183" s="576"/>
      <c r="W183" s="545"/>
      <c r="X183" s="545"/>
      <c r="Y183" s="576"/>
      <c r="Z183" s="576"/>
      <c r="AA183" s="545"/>
      <c r="AB183" s="545"/>
      <c r="AC183" s="545"/>
      <c r="AD183" s="576"/>
      <c r="AE183" s="576"/>
      <c r="AF183" s="576"/>
      <c r="AG183" s="576"/>
      <c r="AH183" s="576"/>
      <c r="AI183" s="576"/>
      <c r="AJ183" s="576"/>
      <c r="AK183" s="576"/>
      <c r="AL183" s="576"/>
      <c r="AM183" s="576"/>
      <c r="AN183" s="576"/>
      <c r="AO183" s="576"/>
      <c r="AP183" s="576"/>
      <c r="AQ183" s="576"/>
      <c r="AR183" s="576"/>
      <c r="AS183" s="576"/>
      <c r="AT183" s="576"/>
      <c r="AU183" s="576"/>
      <c r="AV183" s="576"/>
      <c r="AW183" s="576"/>
      <c r="AX183" s="576"/>
      <c r="AY183" s="576"/>
      <c r="AZ183" s="576"/>
      <c r="BA183" s="576"/>
      <c r="BB183" s="576"/>
      <c r="BC183" s="576"/>
      <c r="BD183" s="572"/>
      <c r="BE183" s="544"/>
      <c r="BF183" s="544"/>
      <c r="BG183" s="544"/>
      <c r="BH183" s="545"/>
      <c r="BI183" s="545"/>
      <c r="BJ183" s="545"/>
      <c r="BK183" s="545"/>
      <c r="BL183" s="545"/>
      <c r="BM183" s="545"/>
      <c r="BN183" s="545"/>
      <c r="BO183" s="545"/>
      <c r="BP183" s="545"/>
      <c r="BQ183" s="545"/>
      <c r="BR183" s="545"/>
      <c r="BS183" s="545"/>
      <c r="BT183" s="545"/>
    </row>
    <row r="184" spans="1:72" ht="15.75">
      <c r="A184" s="545"/>
      <c r="B184" s="545"/>
      <c r="C184" s="545"/>
      <c r="D184" s="545"/>
      <c r="E184" s="545"/>
      <c r="F184" s="545"/>
      <c r="G184" s="545"/>
      <c r="H184" s="545"/>
      <c r="I184" s="545"/>
      <c r="J184" s="545"/>
      <c r="K184" s="545"/>
      <c r="L184" s="545"/>
      <c r="M184" s="545"/>
      <c r="N184" s="545"/>
      <c r="O184" s="545"/>
      <c r="P184" s="545"/>
      <c r="Q184" s="545"/>
      <c r="R184" s="545"/>
      <c r="S184" s="576"/>
      <c r="T184" s="576"/>
      <c r="U184" s="576"/>
      <c r="V184" s="576"/>
      <c r="W184" s="545"/>
      <c r="X184" s="545"/>
      <c r="Y184" s="576"/>
      <c r="Z184" s="576"/>
      <c r="AA184" s="545"/>
      <c r="AB184" s="545"/>
      <c r="AC184" s="545"/>
      <c r="AD184" s="576"/>
      <c r="AE184" s="576"/>
      <c r="AF184" s="576"/>
      <c r="AG184" s="576"/>
      <c r="AH184" s="576"/>
      <c r="AI184" s="576"/>
      <c r="AJ184" s="576"/>
      <c r="AK184" s="576"/>
      <c r="AL184" s="576"/>
      <c r="AM184" s="576"/>
      <c r="AN184" s="576"/>
      <c r="AO184" s="576"/>
      <c r="AP184" s="576"/>
      <c r="AQ184" s="576"/>
      <c r="AR184" s="576"/>
      <c r="AS184" s="576"/>
      <c r="AT184" s="576"/>
      <c r="AU184" s="576"/>
      <c r="AV184" s="576"/>
      <c r="AW184" s="576"/>
      <c r="AX184" s="576"/>
      <c r="AY184" s="576"/>
      <c r="AZ184" s="576"/>
      <c r="BA184" s="576"/>
      <c r="BB184" s="576"/>
      <c r="BC184" s="576"/>
      <c r="BD184" s="572"/>
      <c r="BE184" s="544"/>
      <c r="BF184" s="544"/>
      <c r="BG184" s="544"/>
      <c r="BH184" s="545"/>
      <c r="BI184" s="545"/>
      <c r="BJ184" s="545"/>
      <c r="BK184" s="545"/>
      <c r="BL184" s="545"/>
      <c r="BM184" s="545"/>
      <c r="BN184" s="545"/>
      <c r="BO184" s="545"/>
      <c r="BP184" s="545"/>
      <c r="BQ184" s="545"/>
      <c r="BR184" s="545"/>
      <c r="BS184" s="545"/>
      <c r="BT184" s="545"/>
    </row>
    <row r="185" spans="1:72" ht="15.75">
      <c r="A185" s="545"/>
      <c r="B185" s="545"/>
      <c r="C185" s="545"/>
      <c r="D185" s="545"/>
      <c r="E185" s="545"/>
      <c r="F185" s="545"/>
      <c r="G185" s="545"/>
      <c r="H185" s="545"/>
      <c r="I185" s="545"/>
      <c r="J185" s="545"/>
      <c r="K185" s="545"/>
      <c r="L185" s="545"/>
      <c r="M185" s="545"/>
      <c r="N185" s="545"/>
      <c r="O185" s="545"/>
      <c r="P185" s="545"/>
      <c r="Q185" s="545"/>
      <c r="R185" s="545"/>
      <c r="S185" s="576"/>
      <c r="T185" s="576"/>
      <c r="U185" s="576"/>
      <c r="V185" s="576"/>
      <c r="W185" s="545"/>
      <c r="X185" s="545"/>
      <c r="Y185" s="576"/>
      <c r="Z185" s="576"/>
      <c r="AA185" s="545"/>
      <c r="AB185" s="545"/>
      <c r="AC185" s="545"/>
      <c r="AD185" s="576"/>
      <c r="AE185" s="576"/>
      <c r="AF185" s="576"/>
      <c r="AG185" s="576"/>
      <c r="AH185" s="576"/>
      <c r="AI185" s="576"/>
      <c r="AJ185" s="576"/>
      <c r="AK185" s="576"/>
      <c r="AL185" s="576"/>
      <c r="AM185" s="576"/>
      <c r="AN185" s="576"/>
      <c r="AO185" s="576"/>
      <c r="AP185" s="576"/>
      <c r="AQ185" s="576"/>
      <c r="AR185" s="576"/>
      <c r="AS185" s="576"/>
      <c r="AT185" s="576"/>
      <c r="AU185" s="576"/>
      <c r="AV185" s="576"/>
      <c r="AW185" s="576"/>
      <c r="AX185" s="576"/>
      <c r="AY185" s="576"/>
      <c r="AZ185" s="576"/>
      <c r="BA185" s="576"/>
      <c r="BB185" s="576"/>
      <c r="BC185" s="576"/>
      <c r="BD185" s="572"/>
      <c r="BE185" s="544"/>
      <c r="BF185" s="544"/>
      <c r="BG185" s="544"/>
      <c r="BH185" s="545"/>
      <c r="BI185" s="545"/>
      <c r="BJ185" s="545"/>
      <c r="BK185" s="545"/>
      <c r="BL185" s="545"/>
      <c r="BM185" s="545"/>
      <c r="BN185" s="545"/>
      <c r="BO185" s="545"/>
      <c r="BP185" s="545"/>
      <c r="BQ185" s="545"/>
      <c r="BR185" s="545"/>
      <c r="BS185" s="545"/>
      <c r="BT185" s="545"/>
    </row>
    <row r="186" spans="1:72" ht="15.75">
      <c r="A186" s="545"/>
      <c r="B186" s="545"/>
      <c r="C186" s="545"/>
      <c r="D186" s="545"/>
      <c r="E186" s="545"/>
      <c r="F186" s="545"/>
      <c r="G186" s="545"/>
      <c r="H186" s="545"/>
      <c r="I186" s="545"/>
      <c r="J186" s="545"/>
      <c r="K186" s="545"/>
      <c r="L186" s="545"/>
      <c r="M186" s="545"/>
      <c r="N186" s="545"/>
      <c r="O186" s="545"/>
      <c r="P186" s="545"/>
      <c r="Q186" s="545"/>
      <c r="R186" s="545"/>
      <c r="S186" s="576"/>
      <c r="T186" s="576"/>
      <c r="U186" s="576"/>
      <c r="V186" s="576"/>
      <c r="W186" s="545"/>
      <c r="X186" s="545"/>
      <c r="Y186" s="576"/>
      <c r="Z186" s="576"/>
      <c r="AA186" s="545"/>
      <c r="AB186" s="545"/>
      <c r="AC186" s="545"/>
      <c r="AD186" s="576"/>
      <c r="AE186" s="576"/>
      <c r="AF186" s="576"/>
      <c r="AG186" s="576"/>
      <c r="AH186" s="576"/>
      <c r="AI186" s="576"/>
      <c r="AJ186" s="576"/>
      <c r="AK186" s="576"/>
      <c r="AL186" s="576"/>
      <c r="AM186" s="576"/>
      <c r="AN186" s="576"/>
      <c r="AO186" s="576"/>
      <c r="AP186" s="576"/>
      <c r="AQ186" s="576"/>
      <c r="AR186" s="576"/>
      <c r="AS186" s="576"/>
      <c r="AT186" s="576"/>
      <c r="AU186" s="576"/>
      <c r="AV186" s="576"/>
      <c r="AW186" s="576"/>
      <c r="AX186" s="576"/>
      <c r="AY186" s="576"/>
      <c r="AZ186" s="576"/>
      <c r="BA186" s="576"/>
      <c r="BB186" s="576"/>
      <c r="BC186" s="576"/>
      <c r="BD186" s="572"/>
      <c r="BE186" s="544"/>
      <c r="BF186" s="544"/>
      <c r="BG186" s="544"/>
      <c r="BH186" s="545"/>
      <c r="BI186" s="545"/>
      <c r="BJ186" s="545"/>
      <c r="BK186" s="545"/>
      <c r="BL186" s="545"/>
      <c r="BM186" s="545"/>
      <c r="BN186" s="545"/>
      <c r="BO186" s="545"/>
      <c r="BP186" s="545"/>
      <c r="BQ186" s="545"/>
      <c r="BR186" s="545"/>
      <c r="BS186" s="545"/>
      <c r="BT186" s="545"/>
    </row>
    <row r="187" spans="1:72" ht="15.75">
      <c r="A187" s="545"/>
      <c r="B187" s="545"/>
      <c r="C187" s="545"/>
      <c r="D187" s="545"/>
      <c r="E187" s="545"/>
      <c r="F187" s="545"/>
      <c r="G187" s="545"/>
      <c r="H187" s="545"/>
      <c r="I187" s="545"/>
      <c r="J187" s="545"/>
      <c r="K187" s="545"/>
      <c r="L187" s="545"/>
      <c r="M187" s="545"/>
      <c r="N187" s="545"/>
      <c r="O187" s="545"/>
      <c r="P187" s="545"/>
      <c r="Q187" s="545"/>
      <c r="R187" s="545"/>
      <c r="S187" s="576"/>
      <c r="T187" s="576"/>
      <c r="U187" s="576"/>
      <c r="V187" s="576"/>
      <c r="W187" s="545"/>
      <c r="X187" s="545"/>
      <c r="Y187" s="576"/>
      <c r="Z187" s="576"/>
      <c r="AA187" s="545"/>
      <c r="AB187" s="545"/>
      <c r="AC187" s="545"/>
      <c r="AD187" s="576"/>
      <c r="AE187" s="576"/>
      <c r="AF187" s="576"/>
      <c r="AG187" s="576"/>
      <c r="AH187" s="576"/>
      <c r="AI187" s="576"/>
      <c r="AJ187" s="576"/>
      <c r="AK187" s="576"/>
      <c r="AL187" s="576"/>
      <c r="AM187" s="576"/>
      <c r="AN187" s="576"/>
      <c r="AO187" s="576"/>
      <c r="AP187" s="576"/>
      <c r="AQ187" s="576"/>
      <c r="AR187" s="576"/>
      <c r="AS187" s="576"/>
      <c r="AT187" s="576"/>
      <c r="AU187" s="576"/>
      <c r="AV187" s="576"/>
      <c r="AW187" s="576"/>
      <c r="AX187" s="576"/>
      <c r="AY187" s="576"/>
      <c r="AZ187" s="576"/>
      <c r="BA187" s="576"/>
      <c r="BB187" s="576"/>
      <c r="BC187" s="576"/>
      <c r="BD187" s="572"/>
      <c r="BE187" s="544"/>
      <c r="BF187" s="544"/>
      <c r="BG187" s="544"/>
      <c r="BH187" s="545"/>
      <c r="BI187" s="545"/>
      <c r="BJ187" s="545"/>
      <c r="BK187" s="545"/>
      <c r="BL187" s="545"/>
      <c r="BM187" s="545"/>
      <c r="BN187" s="545"/>
      <c r="BO187" s="545"/>
      <c r="BP187" s="545"/>
      <c r="BQ187" s="545"/>
      <c r="BR187" s="545"/>
      <c r="BS187" s="545"/>
      <c r="BT187" s="545"/>
    </row>
    <row r="188" spans="1:72" ht="15.75">
      <c r="A188" s="545"/>
      <c r="B188" s="545"/>
      <c r="C188" s="545"/>
      <c r="D188" s="545"/>
      <c r="E188" s="545"/>
      <c r="F188" s="545"/>
      <c r="G188" s="545"/>
      <c r="H188" s="545"/>
      <c r="I188" s="545"/>
      <c r="J188" s="545"/>
      <c r="K188" s="545"/>
      <c r="L188" s="545"/>
      <c r="M188" s="545"/>
      <c r="N188" s="545"/>
      <c r="O188" s="545"/>
      <c r="P188" s="545"/>
      <c r="Q188" s="545"/>
      <c r="R188" s="545"/>
      <c r="S188" s="576"/>
      <c r="T188" s="576"/>
      <c r="U188" s="576"/>
      <c r="V188" s="576"/>
      <c r="W188" s="545"/>
      <c r="X188" s="545"/>
      <c r="Y188" s="576"/>
      <c r="Z188" s="576"/>
      <c r="AA188" s="545"/>
      <c r="AB188" s="545"/>
      <c r="AC188" s="545"/>
      <c r="AD188" s="576"/>
      <c r="AE188" s="576"/>
      <c r="AF188" s="576"/>
      <c r="AG188" s="576"/>
      <c r="AH188" s="576"/>
      <c r="AI188" s="576"/>
      <c r="AJ188" s="576"/>
      <c r="AK188" s="576"/>
      <c r="AL188" s="576"/>
      <c r="AM188" s="576"/>
      <c r="AN188" s="576"/>
      <c r="AO188" s="576"/>
      <c r="AP188" s="576"/>
      <c r="AQ188" s="576"/>
      <c r="AR188" s="576"/>
      <c r="AS188" s="576"/>
      <c r="AT188" s="576"/>
      <c r="AU188" s="576"/>
      <c r="AV188" s="576"/>
      <c r="AW188" s="576"/>
      <c r="AX188" s="576"/>
      <c r="AY188" s="576"/>
      <c r="AZ188" s="576"/>
      <c r="BA188" s="576"/>
      <c r="BB188" s="576"/>
      <c r="BC188" s="576"/>
      <c r="BD188" s="572"/>
      <c r="BE188" s="544"/>
      <c r="BF188" s="544"/>
      <c r="BG188" s="544"/>
      <c r="BH188" s="545"/>
      <c r="BI188" s="545"/>
      <c r="BJ188" s="545"/>
      <c r="BK188" s="545"/>
      <c r="BL188" s="545"/>
      <c r="BM188" s="545"/>
      <c r="BN188" s="545"/>
      <c r="BO188" s="545"/>
      <c r="BP188" s="545"/>
      <c r="BQ188" s="545"/>
      <c r="BR188" s="545"/>
      <c r="BS188" s="545"/>
      <c r="BT188" s="545"/>
    </row>
    <row r="189" spans="1:72" ht="15.75">
      <c r="A189" s="545"/>
      <c r="B189" s="545"/>
      <c r="C189" s="545"/>
      <c r="D189" s="545"/>
      <c r="E189" s="545"/>
      <c r="F189" s="545"/>
      <c r="G189" s="545"/>
      <c r="H189" s="545"/>
      <c r="I189" s="545"/>
      <c r="J189" s="545"/>
      <c r="K189" s="545"/>
      <c r="L189" s="545"/>
      <c r="M189" s="545"/>
      <c r="N189" s="545"/>
      <c r="O189" s="545"/>
      <c r="P189" s="545"/>
      <c r="Q189" s="545"/>
      <c r="R189" s="545"/>
      <c r="S189" s="576"/>
      <c r="T189" s="576"/>
      <c r="U189" s="576"/>
      <c r="V189" s="576"/>
      <c r="W189" s="545"/>
      <c r="X189" s="545"/>
      <c r="Y189" s="576"/>
      <c r="Z189" s="576"/>
      <c r="AA189" s="545"/>
      <c r="AB189" s="545"/>
      <c r="AC189" s="545"/>
      <c r="AD189" s="576"/>
      <c r="AE189" s="576"/>
      <c r="AF189" s="576"/>
      <c r="AG189" s="576"/>
      <c r="AH189" s="576"/>
      <c r="AI189" s="576"/>
      <c r="AJ189" s="576"/>
      <c r="AK189" s="576"/>
      <c r="AL189" s="576"/>
      <c r="AM189" s="576"/>
      <c r="AN189" s="576"/>
      <c r="AO189" s="576"/>
      <c r="AP189" s="576"/>
      <c r="AQ189" s="576"/>
      <c r="AR189" s="576"/>
      <c r="AS189" s="576"/>
      <c r="AT189" s="576"/>
      <c r="AU189" s="576"/>
      <c r="AV189" s="576"/>
      <c r="AW189" s="576"/>
      <c r="AX189" s="576"/>
      <c r="AY189" s="576"/>
      <c r="AZ189" s="576"/>
      <c r="BA189" s="576"/>
      <c r="BB189" s="576"/>
      <c r="BC189" s="576"/>
      <c r="BD189" s="572"/>
      <c r="BE189" s="544"/>
      <c r="BF189" s="544"/>
      <c r="BG189" s="544"/>
      <c r="BH189" s="545"/>
      <c r="BI189" s="545"/>
      <c r="BJ189" s="545"/>
      <c r="BK189" s="545"/>
      <c r="BL189" s="545"/>
      <c r="BM189" s="545"/>
      <c r="BN189" s="545"/>
      <c r="BO189" s="545"/>
      <c r="BP189" s="545"/>
      <c r="BQ189" s="545"/>
      <c r="BR189" s="545"/>
      <c r="BS189" s="545"/>
      <c r="BT189" s="545"/>
    </row>
    <row r="190" spans="1:72" ht="15.75">
      <c r="A190" s="545"/>
      <c r="B190" s="545"/>
      <c r="C190" s="545"/>
      <c r="D190" s="545"/>
      <c r="E190" s="545"/>
      <c r="F190" s="545"/>
      <c r="G190" s="545"/>
      <c r="H190" s="545"/>
      <c r="I190" s="545"/>
      <c r="J190" s="545"/>
      <c r="K190" s="545"/>
      <c r="L190" s="545"/>
      <c r="M190" s="545"/>
      <c r="N190" s="545"/>
      <c r="O190" s="545"/>
      <c r="P190" s="545"/>
      <c r="Q190" s="545"/>
      <c r="R190" s="545"/>
      <c r="S190" s="576"/>
      <c r="T190" s="576"/>
      <c r="U190" s="576"/>
      <c r="V190" s="576"/>
      <c r="W190" s="545"/>
      <c r="X190" s="545"/>
      <c r="Y190" s="576"/>
      <c r="Z190" s="576"/>
      <c r="AA190" s="545"/>
      <c r="AB190" s="545"/>
      <c r="AC190" s="545"/>
      <c r="AD190" s="576"/>
      <c r="AE190" s="576"/>
      <c r="AF190" s="576"/>
      <c r="AG190" s="576"/>
      <c r="AH190" s="576"/>
      <c r="AI190" s="576"/>
      <c r="AJ190" s="576"/>
      <c r="AK190" s="576"/>
      <c r="AL190" s="576"/>
      <c r="AM190" s="576"/>
      <c r="AN190" s="576"/>
      <c r="AO190" s="576"/>
      <c r="AP190" s="576"/>
      <c r="AQ190" s="576"/>
      <c r="AR190" s="576"/>
      <c r="AS190" s="576"/>
      <c r="AT190" s="576"/>
      <c r="AU190" s="576"/>
      <c r="AV190" s="576"/>
      <c r="AW190" s="576"/>
      <c r="AX190" s="576"/>
      <c r="AY190" s="576"/>
      <c r="AZ190" s="576"/>
      <c r="BA190" s="576"/>
      <c r="BB190" s="576"/>
      <c r="BC190" s="576"/>
      <c r="BD190" s="572"/>
      <c r="BE190" s="544"/>
      <c r="BF190" s="544"/>
      <c r="BG190" s="544"/>
      <c r="BH190" s="545"/>
      <c r="BI190" s="545"/>
      <c r="BJ190" s="545"/>
      <c r="BK190" s="545"/>
      <c r="BL190" s="545"/>
      <c r="BM190" s="545"/>
      <c r="BN190" s="545"/>
      <c r="BO190" s="545"/>
      <c r="BP190" s="545"/>
      <c r="BQ190" s="545"/>
      <c r="BR190" s="545"/>
      <c r="BS190" s="545"/>
      <c r="BT190" s="545"/>
    </row>
    <row r="191" spans="1:72" ht="15.75">
      <c r="A191" s="545"/>
      <c r="B191" s="545"/>
      <c r="C191" s="545"/>
      <c r="D191" s="545"/>
      <c r="E191" s="545"/>
      <c r="F191" s="545"/>
      <c r="G191" s="545"/>
      <c r="H191" s="545"/>
      <c r="I191" s="545"/>
      <c r="J191" s="545"/>
      <c r="K191" s="545"/>
      <c r="L191" s="545"/>
      <c r="M191" s="545"/>
      <c r="N191" s="545"/>
      <c r="O191" s="545"/>
      <c r="P191" s="545"/>
      <c r="Q191" s="545"/>
      <c r="R191" s="545"/>
      <c r="S191" s="576"/>
      <c r="T191" s="576"/>
      <c r="U191" s="576"/>
      <c r="V191" s="576"/>
      <c r="W191" s="545"/>
      <c r="X191" s="545"/>
      <c r="Y191" s="576"/>
      <c r="Z191" s="576"/>
      <c r="AA191" s="545"/>
      <c r="AB191" s="545"/>
      <c r="AC191" s="545"/>
      <c r="AD191" s="576"/>
      <c r="AE191" s="576"/>
      <c r="AF191" s="576"/>
      <c r="AG191" s="576"/>
      <c r="AH191" s="576"/>
      <c r="AI191" s="576"/>
      <c r="AJ191" s="576"/>
      <c r="AK191" s="576"/>
      <c r="AL191" s="576"/>
      <c r="AM191" s="576"/>
      <c r="AN191" s="576"/>
      <c r="AO191" s="576"/>
      <c r="AP191" s="576"/>
      <c r="AQ191" s="576"/>
      <c r="AR191" s="576"/>
      <c r="AS191" s="576"/>
      <c r="AT191" s="576"/>
      <c r="AU191" s="576"/>
      <c r="AV191" s="576"/>
      <c r="AW191" s="576"/>
      <c r="AX191" s="576"/>
      <c r="AY191" s="576"/>
      <c r="AZ191" s="576"/>
      <c r="BA191" s="576"/>
      <c r="BB191" s="576"/>
      <c r="BC191" s="576"/>
      <c r="BD191" s="572"/>
      <c r="BE191" s="544"/>
      <c r="BF191" s="544"/>
      <c r="BG191" s="544"/>
      <c r="BH191" s="545"/>
      <c r="BI191" s="545"/>
      <c r="BJ191" s="545"/>
      <c r="BK191" s="545"/>
      <c r="BL191" s="545"/>
      <c r="BM191" s="545"/>
      <c r="BN191" s="545"/>
      <c r="BO191" s="545"/>
      <c r="BP191" s="545"/>
      <c r="BQ191" s="545"/>
      <c r="BR191" s="545"/>
      <c r="BS191" s="545"/>
      <c r="BT191" s="545"/>
    </row>
    <row r="192" spans="1:72" ht="15.75">
      <c r="A192" s="545"/>
      <c r="B192" s="545"/>
      <c r="C192" s="545"/>
      <c r="D192" s="545"/>
      <c r="E192" s="545"/>
      <c r="F192" s="545"/>
      <c r="G192" s="545"/>
      <c r="H192" s="545"/>
      <c r="I192" s="545"/>
      <c r="J192" s="545"/>
      <c r="K192" s="545"/>
      <c r="L192" s="545"/>
      <c r="M192" s="545"/>
      <c r="N192" s="545"/>
      <c r="O192" s="545"/>
      <c r="P192" s="545"/>
      <c r="Q192" s="545"/>
      <c r="R192" s="545"/>
      <c r="S192" s="576"/>
      <c r="T192" s="576"/>
      <c r="U192" s="576"/>
      <c r="V192" s="576"/>
      <c r="W192" s="545"/>
      <c r="X192" s="545"/>
      <c r="Y192" s="576"/>
      <c r="Z192" s="576"/>
      <c r="AA192" s="545"/>
      <c r="AB192" s="545"/>
      <c r="AC192" s="545"/>
      <c r="AD192" s="576"/>
      <c r="AE192" s="576"/>
      <c r="AF192" s="576"/>
      <c r="AG192" s="576"/>
      <c r="AH192" s="576"/>
      <c r="AI192" s="576"/>
      <c r="AJ192" s="576"/>
      <c r="AK192" s="576"/>
      <c r="AL192" s="576"/>
      <c r="AM192" s="576"/>
      <c r="AN192" s="576"/>
      <c r="AO192" s="576"/>
      <c r="AP192" s="576"/>
      <c r="AQ192" s="576"/>
      <c r="AR192" s="576"/>
      <c r="AS192" s="576"/>
      <c r="AT192" s="576"/>
      <c r="AU192" s="576"/>
      <c r="AV192" s="576"/>
      <c r="AW192" s="576"/>
      <c r="AX192" s="576"/>
      <c r="AY192" s="576"/>
      <c r="AZ192" s="576"/>
      <c r="BA192" s="576"/>
      <c r="BB192" s="576"/>
      <c r="BC192" s="576"/>
      <c r="BD192" s="572"/>
      <c r="BE192" s="544"/>
      <c r="BF192" s="544"/>
      <c r="BG192" s="544"/>
      <c r="BH192" s="545"/>
      <c r="BI192" s="545"/>
      <c r="BJ192" s="545"/>
      <c r="BK192" s="545"/>
      <c r="BL192" s="545"/>
      <c r="BM192" s="545"/>
      <c r="BN192" s="545"/>
      <c r="BO192" s="545"/>
      <c r="BP192" s="545"/>
      <c r="BQ192" s="545"/>
      <c r="BR192" s="545"/>
      <c r="BS192" s="545"/>
      <c r="BT192" s="545"/>
    </row>
    <row r="193" spans="1:72" ht="15.75">
      <c r="A193" s="545"/>
      <c r="B193" s="545"/>
      <c r="C193" s="545"/>
      <c r="D193" s="545"/>
      <c r="E193" s="545"/>
      <c r="F193" s="545"/>
      <c r="G193" s="545"/>
      <c r="H193" s="545"/>
      <c r="I193" s="545"/>
      <c r="J193" s="545"/>
      <c r="K193" s="545"/>
      <c r="L193" s="545"/>
      <c r="M193" s="545"/>
      <c r="N193" s="545"/>
      <c r="O193" s="545"/>
      <c r="P193" s="545"/>
      <c r="Q193" s="545"/>
      <c r="R193" s="545"/>
      <c r="S193" s="576"/>
      <c r="T193" s="576"/>
      <c r="U193" s="576"/>
      <c r="V193" s="576"/>
      <c r="W193" s="545"/>
      <c r="X193" s="545"/>
      <c r="Y193" s="576"/>
      <c r="Z193" s="576"/>
      <c r="AA193" s="545"/>
      <c r="AB193" s="545"/>
      <c r="AC193" s="545"/>
      <c r="AD193" s="576"/>
      <c r="AE193" s="576"/>
      <c r="AF193" s="576"/>
      <c r="AG193" s="576"/>
      <c r="AH193" s="576"/>
      <c r="AI193" s="576"/>
      <c r="AJ193" s="576"/>
      <c r="AK193" s="576"/>
      <c r="AL193" s="576"/>
      <c r="AM193" s="576"/>
      <c r="AN193" s="576"/>
      <c r="AO193" s="576"/>
      <c r="AP193" s="576"/>
      <c r="AQ193" s="576"/>
      <c r="AR193" s="576"/>
      <c r="AS193" s="576"/>
      <c r="AT193" s="576"/>
      <c r="AU193" s="576"/>
      <c r="AV193" s="576"/>
      <c r="AW193" s="576"/>
      <c r="AX193" s="576"/>
      <c r="AY193" s="576"/>
      <c r="AZ193" s="576"/>
      <c r="BA193" s="576"/>
      <c r="BB193" s="576"/>
      <c r="BC193" s="576"/>
      <c r="BD193" s="572"/>
      <c r="BE193" s="544"/>
      <c r="BF193" s="544"/>
      <c r="BG193" s="544"/>
      <c r="BH193" s="545"/>
      <c r="BI193" s="545"/>
      <c r="BJ193" s="545"/>
      <c r="BK193" s="545"/>
      <c r="BL193" s="545"/>
      <c r="BM193" s="545"/>
      <c r="BN193" s="545"/>
      <c r="BO193" s="545"/>
      <c r="BP193" s="545"/>
      <c r="BQ193" s="545"/>
      <c r="BR193" s="545"/>
      <c r="BS193" s="545"/>
      <c r="BT193" s="545"/>
    </row>
    <row r="194" spans="1:72" ht="15.75">
      <c r="A194" s="545"/>
      <c r="B194" s="545"/>
      <c r="C194" s="545"/>
      <c r="D194" s="545"/>
      <c r="E194" s="545"/>
      <c r="F194" s="545"/>
      <c r="G194" s="545"/>
      <c r="H194" s="545"/>
      <c r="I194" s="545"/>
      <c r="J194" s="545"/>
      <c r="K194" s="545"/>
      <c r="L194" s="545"/>
      <c r="M194" s="545"/>
      <c r="N194" s="545"/>
      <c r="O194" s="545"/>
      <c r="P194" s="545"/>
      <c r="Q194" s="545"/>
      <c r="R194" s="545"/>
      <c r="S194" s="576"/>
      <c r="T194" s="576"/>
      <c r="U194" s="576"/>
      <c r="V194" s="576"/>
      <c r="W194" s="545"/>
      <c r="X194" s="545"/>
      <c r="Y194" s="576"/>
      <c r="Z194" s="576"/>
      <c r="AA194" s="545"/>
      <c r="AB194" s="545"/>
      <c r="AC194" s="545"/>
      <c r="AD194" s="576"/>
      <c r="AE194" s="576"/>
      <c r="AF194" s="576"/>
      <c r="AG194" s="576"/>
      <c r="AH194" s="576"/>
      <c r="AI194" s="576"/>
      <c r="AJ194" s="576"/>
      <c r="AK194" s="576"/>
      <c r="AL194" s="576"/>
      <c r="AM194" s="576"/>
      <c r="AN194" s="576"/>
      <c r="AO194" s="576"/>
      <c r="AP194" s="576"/>
      <c r="AQ194" s="576"/>
      <c r="AR194" s="576"/>
      <c r="AS194" s="576"/>
      <c r="AT194" s="576"/>
      <c r="AU194" s="576"/>
      <c r="AV194" s="576"/>
      <c r="AW194" s="576"/>
      <c r="AX194" s="576"/>
      <c r="AY194" s="576"/>
      <c r="AZ194" s="576"/>
      <c r="BA194" s="576"/>
      <c r="BB194" s="576"/>
      <c r="BC194" s="576"/>
      <c r="BD194" s="572"/>
      <c r="BE194" s="544"/>
      <c r="BF194" s="544"/>
      <c r="BG194" s="544"/>
      <c r="BH194" s="545"/>
      <c r="BI194" s="545"/>
      <c r="BJ194" s="545"/>
      <c r="BK194" s="545"/>
      <c r="BL194" s="545"/>
      <c r="BM194" s="545"/>
      <c r="BN194" s="545"/>
      <c r="BO194" s="545"/>
      <c r="BP194" s="545"/>
      <c r="BQ194" s="545"/>
      <c r="BR194" s="545"/>
      <c r="BS194" s="545"/>
      <c r="BT194" s="545"/>
    </row>
    <row r="195" spans="1:72" ht="15.75">
      <c r="A195" s="545"/>
      <c r="B195" s="545"/>
      <c r="C195" s="545"/>
      <c r="D195" s="545"/>
      <c r="E195" s="545"/>
      <c r="F195" s="545"/>
      <c r="G195" s="545"/>
      <c r="H195" s="545"/>
      <c r="I195" s="545"/>
      <c r="J195" s="545"/>
      <c r="K195" s="545"/>
      <c r="L195" s="545"/>
      <c r="M195" s="545"/>
      <c r="N195" s="545"/>
      <c r="O195" s="545"/>
      <c r="P195" s="545"/>
      <c r="Q195" s="545"/>
      <c r="R195" s="545"/>
      <c r="S195" s="576"/>
      <c r="T195" s="576"/>
      <c r="U195" s="576"/>
      <c r="V195" s="576"/>
      <c r="W195" s="545"/>
      <c r="X195" s="545"/>
      <c r="Y195" s="576"/>
      <c r="Z195" s="576"/>
      <c r="AA195" s="545"/>
      <c r="AB195" s="545"/>
      <c r="AC195" s="545"/>
      <c r="AD195" s="576"/>
      <c r="AE195" s="576"/>
      <c r="AF195" s="576"/>
      <c r="AG195" s="576"/>
      <c r="AH195" s="576"/>
      <c r="AI195" s="576"/>
      <c r="AJ195" s="576"/>
      <c r="AK195" s="576"/>
      <c r="AL195" s="576"/>
      <c r="AM195" s="576"/>
      <c r="AN195" s="576"/>
      <c r="AO195" s="576"/>
      <c r="AP195" s="576"/>
      <c r="AQ195" s="576"/>
      <c r="AR195" s="576"/>
      <c r="AS195" s="576"/>
      <c r="AT195" s="576"/>
      <c r="AU195" s="576"/>
      <c r="AV195" s="576"/>
      <c r="AW195" s="576"/>
      <c r="AX195" s="576"/>
      <c r="AY195" s="576"/>
      <c r="AZ195" s="576"/>
      <c r="BA195" s="576"/>
      <c r="BB195" s="576"/>
      <c r="BC195" s="576"/>
      <c r="BD195" s="572"/>
      <c r="BE195" s="544"/>
      <c r="BF195" s="544"/>
      <c r="BG195" s="544"/>
      <c r="BH195" s="545"/>
      <c r="BI195" s="545"/>
      <c r="BJ195" s="545"/>
      <c r="BK195" s="545"/>
      <c r="BL195" s="545"/>
      <c r="BM195" s="545"/>
      <c r="BN195" s="545"/>
      <c r="BO195" s="545"/>
      <c r="BP195" s="545"/>
      <c r="BQ195" s="545"/>
      <c r="BR195" s="545"/>
      <c r="BS195" s="545"/>
      <c r="BT195" s="545"/>
    </row>
    <row r="196" spans="1:72" ht="15.75">
      <c r="A196" s="545"/>
      <c r="B196" s="545"/>
      <c r="C196" s="545"/>
      <c r="D196" s="545"/>
      <c r="E196" s="545"/>
      <c r="F196" s="545"/>
      <c r="G196" s="545"/>
      <c r="H196" s="545"/>
      <c r="I196" s="545"/>
      <c r="J196" s="545"/>
      <c r="K196" s="545"/>
      <c r="L196" s="545"/>
      <c r="M196" s="545"/>
      <c r="N196" s="545"/>
      <c r="O196" s="545"/>
      <c r="P196" s="545"/>
      <c r="Q196" s="545"/>
      <c r="R196" s="545"/>
      <c r="S196" s="576"/>
      <c r="T196" s="576"/>
      <c r="U196" s="576"/>
      <c r="V196" s="576"/>
      <c r="W196" s="545"/>
      <c r="X196" s="545"/>
      <c r="Y196" s="576"/>
      <c r="Z196" s="576"/>
      <c r="AA196" s="545"/>
      <c r="AB196" s="545"/>
      <c r="AC196" s="545"/>
      <c r="AD196" s="576"/>
      <c r="AE196" s="576"/>
      <c r="AF196" s="576"/>
      <c r="AG196" s="576"/>
      <c r="AH196" s="576"/>
      <c r="AI196" s="576"/>
      <c r="AJ196" s="576"/>
      <c r="AK196" s="576"/>
      <c r="AL196" s="576"/>
      <c r="AM196" s="576"/>
      <c r="AN196" s="576"/>
      <c r="AO196" s="576"/>
      <c r="AP196" s="576"/>
      <c r="AQ196" s="576"/>
      <c r="AR196" s="576"/>
      <c r="AS196" s="576"/>
      <c r="AT196" s="576"/>
      <c r="AU196" s="576"/>
      <c r="AV196" s="576"/>
      <c r="AW196" s="576"/>
      <c r="AX196" s="576"/>
      <c r="AY196" s="576"/>
      <c r="AZ196" s="576"/>
      <c r="BA196" s="576"/>
      <c r="BB196" s="576"/>
      <c r="BC196" s="576"/>
      <c r="BD196" s="572"/>
      <c r="BE196" s="544"/>
      <c r="BF196" s="544"/>
      <c r="BG196" s="544"/>
      <c r="BH196" s="545"/>
      <c r="BI196" s="545"/>
      <c r="BJ196" s="545"/>
      <c r="BK196" s="545"/>
      <c r="BL196" s="545"/>
      <c r="BM196" s="545"/>
      <c r="BN196" s="545"/>
      <c r="BO196" s="545"/>
      <c r="BP196" s="545"/>
      <c r="BQ196" s="545"/>
      <c r="BR196" s="545"/>
      <c r="BS196" s="545"/>
      <c r="BT196" s="545"/>
    </row>
    <row r="197" spans="1:72" ht="15.75">
      <c r="A197" s="545"/>
      <c r="B197" s="545"/>
      <c r="C197" s="545"/>
      <c r="D197" s="545"/>
      <c r="E197" s="545"/>
      <c r="F197" s="545"/>
      <c r="G197" s="545"/>
      <c r="H197" s="545"/>
      <c r="I197" s="545"/>
      <c r="J197" s="545"/>
      <c r="K197" s="545"/>
      <c r="L197" s="545"/>
      <c r="M197" s="545"/>
      <c r="N197" s="545"/>
      <c r="O197" s="545"/>
      <c r="P197" s="545"/>
      <c r="Q197" s="545"/>
      <c r="R197" s="545"/>
      <c r="S197" s="576"/>
      <c r="T197" s="576"/>
      <c r="U197" s="576"/>
      <c r="V197" s="576"/>
      <c r="W197" s="545"/>
      <c r="X197" s="545"/>
      <c r="Y197" s="576"/>
      <c r="Z197" s="576"/>
      <c r="AA197" s="545"/>
      <c r="AB197" s="545"/>
      <c r="AC197" s="545"/>
      <c r="AD197" s="576"/>
      <c r="AE197" s="576"/>
      <c r="AF197" s="576"/>
      <c r="AG197" s="576"/>
      <c r="AH197" s="576"/>
      <c r="AI197" s="576"/>
      <c r="AJ197" s="576"/>
      <c r="AK197" s="576"/>
      <c r="AL197" s="576"/>
      <c r="AM197" s="576"/>
      <c r="AN197" s="576"/>
      <c r="AO197" s="576"/>
      <c r="AP197" s="576"/>
      <c r="AQ197" s="576"/>
      <c r="AR197" s="576"/>
      <c r="AS197" s="576"/>
      <c r="AT197" s="576"/>
      <c r="AU197" s="576"/>
      <c r="AV197" s="576"/>
      <c r="AW197" s="576"/>
      <c r="AX197" s="576"/>
      <c r="AY197" s="576"/>
      <c r="AZ197" s="576"/>
      <c r="BA197" s="576"/>
      <c r="BB197" s="576"/>
      <c r="BC197" s="576"/>
      <c r="BD197" s="572"/>
      <c r="BE197" s="544"/>
      <c r="BF197" s="544"/>
      <c r="BG197" s="544"/>
      <c r="BH197" s="545"/>
      <c r="BI197" s="545"/>
      <c r="BJ197" s="545"/>
      <c r="BK197" s="545"/>
      <c r="BL197" s="545"/>
      <c r="BM197" s="545"/>
      <c r="BN197" s="545"/>
      <c r="BO197" s="545"/>
      <c r="BP197" s="545"/>
      <c r="BQ197" s="545"/>
      <c r="BR197" s="545"/>
      <c r="BS197" s="545"/>
      <c r="BT197" s="545"/>
    </row>
    <row r="198" spans="1:72" ht="15.75">
      <c r="A198" s="545"/>
      <c r="B198" s="545"/>
      <c r="C198" s="545"/>
      <c r="D198" s="545"/>
      <c r="E198" s="545"/>
      <c r="F198" s="545"/>
      <c r="G198" s="545"/>
      <c r="H198" s="545"/>
      <c r="I198" s="545"/>
      <c r="J198" s="545"/>
      <c r="K198" s="545"/>
      <c r="L198" s="545"/>
      <c r="M198" s="545"/>
      <c r="N198" s="545"/>
      <c r="O198" s="545"/>
      <c r="P198" s="545"/>
      <c r="Q198" s="545"/>
      <c r="R198" s="545"/>
      <c r="S198" s="576"/>
      <c r="T198" s="576"/>
      <c r="U198" s="576"/>
      <c r="V198" s="576"/>
      <c r="W198" s="545"/>
      <c r="X198" s="545"/>
      <c r="Y198" s="576"/>
      <c r="Z198" s="576"/>
      <c r="AA198" s="545"/>
      <c r="AB198" s="545"/>
      <c r="AC198" s="545"/>
      <c r="AD198" s="576"/>
      <c r="AE198" s="576"/>
      <c r="AF198" s="576"/>
      <c r="AG198" s="576"/>
      <c r="AH198" s="576"/>
      <c r="AI198" s="576"/>
      <c r="AJ198" s="576"/>
      <c r="AK198" s="576"/>
      <c r="AL198" s="576"/>
      <c r="AM198" s="576"/>
      <c r="AN198" s="576"/>
      <c r="AO198" s="576"/>
      <c r="AP198" s="576"/>
      <c r="AQ198" s="576"/>
      <c r="AR198" s="576"/>
      <c r="AS198" s="576"/>
      <c r="AT198" s="576"/>
      <c r="AU198" s="576"/>
      <c r="AV198" s="576"/>
      <c r="AW198" s="576"/>
      <c r="AX198" s="576"/>
      <c r="AY198" s="576"/>
      <c r="AZ198" s="576"/>
      <c r="BA198" s="576"/>
      <c r="BB198" s="576"/>
      <c r="BC198" s="576"/>
      <c r="BD198" s="572"/>
      <c r="BE198" s="544"/>
      <c r="BF198" s="544"/>
      <c r="BG198" s="544"/>
      <c r="BH198" s="545"/>
      <c r="BI198" s="545"/>
      <c r="BJ198" s="545"/>
      <c r="BK198" s="545"/>
      <c r="BL198" s="545"/>
      <c r="BM198" s="545"/>
      <c r="BN198" s="545"/>
      <c r="BO198" s="545"/>
      <c r="BP198" s="545"/>
      <c r="BQ198" s="545"/>
      <c r="BR198" s="545"/>
      <c r="BS198" s="545"/>
      <c r="BT198" s="545"/>
    </row>
    <row r="199" spans="1:72" ht="15.75">
      <c r="A199" s="545"/>
      <c r="B199" s="545"/>
      <c r="C199" s="545"/>
      <c r="D199" s="545"/>
      <c r="E199" s="545"/>
      <c r="F199" s="545"/>
      <c r="G199" s="545"/>
      <c r="H199" s="545"/>
      <c r="I199" s="545"/>
      <c r="J199" s="545"/>
      <c r="K199" s="545"/>
      <c r="L199" s="545"/>
      <c r="M199" s="545"/>
      <c r="N199" s="545"/>
      <c r="O199" s="545"/>
      <c r="P199" s="545"/>
      <c r="Q199" s="545"/>
      <c r="R199" s="545"/>
      <c r="S199" s="576"/>
      <c r="T199" s="576"/>
      <c r="U199" s="576"/>
      <c r="V199" s="576"/>
      <c r="W199" s="545"/>
      <c r="X199" s="545"/>
      <c r="Y199" s="576"/>
      <c r="Z199" s="576"/>
      <c r="AA199" s="545"/>
      <c r="AB199" s="545"/>
      <c r="AC199" s="545"/>
      <c r="AD199" s="576"/>
      <c r="AE199" s="576"/>
      <c r="AF199" s="576"/>
      <c r="AG199" s="576"/>
      <c r="AH199" s="576"/>
      <c r="AI199" s="576"/>
      <c r="AJ199" s="576"/>
      <c r="AK199" s="576"/>
      <c r="AL199" s="576"/>
      <c r="AM199" s="576"/>
      <c r="AN199" s="576"/>
      <c r="AO199" s="576"/>
      <c r="AP199" s="576"/>
      <c r="AQ199" s="576"/>
      <c r="AR199" s="576"/>
      <c r="AS199" s="576"/>
      <c r="AT199" s="576"/>
      <c r="AU199" s="576"/>
      <c r="AV199" s="576"/>
      <c r="AW199" s="576"/>
      <c r="AX199" s="576"/>
      <c r="AY199" s="576"/>
      <c r="AZ199" s="576"/>
      <c r="BA199" s="576"/>
      <c r="BB199" s="576"/>
      <c r="BC199" s="576"/>
      <c r="BD199" s="572"/>
      <c r="BE199" s="544"/>
      <c r="BF199" s="544"/>
      <c r="BG199" s="544"/>
      <c r="BH199" s="545"/>
      <c r="BI199" s="545"/>
      <c r="BJ199" s="545"/>
      <c r="BK199" s="545"/>
      <c r="BL199" s="545"/>
      <c r="BM199" s="545"/>
      <c r="BN199" s="545"/>
      <c r="BO199" s="545"/>
      <c r="BP199" s="545"/>
      <c r="BQ199" s="545"/>
      <c r="BR199" s="545"/>
      <c r="BS199" s="545"/>
      <c r="BT199" s="545"/>
    </row>
    <row r="200" spans="1:72" ht="15.75">
      <c r="A200" s="545"/>
      <c r="B200" s="545"/>
      <c r="C200" s="545"/>
      <c r="D200" s="545"/>
      <c r="E200" s="545"/>
      <c r="F200" s="545"/>
      <c r="G200" s="545"/>
      <c r="H200" s="545"/>
      <c r="I200" s="545"/>
      <c r="J200" s="545"/>
      <c r="K200" s="545"/>
      <c r="L200" s="545"/>
      <c r="M200" s="545"/>
      <c r="N200" s="545"/>
      <c r="O200" s="545"/>
      <c r="P200" s="545"/>
      <c r="Q200" s="545"/>
      <c r="R200" s="545"/>
      <c r="S200" s="576"/>
      <c r="T200" s="576"/>
      <c r="U200" s="576"/>
      <c r="V200" s="576"/>
      <c r="W200" s="545"/>
      <c r="X200" s="545"/>
      <c r="Y200" s="576"/>
      <c r="Z200" s="576"/>
      <c r="AA200" s="545"/>
      <c r="AB200" s="545"/>
      <c r="AC200" s="545"/>
      <c r="AD200" s="576"/>
      <c r="AE200" s="576"/>
      <c r="AF200" s="576"/>
      <c r="AG200" s="576"/>
      <c r="AH200" s="576"/>
      <c r="AI200" s="576"/>
      <c r="AJ200" s="576"/>
      <c r="AK200" s="576"/>
      <c r="AL200" s="576"/>
      <c r="AM200" s="576"/>
      <c r="AN200" s="576"/>
      <c r="AO200" s="576"/>
      <c r="AP200" s="576"/>
      <c r="AQ200" s="576"/>
      <c r="AR200" s="576"/>
      <c r="AS200" s="576"/>
      <c r="AT200" s="576"/>
      <c r="AU200" s="576"/>
      <c r="AV200" s="576"/>
      <c r="AW200" s="576"/>
      <c r="AX200" s="576"/>
      <c r="AY200" s="576"/>
      <c r="AZ200" s="576"/>
      <c r="BA200" s="576"/>
      <c r="BB200" s="576"/>
      <c r="BC200" s="576"/>
      <c r="BD200" s="572"/>
      <c r="BE200" s="544"/>
      <c r="BF200" s="544"/>
      <c r="BG200" s="544"/>
      <c r="BH200" s="545"/>
      <c r="BI200" s="545"/>
      <c r="BJ200" s="545"/>
      <c r="BK200" s="545"/>
      <c r="BL200" s="545"/>
      <c r="BM200" s="545"/>
      <c r="BN200" s="545"/>
      <c r="BO200" s="545"/>
      <c r="BP200" s="545"/>
      <c r="BQ200" s="545"/>
      <c r="BR200" s="545"/>
      <c r="BS200" s="545"/>
      <c r="BT200" s="545"/>
    </row>
    <row r="201" spans="1:72" ht="15.75">
      <c r="A201" s="545"/>
      <c r="B201" s="545"/>
      <c r="C201" s="545"/>
      <c r="D201" s="545"/>
      <c r="E201" s="545"/>
      <c r="F201" s="545"/>
      <c r="G201" s="545"/>
      <c r="H201" s="545"/>
      <c r="I201" s="545"/>
      <c r="J201" s="545"/>
      <c r="K201" s="545"/>
      <c r="L201" s="545"/>
      <c r="M201" s="545"/>
      <c r="N201" s="545"/>
      <c r="O201" s="545"/>
      <c r="P201" s="545"/>
      <c r="Q201" s="545"/>
      <c r="R201" s="545"/>
      <c r="S201" s="576"/>
      <c r="T201" s="576"/>
      <c r="U201" s="576"/>
      <c r="V201" s="576"/>
      <c r="W201" s="545"/>
      <c r="X201" s="545"/>
      <c r="Y201" s="576"/>
      <c r="Z201" s="576"/>
      <c r="AA201" s="545"/>
      <c r="AB201" s="545"/>
      <c r="AC201" s="545"/>
      <c r="AD201" s="576"/>
      <c r="AE201" s="576"/>
      <c r="AF201" s="576"/>
      <c r="AG201" s="576"/>
      <c r="AH201" s="576"/>
      <c r="AI201" s="576"/>
      <c r="AJ201" s="576"/>
      <c r="AK201" s="576"/>
      <c r="AL201" s="576"/>
      <c r="AM201" s="576"/>
      <c r="AN201" s="576"/>
      <c r="AO201" s="576"/>
      <c r="AP201" s="576"/>
      <c r="AQ201" s="576"/>
      <c r="AR201" s="576"/>
      <c r="AS201" s="576"/>
      <c r="AT201" s="576"/>
      <c r="AU201" s="576"/>
      <c r="AV201" s="576"/>
      <c r="AW201" s="576"/>
      <c r="AX201" s="576"/>
      <c r="AY201" s="576"/>
      <c r="AZ201" s="576"/>
      <c r="BA201" s="576"/>
      <c r="BB201" s="576"/>
      <c r="BC201" s="576"/>
      <c r="BD201" s="572"/>
      <c r="BE201" s="544"/>
      <c r="BF201" s="544"/>
      <c r="BG201" s="544"/>
      <c r="BH201" s="545"/>
      <c r="BI201" s="545"/>
      <c r="BJ201" s="545"/>
      <c r="BK201" s="545"/>
      <c r="BL201" s="545"/>
      <c r="BM201" s="545"/>
      <c r="BN201" s="545"/>
      <c r="BO201" s="545"/>
      <c r="BP201" s="545"/>
      <c r="BQ201" s="545"/>
      <c r="BR201" s="545"/>
      <c r="BS201" s="545"/>
      <c r="BT201" s="545"/>
    </row>
    <row r="202" spans="1:72" ht="15.75">
      <c r="A202" s="545"/>
      <c r="B202" s="545"/>
      <c r="C202" s="545"/>
      <c r="D202" s="545"/>
      <c r="E202" s="545"/>
      <c r="F202" s="545"/>
      <c r="G202" s="545"/>
      <c r="H202" s="545"/>
      <c r="I202" s="545"/>
      <c r="J202" s="545"/>
      <c r="K202" s="545"/>
      <c r="L202" s="545"/>
      <c r="M202" s="545"/>
      <c r="N202" s="545"/>
      <c r="O202" s="545"/>
      <c r="P202" s="545"/>
      <c r="Q202" s="545"/>
      <c r="R202" s="545"/>
      <c r="S202" s="576"/>
      <c r="T202" s="576"/>
      <c r="U202" s="576"/>
      <c r="V202" s="576"/>
      <c r="W202" s="545"/>
      <c r="X202" s="545"/>
      <c r="Y202" s="576"/>
      <c r="Z202" s="576"/>
      <c r="AA202" s="545"/>
      <c r="AB202" s="545"/>
      <c r="AC202" s="545"/>
      <c r="AD202" s="576"/>
      <c r="AE202" s="576"/>
      <c r="AF202" s="576"/>
      <c r="AG202" s="576"/>
      <c r="AH202" s="576"/>
      <c r="AI202" s="576"/>
      <c r="AJ202" s="576"/>
      <c r="AK202" s="576"/>
      <c r="AL202" s="576"/>
      <c r="AM202" s="576"/>
      <c r="AN202" s="576"/>
      <c r="AO202" s="576"/>
      <c r="AP202" s="576"/>
      <c r="AQ202" s="576"/>
      <c r="AR202" s="576"/>
      <c r="AS202" s="576"/>
      <c r="AT202" s="576"/>
      <c r="AU202" s="576"/>
      <c r="AV202" s="576"/>
      <c r="AW202" s="576"/>
      <c r="AX202" s="576"/>
      <c r="AY202" s="576"/>
      <c r="AZ202" s="576"/>
      <c r="BA202" s="576"/>
      <c r="BB202" s="576"/>
      <c r="BC202" s="576"/>
      <c r="BD202" s="572"/>
      <c r="BE202" s="544"/>
      <c r="BF202" s="544"/>
      <c r="BG202" s="544"/>
      <c r="BH202" s="545"/>
      <c r="BI202" s="545"/>
      <c r="BJ202" s="545"/>
      <c r="BK202" s="545"/>
      <c r="BL202" s="545"/>
      <c r="BM202" s="545"/>
      <c r="BN202" s="545"/>
      <c r="BO202" s="545"/>
      <c r="BP202" s="545"/>
      <c r="BQ202" s="545"/>
      <c r="BR202" s="545"/>
      <c r="BS202" s="545"/>
      <c r="BT202" s="545"/>
    </row>
    <row r="203" spans="1:72" ht="15.75">
      <c r="A203" s="545"/>
      <c r="B203" s="545"/>
      <c r="C203" s="545"/>
      <c r="D203" s="545"/>
      <c r="E203" s="545"/>
      <c r="F203" s="545"/>
      <c r="G203" s="545"/>
      <c r="H203" s="545"/>
      <c r="I203" s="545"/>
      <c r="J203" s="545"/>
      <c r="K203" s="545"/>
      <c r="L203" s="545"/>
      <c r="M203" s="545"/>
      <c r="N203" s="545"/>
      <c r="O203" s="545"/>
      <c r="P203" s="545"/>
      <c r="Q203" s="545"/>
      <c r="R203" s="545"/>
      <c r="S203" s="576"/>
      <c r="T203" s="576"/>
      <c r="U203" s="576"/>
      <c r="V203" s="576"/>
      <c r="W203" s="545"/>
      <c r="X203" s="545"/>
      <c r="Y203" s="576"/>
      <c r="Z203" s="576"/>
      <c r="AA203" s="545"/>
      <c r="AB203" s="545"/>
      <c r="AC203" s="545"/>
      <c r="AD203" s="576"/>
      <c r="AE203" s="576"/>
      <c r="AF203" s="576"/>
      <c r="AG203" s="576"/>
      <c r="AH203" s="576"/>
      <c r="AI203" s="576"/>
      <c r="AJ203" s="576"/>
      <c r="AK203" s="576"/>
      <c r="AL203" s="576"/>
      <c r="AM203" s="576"/>
      <c r="AN203" s="576"/>
      <c r="AO203" s="576"/>
      <c r="AP203" s="576"/>
      <c r="AQ203" s="576"/>
      <c r="AR203" s="576"/>
      <c r="AS203" s="576"/>
      <c r="AT203" s="576"/>
      <c r="AU203" s="576"/>
      <c r="AV203" s="576"/>
      <c r="AW203" s="576"/>
      <c r="AX203" s="576"/>
      <c r="AY203" s="576"/>
      <c r="AZ203" s="576"/>
      <c r="BA203" s="576"/>
      <c r="BB203" s="576"/>
      <c r="BC203" s="576"/>
      <c r="BD203" s="572"/>
      <c r="BE203" s="544"/>
      <c r="BF203" s="544"/>
      <c r="BG203" s="544"/>
      <c r="BH203" s="545"/>
      <c r="BI203" s="545"/>
      <c r="BJ203" s="545"/>
      <c r="BK203" s="545"/>
      <c r="BL203" s="545"/>
      <c r="BM203" s="545"/>
      <c r="BN203" s="545"/>
      <c r="BO203" s="545"/>
      <c r="BP203" s="545"/>
      <c r="BQ203" s="545"/>
      <c r="BR203" s="545"/>
      <c r="BS203" s="545"/>
      <c r="BT203" s="545"/>
    </row>
    <row r="204" spans="1:72" ht="15.75">
      <c r="A204" s="545"/>
      <c r="B204" s="545"/>
      <c r="C204" s="545"/>
      <c r="D204" s="545"/>
      <c r="E204" s="545"/>
      <c r="F204" s="545"/>
      <c r="G204" s="545"/>
      <c r="H204" s="545"/>
      <c r="I204" s="545"/>
      <c r="J204" s="545"/>
      <c r="K204" s="545"/>
      <c r="L204" s="545"/>
      <c r="M204" s="545"/>
      <c r="N204" s="545"/>
      <c r="O204" s="545"/>
      <c r="P204" s="545"/>
      <c r="Q204" s="545"/>
      <c r="R204" s="545"/>
      <c r="S204" s="576"/>
      <c r="T204" s="576"/>
      <c r="U204" s="576"/>
      <c r="V204" s="576"/>
      <c r="W204" s="545"/>
      <c r="X204" s="545"/>
      <c r="Y204" s="576"/>
      <c r="Z204" s="576"/>
      <c r="AA204" s="545"/>
      <c r="AB204" s="545"/>
      <c r="AC204" s="545"/>
      <c r="AD204" s="576"/>
      <c r="AE204" s="576"/>
      <c r="AF204" s="576"/>
      <c r="AG204" s="576"/>
      <c r="AH204" s="576"/>
      <c r="AI204" s="576"/>
      <c r="AJ204" s="576"/>
      <c r="AK204" s="576"/>
      <c r="AL204" s="576"/>
      <c r="AM204" s="576"/>
      <c r="AN204" s="576"/>
      <c r="AO204" s="576"/>
      <c r="AP204" s="576"/>
      <c r="AQ204" s="576"/>
      <c r="AR204" s="576"/>
      <c r="AS204" s="576"/>
      <c r="AT204" s="576"/>
      <c r="AU204" s="576"/>
      <c r="AV204" s="576"/>
      <c r="AW204" s="576"/>
      <c r="AX204" s="576"/>
      <c r="AY204" s="576"/>
      <c r="AZ204" s="576"/>
      <c r="BA204" s="576"/>
      <c r="BB204" s="576"/>
      <c r="BC204" s="576"/>
      <c r="BD204" s="572"/>
      <c r="BE204" s="544"/>
      <c r="BF204" s="544"/>
      <c r="BG204" s="544"/>
      <c r="BH204" s="545"/>
      <c r="BI204" s="545"/>
      <c r="BJ204" s="545"/>
      <c r="BK204" s="545"/>
      <c r="BL204" s="545"/>
      <c r="BM204" s="545"/>
      <c r="BN204" s="545"/>
      <c r="BO204" s="545"/>
      <c r="BP204" s="545"/>
      <c r="BQ204" s="545"/>
      <c r="BR204" s="545"/>
      <c r="BS204" s="545"/>
      <c r="BT204" s="545"/>
    </row>
    <row r="205" spans="1:72" ht="15.75">
      <c r="A205" s="545"/>
      <c r="B205" s="545"/>
      <c r="C205" s="545"/>
      <c r="D205" s="545"/>
      <c r="E205" s="545"/>
      <c r="F205" s="545"/>
      <c r="G205" s="545"/>
      <c r="H205" s="545"/>
      <c r="I205" s="545"/>
      <c r="J205" s="545"/>
      <c r="K205" s="545"/>
      <c r="L205" s="545"/>
      <c r="M205" s="545"/>
      <c r="N205" s="545"/>
      <c r="O205" s="545"/>
      <c r="P205" s="545"/>
      <c r="Q205" s="545"/>
      <c r="R205" s="545"/>
      <c r="S205" s="576"/>
      <c r="T205" s="576"/>
      <c r="U205" s="576"/>
      <c r="V205" s="576"/>
      <c r="W205" s="545"/>
      <c r="X205" s="545"/>
      <c r="Y205" s="576"/>
      <c r="Z205" s="576"/>
      <c r="AA205" s="545"/>
      <c r="AB205" s="545"/>
      <c r="AC205" s="545"/>
      <c r="AD205" s="576"/>
      <c r="AE205" s="576"/>
      <c r="AF205" s="576"/>
      <c r="AG205" s="576"/>
      <c r="AH205" s="576"/>
      <c r="AI205" s="576"/>
      <c r="AJ205" s="576"/>
      <c r="AK205" s="576"/>
      <c r="AL205" s="576"/>
      <c r="AM205" s="576"/>
      <c r="AN205" s="576"/>
      <c r="AO205" s="576"/>
      <c r="AP205" s="576"/>
      <c r="AQ205" s="576"/>
      <c r="AR205" s="576"/>
      <c r="AS205" s="576"/>
      <c r="AT205" s="576"/>
      <c r="AU205" s="576"/>
      <c r="AV205" s="576"/>
      <c r="AW205" s="576"/>
      <c r="AX205" s="576"/>
      <c r="AY205" s="576"/>
      <c r="AZ205" s="576"/>
      <c r="BA205" s="576"/>
      <c r="BB205" s="576"/>
      <c r="BC205" s="576"/>
      <c r="BD205" s="572"/>
      <c r="BE205" s="544"/>
      <c r="BF205" s="544"/>
      <c r="BG205" s="544"/>
      <c r="BH205" s="545"/>
      <c r="BI205" s="545"/>
      <c r="BJ205" s="545"/>
      <c r="BK205" s="545"/>
      <c r="BL205" s="545"/>
      <c r="BM205" s="545"/>
      <c r="BN205" s="545"/>
      <c r="BO205" s="545"/>
      <c r="BP205" s="545"/>
      <c r="BQ205" s="545"/>
      <c r="BR205" s="545"/>
      <c r="BS205" s="545"/>
      <c r="BT205" s="545"/>
    </row>
    <row r="206" spans="1:72" ht="15.75">
      <c r="A206" s="545"/>
      <c r="B206" s="545"/>
      <c r="C206" s="545"/>
      <c r="D206" s="545"/>
      <c r="E206" s="545"/>
      <c r="F206" s="545"/>
      <c r="G206" s="545"/>
      <c r="H206" s="545"/>
      <c r="I206" s="545"/>
      <c r="J206" s="545"/>
      <c r="K206" s="545"/>
      <c r="L206" s="545"/>
      <c r="M206" s="545"/>
      <c r="N206" s="545"/>
      <c r="O206" s="545"/>
      <c r="P206" s="545"/>
      <c r="Q206" s="545"/>
      <c r="R206" s="545"/>
      <c r="S206" s="576"/>
      <c r="T206" s="576"/>
      <c r="U206" s="576"/>
      <c r="V206" s="576"/>
      <c r="W206" s="545"/>
      <c r="X206" s="545"/>
      <c r="Y206" s="576"/>
      <c r="Z206" s="576"/>
      <c r="AA206" s="545"/>
      <c r="AB206" s="545"/>
      <c r="AC206" s="545"/>
      <c r="AD206" s="576"/>
      <c r="AE206" s="576"/>
      <c r="AF206" s="576"/>
      <c r="AG206" s="576"/>
      <c r="AH206" s="576"/>
      <c r="AI206" s="576"/>
      <c r="AJ206" s="576"/>
      <c r="AK206" s="576"/>
      <c r="AL206" s="576"/>
      <c r="AM206" s="576"/>
      <c r="AN206" s="576"/>
      <c r="AO206" s="576"/>
      <c r="AP206" s="576"/>
      <c r="AQ206" s="576"/>
      <c r="AR206" s="576"/>
      <c r="AS206" s="576"/>
      <c r="AT206" s="576"/>
      <c r="AU206" s="576"/>
      <c r="AV206" s="576"/>
      <c r="AW206" s="576"/>
      <c r="AX206" s="576"/>
      <c r="AY206" s="576"/>
      <c r="AZ206" s="576"/>
      <c r="BA206" s="576"/>
      <c r="BB206" s="576"/>
      <c r="BC206" s="576"/>
      <c r="BD206" s="572"/>
      <c r="BE206" s="544"/>
      <c r="BF206" s="544"/>
      <c r="BG206" s="544"/>
      <c r="BH206" s="545"/>
      <c r="BI206" s="545"/>
      <c r="BJ206" s="545"/>
      <c r="BK206" s="545"/>
      <c r="BL206" s="545"/>
      <c r="BM206" s="545"/>
      <c r="BN206" s="545"/>
      <c r="BO206" s="545"/>
      <c r="BP206" s="545"/>
      <c r="BQ206" s="545"/>
      <c r="BR206" s="545"/>
      <c r="BS206" s="545"/>
      <c r="BT206" s="545"/>
    </row>
    <row r="207" spans="1:72" ht="15.75">
      <c r="A207" s="545"/>
      <c r="B207" s="545"/>
      <c r="C207" s="545"/>
      <c r="D207" s="545"/>
      <c r="E207" s="545"/>
      <c r="F207" s="545"/>
      <c r="G207" s="545"/>
      <c r="H207" s="545"/>
      <c r="I207" s="545"/>
      <c r="J207" s="545"/>
      <c r="K207" s="545"/>
      <c r="L207" s="545"/>
      <c r="M207" s="545"/>
      <c r="N207" s="545"/>
      <c r="O207" s="545"/>
      <c r="P207" s="545"/>
      <c r="Q207" s="545"/>
      <c r="R207" s="545"/>
      <c r="S207" s="576"/>
      <c r="T207" s="576"/>
      <c r="U207" s="576"/>
      <c r="V207" s="576"/>
      <c r="W207" s="545"/>
      <c r="X207" s="545"/>
      <c r="Y207" s="576"/>
      <c r="Z207" s="576"/>
      <c r="AA207" s="545"/>
      <c r="AB207" s="545"/>
      <c r="AC207" s="545"/>
      <c r="AD207" s="576"/>
      <c r="AE207" s="576"/>
      <c r="AF207" s="576"/>
      <c r="AG207" s="576"/>
      <c r="AH207" s="576"/>
      <c r="AI207" s="576"/>
      <c r="AJ207" s="576"/>
      <c r="AK207" s="576"/>
      <c r="AL207" s="576"/>
      <c r="AM207" s="576"/>
      <c r="AN207" s="576"/>
      <c r="AO207" s="576"/>
      <c r="AP207" s="576"/>
      <c r="AQ207" s="576"/>
      <c r="AR207" s="576"/>
      <c r="AS207" s="576"/>
      <c r="AT207" s="576"/>
      <c r="AU207" s="576"/>
      <c r="AV207" s="576"/>
      <c r="AW207" s="576"/>
      <c r="AX207" s="576"/>
      <c r="AY207" s="576"/>
      <c r="AZ207" s="576"/>
      <c r="BA207" s="576"/>
      <c r="BB207" s="576"/>
      <c r="BC207" s="576"/>
      <c r="BD207" s="572"/>
      <c r="BE207" s="544"/>
      <c r="BF207" s="544"/>
      <c r="BG207" s="544"/>
      <c r="BH207" s="545"/>
      <c r="BI207" s="545"/>
      <c r="BJ207" s="545"/>
      <c r="BK207" s="545"/>
      <c r="BL207" s="545"/>
      <c r="BM207" s="545"/>
      <c r="BN207" s="545"/>
      <c r="BO207" s="545"/>
      <c r="BP207" s="545"/>
      <c r="BQ207" s="545"/>
      <c r="BR207" s="545"/>
      <c r="BS207" s="545"/>
      <c r="BT207" s="545"/>
    </row>
    <row r="208" spans="1:72" ht="15.75">
      <c r="A208" s="545"/>
      <c r="B208" s="545"/>
      <c r="C208" s="545"/>
      <c r="D208" s="545"/>
      <c r="E208" s="545"/>
      <c r="F208" s="545"/>
      <c r="G208" s="545"/>
      <c r="H208" s="545"/>
      <c r="I208" s="545"/>
      <c r="J208" s="545"/>
      <c r="K208" s="545"/>
      <c r="L208" s="545"/>
      <c r="M208" s="545"/>
      <c r="N208" s="545"/>
      <c r="O208" s="545"/>
      <c r="P208" s="545"/>
      <c r="Q208" s="545"/>
      <c r="R208" s="545"/>
      <c r="S208" s="576"/>
      <c r="T208" s="576"/>
      <c r="U208" s="576"/>
      <c r="V208" s="576"/>
      <c r="W208" s="545"/>
      <c r="X208" s="545"/>
      <c r="Y208" s="576"/>
      <c r="Z208" s="576"/>
      <c r="AA208" s="545"/>
      <c r="AB208" s="545"/>
      <c r="AC208" s="545"/>
      <c r="AD208" s="576"/>
      <c r="AE208" s="576"/>
      <c r="AF208" s="576"/>
      <c r="AG208" s="576"/>
      <c r="AH208" s="576"/>
      <c r="AI208" s="576"/>
      <c r="AJ208" s="576"/>
      <c r="AK208" s="576"/>
      <c r="AL208" s="576"/>
      <c r="AM208" s="576"/>
      <c r="AN208" s="576"/>
      <c r="AO208" s="576"/>
      <c r="AP208" s="576"/>
      <c r="AQ208" s="576"/>
      <c r="AR208" s="576"/>
      <c r="AS208" s="576"/>
      <c r="AT208" s="576"/>
      <c r="AU208" s="576"/>
      <c r="AV208" s="576"/>
      <c r="AW208" s="576"/>
      <c r="AX208" s="576"/>
      <c r="AY208" s="576"/>
      <c r="AZ208" s="576"/>
      <c r="BA208" s="576"/>
      <c r="BB208" s="576"/>
      <c r="BC208" s="576"/>
      <c r="BD208" s="572"/>
      <c r="BE208" s="544"/>
      <c r="BF208" s="544"/>
      <c r="BG208" s="544"/>
      <c r="BH208" s="545"/>
      <c r="BI208" s="545"/>
      <c r="BJ208" s="545"/>
      <c r="BK208" s="545"/>
      <c r="BL208" s="545"/>
      <c r="BM208" s="545"/>
      <c r="BN208" s="545"/>
      <c r="BO208" s="545"/>
      <c r="BP208" s="545"/>
      <c r="BQ208" s="545"/>
      <c r="BR208" s="545"/>
      <c r="BS208" s="545"/>
      <c r="BT208" s="545"/>
    </row>
    <row r="209" spans="1:72" ht="15.75">
      <c r="A209" s="545"/>
      <c r="B209" s="545"/>
      <c r="C209" s="545"/>
      <c r="D209" s="545"/>
      <c r="E209" s="545"/>
      <c r="F209" s="545"/>
      <c r="G209" s="545"/>
      <c r="H209" s="545"/>
      <c r="I209" s="545"/>
      <c r="J209" s="545"/>
      <c r="K209" s="545"/>
      <c r="L209" s="545"/>
      <c r="M209" s="545"/>
      <c r="N209" s="545"/>
      <c r="O209" s="545"/>
      <c r="P209" s="545"/>
      <c r="Q209" s="545"/>
      <c r="R209" s="545"/>
      <c r="S209" s="576"/>
      <c r="T209" s="576"/>
      <c r="U209" s="576"/>
      <c r="V209" s="576"/>
      <c r="W209" s="545"/>
      <c r="X209" s="545"/>
      <c r="Y209" s="576"/>
      <c r="Z209" s="576"/>
      <c r="AA209" s="545"/>
      <c r="AB209" s="545"/>
      <c r="AC209" s="545"/>
      <c r="AD209" s="576"/>
      <c r="AE209" s="576"/>
      <c r="AF209" s="576"/>
      <c r="AG209" s="576"/>
      <c r="AH209" s="576"/>
      <c r="AI209" s="576"/>
      <c r="AJ209" s="576"/>
      <c r="AK209" s="576"/>
      <c r="AL209" s="576"/>
      <c r="AM209" s="576"/>
      <c r="AN209" s="576"/>
      <c r="AO209" s="576"/>
      <c r="AP209" s="576"/>
      <c r="AQ209" s="576"/>
      <c r="AR209" s="576"/>
      <c r="AS209" s="576"/>
      <c r="AT209" s="576"/>
      <c r="AU209" s="576"/>
      <c r="AV209" s="576"/>
      <c r="AW209" s="576"/>
      <c r="AX209" s="576"/>
      <c r="AY209" s="576"/>
      <c r="AZ209" s="576"/>
      <c r="BA209" s="576"/>
      <c r="BB209" s="576"/>
      <c r="BC209" s="576"/>
      <c r="BD209" s="572"/>
      <c r="BE209" s="544"/>
      <c r="BF209" s="544"/>
      <c r="BG209" s="544"/>
      <c r="BH209" s="545"/>
      <c r="BI209" s="545"/>
      <c r="BJ209" s="545"/>
      <c r="BK209" s="545"/>
      <c r="BL209" s="545"/>
      <c r="BM209" s="545"/>
      <c r="BN209" s="545"/>
      <c r="BO209" s="545"/>
      <c r="BP209" s="545"/>
      <c r="BQ209" s="545"/>
      <c r="BR209" s="545"/>
      <c r="BS209" s="545"/>
      <c r="BT209" s="545"/>
    </row>
    <row r="210" spans="1:72" ht="15.75">
      <c r="A210" s="545"/>
      <c r="B210" s="545"/>
      <c r="C210" s="545"/>
      <c r="D210" s="545"/>
      <c r="E210" s="545"/>
      <c r="F210" s="545"/>
      <c r="G210" s="545"/>
      <c r="H210" s="545"/>
      <c r="I210" s="545"/>
      <c r="J210" s="545"/>
      <c r="K210" s="545"/>
      <c r="L210" s="545"/>
      <c r="M210" s="545"/>
      <c r="N210" s="545"/>
      <c r="O210" s="545"/>
      <c r="P210" s="545"/>
      <c r="Q210" s="545"/>
      <c r="R210" s="545"/>
      <c r="S210" s="576"/>
      <c r="T210" s="576"/>
      <c r="U210" s="576"/>
      <c r="V210" s="576"/>
      <c r="W210" s="545"/>
      <c r="X210" s="545"/>
      <c r="Y210" s="576"/>
      <c r="Z210" s="576"/>
      <c r="AA210" s="545"/>
      <c r="AB210" s="545"/>
      <c r="AC210" s="545"/>
      <c r="AD210" s="576"/>
      <c r="AE210" s="576"/>
      <c r="AF210" s="576"/>
      <c r="AG210" s="576"/>
      <c r="AH210" s="576"/>
      <c r="AI210" s="576"/>
      <c r="AJ210" s="576"/>
      <c r="AK210" s="576"/>
      <c r="AL210" s="576"/>
      <c r="AM210" s="576"/>
      <c r="AN210" s="576"/>
      <c r="AO210" s="576"/>
      <c r="AP210" s="576"/>
      <c r="AQ210" s="576"/>
      <c r="AR210" s="576"/>
      <c r="AS210" s="576"/>
      <c r="AT210" s="576"/>
      <c r="AU210" s="576"/>
      <c r="AV210" s="576"/>
      <c r="AW210" s="576"/>
      <c r="AX210" s="576"/>
      <c r="AY210" s="576"/>
      <c r="AZ210" s="576"/>
      <c r="BA210" s="576"/>
      <c r="BB210" s="576"/>
      <c r="BC210" s="576"/>
      <c r="BD210" s="572"/>
      <c r="BE210" s="544"/>
      <c r="BF210" s="544"/>
      <c r="BG210" s="544"/>
      <c r="BH210" s="545"/>
      <c r="BI210" s="545"/>
      <c r="BJ210" s="545"/>
      <c r="BK210" s="545"/>
      <c r="BL210" s="545"/>
      <c r="BM210" s="545"/>
      <c r="BN210" s="545"/>
      <c r="BO210" s="545"/>
      <c r="BP210" s="545"/>
      <c r="BQ210" s="545"/>
      <c r="BR210" s="545"/>
      <c r="BS210" s="545"/>
      <c r="BT210" s="545"/>
    </row>
    <row r="211" spans="1:72" ht="15.75">
      <c r="A211" s="545"/>
      <c r="B211" s="545"/>
      <c r="C211" s="545"/>
      <c r="D211" s="545"/>
      <c r="E211" s="545"/>
      <c r="F211" s="545"/>
      <c r="G211" s="545"/>
      <c r="H211" s="545"/>
      <c r="I211" s="545"/>
      <c r="J211" s="545"/>
      <c r="K211" s="545"/>
      <c r="L211" s="545"/>
      <c r="M211" s="545"/>
      <c r="N211" s="545"/>
      <c r="O211" s="545"/>
      <c r="P211" s="545"/>
      <c r="Q211" s="545"/>
      <c r="R211" s="545"/>
      <c r="S211" s="576"/>
      <c r="T211" s="576"/>
      <c r="U211" s="576"/>
      <c r="V211" s="576"/>
      <c r="W211" s="545"/>
      <c r="X211" s="545"/>
      <c r="Y211" s="576"/>
      <c r="Z211" s="576"/>
      <c r="AA211" s="545"/>
      <c r="AB211" s="545"/>
      <c r="AC211" s="545"/>
      <c r="AD211" s="576"/>
      <c r="AE211" s="576"/>
      <c r="AF211" s="576"/>
      <c r="AG211" s="576"/>
      <c r="AH211" s="576"/>
      <c r="AI211" s="576"/>
      <c r="AJ211" s="576"/>
      <c r="AK211" s="576"/>
      <c r="AL211" s="576"/>
      <c r="AM211" s="576"/>
      <c r="AN211" s="576"/>
      <c r="AO211" s="576"/>
      <c r="AP211" s="576"/>
      <c r="AQ211" s="576"/>
      <c r="AR211" s="576"/>
      <c r="AS211" s="576"/>
      <c r="AT211" s="576"/>
      <c r="AU211" s="576"/>
      <c r="AV211" s="576"/>
      <c r="AW211" s="576"/>
      <c r="AX211" s="576"/>
      <c r="AY211" s="576"/>
      <c r="AZ211" s="576"/>
      <c r="BA211" s="576"/>
      <c r="BB211" s="576"/>
      <c r="BC211" s="576"/>
      <c r="BD211" s="572"/>
      <c r="BE211" s="544"/>
      <c r="BF211" s="544"/>
      <c r="BG211" s="544"/>
      <c r="BH211" s="545"/>
      <c r="BI211" s="545"/>
      <c r="BJ211" s="545"/>
      <c r="BK211" s="545"/>
      <c r="BL211" s="545"/>
      <c r="BM211" s="545"/>
      <c r="BN211" s="545"/>
      <c r="BO211" s="545"/>
      <c r="BP211" s="545"/>
      <c r="BQ211" s="545"/>
      <c r="BR211" s="545"/>
      <c r="BS211" s="545"/>
      <c r="BT211" s="545"/>
    </row>
    <row r="212" spans="1:72" ht="15.75">
      <c r="A212" s="545"/>
      <c r="B212" s="545"/>
      <c r="C212" s="545"/>
      <c r="D212" s="545"/>
      <c r="E212" s="545"/>
      <c r="F212" s="545"/>
      <c r="G212" s="545"/>
      <c r="H212" s="545"/>
      <c r="I212" s="545"/>
      <c r="J212" s="545"/>
      <c r="K212" s="545"/>
      <c r="L212" s="545"/>
      <c r="M212" s="545"/>
      <c r="N212" s="545"/>
      <c r="O212" s="545"/>
      <c r="P212" s="545"/>
      <c r="Q212" s="545"/>
      <c r="R212" s="545"/>
      <c r="S212" s="576"/>
      <c r="T212" s="576"/>
      <c r="U212" s="576"/>
      <c r="V212" s="576"/>
      <c r="W212" s="545"/>
      <c r="X212" s="545"/>
      <c r="Y212" s="576"/>
      <c r="Z212" s="576"/>
      <c r="AA212" s="545"/>
      <c r="AB212" s="545"/>
      <c r="AC212" s="545"/>
      <c r="AD212" s="576"/>
      <c r="AE212" s="576"/>
      <c r="AF212" s="576"/>
      <c r="AG212" s="576"/>
      <c r="AH212" s="576"/>
      <c r="AI212" s="576"/>
      <c r="AJ212" s="576"/>
      <c r="AK212" s="576"/>
      <c r="AL212" s="576"/>
      <c r="AM212" s="576"/>
      <c r="AN212" s="576"/>
      <c r="AO212" s="576"/>
      <c r="AP212" s="576"/>
      <c r="AQ212" s="576"/>
      <c r="AR212" s="576"/>
      <c r="AS212" s="576"/>
      <c r="AT212" s="576"/>
      <c r="AU212" s="576"/>
      <c r="AV212" s="576"/>
      <c r="AW212" s="576"/>
      <c r="AX212" s="576"/>
      <c r="AY212" s="576"/>
      <c r="AZ212" s="576"/>
      <c r="BA212" s="576"/>
      <c r="BB212" s="576"/>
      <c r="BC212" s="576"/>
      <c r="BD212" s="572"/>
      <c r="BE212" s="544"/>
      <c r="BF212" s="544"/>
      <c r="BG212" s="544"/>
      <c r="BH212" s="545"/>
      <c r="BI212" s="545"/>
      <c r="BJ212" s="545"/>
      <c r="BK212" s="545"/>
      <c r="BL212" s="545"/>
      <c r="BM212" s="545"/>
      <c r="BN212" s="545"/>
      <c r="BO212" s="545"/>
      <c r="BP212" s="545"/>
      <c r="BQ212" s="545"/>
      <c r="BR212" s="545"/>
      <c r="BS212" s="545"/>
      <c r="BT212" s="545"/>
    </row>
    <row r="213" spans="1:72" ht="15.75">
      <c r="A213" s="545"/>
      <c r="B213" s="545"/>
      <c r="C213" s="545"/>
      <c r="D213" s="545"/>
      <c r="E213" s="545"/>
      <c r="F213" s="545"/>
      <c r="G213" s="545"/>
      <c r="H213" s="545"/>
      <c r="I213" s="545"/>
      <c r="J213" s="545"/>
      <c r="K213" s="545"/>
      <c r="L213" s="545"/>
      <c r="M213" s="545"/>
      <c r="N213" s="545"/>
      <c r="O213" s="545"/>
      <c r="P213" s="545"/>
      <c r="Q213" s="545"/>
      <c r="R213" s="545"/>
      <c r="S213" s="576"/>
      <c r="T213" s="576"/>
      <c r="U213" s="576"/>
      <c r="V213" s="576"/>
      <c r="W213" s="545"/>
      <c r="X213" s="545"/>
      <c r="Y213" s="576"/>
      <c r="Z213" s="576"/>
      <c r="AA213" s="545"/>
      <c r="AB213" s="545"/>
      <c r="AC213" s="545"/>
      <c r="AD213" s="576"/>
      <c r="AE213" s="576"/>
      <c r="AF213" s="576"/>
      <c r="AG213" s="576"/>
      <c r="AH213" s="576"/>
      <c r="AI213" s="576"/>
      <c r="AJ213" s="576"/>
      <c r="AK213" s="576"/>
      <c r="AL213" s="576"/>
      <c r="AM213" s="576"/>
      <c r="AN213" s="576"/>
      <c r="AO213" s="576"/>
      <c r="AP213" s="576"/>
      <c r="AQ213" s="576"/>
      <c r="AR213" s="576"/>
      <c r="AS213" s="576"/>
      <c r="AT213" s="576"/>
      <c r="AU213" s="576"/>
      <c r="AV213" s="576"/>
      <c r="AW213" s="576"/>
      <c r="AX213" s="576"/>
      <c r="AY213" s="576"/>
      <c r="AZ213" s="576"/>
      <c r="BA213" s="576"/>
      <c r="BB213" s="576"/>
      <c r="BC213" s="576"/>
      <c r="BD213" s="572"/>
      <c r="BE213" s="544"/>
      <c r="BF213" s="544"/>
      <c r="BG213" s="544"/>
      <c r="BH213" s="545"/>
      <c r="BI213" s="545"/>
      <c r="BJ213" s="545"/>
      <c r="BK213" s="545"/>
      <c r="BL213" s="545"/>
      <c r="BM213" s="545"/>
      <c r="BN213" s="545"/>
      <c r="BO213" s="545"/>
      <c r="BP213" s="545"/>
      <c r="BQ213" s="545"/>
      <c r="BR213" s="545"/>
      <c r="BS213" s="545"/>
      <c r="BT213" s="545"/>
    </row>
    <row r="214" spans="1:72" ht="15.75">
      <c r="A214" s="545"/>
      <c r="B214" s="545"/>
      <c r="C214" s="545"/>
      <c r="D214" s="545"/>
      <c r="E214" s="545"/>
      <c r="F214" s="545"/>
      <c r="G214" s="545"/>
      <c r="H214" s="545"/>
      <c r="I214" s="545"/>
      <c r="J214" s="545"/>
      <c r="K214" s="545"/>
      <c r="L214" s="545"/>
      <c r="M214" s="545"/>
      <c r="N214" s="545"/>
      <c r="O214" s="545"/>
      <c r="P214" s="545"/>
      <c r="Q214" s="545"/>
      <c r="R214" s="545"/>
      <c r="S214" s="576"/>
      <c r="T214" s="576"/>
      <c r="U214" s="576"/>
      <c r="V214" s="576"/>
      <c r="W214" s="545"/>
      <c r="X214" s="545"/>
      <c r="Y214" s="576"/>
      <c r="Z214" s="576"/>
      <c r="AA214" s="545"/>
      <c r="AB214" s="545"/>
      <c r="AC214" s="545"/>
      <c r="AD214" s="576"/>
      <c r="AE214" s="576"/>
      <c r="AF214" s="576"/>
      <c r="AG214" s="576"/>
      <c r="AH214" s="576"/>
      <c r="AI214" s="576"/>
      <c r="AJ214" s="576"/>
      <c r="AK214" s="576"/>
      <c r="AL214" s="576"/>
      <c r="AM214" s="576"/>
      <c r="AN214" s="576"/>
      <c r="AO214" s="576"/>
      <c r="AP214" s="576"/>
      <c r="AQ214" s="576"/>
      <c r="AR214" s="576"/>
      <c r="AS214" s="576"/>
      <c r="AT214" s="576"/>
      <c r="AU214" s="576"/>
      <c r="AV214" s="576"/>
      <c r="AW214" s="576"/>
      <c r="AX214" s="576"/>
      <c r="AY214" s="576"/>
      <c r="AZ214" s="576"/>
      <c r="BA214" s="576"/>
      <c r="BB214" s="576"/>
      <c r="BC214" s="576"/>
      <c r="BD214" s="572"/>
      <c r="BE214" s="544"/>
      <c r="BF214" s="544"/>
      <c r="BG214" s="544"/>
      <c r="BH214" s="545"/>
      <c r="BI214" s="545"/>
      <c r="BJ214" s="545"/>
      <c r="BK214" s="545"/>
      <c r="BL214" s="545"/>
      <c r="BM214" s="545"/>
      <c r="BN214" s="545"/>
      <c r="BO214" s="545"/>
      <c r="BP214" s="545"/>
      <c r="BQ214" s="545"/>
      <c r="BR214" s="545"/>
      <c r="BS214" s="545"/>
      <c r="BT214" s="545"/>
    </row>
    <row r="215" spans="1:72" ht="15.75">
      <c r="A215" s="545"/>
      <c r="B215" s="545"/>
      <c r="C215" s="545"/>
      <c r="D215" s="545"/>
      <c r="E215" s="545"/>
      <c r="F215" s="545"/>
      <c r="G215" s="545"/>
      <c r="H215" s="545"/>
      <c r="I215" s="545"/>
      <c r="J215" s="545"/>
      <c r="K215" s="545"/>
      <c r="L215" s="545"/>
      <c r="M215" s="545"/>
      <c r="N215" s="545"/>
      <c r="O215" s="545"/>
      <c r="P215" s="545"/>
      <c r="Q215" s="545"/>
      <c r="R215" s="545"/>
      <c r="S215" s="576"/>
      <c r="T215" s="576"/>
      <c r="U215" s="576"/>
      <c r="V215" s="576"/>
      <c r="W215" s="545"/>
      <c r="X215" s="545"/>
      <c r="Y215" s="576"/>
      <c r="Z215" s="576"/>
      <c r="AA215" s="545"/>
      <c r="AB215" s="545"/>
      <c r="AC215" s="545"/>
      <c r="AD215" s="576"/>
      <c r="AE215" s="576"/>
      <c r="AF215" s="576"/>
      <c r="AG215" s="576"/>
      <c r="AH215" s="576"/>
      <c r="AI215" s="576"/>
      <c r="AJ215" s="576"/>
      <c r="AK215" s="576"/>
      <c r="AL215" s="576"/>
      <c r="AM215" s="576"/>
      <c r="AN215" s="576"/>
      <c r="AO215" s="576"/>
      <c r="AP215" s="576"/>
      <c r="AQ215" s="576"/>
      <c r="AR215" s="576"/>
      <c r="AS215" s="576"/>
      <c r="AT215" s="576"/>
      <c r="AU215" s="576"/>
      <c r="AV215" s="576"/>
      <c r="AW215" s="576"/>
      <c r="AX215" s="576"/>
      <c r="AY215" s="576"/>
      <c r="AZ215" s="576"/>
      <c r="BA215" s="576"/>
      <c r="BB215" s="576"/>
      <c r="BC215" s="576"/>
      <c r="BD215" s="572"/>
      <c r="BE215" s="544"/>
      <c r="BF215" s="544"/>
      <c r="BG215" s="544"/>
      <c r="BH215" s="545"/>
      <c r="BI215" s="545"/>
      <c r="BJ215" s="545"/>
      <c r="BK215" s="545"/>
      <c r="BL215" s="545"/>
      <c r="BM215" s="545"/>
      <c r="BN215" s="545"/>
      <c r="BO215" s="545"/>
      <c r="BP215" s="545"/>
      <c r="BQ215" s="545"/>
      <c r="BR215" s="545"/>
      <c r="BS215" s="545"/>
      <c r="BT215" s="545"/>
    </row>
    <row r="216" spans="1:72" ht="15.75">
      <c r="A216" s="545"/>
      <c r="B216" s="545"/>
      <c r="C216" s="545"/>
      <c r="D216" s="545"/>
      <c r="E216" s="545"/>
      <c r="F216" s="545"/>
      <c r="G216" s="545"/>
      <c r="H216" s="545"/>
      <c r="I216" s="545"/>
      <c r="J216" s="545"/>
      <c r="K216" s="545"/>
      <c r="L216" s="545"/>
      <c r="M216" s="545"/>
      <c r="N216" s="545"/>
      <c r="O216" s="545"/>
      <c r="P216" s="545"/>
      <c r="Q216" s="545"/>
      <c r="R216" s="545"/>
      <c r="S216" s="576"/>
      <c r="T216" s="576"/>
      <c r="U216" s="576"/>
      <c r="V216" s="576"/>
      <c r="W216" s="545"/>
      <c r="X216" s="545"/>
      <c r="Y216" s="576"/>
      <c r="Z216" s="576"/>
      <c r="AA216" s="545"/>
      <c r="AB216" s="545"/>
      <c r="AC216" s="545"/>
      <c r="AD216" s="576"/>
      <c r="AE216" s="576"/>
      <c r="AF216" s="576"/>
      <c r="AG216" s="576"/>
      <c r="AH216" s="576"/>
      <c r="AI216" s="576"/>
      <c r="AJ216" s="576"/>
      <c r="AK216" s="576"/>
      <c r="AL216" s="576"/>
      <c r="AM216" s="576"/>
      <c r="AN216" s="576"/>
      <c r="AO216" s="576"/>
      <c r="AP216" s="576"/>
      <c r="AQ216" s="576"/>
      <c r="AR216" s="576"/>
      <c r="AS216" s="576"/>
      <c r="AT216" s="576"/>
      <c r="AU216" s="576"/>
      <c r="AV216" s="576"/>
      <c r="AW216" s="576"/>
      <c r="AX216" s="576"/>
      <c r="AY216" s="576"/>
      <c r="AZ216" s="576"/>
      <c r="BA216" s="576"/>
      <c r="BB216" s="576"/>
      <c r="BC216" s="576"/>
      <c r="BD216" s="572"/>
      <c r="BE216" s="544"/>
      <c r="BF216" s="544"/>
      <c r="BG216" s="544"/>
      <c r="BH216" s="545"/>
      <c r="BI216" s="545"/>
      <c r="BJ216" s="545"/>
      <c r="BK216" s="545"/>
      <c r="BL216" s="545"/>
      <c r="BM216" s="545"/>
      <c r="BN216" s="545"/>
      <c r="BO216" s="545"/>
      <c r="BP216" s="545"/>
      <c r="BQ216" s="545"/>
      <c r="BR216" s="545"/>
      <c r="BS216" s="545"/>
      <c r="BT216" s="545"/>
    </row>
    <row r="217" spans="1:72" ht="15.75">
      <c r="A217" s="545"/>
      <c r="B217" s="545"/>
      <c r="C217" s="545"/>
      <c r="D217" s="545"/>
      <c r="E217" s="545"/>
      <c r="F217" s="545"/>
      <c r="G217" s="545"/>
      <c r="H217" s="545"/>
      <c r="I217" s="545"/>
      <c r="J217" s="545"/>
      <c r="K217" s="545"/>
      <c r="L217" s="545"/>
      <c r="M217" s="545"/>
      <c r="N217" s="545"/>
      <c r="O217" s="545"/>
      <c r="P217" s="545"/>
      <c r="Q217" s="545"/>
      <c r="R217" s="545"/>
      <c r="S217" s="576"/>
      <c r="T217" s="576"/>
      <c r="U217" s="576"/>
      <c r="V217" s="576"/>
      <c r="W217" s="545"/>
      <c r="X217" s="545"/>
      <c r="Y217" s="576"/>
      <c r="Z217" s="576"/>
      <c r="AA217" s="545"/>
      <c r="AB217" s="545"/>
      <c r="AC217" s="545"/>
      <c r="AD217" s="576"/>
      <c r="AE217" s="576"/>
      <c r="AF217" s="576"/>
      <c r="AG217" s="576"/>
      <c r="AH217" s="576"/>
      <c r="AI217" s="576"/>
      <c r="AJ217" s="576"/>
      <c r="AK217" s="576"/>
      <c r="AL217" s="576"/>
      <c r="AM217" s="576"/>
      <c r="AN217" s="576"/>
      <c r="AO217" s="576"/>
      <c r="AP217" s="576"/>
      <c r="AQ217" s="576"/>
      <c r="AR217" s="576"/>
      <c r="AS217" s="576"/>
      <c r="AT217" s="576"/>
      <c r="AU217" s="576"/>
      <c r="AV217" s="576"/>
      <c r="AW217" s="576"/>
      <c r="AX217" s="576"/>
      <c r="AY217" s="576"/>
      <c r="AZ217" s="576"/>
      <c r="BA217" s="576"/>
      <c r="BB217" s="576"/>
      <c r="BC217" s="576"/>
      <c r="BD217" s="572"/>
      <c r="BE217" s="544"/>
      <c r="BF217" s="544"/>
      <c r="BG217" s="544"/>
      <c r="BH217" s="545"/>
      <c r="BI217" s="545"/>
      <c r="BJ217" s="545"/>
      <c r="BK217" s="545"/>
      <c r="BL217" s="545"/>
      <c r="BM217" s="545"/>
      <c r="BN217" s="545"/>
      <c r="BO217" s="545"/>
      <c r="BP217" s="545"/>
      <c r="BQ217" s="545"/>
      <c r="BR217" s="545"/>
      <c r="BS217" s="545"/>
      <c r="BT217" s="545"/>
    </row>
    <row r="218" spans="1:72" ht="15.75">
      <c r="A218" s="545"/>
      <c r="B218" s="545"/>
      <c r="C218" s="545"/>
      <c r="D218" s="545"/>
      <c r="E218" s="545"/>
      <c r="F218" s="545"/>
      <c r="G218" s="545"/>
      <c r="H218" s="545"/>
      <c r="I218" s="545"/>
      <c r="J218" s="545"/>
      <c r="K218" s="545"/>
      <c r="L218" s="545"/>
      <c r="M218" s="545"/>
      <c r="N218" s="545"/>
      <c r="O218" s="545"/>
      <c r="P218" s="545"/>
      <c r="Q218" s="545"/>
      <c r="R218" s="545"/>
      <c r="S218" s="576"/>
      <c r="T218" s="576"/>
      <c r="U218" s="576"/>
      <c r="V218" s="576"/>
      <c r="W218" s="545"/>
      <c r="X218" s="545"/>
      <c r="Y218" s="576"/>
      <c r="Z218" s="576"/>
      <c r="AA218" s="545"/>
      <c r="AB218" s="545"/>
      <c r="AC218" s="545"/>
      <c r="AD218" s="576"/>
      <c r="AE218" s="576"/>
      <c r="AF218" s="576"/>
      <c r="AG218" s="576"/>
      <c r="AH218" s="576"/>
      <c r="AI218" s="576"/>
      <c r="AJ218" s="576"/>
      <c r="AK218" s="576"/>
      <c r="AL218" s="576"/>
      <c r="AM218" s="576"/>
      <c r="AN218" s="576"/>
      <c r="AO218" s="576"/>
      <c r="AP218" s="576"/>
      <c r="AQ218" s="576"/>
      <c r="AR218" s="576"/>
      <c r="AS218" s="576"/>
      <c r="AT218" s="576"/>
      <c r="AU218" s="576"/>
      <c r="AV218" s="576"/>
      <c r="AW218" s="576"/>
      <c r="AX218" s="576"/>
      <c r="AY218" s="576"/>
      <c r="AZ218" s="576"/>
      <c r="BA218" s="576"/>
      <c r="BB218" s="576"/>
      <c r="BC218" s="576"/>
      <c r="BD218" s="572"/>
      <c r="BE218" s="544"/>
      <c r="BF218" s="544"/>
      <c r="BG218" s="544"/>
      <c r="BH218" s="545"/>
      <c r="BI218" s="545"/>
      <c r="BJ218" s="545"/>
      <c r="BK218" s="545"/>
      <c r="BL218" s="545"/>
      <c r="BM218" s="545"/>
      <c r="BN218" s="545"/>
      <c r="BO218" s="545"/>
      <c r="BP218" s="545"/>
      <c r="BQ218" s="545"/>
      <c r="BR218" s="545"/>
      <c r="BS218" s="545"/>
      <c r="BT218" s="545"/>
    </row>
    <row r="219" spans="1:72" ht="15.75">
      <c r="A219" s="545"/>
      <c r="B219" s="545"/>
      <c r="C219" s="545"/>
      <c r="D219" s="545"/>
      <c r="E219" s="545"/>
      <c r="F219" s="545"/>
      <c r="G219" s="545"/>
      <c r="H219" s="545"/>
      <c r="I219" s="545"/>
      <c r="J219" s="545"/>
      <c r="K219" s="545"/>
      <c r="L219" s="545"/>
      <c r="M219" s="545"/>
      <c r="N219" s="545"/>
      <c r="O219" s="545"/>
      <c r="P219" s="545"/>
      <c r="Q219" s="545"/>
      <c r="R219" s="545"/>
      <c r="S219" s="576"/>
      <c r="T219" s="576"/>
      <c r="U219" s="576"/>
      <c r="V219" s="576"/>
      <c r="W219" s="545"/>
      <c r="X219" s="545"/>
      <c r="Y219" s="576"/>
      <c r="Z219" s="576"/>
      <c r="AA219" s="545"/>
      <c r="AB219" s="545"/>
      <c r="AC219" s="545"/>
      <c r="AD219" s="576"/>
      <c r="AE219" s="576"/>
      <c r="AF219" s="576"/>
      <c r="AG219" s="576"/>
      <c r="AH219" s="576"/>
      <c r="AI219" s="576"/>
      <c r="AJ219" s="576"/>
      <c r="AK219" s="576"/>
      <c r="AL219" s="576"/>
      <c r="AM219" s="576"/>
      <c r="AN219" s="576"/>
      <c r="AO219" s="576"/>
      <c r="AP219" s="576"/>
      <c r="AQ219" s="576"/>
      <c r="AR219" s="576"/>
      <c r="AS219" s="576"/>
      <c r="AT219" s="576"/>
      <c r="AU219" s="576"/>
      <c r="AV219" s="576"/>
      <c r="AW219" s="576"/>
      <c r="AX219" s="576"/>
      <c r="AY219" s="576"/>
      <c r="AZ219" s="576"/>
      <c r="BA219" s="576"/>
      <c r="BB219" s="576"/>
      <c r="BC219" s="576"/>
      <c r="BD219" s="572"/>
      <c r="BE219" s="544"/>
      <c r="BF219" s="544"/>
      <c r="BG219" s="544"/>
      <c r="BH219" s="545"/>
      <c r="BI219" s="545"/>
      <c r="BJ219" s="545"/>
      <c r="BK219" s="545"/>
      <c r="BL219" s="545"/>
      <c r="BM219" s="545"/>
      <c r="BN219" s="545"/>
      <c r="BO219" s="545"/>
      <c r="BP219" s="545"/>
      <c r="BQ219" s="545"/>
      <c r="BR219" s="545"/>
      <c r="BS219" s="545"/>
      <c r="BT219" s="545"/>
    </row>
    <row r="220" spans="1:72" ht="15.75">
      <c r="A220" s="545"/>
      <c r="B220" s="545"/>
      <c r="C220" s="545"/>
      <c r="D220" s="545"/>
      <c r="E220" s="545"/>
      <c r="F220" s="545"/>
      <c r="G220" s="545"/>
      <c r="H220" s="545"/>
      <c r="I220" s="545"/>
      <c r="J220" s="545"/>
      <c r="K220" s="545"/>
      <c r="L220" s="545"/>
      <c r="M220" s="545"/>
      <c r="N220" s="545"/>
      <c r="O220" s="545"/>
      <c r="P220" s="545"/>
      <c r="Q220" s="545"/>
      <c r="R220" s="545"/>
      <c r="S220" s="576"/>
      <c r="T220" s="576"/>
      <c r="U220" s="576"/>
      <c r="V220" s="576"/>
      <c r="W220" s="545"/>
      <c r="X220" s="545"/>
      <c r="Y220" s="576"/>
      <c r="Z220" s="576"/>
      <c r="AA220" s="545"/>
      <c r="AB220" s="545"/>
      <c r="AC220" s="545"/>
      <c r="AD220" s="576"/>
      <c r="AE220" s="576"/>
      <c r="AF220" s="576"/>
      <c r="AG220" s="576"/>
      <c r="AH220" s="576"/>
      <c r="AI220" s="576"/>
      <c r="AJ220" s="576"/>
      <c r="AK220" s="576"/>
      <c r="AL220" s="576"/>
      <c r="AM220" s="576"/>
      <c r="AN220" s="576"/>
      <c r="AO220" s="576"/>
      <c r="AP220" s="576"/>
      <c r="AQ220" s="576"/>
      <c r="AR220" s="576"/>
      <c r="AS220" s="576"/>
      <c r="AT220" s="576"/>
      <c r="AU220" s="576"/>
      <c r="AV220" s="576"/>
      <c r="AW220" s="576"/>
      <c r="AX220" s="576"/>
      <c r="AY220" s="576"/>
      <c r="AZ220" s="576"/>
      <c r="BA220" s="576"/>
      <c r="BB220" s="576"/>
      <c r="BC220" s="576"/>
      <c r="BD220" s="572"/>
      <c r="BE220" s="544"/>
      <c r="BF220" s="544"/>
      <c r="BG220" s="544"/>
      <c r="BH220" s="545"/>
      <c r="BI220" s="545"/>
      <c r="BJ220" s="545"/>
      <c r="BK220" s="545"/>
      <c r="BL220" s="545"/>
      <c r="BM220" s="545"/>
      <c r="BN220" s="545"/>
      <c r="BO220" s="545"/>
      <c r="BP220" s="545"/>
      <c r="BQ220" s="545"/>
      <c r="BR220" s="545"/>
      <c r="BS220" s="545"/>
      <c r="BT220" s="545"/>
    </row>
    <row r="221" spans="1:72" ht="15.75">
      <c r="A221" s="545"/>
      <c r="B221" s="545"/>
      <c r="C221" s="545"/>
      <c r="D221" s="545"/>
      <c r="E221" s="545"/>
      <c r="F221" s="545"/>
      <c r="G221" s="545"/>
      <c r="H221" s="545"/>
      <c r="I221" s="545"/>
      <c r="J221" s="545"/>
      <c r="K221" s="545"/>
      <c r="L221" s="545"/>
      <c r="M221" s="545"/>
      <c r="N221" s="545"/>
      <c r="O221" s="545"/>
      <c r="P221" s="545"/>
      <c r="Q221" s="545"/>
      <c r="R221" s="545"/>
      <c r="S221" s="576"/>
      <c r="T221" s="576"/>
      <c r="U221" s="576"/>
      <c r="V221" s="576"/>
      <c r="W221" s="545"/>
      <c r="X221" s="545"/>
      <c r="Y221" s="576"/>
      <c r="Z221" s="576"/>
      <c r="AA221" s="545"/>
      <c r="AB221" s="545"/>
      <c r="AC221" s="545"/>
      <c r="AD221" s="576"/>
      <c r="AE221" s="576"/>
      <c r="AF221" s="576"/>
      <c r="AG221" s="576"/>
      <c r="AH221" s="576"/>
      <c r="AI221" s="576"/>
      <c r="AJ221" s="576"/>
      <c r="AK221" s="576"/>
      <c r="AL221" s="576"/>
      <c r="AM221" s="576"/>
      <c r="AN221" s="576"/>
      <c r="AO221" s="576"/>
      <c r="AP221" s="576"/>
      <c r="AQ221" s="576"/>
      <c r="AR221" s="576"/>
      <c r="AS221" s="576"/>
      <c r="AT221" s="576"/>
      <c r="AU221" s="576"/>
      <c r="AV221" s="576"/>
      <c r="AW221" s="576"/>
      <c r="AX221" s="576"/>
      <c r="AY221" s="576"/>
      <c r="AZ221" s="576"/>
      <c r="BA221" s="576"/>
      <c r="BB221" s="576"/>
      <c r="BC221" s="576"/>
      <c r="BD221" s="572"/>
      <c r="BE221" s="544"/>
      <c r="BF221" s="544"/>
      <c r="BG221" s="544"/>
      <c r="BH221" s="545"/>
      <c r="BI221" s="545"/>
      <c r="BJ221" s="545"/>
      <c r="BK221" s="545"/>
      <c r="BL221" s="545"/>
      <c r="BM221" s="545"/>
      <c r="BN221" s="545"/>
      <c r="BO221" s="545"/>
      <c r="BP221" s="545"/>
      <c r="BQ221" s="545"/>
      <c r="BR221" s="545"/>
      <c r="BS221" s="545"/>
      <c r="BT221" s="545"/>
    </row>
    <row r="222" spans="1:72" ht="15.75">
      <c r="A222" s="545"/>
      <c r="B222" s="545"/>
      <c r="C222" s="545"/>
      <c r="D222" s="545"/>
      <c r="E222" s="545"/>
      <c r="F222" s="545"/>
      <c r="G222" s="545"/>
      <c r="H222" s="545"/>
      <c r="I222" s="545"/>
      <c r="J222" s="545"/>
      <c r="K222" s="545"/>
      <c r="L222" s="545"/>
      <c r="M222" s="545"/>
      <c r="N222" s="545"/>
      <c r="O222" s="545"/>
      <c r="P222" s="545"/>
      <c r="Q222" s="545"/>
      <c r="R222" s="545"/>
      <c r="S222" s="576"/>
      <c r="T222" s="576"/>
      <c r="U222" s="576"/>
      <c r="V222" s="576"/>
      <c r="W222" s="545"/>
      <c r="X222" s="545"/>
      <c r="Y222" s="576"/>
      <c r="Z222" s="576"/>
      <c r="AA222" s="545"/>
      <c r="AB222" s="545"/>
      <c r="AC222" s="545"/>
      <c r="AD222" s="576"/>
      <c r="AE222" s="576"/>
      <c r="AF222" s="576"/>
      <c r="AG222" s="576"/>
      <c r="AH222" s="576"/>
      <c r="AI222" s="576"/>
      <c r="AJ222" s="576"/>
      <c r="AK222" s="576"/>
      <c r="AL222" s="576"/>
      <c r="AM222" s="576"/>
      <c r="AN222" s="576"/>
      <c r="AO222" s="576"/>
      <c r="AP222" s="576"/>
      <c r="AQ222" s="576"/>
      <c r="AR222" s="576"/>
      <c r="AS222" s="576"/>
      <c r="AT222" s="576"/>
      <c r="AU222" s="576"/>
      <c r="AV222" s="576"/>
      <c r="AW222" s="576"/>
      <c r="AX222" s="576"/>
      <c r="AY222" s="576"/>
      <c r="AZ222" s="576"/>
      <c r="BA222" s="576"/>
      <c r="BB222" s="576"/>
      <c r="BC222" s="576"/>
      <c r="BD222" s="572"/>
      <c r="BE222" s="544"/>
      <c r="BF222" s="544"/>
      <c r="BG222" s="544"/>
      <c r="BH222" s="545"/>
      <c r="BI222" s="545"/>
      <c r="BJ222" s="545"/>
      <c r="BK222" s="545"/>
      <c r="BL222" s="545"/>
      <c r="BM222" s="545"/>
      <c r="BN222" s="545"/>
      <c r="BO222" s="545"/>
      <c r="BP222" s="545"/>
      <c r="BQ222" s="545"/>
      <c r="BR222" s="545"/>
      <c r="BS222" s="545"/>
      <c r="BT222" s="545"/>
    </row>
    <row r="223" spans="1:72" ht="15.75">
      <c r="A223" s="545"/>
      <c r="B223" s="545"/>
      <c r="C223" s="545"/>
      <c r="D223" s="545"/>
      <c r="E223" s="545"/>
      <c r="F223" s="545"/>
      <c r="G223" s="545"/>
      <c r="H223" s="545"/>
      <c r="I223" s="545"/>
      <c r="J223" s="545"/>
      <c r="K223" s="545"/>
      <c r="L223" s="545"/>
      <c r="M223" s="545"/>
      <c r="N223" s="545"/>
      <c r="O223" s="545"/>
      <c r="P223" s="545"/>
      <c r="Q223" s="545"/>
      <c r="R223" s="545"/>
      <c r="S223" s="576"/>
      <c r="T223" s="576"/>
      <c r="U223" s="576"/>
      <c r="V223" s="576"/>
      <c r="W223" s="545"/>
      <c r="X223" s="545"/>
      <c r="Y223" s="576"/>
      <c r="Z223" s="576"/>
      <c r="AA223" s="545"/>
      <c r="AB223" s="545"/>
      <c r="AC223" s="545"/>
      <c r="AD223" s="576"/>
      <c r="AE223" s="576"/>
      <c r="AF223" s="576"/>
      <c r="AG223" s="576"/>
      <c r="AH223" s="576"/>
      <c r="AI223" s="576"/>
      <c r="AJ223" s="576"/>
      <c r="AK223" s="576"/>
      <c r="AL223" s="576"/>
      <c r="AM223" s="576"/>
      <c r="AN223" s="576"/>
      <c r="AO223" s="576"/>
      <c r="AP223" s="576"/>
      <c r="AQ223" s="576"/>
      <c r="AR223" s="576"/>
      <c r="AS223" s="576"/>
      <c r="AT223" s="576"/>
      <c r="AU223" s="576"/>
      <c r="AV223" s="576"/>
      <c r="AW223" s="576"/>
      <c r="AX223" s="576"/>
      <c r="AY223" s="576"/>
      <c r="AZ223" s="576"/>
      <c r="BA223" s="576"/>
      <c r="BB223" s="576"/>
      <c r="BC223" s="576"/>
      <c r="BD223" s="572"/>
      <c r="BE223" s="544"/>
      <c r="BF223" s="544"/>
      <c r="BG223" s="544"/>
      <c r="BH223" s="545"/>
      <c r="BI223" s="545"/>
      <c r="BJ223" s="545"/>
      <c r="BK223" s="545"/>
      <c r="BL223" s="545"/>
      <c r="BM223" s="545"/>
      <c r="BN223" s="545"/>
      <c r="BO223" s="545"/>
      <c r="BP223" s="545"/>
      <c r="BQ223" s="545"/>
      <c r="BR223" s="545"/>
      <c r="BS223" s="545"/>
      <c r="BT223" s="545"/>
    </row>
    <row r="224" spans="1:72" ht="15.75">
      <c r="A224" s="545"/>
      <c r="B224" s="545"/>
      <c r="C224" s="545"/>
      <c r="D224" s="545"/>
      <c r="E224" s="545"/>
      <c r="F224" s="545"/>
      <c r="G224" s="545"/>
      <c r="H224" s="545"/>
      <c r="I224" s="545"/>
      <c r="J224" s="545"/>
      <c r="K224" s="545"/>
      <c r="L224" s="545"/>
      <c r="M224" s="545"/>
      <c r="N224" s="545"/>
      <c r="O224" s="545"/>
      <c r="P224" s="545"/>
      <c r="Q224" s="545"/>
      <c r="R224" s="545"/>
      <c r="S224" s="576"/>
      <c r="T224" s="576"/>
      <c r="U224" s="576"/>
      <c r="V224" s="576"/>
      <c r="W224" s="545"/>
      <c r="X224" s="545"/>
      <c r="Y224" s="576"/>
      <c r="Z224" s="576"/>
      <c r="AA224" s="545"/>
      <c r="AB224" s="545"/>
      <c r="AC224" s="545"/>
      <c r="AD224" s="576"/>
      <c r="AE224" s="576"/>
      <c r="AF224" s="576"/>
      <c r="AG224" s="576"/>
      <c r="AH224" s="576"/>
      <c r="AI224" s="576"/>
      <c r="AJ224" s="576"/>
      <c r="AK224" s="576"/>
      <c r="AL224" s="576"/>
      <c r="AM224" s="576"/>
      <c r="AN224" s="576"/>
      <c r="AO224" s="576"/>
      <c r="AP224" s="576"/>
      <c r="AQ224" s="576"/>
      <c r="AR224" s="576"/>
      <c r="AS224" s="576"/>
      <c r="AT224" s="576"/>
      <c r="AU224" s="576"/>
      <c r="AV224" s="576"/>
      <c r="AW224" s="576"/>
      <c r="AX224" s="576"/>
      <c r="AY224" s="576"/>
      <c r="AZ224" s="576"/>
      <c r="BA224" s="576"/>
      <c r="BB224" s="576"/>
      <c r="BC224" s="576"/>
      <c r="BD224" s="572"/>
      <c r="BE224" s="544"/>
      <c r="BF224" s="544"/>
      <c r="BG224" s="544"/>
      <c r="BH224" s="545"/>
      <c r="BI224" s="545"/>
      <c r="BJ224" s="545"/>
      <c r="BK224" s="545"/>
      <c r="BL224" s="545"/>
      <c r="BM224" s="545"/>
      <c r="BN224" s="545"/>
      <c r="BO224" s="545"/>
      <c r="BP224" s="545"/>
      <c r="BQ224" s="545"/>
      <c r="BR224" s="545"/>
      <c r="BS224" s="545"/>
      <c r="BT224" s="545"/>
    </row>
    <row r="225" spans="1:72" ht="15.75">
      <c r="A225" s="545"/>
      <c r="B225" s="545"/>
      <c r="C225" s="545"/>
      <c r="D225" s="545"/>
      <c r="E225" s="545"/>
      <c r="F225" s="545"/>
      <c r="G225" s="545"/>
      <c r="H225" s="545"/>
      <c r="I225" s="545"/>
      <c r="J225" s="545"/>
      <c r="K225" s="545"/>
      <c r="L225" s="545"/>
      <c r="M225" s="545"/>
      <c r="N225" s="545"/>
      <c r="O225" s="545"/>
      <c r="P225" s="545"/>
      <c r="Q225" s="545"/>
      <c r="R225" s="545"/>
      <c r="S225" s="576"/>
      <c r="T225" s="576"/>
      <c r="U225" s="576"/>
      <c r="V225" s="576"/>
      <c r="W225" s="545"/>
      <c r="X225" s="545"/>
      <c r="Y225" s="576"/>
      <c r="Z225" s="576"/>
      <c r="AA225" s="545"/>
      <c r="AB225" s="545"/>
      <c r="AC225" s="545"/>
      <c r="AD225" s="576"/>
      <c r="AE225" s="576"/>
      <c r="AF225" s="576"/>
      <c r="AG225" s="576"/>
      <c r="AH225" s="576"/>
      <c r="AI225" s="576"/>
      <c r="AJ225" s="576"/>
      <c r="AK225" s="576"/>
      <c r="AL225" s="576"/>
      <c r="AM225" s="576"/>
      <c r="AN225" s="576"/>
      <c r="AO225" s="576"/>
      <c r="AP225" s="576"/>
      <c r="AQ225" s="576"/>
      <c r="AR225" s="576"/>
      <c r="AS225" s="576"/>
      <c r="AT225" s="576"/>
      <c r="AU225" s="576"/>
      <c r="AV225" s="576"/>
      <c r="AW225" s="576"/>
      <c r="AX225" s="576"/>
      <c r="AY225" s="576"/>
      <c r="AZ225" s="576"/>
      <c r="BA225" s="576"/>
      <c r="BB225" s="576"/>
      <c r="BC225" s="576"/>
      <c r="BD225" s="572"/>
      <c r="BE225" s="544"/>
      <c r="BF225" s="544"/>
      <c r="BG225" s="544"/>
      <c r="BH225" s="545"/>
      <c r="BI225" s="545"/>
      <c r="BJ225" s="545"/>
      <c r="BK225" s="545"/>
      <c r="BL225" s="545"/>
      <c r="BM225" s="545"/>
      <c r="BN225" s="545"/>
      <c r="BO225" s="545"/>
      <c r="BP225" s="545"/>
      <c r="BQ225" s="545"/>
      <c r="BR225" s="545"/>
      <c r="BS225" s="545"/>
      <c r="BT225" s="545"/>
    </row>
    <row r="226" spans="1:72" ht="15.75">
      <c r="A226" s="545"/>
      <c r="B226" s="545"/>
      <c r="C226" s="545"/>
      <c r="D226" s="545"/>
      <c r="E226" s="545"/>
      <c r="F226" s="545"/>
      <c r="G226" s="545"/>
      <c r="H226" s="545"/>
      <c r="I226" s="545"/>
      <c r="J226" s="545"/>
      <c r="K226" s="545"/>
      <c r="L226" s="545"/>
      <c r="M226" s="545"/>
      <c r="N226" s="545"/>
      <c r="O226" s="545"/>
      <c r="P226" s="545"/>
      <c r="Q226" s="545"/>
      <c r="R226" s="545"/>
      <c r="S226" s="576"/>
      <c r="T226" s="576"/>
      <c r="U226" s="576"/>
      <c r="V226" s="576"/>
      <c r="W226" s="545"/>
      <c r="X226" s="545"/>
      <c r="Y226" s="576"/>
      <c r="Z226" s="576"/>
      <c r="AA226" s="545"/>
      <c r="AB226" s="545"/>
      <c r="AC226" s="545"/>
      <c r="AD226" s="576"/>
      <c r="AE226" s="576"/>
      <c r="AF226" s="576"/>
      <c r="AG226" s="576"/>
      <c r="AH226" s="576"/>
      <c r="AI226" s="576"/>
      <c r="AJ226" s="576"/>
      <c r="AK226" s="576"/>
      <c r="AL226" s="576"/>
      <c r="AM226" s="576"/>
      <c r="AN226" s="576"/>
      <c r="AO226" s="576"/>
      <c r="AP226" s="576"/>
      <c r="AQ226" s="576"/>
      <c r="AR226" s="576"/>
      <c r="AS226" s="576"/>
      <c r="AT226" s="576"/>
      <c r="AU226" s="576"/>
      <c r="AV226" s="576"/>
      <c r="AW226" s="576"/>
      <c r="AX226" s="576"/>
      <c r="AY226" s="576"/>
      <c r="AZ226" s="576"/>
      <c r="BA226" s="576"/>
      <c r="BB226" s="576"/>
      <c r="BC226" s="576"/>
      <c r="BD226" s="572"/>
      <c r="BE226" s="544"/>
      <c r="BF226" s="544"/>
      <c r="BG226" s="544"/>
      <c r="BH226" s="545"/>
      <c r="BI226" s="545"/>
      <c r="BJ226" s="545"/>
      <c r="BK226" s="545"/>
      <c r="BL226" s="545"/>
      <c r="BM226" s="545"/>
      <c r="BN226" s="545"/>
      <c r="BO226" s="545"/>
      <c r="BP226" s="545"/>
      <c r="BQ226" s="545"/>
      <c r="BR226" s="545"/>
      <c r="BS226" s="545"/>
      <c r="BT226" s="545"/>
    </row>
    <row r="227" spans="1:72" ht="15.75">
      <c r="A227" s="545"/>
      <c r="B227" s="545"/>
      <c r="C227" s="545"/>
      <c r="D227" s="545"/>
      <c r="E227" s="545"/>
      <c r="F227" s="545"/>
      <c r="G227" s="545"/>
      <c r="H227" s="545"/>
      <c r="I227" s="545"/>
      <c r="J227" s="545"/>
      <c r="K227" s="545"/>
      <c r="L227" s="545"/>
      <c r="M227" s="545"/>
      <c r="N227" s="545"/>
      <c r="O227" s="545"/>
      <c r="P227" s="545"/>
      <c r="Q227" s="545"/>
      <c r="R227" s="545"/>
      <c r="S227" s="576"/>
      <c r="T227" s="576"/>
      <c r="U227" s="576"/>
      <c r="V227" s="576"/>
      <c r="W227" s="545"/>
      <c r="X227" s="545"/>
      <c r="Y227" s="576"/>
      <c r="Z227" s="576"/>
      <c r="AA227" s="545"/>
      <c r="AB227" s="545"/>
      <c r="AC227" s="545"/>
      <c r="AD227" s="576"/>
      <c r="AE227" s="576"/>
      <c r="AF227" s="576"/>
      <c r="AG227" s="576"/>
      <c r="AH227" s="576"/>
      <c r="AI227" s="576"/>
      <c r="AJ227" s="576"/>
      <c r="AK227" s="576"/>
      <c r="AL227" s="576"/>
      <c r="AM227" s="576"/>
      <c r="AN227" s="576"/>
      <c r="AO227" s="576"/>
      <c r="AP227" s="576"/>
      <c r="AQ227" s="576"/>
      <c r="AR227" s="576"/>
      <c r="AS227" s="576"/>
      <c r="AT227" s="576"/>
      <c r="AU227" s="576"/>
      <c r="AV227" s="576"/>
      <c r="AW227" s="576"/>
      <c r="AX227" s="576"/>
      <c r="AY227" s="576"/>
      <c r="AZ227" s="576"/>
      <c r="BA227" s="576"/>
      <c r="BB227" s="576"/>
      <c r="BC227" s="576"/>
      <c r="BD227" s="572"/>
      <c r="BE227" s="544"/>
      <c r="BF227" s="544"/>
      <c r="BG227" s="544"/>
      <c r="BH227" s="545"/>
      <c r="BI227" s="545"/>
      <c r="BJ227" s="545"/>
      <c r="BK227" s="545"/>
      <c r="BL227" s="545"/>
      <c r="BM227" s="545"/>
      <c r="BN227" s="545"/>
      <c r="BO227" s="545"/>
      <c r="BP227" s="545"/>
      <c r="BQ227" s="545"/>
      <c r="BR227" s="545"/>
      <c r="BS227" s="545"/>
      <c r="BT227" s="545"/>
    </row>
    <row r="228" spans="1:72" ht="15.75">
      <c r="A228" s="545"/>
      <c r="B228" s="545"/>
      <c r="C228" s="545"/>
      <c r="D228" s="545"/>
      <c r="E228" s="545"/>
      <c r="F228" s="545"/>
      <c r="G228" s="545"/>
      <c r="H228" s="545"/>
      <c r="I228" s="545"/>
      <c r="J228" s="545"/>
      <c r="K228" s="545"/>
      <c r="L228" s="545"/>
      <c r="M228" s="545"/>
      <c r="N228" s="545"/>
      <c r="O228" s="545"/>
      <c r="P228" s="545"/>
      <c r="Q228" s="545"/>
      <c r="R228" s="545"/>
      <c r="S228" s="576"/>
      <c r="T228" s="576"/>
      <c r="U228" s="576"/>
      <c r="V228" s="576"/>
      <c r="W228" s="545"/>
      <c r="X228" s="545"/>
      <c r="Y228" s="576"/>
      <c r="Z228" s="576"/>
      <c r="AA228" s="545"/>
      <c r="AB228" s="545"/>
      <c r="AC228" s="545"/>
      <c r="AD228" s="576"/>
      <c r="AE228" s="576"/>
      <c r="AF228" s="576"/>
      <c r="AG228" s="576"/>
      <c r="AH228" s="576"/>
      <c r="AI228" s="576"/>
      <c r="AJ228" s="576"/>
      <c r="AK228" s="576"/>
      <c r="AL228" s="576"/>
      <c r="AM228" s="576"/>
      <c r="AN228" s="576"/>
      <c r="AO228" s="576"/>
      <c r="AP228" s="576"/>
      <c r="AQ228" s="576"/>
      <c r="AR228" s="576"/>
      <c r="AS228" s="576"/>
      <c r="AT228" s="576"/>
      <c r="AU228" s="576"/>
      <c r="AV228" s="576"/>
      <c r="AW228" s="576"/>
      <c r="AX228" s="576"/>
      <c r="AY228" s="576"/>
      <c r="AZ228" s="576"/>
      <c r="BA228" s="576"/>
      <c r="BB228" s="576"/>
      <c r="BC228" s="576"/>
      <c r="BD228" s="572"/>
      <c r="BE228" s="544"/>
      <c r="BF228" s="544"/>
      <c r="BG228" s="544"/>
      <c r="BH228" s="545"/>
      <c r="BI228" s="545"/>
      <c r="BJ228" s="545"/>
      <c r="BK228" s="545"/>
      <c r="BL228" s="545"/>
      <c r="BM228" s="545"/>
      <c r="BN228" s="545"/>
      <c r="BO228" s="545"/>
      <c r="BP228" s="545"/>
      <c r="BQ228" s="545"/>
      <c r="BR228" s="545"/>
      <c r="BS228" s="545"/>
      <c r="BT228" s="545"/>
    </row>
    <row r="229" spans="1:72" ht="15.75">
      <c r="A229" s="545"/>
      <c r="B229" s="545"/>
      <c r="C229" s="545"/>
      <c r="D229" s="545"/>
      <c r="E229" s="545"/>
      <c r="F229" s="545"/>
      <c r="G229" s="545"/>
      <c r="H229" s="545"/>
      <c r="I229" s="545"/>
      <c r="J229" s="545"/>
      <c r="K229" s="545"/>
      <c r="L229" s="545"/>
      <c r="M229" s="545"/>
      <c r="N229" s="545"/>
      <c r="O229" s="545"/>
      <c r="P229" s="545"/>
      <c r="Q229" s="545"/>
      <c r="R229" s="545"/>
      <c r="S229" s="576"/>
      <c r="T229" s="576"/>
      <c r="U229" s="576"/>
      <c r="V229" s="576"/>
      <c r="W229" s="545"/>
      <c r="X229" s="545"/>
      <c r="Y229" s="576"/>
      <c r="Z229" s="576"/>
      <c r="AA229" s="545"/>
      <c r="AB229" s="545"/>
      <c r="AC229" s="545"/>
      <c r="AD229" s="576"/>
      <c r="AE229" s="576"/>
      <c r="AF229" s="576"/>
      <c r="AG229" s="576"/>
      <c r="AH229" s="576"/>
      <c r="AI229" s="576"/>
      <c r="AJ229" s="576"/>
      <c r="AK229" s="576"/>
      <c r="AL229" s="576"/>
      <c r="AM229" s="576"/>
      <c r="AN229" s="576"/>
      <c r="AO229" s="576"/>
      <c r="AP229" s="576"/>
      <c r="AQ229" s="576"/>
      <c r="AR229" s="576"/>
      <c r="AS229" s="576"/>
      <c r="AT229" s="576"/>
      <c r="AU229" s="576"/>
      <c r="AV229" s="576"/>
      <c r="AW229" s="576"/>
      <c r="AX229" s="576"/>
      <c r="AY229" s="576"/>
      <c r="AZ229" s="576"/>
      <c r="BA229" s="576"/>
      <c r="BB229" s="576"/>
      <c r="BC229" s="576"/>
      <c r="BD229" s="572"/>
      <c r="BE229" s="544"/>
      <c r="BF229" s="544"/>
      <c r="BG229" s="544"/>
      <c r="BH229" s="545"/>
      <c r="BI229" s="545"/>
      <c r="BJ229" s="545"/>
      <c r="BK229" s="545"/>
      <c r="BL229" s="545"/>
      <c r="BM229" s="545"/>
      <c r="BN229" s="545"/>
      <c r="BO229" s="545"/>
      <c r="BP229" s="545"/>
      <c r="BQ229" s="545"/>
      <c r="BR229" s="545"/>
      <c r="BS229" s="545"/>
      <c r="BT229" s="545"/>
    </row>
    <row r="230" spans="1:72" ht="15.75">
      <c r="A230" s="545"/>
      <c r="B230" s="545"/>
      <c r="C230" s="545"/>
      <c r="D230" s="545"/>
      <c r="E230" s="545"/>
      <c r="F230" s="545"/>
      <c r="G230" s="545"/>
      <c r="H230" s="545"/>
      <c r="I230" s="545"/>
      <c r="J230" s="545"/>
      <c r="K230" s="545"/>
      <c r="L230" s="545"/>
      <c r="M230" s="545"/>
      <c r="N230" s="545"/>
      <c r="O230" s="545"/>
      <c r="P230" s="545"/>
      <c r="Q230" s="545"/>
      <c r="R230" s="545"/>
      <c r="S230" s="576"/>
      <c r="T230" s="576"/>
      <c r="U230" s="576"/>
      <c r="V230" s="576"/>
      <c r="W230" s="545"/>
      <c r="X230" s="545"/>
      <c r="Y230" s="576"/>
      <c r="Z230" s="576"/>
      <c r="AA230" s="545"/>
      <c r="AB230" s="545"/>
      <c r="AC230" s="545"/>
      <c r="AD230" s="576"/>
      <c r="AE230" s="576"/>
      <c r="AF230" s="576"/>
      <c r="AG230" s="576"/>
      <c r="AH230" s="576"/>
      <c r="AI230" s="576"/>
      <c r="AJ230" s="576"/>
      <c r="AK230" s="576"/>
      <c r="AL230" s="576"/>
      <c r="AM230" s="576"/>
      <c r="AN230" s="576"/>
      <c r="AO230" s="576"/>
      <c r="AP230" s="576"/>
      <c r="AQ230" s="576"/>
      <c r="AR230" s="576"/>
      <c r="AS230" s="576"/>
      <c r="AT230" s="576"/>
      <c r="AU230" s="576"/>
      <c r="AV230" s="576"/>
      <c r="AW230" s="576"/>
      <c r="AX230" s="576"/>
      <c r="AY230" s="576"/>
      <c r="AZ230" s="576"/>
      <c r="BA230" s="576"/>
      <c r="BB230" s="576"/>
      <c r="BC230" s="576"/>
      <c r="BD230" s="572"/>
      <c r="BE230" s="544"/>
      <c r="BF230" s="544"/>
      <c r="BG230" s="544"/>
      <c r="BH230" s="545"/>
      <c r="BI230" s="545"/>
      <c r="BJ230" s="545"/>
      <c r="BK230" s="545"/>
      <c r="BL230" s="545"/>
      <c r="BM230" s="545"/>
      <c r="BN230" s="545"/>
      <c r="BO230" s="545"/>
      <c r="BP230" s="545"/>
      <c r="BQ230" s="545"/>
      <c r="BR230" s="545"/>
      <c r="BS230" s="545"/>
      <c r="BT230" s="545"/>
    </row>
    <row r="231" spans="1:72" ht="15.75">
      <c r="A231" s="545"/>
      <c r="B231" s="545"/>
      <c r="C231" s="545"/>
      <c r="D231" s="545"/>
      <c r="E231" s="545"/>
      <c r="F231" s="545"/>
      <c r="G231" s="545"/>
      <c r="H231" s="545"/>
      <c r="I231" s="545"/>
      <c r="J231" s="545"/>
      <c r="K231" s="545"/>
      <c r="L231" s="545"/>
      <c r="M231" s="545"/>
      <c r="N231" s="545"/>
      <c r="O231" s="545"/>
      <c r="P231" s="545"/>
      <c r="Q231" s="545"/>
      <c r="R231" s="545"/>
      <c r="S231" s="576"/>
      <c r="T231" s="576"/>
      <c r="U231" s="576"/>
      <c r="V231" s="576"/>
      <c r="W231" s="545"/>
      <c r="X231" s="545"/>
      <c r="Y231" s="576"/>
      <c r="Z231" s="576"/>
      <c r="AA231" s="545"/>
      <c r="AB231" s="545"/>
      <c r="AC231" s="545"/>
      <c r="AD231" s="576"/>
      <c r="AE231" s="576"/>
      <c r="AF231" s="576"/>
      <c r="AG231" s="576"/>
      <c r="AH231" s="576"/>
      <c r="AI231" s="576"/>
      <c r="AJ231" s="576"/>
      <c r="AK231" s="576"/>
      <c r="AL231" s="576"/>
      <c r="AM231" s="576"/>
      <c r="AN231" s="576"/>
      <c r="AO231" s="576"/>
      <c r="AP231" s="576"/>
      <c r="AQ231" s="576"/>
      <c r="AR231" s="576"/>
      <c r="AS231" s="576"/>
      <c r="AT231" s="576"/>
      <c r="AU231" s="576"/>
      <c r="AV231" s="576"/>
      <c r="AW231" s="576"/>
      <c r="AX231" s="576"/>
      <c r="AY231" s="576"/>
      <c r="AZ231" s="576"/>
      <c r="BA231" s="576"/>
      <c r="BB231" s="576"/>
      <c r="BC231" s="576"/>
      <c r="BD231" s="572"/>
      <c r="BE231" s="544"/>
      <c r="BF231" s="544"/>
      <c r="BG231" s="544"/>
      <c r="BH231" s="545"/>
      <c r="BI231" s="545"/>
      <c r="BJ231" s="545"/>
      <c r="BK231" s="545"/>
      <c r="BL231" s="545"/>
      <c r="BM231" s="545"/>
      <c r="BN231" s="545"/>
      <c r="BO231" s="545"/>
      <c r="BP231" s="545"/>
      <c r="BQ231" s="545"/>
      <c r="BR231" s="545"/>
      <c r="BS231" s="545"/>
      <c r="BT231" s="545"/>
    </row>
    <row r="232" spans="1:72" ht="15.75">
      <c r="A232" s="545"/>
      <c r="B232" s="545"/>
      <c r="C232" s="545"/>
      <c r="D232" s="545"/>
      <c r="E232" s="545"/>
      <c r="F232" s="545"/>
      <c r="G232" s="545"/>
      <c r="H232" s="545"/>
      <c r="I232" s="545"/>
      <c r="J232" s="545"/>
      <c r="K232" s="545"/>
      <c r="L232" s="545"/>
      <c r="M232" s="545"/>
      <c r="N232" s="545"/>
      <c r="O232" s="545"/>
      <c r="P232" s="545"/>
      <c r="Q232" s="545"/>
      <c r="R232" s="545"/>
      <c r="S232" s="576"/>
      <c r="T232" s="576"/>
      <c r="U232" s="576"/>
      <c r="V232" s="576"/>
      <c r="W232" s="545"/>
      <c r="X232" s="545"/>
      <c r="Y232" s="576"/>
      <c r="Z232" s="576"/>
      <c r="AA232" s="545"/>
      <c r="AB232" s="545"/>
      <c r="AC232" s="545"/>
      <c r="AD232" s="576"/>
      <c r="AE232" s="576"/>
      <c r="AF232" s="576"/>
      <c r="AG232" s="576"/>
      <c r="AH232" s="576"/>
      <c r="AI232" s="576"/>
      <c r="AJ232" s="576"/>
      <c r="AK232" s="576"/>
      <c r="AL232" s="576"/>
      <c r="AM232" s="576"/>
      <c r="AN232" s="576"/>
      <c r="AO232" s="576"/>
      <c r="AP232" s="576"/>
      <c r="AQ232" s="576"/>
      <c r="AR232" s="576"/>
      <c r="AS232" s="576"/>
      <c r="AT232" s="576"/>
      <c r="AU232" s="576"/>
      <c r="AV232" s="576"/>
      <c r="AW232" s="576"/>
      <c r="AX232" s="576"/>
      <c r="AY232" s="576"/>
      <c r="AZ232" s="576"/>
      <c r="BA232" s="576"/>
      <c r="BB232" s="576"/>
      <c r="BC232" s="576"/>
      <c r="BD232" s="572"/>
      <c r="BE232" s="544"/>
      <c r="BF232" s="544"/>
      <c r="BG232" s="544"/>
      <c r="BH232" s="545"/>
      <c r="BI232" s="545"/>
      <c r="BJ232" s="545"/>
      <c r="BK232" s="545"/>
      <c r="BL232" s="545"/>
      <c r="BM232" s="545"/>
      <c r="BN232" s="545"/>
      <c r="BO232" s="545"/>
      <c r="BP232" s="545"/>
      <c r="BQ232" s="545"/>
      <c r="BR232" s="545"/>
      <c r="BS232" s="545"/>
      <c r="BT232" s="545"/>
    </row>
    <row r="233" spans="1:72" ht="15.75">
      <c r="A233" s="545"/>
      <c r="B233" s="545"/>
      <c r="C233" s="545"/>
      <c r="D233" s="545"/>
      <c r="E233" s="545"/>
      <c r="F233" s="545"/>
      <c r="G233" s="545"/>
      <c r="H233" s="545"/>
      <c r="I233" s="545"/>
      <c r="J233" s="545"/>
      <c r="K233" s="545"/>
      <c r="L233" s="545"/>
      <c r="M233" s="545"/>
      <c r="N233" s="545"/>
      <c r="O233" s="545"/>
      <c r="P233" s="545"/>
      <c r="Q233" s="545"/>
      <c r="R233" s="545"/>
      <c r="S233" s="576"/>
      <c r="T233" s="576"/>
      <c r="U233" s="576"/>
      <c r="V233" s="576"/>
      <c r="W233" s="545"/>
      <c r="X233" s="545"/>
      <c r="Y233" s="576"/>
      <c r="Z233" s="576"/>
      <c r="AA233" s="545"/>
      <c r="AB233" s="545"/>
      <c r="AC233" s="545"/>
      <c r="AD233" s="576"/>
      <c r="AE233" s="576"/>
      <c r="AF233" s="576"/>
      <c r="AG233" s="576"/>
      <c r="AH233" s="576"/>
      <c r="AI233" s="576"/>
      <c r="AJ233" s="576"/>
      <c r="AK233" s="576"/>
      <c r="AL233" s="576"/>
      <c r="AM233" s="576"/>
      <c r="AN233" s="576"/>
      <c r="AO233" s="576"/>
      <c r="AP233" s="576"/>
      <c r="AQ233" s="576"/>
      <c r="AR233" s="576"/>
      <c r="AS233" s="576"/>
      <c r="AT233" s="576"/>
      <c r="AU233" s="576"/>
      <c r="AV233" s="576"/>
      <c r="AW233" s="576"/>
      <c r="AX233" s="576"/>
      <c r="AY233" s="576"/>
      <c r="AZ233" s="576"/>
      <c r="BA233" s="576"/>
      <c r="BB233" s="576"/>
      <c r="BC233" s="576"/>
      <c r="BD233" s="572"/>
      <c r="BE233" s="544"/>
      <c r="BF233" s="544"/>
      <c r="BG233" s="544"/>
      <c r="BH233" s="545"/>
      <c r="BI233" s="545"/>
      <c r="BJ233" s="545"/>
      <c r="BK233" s="545"/>
      <c r="BL233" s="545"/>
      <c r="BM233" s="545"/>
      <c r="BN233" s="545"/>
      <c r="BO233" s="545"/>
      <c r="BP233" s="545"/>
      <c r="BQ233" s="545"/>
      <c r="BR233" s="545"/>
      <c r="BS233" s="545"/>
      <c r="BT233" s="545"/>
    </row>
    <row r="234" spans="1:72" ht="15.75">
      <c r="A234" s="545"/>
      <c r="B234" s="545"/>
      <c r="C234" s="545"/>
      <c r="D234" s="545"/>
      <c r="E234" s="545"/>
      <c r="F234" s="545"/>
      <c r="G234" s="545"/>
      <c r="H234" s="545"/>
      <c r="I234" s="545"/>
      <c r="J234" s="545"/>
      <c r="K234" s="545"/>
      <c r="L234" s="545"/>
      <c r="M234" s="545"/>
      <c r="N234" s="545"/>
      <c r="O234" s="545"/>
      <c r="P234" s="545"/>
      <c r="Q234" s="545"/>
      <c r="R234" s="545"/>
      <c r="S234" s="576"/>
      <c r="T234" s="576"/>
      <c r="U234" s="576"/>
      <c r="V234" s="576"/>
      <c r="W234" s="545"/>
      <c r="X234" s="545"/>
      <c r="Y234" s="576"/>
      <c r="Z234" s="576"/>
      <c r="AA234" s="545"/>
      <c r="AB234" s="545"/>
      <c r="AC234" s="545"/>
      <c r="AD234" s="576"/>
      <c r="AE234" s="576"/>
      <c r="AF234" s="576"/>
      <c r="AG234" s="576"/>
      <c r="AH234" s="576"/>
      <c r="AI234" s="576"/>
      <c r="AJ234" s="576"/>
      <c r="AK234" s="576"/>
      <c r="AL234" s="576"/>
      <c r="AM234" s="576"/>
      <c r="AN234" s="576"/>
      <c r="AO234" s="576"/>
      <c r="AP234" s="576"/>
      <c r="AQ234" s="576"/>
      <c r="AR234" s="576"/>
      <c r="AS234" s="576"/>
      <c r="AT234" s="576"/>
      <c r="AU234" s="576"/>
      <c r="AV234" s="576"/>
      <c r="AW234" s="576"/>
      <c r="AX234" s="576"/>
      <c r="AY234" s="576"/>
      <c r="AZ234" s="576"/>
      <c r="BA234" s="576"/>
      <c r="BB234" s="576"/>
      <c r="BC234" s="576"/>
      <c r="BD234" s="572"/>
      <c r="BE234" s="544"/>
      <c r="BF234" s="544"/>
      <c r="BG234" s="544"/>
      <c r="BH234" s="545"/>
      <c r="BI234" s="545"/>
      <c r="BJ234" s="545"/>
      <c r="BK234" s="545"/>
      <c r="BL234" s="545"/>
      <c r="BM234" s="545"/>
      <c r="BN234" s="545"/>
      <c r="BO234" s="545"/>
      <c r="BP234" s="545"/>
      <c r="BQ234" s="545"/>
      <c r="BR234" s="545"/>
      <c r="BS234" s="545"/>
      <c r="BT234" s="545"/>
    </row>
    <row r="235" spans="1:72" ht="15.75">
      <c r="A235" s="545"/>
      <c r="B235" s="545"/>
      <c r="C235" s="545"/>
      <c r="D235" s="545"/>
      <c r="E235" s="545"/>
      <c r="F235" s="545"/>
      <c r="G235" s="545"/>
      <c r="H235" s="545"/>
      <c r="I235" s="545"/>
      <c r="J235" s="545"/>
      <c r="K235" s="545"/>
      <c r="L235" s="545"/>
      <c r="M235" s="545"/>
      <c r="N235" s="545"/>
      <c r="O235" s="545"/>
      <c r="P235" s="545"/>
      <c r="Q235" s="545"/>
      <c r="R235" s="545"/>
      <c r="S235" s="576"/>
      <c r="T235" s="576"/>
      <c r="U235" s="576"/>
      <c r="V235" s="576"/>
      <c r="W235" s="545"/>
      <c r="X235" s="545"/>
      <c r="Y235" s="576"/>
      <c r="Z235" s="576"/>
      <c r="AA235" s="545"/>
      <c r="AB235" s="545"/>
      <c r="AC235" s="545"/>
      <c r="AD235" s="576"/>
      <c r="AE235" s="576"/>
      <c r="AF235" s="576"/>
      <c r="AG235" s="576"/>
      <c r="AH235" s="576"/>
      <c r="AI235" s="576"/>
      <c r="AJ235" s="576"/>
      <c r="AK235" s="576"/>
      <c r="AL235" s="576"/>
      <c r="AM235" s="576"/>
      <c r="AN235" s="576"/>
      <c r="AO235" s="576"/>
      <c r="AP235" s="576"/>
      <c r="AQ235" s="576"/>
      <c r="AR235" s="576"/>
      <c r="AS235" s="576"/>
      <c r="AT235" s="576"/>
      <c r="AU235" s="576"/>
      <c r="AV235" s="576"/>
      <c r="AW235" s="576"/>
      <c r="AX235" s="576"/>
      <c r="AY235" s="576"/>
      <c r="AZ235" s="576"/>
      <c r="BA235" s="576"/>
      <c r="BB235" s="576"/>
      <c r="BC235" s="576"/>
      <c r="BD235" s="572"/>
      <c r="BE235" s="544"/>
      <c r="BF235" s="544"/>
      <c r="BG235" s="544"/>
      <c r="BH235" s="545"/>
      <c r="BI235" s="545"/>
      <c r="BJ235" s="545"/>
      <c r="BK235" s="545"/>
      <c r="BL235" s="545"/>
      <c r="BM235" s="545"/>
      <c r="BN235" s="545"/>
      <c r="BO235" s="545"/>
      <c r="BP235" s="545"/>
      <c r="BQ235" s="545"/>
      <c r="BR235" s="545"/>
      <c r="BS235" s="545"/>
      <c r="BT235" s="545"/>
    </row>
    <row r="236" spans="1:72" ht="15.75">
      <c r="A236" s="545"/>
      <c r="B236" s="545"/>
      <c r="C236" s="545"/>
      <c r="D236" s="545"/>
      <c r="E236" s="545"/>
      <c r="F236" s="545"/>
      <c r="G236" s="545"/>
      <c r="H236" s="545"/>
      <c r="I236" s="545"/>
      <c r="J236" s="545"/>
      <c r="K236" s="545"/>
      <c r="L236" s="545"/>
      <c r="M236" s="545"/>
      <c r="N236" s="545"/>
      <c r="O236" s="545"/>
      <c r="P236" s="545"/>
      <c r="Q236" s="545"/>
      <c r="R236" s="545"/>
      <c r="S236" s="576"/>
      <c r="T236" s="576"/>
      <c r="U236" s="576"/>
      <c r="V236" s="576"/>
      <c r="W236" s="545"/>
      <c r="X236" s="545"/>
      <c r="Y236" s="576"/>
      <c r="Z236" s="576"/>
      <c r="AA236" s="545"/>
      <c r="AB236" s="545"/>
      <c r="AC236" s="545"/>
      <c r="AD236" s="576"/>
      <c r="AE236" s="576"/>
      <c r="AF236" s="576"/>
      <c r="AG236" s="576"/>
      <c r="AH236" s="576"/>
      <c r="AI236" s="576"/>
      <c r="AJ236" s="576"/>
      <c r="AK236" s="576"/>
      <c r="AL236" s="576"/>
      <c r="AM236" s="576"/>
      <c r="AN236" s="576"/>
      <c r="AO236" s="576"/>
      <c r="AP236" s="576"/>
      <c r="AQ236" s="576"/>
      <c r="AR236" s="576"/>
      <c r="AS236" s="576"/>
      <c r="AT236" s="576"/>
      <c r="AU236" s="576"/>
      <c r="AV236" s="576"/>
      <c r="AW236" s="576"/>
      <c r="AX236" s="576"/>
      <c r="AY236" s="576"/>
      <c r="AZ236" s="576"/>
      <c r="BA236" s="576"/>
      <c r="BB236" s="576"/>
      <c r="BC236" s="576"/>
      <c r="BD236" s="572"/>
      <c r="BE236" s="544"/>
      <c r="BF236" s="544"/>
      <c r="BG236" s="544"/>
      <c r="BH236" s="545"/>
      <c r="BI236" s="545"/>
      <c r="BJ236" s="545"/>
      <c r="BK236" s="545"/>
      <c r="BL236" s="545"/>
      <c r="BM236" s="545"/>
      <c r="BN236" s="545"/>
      <c r="BO236" s="545"/>
      <c r="BP236" s="545"/>
      <c r="BQ236" s="545"/>
      <c r="BR236" s="545"/>
      <c r="BS236" s="545"/>
      <c r="BT236" s="545"/>
    </row>
    <row r="237" spans="1:72" ht="15.75">
      <c r="A237" s="545"/>
      <c r="B237" s="545"/>
      <c r="C237" s="545"/>
      <c r="D237" s="545"/>
      <c r="E237" s="545"/>
      <c r="F237" s="545"/>
      <c r="G237" s="545"/>
      <c r="H237" s="545"/>
      <c r="I237" s="545"/>
      <c r="J237" s="545"/>
      <c r="K237" s="545"/>
      <c r="L237" s="545"/>
      <c r="M237" s="545"/>
      <c r="N237" s="545"/>
      <c r="O237" s="545"/>
      <c r="P237" s="545"/>
      <c r="Q237" s="545"/>
      <c r="R237" s="545"/>
      <c r="S237" s="576"/>
      <c r="T237" s="576"/>
      <c r="U237" s="576"/>
      <c r="V237" s="576"/>
      <c r="W237" s="545"/>
      <c r="X237" s="545"/>
      <c r="Y237" s="576"/>
      <c r="Z237" s="576"/>
      <c r="AA237" s="545"/>
      <c r="AB237" s="545"/>
      <c r="AC237" s="545"/>
      <c r="AD237" s="576"/>
      <c r="AE237" s="576"/>
      <c r="AF237" s="576"/>
      <c r="AG237" s="576"/>
      <c r="AH237" s="576"/>
      <c r="AI237" s="576"/>
      <c r="AJ237" s="576"/>
      <c r="AK237" s="576"/>
      <c r="AL237" s="576"/>
      <c r="AM237" s="576"/>
      <c r="AN237" s="576"/>
      <c r="AO237" s="576"/>
      <c r="AP237" s="576"/>
      <c r="AQ237" s="576"/>
      <c r="AR237" s="576"/>
      <c r="AS237" s="576"/>
      <c r="AT237" s="576"/>
      <c r="AU237" s="576"/>
      <c r="AV237" s="576"/>
      <c r="AW237" s="576"/>
      <c r="AX237" s="576"/>
      <c r="AY237" s="576"/>
      <c r="AZ237" s="576"/>
      <c r="BA237" s="576"/>
      <c r="BB237" s="576"/>
      <c r="BC237" s="576"/>
      <c r="BD237" s="572"/>
      <c r="BE237" s="544"/>
      <c r="BF237" s="544"/>
      <c r="BG237" s="544"/>
      <c r="BH237" s="545"/>
      <c r="BI237" s="545"/>
      <c r="BJ237" s="545"/>
      <c r="BK237" s="545"/>
      <c r="BL237" s="545"/>
      <c r="BM237" s="545"/>
      <c r="BN237" s="545"/>
      <c r="BO237" s="545"/>
      <c r="BP237" s="545"/>
      <c r="BQ237" s="545"/>
      <c r="BR237" s="545"/>
      <c r="BS237" s="545"/>
      <c r="BT237" s="545"/>
    </row>
    <row r="238" spans="1:72" ht="15.75">
      <c r="A238" s="545"/>
      <c r="B238" s="545"/>
      <c r="C238" s="545"/>
      <c r="D238" s="545"/>
      <c r="E238" s="545"/>
      <c r="F238" s="545"/>
      <c r="G238" s="545"/>
      <c r="H238" s="545"/>
      <c r="I238" s="545"/>
      <c r="J238" s="545"/>
      <c r="K238" s="545"/>
      <c r="L238" s="545"/>
      <c r="M238" s="545"/>
      <c r="N238" s="545"/>
      <c r="O238" s="545"/>
      <c r="P238" s="545"/>
      <c r="Q238" s="545"/>
      <c r="R238" s="545"/>
      <c r="S238" s="576"/>
      <c r="T238" s="576"/>
      <c r="U238" s="576"/>
      <c r="V238" s="576"/>
      <c r="W238" s="545"/>
      <c r="X238" s="545"/>
      <c r="Y238" s="576"/>
      <c r="Z238" s="576"/>
      <c r="AA238" s="545"/>
      <c r="AB238" s="545"/>
      <c r="AC238" s="545"/>
      <c r="AD238" s="576"/>
      <c r="AE238" s="576"/>
      <c r="AF238" s="576"/>
      <c r="AG238" s="576"/>
      <c r="AH238" s="576"/>
      <c r="AI238" s="576"/>
      <c r="AJ238" s="576"/>
      <c r="AK238" s="576"/>
      <c r="AL238" s="576"/>
      <c r="AM238" s="576"/>
      <c r="AN238" s="576"/>
      <c r="AO238" s="576"/>
      <c r="AP238" s="576"/>
      <c r="AQ238" s="576"/>
      <c r="AR238" s="576"/>
      <c r="AS238" s="576"/>
      <c r="AT238" s="576"/>
      <c r="AU238" s="576"/>
      <c r="AV238" s="576"/>
      <c r="AW238" s="576"/>
      <c r="AX238" s="576"/>
      <c r="AY238" s="576"/>
      <c r="AZ238" s="576"/>
      <c r="BA238" s="576"/>
      <c r="BB238" s="576"/>
      <c r="BC238" s="576"/>
      <c r="BD238" s="572"/>
      <c r="BE238" s="544"/>
      <c r="BF238" s="544"/>
      <c r="BG238" s="544"/>
      <c r="BH238" s="545"/>
      <c r="BI238" s="545"/>
      <c r="BJ238" s="545"/>
      <c r="BK238" s="545"/>
      <c r="BL238" s="545"/>
      <c r="BM238" s="545"/>
      <c r="BN238" s="545"/>
      <c r="BO238" s="545"/>
      <c r="BP238" s="545"/>
      <c r="BQ238" s="545"/>
      <c r="BR238" s="545"/>
      <c r="BS238" s="545"/>
      <c r="BT238" s="545"/>
    </row>
    <row r="239" spans="1:72" ht="15.75">
      <c r="A239" s="545"/>
      <c r="B239" s="545"/>
      <c r="C239" s="545"/>
      <c r="D239" s="545"/>
      <c r="E239" s="545"/>
      <c r="F239" s="545"/>
      <c r="G239" s="545"/>
      <c r="H239" s="545"/>
      <c r="I239" s="545"/>
      <c r="J239" s="545"/>
      <c r="K239" s="545"/>
      <c r="L239" s="545"/>
      <c r="M239" s="545"/>
      <c r="N239" s="545"/>
      <c r="O239" s="545"/>
      <c r="P239" s="545"/>
      <c r="Q239" s="545"/>
      <c r="R239" s="545"/>
      <c r="S239" s="576"/>
      <c r="T239" s="576"/>
      <c r="U239" s="576"/>
      <c r="V239" s="576"/>
      <c r="W239" s="545"/>
      <c r="X239" s="545"/>
      <c r="Y239" s="576"/>
      <c r="Z239" s="576"/>
      <c r="AA239" s="545"/>
      <c r="AB239" s="545"/>
      <c r="AC239" s="545"/>
      <c r="AD239" s="576"/>
      <c r="AE239" s="576"/>
      <c r="AF239" s="576"/>
      <c r="AG239" s="576"/>
      <c r="AH239" s="576"/>
      <c r="AI239" s="576"/>
      <c r="AJ239" s="576"/>
      <c r="AK239" s="576"/>
      <c r="AL239" s="576"/>
      <c r="AM239" s="576"/>
      <c r="AN239" s="576"/>
      <c r="AO239" s="576"/>
      <c r="AP239" s="576"/>
      <c r="AQ239" s="576"/>
      <c r="AR239" s="576"/>
      <c r="AS239" s="576"/>
      <c r="AT239" s="576"/>
      <c r="AU239" s="576"/>
      <c r="AV239" s="576"/>
      <c r="AW239" s="576"/>
      <c r="AX239" s="576"/>
      <c r="AY239" s="576"/>
      <c r="AZ239" s="576"/>
      <c r="BA239" s="576"/>
      <c r="BB239" s="576"/>
      <c r="BC239" s="576"/>
      <c r="BD239" s="572"/>
      <c r="BE239" s="544"/>
      <c r="BF239" s="544"/>
      <c r="BG239" s="544"/>
      <c r="BH239" s="545"/>
      <c r="BI239" s="545"/>
      <c r="BJ239" s="545"/>
      <c r="BK239" s="545"/>
      <c r="BL239" s="545"/>
      <c r="BM239" s="545"/>
      <c r="BN239" s="545"/>
      <c r="BO239" s="545"/>
      <c r="BP239" s="545"/>
      <c r="BQ239" s="545"/>
      <c r="BR239" s="545"/>
      <c r="BS239" s="545"/>
      <c r="BT239" s="545"/>
    </row>
    <row r="240" spans="1:72" ht="15.75">
      <c r="A240" s="545"/>
      <c r="B240" s="545"/>
      <c r="C240" s="545"/>
      <c r="D240" s="545"/>
      <c r="E240" s="545"/>
      <c r="F240" s="545"/>
      <c r="G240" s="545"/>
      <c r="H240" s="545"/>
      <c r="I240" s="545"/>
      <c r="J240" s="545"/>
      <c r="K240" s="545"/>
      <c r="L240" s="545"/>
      <c r="M240" s="545"/>
      <c r="N240" s="545"/>
      <c r="O240" s="545"/>
      <c r="P240" s="545"/>
      <c r="Q240" s="545"/>
      <c r="R240" s="545"/>
      <c r="S240" s="576"/>
      <c r="T240" s="576"/>
      <c r="U240" s="576"/>
      <c r="V240" s="576"/>
      <c r="W240" s="545"/>
      <c r="X240" s="545"/>
      <c r="Y240" s="576"/>
      <c r="Z240" s="576"/>
      <c r="AA240" s="545"/>
      <c r="AB240" s="545"/>
      <c r="AC240" s="545"/>
      <c r="AD240" s="576"/>
      <c r="AE240" s="576"/>
      <c r="AF240" s="576"/>
      <c r="AG240" s="576"/>
      <c r="AH240" s="576"/>
      <c r="AI240" s="576"/>
      <c r="AJ240" s="576"/>
      <c r="AK240" s="576"/>
      <c r="AL240" s="576"/>
      <c r="AM240" s="576"/>
      <c r="AN240" s="576"/>
      <c r="AO240" s="576"/>
      <c r="AP240" s="576"/>
      <c r="AQ240" s="576"/>
      <c r="AR240" s="576"/>
      <c r="AS240" s="576"/>
      <c r="AT240" s="576"/>
      <c r="AU240" s="576"/>
      <c r="AV240" s="576"/>
      <c r="AW240" s="576"/>
      <c r="AX240" s="576"/>
      <c r="AY240" s="576"/>
      <c r="AZ240" s="576"/>
      <c r="BA240" s="576"/>
      <c r="BB240" s="576"/>
      <c r="BC240" s="576"/>
      <c r="BD240" s="572"/>
      <c r="BE240" s="544"/>
      <c r="BF240" s="544"/>
      <c r="BG240" s="544"/>
      <c r="BH240" s="545"/>
      <c r="BI240" s="545"/>
      <c r="BJ240" s="545"/>
      <c r="BK240" s="545"/>
      <c r="BL240" s="545"/>
      <c r="BM240" s="545"/>
      <c r="BN240" s="545"/>
      <c r="BO240" s="545"/>
      <c r="BP240" s="545"/>
      <c r="BQ240" s="545"/>
      <c r="BR240" s="545"/>
      <c r="BS240" s="545"/>
      <c r="BT240" s="545"/>
    </row>
    <row r="241" spans="1:72" ht="15.75">
      <c r="A241" s="545"/>
      <c r="B241" s="545"/>
      <c r="C241" s="545"/>
      <c r="D241" s="545"/>
      <c r="E241" s="545"/>
      <c r="F241" s="545"/>
      <c r="G241" s="545"/>
      <c r="H241" s="545"/>
      <c r="I241" s="545"/>
      <c r="J241" s="545"/>
      <c r="K241" s="545"/>
      <c r="L241" s="545"/>
      <c r="M241" s="545"/>
      <c r="N241" s="545"/>
      <c r="O241" s="545"/>
      <c r="P241" s="545"/>
      <c r="Q241" s="545"/>
      <c r="R241" s="545"/>
      <c r="S241" s="576"/>
      <c r="T241" s="576"/>
      <c r="U241" s="576"/>
      <c r="V241" s="576"/>
      <c r="W241" s="545"/>
      <c r="X241" s="545"/>
      <c r="Y241" s="576"/>
      <c r="Z241" s="576"/>
      <c r="AA241" s="545"/>
      <c r="AB241" s="545"/>
      <c r="AC241" s="545"/>
      <c r="AD241" s="576"/>
      <c r="AE241" s="576"/>
      <c r="AF241" s="576"/>
      <c r="AG241" s="576"/>
      <c r="AH241" s="576"/>
      <c r="AI241" s="576"/>
      <c r="AJ241" s="576"/>
      <c r="AK241" s="576"/>
      <c r="AL241" s="576"/>
      <c r="AM241" s="576"/>
      <c r="AN241" s="576"/>
      <c r="AO241" s="576"/>
      <c r="AP241" s="576"/>
      <c r="AQ241" s="576"/>
      <c r="AR241" s="576"/>
      <c r="AS241" s="576"/>
      <c r="AT241" s="576"/>
      <c r="AU241" s="576"/>
      <c r="AV241" s="576"/>
      <c r="AW241" s="576"/>
      <c r="AX241" s="576"/>
      <c r="AY241" s="576"/>
      <c r="AZ241" s="576"/>
      <c r="BA241" s="576"/>
      <c r="BB241" s="576"/>
      <c r="BC241" s="576"/>
      <c r="BD241" s="572"/>
      <c r="BE241" s="544"/>
      <c r="BF241" s="544"/>
      <c r="BG241" s="544"/>
      <c r="BH241" s="545"/>
      <c r="BI241" s="545"/>
      <c r="BJ241" s="545"/>
      <c r="BK241" s="545"/>
      <c r="BL241" s="545"/>
      <c r="BM241" s="545"/>
      <c r="BN241" s="545"/>
      <c r="BO241" s="545"/>
      <c r="BP241" s="545"/>
      <c r="BQ241" s="545"/>
      <c r="BR241" s="545"/>
      <c r="BS241" s="545"/>
      <c r="BT241" s="545"/>
    </row>
    <row r="242" spans="1:72" ht="15.75">
      <c r="A242" s="545"/>
      <c r="B242" s="545"/>
      <c r="C242" s="545"/>
      <c r="D242" s="545"/>
      <c r="E242" s="545"/>
      <c r="F242" s="545"/>
      <c r="G242" s="545"/>
      <c r="H242" s="545"/>
      <c r="I242" s="545"/>
      <c r="J242" s="545"/>
      <c r="K242" s="545"/>
      <c r="L242" s="545"/>
      <c r="M242" s="545"/>
      <c r="N242" s="545"/>
      <c r="O242" s="545"/>
      <c r="P242" s="545"/>
      <c r="Q242" s="545"/>
      <c r="R242" s="545"/>
      <c r="S242" s="576"/>
      <c r="T242" s="576"/>
      <c r="U242" s="576"/>
      <c r="V242" s="576"/>
      <c r="W242" s="545"/>
      <c r="X242" s="545"/>
      <c r="Y242" s="576"/>
      <c r="Z242" s="576"/>
      <c r="AA242" s="545"/>
      <c r="AB242" s="545"/>
      <c r="AC242" s="545"/>
      <c r="AD242" s="576"/>
      <c r="AE242" s="576"/>
      <c r="AF242" s="576"/>
      <c r="AG242" s="576"/>
      <c r="AH242" s="576"/>
      <c r="AI242" s="576"/>
      <c r="AJ242" s="576"/>
      <c r="AK242" s="576"/>
      <c r="AL242" s="576"/>
      <c r="AM242" s="576"/>
      <c r="AN242" s="576"/>
      <c r="AO242" s="576"/>
      <c r="AP242" s="576"/>
      <c r="AQ242" s="576"/>
      <c r="AR242" s="576"/>
      <c r="AS242" s="576"/>
      <c r="AT242" s="576"/>
      <c r="AU242" s="576"/>
      <c r="AV242" s="576"/>
      <c r="AW242" s="576"/>
      <c r="AX242" s="576"/>
      <c r="AY242" s="576"/>
      <c r="AZ242" s="576"/>
      <c r="BA242" s="576"/>
      <c r="BB242" s="576"/>
      <c r="BC242" s="576"/>
      <c r="BD242" s="572"/>
      <c r="BE242" s="544"/>
      <c r="BF242" s="544"/>
      <c r="BG242" s="544"/>
      <c r="BH242" s="545"/>
      <c r="BI242" s="545"/>
      <c r="BJ242" s="545"/>
      <c r="BK242" s="545"/>
      <c r="BL242" s="545"/>
      <c r="BM242" s="545"/>
      <c r="BN242" s="545"/>
      <c r="BO242" s="545"/>
      <c r="BP242" s="545"/>
      <c r="BQ242" s="545"/>
      <c r="BR242" s="545"/>
      <c r="BS242" s="545"/>
      <c r="BT242" s="545"/>
    </row>
    <row r="243" spans="1:72" ht="15.75">
      <c r="A243" s="545"/>
      <c r="B243" s="545"/>
      <c r="C243" s="545"/>
      <c r="D243" s="545"/>
      <c r="E243" s="545"/>
      <c r="F243" s="545"/>
      <c r="G243" s="545"/>
      <c r="H243" s="545"/>
      <c r="I243" s="545"/>
      <c r="J243" s="545"/>
      <c r="K243" s="545"/>
      <c r="L243" s="545"/>
      <c r="M243" s="545"/>
      <c r="N243" s="545"/>
      <c r="O243" s="545"/>
      <c r="P243" s="545"/>
      <c r="Q243" s="545"/>
      <c r="R243" s="545"/>
      <c r="S243" s="576"/>
      <c r="T243" s="576"/>
      <c r="U243" s="576"/>
      <c r="V243" s="576"/>
      <c r="W243" s="545"/>
      <c r="X243" s="545"/>
      <c r="Y243" s="576"/>
      <c r="Z243" s="576"/>
      <c r="AA243" s="545"/>
      <c r="AB243" s="545"/>
      <c r="AC243" s="545"/>
      <c r="AD243" s="576"/>
      <c r="AE243" s="576"/>
      <c r="AF243" s="576"/>
      <c r="AG243" s="576"/>
      <c r="AH243" s="576"/>
      <c r="AI243" s="576"/>
      <c r="AJ243" s="576"/>
      <c r="AK243" s="576"/>
      <c r="AL243" s="576"/>
      <c r="AM243" s="576"/>
      <c r="AN243" s="576"/>
      <c r="AO243" s="576"/>
      <c r="AP243" s="576"/>
      <c r="AQ243" s="576"/>
      <c r="AR243" s="576"/>
      <c r="AS243" s="576"/>
      <c r="AT243" s="576"/>
      <c r="AU243" s="576"/>
      <c r="AV243" s="576"/>
      <c r="AW243" s="576"/>
      <c r="AX243" s="576"/>
      <c r="AY243" s="576"/>
      <c r="AZ243" s="576"/>
      <c r="BA243" s="576"/>
      <c r="BB243" s="576"/>
      <c r="BC243" s="576"/>
      <c r="BD243" s="572"/>
      <c r="BE243" s="544"/>
      <c r="BF243" s="544"/>
      <c r="BG243" s="544"/>
      <c r="BH243" s="545"/>
      <c r="BI243" s="545"/>
      <c r="BJ243" s="545"/>
      <c r="BK243" s="545"/>
      <c r="BL243" s="545"/>
      <c r="BM243" s="545"/>
      <c r="BN243" s="545"/>
      <c r="BO243" s="545"/>
      <c r="BP243" s="545"/>
      <c r="BQ243" s="545"/>
      <c r="BR243" s="545"/>
      <c r="BS243" s="545"/>
      <c r="BT243" s="545"/>
    </row>
    <row r="244" spans="1:72" ht="15.75">
      <c r="A244" s="545"/>
      <c r="B244" s="545"/>
      <c r="C244" s="545"/>
      <c r="D244" s="545"/>
      <c r="E244" s="545"/>
      <c r="F244" s="545"/>
      <c r="G244" s="545"/>
      <c r="H244" s="545"/>
      <c r="I244" s="545"/>
      <c r="J244" s="545"/>
      <c r="K244" s="545"/>
      <c r="L244" s="545"/>
      <c r="M244" s="545"/>
      <c r="N244" s="545"/>
      <c r="O244" s="545"/>
      <c r="P244" s="545"/>
      <c r="Q244" s="545"/>
      <c r="R244" s="545"/>
      <c r="S244" s="576"/>
      <c r="T244" s="576"/>
      <c r="U244" s="576"/>
      <c r="V244" s="576"/>
      <c r="W244" s="545"/>
      <c r="X244" s="545"/>
      <c r="Y244" s="576"/>
      <c r="Z244" s="576"/>
      <c r="AA244" s="545"/>
      <c r="AB244" s="545"/>
      <c r="AC244" s="545"/>
      <c r="AD244" s="576"/>
      <c r="AE244" s="576"/>
      <c r="AF244" s="576"/>
      <c r="AG244" s="576"/>
      <c r="AH244" s="576"/>
      <c r="AI244" s="576"/>
      <c r="AJ244" s="576"/>
      <c r="AK244" s="576"/>
      <c r="AL244" s="576"/>
      <c r="AM244" s="576"/>
      <c r="AN244" s="576"/>
      <c r="AO244" s="576"/>
      <c r="AP244" s="576"/>
      <c r="AQ244" s="576"/>
      <c r="AR244" s="576"/>
      <c r="AS244" s="576"/>
      <c r="AT244" s="576"/>
      <c r="AU244" s="576"/>
      <c r="AV244" s="576"/>
      <c r="AW244" s="576"/>
      <c r="AX244" s="576"/>
      <c r="AY244" s="576"/>
      <c r="AZ244" s="576"/>
      <c r="BA244" s="576"/>
      <c r="BB244" s="576"/>
      <c r="BC244" s="576"/>
      <c r="BD244" s="572"/>
      <c r="BE244" s="544"/>
      <c r="BF244" s="544"/>
      <c r="BG244" s="544"/>
      <c r="BH244" s="545"/>
      <c r="BI244" s="545"/>
      <c r="BJ244" s="545"/>
      <c r="BK244" s="545"/>
      <c r="BL244" s="545"/>
      <c r="BM244" s="545"/>
      <c r="BN244" s="545"/>
      <c r="BO244" s="545"/>
      <c r="BP244" s="545"/>
      <c r="BQ244" s="545"/>
      <c r="BR244" s="545"/>
      <c r="BS244" s="545"/>
      <c r="BT244" s="545"/>
    </row>
    <row r="245" spans="1:72" ht="15.75">
      <c r="A245" s="545"/>
      <c r="B245" s="545"/>
      <c r="C245" s="545"/>
      <c r="D245" s="545"/>
      <c r="E245" s="545"/>
      <c r="F245" s="545"/>
      <c r="G245" s="545"/>
      <c r="H245" s="545"/>
      <c r="I245" s="545"/>
      <c r="J245" s="545"/>
      <c r="K245" s="545"/>
      <c r="L245" s="545"/>
      <c r="M245" s="545"/>
      <c r="N245" s="545"/>
      <c r="O245" s="545"/>
      <c r="P245" s="545"/>
      <c r="Q245" s="545"/>
      <c r="R245" s="545"/>
      <c r="S245" s="576"/>
      <c r="T245" s="576"/>
      <c r="U245" s="576"/>
      <c r="V245" s="576"/>
      <c r="W245" s="545"/>
      <c r="X245" s="545"/>
      <c r="Y245" s="576"/>
      <c r="Z245" s="576"/>
      <c r="AA245" s="545"/>
      <c r="AB245" s="545"/>
      <c r="AC245" s="545"/>
      <c r="AD245" s="576"/>
      <c r="AE245" s="576"/>
      <c r="AF245" s="576"/>
      <c r="AG245" s="576"/>
      <c r="AH245" s="576"/>
      <c r="AI245" s="576"/>
      <c r="AJ245" s="576"/>
      <c r="AK245" s="576"/>
      <c r="AL245" s="576"/>
      <c r="AM245" s="576"/>
      <c r="AN245" s="576"/>
      <c r="AO245" s="576"/>
      <c r="AP245" s="576"/>
      <c r="AQ245" s="576"/>
      <c r="AR245" s="576"/>
      <c r="AS245" s="576"/>
      <c r="AT245" s="576"/>
      <c r="AU245" s="576"/>
      <c r="AV245" s="576"/>
      <c r="AW245" s="576"/>
      <c r="AX245" s="576"/>
      <c r="AY245" s="576"/>
      <c r="AZ245" s="576"/>
      <c r="BA245" s="576"/>
      <c r="BB245" s="576"/>
      <c r="BC245" s="576"/>
      <c r="BD245" s="572"/>
      <c r="BE245" s="544"/>
      <c r="BF245" s="544"/>
      <c r="BG245" s="544"/>
      <c r="BH245" s="545"/>
      <c r="BI245" s="545"/>
      <c r="BJ245" s="545"/>
      <c r="BK245" s="545"/>
      <c r="BL245" s="545"/>
      <c r="BM245" s="545"/>
      <c r="BN245" s="545"/>
      <c r="BO245" s="545"/>
      <c r="BP245" s="545"/>
      <c r="BQ245" s="545"/>
      <c r="BR245" s="545"/>
      <c r="BS245" s="545"/>
      <c r="BT245" s="545"/>
    </row>
    <row r="246" spans="1:72" ht="15.75">
      <c r="A246" s="545"/>
      <c r="B246" s="545"/>
      <c r="C246" s="545"/>
      <c r="D246" s="545"/>
      <c r="E246" s="545"/>
      <c r="F246" s="545"/>
      <c r="G246" s="545"/>
      <c r="H246" s="545"/>
      <c r="I246" s="545"/>
      <c r="J246" s="545"/>
      <c r="K246" s="545"/>
      <c r="L246" s="545"/>
      <c r="M246" s="545"/>
      <c r="N246" s="545"/>
      <c r="O246" s="545"/>
      <c r="P246" s="545"/>
      <c r="Q246" s="545"/>
      <c r="R246" s="545"/>
      <c r="S246" s="576"/>
      <c r="T246" s="576"/>
      <c r="U246" s="576"/>
      <c r="V246" s="576"/>
      <c r="W246" s="545"/>
      <c r="X246" s="545"/>
      <c r="Y246" s="576"/>
      <c r="Z246" s="576"/>
      <c r="AA246" s="545"/>
      <c r="AB246" s="545"/>
      <c r="AC246" s="545"/>
      <c r="AD246" s="576"/>
      <c r="AE246" s="576"/>
      <c r="AF246" s="576"/>
      <c r="AG246" s="576"/>
      <c r="AH246" s="576"/>
      <c r="AI246" s="576"/>
      <c r="AJ246" s="576"/>
      <c r="AK246" s="576"/>
      <c r="AL246" s="576"/>
      <c r="AM246" s="576"/>
      <c r="AN246" s="576"/>
      <c r="AO246" s="576"/>
      <c r="AP246" s="576"/>
      <c r="AQ246" s="576"/>
      <c r="AR246" s="576"/>
      <c r="AS246" s="576"/>
      <c r="AT246" s="576"/>
      <c r="AU246" s="576"/>
      <c r="AV246" s="576"/>
      <c r="AW246" s="576"/>
      <c r="AX246" s="576"/>
      <c r="AY246" s="576"/>
      <c r="AZ246" s="576"/>
      <c r="BA246" s="576"/>
      <c r="BB246" s="576"/>
      <c r="BC246" s="576"/>
      <c r="BD246" s="572"/>
      <c r="BE246" s="544"/>
      <c r="BF246" s="544"/>
      <c r="BG246" s="544"/>
      <c r="BH246" s="545"/>
      <c r="BI246" s="545"/>
      <c r="BJ246" s="545"/>
      <c r="BK246" s="545"/>
      <c r="BL246" s="545"/>
      <c r="BM246" s="545"/>
      <c r="BN246" s="545"/>
      <c r="BO246" s="545"/>
      <c r="BP246" s="545"/>
      <c r="BQ246" s="545"/>
      <c r="BR246" s="545"/>
      <c r="BS246" s="545"/>
      <c r="BT246" s="545"/>
    </row>
    <row r="247" spans="1:72" ht="15.75">
      <c r="A247" s="545"/>
      <c r="B247" s="545"/>
      <c r="C247" s="545"/>
      <c r="D247" s="545"/>
      <c r="E247" s="545"/>
      <c r="F247" s="545"/>
      <c r="G247" s="545"/>
      <c r="H247" s="545"/>
      <c r="I247" s="545"/>
      <c r="J247" s="545"/>
      <c r="K247" s="545"/>
      <c r="L247" s="545"/>
      <c r="M247" s="545"/>
      <c r="N247" s="545"/>
      <c r="O247" s="545"/>
      <c r="P247" s="545"/>
      <c r="Q247" s="545"/>
      <c r="R247" s="545"/>
      <c r="S247" s="576"/>
      <c r="T247" s="576"/>
      <c r="U247" s="576"/>
      <c r="V247" s="576"/>
      <c r="W247" s="545"/>
      <c r="X247" s="545"/>
      <c r="Y247" s="576"/>
      <c r="Z247" s="576"/>
      <c r="AA247" s="545"/>
      <c r="AB247" s="545"/>
      <c r="AC247" s="545"/>
      <c r="AD247" s="576"/>
      <c r="AE247" s="576"/>
      <c r="AF247" s="576"/>
      <c r="AG247" s="576"/>
      <c r="AH247" s="576"/>
      <c r="AI247" s="576"/>
      <c r="AJ247" s="576"/>
      <c r="AK247" s="576"/>
      <c r="AL247" s="576"/>
      <c r="AM247" s="576"/>
      <c r="AN247" s="576"/>
      <c r="AO247" s="576"/>
      <c r="AP247" s="576"/>
      <c r="AQ247" s="576"/>
      <c r="AR247" s="576"/>
      <c r="AS247" s="576"/>
      <c r="AT247" s="576"/>
      <c r="AU247" s="576"/>
      <c r="AV247" s="576"/>
      <c r="AW247" s="576"/>
      <c r="AX247" s="576"/>
      <c r="AY247" s="576"/>
      <c r="AZ247" s="576"/>
      <c r="BA247" s="576"/>
      <c r="BB247" s="576"/>
      <c r="BC247" s="576"/>
      <c r="BD247" s="572"/>
      <c r="BE247" s="544"/>
      <c r="BF247" s="544"/>
      <c r="BG247" s="544"/>
      <c r="BH247" s="545"/>
      <c r="BI247" s="545"/>
      <c r="BJ247" s="545"/>
      <c r="BK247" s="545"/>
      <c r="BL247" s="545"/>
      <c r="BM247" s="545"/>
      <c r="BN247" s="545"/>
      <c r="BO247" s="545"/>
      <c r="BP247" s="545"/>
      <c r="BQ247" s="545"/>
      <c r="BR247" s="545"/>
      <c r="BS247" s="545"/>
      <c r="BT247" s="545"/>
    </row>
    <row r="248" spans="1:72" ht="15.75">
      <c r="A248" s="545"/>
      <c r="B248" s="545"/>
      <c r="C248" s="545"/>
      <c r="D248" s="545"/>
      <c r="E248" s="545"/>
      <c r="F248" s="545"/>
      <c r="G248" s="545"/>
      <c r="H248" s="545"/>
      <c r="I248" s="545"/>
      <c r="J248" s="545"/>
      <c r="K248" s="545"/>
      <c r="L248" s="545"/>
      <c r="M248" s="545"/>
      <c r="N248" s="545"/>
      <c r="O248" s="545"/>
      <c r="P248" s="545"/>
      <c r="Q248" s="545"/>
      <c r="R248" s="545"/>
      <c r="S248" s="576"/>
      <c r="T248" s="576"/>
      <c r="U248" s="576"/>
      <c r="V248" s="576"/>
      <c r="W248" s="545"/>
      <c r="X248" s="545"/>
      <c r="Y248" s="576"/>
      <c r="Z248" s="576"/>
      <c r="AA248" s="545"/>
      <c r="AB248" s="545"/>
      <c r="AC248" s="545"/>
      <c r="AD248" s="576"/>
      <c r="AE248" s="576"/>
      <c r="AF248" s="576"/>
      <c r="AG248" s="576"/>
      <c r="AH248" s="576"/>
      <c r="AI248" s="576"/>
      <c r="AJ248" s="576"/>
      <c r="AK248" s="576"/>
      <c r="AL248" s="576"/>
      <c r="AM248" s="576"/>
      <c r="AN248" s="576"/>
      <c r="AO248" s="576"/>
      <c r="AP248" s="576"/>
      <c r="AQ248" s="576"/>
      <c r="AR248" s="576"/>
      <c r="AS248" s="576"/>
      <c r="AT248" s="576"/>
      <c r="AU248" s="576"/>
      <c r="AV248" s="576"/>
      <c r="AW248" s="576"/>
      <c r="AX248" s="576"/>
      <c r="AY248" s="576"/>
      <c r="AZ248" s="576"/>
      <c r="BA248" s="576"/>
      <c r="BB248" s="576"/>
      <c r="BC248" s="576"/>
      <c r="BD248" s="572"/>
      <c r="BE248" s="544"/>
      <c r="BF248" s="544"/>
      <c r="BG248" s="544"/>
      <c r="BH248" s="545"/>
      <c r="BI248" s="545"/>
      <c r="BJ248" s="545"/>
      <c r="BK248" s="545"/>
      <c r="BL248" s="545"/>
      <c r="BM248" s="545"/>
      <c r="BN248" s="545"/>
      <c r="BO248" s="545"/>
      <c r="BP248" s="545"/>
      <c r="BQ248" s="545"/>
      <c r="BR248" s="545"/>
      <c r="BS248" s="545"/>
      <c r="BT248" s="545"/>
    </row>
    <row r="249" spans="1:72" ht="15.75">
      <c r="A249" s="545"/>
      <c r="B249" s="545"/>
      <c r="C249" s="545"/>
      <c r="D249" s="545"/>
      <c r="E249" s="545"/>
      <c r="F249" s="545"/>
      <c r="G249" s="545"/>
      <c r="H249" s="545"/>
      <c r="I249" s="545"/>
      <c r="J249" s="545"/>
      <c r="K249" s="545"/>
      <c r="L249" s="545"/>
      <c r="M249" s="545"/>
      <c r="N249" s="545"/>
      <c r="O249" s="545"/>
      <c r="P249" s="545"/>
      <c r="Q249" s="545"/>
      <c r="R249" s="545"/>
      <c r="S249" s="576"/>
      <c r="T249" s="576"/>
      <c r="U249" s="576"/>
      <c r="V249" s="576"/>
      <c r="W249" s="545"/>
      <c r="X249" s="545"/>
      <c r="Y249" s="576"/>
      <c r="Z249" s="576"/>
      <c r="AA249" s="545"/>
      <c r="AB249" s="545"/>
      <c r="AC249" s="545"/>
      <c r="AD249" s="576"/>
      <c r="AE249" s="576"/>
      <c r="AF249" s="576"/>
      <c r="AG249" s="576"/>
      <c r="AH249" s="576"/>
      <c r="AI249" s="576"/>
      <c r="AJ249" s="576"/>
      <c r="AK249" s="576"/>
      <c r="AL249" s="576"/>
      <c r="AM249" s="576"/>
      <c r="AN249" s="576"/>
      <c r="AO249" s="576"/>
      <c r="AP249" s="576"/>
      <c r="AQ249" s="576"/>
      <c r="AR249" s="576"/>
      <c r="AS249" s="576"/>
      <c r="AT249" s="576"/>
      <c r="AU249" s="576"/>
      <c r="AV249" s="576"/>
      <c r="AW249" s="576"/>
      <c r="AX249" s="576"/>
      <c r="AY249" s="576"/>
      <c r="AZ249" s="576"/>
      <c r="BA249" s="576"/>
      <c r="BB249" s="576"/>
      <c r="BC249" s="576"/>
      <c r="BD249" s="572"/>
      <c r="BE249" s="544"/>
      <c r="BF249" s="544"/>
      <c r="BG249" s="544"/>
      <c r="BH249" s="545"/>
      <c r="BI249" s="545"/>
      <c r="BJ249" s="545"/>
      <c r="BK249" s="545"/>
      <c r="BL249" s="545"/>
      <c r="BM249" s="545"/>
      <c r="BN249" s="545"/>
      <c r="BO249" s="545"/>
      <c r="BP249" s="545"/>
      <c r="BQ249" s="545"/>
      <c r="BR249" s="545"/>
      <c r="BS249" s="545"/>
      <c r="BT249" s="545"/>
    </row>
    <row r="250" spans="1:72" ht="15.75">
      <c r="A250" s="545"/>
      <c r="B250" s="545"/>
      <c r="C250" s="545"/>
      <c r="D250" s="545"/>
      <c r="E250" s="545"/>
      <c r="F250" s="545"/>
      <c r="G250" s="545"/>
      <c r="H250" s="545"/>
      <c r="I250" s="545"/>
      <c r="J250" s="545"/>
      <c r="K250" s="545"/>
      <c r="L250" s="545"/>
      <c r="M250" s="545"/>
      <c r="N250" s="545"/>
      <c r="O250" s="545"/>
      <c r="P250" s="545"/>
      <c r="Q250" s="545"/>
      <c r="R250" s="545"/>
      <c r="S250" s="576"/>
      <c r="T250" s="576"/>
      <c r="U250" s="576"/>
      <c r="V250" s="576"/>
      <c r="W250" s="545"/>
      <c r="X250" s="545"/>
      <c r="Y250" s="576"/>
      <c r="Z250" s="576"/>
      <c r="AA250" s="545"/>
      <c r="AB250" s="545"/>
      <c r="AC250" s="545"/>
      <c r="AD250" s="576"/>
      <c r="AE250" s="576"/>
      <c r="AF250" s="576"/>
      <c r="AG250" s="576"/>
      <c r="AH250" s="576"/>
      <c r="AI250" s="576"/>
      <c r="AJ250" s="576"/>
      <c r="AK250" s="576"/>
      <c r="AL250" s="576"/>
      <c r="AM250" s="576"/>
      <c r="AN250" s="576"/>
      <c r="AO250" s="576"/>
      <c r="AP250" s="576"/>
      <c r="AQ250" s="576"/>
      <c r="AR250" s="576"/>
      <c r="AS250" s="576"/>
      <c r="AT250" s="576"/>
      <c r="AU250" s="576"/>
      <c r="AV250" s="576"/>
      <c r="AW250" s="576"/>
      <c r="AX250" s="576"/>
      <c r="AY250" s="576"/>
      <c r="AZ250" s="576"/>
      <c r="BA250" s="576"/>
      <c r="BB250" s="576"/>
      <c r="BC250" s="576"/>
      <c r="BD250" s="572"/>
      <c r="BE250" s="544"/>
      <c r="BF250" s="544"/>
      <c r="BG250" s="544"/>
      <c r="BH250" s="545"/>
      <c r="BI250" s="545"/>
      <c r="BJ250" s="545"/>
      <c r="BK250" s="545"/>
      <c r="BL250" s="545"/>
      <c r="BM250" s="545"/>
      <c r="BN250" s="545"/>
      <c r="BO250" s="545"/>
      <c r="BP250" s="545"/>
      <c r="BQ250" s="545"/>
      <c r="BR250" s="545"/>
      <c r="BS250" s="545"/>
      <c r="BT250" s="545"/>
    </row>
    <row r="251" spans="1:72" ht="15.75">
      <c r="A251" s="545"/>
      <c r="B251" s="545"/>
      <c r="C251" s="545"/>
      <c r="D251" s="545"/>
      <c r="E251" s="545"/>
      <c r="F251" s="545"/>
      <c r="G251" s="545"/>
      <c r="H251" s="545"/>
      <c r="I251" s="545"/>
      <c r="J251" s="545"/>
      <c r="K251" s="545"/>
      <c r="L251" s="545"/>
      <c r="M251" s="545"/>
      <c r="N251" s="545"/>
      <c r="O251" s="545"/>
      <c r="P251" s="545"/>
      <c r="Q251" s="545"/>
      <c r="R251" s="545"/>
      <c r="S251" s="576"/>
      <c r="T251" s="576"/>
      <c r="U251" s="576"/>
      <c r="V251" s="576"/>
      <c r="W251" s="545"/>
      <c r="X251" s="545"/>
      <c r="Y251" s="576"/>
      <c r="Z251" s="576"/>
      <c r="AA251" s="545"/>
      <c r="AB251" s="545"/>
      <c r="AC251" s="545"/>
      <c r="AD251" s="576"/>
      <c r="AE251" s="576"/>
      <c r="AF251" s="576"/>
      <c r="AG251" s="576"/>
      <c r="AH251" s="576"/>
      <c r="AI251" s="576"/>
      <c r="AJ251" s="576"/>
      <c r="AK251" s="576"/>
      <c r="AL251" s="576"/>
      <c r="AM251" s="576"/>
      <c r="AN251" s="576"/>
      <c r="AO251" s="576"/>
      <c r="AP251" s="576"/>
      <c r="AQ251" s="576"/>
      <c r="AR251" s="576"/>
      <c r="AS251" s="576"/>
      <c r="AT251" s="576"/>
      <c r="AU251" s="576"/>
      <c r="AV251" s="576"/>
      <c r="AW251" s="576"/>
      <c r="AX251" s="576"/>
      <c r="AY251" s="576"/>
      <c r="AZ251" s="576"/>
      <c r="BA251" s="576"/>
      <c r="BB251" s="576"/>
      <c r="BC251" s="576"/>
      <c r="BD251" s="572"/>
      <c r="BE251" s="544"/>
      <c r="BF251" s="544"/>
      <c r="BG251" s="544"/>
      <c r="BH251" s="545"/>
      <c r="BI251" s="545"/>
      <c r="BJ251" s="545"/>
      <c r="BK251" s="545"/>
      <c r="BL251" s="545"/>
      <c r="BM251" s="545"/>
      <c r="BN251" s="545"/>
      <c r="BO251" s="545"/>
      <c r="BP251" s="545"/>
      <c r="BQ251" s="545"/>
      <c r="BR251" s="545"/>
      <c r="BS251" s="545"/>
      <c r="BT251" s="545"/>
    </row>
    <row r="252" spans="1:72" ht="15.75">
      <c r="A252" s="545"/>
      <c r="B252" s="545"/>
      <c r="C252" s="545"/>
      <c r="D252" s="545"/>
      <c r="E252" s="545"/>
      <c r="F252" s="545"/>
      <c r="G252" s="545"/>
      <c r="H252" s="545"/>
      <c r="I252" s="545"/>
      <c r="J252" s="545"/>
      <c r="K252" s="545"/>
      <c r="L252" s="545"/>
      <c r="M252" s="545"/>
      <c r="N252" s="545"/>
      <c r="O252" s="545"/>
      <c r="P252" s="545"/>
      <c r="Q252" s="545"/>
      <c r="R252" s="545"/>
      <c r="S252" s="576"/>
      <c r="T252" s="576"/>
      <c r="U252" s="576"/>
      <c r="V252" s="576"/>
      <c r="W252" s="545"/>
      <c r="X252" s="545"/>
      <c r="Y252" s="576"/>
      <c r="Z252" s="576"/>
      <c r="AA252" s="545"/>
      <c r="AB252" s="545"/>
      <c r="AC252" s="545"/>
      <c r="AD252" s="576"/>
      <c r="AE252" s="576"/>
      <c r="AF252" s="576"/>
      <c r="AG252" s="576"/>
      <c r="AH252" s="576"/>
      <c r="AI252" s="576"/>
      <c r="AJ252" s="576"/>
      <c r="AK252" s="576"/>
      <c r="AL252" s="576"/>
      <c r="AM252" s="576"/>
      <c r="AN252" s="576"/>
      <c r="AO252" s="576"/>
      <c r="AP252" s="576"/>
      <c r="AQ252" s="576"/>
      <c r="AR252" s="576"/>
      <c r="AS252" s="576"/>
      <c r="AT252" s="576"/>
      <c r="AU252" s="576"/>
      <c r="AV252" s="576"/>
      <c r="AW252" s="576"/>
      <c r="AX252" s="576"/>
      <c r="AY252" s="576"/>
      <c r="AZ252" s="576"/>
      <c r="BA252" s="576"/>
      <c r="BB252" s="576"/>
      <c r="BC252" s="576"/>
      <c r="BD252" s="572"/>
      <c r="BE252" s="544"/>
      <c r="BF252" s="544"/>
      <c r="BG252" s="544"/>
      <c r="BH252" s="545"/>
      <c r="BI252" s="545"/>
      <c r="BJ252" s="545"/>
      <c r="BK252" s="545"/>
      <c r="BL252" s="545"/>
      <c r="BM252" s="545"/>
      <c r="BN252" s="545"/>
      <c r="BO252" s="545"/>
      <c r="BP252" s="545"/>
      <c r="BQ252" s="545"/>
      <c r="BR252" s="545"/>
      <c r="BS252" s="545"/>
      <c r="BT252" s="545"/>
    </row>
    <row r="253" spans="1:72" ht="15.75">
      <c r="A253" s="545"/>
      <c r="B253" s="545"/>
      <c r="C253" s="545"/>
      <c r="D253" s="545"/>
      <c r="E253" s="545"/>
      <c r="F253" s="545"/>
      <c r="G253" s="545"/>
      <c r="H253" s="545"/>
      <c r="I253" s="545"/>
      <c r="J253" s="545"/>
      <c r="K253" s="545"/>
      <c r="L253" s="545"/>
      <c r="M253" s="545"/>
      <c r="N253" s="545"/>
      <c r="O253" s="545"/>
      <c r="P253" s="545"/>
      <c r="Q253" s="545"/>
      <c r="R253" s="545"/>
      <c r="S253" s="576"/>
      <c r="T253" s="576"/>
      <c r="U253" s="576"/>
      <c r="V253" s="576"/>
      <c r="W253" s="545"/>
      <c r="X253" s="545"/>
      <c r="Y253" s="576"/>
      <c r="Z253" s="576"/>
      <c r="AA253" s="545"/>
      <c r="AB253" s="545"/>
      <c r="AC253" s="545"/>
      <c r="AD253" s="576"/>
      <c r="AE253" s="576"/>
      <c r="AF253" s="576"/>
      <c r="AG253" s="576"/>
      <c r="AH253" s="576"/>
      <c r="AI253" s="576"/>
      <c r="AJ253" s="576"/>
      <c r="AK253" s="576"/>
      <c r="AL253" s="576"/>
      <c r="AM253" s="576"/>
      <c r="AN253" s="576"/>
      <c r="AO253" s="576"/>
      <c r="AP253" s="576"/>
      <c r="AQ253" s="576"/>
      <c r="AR253" s="576"/>
      <c r="AS253" s="576"/>
      <c r="AT253" s="576"/>
      <c r="AU253" s="576"/>
      <c r="AV253" s="576"/>
      <c r="AW253" s="576"/>
      <c r="AX253" s="576"/>
      <c r="AY253" s="576"/>
      <c r="AZ253" s="576"/>
      <c r="BA253" s="576"/>
      <c r="BB253" s="576"/>
      <c r="BC253" s="576"/>
      <c r="BD253" s="572"/>
      <c r="BE253" s="544"/>
      <c r="BF253" s="544"/>
      <c r="BG253" s="544"/>
      <c r="BH253" s="545"/>
      <c r="BI253" s="545"/>
      <c r="BJ253" s="545"/>
      <c r="BK253" s="545"/>
      <c r="BL253" s="545"/>
      <c r="BM253" s="545"/>
      <c r="BN253" s="545"/>
      <c r="BO253" s="545"/>
      <c r="BP253" s="545"/>
      <c r="BQ253" s="545"/>
      <c r="BR253" s="545"/>
      <c r="BS253" s="545"/>
      <c r="BT253" s="545"/>
    </row>
    <row r="254" spans="1:72" ht="15.75">
      <c r="A254" s="545"/>
      <c r="B254" s="545"/>
      <c r="C254" s="545"/>
      <c r="D254" s="545"/>
      <c r="E254" s="545"/>
      <c r="F254" s="545"/>
      <c r="G254" s="545"/>
      <c r="H254" s="545"/>
      <c r="I254" s="545"/>
      <c r="J254" s="545"/>
      <c r="K254" s="545"/>
      <c r="L254" s="545"/>
      <c r="M254" s="545"/>
      <c r="N254" s="545"/>
      <c r="O254" s="545"/>
      <c r="P254" s="545"/>
      <c r="Q254" s="545"/>
      <c r="R254" s="545"/>
      <c r="S254" s="576"/>
      <c r="T254" s="576"/>
      <c r="U254" s="576"/>
      <c r="V254" s="576"/>
      <c r="W254" s="545"/>
      <c r="X254" s="545"/>
      <c r="Y254" s="576"/>
      <c r="Z254" s="576"/>
      <c r="AA254" s="545"/>
      <c r="AB254" s="545"/>
      <c r="AC254" s="545"/>
      <c r="AD254" s="576"/>
      <c r="AE254" s="576"/>
      <c r="AF254" s="576"/>
      <c r="AG254" s="576"/>
      <c r="AH254" s="576"/>
      <c r="AI254" s="576"/>
      <c r="AJ254" s="576"/>
      <c r="AK254" s="576"/>
      <c r="AL254" s="576"/>
      <c r="AM254" s="576"/>
      <c r="AN254" s="576"/>
      <c r="AO254" s="576"/>
      <c r="AP254" s="576"/>
      <c r="AQ254" s="576"/>
      <c r="AR254" s="576"/>
      <c r="AS254" s="576"/>
      <c r="AT254" s="576"/>
      <c r="AU254" s="576"/>
      <c r="AV254" s="576"/>
      <c r="AW254" s="576"/>
      <c r="AX254" s="576"/>
      <c r="AY254" s="576"/>
      <c r="AZ254" s="576"/>
      <c r="BA254" s="576"/>
      <c r="BB254" s="576"/>
      <c r="BC254" s="576"/>
      <c r="BD254" s="572"/>
      <c r="BE254" s="544"/>
      <c r="BF254" s="544"/>
      <c r="BG254" s="544"/>
      <c r="BH254" s="545"/>
      <c r="BI254" s="545"/>
      <c r="BJ254" s="545"/>
      <c r="BK254" s="545"/>
      <c r="BL254" s="545"/>
      <c r="BM254" s="545"/>
      <c r="BN254" s="545"/>
      <c r="BO254" s="545"/>
      <c r="BP254" s="545"/>
      <c r="BQ254" s="545"/>
      <c r="BR254" s="545"/>
      <c r="BS254" s="545"/>
      <c r="BT254" s="545"/>
    </row>
    <row r="255" spans="1:72" ht="15.75">
      <c r="A255" s="545"/>
      <c r="B255" s="545"/>
      <c r="C255" s="545"/>
      <c r="D255" s="545"/>
      <c r="E255" s="545"/>
      <c r="F255" s="545"/>
      <c r="G255" s="545"/>
      <c r="H255" s="545"/>
      <c r="I255" s="545"/>
      <c r="J255" s="545"/>
      <c r="K255" s="545"/>
      <c r="L255" s="545"/>
      <c r="M255" s="545"/>
      <c r="N255" s="545"/>
      <c r="O255" s="545"/>
      <c r="P255" s="545"/>
      <c r="Q255" s="545"/>
      <c r="R255" s="545"/>
      <c r="S255" s="576"/>
      <c r="T255" s="576"/>
      <c r="U255" s="576"/>
      <c r="V255" s="576"/>
      <c r="W255" s="545"/>
      <c r="X255" s="545"/>
      <c r="Y255" s="576"/>
      <c r="Z255" s="576"/>
      <c r="AA255" s="545"/>
      <c r="AB255" s="545"/>
      <c r="AC255" s="545"/>
      <c r="AD255" s="576"/>
      <c r="AE255" s="576"/>
      <c r="AF255" s="576"/>
      <c r="AG255" s="576"/>
      <c r="AH255" s="576"/>
      <c r="AI255" s="576"/>
      <c r="AJ255" s="576"/>
      <c r="AK255" s="576"/>
      <c r="AL255" s="576"/>
      <c r="AM255" s="576"/>
      <c r="AN255" s="576"/>
      <c r="AO255" s="576"/>
      <c r="AP255" s="576"/>
      <c r="AQ255" s="576"/>
      <c r="AR255" s="576"/>
      <c r="AS255" s="576"/>
      <c r="AT255" s="576"/>
      <c r="AU255" s="576"/>
      <c r="AV255" s="576"/>
      <c r="AW255" s="576"/>
      <c r="AX255" s="576"/>
      <c r="AY255" s="576"/>
      <c r="AZ255" s="576"/>
      <c r="BA255" s="576"/>
      <c r="BB255" s="576"/>
      <c r="BC255" s="576"/>
      <c r="BD255" s="572"/>
      <c r="BE255" s="544"/>
      <c r="BF255" s="544"/>
      <c r="BG255" s="544"/>
      <c r="BH255" s="545"/>
      <c r="BI255" s="545"/>
      <c r="BJ255" s="545"/>
      <c r="BK255" s="545"/>
      <c r="BL255" s="545"/>
      <c r="BM255" s="545"/>
      <c r="BN255" s="545"/>
      <c r="BO255" s="545"/>
      <c r="BP255" s="545"/>
      <c r="BQ255" s="545"/>
      <c r="BR255" s="545"/>
      <c r="BS255" s="545"/>
      <c r="BT255" s="545"/>
    </row>
    <row r="256" spans="1:72" ht="15.75">
      <c r="A256" s="545"/>
      <c r="B256" s="545"/>
      <c r="C256" s="545"/>
      <c r="D256" s="545"/>
      <c r="E256" s="545"/>
      <c r="F256" s="545"/>
      <c r="G256" s="545"/>
      <c r="H256" s="545"/>
      <c r="I256" s="545"/>
      <c r="J256" s="545"/>
      <c r="K256" s="545"/>
      <c r="L256" s="545"/>
      <c r="M256" s="545"/>
      <c r="N256" s="545"/>
      <c r="O256" s="545"/>
      <c r="P256" s="545"/>
      <c r="Q256" s="545"/>
      <c r="R256" s="545"/>
      <c r="S256" s="576"/>
      <c r="T256" s="576"/>
      <c r="U256" s="576"/>
      <c r="V256" s="576"/>
      <c r="W256" s="545"/>
      <c r="X256" s="545"/>
      <c r="Y256" s="576"/>
      <c r="Z256" s="576"/>
      <c r="AA256" s="545"/>
      <c r="AB256" s="545"/>
      <c r="AC256" s="545"/>
      <c r="AD256" s="576"/>
      <c r="AE256" s="576"/>
      <c r="AF256" s="576"/>
      <c r="AG256" s="576"/>
      <c r="AH256" s="576"/>
      <c r="AI256" s="576"/>
      <c r="AJ256" s="576"/>
      <c r="AK256" s="576"/>
      <c r="AL256" s="576"/>
      <c r="AM256" s="576"/>
      <c r="AN256" s="576"/>
      <c r="AO256" s="576"/>
      <c r="AP256" s="576"/>
      <c r="AQ256" s="576"/>
      <c r="AR256" s="576"/>
      <c r="AS256" s="576"/>
      <c r="AT256" s="576"/>
      <c r="AU256" s="576"/>
      <c r="AV256" s="576"/>
      <c r="AW256" s="576"/>
      <c r="AX256" s="576"/>
      <c r="AY256" s="576"/>
      <c r="AZ256" s="576"/>
      <c r="BA256" s="576"/>
      <c r="BB256" s="576"/>
      <c r="BC256" s="576"/>
      <c r="BD256" s="572"/>
      <c r="BE256" s="544"/>
      <c r="BF256" s="544"/>
      <c r="BG256" s="544"/>
      <c r="BH256" s="545"/>
      <c r="BI256" s="545"/>
      <c r="BJ256" s="545"/>
      <c r="BK256" s="545"/>
      <c r="BL256" s="545"/>
      <c r="BM256" s="545"/>
      <c r="BN256" s="545"/>
      <c r="BO256" s="545"/>
      <c r="BP256" s="545"/>
      <c r="BQ256" s="545"/>
      <c r="BR256" s="545"/>
      <c r="BS256" s="545"/>
      <c r="BT256" s="545"/>
    </row>
    <row r="257" spans="1:72" ht="15.75">
      <c r="A257" s="545"/>
      <c r="B257" s="545"/>
      <c r="C257" s="545"/>
      <c r="D257" s="545"/>
      <c r="E257" s="545"/>
      <c r="F257" s="545"/>
      <c r="G257" s="545"/>
      <c r="H257" s="545"/>
      <c r="I257" s="545"/>
      <c r="J257" s="545"/>
      <c r="K257" s="545"/>
      <c r="L257" s="545"/>
      <c r="M257" s="545"/>
      <c r="N257" s="545"/>
      <c r="O257" s="545"/>
      <c r="P257" s="545"/>
      <c r="Q257" s="545"/>
      <c r="R257" s="545"/>
      <c r="S257" s="576"/>
      <c r="T257" s="576"/>
      <c r="U257" s="576"/>
      <c r="V257" s="576"/>
      <c r="W257" s="545"/>
      <c r="X257" s="545"/>
      <c r="Y257" s="576"/>
      <c r="Z257" s="576"/>
      <c r="AA257" s="545"/>
      <c r="AB257" s="545"/>
      <c r="AC257" s="545"/>
      <c r="AD257" s="576"/>
      <c r="AE257" s="576"/>
      <c r="AF257" s="576"/>
      <c r="AG257" s="576"/>
      <c r="AH257" s="576"/>
      <c r="AI257" s="576"/>
      <c r="AJ257" s="576"/>
      <c r="AK257" s="576"/>
      <c r="AL257" s="576"/>
      <c r="AM257" s="576"/>
      <c r="AN257" s="576"/>
      <c r="AO257" s="576"/>
      <c r="AP257" s="576"/>
      <c r="AQ257" s="576"/>
      <c r="AR257" s="576"/>
      <c r="AS257" s="576"/>
      <c r="AT257" s="576"/>
      <c r="AU257" s="576"/>
      <c r="AV257" s="576"/>
      <c r="AW257" s="576"/>
      <c r="AX257" s="576"/>
      <c r="AY257" s="576"/>
      <c r="AZ257" s="576"/>
      <c r="BA257" s="576"/>
      <c r="BB257" s="576"/>
      <c r="BC257" s="576"/>
      <c r="BD257" s="572"/>
      <c r="BE257" s="544"/>
      <c r="BF257" s="544"/>
      <c r="BG257" s="544"/>
      <c r="BH257" s="545"/>
      <c r="BI257" s="545"/>
      <c r="BJ257" s="545"/>
      <c r="BK257" s="545"/>
      <c r="BL257" s="545"/>
      <c r="BM257" s="545"/>
      <c r="BN257" s="545"/>
      <c r="BO257" s="545"/>
      <c r="BP257" s="545"/>
      <c r="BQ257" s="545"/>
      <c r="BR257" s="545"/>
      <c r="BS257" s="545"/>
      <c r="BT257" s="545"/>
    </row>
    <row r="258" spans="1:72" ht="15.75">
      <c r="A258" s="545"/>
      <c r="B258" s="545"/>
      <c r="C258" s="545"/>
      <c r="D258" s="545"/>
      <c r="E258" s="545"/>
      <c r="F258" s="545"/>
      <c r="G258" s="545"/>
      <c r="H258" s="545"/>
      <c r="I258" s="545"/>
      <c r="J258" s="545"/>
      <c r="K258" s="545"/>
      <c r="L258" s="545"/>
      <c r="M258" s="545"/>
      <c r="N258" s="545"/>
      <c r="O258" s="545"/>
      <c r="P258" s="545"/>
      <c r="Q258" s="545"/>
      <c r="R258" s="545"/>
      <c r="S258" s="576"/>
      <c r="T258" s="576"/>
      <c r="U258" s="576"/>
      <c r="V258" s="576"/>
      <c r="W258" s="545"/>
      <c r="X258" s="545"/>
      <c r="Y258" s="576"/>
      <c r="Z258" s="576"/>
      <c r="AA258" s="545"/>
      <c r="AB258" s="545"/>
      <c r="AC258" s="545"/>
      <c r="AD258" s="576"/>
      <c r="AE258" s="576"/>
      <c r="AF258" s="576"/>
      <c r="AG258" s="576"/>
      <c r="AH258" s="576"/>
      <c r="AI258" s="576"/>
      <c r="AJ258" s="576"/>
      <c r="AK258" s="576"/>
      <c r="AL258" s="576"/>
      <c r="AM258" s="576"/>
      <c r="AN258" s="576"/>
      <c r="AO258" s="576"/>
      <c r="AP258" s="576"/>
      <c r="AQ258" s="576"/>
      <c r="AR258" s="576"/>
      <c r="AS258" s="576"/>
      <c r="AT258" s="576"/>
      <c r="AU258" s="576"/>
      <c r="AV258" s="576"/>
      <c r="AW258" s="576"/>
      <c r="AX258" s="576"/>
      <c r="AY258" s="576"/>
      <c r="AZ258" s="576"/>
      <c r="BA258" s="576"/>
      <c r="BB258" s="576"/>
      <c r="BC258" s="576"/>
      <c r="BD258" s="572"/>
      <c r="BE258" s="544"/>
      <c r="BF258" s="544"/>
      <c r="BG258" s="544"/>
      <c r="BH258" s="545"/>
      <c r="BI258" s="545"/>
      <c r="BJ258" s="545"/>
      <c r="BK258" s="545"/>
      <c r="BL258" s="545"/>
      <c r="BM258" s="545"/>
      <c r="BN258" s="545"/>
      <c r="BO258" s="545"/>
      <c r="BP258" s="545"/>
      <c r="BQ258" s="545"/>
      <c r="BR258" s="545"/>
      <c r="BS258" s="545"/>
      <c r="BT258" s="545"/>
    </row>
  </sheetData>
  <mergeCells count="29">
    <mergeCell ref="A5:BA5"/>
    <mergeCell ref="BB5:BC5"/>
    <mergeCell ref="J10:M10"/>
    <mergeCell ref="J56:M56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</mergeCells>
  <phoneticPr fontId="54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77B27-89AA-43DA-B4DA-7677DD55DC2C}">
  <dimension ref="A1:BH41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.5"/>
  <cols>
    <col min="1" max="18" width="2.625" style="35" customWidth="1"/>
    <col min="19" max="22" width="2.625" style="25" customWidth="1"/>
    <col min="23" max="24" width="2.625" style="35" customWidth="1"/>
    <col min="25" max="26" width="2.625" style="25" customWidth="1"/>
    <col min="27" max="29" width="2.625" style="35" customWidth="1"/>
    <col min="30" max="55" width="2.625" style="25" customWidth="1"/>
    <col min="56" max="56" width="2.625" style="81" customWidth="1"/>
    <col min="57" max="59" width="2.625" style="28" customWidth="1"/>
    <col min="60" max="128" width="2.625" style="35" customWidth="1"/>
    <col min="129" max="16384" width="9" style="35"/>
  </cols>
  <sheetData>
    <row r="1" spans="1:59" ht="12" customHeight="1">
      <c r="A1" s="846" t="s">
        <v>4</v>
      </c>
      <c r="B1" s="846"/>
      <c r="C1" s="846"/>
      <c r="D1" s="846"/>
      <c r="E1" s="846"/>
      <c r="F1" s="846"/>
      <c r="G1" s="846"/>
      <c r="H1" s="846"/>
      <c r="I1" s="829" t="s">
        <v>5</v>
      </c>
      <c r="J1" s="829"/>
      <c r="K1" s="829"/>
      <c r="L1" s="829"/>
      <c r="M1" s="844" t="str">
        <f>変更来歴!M1</f>
        <v>ヒロセ電機株式会社</v>
      </c>
      <c r="N1" s="844"/>
      <c r="O1" s="844"/>
      <c r="P1" s="844"/>
      <c r="Q1" s="844"/>
      <c r="R1" s="844"/>
      <c r="S1" s="844"/>
      <c r="T1" s="844"/>
      <c r="U1" s="844"/>
      <c r="V1" s="844"/>
      <c r="W1" s="844"/>
      <c r="X1" s="829" t="s">
        <v>7</v>
      </c>
      <c r="Y1" s="829"/>
      <c r="Z1" s="829"/>
      <c r="AA1" s="848" t="str">
        <f>変更来歴!AA1</f>
        <v>契約書DB</v>
      </c>
      <c r="AB1" s="848"/>
      <c r="AC1" s="848"/>
      <c r="AD1" s="848"/>
      <c r="AE1" s="848"/>
      <c r="AF1" s="848"/>
      <c r="AG1" s="848"/>
      <c r="AH1" s="848"/>
      <c r="AI1" s="848"/>
      <c r="AJ1" s="848"/>
      <c r="AK1" s="833" t="s">
        <v>8</v>
      </c>
      <c r="AL1" s="833"/>
      <c r="AM1" s="833"/>
      <c r="AN1" s="834" t="str">
        <f>変更来歴!AP7</f>
        <v>古竹</v>
      </c>
      <c r="AO1" s="834"/>
      <c r="AP1" s="834"/>
      <c r="AQ1" s="834"/>
      <c r="AR1" s="834"/>
      <c r="AS1" s="833" t="s">
        <v>9</v>
      </c>
      <c r="AT1" s="833"/>
      <c r="AU1" s="833"/>
      <c r="AV1" s="836">
        <f>変更来歴!AL7</f>
        <v>46125</v>
      </c>
      <c r="AW1" s="849"/>
      <c r="AX1" s="849"/>
      <c r="AY1" s="849"/>
      <c r="AZ1" s="825" t="s">
        <v>10</v>
      </c>
      <c r="BA1" s="826"/>
      <c r="BB1" s="826"/>
      <c r="BC1" s="827"/>
    </row>
    <row r="2" spans="1:59">
      <c r="A2" s="828" t="s">
        <v>16</v>
      </c>
      <c r="B2" s="828"/>
      <c r="C2" s="828"/>
      <c r="D2" s="828"/>
      <c r="E2" s="828"/>
      <c r="F2" s="828"/>
      <c r="G2" s="828"/>
      <c r="H2" s="828"/>
      <c r="I2" s="829" t="s">
        <v>11</v>
      </c>
      <c r="J2" s="829"/>
      <c r="K2" s="829"/>
      <c r="L2" s="829"/>
      <c r="M2" s="862" t="str">
        <f>変更来歴!M2</f>
        <v>　</v>
      </c>
      <c r="N2" s="862"/>
      <c r="O2" s="862"/>
      <c r="P2" s="862"/>
      <c r="Q2" s="862"/>
      <c r="R2" s="862"/>
      <c r="S2" s="862"/>
      <c r="T2" s="862"/>
      <c r="U2" s="862"/>
      <c r="V2" s="862"/>
      <c r="W2" s="862"/>
      <c r="X2" s="829"/>
      <c r="Y2" s="829"/>
      <c r="Z2" s="829"/>
      <c r="AA2" s="848"/>
      <c r="AB2" s="848"/>
      <c r="AC2" s="848"/>
      <c r="AD2" s="848"/>
      <c r="AE2" s="848"/>
      <c r="AF2" s="848"/>
      <c r="AG2" s="848"/>
      <c r="AH2" s="848"/>
      <c r="AI2" s="848"/>
      <c r="AJ2" s="848"/>
      <c r="AK2" s="833" t="s">
        <v>12</v>
      </c>
      <c r="AL2" s="833"/>
      <c r="AM2" s="833"/>
      <c r="AN2" s="834" t="str">
        <f ca="1">INDIRECT("変更来歴!AP" &amp; COUNTA(変更来歴!AP7:'変更来歴'!AP39) + 6)</f>
        <v>古竹</v>
      </c>
      <c r="AO2" s="834"/>
      <c r="AP2" s="834"/>
      <c r="AQ2" s="834"/>
      <c r="AR2" s="834"/>
      <c r="AS2" s="833" t="s">
        <v>13</v>
      </c>
      <c r="AT2" s="833"/>
      <c r="AU2" s="833"/>
      <c r="AV2" s="836">
        <f ca="1">INDIRECT("変更来歴!AL" &amp; COUNTA(変更来歴!AL7:'変更来歴'!AL39) + 6)</f>
        <v>46134</v>
      </c>
      <c r="AW2" s="849"/>
      <c r="AX2" s="849"/>
      <c r="AY2" s="849"/>
      <c r="AZ2" s="837" t="str">
        <f>変更来歴!AX2</f>
        <v>IMWF-53</v>
      </c>
      <c r="BA2" s="838"/>
      <c r="BB2" s="838"/>
      <c r="BC2" s="839"/>
    </row>
    <row r="3" spans="1:59" ht="12" customHeight="1">
      <c r="A3" s="843" t="str">
        <f>変更来歴!A3</f>
        <v>画面設計書</v>
      </c>
      <c r="B3" s="843"/>
      <c r="C3" s="843"/>
      <c r="D3" s="843"/>
      <c r="E3" s="843"/>
      <c r="F3" s="843"/>
      <c r="G3" s="843"/>
      <c r="H3" s="843"/>
      <c r="I3" s="829" t="s">
        <v>14</v>
      </c>
      <c r="J3" s="829"/>
      <c r="K3" s="829"/>
      <c r="L3" s="829"/>
      <c r="M3" s="844" t="str">
        <f ca="1">RIGHT(CELL("filename",A1),LEN(CELL("filename",A1))-FIND("]",CELL("filename",A1)))</f>
        <v>選択画面</v>
      </c>
      <c r="N3" s="844"/>
      <c r="O3" s="844"/>
      <c r="P3" s="844"/>
      <c r="Q3" s="844"/>
      <c r="R3" s="844"/>
      <c r="S3" s="844"/>
      <c r="T3" s="844"/>
      <c r="U3" s="844"/>
      <c r="V3" s="844"/>
      <c r="W3" s="844"/>
      <c r="X3" s="829" t="s">
        <v>27</v>
      </c>
      <c r="Y3" s="829"/>
      <c r="Z3" s="829"/>
      <c r="AA3" s="845" t="str">
        <f ca="1">MID(CELL("filename"),FIND("]",CELL("filename"))+1,LEN(CELL("filename"))) &amp; "画面"</f>
        <v>化学物質データ画面(日英併記)画面</v>
      </c>
      <c r="AB3" s="845"/>
      <c r="AC3" s="845"/>
      <c r="AD3" s="845"/>
      <c r="AE3" s="845"/>
      <c r="AF3" s="845"/>
      <c r="AG3" s="845"/>
      <c r="AH3" s="845"/>
      <c r="AI3" s="845"/>
      <c r="AJ3" s="845"/>
      <c r="AK3" s="845"/>
      <c r="AL3" s="845"/>
      <c r="AM3" s="845"/>
      <c r="AN3" s="845"/>
      <c r="AO3" s="845"/>
      <c r="AP3" s="845"/>
      <c r="AQ3" s="845"/>
      <c r="AR3" s="845"/>
      <c r="AS3" s="833" t="s">
        <v>15</v>
      </c>
      <c r="AT3" s="833"/>
      <c r="AU3" s="833"/>
      <c r="AV3" s="849" t="str">
        <f ca="1">INDIRECT("変更来歴!A" &amp; COUNTA(変更来歴!A7:'変更来歴'!A39) + 6)</f>
        <v>r1.1</v>
      </c>
      <c r="AW3" s="849"/>
      <c r="AX3" s="849"/>
      <c r="AY3" s="849"/>
      <c r="AZ3" s="840"/>
      <c r="BA3" s="841"/>
      <c r="BB3" s="841"/>
      <c r="BC3" s="842"/>
    </row>
    <row r="4" spans="1:59" ht="5.85" customHeight="1"/>
    <row r="5" spans="1:59" ht="13.5" customHeight="1">
      <c r="A5" s="864" t="str">
        <f ca="1">"画面レイアウト"&amp;"("&amp;MID(CELL("filename"),FIND("]",CELL("filename"))+1,LEN(CELL("filename")))&amp;")"</f>
        <v>画面レイアウト(化学物質データ画面(日英併記))</v>
      </c>
      <c r="B5" s="865"/>
      <c r="C5" s="865"/>
      <c r="D5" s="865"/>
      <c r="E5" s="865"/>
      <c r="F5" s="865"/>
      <c r="G5" s="865"/>
      <c r="H5" s="865"/>
      <c r="I5" s="865"/>
      <c r="J5" s="865"/>
      <c r="K5" s="865"/>
      <c r="L5" s="865"/>
      <c r="M5" s="865"/>
      <c r="N5" s="865"/>
      <c r="O5" s="865"/>
      <c r="P5" s="865"/>
      <c r="Q5" s="865"/>
      <c r="R5" s="865"/>
      <c r="S5" s="865"/>
      <c r="T5" s="865"/>
      <c r="U5" s="865"/>
      <c r="V5" s="865"/>
      <c r="W5" s="865"/>
      <c r="X5" s="865"/>
      <c r="Y5" s="865"/>
      <c r="Z5" s="865"/>
      <c r="AA5" s="865"/>
      <c r="AB5" s="865"/>
      <c r="AC5" s="865"/>
      <c r="AD5" s="865"/>
      <c r="AE5" s="865"/>
      <c r="AF5" s="865"/>
      <c r="AG5" s="865"/>
      <c r="AH5" s="865"/>
      <c r="AI5" s="865"/>
      <c r="AJ5" s="865"/>
      <c r="AK5" s="865"/>
      <c r="AL5" s="865"/>
      <c r="AM5" s="865"/>
      <c r="AN5" s="865"/>
      <c r="AO5" s="865"/>
      <c r="AP5" s="865"/>
      <c r="AQ5" s="865"/>
      <c r="AR5" s="865"/>
      <c r="AS5" s="865"/>
      <c r="AT5" s="865"/>
      <c r="AU5" s="865"/>
      <c r="AV5" s="865"/>
      <c r="AW5" s="865"/>
      <c r="AX5" s="865"/>
      <c r="AY5" s="865"/>
      <c r="AZ5" s="865"/>
      <c r="BA5" s="866"/>
      <c r="BB5" s="867" t="s">
        <v>24</v>
      </c>
      <c r="BC5" s="868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48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289</v>
      </c>
      <c r="O7" s="36"/>
      <c r="P7" s="36"/>
      <c r="Q7" s="36"/>
      <c r="R7" s="49" t="s">
        <v>47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/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359" t="s">
        <v>166</v>
      </c>
      <c r="D10" s="359"/>
      <c r="E10" s="359"/>
      <c r="F10" s="31"/>
      <c r="G10" s="31"/>
      <c r="H10" s="127"/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5.0999999999999996" customHeight="1">
      <c r="A11" s="22"/>
      <c r="B11" s="202"/>
      <c r="C11" s="204"/>
      <c r="D11" s="28"/>
      <c r="E11" s="28"/>
      <c r="F11" s="28"/>
      <c r="G11" s="28"/>
      <c r="H11" s="121"/>
      <c r="I11" s="62"/>
      <c r="J11" s="63"/>
      <c r="K11" s="62"/>
      <c r="L11" s="63"/>
      <c r="M11" s="69"/>
      <c r="N11" s="69"/>
      <c r="O11" s="65"/>
      <c r="P11" s="69"/>
      <c r="Q11" s="65"/>
      <c r="R11" s="69"/>
      <c r="S11" s="35"/>
      <c r="T11" s="28"/>
      <c r="U11" s="28"/>
      <c r="V11" s="28"/>
      <c r="W11" s="28"/>
      <c r="X11" s="28"/>
      <c r="Y11" s="121"/>
      <c r="Z11" s="62"/>
      <c r="AA11" s="63"/>
      <c r="AB11" s="62"/>
      <c r="AC11" s="63"/>
      <c r="AD11" s="69"/>
      <c r="AE11" s="69"/>
      <c r="AF11" s="65"/>
      <c r="AG11" s="69"/>
      <c r="AH11" s="69"/>
      <c r="AI11" s="64"/>
      <c r="AJ11" s="69"/>
      <c r="AK11" s="65"/>
      <c r="AL11" s="28"/>
      <c r="AM11" s="28"/>
      <c r="AN11" s="28"/>
      <c r="AO11" s="28"/>
      <c r="AP11" s="28"/>
      <c r="AQ11" s="28"/>
      <c r="AR11" s="28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28"/>
      <c r="D12" s="28" t="s">
        <v>36</v>
      </c>
      <c r="E12" s="28" t="s">
        <v>167</v>
      </c>
      <c r="G12" s="359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359" t="s">
        <v>168</v>
      </c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0999999999999996" customHeight="1">
      <c r="A15" s="22"/>
      <c r="B15" s="202"/>
      <c r="C15" s="204"/>
      <c r="D15" s="28"/>
      <c r="E15" s="28"/>
      <c r="F15" s="28"/>
      <c r="G15" s="28"/>
      <c r="H15" s="121"/>
      <c r="I15" s="62"/>
      <c r="J15" s="63"/>
      <c r="K15" s="62"/>
      <c r="L15" s="63"/>
      <c r="M15" s="69"/>
      <c r="N15" s="69"/>
      <c r="O15" s="65"/>
      <c r="P15" s="69"/>
      <c r="Q15" s="65"/>
      <c r="R15" s="69"/>
      <c r="S15" s="35"/>
      <c r="T15" s="28"/>
      <c r="U15" s="28"/>
      <c r="V15" s="28"/>
      <c r="W15" s="28"/>
      <c r="X15" s="28"/>
      <c r="Y15" s="121"/>
      <c r="Z15" s="62"/>
      <c r="AA15" s="63"/>
      <c r="AB15" s="62"/>
      <c r="AC15" s="63"/>
      <c r="AD15" s="69"/>
      <c r="AE15" s="69"/>
      <c r="AF15" s="65"/>
      <c r="AG15" s="69"/>
      <c r="AH15" s="69"/>
      <c r="AI15" s="64"/>
      <c r="AJ15" s="69"/>
      <c r="AK15" s="65"/>
      <c r="AL15" s="28"/>
      <c r="AM15" s="28"/>
      <c r="AN15" s="28"/>
      <c r="AO15" s="28"/>
      <c r="AP15" s="28"/>
      <c r="AQ15" s="28"/>
      <c r="AR15" s="28"/>
      <c r="AS15" s="63"/>
      <c r="AT15" s="64"/>
      <c r="AU15" s="63"/>
      <c r="AV15" s="65"/>
      <c r="AW15" s="65"/>
      <c r="AX15" s="65"/>
      <c r="AY15" s="31"/>
      <c r="AZ15" s="33"/>
      <c r="BA15" s="46"/>
      <c r="BB15" s="78"/>
      <c r="BC15" s="34"/>
      <c r="BD15" s="28"/>
    </row>
    <row r="16" spans="1:59" ht="13.5" customHeight="1">
      <c r="A16" s="22"/>
      <c r="B16" s="45"/>
      <c r="C16" s="43"/>
      <c r="D16" s="28" t="s">
        <v>35</v>
      </c>
      <c r="E16" s="28" t="s">
        <v>133</v>
      </c>
      <c r="F16" s="28"/>
      <c r="G16" s="28"/>
      <c r="H16" s="113"/>
      <c r="I16" s="113"/>
      <c r="J16" s="113"/>
      <c r="K16" s="28"/>
      <c r="L16" s="28"/>
      <c r="M16" s="62"/>
      <c r="N16" s="63"/>
      <c r="O16" s="65"/>
      <c r="P16" s="65"/>
      <c r="Q16" s="64"/>
      <c r="R16" s="63"/>
      <c r="S16" s="63"/>
      <c r="T16" s="63"/>
      <c r="U16" s="65"/>
      <c r="V16" s="64"/>
      <c r="W16" s="63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31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43"/>
      <c r="D17" s="31"/>
      <c r="E17" s="31"/>
      <c r="F17" s="31"/>
      <c r="G17" s="31"/>
      <c r="H17" s="62"/>
      <c r="I17" s="63"/>
      <c r="J17" s="63"/>
      <c r="K17" s="63"/>
      <c r="L17" s="64"/>
      <c r="M17" s="63"/>
      <c r="N17" s="65"/>
      <c r="O17" s="65"/>
      <c r="P17" s="65"/>
      <c r="Q17" s="65"/>
      <c r="R17" s="65"/>
      <c r="S17" s="75"/>
      <c r="T17" s="63"/>
      <c r="U17" s="63"/>
      <c r="V17" s="63"/>
      <c r="W17" s="63"/>
      <c r="X17" s="62"/>
      <c r="Y17" s="63"/>
      <c r="Z17" s="63"/>
      <c r="AA17" s="63"/>
      <c r="AB17" s="64"/>
      <c r="AC17" s="63"/>
      <c r="AD17" s="65"/>
      <c r="AE17" s="65"/>
      <c r="AF17" s="65"/>
      <c r="AG17" s="65"/>
      <c r="AH17" s="65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31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43"/>
      <c r="D18" s="31" t="s">
        <v>35</v>
      </c>
      <c r="E18" s="31" t="s">
        <v>169</v>
      </c>
      <c r="F18" s="31"/>
      <c r="G18" s="31"/>
      <c r="H18" s="62"/>
      <c r="I18" s="63"/>
      <c r="J18" s="63"/>
      <c r="K18" s="63"/>
      <c r="L18" s="64"/>
      <c r="M18" s="63"/>
      <c r="N18" s="65"/>
      <c r="O18" s="65"/>
      <c r="P18" s="65"/>
      <c r="Q18" s="65"/>
      <c r="R18" s="65"/>
      <c r="S18" s="75"/>
      <c r="T18" s="43"/>
      <c r="U18" s="31"/>
      <c r="V18" s="31"/>
      <c r="W18" s="31"/>
      <c r="X18" s="31"/>
      <c r="Y18" s="62"/>
      <c r="Z18" s="63"/>
      <c r="AA18" s="63"/>
      <c r="AB18" s="63"/>
      <c r="AC18" s="64"/>
      <c r="AD18" s="63"/>
      <c r="AE18" s="65"/>
      <c r="AF18" s="65"/>
      <c r="AG18" s="65"/>
      <c r="AH18" s="65"/>
      <c r="AI18" s="75"/>
      <c r="AJ18" s="63"/>
      <c r="AK18" s="75"/>
      <c r="AL18" s="63"/>
      <c r="AM18" s="63"/>
      <c r="AN18" s="63"/>
      <c r="AO18" s="63"/>
      <c r="AP18" s="62"/>
      <c r="AQ18" s="63"/>
      <c r="AR18" s="63"/>
      <c r="AS18" s="63"/>
      <c r="AT18" s="64"/>
      <c r="AU18" s="63"/>
      <c r="AV18" s="65"/>
      <c r="AW18" s="65"/>
      <c r="AX18" s="65"/>
      <c r="AY18" s="31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43"/>
      <c r="D19" s="31"/>
      <c r="E19" s="31"/>
      <c r="F19" s="31"/>
      <c r="G19" s="31"/>
      <c r="H19" s="62"/>
      <c r="I19" s="63"/>
      <c r="J19" s="63"/>
      <c r="K19" s="63"/>
      <c r="L19" s="64"/>
      <c r="M19" s="63"/>
      <c r="N19" s="65"/>
      <c r="O19" s="65"/>
      <c r="P19" s="82"/>
      <c r="Q19" s="65"/>
      <c r="R19" s="65"/>
      <c r="S19" s="35"/>
      <c r="T19" s="43"/>
      <c r="U19" s="63"/>
      <c r="V19" s="63"/>
      <c r="W19" s="63"/>
      <c r="X19" s="63"/>
      <c r="Y19" s="360"/>
      <c r="Z19" s="63"/>
      <c r="AA19" s="63"/>
      <c r="AB19" s="63"/>
      <c r="AC19" s="64"/>
      <c r="AD19" s="63"/>
      <c r="AE19" s="65"/>
      <c r="AF19" s="65"/>
      <c r="AG19" s="65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31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359" t="s">
        <v>170</v>
      </c>
      <c r="D20" s="31"/>
      <c r="E20" s="31"/>
      <c r="F20" s="31"/>
      <c r="G20" s="31"/>
      <c r="H20" s="62"/>
      <c r="I20" s="63"/>
      <c r="J20" s="63"/>
      <c r="K20" s="63"/>
      <c r="L20" s="75"/>
      <c r="M20" s="63"/>
      <c r="N20" s="65"/>
      <c r="O20" s="65"/>
      <c r="P20" s="65"/>
      <c r="Q20" s="65"/>
      <c r="R20" s="65"/>
      <c r="S20" s="35"/>
      <c r="T20" s="35"/>
      <c r="U20" s="35"/>
      <c r="V20" s="63"/>
      <c r="W20" s="63"/>
      <c r="X20" s="63"/>
      <c r="Y20" s="62"/>
      <c r="Z20" s="63"/>
      <c r="AA20" s="63"/>
      <c r="AB20" s="63"/>
      <c r="AC20" s="64"/>
      <c r="AD20" s="63"/>
      <c r="AE20" s="65"/>
      <c r="AF20" s="65"/>
      <c r="AG20" s="65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31"/>
      <c r="AZ20" s="33"/>
      <c r="BA20" s="46"/>
      <c r="BB20" s="78"/>
      <c r="BC20" s="34"/>
      <c r="BD20" s="28"/>
      <c r="BE20" s="35"/>
      <c r="BF20" s="35"/>
      <c r="BG20" s="35"/>
    </row>
    <row r="21" spans="1:59" ht="5.0999999999999996" customHeight="1">
      <c r="A21" s="22"/>
      <c r="B21" s="201"/>
      <c r="C21" s="43"/>
      <c r="D21" s="31"/>
      <c r="E21" s="31"/>
      <c r="F21" s="31"/>
      <c r="G21" s="31"/>
      <c r="H21" s="62"/>
      <c r="I21" s="63"/>
      <c r="J21" s="63"/>
      <c r="K21" s="63"/>
      <c r="L21" s="64"/>
      <c r="M21" s="63"/>
      <c r="N21" s="65"/>
      <c r="O21" s="65"/>
      <c r="P21" s="65"/>
      <c r="Q21" s="65"/>
      <c r="R21" s="65"/>
      <c r="S21" s="35"/>
      <c r="T21" s="75"/>
      <c r="U21" s="63"/>
      <c r="V21" s="63"/>
      <c r="W21" s="63"/>
      <c r="X21" s="63"/>
      <c r="Y21" s="62"/>
      <c r="Z21" s="63"/>
      <c r="AA21" s="63"/>
      <c r="AB21" s="63"/>
      <c r="AC21" s="64"/>
      <c r="AD21" s="63"/>
      <c r="AE21" s="65"/>
      <c r="AF21" s="65"/>
      <c r="AG21" s="65"/>
      <c r="AH21" s="65"/>
      <c r="AI21" s="75"/>
      <c r="AJ21" s="63"/>
      <c r="AK21" s="63"/>
      <c r="AL21" s="63"/>
      <c r="AM21" s="63"/>
      <c r="AN21" s="125"/>
      <c r="AO21" s="62"/>
      <c r="AP21" s="62"/>
      <c r="AQ21" s="63"/>
      <c r="AR21" s="63"/>
      <c r="AS21" s="63"/>
      <c r="AT21" s="64"/>
      <c r="AU21" s="63"/>
      <c r="AV21" s="65"/>
      <c r="AW21" s="65"/>
      <c r="AX21" s="65"/>
      <c r="AY21" s="31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28" t="s">
        <v>35</v>
      </c>
      <c r="E22" s="28" t="s">
        <v>134</v>
      </c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/>
      <c r="D23" s="31"/>
      <c r="E23" s="31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65"/>
      <c r="AQ23" s="65"/>
      <c r="AR23" s="65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13.5" customHeight="1">
      <c r="A24" s="22"/>
      <c r="B24" s="45"/>
      <c r="C24" s="43"/>
      <c r="D24" s="28" t="s">
        <v>35</v>
      </c>
      <c r="E24" s="28" t="s">
        <v>135</v>
      </c>
      <c r="F24" s="28"/>
      <c r="G24" s="28"/>
      <c r="H24" s="62"/>
      <c r="I24" s="63"/>
      <c r="J24" s="63"/>
      <c r="K24" s="63"/>
      <c r="L24" s="64"/>
      <c r="M24" s="63"/>
      <c r="N24" s="65"/>
      <c r="O24" s="65"/>
      <c r="Q24" s="64"/>
      <c r="R24" s="63"/>
      <c r="S24" s="35"/>
      <c r="T24" s="28"/>
      <c r="U24" s="28"/>
      <c r="V24" s="28"/>
      <c r="W24" s="28"/>
      <c r="Y24" s="62"/>
      <c r="Z24" s="63"/>
      <c r="AA24" s="63"/>
      <c r="AB24" s="63"/>
      <c r="AC24" s="64"/>
      <c r="AD24" s="63"/>
      <c r="AE24" s="65"/>
      <c r="AF24" s="65"/>
      <c r="AG24" s="65"/>
      <c r="AH24" s="28"/>
      <c r="AI24" s="28"/>
      <c r="AJ24" s="35"/>
      <c r="AK24" s="28"/>
      <c r="AL24" s="28"/>
      <c r="AM24" s="28"/>
      <c r="AN24" s="28"/>
      <c r="AO24" s="35"/>
      <c r="AP24" s="62"/>
      <c r="AQ24" s="63"/>
      <c r="AR24" s="63"/>
      <c r="AS24" s="63"/>
      <c r="AT24" s="64"/>
      <c r="AU24" s="63"/>
      <c r="AV24" s="65"/>
      <c r="AW24" s="65"/>
      <c r="AX24" s="65"/>
      <c r="AY24" s="63"/>
      <c r="AZ24" s="33"/>
      <c r="BA24" s="46"/>
      <c r="BB24" s="78"/>
      <c r="BC24" s="34"/>
      <c r="BD24" s="28"/>
      <c r="BE24" s="35"/>
      <c r="BF24" s="35"/>
      <c r="BG24" s="35"/>
    </row>
    <row r="25" spans="1:59" ht="13.5" customHeight="1">
      <c r="A25" s="22"/>
      <c r="B25" s="45"/>
      <c r="C25" s="28"/>
      <c r="D25" s="28"/>
      <c r="E25" s="28"/>
      <c r="F25" s="28"/>
      <c r="H25" s="62"/>
      <c r="I25" s="63"/>
      <c r="J25" s="63"/>
      <c r="K25" s="63"/>
      <c r="L25" s="64"/>
      <c r="M25" s="63"/>
      <c r="N25" s="65"/>
      <c r="O25" s="65"/>
      <c r="P25" s="65"/>
      <c r="Q25" s="64"/>
      <c r="R25" s="28"/>
      <c r="S25" s="35"/>
      <c r="T25" s="35"/>
      <c r="U25" s="28"/>
      <c r="V25" s="28"/>
      <c r="W25" s="28"/>
      <c r="Y25" s="62"/>
      <c r="Z25" s="63"/>
      <c r="AA25" s="63"/>
      <c r="AB25" s="63"/>
      <c r="AC25" s="64"/>
      <c r="AD25" s="63"/>
      <c r="AE25" s="65"/>
      <c r="AF25" s="65"/>
      <c r="AG25" s="65"/>
      <c r="AH25" s="28"/>
      <c r="AI25" s="28"/>
      <c r="AJ25" s="35"/>
      <c r="AK25" s="28"/>
      <c r="AL25" s="28"/>
      <c r="AM25" s="28"/>
      <c r="AN25" s="28"/>
      <c r="AO25" s="35"/>
      <c r="AP25" s="62"/>
      <c r="AQ25" s="63"/>
      <c r="AR25" s="63"/>
      <c r="AS25" s="63"/>
      <c r="AT25" s="62"/>
      <c r="AU25" s="64"/>
      <c r="AV25" s="62"/>
      <c r="AW25" s="63"/>
      <c r="AX25" s="63"/>
      <c r="AY25" s="63"/>
      <c r="AZ25" s="33"/>
      <c r="BA25" s="46"/>
      <c r="BB25" s="78"/>
      <c r="BC25" s="34"/>
      <c r="BD25" s="28"/>
      <c r="BE25" s="35"/>
      <c r="BF25" s="35"/>
      <c r="BG25" s="35"/>
    </row>
    <row r="26" spans="1:59" ht="14.1" customHeight="1">
      <c r="A26" s="22"/>
      <c r="B26" s="256"/>
      <c r="C26" s="361"/>
      <c r="F26" s="285"/>
      <c r="G26" s="285"/>
      <c r="H26" s="28"/>
      <c r="I26" s="147"/>
      <c r="J26" s="130"/>
      <c r="K26" s="130"/>
      <c r="L26" s="130"/>
      <c r="M26" s="146"/>
      <c r="N26" s="130"/>
      <c r="P26" s="362"/>
      <c r="R26" s="130"/>
      <c r="S26" s="35"/>
      <c r="T26" s="285"/>
      <c r="U26" s="35"/>
      <c r="V26" s="285"/>
      <c r="W26" s="285"/>
      <c r="X26" s="285"/>
      <c r="Y26" s="28"/>
      <c r="Z26" s="147"/>
      <c r="AA26" s="130"/>
      <c r="AB26" s="130"/>
      <c r="AC26" s="130"/>
      <c r="AD26" s="146"/>
      <c r="AE26" s="130"/>
      <c r="AF26" s="35"/>
      <c r="AG26" s="146"/>
      <c r="AH26" s="35"/>
      <c r="AI26" s="35"/>
      <c r="AJ26" s="35"/>
      <c r="AK26" s="285"/>
      <c r="AL26" s="35"/>
      <c r="AM26" s="285"/>
      <c r="AN26" s="35"/>
      <c r="AO26" s="35"/>
      <c r="AP26" s="28"/>
      <c r="AQ26" s="147"/>
      <c r="AR26" s="130"/>
      <c r="AS26" s="130"/>
      <c r="AT26" s="130"/>
      <c r="AU26" s="146"/>
      <c r="AV26" s="35"/>
      <c r="AW26" s="28"/>
      <c r="AX26" s="363"/>
      <c r="AY26" s="130"/>
      <c r="AZ26" s="33"/>
      <c r="BA26" s="46"/>
      <c r="BB26" s="78"/>
      <c r="BC26" s="34"/>
      <c r="BD26" s="35"/>
      <c r="BE26" s="35"/>
      <c r="BF26" s="35"/>
      <c r="BG26" s="35"/>
    </row>
    <row r="27" spans="1:59" ht="13.5" customHeight="1">
      <c r="A27" s="22"/>
      <c r="B27" s="45"/>
      <c r="C27" s="28"/>
      <c r="D27" s="28"/>
      <c r="E27" s="28"/>
      <c r="F27" s="28"/>
      <c r="H27" s="62"/>
      <c r="I27" s="63"/>
      <c r="J27" s="63"/>
      <c r="K27" s="63"/>
      <c r="L27" s="64"/>
      <c r="M27" s="63"/>
      <c r="N27" s="65"/>
      <c r="O27" s="65"/>
      <c r="P27" s="65"/>
      <c r="Q27" s="64"/>
      <c r="R27" s="28"/>
      <c r="S27" s="35"/>
      <c r="T27" s="28"/>
      <c r="U27" s="28"/>
      <c r="V27" s="28"/>
      <c r="W27" s="28"/>
      <c r="Y27" s="62"/>
      <c r="Z27" s="63"/>
      <c r="AA27" s="63"/>
      <c r="AB27" s="63"/>
      <c r="AC27" s="64"/>
      <c r="AD27" s="63"/>
      <c r="AE27" s="65"/>
      <c r="AF27" s="65"/>
      <c r="AG27" s="65"/>
      <c r="AH27" s="28"/>
      <c r="AI27" s="28"/>
      <c r="AJ27" s="35"/>
      <c r="AK27" s="28"/>
      <c r="AL27" s="28"/>
      <c r="AM27" s="28"/>
      <c r="AN27" s="28"/>
      <c r="AO27" s="35"/>
      <c r="AP27" s="62"/>
      <c r="AQ27" s="63"/>
      <c r="AR27" s="63"/>
      <c r="AS27" s="63"/>
      <c r="AT27" s="64"/>
      <c r="AU27" s="63"/>
      <c r="AV27" s="65"/>
      <c r="AW27" s="65"/>
      <c r="AX27" s="362"/>
      <c r="AY27" s="63"/>
      <c r="AZ27" s="33"/>
      <c r="BA27" s="46"/>
      <c r="BB27" s="78"/>
      <c r="BC27" s="34"/>
      <c r="BD27" s="28"/>
      <c r="BE27" s="35"/>
      <c r="BF27" s="35"/>
      <c r="BG27" s="35"/>
    </row>
    <row r="28" spans="1:59" ht="13.5" customHeight="1">
      <c r="A28" s="22"/>
      <c r="B28" s="32"/>
      <c r="C28" s="41"/>
      <c r="D28" s="41"/>
      <c r="E28" s="41"/>
      <c r="F28" s="41"/>
      <c r="G28" s="41"/>
      <c r="H28" s="193"/>
      <c r="I28" s="193"/>
      <c r="J28" s="194"/>
      <c r="K28" s="193"/>
      <c r="L28" s="194"/>
      <c r="M28" s="193"/>
      <c r="N28" s="195"/>
      <c r="O28" s="193"/>
      <c r="P28" s="194"/>
      <c r="Q28" s="194"/>
      <c r="R28" s="194"/>
      <c r="S28" s="196"/>
      <c r="T28" s="196"/>
      <c r="U28" s="196"/>
      <c r="V28" s="196"/>
      <c r="W28" s="196"/>
      <c r="X28" s="195"/>
      <c r="Y28" s="196"/>
      <c r="Z28" s="194"/>
      <c r="AA28" s="195"/>
      <c r="AB28" s="196"/>
      <c r="AC28" s="194"/>
      <c r="AD28" s="195"/>
      <c r="AE28" s="194"/>
      <c r="AF28" s="194"/>
      <c r="AG28" s="195"/>
      <c r="AH28" s="194"/>
      <c r="AI28" s="194"/>
      <c r="AJ28" s="197"/>
      <c r="AK28" s="194"/>
      <c r="AL28" s="194"/>
      <c r="AM28" s="194"/>
      <c r="AN28" s="194"/>
      <c r="AO28" s="194"/>
      <c r="AP28" s="194"/>
      <c r="AQ28" s="194"/>
      <c r="AR28" s="194"/>
      <c r="AS28" s="194"/>
      <c r="AT28" s="194"/>
      <c r="AU28" s="194"/>
      <c r="AV28" s="194"/>
      <c r="AW28" s="194"/>
      <c r="AX28" s="64"/>
      <c r="AY28" s="6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32"/>
      <c r="C29" s="41"/>
      <c r="D29" s="41"/>
      <c r="E29" s="41"/>
      <c r="F29" s="41"/>
      <c r="G29" s="41"/>
      <c r="H29" s="193"/>
      <c r="I29" s="193"/>
      <c r="J29" s="194"/>
      <c r="K29" s="193"/>
      <c r="L29" s="194"/>
      <c r="M29" s="193"/>
      <c r="N29" s="195"/>
      <c r="O29" s="193"/>
      <c r="P29" s="194"/>
      <c r="Q29" s="194"/>
      <c r="R29" s="194"/>
      <c r="S29" s="196"/>
      <c r="T29" s="196"/>
      <c r="U29" s="196"/>
      <c r="V29" s="196"/>
      <c r="W29" s="196"/>
      <c r="X29" s="195"/>
      <c r="Y29" s="196"/>
      <c r="Z29" s="194"/>
      <c r="AA29" s="195"/>
      <c r="AB29" s="196"/>
      <c r="AC29" s="194"/>
      <c r="AD29" s="195"/>
      <c r="AE29" s="194"/>
      <c r="AF29" s="194"/>
      <c r="AG29" s="195"/>
      <c r="AH29" s="194"/>
      <c r="AI29" s="194"/>
      <c r="AJ29" s="197"/>
      <c r="AK29" s="194"/>
      <c r="AL29" s="194"/>
      <c r="AM29" s="194"/>
      <c r="AN29" s="194"/>
      <c r="AO29" s="194"/>
      <c r="AP29" s="194"/>
      <c r="AQ29" s="194"/>
      <c r="AR29" s="194"/>
      <c r="AS29" s="194"/>
      <c r="AT29" s="194"/>
      <c r="AU29" s="194"/>
      <c r="AV29" s="194"/>
      <c r="AW29" s="194"/>
      <c r="AX29" s="64"/>
      <c r="AY29" s="6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41"/>
      <c r="D30" s="41"/>
      <c r="E30" s="41"/>
      <c r="F30" s="41"/>
      <c r="G30" s="41"/>
      <c r="H30" s="193"/>
      <c r="I30" s="193"/>
      <c r="J30" s="194"/>
      <c r="K30" s="193"/>
      <c r="L30" s="194"/>
      <c r="M30" s="193"/>
      <c r="N30" s="195"/>
      <c r="O30" s="193"/>
      <c r="P30" s="194"/>
      <c r="Q30" s="194"/>
      <c r="R30" s="194"/>
      <c r="S30" s="196"/>
      <c r="T30" s="196"/>
      <c r="U30" s="196"/>
      <c r="V30" s="196"/>
      <c r="W30" s="196"/>
      <c r="X30" s="195"/>
      <c r="Y30" s="196"/>
      <c r="Z30" s="194"/>
      <c r="AA30" s="195"/>
      <c r="AB30" s="196"/>
      <c r="AC30" s="194"/>
      <c r="AD30" s="195"/>
      <c r="AE30" s="194"/>
      <c r="AF30" s="194"/>
      <c r="AG30" s="195"/>
      <c r="AH30" s="194"/>
      <c r="AI30" s="194"/>
      <c r="AJ30" s="197"/>
      <c r="AK30" s="194"/>
      <c r="AL30" s="194"/>
      <c r="AM30" s="194"/>
      <c r="AN30" s="194"/>
      <c r="AO30" s="194"/>
      <c r="AP30" s="194"/>
      <c r="AQ30" s="194"/>
      <c r="AR30" s="194"/>
      <c r="AS30" s="194"/>
      <c r="AT30" s="194"/>
      <c r="AU30" s="194"/>
      <c r="AV30" s="194"/>
      <c r="AW30" s="194"/>
      <c r="AX30" s="64"/>
      <c r="AY30" s="6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41"/>
      <c r="D31" s="41"/>
      <c r="E31" s="41"/>
      <c r="F31" s="41"/>
      <c r="G31" s="41"/>
      <c r="H31" s="193"/>
      <c r="I31" s="193"/>
      <c r="J31" s="194"/>
      <c r="K31" s="193"/>
      <c r="L31" s="194"/>
      <c r="M31" s="193"/>
      <c r="N31" s="195"/>
      <c r="O31" s="193"/>
      <c r="P31" s="194"/>
      <c r="Q31" s="194"/>
      <c r="R31" s="194"/>
      <c r="S31" s="196"/>
      <c r="T31" s="196"/>
      <c r="U31" s="196"/>
      <c r="V31" s="196"/>
      <c r="W31" s="196"/>
      <c r="X31" s="195"/>
      <c r="Y31" s="196"/>
      <c r="Z31" s="194"/>
      <c r="AA31" s="195"/>
      <c r="AB31" s="196"/>
      <c r="AC31" s="194"/>
      <c r="AD31" s="195"/>
      <c r="AE31" s="194"/>
      <c r="AF31" s="194"/>
      <c r="AG31" s="195"/>
      <c r="AH31" s="194"/>
      <c r="AI31" s="194"/>
      <c r="AJ31" s="197"/>
      <c r="AK31" s="194"/>
      <c r="AL31" s="194"/>
      <c r="AM31" s="194"/>
      <c r="AN31" s="194"/>
      <c r="AO31" s="194"/>
      <c r="AP31" s="194"/>
      <c r="AQ31" s="194"/>
      <c r="AR31" s="194"/>
      <c r="AS31" s="194"/>
      <c r="AT31" s="194"/>
      <c r="AU31" s="194"/>
      <c r="AV31" s="194"/>
      <c r="AW31" s="194"/>
      <c r="AX31" s="64"/>
      <c r="AY31" s="63"/>
      <c r="AZ31" s="33"/>
      <c r="BA31" s="46"/>
      <c r="BB31" s="78"/>
      <c r="BC31" s="34"/>
      <c r="BD31" s="28"/>
      <c r="BE31" s="35"/>
      <c r="BF31" s="35"/>
      <c r="BG31" s="35"/>
    </row>
    <row r="32" spans="1:59" ht="5.0999999999999996" customHeight="1">
      <c r="A32" s="22"/>
      <c r="B32" s="32"/>
      <c r="C32" s="41"/>
      <c r="D32" s="41"/>
      <c r="E32" s="41"/>
      <c r="F32" s="41"/>
      <c r="G32" s="41"/>
      <c r="H32" s="193"/>
      <c r="I32" s="193"/>
      <c r="J32" s="194"/>
      <c r="K32" s="193"/>
      <c r="L32" s="194"/>
      <c r="M32" s="193"/>
      <c r="N32" s="195"/>
      <c r="O32" s="193"/>
      <c r="P32" s="194"/>
      <c r="Q32" s="194"/>
      <c r="R32" s="194"/>
      <c r="S32" s="196"/>
      <c r="T32" s="196"/>
      <c r="U32" s="196"/>
      <c r="V32" s="196"/>
      <c r="W32" s="196"/>
      <c r="X32" s="195"/>
      <c r="Y32" s="196"/>
      <c r="Z32" s="194"/>
      <c r="AA32" s="195"/>
      <c r="AB32" s="196"/>
      <c r="AC32" s="194"/>
      <c r="AD32" s="195"/>
      <c r="AE32" s="194"/>
      <c r="AF32" s="194"/>
      <c r="AG32" s="195"/>
      <c r="AH32" s="194"/>
      <c r="AI32" s="194"/>
      <c r="AJ32" s="197"/>
      <c r="AK32" s="194"/>
      <c r="AL32" s="194"/>
      <c r="AM32" s="194"/>
      <c r="AN32" s="194"/>
      <c r="AO32" s="194"/>
      <c r="AP32" s="194"/>
      <c r="AQ32" s="194"/>
      <c r="AR32" s="194"/>
      <c r="AS32" s="194"/>
      <c r="AT32" s="194"/>
      <c r="AU32" s="194"/>
      <c r="AV32" s="194"/>
      <c r="AW32" s="194"/>
      <c r="AX32" s="64"/>
      <c r="AY32" s="63"/>
      <c r="AZ32" s="33"/>
      <c r="BA32" s="46"/>
      <c r="BB32" s="78"/>
      <c r="BC32" s="34"/>
      <c r="BD32" s="28"/>
      <c r="BE32" s="35"/>
      <c r="BF32" s="35"/>
      <c r="BG32" s="35"/>
    </row>
    <row r="33" spans="1:60" ht="13.5" customHeight="1">
      <c r="A33" s="22"/>
      <c r="B33" s="32"/>
      <c r="C33" s="41"/>
      <c r="D33" s="41"/>
      <c r="E33" s="41"/>
      <c r="F33" s="41"/>
      <c r="G33" s="41"/>
      <c r="H33" s="193"/>
      <c r="I33" s="193"/>
      <c r="J33" s="194"/>
      <c r="K33" s="193"/>
      <c r="L33" s="194"/>
      <c r="M33" s="193"/>
      <c r="N33" s="195"/>
      <c r="O33" s="193"/>
      <c r="P33" s="194"/>
      <c r="Q33" s="194"/>
      <c r="R33" s="194"/>
      <c r="S33" s="196"/>
      <c r="T33" s="196"/>
      <c r="U33" s="196"/>
      <c r="V33" s="196"/>
      <c r="W33" s="196"/>
      <c r="X33" s="195"/>
      <c r="Y33" s="196"/>
      <c r="Z33" s="194"/>
      <c r="AA33" s="195"/>
      <c r="AB33" s="196"/>
      <c r="AC33" s="194"/>
      <c r="AD33" s="195"/>
      <c r="AE33" s="194"/>
      <c r="AF33" s="194"/>
      <c r="AG33" s="195"/>
      <c r="AH33" s="194"/>
      <c r="AI33" s="194"/>
      <c r="AJ33" s="197"/>
      <c r="AK33" s="194"/>
      <c r="AL33" s="194"/>
      <c r="AM33" s="194"/>
      <c r="AN33" s="194"/>
      <c r="AO33" s="194"/>
      <c r="AP33" s="194"/>
      <c r="AQ33" s="194"/>
      <c r="AR33" s="194"/>
      <c r="AS33" s="194"/>
      <c r="AT33" s="194"/>
      <c r="AU33" s="194"/>
      <c r="AV33" s="194"/>
      <c r="AW33" s="194"/>
      <c r="AX33" s="64"/>
      <c r="AY33" s="63"/>
      <c r="AZ33" s="33"/>
      <c r="BA33" s="46"/>
      <c r="BB33" s="78"/>
      <c r="BC33" s="34"/>
      <c r="BD33" s="28"/>
      <c r="BE33" s="35"/>
      <c r="BF33" s="35"/>
      <c r="BG33" s="35"/>
    </row>
    <row r="34" spans="1:60" ht="13.5" customHeight="1">
      <c r="A34" s="22"/>
      <c r="B34" s="32"/>
      <c r="C34" s="41"/>
      <c r="D34" s="41"/>
      <c r="E34" s="41"/>
      <c r="F34" s="41"/>
      <c r="G34" s="41"/>
      <c r="H34" s="193"/>
      <c r="I34" s="193"/>
      <c r="J34" s="194"/>
      <c r="K34" s="193"/>
      <c r="L34" s="194"/>
      <c r="M34" s="193"/>
      <c r="N34" s="195"/>
      <c r="O34" s="193"/>
      <c r="P34" s="194"/>
      <c r="Q34" s="194"/>
      <c r="R34" s="194"/>
      <c r="S34" s="196"/>
      <c r="T34" s="196"/>
      <c r="U34" s="196"/>
      <c r="V34" s="196"/>
      <c r="W34" s="196"/>
      <c r="X34" s="195"/>
      <c r="Y34" s="196"/>
      <c r="Z34" s="194"/>
      <c r="AA34" s="195"/>
      <c r="AB34" s="196"/>
      <c r="AC34" s="194"/>
      <c r="AD34" s="195"/>
      <c r="AE34" s="194"/>
      <c r="AF34" s="194"/>
      <c r="AG34" s="195"/>
      <c r="AH34" s="194"/>
      <c r="AI34" s="194"/>
      <c r="AJ34" s="197"/>
      <c r="AK34" s="194"/>
      <c r="AL34" s="194"/>
      <c r="AM34" s="194"/>
      <c r="AN34" s="194"/>
      <c r="AO34" s="194"/>
      <c r="AP34" s="194"/>
      <c r="AQ34" s="194"/>
      <c r="AR34" s="194"/>
      <c r="AS34" s="194"/>
      <c r="AT34" s="194"/>
      <c r="AU34" s="194"/>
      <c r="AV34" s="194"/>
      <c r="AW34" s="194"/>
      <c r="AX34" s="64"/>
      <c r="AY34" s="63"/>
      <c r="AZ34" s="33"/>
      <c r="BA34" s="46"/>
      <c r="BB34" s="78"/>
      <c r="BC34" s="34"/>
      <c r="BD34" s="28"/>
      <c r="BE34" s="35"/>
      <c r="BF34" s="35"/>
      <c r="BG34" s="35"/>
    </row>
    <row r="35" spans="1:60" ht="13.5" customHeight="1">
      <c r="A35" s="22"/>
      <c r="B35" s="32"/>
      <c r="C35" s="41"/>
      <c r="D35" s="41"/>
      <c r="E35" s="41"/>
      <c r="F35" s="41"/>
      <c r="G35" s="41"/>
      <c r="H35" s="193"/>
      <c r="I35" s="193"/>
      <c r="J35" s="194"/>
      <c r="K35" s="193"/>
      <c r="L35" s="194"/>
      <c r="M35" s="193"/>
      <c r="N35" s="195"/>
      <c r="O35" s="193"/>
      <c r="P35" s="194"/>
      <c r="Q35" s="194"/>
      <c r="R35" s="194"/>
      <c r="S35" s="196"/>
      <c r="T35" s="196"/>
      <c r="U35" s="196"/>
      <c r="V35" s="196"/>
      <c r="W35" s="196"/>
      <c r="X35" s="195"/>
      <c r="Y35" s="196"/>
      <c r="Z35" s="194"/>
      <c r="AA35" s="195"/>
      <c r="AB35" s="196"/>
      <c r="AC35" s="194"/>
      <c r="AD35" s="195"/>
      <c r="AE35" s="194"/>
      <c r="AF35" s="194"/>
      <c r="AG35" s="195"/>
      <c r="AH35" s="194"/>
      <c r="AI35" s="194"/>
      <c r="AJ35" s="197"/>
      <c r="AK35" s="194"/>
      <c r="AL35" s="194"/>
      <c r="AM35" s="194"/>
      <c r="AN35" s="194"/>
      <c r="AO35" s="194"/>
      <c r="AP35" s="194"/>
      <c r="AQ35" s="194"/>
      <c r="AR35" s="194"/>
      <c r="AS35" s="194"/>
      <c r="AT35" s="194"/>
      <c r="AU35" s="194"/>
      <c r="AV35" s="194"/>
      <c r="AW35" s="194"/>
      <c r="AX35" s="64"/>
      <c r="AY35" s="63"/>
      <c r="AZ35" s="33"/>
      <c r="BA35" s="46"/>
      <c r="BB35" s="78"/>
      <c r="BC35" s="34"/>
      <c r="BD35" s="28"/>
      <c r="BE35" s="35"/>
      <c r="BF35" s="35"/>
      <c r="BG35" s="35"/>
    </row>
    <row r="36" spans="1:60" ht="13.5" customHeight="1">
      <c r="A36" s="22"/>
      <c r="B36" s="202">
        <v>4</v>
      </c>
      <c r="C36" s="43"/>
      <c r="D36" s="31"/>
      <c r="E36" s="31"/>
      <c r="F36" s="31"/>
      <c r="G36" s="31"/>
      <c r="H36" s="62"/>
      <c r="I36" s="63"/>
      <c r="J36" s="63"/>
      <c r="K36" s="63"/>
      <c r="L36" s="64"/>
      <c r="M36" s="63"/>
      <c r="N36" s="65"/>
      <c r="O36" s="65"/>
      <c r="P36" s="65"/>
      <c r="Q36" s="65"/>
      <c r="R36" s="65"/>
      <c r="S36" s="75"/>
      <c r="T36" s="63"/>
      <c r="U36" s="63"/>
      <c r="V36" s="63"/>
      <c r="W36" s="63"/>
      <c r="X36" s="62"/>
      <c r="Y36" s="63"/>
      <c r="Z36" s="63"/>
      <c r="AA36" s="63"/>
      <c r="AB36" s="64"/>
      <c r="AC36" s="63"/>
      <c r="AD36" s="65"/>
      <c r="AE36" s="65"/>
      <c r="AF36" s="65"/>
      <c r="AG36" s="65"/>
      <c r="AH36" s="65"/>
      <c r="AI36" s="75"/>
      <c r="AJ36" s="63"/>
      <c r="AK36" s="63"/>
      <c r="AL36" s="63"/>
      <c r="AM36" s="63"/>
      <c r="AN36" s="125"/>
      <c r="AO36" s="62"/>
      <c r="AP36" s="62"/>
      <c r="AQ36" s="63"/>
      <c r="AR36" s="63"/>
      <c r="AS36" s="63"/>
      <c r="AT36" s="64"/>
      <c r="AU36" s="63"/>
      <c r="AV36" s="65"/>
      <c r="AW36" s="65"/>
      <c r="AX36" s="65"/>
      <c r="AY36" s="31"/>
      <c r="AZ36" s="33"/>
      <c r="BA36" s="46"/>
      <c r="BB36" s="78"/>
      <c r="BC36" s="34"/>
      <c r="BD36" s="35"/>
      <c r="BE36" s="35"/>
      <c r="BF36" s="35"/>
      <c r="BG36" s="35"/>
    </row>
    <row r="37" spans="1:60" ht="14.1" customHeight="1">
      <c r="A37" s="22"/>
      <c r="B37" s="202"/>
      <c r="C37" s="331"/>
      <c r="D37" s="332"/>
      <c r="E37" s="65"/>
      <c r="F37" s="65"/>
      <c r="G37" s="65"/>
      <c r="H37" s="65"/>
      <c r="I37" s="65"/>
      <c r="J37" s="354"/>
      <c r="K37" s="354"/>
      <c r="L37" s="354"/>
      <c r="M37" s="354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  <c r="AA37" s="65"/>
      <c r="AB37" s="65"/>
      <c r="AC37" s="65"/>
      <c r="AD37" s="65"/>
      <c r="AE37" s="65"/>
      <c r="AF37" s="65"/>
      <c r="AG37" s="65"/>
      <c r="AH37" s="65"/>
      <c r="AI37" s="65"/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125"/>
      <c r="AU37" s="65"/>
      <c r="AV37" s="65"/>
      <c r="AW37" s="65"/>
      <c r="AX37" s="65"/>
      <c r="AY37" s="65"/>
      <c r="AZ37" s="33"/>
      <c r="BA37" s="46"/>
      <c r="BB37" s="335"/>
      <c r="BC37" s="336"/>
      <c r="BD37" s="28"/>
      <c r="BG37" s="24"/>
      <c r="BH37" s="28"/>
    </row>
    <row r="38" spans="1:60" ht="13.5" customHeight="1">
      <c r="A38" s="22"/>
      <c r="B38" s="202">
        <v>36</v>
      </c>
      <c r="C38" s="331"/>
      <c r="D38" s="332"/>
      <c r="E38" s="65"/>
      <c r="F38" s="65"/>
      <c r="G38" s="65"/>
      <c r="H38" s="65"/>
      <c r="I38" s="65"/>
      <c r="J38" s="1067"/>
      <c r="K38" s="1067"/>
      <c r="L38" s="1067"/>
      <c r="M38" s="1067"/>
      <c r="N38" s="63"/>
      <c r="O38" s="65"/>
      <c r="P38" s="65"/>
      <c r="Q38" s="65"/>
      <c r="R38" s="28"/>
      <c r="S38" s="28"/>
      <c r="T38" s="31"/>
      <c r="U38" s="31"/>
      <c r="V38" s="31"/>
      <c r="W38" s="31"/>
      <c r="X38" s="31"/>
      <c r="Y38" s="44"/>
      <c r="Z38" s="31"/>
      <c r="AA38" s="28"/>
      <c r="AB38" s="44"/>
      <c r="AC38" s="31"/>
      <c r="AD38" s="28"/>
      <c r="AE38" s="44"/>
      <c r="AF38" s="28"/>
      <c r="AG38" s="116"/>
      <c r="AH38" s="41"/>
      <c r="AI38" s="116"/>
      <c r="AJ38" s="116"/>
      <c r="AK38" s="116"/>
      <c r="AL38" s="116"/>
      <c r="AM38" s="116"/>
      <c r="AN38" s="116"/>
      <c r="AO38" s="116"/>
      <c r="AP38" s="116"/>
      <c r="AQ38" s="116"/>
      <c r="AR38" s="116"/>
      <c r="AS38" s="116"/>
      <c r="AT38" s="116"/>
      <c r="AU38" s="116"/>
      <c r="AV38" s="116"/>
      <c r="AW38" s="116"/>
      <c r="AX38" s="116"/>
      <c r="AY38" s="116"/>
      <c r="AZ38" s="33"/>
      <c r="BA38" s="46"/>
      <c r="BB38" s="335"/>
      <c r="BC38" s="336"/>
      <c r="BD38" s="28"/>
      <c r="BG38" s="24"/>
      <c r="BH38" s="28"/>
    </row>
    <row r="39" spans="1:60" ht="13.5" customHeight="1">
      <c r="A39" s="22"/>
      <c r="B39" s="202">
        <v>37</v>
      </c>
      <c r="C39" s="331"/>
      <c r="D39" s="332"/>
      <c r="E39" s="65"/>
      <c r="F39" s="65"/>
      <c r="G39" s="65"/>
      <c r="H39" s="65"/>
      <c r="I39" s="65"/>
      <c r="J39" s="1067"/>
      <c r="K39" s="1067"/>
      <c r="L39" s="1067"/>
      <c r="M39" s="1067"/>
      <c r="N39" s="193"/>
      <c r="O39" s="195"/>
      <c r="P39" s="193"/>
      <c r="Q39" s="194"/>
      <c r="R39" s="194"/>
      <c r="S39" s="194"/>
      <c r="T39" s="196"/>
      <c r="U39" s="196"/>
      <c r="V39" s="196"/>
      <c r="W39" s="196"/>
      <c r="X39" s="196"/>
      <c r="Y39" s="195"/>
      <c r="Z39" s="196"/>
      <c r="AA39" s="194"/>
      <c r="AB39" s="195"/>
      <c r="AC39" s="196"/>
      <c r="AD39" s="194"/>
      <c r="AE39" s="195"/>
      <c r="AF39" s="194"/>
      <c r="AG39" s="194"/>
      <c r="AH39" s="195"/>
      <c r="AI39" s="194"/>
      <c r="AJ39" s="194"/>
      <c r="AK39" s="197"/>
      <c r="AL39" s="194"/>
      <c r="AM39" s="194"/>
      <c r="AN39" s="194"/>
      <c r="AO39" s="194"/>
      <c r="AP39" s="194"/>
      <c r="AQ39" s="194"/>
      <c r="AR39" s="194"/>
      <c r="AS39" s="194"/>
      <c r="AT39" s="194"/>
      <c r="AU39" s="194"/>
      <c r="AV39" s="194"/>
      <c r="AW39" s="194"/>
      <c r="AX39" s="194"/>
      <c r="AY39" s="194"/>
      <c r="AZ39" s="33"/>
      <c r="BA39" s="46"/>
      <c r="BB39" s="335"/>
      <c r="BC39" s="336"/>
      <c r="BD39" s="28"/>
      <c r="BG39" s="24"/>
      <c r="BH39" s="28"/>
    </row>
    <row r="40" spans="1:60">
      <c r="A40" s="22"/>
      <c r="B40" s="32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81"/>
      <c r="T40" s="81"/>
      <c r="U40" s="81"/>
      <c r="V40" s="81"/>
      <c r="W40" s="28"/>
      <c r="X40" s="28"/>
      <c r="Y40" s="81"/>
      <c r="Z40" s="81"/>
      <c r="AA40" s="28"/>
      <c r="AB40" s="28"/>
      <c r="AC40" s="28"/>
      <c r="AD40" s="81"/>
      <c r="AE40" s="81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81"/>
      <c r="AS40" s="81"/>
      <c r="AT40" s="81"/>
      <c r="AU40" s="81"/>
      <c r="AV40" s="81"/>
      <c r="AW40" s="81"/>
      <c r="AX40" s="81"/>
      <c r="AY40" s="31"/>
      <c r="AZ40" s="33"/>
      <c r="BA40" s="46"/>
      <c r="BB40" s="335"/>
      <c r="BC40" s="336"/>
    </row>
    <row r="41" spans="1:60">
      <c r="A41" s="155"/>
      <c r="B41" s="95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110"/>
      <c r="N41" s="110"/>
      <c r="O41" s="110"/>
      <c r="P41" s="110"/>
      <c r="Q41" s="110"/>
      <c r="R41" s="110"/>
      <c r="S41" s="156"/>
      <c r="T41" s="156"/>
      <c r="U41" s="156"/>
      <c r="V41" s="156"/>
      <c r="W41" s="110"/>
      <c r="X41" s="110"/>
      <c r="Y41" s="156"/>
      <c r="Z41" s="156"/>
      <c r="AA41" s="110"/>
      <c r="AB41" s="110"/>
      <c r="AC41" s="110"/>
      <c r="AD41" s="156"/>
      <c r="AE41" s="156"/>
      <c r="AF41" s="156"/>
      <c r="AG41" s="156"/>
      <c r="AH41" s="156"/>
      <c r="AI41" s="156"/>
      <c r="AJ41" s="156"/>
      <c r="AK41" s="156"/>
      <c r="AL41" s="156"/>
      <c r="AM41" s="156"/>
      <c r="AN41" s="156"/>
      <c r="AO41" s="156"/>
      <c r="AP41" s="156"/>
      <c r="AQ41" s="156"/>
      <c r="AR41" s="156"/>
      <c r="AS41" s="156"/>
      <c r="AT41" s="156"/>
      <c r="AU41" s="156"/>
      <c r="AV41" s="156"/>
      <c r="AW41" s="156"/>
      <c r="AX41" s="156"/>
      <c r="AY41" s="95"/>
      <c r="AZ41" s="95"/>
      <c r="BA41" s="157"/>
      <c r="BB41" s="355"/>
      <c r="BC41" s="356"/>
    </row>
  </sheetData>
  <mergeCells count="29"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J38:M38"/>
    <mergeCell ref="J39:M39"/>
    <mergeCell ref="A5:BA5"/>
    <mergeCell ref="BB5:BC5"/>
    <mergeCell ref="AV2:AY2"/>
    <mergeCell ref="AZ2:BC3"/>
    <mergeCell ref="A3:H3"/>
    <mergeCell ref="I3:L3"/>
    <mergeCell ref="M3:W3"/>
    <mergeCell ref="X3:Z3"/>
    <mergeCell ref="AA3:AR3"/>
    <mergeCell ref="AS3:AU3"/>
    <mergeCell ref="AV3:AY3"/>
  </mergeCells>
  <phoneticPr fontId="54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O106"/>
  <sheetViews>
    <sheetView showGridLines="0" topLeftCell="A5" zoomScaleNormal="100" zoomScaleSheetLayoutView="100" workbookViewId="0">
      <pane ySplit="2" topLeftCell="A83" activePane="bottomLeft" state="frozen"/>
      <selection activeCell="Z20" sqref="Z20"/>
      <selection pane="bottomLeft" activeCell="Z20" sqref="Z20"/>
    </sheetView>
  </sheetViews>
  <sheetFormatPr defaultColWidth="9" defaultRowHeight="13.5"/>
  <cols>
    <col min="1" max="18" width="2.625" style="35" customWidth="1"/>
    <col min="19" max="22" width="2.625" style="25" customWidth="1"/>
    <col min="23" max="24" width="2.625" style="35" customWidth="1"/>
    <col min="25" max="26" width="2.625" style="25" customWidth="1"/>
    <col min="27" max="29" width="2.625" style="35" customWidth="1"/>
    <col min="30" max="55" width="2.625" style="25" customWidth="1"/>
    <col min="56" max="56" width="2.625" style="81" customWidth="1"/>
    <col min="57" max="59" width="2.625" style="28" customWidth="1"/>
    <col min="60" max="128" width="2.625" style="35" customWidth="1"/>
    <col min="129" max="16384" width="9" style="35"/>
  </cols>
  <sheetData>
    <row r="1" spans="1:59" ht="12" customHeight="1">
      <c r="A1" s="846" t="s">
        <v>4</v>
      </c>
      <c r="B1" s="846"/>
      <c r="C1" s="846"/>
      <c r="D1" s="846"/>
      <c r="E1" s="846"/>
      <c r="F1" s="846"/>
      <c r="G1" s="846"/>
      <c r="H1" s="846"/>
      <c r="I1" s="829" t="s">
        <v>5</v>
      </c>
      <c r="J1" s="829"/>
      <c r="K1" s="829"/>
      <c r="L1" s="829"/>
      <c r="M1" s="844" t="str">
        <f>変更来歴!M1</f>
        <v>ヒロセ電機株式会社</v>
      </c>
      <c r="N1" s="844"/>
      <c r="O1" s="844"/>
      <c r="P1" s="844"/>
      <c r="Q1" s="844"/>
      <c r="R1" s="844"/>
      <c r="S1" s="844"/>
      <c r="T1" s="844"/>
      <c r="U1" s="844"/>
      <c r="V1" s="844"/>
      <c r="W1" s="844"/>
      <c r="X1" s="829" t="s">
        <v>7</v>
      </c>
      <c r="Y1" s="829"/>
      <c r="Z1" s="829"/>
      <c r="AA1" s="848" t="str">
        <f>変更来歴!AA1</f>
        <v>契約書DB</v>
      </c>
      <c r="AB1" s="848"/>
      <c r="AC1" s="848"/>
      <c r="AD1" s="848"/>
      <c r="AE1" s="848"/>
      <c r="AF1" s="848"/>
      <c r="AG1" s="848"/>
      <c r="AH1" s="848"/>
      <c r="AI1" s="848"/>
      <c r="AJ1" s="848"/>
      <c r="AK1" s="833" t="s">
        <v>8</v>
      </c>
      <c r="AL1" s="833"/>
      <c r="AM1" s="833"/>
      <c r="AN1" s="834" t="str">
        <f>変更来歴!AP7</f>
        <v>古竹</v>
      </c>
      <c r="AO1" s="834"/>
      <c r="AP1" s="834"/>
      <c r="AQ1" s="834"/>
      <c r="AR1" s="834"/>
      <c r="AS1" s="833" t="s">
        <v>9</v>
      </c>
      <c r="AT1" s="833"/>
      <c r="AU1" s="833"/>
      <c r="AV1" s="836">
        <f>変更来歴!AL7</f>
        <v>46125</v>
      </c>
      <c r="AW1" s="849"/>
      <c r="AX1" s="849"/>
      <c r="AY1" s="849"/>
      <c r="AZ1" s="825" t="s">
        <v>10</v>
      </c>
      <c r="BA1" s="826"/>
      <c r="BB1" s="826"/>
      <c r="BC1" s="827"/>
    </row>
    <row r="2" spans="1:59">
      <c r="A2" s="828" t="s">
        <v>16</v>
      </c>
      <c r="B2" s="828"/>
      <c r="C2" s="828"/>
      <c r="D2" s="828"/>
      <c r="E2" s="828"/>
      <c r="F2" s="828"/>
      <c r="G2" s="828"/>
      <c r="H2" s="828"/>
      <c r="I2" s="829" t="s">
        <v>11</v>
      </c>
      <c r="J2" s="829"/>
      <c r="K2" s="829"/>
      <c r="L2" s="829"/>
      <c r="M2" s="862" t="str">
        <f>変更来歴!M2</f>
        <v>　</v>
      </c>
      <c r="N2" s="862"/>
      <c r="O2" s="862"/>
      <c r="P2" s="862"/>
      <c r="Q2" s="862"/>
      <c r="R2" s="862"/>
      <c r="S2" s="862"/>
      <c r="T2" s="862"/>
      <c r="U2" s="862"/>
      <c r="V2" s="862"/>
      <c r="W2" s="862"/>
      <c r="X2" s="829"/>
      <c r="Y2" s="829"/>
      <c r="Z2" s="829"/>
      <c r="AA2" s="848"/>
      <c r="AB2" s="848"/>
      <c r="AC2" s="848"/>
      <c r="AD2" s="848"/>
      <c r="AE2" s="848"/>
      <c r="AF2" s="848"/>
      <c r="AG2" s="848"/>
      <c r="AH2" s="848"/>
      <c r="AI2" s="848"/>
      <c r="AJ2" s="848"/>
      <c r="AK2" s="833" t="s">
        <v>12</v>
      </c>
      <c r="AL2" s="833"/>
      <c r="AM2" s="833"/>
      <c r="AN2" s="834" t="str">
        <f ca="1">INDIRECT("変更来歴!AP" &amp; COUNTA(変更来歴!AP7:'変更来歴'!AP39) + 6)</f>
        <v>古竹</v>
      </c>
      <c r="AO2" s="834"/>
      <c r="AP2" s="834"/>
      <c r="AQ2" s="834"/>
      <c r="AR2" s="834"/>
      <c r="AS2" s="833" t="s">
        <v>13</v>
      </c>
      <c r="AT2" s="833"/>
      <c r="AU2" s="833"/>
      <c r="AV2" s="836">
        <f ca="1">INDIRECT("変更来歴!AL" &amp; COUNTA(変更来歴!AL7:'変更来歴'!AL39) + 6)</f>
        <v>46134</v>
      </c>
      <c r="AW2" s="849"/>
      <c r="AX2" s="849"/>
      <c r="AY2" s="849"/>
      <c r="AZ2" s="837" t="str">
        <f>変更来歴!AX2</f>
        <v>IMWF-53</v>
      </c>
      <c r="BA2" s="838"/>
      <c r="BB2" s="838"/>
      <c r="BC2" s="839"/>
    </row>
    <row r="3" spans="1:59" ht="12" customHeight="1">
      <c r="A3" s="843" t="str">
        <f>変更来歴!A3</f>
        <v>画面設計書</v>
      </c>
      <c r="B3" s="843"/>
      <c r="C3" s="843"/>
      <c r="D3" s="843"/>
      <c r="E3" s="843"/>
      <c r="F3" s="843"/>
      <c r="G3" s="843"/>
      <c r="H3" s="843"/>
      <c r="I3" s="829" t="s">
        <v>14</v>
      </c>
      <c r="J3" s="829"/>
      <c r="K3" s="829"/>
      <c r="L3" s="829"/>
      <c r="M3" s="844" t="str">
        <f ca="1">RIGHT(CELL("filename",A1),LEN(CELL("filename",A1))-FIND("]",CELL("filename",A1)))</f>
        <v>円(PPM)</v>
      </c>
      <c r="N3" s="844"/>
      <c r="O3" s="844"/>
      <c r="P3" s="844"/>
      <c r="Q3" s="844"/>
      <c r="R3" s="844"/>
      <c r="S3" s="844"/>
      <c r="T3" s="844"/>
      <c r="U3" s="844"/>
      <c r="V3" s="844"/>
      <c r="W3" s="844"/>
      <c r="X3" s="829" t="s">
        <v>27</v>
      </c>
      <c r="Y3" s="829"/>
      <c r="Z3" s="829"/>
      <c r="AA3" s="845" t="str">
        <f ca="1">MID(CELL("filename"),FIND("]",CELL("filename"))+1,LEN(CELL("filename"))) &amp; "画面"</f>
        <v>化学物質データ画面(日英併記)画面</v>
      </c>
      <c r="AB3" s="845"/>
      <c r="AC3" s="845"/>
      <c r="AD3" s="845"/>
      <c r="AE3" s="845"/>
      <c r="AF3" s="845"/>
      <c r="AG3" s="845"/>
      <c r="AH3" s="845"/>
      <c r="AI3" s="845"/>
      <c r="AJ3" s="845"/>
      <c r="AK3" s="845"/>
      <c r="AL3" s="845"/>
      <c r="AM3" s="845"/>
      <c r="AN3" s="845"/>
      <c r="AO3" s="845"/>
      <c r="AP3" s="845"/>
      <c r="AQ3" s="845"/>
      <c r="AR3" s="845"/>
      <c r="AS3" s="833" t="s">
        <v>15</v>
      </c>
      <c r="AT3" s="833"/>
      <c r="AU3" s="833"/>
      <c r="AV3" s="849" t="str">
        <f ca="1">INDIRECT("変更来歴!A" &amp; COUNTA(変更来歴!A7:'変更来歴'!A39) + 6)</f>
        <v>r1.1</v>
      </c>
      <c r="AW3" s="849"/>
      <c r="AX3" s="849"/>
      <c r="AY3" s="849"/>
      <c r="AZ3" s="840"/>
      <c r="BA3" s="841"/>
      <c r="BB3" s="841"/>
      <c r="BC3" s="842"/>
    </row>
    <row r="4" spans="1:59" ht="5.85" customHeight="1"/>
    <row r="5" spans="1:59" ht="13.5" customHeight="1">
      <c r="A5" s="864" t="str">
        <f ca="1">"画面レイアウト"&amp;"("&amp;MID(CELL("filename"),FIND("]",CELL("filename"))+1,LEN(CELL("filename")))&amp;")"</f>
        <v>画面レイアウト(化学物質データ画面(日英併記))</v>
      </c>
      <c r="B5" s="865"/>
      <c r="C5" s="865"/>
      <c r="D5" s="865"/>
      <c r="E5" s="865"/>
      <c r="F5" s="865"/>
      <c r="G5" s="865"/>
      <c r="H5" s="865"/>
      <c r="I5" s="865"/>
      <c r="J5" s="865"/>
      <c r="K5" s="865"/>
      <c r="L5" s="865"/>
      <c r="M5" s="865"/>
      <c r="N5" s="865"/>
      <c r="O5" s="865"/>
      <c r="P5" s="865"/>
      <c r="Q5" s="865"/>
      <c r="R5" s="865"/>
      <c r="S5" s="865"/>
      <c r="T5" s="865"/>
      <c r="U5" s="865"/>
      <c r="V5" s="865"/>
      <c r="W5" s="865"/>
      <c r="X5" s="865"/>
      <c r="Y5" s="865"/>
      <c r="Z5" s="865"/>
      <c r="AA5" s="865"/>
      <c r="AB5" s="865"/>
      <c r="AC5" s="865"/>
      <c r="AD5" s="865"/>
      <c r="AE5" s="865"/>
      <c r="AF5" s="865"/>
      <c r="AG5" s="865"/>
      <c r="AH5" s="865"/>
      <c r="AI5" s="865"/>
      <c r="AJ5" s="865"/>
      <c r="AK5" s="865"/>
      <c r="AL5" s="865"/>
      <c r="AM5" s="865"/>
      <c r="AN5" s="865"/>
      <c r="AO5" s="865"/>
      <c r="AP5" s="865"/>
      <c r="AQ5" s="865"/>
      <c r="AR5" s="865"/>
      <c r="AS5" s="865"/>
      <c r="AT5" s="865"/>
      <c r="AU5" s="865"/>
      <c r="AV5" s="865"/>
      <c r="AW5" s="865"/>
      <c r="AX5" s="865"/>
      <c r="AY5" s="865"/>
      <c r="AZ5" s="865"/>
      <c r="BA5" s="866"/>
      <c r="BB5" s="867" t="s">
        <v>24</v>
      </c>
      <c r="BC5" s="868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48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289</v>
      </c>
      <c r="O7" s="36"/>
      <c r="P7" s="36"/>
      <c r="Q7" s="36"/>
      <c r="R7" s="49" t="s">
        <v>288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49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50</v>
      </c>
      <c r="D10" s="31"/>
      <c r="E10" s="31"/>
      <c r="F10" s="31" t="s">
        <v>54</v>
      </c>
      <c r="G10" s="31"/>
      <c r="H10" s="127" t="s">
        <v>53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51</v>
      </c>
      <c r="D11" s="31"/>
      <c r="E11" s="31"/>
      <c r="F11" s="31" t="s">
        <v>54</v>
      </c>
      <c r="G11" s="31"/>
      <c r="H11" s="75" t="s">
        <v>55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52</v>
      </c>
      <c r="D12" s="31"/>
      <c r="E12" s="31"/>
      <c r="F12" s="31" t="s">
        <v>54</v>
      </c>
      <c r="G12" s="31"/>
      <c r="H12" s="75" t="s">
        <v>56</v>
      </c>
      <c r="I12" s="75"/>
      <c r="J12" s="75"/>
      <c r="K12" s="75"/>
      <c r="L12" s="75" t="s">
        <v>57</v>
      </c>
      <c r="M12" s="75"/>
      <c r="N12" s="75"/>
      <c r="O12" s="75" t="s">
        <v>58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104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0999999999999996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105</v>
      </c>
      <c r="D16" s="28"/>
      <c r="E16" s="28"/>
      <c r="F16" s="28"/>
      <c r="G16" s="28"/>
      <c r="H16" s="255" t="s">
        <v>171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59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60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61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62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63</v>
      </c>
      <c r="U19" s="63"/>
      <c r="V19" s="63"/>
      <c r="W19" s="63"/>
      <c r="X19" s="63"/>
      <c r="Y19" s="124" t="s">
        <v>71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107</v>
      </c>
      <c r="D20" s="31"/>
      <c r="E20" s="31"/>
      <c r="F20" s="31"/>
      <c r="G20" s="31"/>
      <c r="H20" s="58"/>
      <c r="I20" s="59"/>
      <c r="J20" s="59"/>
      <c r="K20" s="59"/>
      <c r="L20" s="299" t="s">
        <v>108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0999999999999996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109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0999999999999996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110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111</v>
      </c>
      <c r="Q25" s="64"/>
      <c r="R25" s="63"/>
      <c r="S25" s="35"/>
      <c r="T25" s="28" t="s">
        <v>120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113</v>
      </c>
      <c r="AH25" s="28"/>
      <c r="AI25" s="28"/>
      <c r="AJ25" s="35"/>
      <c r="AK25" s="28" t="s">
        <v>114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115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112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 t="s">
        <v>116</v>
      </c>
      <c r="S26" s="35"/>
      <c r="T26" s="35"/>
      <c r="U26" s="28"/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35"/>
      <c r="AK26" s="28"/>
      <c r="AL26" s="28"/>
      <c r="AM26" s="28"/>
      <c r="AN26" s="28"/>
      <c r="AO26" s="35"/>
      <c r="AP26" s="102"/>
      <c r="AQ26" s="103"/>
      <c r="AR26" s="103"/>
      <c r="AS26" s="103"/>
      <c r="AT26" s="102"/>
      <c r="AU26" s="104"/>
      <c r="AV26" s="102"/>
      <c r="AW26" s="103"/>
      <c r="AX26" s="63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" customHeight="1">
      <c r="A27" s="22"/>
      <c r="B27" s="256"/>
      <c r="C27" s="284" t="s">
        <v>118</v>
      </c>
      <c r="F27" s="285"/>
      <c r="G27" s="285"/>
      <c r="H27" s="98" t="s">
        <v>123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121</v>
      </c>
      <c r="U27" s="35"/>
      <c r="V27" s="285"/>
      <c r="W27" s="285"/>
      <c r="X27" s="285"/>
      <c r="Y27" s="98" t="s">
        <v>124</v>
      </c>
      <c r="Z27" s="257"/>
      <c r="AA27" s="258"/>
      <c r="AB27" s="258"/>
      <c r="AC27" s="258"/>
      <c r="AD27" s="259"/>
      <c r="AE27" s="258"/>
      <c r="AF27" s="110"/>
      <c r="AG27" s="261" t="s">
        <v>33</v>
      </c>
      <c r="AH27" s="35"/>
      <c r="AI27" s="35"/>
      <c r="AJ27" s="35"/>
      <c r="AK27" s="285" t="s">
        <v>122</v>
      </c>
      <c r="AL27" s="35"/>
      <c r="AM27" s="285"/>
      <c r="AN27" s="35"/>
      <c r="AO27" s="35"/>
      <c r="AP27" s="98" t="s">
        <v>117</v>
      </c>
      <c r="AQ27" s="257"/>
      <c r="AR27" s="258"/>
      <c r="AS27" s="258"/>
      <c r="AT27" s="258"/>
      <c r="AU27" s="259"/>
      <c r="AV27" s="110"/>
      <c r="AW27" s="37"/>
      <c r="AX27" s="262" t="s">
        <v>33</v>
      </c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126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131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94" t="s">
        <v>130</v>
      </c>
      <c r="AH28" s="28"/>
      <c r="AI28" s="28"/>
      <c r="AJ28" s="35"/>
      <c r="AK28" s="28" t="s">
        <v>119</v>
      </c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260" t="s">
        <v>33</v>
      </c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32"/>
      <c r="C29" s="287" t="s">
        <v>125</v>
      </c>
      <c r="D29" s="41"/>
      <c r="E29" s="41"/>
      <c r="F29" s="41"/>
      <c r="G29" s="41"/>
      <c r="H29" s="163"/>
      <c r="I29" s="164"/>
      <c r="J29" s="165"/>
      <c r="K29" s="164"/>
      <c r="L29" s="165"/>
      <c r="M29" s="164"/>
      <c r="N29" s="166"/>
      <c r="O29" s="164"/>
      <c r="P29" s="165"/>
      <c r="Q29" s="165"/>
      <c r="R29" s="165"/>
      <c r="S29" s="167"/>
      <c r="T29" s="167"/>
      <c r="U29" s="167"/>
      <c r="V29" s="167"/>
      <c r="W29" s="167"/>
      <c r="X29" s="166"/>
      <c r="Y29" s="167"/>
      <c r="Z29" s="165"/>
      <c r="AA29" s="166"/>
      <c r="AB29" s="167"/>
      <c r="AC29" s="165"/>
      <c r="AD29" s="166"/>
      <c r="AE29" s="165"/>
      <c r="AF29" s="165"/>
      <c r="AG29" s="166"/>
      <c r="AH29" s="165"/>
      <c r="AI29" s="165"/>
      <c r="AJ29" s="168"/>
      <c r="AK29" s="165"/>
      <c r="AL29" s="165"/>
      <c r="AM29" s="165"/>
      <c r="AN29" s="165"/>
      <c r="AO29" s="165"/>
      <c r="AP29" s="165"/>
      <c r="AQ29" s="165"/>
      <c r="AR29" s="165"/>
      <c r="AS29" s="165"/>
      <c r="AT29" s="165"/>
      <c r="AU29" s="165"/>
      <c r="AV29" s="165"/>
      <c r="AW29" s="165"/>
      <c r="AX29" s="160" t="s">
        <v>37</v>
      </c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/>
      <c r="D30" s="41"/>
      <c r="E30" s="41"/>
      <c r="F30" s="41"/>
      <c r="G30" s="41"/>
      <c r="H30" s="169"/>
      <c r="I30" s="170"/>
      <c r="J30" s="171"/>
      <c r="K30" s="170"/>
      <c r="L30" s="171"/>
      <c r="M30" s="170"/>
      <c r="N30" s="172"/>
      <c r="O30" s="170"/>
      <c r="P30" s="171"/>
      <c r="Q30" s="171"/>
      <c r="R30" s="171"/>
      <c r="S30" s="173"/>
      <c r="T30" s="173"/>
      <c r="U30" s="173"/>
      <c r="V30" s="173"/>
      <c r="W30" s="173"/>
      <c r="X30" s="172"/>
      <c r="Y30" s="173"/>
      <c r="Z30" s="171"/>
      <c r="AA30" s="172"/>
      <c r="AB30" s="173"/>
      <c r="AC30" s="171"/>
      <c r="AD30" s="172"/>
      <c r="AE30" s="171"/>
      <c r="AF30" s="171"/>
      <c r="AG30" s="172"/>
      <c r="AH30" s="171"/>
      <c r="AI30" s="171"/>
      <c r="AJ30" s="174"/>
      <c r="AK30" s="171"/>
      <c r="AL30" s="171"/>
      <c r="AM30" s="171"/>
      <c r="AN30" s="171"/>
      <c r="AO30" s="171"/>
      <c r="AP30" s="171"/>
      <c r="AQ30" s="171"/>
      <c r="AR30" s="171"/>
      <c r="AS30" s="171"/>
      <c r="AT30" s="171"/>
      <c r="AU30" s="171"/>
      <c r="AV30" s="171"/>
      <c r="AW30" s="171"/>
      <c r="AX30" s="122" t="s">
        <v>33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 t="s">
        <v>127</v>
      </c>
      <c r="D31" s="41"/>
      <c r="E31" s="41"/>
      <c r="F31" s="41"/>
      <c r="G31" s="41"/>
      <c r="H31" s="163" t="s">
        <v>172</v>
      </c>
      <c r="I31" s="164"/>
      <c r="J31" s="165"/>
      <c r="K31" s="164"/>
      <c r="L31" s="165"/>
      <c r="M31" s="164"/>
      <c r="N31" s="166"/>
      <c r="O31" s="164"/>
      <c r="P31" s="165"/>
      <c r="Q31" s="165"/>
      <c r="R31" s="165"/>
      <c r="S31" s="167"/>
      <c r="T31" s="167"/>
      <c r="U31" s="167"/>
      <c r="V31" s="167"/>
      <c r="W31" s="167"/>
      <c r="X31" s="166"/>
      <c r="Y31" s="167"/>
      <c r="Z31" s="165"/>
      <c r="AA31" s="166"/>
      <c r="AB31" s="167"/>
      <c r="AC31" s="165"/>
      <c r="AD31" s="166"/>
      <c r="AE31" s="165"/>
      <c r="AF31" s="165"/>
      <c r="AG31" s="166"/>
      <c r="AH31" s="165"/>
      <c r="AI31" s="165"/>
      <c r="AJ31" s="168"/>
      <c r="AK31" s="165"/>
      <c r="AL31" s="165"/>
      <c r="AM31" s="165"/>
      <c r="AN31" s="165"/>
      <c r="AO31" s="165"/>
      <c r="AP31" s="165"/>
      <c r="AQ31" s="165"/>
      <c r="AR31" s="165"/>
      <c r="AS31" s="165"/>
      <c r="AT31" s="165"/>
      <c r="AU31" s="165"/>
      <c r="AV31" s="165"/>
      <c r="AW31" s="165"/>
      <c r="AX31" s="160" t="s">
        <v>37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/>
      <c r="D32" s="41"/>
      <c r="E32" s="41"/>
      <c r="F32" s="41"/>
      <c r="G32" s="41"/>
      <c r="H32" s="169"/>
      <c r="I32" s="170"/>
      <c r="J32" s="171"/>
      <c r="K32" s="170"/>
      <c r="L32" s="171"/>
      <c r="M32" s="170"/>
      <c r="N32" s="172"/>
      <c r="O32" s="170"/>
      <c r="P32" s="171"/>
      <c r="Q32" s="171"/>
      <c r="R32" s="171"/>
      <c r="S32" s="173"/>
      <c r="T32" s="173"/>
      <c r="U32" s="173"/>
      <c r="V32" s="173"/>
      <c r="W32" s="173"/>
      <c r="X32" s="172"/>
      <c r="Y32" s="173"/>
      <c r="Z32" s="171"/>
      <c r="AA32" s="172"/>
      <c r="AB32" s="173"/>
      <c r="AC32" s="171"/>
      <c r="AD32" s="172"/>
      <c r="AE32" s="171"/>
      <c r="AF32" s="171"/>
      <c r="AG32" s="172"/>
      <c r="AH32" s="171"/>
      <c r="AI32" s="171"/>
      <c r="AJ32" s="174"/>
      <c r="AK32" s="171"/>
      <c r="AL32" s="171"/>
      <c r="AM32" s="171"/>
      <c r="AN32" s="171"/>
      <c r="AO32" s="171"/>
      <c r="AP32" s="171"/>
      <c r="AQ32" s="171"/>
      <c r="AR32" s="171"/>
      <c r="AS32" s="171"/>
      <c r="AT32" s="171"/>
      <c r="AU32" s="171"/>
      <c r="AV32" s="171"/>
      <c r="AW32" s="171"/>
      <c r="AX32" s="122" t="s">
        <v>33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87" t="s">
        <v>128</v>
      </c>
      <c r="D33" s="41"/>
      <c r="E33" s="41"/>
      <c r="F33" s="41"/>
      <c r="G33" s="41"/>
      <c r="H33" s="163"/>
      <c r="I33" s="164"/>
      <c r="J33" s="165"/>
      <c r="K33" s="164"/>
      <c r="L33" s="165"/>
      <c r="M33" s="164"/>
      <c r="N33" s="166"/>
      <c r="O33" s="164"/>
      <c r="P33" s="165"/>
      <c r="Q33" s="165"/>
      <c r="R33" s="165"/>
      <c r="S33" s="167"/>
      <c r="T33" s="167"/>
      <c r="U33" s="167"/>
      <c r="V33" s="167"/>
      <c r="W33" s="167"/>
      <c r="X33" s="166"/>
      <c r="Y33" s="167"/>
      <c r="Z33" s="165"/>
      <c r="AA33" s="166"/>
      <c r="AB33" s="167"/>
      <c r="AC33" s="165"/>
      <c r="AD33" s="166"/>
      <c r="AE33" s="165"/>
      <c r="AF33" s="165"/>
      <c r="AG33" s="166"/>
      <c r="AH33" s="165"/>
      <c r="AI33" s="165"/>
      <c r="AJ33" s="168"/>
      <c r="AK33" s="165"/>
      <c r="AL33" s="165"/>
      <c r="AM33" s="165"/>
      <c r="AN33" s="165"/>
      <c r="AO33" s="165"/>
      <c r="AP33" s="165"/>
      <c r="AQ33" s="165"/>
      <c r="AR33" s="165"/>
      <c r="AS33" s="165"/>
      <c r="AT33" s="165"/>
      <c r="AU33" s="165"/>
      <c r="AV33" s="165"/>
      <c r="AW33" s="165"/>
      <c r="AX33" s="160" t="s">
        <v>37</v>
      </c>
      <c r="AY33" s="63"/>
      <c r="AZ33" s="490"/>
      <c r="BA33" s="46"/>
      <c r="BB33" s="78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87"/>
      <c r="D34" s="41"/>
      <c r="E34" s="41"/>
      <c r="F34" s="41"/>
      <c r="G34" s="41"/>
      <c r="H34" s="169"/>
      <c r="I34" s="170"/>
      <c r="J34" s="171"/>
      <c r="K34" s="170"/>
      <c r="L34" s="171"/>
      <c r="M34" s="170"/>
      <c r="N34" s="172"/>
      <c r="O34" s="170"/>
      <c r="P34" s="171"/>
      <c r="Q34" s="171"/>
      <c r="R34" s="171"/>
      <c r="S34" s="173"/>
      <c r="T34" s="173"/>
      <c r="U34" s="173"/>
      <c r="V34" s="173"/>
      <c r="W34" s="173"/>
      <c r="X34" s="172"/>
      <c r="Y34" s="173"/>
      <c r="Z34" s="171"/>
      <c r="AA34" s="172"/>
      <c r="AB34" s="173"/>
      <c r="AC34" s="171"/>
      <c r="AD34" s="172"/>
      <c r="AE34" s="171"/>
      <c r="AF34" s="171"/>
      <c r="AG34" s="172"/>
      <c r="AH34" s="171"/>
      <c r="AI34" s="171"/>
      <c r="AJ34" s="174"/>
      <c r="AK34" s="171"/>
      <c r="AL34" s="171"/>
      <c r="AM34" s="171"/>
      <c r="AN34" s="171"/>
      <c r="AO34" s="171"/>
      <c r="AP34" s="171"/>
      <c r="AQ34" s="171"/>
      <c r="AR34" s="171"/>
      <c r="AS34" s="171"/>
      <c r="AT34" s="171"/>
      <c r="AU34" s="171"/>
      <c r="AV34" s="171"/>
      <c r="AW34" s="171"/>
      <c r="AX34" s="122" t="s">
        <v>33</v>
      </c>
      <c r="AY34" s="63"/>
      <c r="AZ34" s="490"/>
      <c r="BA34" s="46"/>
      <c r="BB34" s="78"/>
      <c r="BC34" s="34"/>
      <c r="BD34" s="28"/>
      <c r="BE34" s="35"/>
      <c r="BF34" s="35"/>
      <c r="BG34" s="35"/>
    </row>
    <row r="35" spans="1:59" ht="5.0999999999999996" customHeight="1">
      <c r="A35" s="22"/>
      <c r="B35" s="32"/>
      <c r="C35" s="288"/>
      <c r="D35" s="289"/>
      <c r="E35" s="289"/>
      <c r="F35" s="289"/>
      <c r="G35" s="289"/>
      <c r="H35" s="290"/>
      <c r="I35" s="290"/>
      <c r="J35" s="291"/>
      <c r="K35" s="290"/>
      <c r="L35" s="291"/>
      <c r="M35" s="290"/>
      <c r="N35" s="292"/>
      <c r="O35" s="290"/>
      <c r="P35" s="291"/>
      <c r="Q35" s="291"/>
      <c r="R35" s="291"/>
      <c r="S35" s="293"/>
      <c r="T35" s="293"/>
      <c r="U35" s="293"/>
      <c r="V35" s="293"/>
      <c r="W35" s="293"/>
      <c r="X35" s="292"/>
      <c r="Y35" s="293"/>
      <c r="Z35" s="291"/>
      <c r="AA35" s="292"/>
      <c r="AB35" s="293"/>
      <c r="AC35" s="291"/>
      <c r="AD35" s="292"/>
      <c r="AE35" s="291"/>
      <c r="AF35" s="291"/>
      <c r="AG35" s="292"/>
      <c r="AH35" s="291"/>
      <c r="AI35" s="291"/>
      <c r="AJ35" s="294"/>
      <c r="AK35" s="291"/>
      <c r="AL35" s="291"/>
      <c r="AM35" s="291"/>
      <c r="AN35" s="291"/>
      <c r="AO35" s="291"/>
      <c r="AP35" s="291"/>
      <c r="AQ35" s="291"/>
      <c r="AR35" s="291"/>
      <c r="AS35" s="291"/>
      <c r="AT35" s="291"/>
      <c r="AU35" s="291"/>
      <c r="AV35" s="291"/>
      <c r="AW35" s="291"/>
      <c r="AX35" s="276"/>
      <c r="AY35" s="295"/>
      <c r="AZ35" s="33"/>
      <c r="BA35" s="46"/>
      <c r="BB35" s="78"/>
      <c r="BC35" s="34"/>
      <c r="BD35" s="28"/>
      <c r="BE35" s="35"/>
      <c r="BF35" s="35"/>
      <c r="BG35" s="35"/>
    </row>
    <row r="36" spans="1:59" ht="13.5" customHeight="1">
      <c r="A36" s="22"/>
      <c r="B36" s="32"/>
      <c r="C36" s="41"/>
      <c r="D36" s="41"/>
      <c r="E36" s="41"/>
      <c r="F36" s="41"/>
      <c r="G36" s="41"/>
      <c r="H36" s="364"/>
      <c r="I36" s="364"/>
      <c r="J36" s="365"/>
      <c r="K36" s="364"/>
      <c r="L36" s="365"/>
      <c r="M36" s="364"/>
      <c r="N36" s="366"/>
      <c r="O36" s="364"/>
      <c r="P36" s="365"/>
      <c r="Q36" s="365"/>
      <c r="R36" s="365"/>
      <c r="S36" s="367"/>
      <c r="T36" s="367"/>
      <c r="U36" s="367"/>
      <c r="V36" s="367"/>
      <c r="W36" s="367"/>
      <c r="X36" s="366"/>
      <c r="Y36" s="367"/>
      <c r="Z36" s="365"/>
      <c r="AA36" s="366"/>
      <c r="AB36" s="367"/>
      <c r="AC36" s="365"/>
      <c r="AD36" s="366"/>
      <c r="AE36" s="365"/>
      <c r="AF36" s="365"/>
      <c r="AG36" s="366"/>
      <c r="AH36" s="365"/>
      <c r="AI36" s="365"/>
      <c r="AJ36" s="368"/>
      <c r="AK36" s="365"/>
      <c r="AL36" s="365"/>
      <c r="AM36" s="365"/>
      <c r="AN36" s="365"/>
      <c r="AO36" s="365"/>
      <c r="AP36" s="365"/>
      <c r="AQ36" s="365"/>
      <c r="AR36" s="365"/>
      <c r="AS36" s="365"/>
      <c r="AT36" s="365"/>
      <c r="AU36" s="365"/>
      <c r="AV36" s="365"/>
      <c r="AW36" s="365"/>
      <c r="AX36" s="280"/>
      <c r="AY36" s="63"/>
      <c r="AZ36" s="33"/>
      <c r="BA36" s="46"/>
      <c r="BB36" s="78"/>
      <c r="BC36" s="34"/>
      <c r="BD36" s="28"/>
      <c r="BE36" s="35"/>
      <c r="BF36" s="35"/>
      <c r="BG36" s="35"/>
    </row>
    <row r="37" spans="1:59" ht="13.5" customHeight="1">
      <c r="A37" s="22"/>
      <c r="B37" s="202">
        <v>5</v>
      </c>
      <c r="C37" s="204" t="s">
        <v>64</v>
      </c>
      <c r="D37" s="28"/>
      <c r="E37" s="28"/>
      <c r="F37" s="28"/>
      <c r="G37" s="28"/>
      <c r="H37" s="121"/>
      <c r="I37" s="62"/>
      <c r="J37" s="63"/>
      <c r="K37" s="62"/>
      <c r="L37" s="63"/>
      <c r="M37" s="69"/>
      <c r="N37" s="69"/>
      <c r="O37" s="65"/>
      <c r="P37" s="69"/>
      <c r="Q37" s="65"/>
      <c r="R37" s="69"/>
      <c r="S37" s="28"/>
      <c r="T37" s="28"/>
      <c r="U37" s="28"/>
      <c r="V37" s="28"/>
      <c r="W37" s="28"/>
      <c r="X37" s="121"/>
      <c r="Y37" s="62"/>
      <c r="Z37" s="63"/>
      <c r="AA37" s="62"/>
      <c r="AB37" s="63"/>
      <c r="AC37" s="69"/>
      <c r="AD37" s="69"/>
      <c r="AE37" s="65"/>
      <c r="AF37" s="69"/>
      <c r="AG37" s="65"/>
      <c r="AH37" s="69"/>
      <c r="AI37" s="64"/>
      <c r="AJ37" s="69"/>
      <c r="AK37" s="65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33" t="s">
        <v>73</v>
      </c>
      <c r="AW37" s="28"/>
      <c r="AX37" s="28"/>
      <c r="AY37" s="31"/>
      <c r="AZ37" s="33"/>
      <c r="BA37" s="46"/>
      <c r="BB37" s="159"/>
      <c r="BC37" s="115"/>
      <c r="BD37" s="28"/>
    </row>
    <row r="38" spans="1:59" ht="5.0999999999999996" customHeight="1">
      <c r="A38" s="22"/>
      <c r="B38" s="202"/>
      <c r="C38" s="296"/>
      <c r="D38" s="72"/>
      <c r="E38" s="72"/>
      <c r="F38" s="72"/>
      <c r="G38" s="72"/>
      <c r="H38" s="297"/>
      <c r="I38" s="278"/>
      <c r="J38" s="279"/>
      <c r="K38" s="278"/>
      <c r="L38" s="279"/>
      <c r="M38" s="298"/>
      <c r="N38" s="298"/>
      <c r="O38" s="263"/>
      <c r="P38" s="298"/>
      <c r="Q38" s="263"/>
      <c r="R38" s="298"/>
      <c r="S38" s="72"/>
      <c r="T38" s="72"/>
      <c r="U38" s="72"/>
      <c r="V38" s="72"/>
      <c r="W38" s="72"/>
      <c r="X38" s="297"/>
      <c r="Y38" s="278"/>
      <c r="Z38" s="279"/>
      <c r="AA38" s="278"/>
      <c r="AB38" s="279"/>
      <c r="AC38" s="298"/>
      <c r="AD38" s="298"/>
      <c r="AE38" s="263"/>
      <c r="AF38" s="298"/>
      <c r="AG38" s="263"/>
      <c r="AH38" s="298"/>
      <c r="AI38" s="280"/>
      <c r="AJ38" s="298"/>
      <c r="AK38" s="263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300"/>
      <c r="AW38" s="72"/>
      <c r="AX38" s="72"/>
      <c r="AY38" s="264"/>
      <c r="AZ38" s="264"/>
      <c r="BA38" s="301"/>
      <c r="BB38" s="302"/>
      <c r="BC38" s="303"/>
      <c r="BD38" s="28"/>
    </row>
    <row r="39" spans="1:59" ht="13.5" customHeight="1">
      <c r="A39" s="22"/>
      <c r="B39" s="45"/>
      <c r="C39" s="527" t="s">
        <v>287</v>
      </c>
      <c r="D39" s="28"/>
      <c r="E39" s="28"/>
      <c r="F39" s="28"/>
      <c r="G39" s="28"/>
      <c r="H39" s="24"/>
      <c r="I39" s="24"/>
      <c r="J39" s="24"/>
      <c r="K39" s="24"/>
      <c r="L39" s="24"/>
      <c r="M39" s="127"/>
      <c r="N39" s="75"/>
      <c r="O39" s="84"/>
      <c r="P39" s="84"/>
      <c r="Q39" s="85"/>
      <c r="R39" s="75"/>
      <c r="S39" s="75"/>
      <c r="T39" s="75"/>
      <c r="U39" s="84"/>
      <c r="V39" s="85"/>
      <c r="W39" s="75"/>
      <c r="X39" s="65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65"/>
      <c r="AY39" s="31"/>
      <c r="AZ39" s="31"/>
      <c r="BA39" s="30"/>
      <c r="BB39" s="175"/>
      <c r="BC39" s="345"/>
      <c r="BD39" s="28"/>
      <c r="BE39" s="35"/>
      <c r="BF39" s="35"/>
      <c r="BG39" s="35"/>
    </row>
    <row r="40" spans="1:59" ht="13.5" customHeight="1">
      <c r="A40" s="22"/>
      <c r="B40" s="45"/>
      <c r="C40" s="266"/>
      <c r="D40" s="28" t="s">
        <v>290</v>
      </c>
      <c r="E40" s="28"/>
      <c r="F40" s="28"/>
      <c r="G40" s="28"/>
      <c r="H40" s="86" t="s">
        <v>140</v>
      </c>
      <c r="I40" s="86"/>
      <c r="J40" s="86"/>
      <c r="K40" s="86"/>
      <c r="L40" s="86"/>
      <c r="M40" s="322"/>
      <c r="N40" s="87"/>
      <c r="O40" s="88"/>
      <c r="P40" s="88"/>
      <c r="Q40" s="89"/>
      <c r="R40" s="87"/>
      <c r="S40" s="87"/>
      <c r="T40" s="87"/>
      <c r="U40" s="88"/>
      <c r="V40" s="89"/>
      <c r="W40" s="87"/>
      <c r="X40" s="65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65"/>
      <c r="AY40" s="31"/>
      <c r="AZ40" s="52"/>
      <c r="BA40" s="93"/>
      <c r="BB40" s="175"/>
      <c r="BC40" s="345"/>
      <c r="BD40" s="28"/>
      <c r="BE40" s="35"/>
      <c r="BF40" s="35"/>
      <c r="BG40" s="35"/>
    </row>
    <row r="41" spans="1:59" ht="13.5" customHeight="1">
      <c r="A41" s="22"/>
      <c r="B41" s="202">
        <v>6</v>
      </c>
      <c r="C41" s="304" t="s">
        <v>32</v>
      </c>
      <c r="D41" s="205" t="s">
        <v>65</v>
      </c>
      <c r="E41" s="206"/>
      <c r="F41" s="206"/>
      <c r="G41" s="207"/>
      <c r="H41" s="208" t="s">
        <v>74</v>
      </c>
      <c r="I41" s="209"/>
      <c r="J41" s="209"/>
      <c r="K41" s="209"/>
      <c r="L41" s="206"/>
      <c r="M41" s="207"/>
      <c r="N41" s="205" t="s">
        <v>75</v>
      </c>
      <c r="O41" s="206"/>
      <c r="P41" s="206"/>
      <c r="Q41" s="207"/>
      <c r="R41" s="205" t="s">
        <v>76</v>
      </c>
      <c r="S41" s="206"/>
      <c r="T41" s="206"/>
      <c r="U41" s="206"/>
      <c r="V41" s="210" t="s">
        <v>88</v>
      </c>
      <c r="W41" s="211"/>
      <c r="X41" s="211"/>
      <c r="Y41" s="212"/>
      <c r="Z41" s="211" t="s">
        <v>90</v>
      </c>
      <c r="AA41" s="211"/>
      <c r="AB41" s="211"/>
      <c r="AC41" s="212"/>
      <c r="AD41" s="211" t="s">
        <v>77</v>
      </c>
      <c r="AE41" s="211"/>
      <c r="AF41" s="211"/>
      <c r="AG41" s="212"/>
      <c r="AH41" s="210" t="s">
        <v>78</v>
      </c>
      <c r="AI41" s="211"/>
      <c r="AJ41" s="211"/>
      <c r="AK41" s="211"/>
      <c r="AL41" s="212"/>
      <c r="AM41" s="210" t="s">
        <v>84</v>
      </c>
      <c r="AN41" s="211"/>
      <c r="AO41" s="211"/>
      <c r="AP41" s="212"/>
      <c r="AQ41" s="211" t="s">
        <v>86</v>
      </c>
      <c r="AR41" s="211"/>
      <c r="AS41" s="212"/>
      <c r="AT41" s="305" t="s">
        <v>87</v>
      </c>
      <c r="AU41" s="211"/>
      <c r="AV41" s="211"/>
      <c r="AW41" s="212"/>
      <c r="AX41" s="211" t="s">
        <v>70</v>
      </c>
      <c r="AY41" s="211"/>
      <c r="AZ41" s="211"/>
      <c r="BA41" s="212"/>
      <c r="BB41" s="28"/>
      <c r="BC41" s="491"/>
      <c r="BD41" s="28"/>
      <c r="BG41" s="35"/>
    </row>
    <row r="42" spans="1:59" ht="13.5" customHeight="1">
      <c r="A42" s="22"/>
      <c r="B42" s="202">
        <v>7</v>
      </c>
      <c r="C42" s="306"/>
      <c r="D42" s="213" t="s">
        <v>30</v>
      </c>
      <c r="E42" s="216"/>
      <c r="F42" s="214"/>
      <c r="G42" s="215"/>
      <c r="H42" s="213" t="s">
        <v>30</v>
      </c>
      <c r="I42" s="216"/>
      <c r="J42" s="216"/>
      <c r="K42" s="216"/>
      <c r="L42" s="214"/>
      <c r="M42" s="215"/>
      <c r="N42" s="213" t="s">
        <v>30</v>
      </c>
      <c r="O42" s="214"/>
      <c r="P42" s="214"/>
      <c r="Q42" s="215"/>
      <c r="R42" s="213" t="s">
        <v>30</v>
      </c>
      <c r="S42" s="216"/>
      <c r="T42" s="214"/>
      <c r="U42" s="214"/>
      <c r="V42" s="217" t="s">
        <v>89</v>
      </c>
      <c r="W42" s="218"/>
      <c r="X42" s="219"/>
      <c r="Y42" s="220"/>
      <c r="Z42" s="218" t="s">
        <v>43</v>
      </c>
      <c r="AA42" s="218"/>
      <c r="AB42" s="219"/>
      <c r="AC42" s="220"/>
      <c r="AD42" s="218" t="s">
        <v>43</v>
      </c>
      <c r="AE42" s="218"/>
      <c r="AF42" s="219"/>
      <c r="AG42" s="220"/>
      <c r="AH42" s="217" t="s">
        <v>30</v>
      </c>
      <c r="AI42" s="218"/>
      <c r="AJ42" s="218"/>
      <c r="AK42" s="219"/>
      <c r="AL42" s="220"/>
      <c r="AM42" s="217" t="s">
        <v>43</v>
      </c>
      <c r="AN42" s="218"/>
      <c r="AO42" s="219"/>
      <c r="AP42" s="220"/>
      <c r="AQ42" s="218" t="s">
        <v>43</v>
      </c>
      <c r="AR42" s="218"/>
      <c r="AS42" s="220"/>
      <c r="AT42" s="307" t="s">
        <v>43</v>
      </c>
      <c r="AU42" s="218"/>
      <c r="AV42" s="219"/>
      <c r="AW42" s="220"/>
      <c r="AX42" s="218" t="s">
        <v>43</v>
      </c>
      <c r="AY42" s="218"/>
      <c r="AZ42" s="219"/>
      <c r="BA42" s="220"/>
      <c r="BB42" s="28"/>
      <c r="BC42" s="491"/>
      <c r="BD42" s="28"/>
      <c r="BG42" s="35"/>
    </row>
    <row r="43" spans="1:59" ht="13.5" customHeight="1">
      <c r="A43" s="22"/>
      <c r="B43" s="202">
        <v>8</v>
      </c>
      <c r="C43" s="308">
        <v>1</v>
      </c>
      <c r="D43" s="148" t="s">
        <v>91</v>
      </c>
      <c r="E43" s="149"/>
      <c r="F43" s="149"/>
      <c r="G43" s="151"/>
      <c r="H43" s="242" t="s">
        <v>92</v>
      </c>
      <c r="I43" s="150"/>
      <c r="J43" s="150"/>
      <c r="K43" s="150"/>
      <c r="L43" s="161"/>
      <c r="M43" s="162"/>
      <c r="N43" s="242" t="s">
        <v>93</v>
      </c>
      <c r="O43" s="150"/>
      <c r="P43" s="150"/>
      <c r="Q43" s="99" t="s">
        <v>33</v>
      </c>
      <c r="R43" s="1097">
        <v>5000</v>
      </c>
      <c r="S43" s="1098"/>
      <c r="T43" s="1098"/>
      <c r="U43" s="1099"/>
      <c r="V43" s="1086">
        <v>122.5</v>
      </c>
      <c r="W43" s="1095"/>
      <c r="X43" s="1095"/>
      <c r="Y43" s="1096"/>
      <c r="Z43" s="1086">
        <v>125</v>
      </c>
      <c r="AA43" s="1095"/>
      <c r="AB43" s="1095"/>
      <c r="AC43" s="1096"/>
      <c r="AD43" s="1086">
        <v>124</v>
      </c>
      <c r="AE43" s="1095"/>
      <c r="AF43" s="1095"/>
      <c r="AG43" s="1096"/>
      <c r="AH43" s="1086">
        <v>94.52</v>
      </c>
      <c r="AI43" s="1095"/>
      <c r="AJ43" s="1095"/>
      <c r="AK43" s="1095"/>
      <c r="AL43" s="1096"/>
      <c r="AM43" s="1086">
        <v>125</v>
      </c>
      <c r="AN43" s="1095"/>
      <c r="AO43" s="1095"/>
      <c r="AP43" s="1096"/>
      <c r="AQ43" s="1083">
        <v>10.3</v>
      </c>
      <c r="AR43" s="1084"/>
      <c r="AS43" s="1085"/>
      <c r="AT43" s="309" t="s">
        <v>97</v>
      </c>
      <c r="AU43" s="150"/>
      <c r="AV43" s="150"/>
      <c r="AW43" s="152"/>
      <c r="AX43" s="149" t="s">
        <v>30</v>
      </c>
      <c r="AY43" s="150"/>
      <c r="AZ43" s="150"/>
      <c r="BA43" s="152"/>
      <c r="BB43" s="28"/>
      <c r="BC43" s="491"/>
      <c r="BD43" s="28"/>
      <c r="BG43" s="35"/>
    </row>
    <row r="44" spans="1:59" ht="13.5" customHeight="1">
      <c r="A44" s="22"/>
      <c r="B44" s="202">
        <v>9</v>
      </c>
      <c r="C44" s="308">
        <v>2</v>
      </c>
      <c r="D44" s="148" t="s">
        <v>95</v>
      </c>
      <c r="E44" s="149"/>
      <c r="F44" s="149"/>
      <c r="G44" s="151"/>
      <c r="H44" s="242" t="s">
        <v>96</v>
      </c>
      <c r="I44" s="150"/>
      <c r="J44" s="150"/>
      <c r="K44" s="150"/>
      <c r="L44" s="161"/>
      <c r="M44" s="162"/>
      <c r="N44" s="242" t="s">
        <v>93</v>
      </c>
      <c r="O44" s="150"/>
      <c r="P44" s="150"/>
      <c r="Q44" s="99" t="s">
        <v>33</v>
      </c>
      <c r="R44" s="1097">
        <v>5000</v>
      </c>
      <c r="S44" s="1098"/>
      <c r="T44" s="1098"/>
      <c r="U44" s="1099"/>
      <c r="V44" s="1086">
        <v>39</v>
      </c>
      <c r="W44" s="1095"/>
      <c r="X44" s="1095"/>
      <c r="Y44" s="1096"/>
      <c r="Z44" s="1086">
        <v>40</v>
      </c>
      <c r="AA44" s="1095"/>
      <c r="AB44" s="1095"/>
      <c r="AC44" s="1096"/>
      <c r="AD44" s="1086">
        <v>40</v>
      </c>
      <c r="AE44" s="1095"/>
      <c r="AF44" s="1095"/>
      <c r="AG44" s="1096"/>
      <c r="AH44" s="1086">
        <v>36.89</v>
      </c>
      <c r="AI44" s="1095"/>
      <c r="AJ44" s="1095"/>
      <c r="AK44" s="1095"/>
      <c r="AL44" s="1096"/>
      <c r="AM44" s="1086">
        <v>41</v>
      </c>
      <c r="AN44" s="1095"/>
      <c r="AO44" s="1095"/>
      <c r="AP44" s="1096"/>
      <c r="AQ44" s="1083">
        <v>12.3</v>
      </c>
      <c r="AR44" s="1084"/>
      <c r="AS44" s="1085"/>
      <c r="AT44" s="309" t="s">
        <v>98</v>
      </c>
      <c r="AU44" s="150"/>
      <c r="AV44" s="150"/>
      <c r="AW44" s="152"/>
      <c r="AX44" s="149" t="s">
        <v>30</v>
      </c>
      <c r="AY44" s="150"/>
      <c r="AZ44" s="150"/>
      <c r="BA44" s="152"/>
      <c r="BB44" s="28"/>
      <c r="BC44" s="491"/>
      <c r="BD44" s="28"/>
      <c r="BG44" s="35"/>
    </row>
    <row r="45" spans="1:59" ht="13.5" customHeight="1">
      <c r="A45" s="22"/>
      <c r="B45" s="202">
        <v>10</v>
      </c>
      <c r="C45" s="310"/>
      <c r="D45" s="65"/>
      <c r="E45" s="65"/>
      <c r="F45" s="65"/>
      <c r="G45" s="65"/>
      <c r="H45" s="65"/>
      <c r="I45" s="65"/>
      <c r="J45" s="65"/>
      <c r="K45" s="65"/>
      <c r="L45" s="65"/>
      <c r="M45" s="62"/>
      <c r="N45" s="63"/>
      <c r="O45" s="65"/>
      <c r="P45" s="65"/>
      <c r="Q45" s="64"/>
      <c r="R45" s="63"/>
      <c r="S45" s="190"/>
      <c r="T45" s="190"/>
      <c r="U45" s="191"/>
      <c r="V45" s="192"/>
      <c r="W45" s="190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3"/>
      <c r="AN45" s="63"/>
      <c r="AO45" s="63"/>
      <c r="AP45" s="63"/>
      <c r="AQ45" s="63"/>
      <c r="AR45" s="63"/>
      <c r="AS45" s="63"/>
      <c r="AT45" s="63"/>
      <c r="AU45" s="63"/>
      <c r="AV45" s="63"/>
      <c r="AW45" s="63"/>
      <c r="AX45" s="63"/>
      <c r="AY45" s="63"/>
      <c r="AZ45" s="31"/>
      <c r="BA45" s="35"/>
      <c r="BB45" s="35"/>
      <c r="BC45" s="153"/>
      <c r="BD45" s="28"/>
    </row>
    <row r="46" spans="1:59" ht="13.5" customHeight="1">
      <c r="A46" s="22"/>
      <c r="B46" s="202">
        <v>11</v>
      </c>
      <c r="C46" s="312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3"/>
      <c r="W46" s="63"/>
      <c r="X46" s="75"/>
      <c r="Y46" s="63"/>
      <c r="Z46" s="63"/>
      <c r="AA46" s="69"/>
      <c r="AB46" s="65"/>
      <c r="AC46" s="63"/>
      <c r="AD46" s="65"/>
      <c r="AE46" s="65"/>
      <c r="AF46" s="65"/>
      <c r="AG46" s="69"/>
      <c r="AH46" s="65"/>
      <c r="AI46" s="75"/>
      <c r="AJ46" s="63"/>
      <c r="AK46" s="63"/>
      <c r="AL46" s="63"/>
      <c r="AM46" s="63"/>
      <c r="AN46" s="125"/>
      <c r="AO46" s="62"/>
      <c r="AP46" s="62"/>
      <c r="AQ46" s="63"/>
      <c r="AR46" s="63"/>
      <c r="AS46" s="63"/>
      <c r="AT46" s="64"/>
      <c r="AU46" s="63"/>
      <c r="AV46" s="65"/>
      <c r="AW46" s="65"/>
      <c r="AX46" s="65"/>
      <c r="AY46" s="63"/>
      <c r="AZ46" s="31"/>
      <c r="BA46" s="35"/>
      <c r="BB46" s="35"/>
      <c r="BC46" s="153"/>
      <c r="BD46" s="28"/>
    </row>
    <row r="47" spans="1:59" ht="15.75" customHeight="1">
      <c r="A47" s="22"/>
      <c r="B47" s="202">
        <v>12</v>
      </c>
      <c r="C47" s="310"/>
      <c r="D47" s="65"/>
      <c r="E47" s="65"/>
      <c r="F47" s="65"/>
      <c r="G47" s="65"/>
      <c r="H47" s="65"/>
      <c r="I47" s="65"/>
      <c r="J47" s="65"/>
      <c r="K47" s="65"/>
      <c r="L47" s="65"/>
      <c r="M47" s="62"/>
      <c r="N47" s="65"/>
      <c r="O47" s="65"/>
      <c r="P47" s="63"/>
      <c r="Q47" s="64"/>
      <c r="R47" s="63"/>
      <c r="S47" s="63"/>
      <c r="T47" s="65"/>
      <c r="U47" s="63"/>
      <c r="V47" s="65"/>
      <c r="W47" s="63"/>
      <c r="X47" s="63"/>
      <c r="Y47" s="63"/>
      <c r="Z47" s="63"/>
      <c r="AA47" s="63"/>
      <c r="AB47" s="65"/>
      <c r="AC47" s="65"/>
      <c r="AD47" s="62"/>
      <c r="AE47" s="63"/>
      <c r="AF47" s="63"/>
      <c r="AG47" s="65"/>
      <c r="AH47" s="65"/>
      <c r="AI47" s="62"/>
      <c r="AJ47" s="63"/>
      <c r="AK47" s="65"/>
      <c r="AL47" s="63"/>
      <c r="AM47" s="63"/>
      <c r="AN47" s="126"/>
      <c r="AO47" s="65"/>
      <c r="AP47" s="65"/>
      <c r="AQ47" s="125"/>
      <c r="AR47" s="65"/>
      <c r="AS47" s="65"/>
      <c r="AT47" s="63"/>
      <c r="AU47" s="63"/>
      <c r="AV47" s="63"/>
      <c r="AW47" s="63"/>
      <c r="AX47" s="63"/>
      <c r="AY47" s="63"/>
      <c r="AZ47" s="31"/>
      <c r="BA47" s="35"/>
      <c r="BB47" s="35"/>
      <c r="BC47" s="311"/>
      <c r="BD47" s="28"/>
    </row>
    <row r="48" spans="1:59" ht="13.5" customHeight="1">
      <c r="A48" s="22"/>
      <c r="B48" s="202">
        <v>13</v>
      </c>
      <c r="C48" s="310"/>
      <c r="D48" s="65"/>
      <c r="E48" s="65"/>
      <c r="F48" s="65"/>
      <c r="G48" s="65"/>
      <c r="H48" s="84"/>
      <c r="I48" s="65"/>
      <c r="J48" s="65"/>
      <c r="K48" s="65"/>
      <c r="L48" s="65"/>
      <c r="M48" s="126"/>
      <c r="N48" s="65"/>
      <c r="O48" s="65"/>
      <c r="P48" s="65"/>
      <c r="Q48" s="198"/>
      <c r="R48" s="65"/>
      <c r="S48" s="63"/>
      <c r="T48" s="63"/>
      <c r="U48" s="63"/>
      <c r="V48" s="65"/>
      <c r="W48" s="84"/>
      <c r="X48" s="65"/>
      <c r="Y48" s="65"/>
      <c r="Z48" s="65"/>
      <c r="AA48" s="65"/>
      <c r="AB48" s="65"/>
      <c r="AC48" s="65"/>
      <c r="AD48" s="65"/>
      <c r="AE48" s="65"/>
      <c r="AF48" s="65"/>
      <c r="AG48" s="65"/>
      <c r="AH48" s="126"/>
      <c r="AI48" s="65"/>
      <c r="AJ48" s="125"/>
      <c r="AK48" s="65"/>
      <c r="AL48" s="65"/>
      <c r="AM48" s="65"/>
      <c r="AN48" s="65"/>
      <c r="AO48" s="65"/>
      <c r="AP48" s="65"/>
      <c r="AQ48" s="125"/>
      <c r="AR48" s="65"/>
      <c r="AS48" s="125"/>
      <c r="AT48" s="64"/>
      <c r="AU48" s="63"/>
      <c r="AV48" s="65"/>
      <c r="AW48" s="65"/>
      <c r="AX48" s="65"/>
      <c r="AY48" s="63"/>
      <c r="AZ48" s="31"/>
      <c r="BA48" s="35"/>
      <c r="BB48" s="35"/>
      <c r="BC48" s="311"/>
      <c r="BD48" s="28"/>
    </row>
    <row r="49" spans="1:67" ht="13.5" customHeight="1">
      <c r="A49" s="22"/>
      <c r="B49" s="202">
        <v>14</v>
      </c>
      <c r="C49" s="312"/>
      <c r="D49" s="65"/>
      <c r="E49" s="65"/>
      <c r="F49" s="65"/>
      <c r="G49" s="65"/>
      <c r="H49" s="65"/>
      <c r="I49" s="65"/>
      <c r="J49" s="65"/>
      <c r="K49" s="198"/>
      <c r="L49" s="65"/>
      <c r="M49" s="65"/>
      <c r="N49" s="65"/>
      <c r="O49" s="65"/>
      <c r="P49" s="65"/>
      <c r="Q49" s="198"/>
      <c r="R49" s="65"/>
      <c r="S49" s="65"/>
      <c r="T49" s="65"/>
      <c r="U49" s="198"/>
      <c r="V49" s="65"/>
      <c r="W49" s="65"/>
      <c r="X49" s="65"/>
      <c r="Y49" s="65"/>
      <c r="Z49" s="65"/>
      <c r="AA49" s="65"/>
      <c r="AB49" s="65"/>
      <c r="AC49" s="65"/>
      <c r="AD49" s="65"/>
      <c r="AE49" s="65"/>
      <c r="AF49" s="65"/>
      <c r="AG49" s="65"/>
      <c r="AH49" s="65"/>
      <c r="AI49" s="65"/>
      <c r="AJ49" s="125"/>
      <c r="AK49" s="112"/>
      <c r="AL49" s="62"/>
      <c r="AM49" s="63"/>
      <c r="AN49" s="63"/>
      <c r="AO49" s="63"/>
      <c r="AP49" s="63"/>
      <c r="AQ49" s="64"/>
      <c r="AR49" s="63"/>
      <c r="AS49" s="65"/>
      <c r="AT49" s="65"/>
      <c r="AU49" s="65"/>
      <c r="AV49" s="65"/>
      <c r="AW49" s="65"/>
      <c r="AX49" s="65"/>
      <c r="AY49" s="63"/>
      <c r="AZ49" s="31"/>
      <c r="BA49" s="35"/>
      <c r="BB49" s="35"/>
      <c r="BC49" s="311"/>
      <c r="BD49" s="28"/>
    </row>
    <row r="50" spans="1:67" ht="13.5" customHeight="1">
      <c r="A50" s="22"/>
      <c r="B50" s="202">
        <v>15</v>
      </c>
      <c r="C50" s="475" t="s">
        <v>245</v>
      </c>
      <c r="D50" s="223"/>
      <c r="E50" s="224"/>
      <c r="F50" s="223"/>
      <c r="G50" s="224"/>
      <c r="H50" s="225"/>
      <c r="I50" s="226"/>
      <c r="J50" s="227"/>
      <c r="K50" s="227"/>
      <c r="L50" s="227"/>
      <c r="M50" s="228"/>
      <c r="N50" s="227"/>
      <c r="O50" s="227"/>
      <c r="P50" s="227"/>
      <c r="Q50" s="229"/>
      <c r="R50" s="227"/>
      <c r="S50" s="227"/>
      <c r="T50" s="227"/>
      <c r="U50" s="227"/>
      <c r="V50" s="227"/>
      <c r="W50" s="229"/>
      <c r="X50" s="227"/>
      <c r="Y50" s="227"/>
      <c r="Z50" s="227"/>
      <c r="AA50" s="229"/>
      <c r="AB50" s="227"/>
      <c r="AC50" s="227"/>
      <c r="AD50" s="227"/>
      <c r="AE50" s="227"/>
      <c r="AF50" s="227"/>
      <c r="AG50" s="232"/>
      <c r="AH50" s="227"/>
      <c r="AI50" s="227"/>
      <c r="AJ50" s="227"/>
      <c r="AK50" s="227"/>
      <c r="AL50" s="227"/>
      <c r="AM50" s="227"/>
      <c r="AN50" s="227"/>
      <c r="AO50" s="227"/>
      <c r="AP50" s="227"/>
      <c r="AQ50" s="230"/>
      <c r="AR50" s="227"/>
      <c r="AS50" s="230"/>
      <c r="AT50" s="227"/>
      <c r="AU50" s="227"/>
      <c r="AV50" s="227"/>
      <c r="AW50" s="227"/>
      <c r="AX50" s="227"/>
      <c r="AY50" s="224"/>
      <c r="AZ50" s="224"/>
      <c r="BA50" s="231"/>
      <c r="BB50" s="231"/>
      <c r="BC50" s="314"/>
      <c r="BD50" s="28"/>
    </row>
    <row r="51" spans="1:67" ht="13.5" customHeight="1">
      <c r="A51" s="22"/>
      <c r="B51" s="202">
        <v>16</v>
      </c>
      <c r="C51" s="310"/>
      <c r="D51" s="65"/>
      <c r="E51" s="65"/>
      <c r="F51" s="65"/>
      <c r="G51" s="65"/>
      <c r="H51" s="65"/>
      <c r="I51" s="65"/>
      <c r="J51" s="65"/>
      <c r="K51" s="65"/>
      <c r="L51" s="65"/>
      <c r="M51" s="62"/>
      <c r="N51" s="65"/>
      <c r="O51" s="65"/>
      <c r="P51" s="63"/>
      <c r="Q51" s="64"/>
      <c r="R51" s="63"/>
      <c r="S51" s="111"/>
      <c r="T51" s="112"/>
      <c r="U51" s="111"/>
      <c r="V51" s="112"/>
      <c r="W51" s="111"/>
      <c r="X51" s="111"/>
      <c r="Y51" s="111"/>
      <c r="Z51" s="111"/>
      <c r="AA51" s="65"/>
      <c r="AB51" s="65"/>
      <c r="AC51" s="65"/>
      <c r="AD51" s="65"/>
      <c r="AE51" s="65"/>
      <c r="AF51" s="65"/>
      <c r="AG51" s="65"/>
      <c r="AH51" s="65"/>
      <c r="AI51" s="65"/>
      <c r="AJ51" s="65"/>
      <c r="AK51" s="65"/>
      <c r="AL51" s="65"/>
      <c r="AM51" s="65"/>
      <c r="AN51" s="65"/>
      <c r="AO51" s="65"/>
      <c r="AP51" s="65"/>
      <c r="AQ51" s="65"/>
      <c r="AR51" s="65"/>
      <c r="AS51" s="65"/>
      <c r="AT51" s="65"/>
      <c r="AU51" s="65"/>
      <c r="AV51" s="65"/>
      <c r="AW51" s="65"/>
      <c r="AX51" s="65"/>
      <c r="AY51" s="63"/>
      <c r="AZ51" s="53"/>
      <c r="BA51" s="323"/>
      <c r="BB51" s="324"/>
      <c r="BC51" s="325"/>
      <c r="BD51" s="28"/>
    </row>
    <row r="52" spans="1:67" ht="13.5" customHeight="1">
      <c r="A52" s="22"/>
      <c r="B52" s="202">
        <v>17</v>
      </c>
      <c r="C52" s="310"/>
      <c r="D52" s="65"/>
      <c r="E52" s="65"/>
      <c r="F52" s="65"/>
      <c r="G52" s="65"/>
      <c r="H52" s="126"/>
      <c r="I52" s="65"/>
      <c r="J52" s="65"/>
      <c r="K52" s="65"/>
      <c r="L52" s="198"/>
      <c r="M52" s="65"/>
      <c r="N52" s="65"/>
      <c r="O52" s="65"/>
      <c r="P52" s="198"/>
      <c r="Q52" s="65"/>
      <c r="R52" s="65"/>
      <c r="S52" s="65"/>
      <c r="T52" s="198"/>
      <c r="U52" s="65"/>
      <c r="V52" s="65"/>
      <c r="W52" s="65"/>
      <c r="X52" s="65"/>
      <c r="Y52" s="65"/>
      <c r="Z52" s="65"/>
      <c r="AA52" s="65"/>
      <c r="AB52" s="65"/>
      <c r="AC52" s="65"/>
      <c r="AD52" s="65"/>
      <c r="AE52" s="65"/>
      <c r="AF52" s="65"/>
      <c r="AG52" s="65"/>
      <c r="AH52" s="65"/>
      <c r="AI52" s="65"/>
      <c r="AJ52" s="65"/>
      <c r="AK52" s="125"/>
      <c r="AL52" s="65"/>
      <c r="AM52" s="65"/>
      <c r="AN52" s="65"/>
      <c r="AO52" s="65"/>
      <c r="AP52" s="65"/>
      <c r="AQ52" s="65"/>
      <c r="AR52" s="65"/>
      <c r="AS52" s="65"/>
      <c r="AT52" s="65"/>
      <c r="AU52" s="65"/>
      <c r="AV52" s="65"/>
      <c r="AW52" s="65"/>
      <c r="AX52" s="65"/>
      <c r="AY52" s="63"/>
      <c r="AZ52" s="31"/>
      <c r="BA52" s="30"/>
      <c r="BB52" s="175"/>
      <c r="BC52" s="326"/>
      <c r="BD52" s="28"/>
    </row>
    <row r="53" spans="1:67" ht="5.0999999999999996" customHeight="1">
      <c r="A53" s="22"/>
      <c r="B53" s="202"/>
      <c r="C53" s="315"/>
      <c r="D53" s="73"/>
      <c r="E53" s="73"/>
      <c r="F53" s="73"/>
      <c r="G53" s="73"/>
      <c r="H53" s="316"/>
      <c r="I53" s="275"/>
      <c r="J53" s="273"/>
      <c r="K53" s="275"/>
      <c r="L53" s="273"/>
      <c r="M53" s="317"/>
      <c r="N53" s="317"/>
      <c r="O53" s="270"/>
      <c r="P53" s="317"/>
      <c r="Q53" s="270"/>
      <c r="R53" s="317"/>
      <c r="S53" s="73"/>
      <c r="T53" s="73"/>
      <c r="U53" s="73"/>
      <c r="V53" s="73"/>
      <c r="W53" s="73"/>
      <c r="X53" s="316"/>
      <c r="Y53" s="275"/>
      <c r="Z53" s="273"/>
      <c r="AA53" s="275"/>
      <c r="AB53" s="273"/>
      <c r="AC53" s="317"/>
      <c r="AD53" s="317"/>
      <c r="AE53" s="270"/>
      <c r="AF53" s="317"/>
      <c r="AG53" s="270"/>
      <c r="AH53" s="317"/>
      <c r="AI53" s="276"/>
      <c r="AJ53" s="317"/>
      <c r="AK53" s="270"/>
      <c r="AL53" s="73"/>
      <c r="AM53" s="73"/>
      <c r="AN53" s="73"/>
      <c r="AO53" s="73"/>
      <c r="AP53" s="73"/>
      <c r="AQ53" s="73"/>
      <c r="AR53" s="73"/>
      <c r="AS53" s="73"/>
      <c r="AT53" s="73"/>
      <c r="AU53" s="73"/>
      <c r="AV53" s="318"/>
      <c r="AW53" s="73"/>
      <c r="AX53" s="73"/>
      <c r="AY53" s="269"/>
      <c r="AZ53" s="269"/>
      <c r="BA53" s="319"/>
      <c r="BB53" s="320"/>
      <c r="BC53" s="321"/>
      <c r="BD53" s="28"/>
    </row>
    <row r="54" spans="1:67" ht="13.5" customHeight="1">
      <c r="A54" s="22"/>
      <c r="B54" s="202">
        <v>18</v>
      </c>
      <c r="C54" s="75"/>
      <c r="D54" s="63"/>
      <c r="E54" s="63"/>
      <c r="F54" s="63"/>
      <c r="G54" s="63"/>
      <c r="H54" s="69"/>
      <c r="I54" s="69"/>
      <c r="J54" s="65"/>
      <c r="K54" s="69"/>
      <c r="L54" s="65"/>
      <c r="M54" s="69"/>
      <c r="N54" s="64"/>
      <c r="O54" s="69"/>
      <c r="P54" s="65"/>
      <c r="Q54" s="65"/>
      <c r="R54" s="65"/>
      <c r="S54" s="63"/>
      <c r="T54" s="63"/>
      <c r="U54" s="63"/>
      <c r="V54" s="63"/>
      <c r="W54" s="63"/>
      <c r="X54" s="64"/>
      <c r="Y54" s="63"/>
      <c r="Z54" s="65"/>
      <c r="AA54" s="64"/>
      <c r="AB54" s="63"/>
      <c r="AC54" s="65"/>
      <c r="AD54" s="64"/>
      <c r="AE54" s="65"/>
      <c r="AF54" s="65"/>
      <c r="AG54" s="64"/>
      <c r="AH54" s="65"/>
      <c r="AI54" s="65"/>
      <c r="AJ54" s="126"/>
      <c r="AK54" s="65"/>
      <c r="AL54" s="65"/>
      <c r="AM54" s="65"/>
      <c r="AN54" s="65"/>
      <c r="AO54" s="65"/>
      <c r="AP54" s="65"/>
      <c r="AQ54" s="65"/>
      <c r="AR54" s="65"/>
      <c r="AS54" s="65"/>
      <c r="AT54" s="65"/>
      <c r="AU54" s="65"/>
      <c r="AV54" s="65"/>
      <c r="AW54" s="65"/>
      <c r="AX54" s="65"/>
      <c r="AY54" s="63"/>
      <c r="AZ54" s="264"/>
      <c r="BA54" s="301"/>
      <c r="BB54" s="302"/>
      <c r="BC54" s="343"/>
      <c r="BD54" s="28"/>
    </row>
    <row r="55" spans="1:67" ht="13.5" customHeight="1">
      <c r="A55" s="22"/>
      <c r="B55" s="202">
        <v>20</v>
      </c>
      <c r="C55" s="204" t="s">
        <v>79</v>
      </c>
      <c r="D55" s="28"/>
      <c r="E55" s="28"/>
      <c r="F55" s="28"/>
      <c r="G55" s="28"/>
      <c r="H55" s="121"/>
      <c r="I55" s="62"/>
      <c r="J55" s="63"/>
      <c r="K55" s="62"/>
      <c r="L55" s="63"/>
      <c r="M55" s="69"/>
      <c r="N55" s="69"/>
      <c r="O55" s="65"/>
      <c r="P55" s="69"/>
      <c r="Q55" s="65"/>
      <c r="R55" s="69"/>
      <c r="S55" s="28"/>
      <c r="T55" s="28"/>
      <c r="U55" s="28"/>
      <c r="V55" s="28"/>
      <c r="W55" s="28"/>
      <c r="X55" s="121"/>
      <c r="Y55" s="62"/>
      <c r="Z55" s="63"/>
      <c r="AA55" s="62"/>
      <c r="AB55" s="63"/>
      <c r="AC55" s="69"/>
      <c r="AD55" s="69"/>
      <c r="AE55" s="65"/>
      <c r="AF55" s="69"/>
      <c r="AG55" s="65"/>
      <c r="AH55" s="69"/>
      <c r="AI55" s="64"/>
      <c r="AJ55" s="69"/>
      <c r="AK55" s="65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33" t="s">
        <v>73</v>
      </c>
      <c r="AW55" s="28"/>
      <c r="AX55" s="28"/>
      <c r="AY55" s="31"/>
      <c r="AZ55" s="269"/>
      <c r="BA55" s="319"/>
      <c r="BB55" s="320"/>
      <c r="BC55" s="344"/>
      <c r="BD55" s="28"/>
    </row>
    <row r="56" spans="1:67" ht="5.0999999999999996" customHeight="1">
      <c r="A56" s="22"/>
      <c r="B56" s="202"/>
      <c r="C56" s="296"/>
      <c r="D56" s="72"/>
      <c r="E56" s="72"/>
      <c r="F56" s="72"/>
      <c r="G56" s="72"/>
      <c r="H56" s="297"/>
      <c r="I56" s="278"/>
      <c r="J56" s="279"/>
      <c r="K56" s="278"/>
      <c r="L56" s="279"/>
      <c r="M56" s="298"/>
      <c r="N56" s="298"/>
      <c r="O56" s="263"/>
      <c r="P56" s="298"/>
      <c r="Q56" s="263"/>
      <c r="R56" s="298"/>
      <c r="S56" s="72"/>
      <c r="T56" s="72"/>
      <c r="U56" s="72"/>
      <c r="V56" s="72"/>
      <c r="W56" s="72"/>
      <c r="X56" s="297"/>
      <c r="Y56" s="278"/>
      <c r="Z56" s="279"/>
      <c r="AA56" s="278"/>
      <c r="AB56" s="279"/>
      <c r="AC56" s="298"/>
      <c r="AD56" s="298"/>
      <c r="AE56" s="263"/>
      <c r="AF56" s="298"/>
      <c r="AG56" s="263"/>
      <c r="AH56" s="298"/>
      <c r="AI56" s="280"/>
      <c r="AJ56" s="298"/>
      <c r="AK56" s="263"/>
      <c r="AL56" s="72"/>
      <c r="AM56" s="72"/>
      <c r="AN56" s="72"/>
      <c r="AO56" s="72"/>
      <c r="AP56" s="72"/>
      <c r="AQ56" s="72"/>
      <c r="AR56" s="72"/>
      <c r="AS56" s="72"/>
      <c r="AT56" s="72"/>
      <c r="AU56" s="72"/>
      <c r="AV56" s="300"/>
      <c r="AW56" s="72"/>
      <c r="AX56" s="72"/>
      <c r="AY56" s="264"/>
      <c r="AZ56" s="264"/>
      <c r="BA56" s="301"/>
      <c r="BB56" s="302"/>
      <c r="BC56" s="303"/>
      <c r="BD56" s="28"/>
    </row>
    <row r="57" spans="1:67" ht="13.5" customHeight="1">
      <c r="A57" s="22"/>
      <c r="B57" s="202">
        <v>21</v>
      </c>
      <c r="C57" s="304" t="s">
        <v>32</v>
      </c>
      <c r="D57" s="234" t="s">
        <v>262</v>
      </c>
      <c r="E57" s="235"/>
      <c r="F57" s="234" t="s">
        <v>65</v>
      </c>
      <c r="G57" s="235"/>
      <c r="H57" s="235"/>
      <c r="I57" s="236"/>
      <c r="J57" s="237" t="s">
        <v>34</v>
      </c>
      <c r="K57" s="238"/>
      <c r="L57" s="238"/>
      <c r="M57" s="238"/>
      <c r="N57" s="235"/>
      <c r="O57" s="236"/>
      <c r="P57" s="239" t="s">
        <v>68</v>
      </c>
      <c r="Q57" s="240"/>
      <c r="R57" s="240"/>
      <c r="S57" s="241"/>
      <c r="T57" s="234" t="s">
        <v>80</v>
      </c>
      <c r="U57" s="235"/>
      <c r="V57" s="235"/>
      <c r="W57" s="236"/>
      <c r="X57" s="234" t="s">
        <v>81</v>
      </c>
      <c r="Y57" s="235"/>
      <c r="Z57" s="235"/>
      <c r="AA57" s="235"/>
      <c r="AB57" s="239" t="s">
        <v>66</v>
      </c>
      <c r="AC57" s="240"/>
      <c r="AD57" s="240"/>
      <c r="AE57" s="240"/>
      <c r="AF57" s="241"/>
      <c r="AG57" s="240" t="s">
        <v>69</v>
      </c>
      <c r="AH57" s="240"/>
      <c r="AI57" s="240"/>
      <c r="AJ57" s="241"/>
      <c r="AK57" s="240" t="s">
        <v>67</v>
      </c>
      <c r="AL57" s="240"/>
      <c r="AM57" s="240"/>
      <c r="AN57" s="241"/>
      <c r="AO57" s="239" t="s">
        <v>82</v>
      </c>
      <c r="AP57" s="240"/>
      <c r="AQ57" s="240"/>
      <c r="AR57" s="241"/>
      <c r="AS57" s="239" t="s">
        <v>83</v>
      </c>
      <c r="AT57" s="240"/>
      <c r="AU57" s="240"/>
      <c r="AV57" s="240"/>
      <c r="AW57" s="239" t="s">
        <v>84</v>
      </c>
      <c r="AX57" s="240"/>
      <c r="AY57" s="240"/>
      <c r="AZ57" s="241"/>
      <c r="BA57" s="239" t="s">
        <v>85</v>
      </c>
      <c r="BB57" s="240"/>
      <c r="BC57" s="240"/>
      <c r="BD57" s="241"/>
      <c r="BE57" s="240" t="s">
        <v>86</v>
      </c>
      <c r="BF57" s="240"/>
      <c r="BG57" s="241"/>
      <c r="BH57" s="240" t="s">
        <v>87</v>
      </c>
      <c r="BI57" s="240"/>
      <c r="BJ57" s="240"/>
      <c r="BK57" s="241"/>
      <c r="BL57" s="240" t="s">
        <v>70</v>
      </c>
      <c r="BM57" s="240"/>
      <c r="BN57" s="240"/>
      <c r="BO57" s="241"/>
    </row>
    <row r="58" spans="1:67" ht="13.5" customHeight="1">
      <c r="A58" s="22"/>
      <c r="B58" s="202">
        <v>22</v>
      </c>
      <c r="C58" s="308">
        <v>1</v>
      </c>
      <c r="D58" s="148" t="str">
        <f>N43</f>
        <v>R</v>
      </c>
      <c r="E58" s="149"/>
      <c r="F58" s="148" t="str">
        <f>D43</f>
        <v>1130511471</v>
      </c>
      <c r="G58" s="149"/>
      <c r="H58" s="149"/>
      <c r="I58" s="151"/>
      <c r="J58" s="242" t="str">
        <f>H43</f>
        <v>RP17-13RA-12SD(71)</v>
      </c>
      <c r="K58" s="150"/>
      <c r="L58" s="150"/>
      <c r="M58" s="150"/>
      <c r="N58" s="161"/>
      <c r="O58" s="162"/>
      <c r="P58" s="148" t="s">
        <v>94</v>
      </c>
      <c r="Q58" s="150"/>
      <c r="R58" s="150"/>
      <c r="S58" s="162"/>
      <c r="T58" s="1097">
        <f>R43</f>
        <v>5000</v>
      </c>
      <c r="U58" s="1098"/>
      <c r="V58" s="1098"/>
      <c r="W58" s="1099"/>
      <c r="X58" s="1071">
        <f>AH43</f>
        <v>94.52</v>
      </c>
      <c r="Y58" s="1072"/>
      <c r="Z58" s="1072"/>
      <c r="AA58" s="1073"/>
      <c r="AB58" s="1071">
        <f>V43</f>
        <v>122.5</v>
      </c>
      <c r="AC58" s="1072"/>
      <c r="AD58" s="1072"/>
      <c r="AE58" s="1072"/>
      <c r="AF58" s="1073"/>
      <c r="AG58" s="1071">
        <f>Z43</f>
        <v>125</v>
      </c>
      <c r="AH58" s="1072"/>
      <c r="AI58" s="1072"/>
      <c r="AJ58" s="1073"/>
      <c r="AK58" s="1071">
        <f>AD43</f>
        <v>124</v>
      </c>
      <c r="AL58" s="1072"/>
      <c r="AM58" s="1072"/>
      <c r="AN58" s="1073"/>
      <c r="AO58" s="1077">
        <f>1-X58/AK58</f>
        <v>0.23774193548387101</v>
      </c>
      <c r="AP58" s="1078"/>
      <c r="AQ58" s="1078"/>
      <c r="AR58" s="1079"/>
      <c r="AS58" s="1089">
        <f>(AK58-AG58)/AG58</f>
        <v>-8.0000000000000002E-3</v>
      </c>
      <c r="AT58" s="1090"/>
      <c r="AU58" s="1090"/>
      <c r="AV58" s="1091"/>
      <c r="AW58" s="148"/>
      <c r="AX58" s="150"/>
      <c r="AY58" s="150"/>
      <c r="AZ58" s="162"/>
      <c r="BA58" s="1092">
        <f>1-(AD43/AM43)</f>
        <v>8.0000000000000071E-3</v>
      </c>
      <c r="BB58" s="1093"/>
      <c r="BC58" s="1093"/>
      <c r="BD58" s="1094"/>
      <c r="BE58" s="1083">
        <f>AQ43</f>
        <v>10.3</v>
      </c>
      <c r="BF58" s="1084"/>
      <c r="BG58" s="1085"/>
      <c r="BH58" s="149" t="str">
        <f>AT43</f>
        <v>SMK</v>
      </c>
      <c r="BI58" s="150"/>
      <c r="BJ58" s="150"/>
      <c r="BK58" s="152"/>
      <c r="BL58" s="149" t="s">
        <v>30</v>
      </c>
      <c r="BM58" s="150"/>
      <c r="BN58" s="150"/>
      <c r="BO58" s="152"/>
    </row>
    <row r="59" spans="1:67" ht="13.5" customHeight="1">
      <c r="A59" s="22"/>
      <c r="B59" s="202">
        <v>23</v>
      </c>
      <c r="C59" s="308">
        <v>2</v>
      </c>
      <c r="D59" s="148" t="str">
        <f>N44</f>
        <v>R</v>
      </c>
      <c r="E59" s="149"/>
      <c r="F59" s="148" t="str">
        <f>D44</f>
        <v>1135042200</v>
      </c>
      <c r="G59" s="149"/>
      <c r="H59" s="149"/>
      <c r="I59" s="151"/>
      <c r="J59" s="242" t="str">
        <f>H44</f>
        <v>RP34-8R-3PDL</v>
      </c>
      <c r="K59" s="150"/>
      <c r="L59" s="150"/>
      <c r="M59" s="150"/>
      <c r="N59" s="161"/>
      <c r="O59" s="162"/>
      <c r="P59" s="148" t="s">
        <v>94</v>
      </c>
      <c r="Q59" s="150"/>
      <c r="R59" s="150"/>
      <c r="S59" s="162"/>
      <c r="T59" s="1097">
        <f>R44</f>
        <v>5000</v>
      </c>
      <c r="U59" s="1098"/>
      <c r="V59" s="1098"/>
      <c r="W59" s="1099"/>
      <c r="X59" s="1071">
        <f>AH44</f>
        <v>36.89</v>
      </c>
      <c r="Y59" s="1072"/>
      <c r="Z59" s="1072"/>
      <c r="AA59" s="1073"/>
      <c r="AB59" s="1071">
        <f>V44</f>
        <v>39</v>
      </c>
      <c r="AC59" s="1072"/>
      <c r="AD59" s="1072"/>
      <c r="AE59" s="1072"/>
      <c r="AF59" s="1073"/>
      <c r="AG59" s="1071">
        <f>Z44</f>
        <v>40</v>
      </c>
      <c r="AH59" s="1072"/>
      <c r="AI59" s="1072"/>
      <c r="AJ59" s="1073"/>
      <c r="AK59" s="1071">
        <f>AD44</f>
        <v>40</v>
      </c>
      <c r="AL59" s="1072"/>
      <c r="AM59" s="1072"/>
      <c r="AN59" s="1073"/>
      <c r="AO59" s="1077">
        <f>1-X59/AK59</f>
        <v>7.7749999999999986E-2</v>
      </c>
      <c r="AP59" s="1078"/>
      <c r="AQ59" s="1078"/>
      <c r="AR59" s="1079"/>
      <c r="AS59" s="1089">
        <f>(AK59-AG59)/AG59</f>
        <v>0</v>
      </c>
      <c r="AT59" s="1090"/>
      <c r="AU59" s="1090"/>
      <c r="AV59" s="1091"/>
      <c r="AW59" s="148"/>
      <c r="AX59" s="150"/>
      <c r="AY59" s="150"/>
      <c r="AZ59" s="162"/>
      <c r="BA59" s="1092">
        <f>1-(AD44/AM44)</f>
        <v>2.4390243902439046E-2</v>
      </c>
      <c r="BB59" s="1093"/>
      <c r="BC59" s="1093"/>
      <c r="BD59" s="1094"/>
      <c r="BE59" s="1083">
        <f>AQ44</f>
        <v>12.3</v>
      </c>
      <c r="BF59" s="1084"/>
      <c r="BG59" s="1085"/>
      <c r="BH59" s="149" t="str">
        <f>AT44</f>
        <v>中国</v>
      </c>
      <c r="BI59" s="150"/>
      <c r="BJ59" s="150"/>
      <c r="BK59" s="152"/>
      <c r="BL59" s="149" t="s">
        <v>30</v>
      </c>
      <c r="BM59" s="150"/>
      <c r="BN59" s="150"/>
      <c r="BO59" s="152"/>
    </row>
    <row r="60" spans="1:67" ht="13.5" customHeight="1">
      <c r="A60" s="22"/>
      <c r="B60" s="202">
        <v>20</v>
      </c>
      <c r="C60" s="337" t="s">
        <v>283</v>
      </c>
      <c r="D60" s="28"/>
      <c r="E60" s="28"/>
      <c r="F60" s="28"/>
      <c r="G60" s="28"/>
      <c r="H60" s="121"/>
      <c r="I60" s="62"/>
      <c r="J60" s="63"/>
      <c r="K60" s="62"/>
      <c r="L60" s="63"/>
      <c r="M60" s="69"/>
      <c r="N60" s="69"/>
      <c r="O60" s="65"/>
      <c r="P60" s="69"/>
      <c r="Q60" s="65"/>
      <c r="R60" s="69"/>
      <c r="S60" s="28"/>
      <c r="T60" s="28"/>
      <c r="U60" s="28"/>
      <c r="V60" s="28"/>
      <c r="W60" s="28"/>
      <c r="X60" s="121"/>
      <c r="Y60" s="62"/>
      <c r="Z60" s="63"/>
      <c r="AA60" s="62"/>
      <c r="AB60" s="63"/>
      <c r="AC60" s="69"/>
      <c r="AD60" s="69"/>
      <c r="AE60" s="65"/>
      <c r="AF60" s="69"/>
      <c r="AG60" s="65"/>
      <c r="AH60" s="69"/>
      <c r="AI60" s="64"/>
      <c r="AJ60" s="69"/>
      <c r="AK60" s="65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33"/>
      <c r="AW60" s="28"/>
      <c r="AX60" s="28"/>
      <c r="AY60" s="31"/>
      <c r="AZ60" s="95"/>
      <c r="BA60" s="92"/>
      <c r="BB60" s="329"/>
      <c r="BC60" s="338"/>
      <c r="BD60" s="37"/>
      <c r="BE60" s="37"/>
    </row>
    <row r="61" spans="1:67" ht="13.5" customHeight="1">
      <c r="A61" s="22"/>
      <c r="B61" s="202">
        <v>24</v>
      </c>
      <c r="C61" s="304"/>
      <c r="D61" s="502" t="s">
        <v>282</v>
      </c>
      <c r="E61" s="503"/>
      <c r="F61" s="504" t="s">
        <v>30</v>
      </c>
      <c r="G61" s="503"/>
      <c r="H61" s="503"/>
      <c r="I61" s="505"/>
      <c r="J61" s="504" t="s">
        <v>30</v>
      </c>
      <c r="K61" s="506"/>
      <c r="L61" s="506"/>
      <c r="M61" s="506"/>
      <c r="N61" s="503"/>
      <c r="O61" s="505"/>
      <c r="P61" s="507"/>
      <c r="Q61" s="508"/>
      <c r="R61" s="508"/>
      <c r="S61" s="509"/>
      <c r="T61" s="502"/>
      <c r="U61" s="503"/>
      <c r="V61" s="503"/>
      <c r="W61" s="505"/>
      <c r="X61" s="508"/>
      <c r="Y61" s="503"/>
      <c r="Z61" s="503"/>
      <c r="AA61" s="503"/>
      <c r="AB61" s="507" t="s">
        <v>99</v>
      </c>
      <c r="AC61" s="508"/>
      <c r="AD61" s="508"/>
      <c r="AE61" s="508"/>
      <c r="AF61" s="509"/>
      <c r="AG61" s="508" t="s">
        <v>261</v>
      </c>
      <c r="AH61" s="503"/>
      <c r="AI61" s="503"/>
      <c r="AJ61" s="503"/>
      <c r="AK61" s="510" t="s">
        <v>100</v>
      </c>
      <c r="AL61" s="508"/>
      <c r="AM61" s="508"/>
      <c r="AN61" s="509"/>
      <c r="AO61" s="507" t="s">
        <v>82</v>
      </c>
      <c r="AP61" s="508"/>
      <c r="AQ61" s="508"/>
      <c r="AR61" s="509"/>
      <c r="AS61" s="507" t="s">
        <v>83</v>
      </c>
      <c r="AT61" s="508"/>
      <c r="AU61" s="508"/>
      <c r="AV61" s="508"/>
      <c r="AW61" s="507" t="s">
        <v>101</v>
      </c>
      <c r="AX61" s="508"/>
      <c r="AY61" s="508"/>
      <c r="AZ61" s="509"/>
      <c r="BA61" s="507" t="s">
        <v>102</v>
      </c>
      <c r="BB61" s="508"/>
      <c r="BC61" s="508"/>
      <c r="BD61" s="509"/>
      <c r="BE61" s="511" t="s">
        <v>30</v>
      </c>
      <c r="BF61" s="508"/>
      <c r="BG61" s="508"/>
      <c r="BH61" s="509"/>
      <c r="BI61" s="508"/>
      <c r="BJ61" s="508"/>
      <c r="BK61" s="509"/>
      <c r="BL61" s="508"/>
      <c r="BM61" s="508"/>
      <c r="BN61" s="508"/>
      <c r="BO61" s="509"/>
    </row>
    <row r="62" spans="1:67" ht="13.5" customHeight="1">
      <c r="A62" s="22"/>
      <c r="B62" s="202">
        <v>25</v>
      </c>
      <c r="C62" s="308">
        <v>1</v>
      </c>
      <c r="D62" s="148" t="s">
        <v>93</v>
      </c>
      <c r="E62" s="149"/>
      <c r="F62" s="148" t="s">
        <v>30</v>
      </c>
      <c r="G62" s="149"/>
      <c r="H62" s="149"/>
      <c r="I62" s="151"/>
      <c r="J62" s="221" t="s">
        <v>30</v>
      </c>
      <c r="K62" s="222"/>
      <c r="L62" s="222"/>
      <c r="M62" s="222"/>
      <c r="N62" s="161"/>
      <c r="O62" s="162"/>
      <c r="P62" s="148"/>
      <c r="Q62" s="150"/>
      <c r="R62" s="150"/>
      <c r="S62" s="162"/>
      <c r="T62" s="119"/>
      <c r="U62" s="120"/>
      <c r="V62" s="120"/>
      <c r="W62" s="162"/>
      <c r="X62" s="1086"/>
      <c r="Y62" s="1087"/>
      <c r="Z62" s="1087"/>
      <c r="AA62" s="1088"/>
      <c r="AB62" s="1103">
        <f>SUMPRODUCT($T$58:$W$59,$AK$58:$AN$59)</f>
        <v>820000</v>
      </c>
      <c r="AC62" s="1104"/>
      <c r="AD62" s="1104"/>
      <c r="AE62" s="1104"/>
      <c r="AF62" s="1105"/>
      <c r="AG62" s="1071">
        <f>SUM($X$58:$AA$59)</f>
        <v>131.41</v>
      </c>
      <c r="AH62" s="1072"/>
      <c r="AI62" s="1072"/>
      <c r="AJ62" s="1073"/>
      <c r="AK62" s="1074">
        <f>AB62-SUMPRODUCT($T$58:$W$59,$X$58:$AA$59)</f>
        <v>162950</v>
      </c>
      <c r="AL62" s="1075"/>
      <c r="AM62" s="1075"/>
      <c r="AN62" s="1076"/>
      <c r="AO62" s="1077">
        <f>$AK62/$AB62</f>
        <v>0.19871951219512196</v>
      </c>
      <c r="AP62" s="1078"/>
      <c r="AQ62" s="1078"/>
      <c r="AR62" s="1079"/>
      <c r="AS62" s="1077">
        <f>AW62/($AB62-AW62)</f>
        <v>-6.0606060606060606E-3</v>
      </c>
      <c r="AT62" s="1078"/>
      <c r="AU62" s="1078"/>
      <c r="AV62" s="1079"/>
      <c r="AW62" s="1080">
        <f>$T$58*($AK$58-$AG$58)+$T$59*($AK$59-$AG$59)</f>
        <v>-5000</v>
      </c>
      <c r="AX62" s="1081"/>
      <c r="AY62" s="1081"/>
      <c r="AZ62" s="1082"/>
      <c r="BA62" s="1068">
        <f>SUMPRODUCT($T$58:$W$59,$AG$58:$AJ$59)</f>
        <v>825000</v>
      </c>
      <c r="BB62" s="1069"/>
      <c r="BC62" s="1069"/>
      <c r="BD62" s="1070"/>
      <c r="BE62" s="148" t="s">
        <v>30</v>
      </c>
      <c r="BF62" s="150"/>
      <c r="BG62" s="150"/>
      <c r="BH62" s="152"/>
      <c r="BI62" s="149" t="s">
        <v>30</v>
      </c>
      <c r="BJ62" s="150"/>
      <c r="BK62" s="152"/>
      <c r="BL62" s="149" t="s">
        <v>30</v>
      </c>
      <c r="BM62" s="150"/>
      <c r="BN62" s="150"/>
      <c r="BO62" s="152"/>
    </row>
    <row r="63" spans="1:67" ht="13.5" customHeight="1">
      <c r="A63" s="22"/>
      <c r="B63" s="202">
        <v>20</v>
      </c>
      <c r="C63" s="337" t="s">
        <v>281</v>
      </c>
      <c r="D63" s="28"/>
      <c r="E63" s="28"/>
      <c r="F63" s="28"/>
      <c r="G63" s="28"/>
      <c r="H63" s="121"/>
      <c r="I63" s="62"/>
      <c r="J63" s="63"/>
      <c r="K63" s="62"/>
      <c r="L63" s="63"/>
      <c r="M63" s="69"/>
      <c r="N63" s="69"/>
      <c r="O63" s="65"/>
      <c r="P63" s="69"/>
      <c r="Q63" s="65"/>
      <c r="R63" s="69"/>
      <c r="S63" s="28"/>
      <c r="T63" s="28"/>
      <c r="U63" s="28"/>
      <c r="V63" s="28"/>
      <c r="W63" s="28"/>
      <c r="X63" s="121"/>
      <c r="Y63" s="62"/>
      <c r="Z63" s="63"/>
      <c r="AA63" s="62"/>
      <c r="AB63" s="63"/>
      <c r="AC63" s="69"/>
      <c r="AD63" s="69"/>
      <c r="AE63" s="65"/>
      <c r="AF63" s="69"/>
      <c r="AG63" s="65"/>
      <c r="AH63" s="69"/>
      <c r="AI63" s="64"/>
      <c r="AJ63" s="69"/>
      <c r="AK63" s="65"/>
      <c r="AL63" s="28"/>
      <c r="AM63" s="28"/>
      <c r="AN63" s="28"/>
      <c r="AO63" s="28"/>
      <c r="AP63" s="28"/>
      <c r="AQ63" s="28"/>
      <c r="AR63" s="28"/>
      <c r="AS63" s="28"/>
      <c r="AT63" s="28"/>
      <c r="AU63" s="28"/>
      <c r="AV63" s="233"/>
      <c r="AW63" s="28"/>
      <c r="AX63" s="28"/>
      <c r="AY63" s="31"/>
      <c r="AZ63" s="95"/>
      <c r="BA63" s="92"/>
      <c r="BB63" s="329"/>
      <c r="BC63" s="338"/>
      <c r="BD63" s="37"/>
      <c r="BE63" s="37"/>
    </row>
    <row r="64" spans="1:67" ht="13.5" customHeight="1">
      <c r="A64" s="22"/>
      <c r="B64" s="202">
        <v>24</v>
      </c>
      <c r="C64" s="304"/>
      <c r="D64" s="243"/>
      <c r="E64" s="244"/>
      <c r="F64" s="246" t="s">
        <v>30</v>
      </c>
      <c r="G64" s="244"/>
      <c r="H64" s="244"/>
      <c r="I64" s="245"/>
      <c r="J64" s="246" t="s">
        <v>30</v>
      </c>
      <c r="K64" s="247"/>
      <c r="L64" s="247"/>
      <c r="M64" s="247"/>
      <c r="N64" s="244"/>
      <c r="O64" s="245"/>
      <c r="P64" s="248"/>
      <c r="Q64" s="249"/>
      <c r="R64" s="249"/>
      <c r="S64" s="250"/>
      <c r="T64" s="243"/>
      <c r="U64" s="244"/>
      <c r="V64" s="244"/>
      <c r="W64" s="245"/>
      <c r="X64" s="249"/>
      <c r="Y64" s="244"/>
      <c r="Z64" s="244"/>
      <c r="AA64" s="244"/>
      <c r="AB64" s="248" t="s">
        <v>99</v>
      </c>
      <c r="AC64" s="249"/>
      <c r="AD64" s="249"/>
      <c r="AE64" s="249"/>
      <c r="AF64" s="250"/>
      <c r="AG64" s="249" t="s">
        <v>261</v>
      </c>
      <c r="AH64" s="244"/>
      <c r="AI64" s="244"/>
      <c r="AJ64" s="244"/>
      <c r="AK64" s="330" t="s">
        <v>100</v>
      </c>
      <c r="AL64" s="249"/>
      <c r="AM64" s="249"/>
      <c r="AN64" s="250"/>
      <c r="AO64" s="248" t="s">
        <v>82</v>
      </c>
      <c r="AP64" s="249"/>
      <c r="AQ64" s="249"/>
      <c r="AR64" s="250"/>
      <c r="AS64" s="248" t="s">
        <v>83</v>
      </c>
      <c r="AT64" s="249"/>
      <c r="AU64" s="249"/>
      <c r="AV64" s="249"/>
      <c r="AW64" s="248" t="s">
        <v>101</v>
      </c>
      <c r="AX64" s="249"/>
      <c r="AY64" s="249"/>
      <c r="AZ64" s="250"/>
      <c r="BA64" s="248" t="s">
        <v>102</v>
      </c>
      <c r="BB64" s="249"/>
      <c r="BC64" s="249"/>
      <c r="BD64" s="250"/>
      <c r="BE64" s="253" t="s">
        <v>30</v>
      </c>
      <c r="BF64" s="249"/>
      <c r="BG64" s="249"/>
      <c r="BH64" s="250"/>
      <c r="BI64" s="249"/>
      <c r="BJ64" s="249"/>
      <c r="BK64" s="250"/>
      <c r="BL64" s="249"/>
      <c r="BM64" s="249"/>
      <c r="BN64" s="249"/>
      <c r="BO64" s="250"/>
    </row>
    <row r="65" spans="1:67" ht="13.5" customHeight="1">
      <c r="A65" s="22"/>
      <c r="B65" s="202">
        <v>25</v>
      </c>
      <c r="C65" s="308"/>
      <c r="D65" s="148"/>
      <c r="E65" s="149"/>
      <c r="F65" s="148"/>
      <c r="G65" s="149"/>
      <c r="H65" s="149"/>
      <c r="I65" s="151"/>
      <c r="J65" s="221"/>
      <c r="K65" s="222"/>
      <c r="L65" s="222"/>
      <c r="M65" s="222"/>
      <c r="N65" s="161"/>
      <c r="O65" s="162"/>
      <c r="P65" s="148"/>
      <c r="Q65" s="150"/>
      <c r="R65" s="150"/>
      <c r="S65" s="162"/>
      <c r="T65" s="119"/>
      <c r="U65" s="120"/>
      <c r="V65" s="120"/>
      <c r="W65" s="162"/>
      <c r="X65" s="1086"/>
      <c r="Y65" s="1087"/>
      <c r="Z65" s="1087"/>
      <c r="AA65" s="1088"/>
      <c r="AB65" s="1103">
        <f>SUMPRODUCT($T$58:$W$59,$AK$58:$AN$59)</f>
        <v>820000</v>
      </c>
      <c r="AC65" s="1104"/>
      <c r="AD65" s="1104"/>
      <c r="AE65" s="1104"/>
      <c r="AF65" s="1105"/>
      <c r="AG65" s="1071">
        <f>SUM($X$58:$AA$59)</f>
        <v>131.41</v>
      </c>
      <c r="AH65" s="1072"/>
      <c r="AI65" s="1072"/>
      <c r="AJ65" s="1073"/>
      <c r="AK65" s="1074">
        <f>AB65-SUMPRODUCT($T$58:$W$59,$X$58:$AA$59)</f>
        <v>162950</v>
      </c>
      <c r="AL65" s="1075"/>
      <c r="AM65" s="1075"/>
      <c r="AN65" s="1076"/>
      <c r="AO65" s="1077">
        <f>$AK65/$AB65</f>
        <v>0.19871951219512196</v>
      </c>
      <c r="AP65" s="1078"/>
      <c r="AQ65" s="1078"/>
      <c r="AR65" s="1079"/>
      <c r="AS65" s="1077">
        <f>AW65/($AB65-AW65)</f>
        <v>-6.0606060606060606E-3</v>
      </c>
      <c r="AT65" s="1078"/>
      <c r="AU65" s="1078"/>
      <c r="AV65" s="1079"/>
      <c r="AW65" s="1080">
        <f>$T$58*($AK$58-$AG$58)+$T$59*($AK$59-$AG$59)</f>
        <v>-5000</v>
      </c>
      <c r="AX65" s="1081"/>
      <c r="AY65" s="1081"/>
      <c r="AZ65" s="1082"/>
      <c r="BA65" s="1068">
        <f>SUMPRODUCT($T$58:$W$59,$AG$58:$AJ$59)</f>
        <v>825000</v>
      </c>
      <c r="BB65" s="1069"/>
      <c r="BC65" s="1069"/>
      <c r="BD65" s="1070"/>
      <c r="BE65" s="148" t="s">
        <v>30</v>
      </c>
      <c r="BF65" s="150"/>
      <c r="BG65" s="150"/>
      <c r="BH65" s="152"/>
      <c r="BI65" s="149" t="s">
        <v>30</v>
      </c>
      <c r="BJ65" s="150"/>
      <c r="BK65" s="152"/>
      <c r="BL65" s="149" t="s">
        <v>30</v>
      </c>
      <c r="BM65" s="150"/>
      <c r="BN65" s="150"/>
      <c r="BO65" s="152"/>
    </row>
    <row r="66" spans="1:67" ht="13.5" customHeight="1">
      <c r="A66" s="22"/>
      <c r="B66" s="202">
        <v>27</v>
      </c>
      <c r="C66" s="340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S66" s="35"/>
      <c r="T66" s="35"/>
      <c r="U66" s="35"/>
      <c r="V66" s="35"/>
      <c r="Y66" s="35"/>
      <c r="Z66" s="35"/>
      <c r="AD66" s="35"/>
      <c r="AE66" s="35"/>
      <c r="AF66" s="35"/>
      <c r="AG66" s="35"/>
      <c r="AH66" s="35"/>
      <c r="AI66" s="35"/>
      <c r="AJ66" s="35"/>
      <c r="AK66" s="35"/>
      <c r="AL66" s="84"/>
      <c r="AM66" s="84"/>
      <c r="AN66" s="84"/>
      <c r="AO66" s="84"/>
      <c r="AP66" s="84"/>
      <c r="AQ66" s="84"/>
      <c r="AR66" s="84"/>
      <c r="AS66" s="512"/>
      <c r="AT66" s="35"/>
      <c r="AU66" s="35"/>
      <c r="AV66" s="65"/>
      <c r="AW66" s="65"/>
      <c r="AX66" s="65"/>
      <c r="AY66" s="63"/>
      <c r="AZ66" s="31"/>
      <c r="BA66" s="30"/>
      <c r="BB66" s="175"/>
      <c r="BC66" s="345"/>
      <c r="BD66" s="28"/>
    </row>
    <row r="67" spans="1:67" ht="13.5" customHeight="1">
      <c r="A67" s="22"/>
      <c r="B67" s="202">
        <v>28</v>
      </c>
      <c r="C67" s="341"/>
      <c r="D67" s="71"/>
      <c r="E67" s="71"/>
      <c r="F67" s="71"/>
      <c r="G67" s="71"/>
      <c r="H67" s="71"/>
      <c r="I67" s="71"/>
      <c r="J67" s="71"/>
      <c r="K67" s="68"/>
      <c r="L67" s="68"/>
      <c r="M67" s="68"/>
      <c r="N67" s="91"/>
      <c r="O67" s="68"/>
      <c r="P67" s="68"/>
      <c r="Q67" s="68"/>
      <c r="R67" s="68"/>
      <c r="S67" s="68"/>
      <c r="T67" s="68"/>
      <c r="U67" s="68"/>
      <c r="V67" s="68"/>
      <c r="W67" s="91"/>
      <c r="X67" s="68"/>
      <c r="Y67" s="68"/>
      <c r="Z67" s="68"/>
      <c r="AA67" s="68"/>
      <c r="AB67" s="68"/>
      <c r="AC67" s="68"/>
      <c r="AD67" s="68"/>
      <c r="AE67" s="68"/>
      <c r="AF67" s="68"/>
      <c r="AG67" s="68"/>
      <c r="AH67" s="68"/>
      <c r="AI67" s="68"/>
      <c r="AJ67" s="68"/>
      <c r="AK67" s="68"/>
      <c r="AL67" s="68"/>
      <c r="AM67" s="65"/>
      <c r="AN67" s="65"/>
      <c r="AO67" s="65"/>
      <c r="AP67" s="65"/>
      <c r="AQ67" s="65"/>
      <c r="AR67" s="65"/>
      <c r="AS67" s="65"/>
      <c r="AT67" s="35"/>
      <c r="AU67" s="65"/>
      <c r="AV67" s="65"/>
      <c r="AW67" s="65"/>
      <c r="AX67" s="65"/>
      <c r="AY67" s="65"/>
      <c r="AZ67" s="31"/>
      <c r="BA67" s="30"/>
      <c r="BB67" s="175"/>
      <c r="BC67" s="345"/>
      <c r="BD67" s="28"/>
      <c r="BG67" s="24"/>
      <c r="BH67" s="28"/>
    </row>
    <row r="68" spans="1:67" ht="13.5" customHeight="1">
      <c r="A68" s="22"/>
      <c r="B68" s="202">
        <v>29</v>
      </c>
      <c r="C68" s="342"/>
      <c r="D68" s="332"/>
      <c r="E68" s="65"/>
      <c r="F68" s="65"/>
      <c r="G68" s="65"/>
      <c r="H68" s="65"/>
      <c r="I68" s="65"/>
      <c r="J68" s="1100"/>
      <c r="K68" s="1101"/>
      <c r="L68" s="1101"/>
      <c r="M68" s="1101"/>
      <c r="N68"/>
      <c r="O68"/>
      <c r="P68"/>
      <c r="Q68"/>
      <c r="R68"/>
      <c r="S68"/>
      <c r="T68"/>
      <c r="U68"/>
      <c r="V68"/>
      <c r="W68" s="65"/>
      <c r="X68" s="65"/>
      <c r="Y68" s="65"/>
      <c r="Z68" s="65"/>
      <c r="AA68" s="65"/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198"/>
      <c r="AN68" s="198"/>
      <c r="AO68" s="198"/>
      <c r="AP68" s="198"/>
      <c r="AQ68" s="198"/>
      <c r="AR68" s="198"/>
      <c r="AS68" s="512"/>
      <c r="AT68" s="35"/>
      <c r="AU68" s="35"/>
      <c r="AV68" s="254"/>
      <c r="AW68" s="198"/>
      <c r="AX68" s="198"/>
      <c r="AY68" s="198"/>
      <c r="AZ68" s="31"/>
      <c r="BA68" s="30"/>
      <c r="BB68" s="175"/>
      <c r="BC68" s="345"/>
      <c r="BD68" s="28"/>
      <c r="BG68" s="24"/>
      <c r="BH68" s="28"/>
    </row>
    <row r="69" spans="1:67" ht="5.0999999999999996" customHeight="1">
      <c r="A69" s="22"/>
      <c r="B69" s="202"/>
      <c r="C69" s="315"/>
      <c r="D69" s="73"/>
      <c r="E69" s="73"/>
      <c r="F69" s="73"/>
      <c r="G69" s="73"/>
      <c r="H69" s="316"/>
      <c r="I69" s="275"/>
      <c r="J69" s="273"/>
      <c r="K69" s="275"/>
      <c r="L69" s="273"/>
      <c r="M69" s="317"/>
      <c r="N69" s="317"/>
      <c r="O69" s="270"/>
      <c r="P69" s="317"/>
      <c r="Q69" s="270"/>
      <c r="R69" s="317"/>
      <c r="S69" s="73"/>
      <c r="T69" s="73"/>
      <c r="U69" s="73"/>
      <c r="V69" s="73"/>
      <c r="W69" s="73"/>
      <c r="X69" s="316"/>
      <c r="Y69" s="275"/>
      <c r="Z69" s="273"/>
      <c r="AA69" s="275"/>
      <c r="AB69" s="273"/>
      <c r="AC69" s="317"/>
      <c r="AD69" s="317"/>
      <c r="AE69" s="270"/>
      <c r="AF69" s="317"/>
      <c r="AG69" s="270"/>
      <c r="AH69" s="317"/>
      <c r="AI69" s="276"/>
      <c r="AJ69" s="317"/>
      <c r="AK69" s="270"/>
      <c r="AL69" s="73"/>
      <c r="AM69" s="73"/>
      <c r="AN69" s="73"/>
      <c r="AO69" s="73"/>
      <c r="AP69" s="73"/>
      <c r="AQ69" s="73"/>
      <c r="AR69" s="73"/>
      <c r="AS69" s="73"/>
      <c r="AT69" s="73"/>
      <c r="AU69" s="73"/>
      <c r="AV69" s="318"/>
      <c r="AW69" s="73"/>
      <c r="AX69" s="73"/>
      <c r="AY69" s="269"/>
      <c r="AZ69" s="269"/>
      <c r="BA69" s="319"/>
      <c r="BB69" s="320"/>
      <c r="BC69" s="344"/>
      <c r="BD69" s="28"/>
    </row>
    <row r="70" spans="1:67" ht="13.5" customHeight="1">
      <c r="A70" s="22"/>
      <c r="B70" s="202">
        <v>31</v>
      </c>
      <c r="C70" s="331"/>
      <c r="D70" s="332"/>
      <c r="E70" s="65"/>
      <c r="F70" s="65"/>
      <c r="G70" s="65"/>
      <c r="H70" s="65"/>
      <c r="I70" s="65"/>
      <c r="J70" s="1102"/>
      <c r="K70" s="1102"/>
      <c r="L70" s="1102"/>
      <c r="M70" s="1102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  <c r="AA70" s="65"/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198"/>
      <c r="AN70" s="198"/>
      <c r="AO70" s="198"/>
      <c r="AP70" s="198"/>
      <c r="AQ70" s="198"/>
      <c r="AR70" s="198"/>
      <c r="AS70" s="198"/>
      <c r="AT70" s="198"/>
      <c r="AU70" s="198"/>
      <c r="AV70" s="198"/>
      <c r="AW70" s="198"/>
      <c r="AX70" s="198"/>
      <c r="AY70" s="198"/>
      <c r="AZ70" s="33"/>
      <c r="BA70" s="46"/>
      <c r="BB70" s="78"/>
      <c r="BC70" s="34"/>
      <c r="BD70" s="28"/>
      <c r="BG70" s="24"/>
      <c r="BH70" s="28"/>
    </row>
    <row r="71" spans="1:67" ht="14.1" customHeight="1">
      <c r="A71" s="22"/>
      <c r="B71" s="129"/>
      <c r="C71" s="346" t="s">
        <v>132</v>
      </c>
      <c r="D71" s="28"/>
      <c r="E71" s="28"/>
      <c r="F71" s="28"/>
      <c r="G71" s="28"/>
      <c r="S71" s="35"/>
      <c r="T71" s="35"/>
      <c r="U71" s="35"/>
      <c r="V71" s="35"/>
      <c r="Y71" s="35"/>
      <c r="Z71" s="35"/>
      <c r="AD71" s="35"/>
      <c r="AE71" s="35"/>
      <c r="AF71" s="35"/>
      <c r="AG71" s="35"/>
      <c r="AH71" s="35"/>
      <c r="AI71" s="35"/>
      <c r="AJ71" s="28"/>
      <c r="AK71" s="28"/>
      <c r="AL71" s="28"/>
      <c r="AM71" s="130"/>
      <c r="AN71" s="130"/>
      <c r="AO71" s="35"/>
      <c r="AP71" s="35"/>
      <c r="AQ71" s="35"/>
      <c r="AR71" s="35"/>
      <c r="AS71" s="35"/>
      <c r="AT71" s="35"/>
      <c r="AU71" s="35"/>
      <c r="AV71" s="35"/>
      <c r="AW71" s="35"/>
      <c r="AX71" s="65"/>
      <c r="AY71" s="65"/>
      <c r="AZ71" s="33"/>
      <c r="BA71" s="46"/>
      <c r="BB71" s="78"/>
      <c r="BC71" s="34"/>
      <c r="BD71" s="28"/>
      <c r="BG71" s="35"/>
    </row>
    <row r="72" spans="1:67" ht="5.0999999999999996" customHeight="1">
      <c r="A72" s="22"/>
      <c r="B72" s="202"/>
      <c r="C72" s="296"/>
      <c r="D72" s="72"/>
      <c r="E72" s="72"/>
      <c r="F72" s="72"/>
      <c r="G72" s="72"/>
      <c r="H72" s="297"/>
      <c r="I72" s="278"/>
      <c r="J72" s="279"/>
      <c r="K72" s="278"/>
      <c r="L72" s="279"/>
      <c r="M72" s="298"/>
      <c r="N72" s="298"/>
      <c r="O72" s="263"/>
      <c r="P72" s="298"/>
      <c r="Q72" s="263"/>
      <c r="R72" s="298"/>
      <c r="S72" s="72"/>
      <c r="T72" s="72"/>
      <c r="U72" s="72"/>
      <c r="V72" s="72"/>
      <c r="W72" s="72"/>
      <c r="X72" s="297"/>
      <c r="Y72" s="278"/>
      <c r="Z72" s="279"/>
      <c r="AA72" s="278"/>
      <c r="AB72" s="279"/>
      <c r="AC72" s="298"/>
      <c r="AD72" s="298"/>
      <c r="AE72" s="263"/>
      <c r="AF72" s="298"/>
      <c r="AG72" s="263"/>
      <c r="AH72" s="298"/>
      <c r="AI72" s="280"/>
      <c r="AJ72" s="298"/>
      <c r="AK72" s="263"/>
      <c r="AL72" s="72"/>
      <c r="AM72" s="72"/>
      <c r="AN72" s="72"/>
      <c r="AO72" s="72"/>
      <c r="AP72" s="72"/>
      <c r="AQ72" s="72"/>
      <c r="AR72" s="72"/>
      <c r="AS72" s="72"/>
      <c r="AT72" s="72"/>
      <c r="AU72" s="72"/>
      <c r="AV72" s="300"/>
      <c r="AW72" s="72"/>
      <c r="AX72" s="72"/>
      <c r="AY72" s="265"/>
      <c r="AZ72" s="33"/>
      <c r="BA72" s="46"/>
      <c r="BB72" s="78"/>
      <c r="BC72" s="34"/>
      <c r="BD72" s="28"/>
    </row>
    <row r="73" spans="1:67" ht="14.1" customHeight="1">
      <c r="A73" s="23"/>
      <c r="B73" s="351"/>
      <c r="C73" s="282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5"/>
      <c r="S73" s="35"/>
      <c r="T73" s="28"/>
      <c r="U73" s="28"/>
      <c r="V73" s="28"/>
      <c r="W73" s="28"/>
      <c r="X73" s="28"/>
      <c r="Y73" s="28"/>
      <c r="Z73" s="28"/>
      <c r="AC73" s="28"/>
      <c r="AD73" s="28"/>
      <c r="AE73" s="35"/>
      <c r="AF73" s="35"/>
      <c r="AG73" s="35"/>
      <c r="AH73" s="35"/>
      <c r="AI73" s="35"/>
      <c r="AJ73" s="28"/>
      <c r="AK73" s="28"/>
      <c r="AL73" s="28"/>
      <c r="AM73" s="35"/>
      <c r="AN73" s="35"/>
      <c r="AO73" s="135"/>
      <c r="AP73" s="136"/>
      <c r="AQ73" s="130"/>
      <c r="AR73" s="130"/>
      <c r="AS73" s="130"/>
      <c r="AT73" s="130"/>
      <c r="AU73" s="81"/>
      <c r="AV73" s="35"/>
      <c r="AW73" s="35"/>
      <c r="AX73" s="65"/>
      <c r="AY73" s="347"/>
      <c r="AZ73" s="33"/>
      <c r="BA73" s="46"/>
      <c r="BB73" s="78"/>
      <c r="BC73" s="34"/>
      <c r="BD73" s="28"/>
      <c r="BG73" s="35"/>
    </row>
    <row r="74" spans="1:67" ht="14.1" customHeight="1">
      <c r="A74" s="23"/>
      <c r="B74" s="351"/>
      <c r="C74" s="352"/>
      <c r="D74" s="348" t="s">
        <v>38</v>
      </c>
      <c r="E74" s="131"/>
      <c r="F74" s="131"/>
      <c r="G74" s="131"/>
      <c r="H74" s="132"/>
      <c r="I74" s="132"/>
      <c r="J74" s="106"/>
      <c r="K74" s="133"/>
      <c r="L74" s="134"/>
      <c r="M74" s="144"/>
      <c r="N74" s="144"/>
      <c r="O74" s="131"/>
      <c r="P74" s="134"/>
      <c r="Q74" s="107"/>
      <c r="R74" s="133" t="s">
        <v>40</v>
      </c>
      <c r="S74" s="134"/>
      <c r="T74" s="107"/>
      <c r="U74" s="107"/>
      <c r="V74" s="133" t="s">
        <v>45</v>
      </c>
      <c r="W74" s="134"/>
      <c r="X74" s="107"/>
      <c r="Y74" s="35"/>
      <c r="Z74" s="35"/>
      <c r="AC74" s="28"/>
      <c r="AD74" s="28"/>
      <c r="AE74" s="28"/>
      <c r="AF74" s="35"/>
      <c r="AG74" s="35"/>
      <c r="AH74" s="28"/>
      <c r="AI74" s="28"/>
      <c r="AJ74" s="28"/>
      <c r="AK74" s="81"/>
      <c r="AL74" s="28"/>
      <c r="AM74" s="28"/>
      <c r="AN74" s="28"/>
      <c r="AO74" s="28"/>
      <c r="AP74" s="28"/>
      <c r="AQ74" s="65"/>
      <c r="AR74" s="65"/>
      <c r="AS74" s="65"/>
      <c r="AT74" s="125"/>
      <c r="AU74" s="65"/>
      <c r="AV74" s="65"/>
      <c r="AW74" s="65"/>
      <c r="AX74" s="65"/>
      <c r="AY74" s="347"/>
      <c r="AZ74" s="33"/>
      <c r="BA74" s="46"/>
      <c r="BB74" s="78"/>
      <c r="BC74" s="34"/>
      <c r="BD74" s="28"/>
      <c r="BE74" s="35"/>
      <c r="BF74" s="35"/>
      <c r="BG74" s="35"/>
    </row>
    <row r="75" spans="1:67" ht="13.5" customHeight="1">
      <c r="A75" s="22"/>
      <c r="B75" s="353"/>
      <c r="C75" s="352"/>
      <c r="D75" s="349" t="s">
        <v>46</v>
      </c>
      <c r="E75" s="137"/>
      <c r="F75" s="137"/>
      <c r="G75" s="137"/>
      <c r="H75" s="137"/>
      <c r="I75" s="137"/>
      <c r="J75" s="137"/>
      <c r="K75" s="350"/>
      <c r="L75" s="139"/>
      <c r="M75" s="108"/>
      <c r="N75" s="108"/>
      <c r="O75" s="145"/>
      <c r="P75" s="139"/>
      <c r="Q75" s="109"/>
      <c r="R75" s="138" t="s">
        <v>41</v>
      </c>
      <c r="S75" s="139"/>
      <c r="T75" s="108"/>
      <c r="U75" s="109"/>
      <c r="V75" s="140"/>
      <c r="W75" s="141"/>
      <c r="X75" s="142"/>
      <c r="Y75" s="116"/>
      <c r="Z75" s="41"/>
      <c r="AA75" s="116"/>
      <c r="AB75" s="116"/>
      <c r="AC75" s="116"/>
      <c r="AD75" s="116"/>
      <c r="AE75" s="116"/>
      <c r="AF75" s="116"/>
      <c r="AG75" s="116"/>
      <c r="AH75" s="116"/>
      <c r="AI75" s="116"/>
      <c r="AJ75" s="116"/>
      <c r="AK75" s="116"/>
      <c r="AL75" s="116"/>
      <c r="AM75" s="116"/>
      <c r="AN75" s="116"/>
      <c r="AO75" s="116"/>
      <c r="AP75" s="116"/>
      <c r="AQ75" s="65"/>
      <c r="AR75" s="65"/>
      <c r="AS75" s="65"/>
      <c r="AT75" s="125"/>
      <c r="AU75" s="65"/>
      <c r="AV75" s="65"/>
      <c r="AW75" s="65"/>
      <c r="AX75" s="65"/>
      <c r="AY75" s="347"/>
      <c r="AZ75" s="33"/>
      <c r="BA75" s="46"/>
      <c r="BB75" s="78"/>
      <c r="BC75" s="34"/>
      <c r="BD75" s="28"/>
      <c r="BE75" s="35"/>
      <c r="BF75" s="35"/>
      <c r="BG75" s="35"/>
    </row>
    <row r="76" spans="1:67" ht="5.0999999999999996" customHeight="1">
      <c r="A76" s="22"/>
      <c r="B76" s="202"/>
      <c r="C76" s="315"/>
      <c r="D76" s="73"/>
      <c r="E76" s="73"/>
      <c r="F76" s="73"/>
      <c r="G76" s="73"/>
      <c r="H76" s="316"/>
      <c r="I76" s="275"/>
      <c r="J76" s="273"/>
      <c r="K76" s="275"/>
      <c r="L76" s="273"/>
      <c r="M76" s="317"/>
      <c r="N76" s="317"/>
      <c r="O76" s="270"/>
      <c r="P76" s="317"/>
      <c r="Q76" s="270"/>
      <c r="R76" s="317"/>
      <c r="S76" s="73"/>
      <c r="T76" s="73"/>
      <c r="U76" s="73"/>
      <c r="V76" s="73"/>
      <c r="W76" s="73"/>
      <c r="X76" s="316"/>
      <c r="Y76" s="275"/>
      <c r="Z76" s="273"/>
      <c r="AA76" s="275"/>
      <c r="AB76" s="273"/>
      <c r="AC76" s="317"/>
      <c r="AD76" s="317"/>
      <c r="AE76" s="270"/>
      <c r="AF76" s="317"/>
      <c r="AG76" s="270"/>
      <c r="AH76" s="317"/>
      <c r="AI76" s="276"/>
      <c r="AJ76" s="317"/>
      <c r="AK76" s="270"/>
      <c r="AL76" s="73"/>
      <c r="AM76" s="73"/>
      <c r="AN76" s="73"/>
      <c r="AO76" s="73"/>
      <c r="AP76" s="73"/>
      <c r="AQ76" s="73"/>
      <c r="AR76" s="73"/>
      <c r="AS76" s="73"/>
      <c r="AT76" s="73"/>
      <c r="AU76" s="73"/>
      <c r="AV76" s="318"/>
      <c r="AW76" s="73"/>
      <c r="AX76" s="73"/>
      <c r="AY76" s="277"/>
      <c r="AZ76" s="33"/>
      <c r="BA76" s="46"/>
      <c r="BB76" s="78"/>
      <c r="BC76" s="34"/>
      <c r="BD76" s="28"/>
    </row>
    <row r="77" spans="1:67" ht="14.1" customHeight="1">
      <c r="A77" s="22"/>
      <c r="B77" s="202">
        <v>35</v>
      </c>
      <c r="C77" s="331"/>
      <c r="D77" s="332"/>
      <c r="E77" s="65"/>
      <c r="F77" s="65"/>
      <c r="G77" s="65"/>
      <c r="H77" s="65"/>
      <c r="I77" s="65"/>
      <c r="J77" s="1067"/>
      <c r="K77" s="1067"/>
      <c r="L77" s="1067"/>
      <c r="M77" s="1067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65"/>
      <c r="AN77" s="65"/>
      <c r="AO77" s="65"/>
      <c r="AP77" s="65"/>
      <c r="AQ77" s="65"/>
      <c r="AR77" s="65"/>
      <c r="AS77" s="65"/>
      <c r="AT77" s="125"/>
      <c r="AU77" s="65"/>
      <c r="AV77" s="65"/>
      <c r="AW77" s="65"/>
      <c r="AX77" s="65"/>
      <c r="AY77" s="65"/>
      <c r="AZ77" s="33"/>
      <c r="BA77" s="46"/>
      <c r="BB77" s="78" t="s">
        <v>299</v>
      </c>
      <c r="BC77" s="34"/>
      <c r="BD77" s="28"/>
      <c r="BG77" s="24"/>
      <c r="BH77" s="28"/>
    </row>
    <row r="78" spans="1:67" ht="14.1" customHeight="1">
      <c r="A78" s="22"/>
      <c r="B78" s="202">
        <v>35</v>
      </c>
      <c r="C78" s="346" t="s">
        <v>248</v>
      </c>
      <c r="D78" s="332"/>
      <c r="E78" s="65"/>
      <c r="F78" s="65"/>
      <c r="G78" s="65"/>
      <c r="H78" s="65"/>
      <c r="I78" s="65"/>
      <c r="J78" s="1067"/>
      <c r="K78" s="1067"/>
      <c r="L78" s="1067"/>
      <c r="M78" s="1067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  <c r="AP78" s="65"/>
      <c r="AQ78" s="65"/>
      <c r="AR78" s="65"/>
      <c r="AS78" s="65"/>
      <c r="AT78" s="125"/>
      <c r="AU78" s="65"/>
      <c r="AV78" s="65"/>
      <c r="AW78" s="65"/>
      <c r="AX78" s="65"/>
      <c r="AY78" s="65"/>
      <c r="AZ78" s="33"/>
      <c r="BA78" s="46"/>
      <c r="BB78" s="78"/>
      <c r="BC78" s="34"/>
      <c r="BD78" s="28"/>
      <c r="BG78" s="24"/>
      <c r="BH78" s="28"/>
    </row>
    <row r="79" spans="1:67" ht="14.1" customHeight="1">
      <c r="A79" s="22"/>
      <c r="B79" s="202">
        <v>35</v>
      </c>
      <c r="C79" s="331"/>
      <c r="D79" s="478" t="s">
        <v>249</v>
      </c>
      <c r="E79" s="65"/>
      <c r="F79" s="65"/>
      <c r="G79" s="65"/>
      <c r="H79" s="65"/>
      <c r="I79" s="65"/>
      <c r="J79" s="477"/>
      <c r="K79" s="477"/>
      <c r="L79" s="477"/>
      <c r="M79" s="477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  <c r="AA79" s="65"/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65"/>
      <c r="AN79" s="65"/>
      <c r="AO79" s="65"/>
      <c r="AP79" s="65"/>
      <c r="AQ79" s="65"/>
      <c r="AR79" s="65"/>
      <c r="AS79" s="65"/>
      <c r="AT79" s="125"/>
      <c r="AU79" s="65"/>
      <c r="AV79" s="65"/>
      <c r="AW79" s="65"/>
      <c r="AX79" s="65"/>
      <c r="AY79" s="65"/>
      <c r="AZ79" s="33"/>
      <c r="BA79" s="46"/>
      <c r="BB79" s="78"/>
      <c r="BC79" s="34"/>
      <c r="BD79" s="28"/>
      <c r="BG79" s="24"/>
      <c r="BH79" s="28"/>
    </row>
    <row r="80" spans="1:67" ht="14.1" customHeight="1">
      <c r="A80" s="22"/>
      <c r="B80" s="202">
        <v>35</v>
      </c>
      <c r="C80" s="331"/>
      <c r="D80" s="332"/>
      <c r="E80" s="65"/>
      <c r="F80" s="65"/>
      <c r="G80" s="65"/>
      <c r="H80" s="65"/>
      <c r="I80" s="65"/>
      <c r="J80" s="1106"/>
      <c r="K80" s="1106"/>
      <c r="L80" s="1106"/>
      <c r="M80" s="1106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  <c r="AP80" s="65"/>
      <c r="AQ80" s="65"/>
      <c r="AR80" s="65"/>
      <c r="AS80" s="65"/>
      <c r="AT80" s="125"/>
      <c r="AU80" s="65"/>
      <c r="AV80" s="65"/>
      <c r="AW80" s="65"/>
      <c r="AX80" s="65"/>
      <c r="AY80" s="65"/>
      <c r="AZ80" s="33"/>
      <c r="BA80" s="46"/>
      <c r="BB80" s="78"/>
      <c r="BC80" s="34"/>
      <c r="BD80" s="28"/>
      <c r="BG80" s="24"/>
      <c r="BH80" s="28"/>
    </row>
    <row r="81" spans="1:60" ht="5.0999999999999996" customHeight="1">
      <c r="A81" s="22"/>
      <c r="B81" s="202"/>
      <c r="C81" s="296"/>
      <c r="D81" s="72"/>
      <c r="E81" s="72"/>
      <c r="F81" s="72"/>
      <c r="G81" s="72"/>
      <c r="H81" s="297"/>
      <c r="I81" s="278"/>
      <c r="J81" s="279"/>
      <c r="K81" s="278"/>
      <c r="L81" s="279"/>
      <c r="M81" s="298"/>
      <c r="N81" s="298"/>
      <c r="O81" s="263"/>
      <c r="P81" s="298"/>
      <c r="Q81" s="263"/>
      <c r="R81" s="298"/>
      <c r="S81" s="72"/>
      <c r="T81" s="72"/>
      <c r="U81" s="72"/>
      <c r="V81" s="72"/>
      <c r="W81" s="72"/>
      <c r="X81" s="297"/>
      <c r="Y81" s="278"/>
      <c r="Z81" s="279"/>
      <c r="AA81" s="278"/>
      <c r="AB81" s="279"/>
      <c r="AC81" s="298"/>
      <c r="AD81" s="298"/>
      <c r="AE81" s="263"/>
      <c r="AF81" s="298"/>
      <c r="AG81" s="263"/>
      <c r="AH81" s="298"/>
      <c r="AI81" s="280"/>
      <c r="AJ81" s="298"/>
      <c r="AK81" s="263"/>
      <c r="AL81" s="72"/>
      <c r="AM81" s="72"/>
      <c r="AN81" s="72"/>
      <c r="AO81" s="72"/>
      <c r="AP81" s="72"/>
      <c r="AQ81" s="72"/>
      <c r="AR81" s="72"/>
      <c r="AS81" s="72"/>
      <c r="AT81" s="72"/>
      <c r="AU81" s="72"/>
      <c r="AV81" s="300"/>
      <c r="AW81" s="72"/>
      <c r="AX81" s="72"/>
      <c r="AY81" s="265"/>
      <c r="AZ81" s="33"/>
      <c r="BA81" s="46"/>
      <c r="BB81" s="78"/>
      <c r="BC81" s="34"/>
      <c r="BD81" s="28"/>
    </row>
    <row r="82" spans="1:60" ht="14.1" customHeight="1">
      <c r="A82" s="23"/>
      <c r="B82" s="351"/>
      <c r="C82" s="282"/>
      <c r="D82" s="28" t="s">
        <v>241</v>
      </c>
      <c r="E82" s="28"/>
      <c r="F82" s="28"/>
      <c r="G82" s="28"/>
      <c r="H82" s="468" t="s">
        <v>246</v>
      </c>
      <c r="I82" s="257"/>
      <c r="J82" s="258"/>
      <c r="K82" s="258"/>
      <c r="L82" s="258"/>
      <c r="M82" s="259"/>
      <c r="N82" s="258"/>
      <c r="O82" s="110"/>
      <c r="P82" s="261" t="s">
        <v>33</v>
      </c>
      <c r="Q82" s="25"/>
      <c r="R82" s="469" t="s">
        <v>247</v>
      </c>
      <c r="S82" s="470"/>
      <c r="T82" s="471"/>
      <c r="U82" s="471"/>
      <c r="V82" s="483"/>
      <c r="W82" s="472"/>
      <c r="X82" s="471"/>
      <c r="Y82" s="473"/>
      <c r="Z82" s="474"/>
      <c r="AB82" s="469" t="s">
        <v>291</v>
      </c>
      <c r="AC82" s="470"/>
      <c r="AD82" s="471"/>
      <c r="AE82" s="471"/>
      <c r="AF82" s="471"/>
      <c r="AG82" s="472"/>
      <c r="AH82" s="471"/>
      <c r="AI82" s="473"/>
      <c r="AJ82" s="472"/>
      <c r="AK82" s="479"/>
      <c r="AL82" s="479"/>
      <c r="AM82" s="473"/>
      <c r="AN82" s="473"/>
      <c r="AO82" s="471"/>
      <c r="AP82" s="480"/>
      <c r="AQ82" s="471"/>
      <c r="AR82" s="471"/>
      <c r="AS82" s="471"/>
      <c r="AT82" s="471"/>
      <c r="AU82" s="481"/>
      <c r="AV82" s="473"/>
      <c r="AW82" s="473"/>
      <c r="AX82" s="482"/>
      <c r="AY82" s="347"/>
      <c r="AZ82" s="33"/>
      <c r="BA82" s="46"/>
      <c r="BB82" s="78"/>
      <c r="BC82" s="34"/>
      <c r="BD82" s="28"/>
      <c r="BG82" s="35"/>
    </row>
    <row r="83" spans="1:60" ht="14.1" customHeight="1">
      <c r="A83" s="23"/>
      <c r="B83" s="351"/>
      <c r="C83" s="282"/>
      <c r="D83" s="28"/>
      <c r="E83" s="28"/>
      <c r="F83" s="28"/>
      <c r="G83" s="28"/>
      <c r="H83" s="469" t="s">
        <v>55</v>
      </c>
      <c r="I83" s="470"/>
      <c r="J83" s="471"/>
      <c r="K83" s="471"/>
      <c r="L83" s="471"/>
      <c r="M83" s="472"/>
      <c r="N83" s="471"/>
      <c r="O83" s="473"/>
      <c r="P83" s="472"/>
      <c r="Q83" s="479"/>
      <c r="R83" s="479"/>
      <c r="S83" s="473"/>
      <c r="T83" s="473"/>
      <c r="U83" s="471"/>
      <c r="V83" s="480"/>
      <c r="W83" s="471"/>
      <c r="X83" s="471"/>
      <c r="Y83" s="471"/>
      <c r="Z83" s="471"/>
      <c r="AA83" s="481"/>
      <c r="AB83" s="473"/>
      <c r="AC83" s="473"/>
      <c r="AD83" s="479"/>
      <c r="AE83" s="471"/>
      <c r="AF83" s="471"/>
      <c r="AG83" s="472"/>
      <c r="AH83" s="471"/>
      <c r="AI83" s="473"/>
      <c r="AJ83" s="472"/>
      <c r="AK83" s="479"/>
      <c r="AL83" s="479"/>
      <c r="AM83" s="473"/>
      <c r="AN83" s="473"/>
      <c r="AO83" s="471"/>
      <c r="AP83" s="480"/>
      <c r="AQ83" s="471"/>
      <c r="AR83" s="471"/>
      <c r="AS83" s="471"/>
      <c r="AT83" s="471"/>
      <c r="AU83" s="481"/>
      <c r="AV83" s="473"/>
      <c r="AW83" s="473"/>
      <c r="AX83" s="482"/>
      <c r="AY83" s="347"/>
      <c r="AZ83" s="33"/>
      <c r="BA83" s="46"/>
      <c r="BB83" s="78"/>
      <c r="BC83" s="34"/>
      <c r="BD83" s="28"/>
      <c r="BG83" s="35"/>
    </row>
    <row r="84" spans="1:60" ht="5.0999999999999996" customHeight="1">
      <c r="A84" s="22"/>
      <c r="B84" s="202"/>
      <c r="C84" s="315"/>
      <c r="D84" s="73"/>
      <c r="E84" s="73"/>
      <c r="F84" s="73"/>
      <c r="G84" s="73"/>
      <c r="H84" s="316"/>
      <c r="I84" s="275"/>
      <c r="J84" s="273"/>
      <c r="K84" s="275"/>
      <c r="L84" s="273"/>
      <c r="M84" s="317"/>
      <c r="N84" s="317"/>
      <c r="O84" s="270"/>
      <c r="P84" s="317"/>
      <c r="Q84" s="270"/>
      <c r="R84" s="317"/>
      <c r="S84" s="73"/>
      <c r="T84" s="73"/>
      <c r="U84" s="73"/>
      <c r="V84" s="73"/>
      <c r="W84" s="73"/>
      <c r="X84" s="316"/>
      <c r="Y84" s="275"/>
      <c r="Z84" s="273"/>
      <c r="AA84" s="275"/>
      <c r="AB84" s="273"/>
      <c r="AC84" s="317"/>
      <c r="AD84" s="317"/>
      <c r="AE84" s="270"/>
      <c r="AF84" s="317"/>
      <c r="AG84" s="270"/>
      <c r="AH84" s="317"/>
      <c r="AI84" s="276"/>
      <c r="AJ84" s="317"/>
      <c r="AK84" s="270"/>
      <c r="AL84" s="73"/>
      <c r="AM84" s="73"/>
      <c r="AN84" s="73"/>
      <c r="AO84" s="73"/>
      <c r="AP84" s="73"/>
      <c r="AQ84" s="73"/>
      <c r="AR84" s="73"/>
      <c r="AS84" s="73"/>
      <c r="AT84" s="73"/>
      <c r="AU84" s="73"/>
      <c r="AV84" s="318"/>
      <c r="AW84" s="73"/>
      <c r="AX84" s="73"/>
      <c r="AY84" s="277"/>
      <c r="AZ84" s="33"/>
      <c r="BA84" s="46"/>
      <c r="BB84" s="78"/>
      <c r="BC84" s="34"/>
      <c r="BD84" s="28"/>
    </row>
    <row r="85" spans="1:60" ht="5.0999999999999996" customHeight="1">
      <c r="A85" s="22"/>
      <c r="B85" s="202"/>
      <c r="C85" s="476"/>
      <c r="D85" s="72"/>
      <c r="E85" s="72"/>
      <c r="F85" s="72"/>
      <c r="G85" s="72"/>
      <c r="H85" s="297"/>
      <c r="I85" s="278"/>
      <c r="J85" s="279"/>
      <c r="K85" s="278"/>
      <c r="L85" s="279"/>
      <c r="M85" s="298"/>
      <c r="N85" s="298"/>
      <c r="O85" s="263"/>
      <c r="P85" s="298"/>
      <c r="Q85" s="263"/>
      <c r="R85" s="298"/>
      <c r="S85" s="72"/>
      <c r="T85" s="72"/>
      <c r="U85" s="72"/>
      <c r="V85" s="72"/>
      <c r="W85" s="72"/>
      <c r="X85" s="297"/>
      <c r="Y85" s="278"/>
      <c r="Z85" s="279"/>
      <c r="AA85" s="278"/>
      <c r="AB85" s="279"/>
      <c r="AC85" s="298"/>
      <c r="AD85" s="298"/>
      <c r="AE85" s="263"/>
      <c r="AF85" s="298"/>
      <c r="AG85" s="263"/>
      <c r="AH85" s="298"/>
      <c r="AI85" s="280"/>
      <c r="AJ85" s="298"/>
      <c r="AK85" s="263"/>
      <c r="AL85" s="72"/>
      <c r="AM85" s="72"/>
      <c r="AN85" s="72"/>
      <c r="AO85" s="72"/>
      <c r="AP85" s="72"/>
      <c r="AQ85" s="72"/>
      <c r="AR85" s="72"/>
      <c r="AS85" s="72"/>
      <c r="AT85" s="72"/>
      <c r="AU85" s="72"/>
      <c r="AV85" s="300"/>
      <c r="AW85" s="72"/>
      <c r="AX85" s="72"/>
      <c r="AY85" s="264"/>
      <c r="AZ85" s="33"/>
      <c r="BA85" s="46"/>
      <c r="BB85" s="78"/>
      <c r="BC85" s="34"/>
      <c r="BD85" s="28"/>
    </row>
    <row r="86" spans="1:60" ht="14.1" customHeight="1">
      <c r="A86" s="22"/>
      <c r="B86" s="202">
        <v>35</v>
      </c>
      <c r="C86" s="62" t="s">
        <v>244</v>
      </c>
      <c r="D86" s="332"/>
      <c r="E86" s="65"/>
      <c r="F86" s="65"/>
      <c r="G86" s="65"/>
      <c r="H86" s="65"/>
      <c r="I86" s="65"/>
      <c r="J86" s="1067"/>
      <c r="K86" s="1067"/>
      <c r="L86" s="1067"/>
      <c r="M86" s="1067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125"/>
      <c r="AU86" s="65"/>
      <c r="AV86" s="65"/>
      <c r="AW86" s="65"/>
      <c r="AX86" s="65"/>
      <c r="AY86" s="65"/>
      <c r="AZ86" s="33"/>
      <c r="BA86" s="46"/>
      <c r="BB86" s="78"/>
      <c r="BC86" s="34"/>
      <c r="BD86" s="28"/>
      <c r="BG86" s="24"/>
      <c r="BH86" s="28"/>
    </row>
    <row r="87" spans="1:60" ht="5.0999999999999996" customHeight="1">
      <c r="A87" s="22"/>
      <c r="B87" s="202"/>
      <c r="C87" s="296"/>
      <c r="D87" s="72"/>
      <c r="E87" s="72"/>
      <c r="F87" s="72"/>
      <c r="G87" s="72"/>
      <c r="H87" s="297"/>
      <c r="I87" s="278"/>
      <c r="J87" s="279"/>
      <c r="K87" s="278"/>
      <c r="L87" s="279"/>
      <c r="M87" s="298"/>
      <c r="N87" s="298"/>
      <c r="O87" s="263"/>
      <c r="P87" s="298"/>
      <c r="Q87" s="263"/>
      <c r="R87" s="298"/>
      <c r="S87" s="72"/>
      <c r="T87" s="72"/>
      <c r="U87" s="72"/>
      <c r="V87" s="72"/>
      <c r="W87" s="72"/>
      <c r="X87" s="297"/>
      <c r="Y87" s="278"/>
      <c r="Z87" s="279"/>
      <c r="AA87" s="278"/>
      <c r="AB87" s="279"/>
      <c r="AC87" s="298"/>
      <c r="AD87" s="298"/>
      <c r="AE87" s="263"/>
      <c r="AF87" s="298"/>
      <c r="AG87" s="263"/>
      <c r="AH87" s="298"/>
      <c r="AI87" s="280"/>
      <c r="AJ87" s="298"/>
      <c r="AK87" s="263"/>
      <c r="AL87" s="72"/>
      <c r="AM87" s="72"/>
      <c r="AN87" s="72"/>
      <c r="AO87" s="72"/>
      <c r="AP87" s="72"/>
      <c r="AQ87" s="72"/>
      <c r="AR87" s="72"/>
      <c r="AS87" s="72"/>
      <c r="AT87" s="72"/>
      <c r="AU87" s="72"/>
      <c r="AV87" s="300"/>
      <c r="AW87" s="72"/>
      <c r="AX87" s="72"/>
      <c r="AY87" s="265"/>
      <c r="AZ87" s="33"/>
      <c r="BA87" s="46"/>
      <c r="BB87" s="78"/>
      <c r="BC87" s="34"/>
      <c r="BD87" s="28"/>
    </row>
    <row r="88" spans="1:60" ht="14.1" customHeight="1">
      <c r="A88" s="23"/>
      <c r="B88" s="351"/>
      <c r="C88" s="282"/>
      <c r="D88" s="28" t="s">
        <v>241</v>
      </c>
      <c r="E88" s="28"/>
      <c r="F88" s="28"/>
      <c r="G88" s="28"/>
      <c r="H88" s="468" t="s">
        <v>242</v>
      </c>
      <c r="I88" s="257"/>
      <c r="J88" s="258"/>
      <c r="K88" s="258"/>
      <c r="L88" s="258"/>
      <c r="M88" s="259"/>
      <c r="N88" s="258"/>
      <c r="O88" s="110"/>
      <c r="P88" s="261" t="s">
        <v>33</v>
      </c>
      <c r="Q88" s="25"/>
      <c r="R88" s="469" t="s">
        <v>243</v>
      </c>
      <c r="S88" s="470"/>
      <c r="T88" s="471"/>
      <c r="U88" s="471"/>
      <c r="V88" s="483"/>
      <c r="W88" s="484" t="s">
        <v>255</v>
      </c>
      <c r="X88" s="471"/>
      <c r="Y88" s="473"/>
      <c r="Z88" s="474"/>
      <c r="AB88" s="529" t="s">
        <v>292</v>
      </c>
      <c r="AC88" s="530"/>
      <c r="AD88" s="531"/>
      <c r="AE88" s="531"/>
      <c r="AF88" s="531"/>
      <c r="AG88" s="532"/>
      <c r="AH88" s="531"/>
      <c r="AI88" s="533"/>
      <c r="AJ88" s="532"/>
      <c r="AK88" s="61"/>
      <c r="AL88" s="61"/>
      <c r="AM88" s="533"/>
      <c r="AN88" s="533"/>
      <c r="AO88" s="531"/>
      <c r="AP88" s="534"/>
      <c r="AQ88" s="531"/>
      <c r="AR88" s="531"/>
      <c r="AS88" s="531"/>
      <c r="AT88" s="531"/>
      <c r="AU88" s="535"/>
      <c r="AV88" s="533"/>
      <c r="AW88" s="533"/>
      <c r="AX88" s="70"/>
      <c r="AY88" s="347"/>
      <c r="AZ88" s="33"/>
      <c r="BA88" s="46"/>
      <c r="BB88" s="78"/>
      <c r="BC88" s="34"/>
      <c r="BD88" s="28"/>
      <c r="BG88" s="35"/>
    </row>
    <row r="89" spans="1:60" ht="14.1" customHeight="1">
      <c r="A89" s="23"/>
      <c r="B89" s="351"/>
      <c r="C89" s="282"/>
      <c r="D89" s="28"/>
      <c r="E89" s="28"/>
      <c r="F89" s="28"/>
      <c r="G89" s="28"/>
      <c r="H89" s="469" t="s">
        <v>254</v>
      </c>
      <c r="I89" s="470"/>
      <c r="J89" s="471"/>
      <c r="K89" s="471"/>
      <c r="L89" s="471"/>
      <c r="M89" s="472"/>
      <c r="N89" s="471"/>
      <c r="O89" s="473"/>
      <c r="P89" s="472"/>
      <c r="Q89" s="479"/>
      <c r="R89" s="479"/>
      <c r="S89" s="473"/>
      <c r="T89" s="473"/>
      <c r="U89" s="471"/>
      <c r="V89" s="480"/>
      <c r="W89" s="471"/>
      <c r="X89" s="471"/>
      <c r="Y89" s="471"/>
      <c r="Z89" s="471"/>
      <c r="AA89" s="481"/>
      <c r="AB89" s="473"/>
      <c r="AC89" s="473"/>
      <c r="AD89" s="479"/>
      <c r="AE89" s="471"/>
      <c r="AF89" s="471"/>
      <c r="AG89" s="472"/>
      <c r="AH89" s="471"/>
      <c r="AI89" s="473"/>
      <c r="AJ89" s="472"/>
      <c r="AK89" s="479"/>
      <c r="AL89" s="479"/>
      <c r="AM89" s="473"/>
      <c r="AN89" s="473"/>
      <c r="AO89" s="471"/>
      <c r="AP89" s="480"/>
      <c r="AQ89" s="471"/>
      <c r="AR89" s="471"/>
      <c r="AS89" s="471"/>
      <c r="AT89" s="471"/>
      <c r="AU89" s="481"/>
      <c r="AV89" s="473"/>
      <c r="AW89" s="473"/>
      <c r="AX89" s="482"/>
      <c r="AY89" s="347"/>
      <c r="AZ89" s="33"/>
      <c r="BA89" s="46"/>
      <c r="BB89" s="78"/>
      <c r="BC89" s="34"/>
      <c r="BD89" s="28"/>
      <c r="BG89" s="35"/>
    </row>
    <row r="90" spans="1:60" ht="5.0999999999999996" customHeight="1">
      <c r="A90" s="22"/>
      <c r="B90" s="202"/>
      <c r="C90" s="315"/>
      <c r="D90" s="73"/>
      <c r="E90" s="73"/>
      <c r="F90" s="73"/>
      <c r="G90" s="73"/>
      <c r="H90" s="316"/>
      <c r="I90" s="275"/>
      <c r="J90" s="273"/>
      <c r="K90" s="275"/>
      <c r="L90" s="273"/>
      <c r="M90" s="317"/>
      <c r="N90" s="317"/>
      <c r="O90" s="270"/>
      <c r="P90" s="317"/>
      <c r="Q90" s="270"/>
      <c r="R90" s="317"/>
      <c r="S90" s="73"/>
      <c r="T90" s="73"/>
      <c r="U90" s="73"/>
      <c r="V90" s="73"/>
      <c r="W90" s="73"/>
      <c r="X90" s="316"/>
      <c r="Y90" s="275"/>
      <c r="Z90" s="273"/>
      <c r="AA90" s="275"/>
      <c r="AB90" s="273"/>
      <c r="AC90" s="317"/>
      <c r="AD90" s="317"/>
      <c r="AE90" s="270"/>
      <c r="AF90" s="317"/>
      <c r="AG90" s="270"/>
      <c r="AH90" s="317"/>
      <c r="AI90" s="276"/>
      <c r="AJ90" s="317"/>
      <c r="AK90" s="270"/>
      <c r="AL90" s="73"/>
      <c r="AM90" s="73"/>
      <c r="AN90" s="73"/>
      <c r="AO90" s="73"/>
      <c r="AP90" s="73"/>
      <c r="AQ90" s="73"/>
      <c r="AR90" s="73"/>
      <c r="AS90" s="73"/>
      <c r="AT90" s="73"/>
      <c r="AU90" s="73"/>
      <c r="AV90" s="318"/>
      <c r="AW90" s="73"/>
      <c r="AX90" s="73"/>
      <c r="AY90" s="277"/>
      <c r="AZ90" s="33"/>
      <c r="BA90" s="46"/>
      <c r="BB90" s="78"/>
      <c r="BC90" s="34"/>
      <c r="BD90" s="28"/>
    </row>
    <row r="91" spans="1:60" ht="5.0999999999999996" customHeight="1">
      <c r="A91" s="22"/>
      <c r="B91" s="202"/>
      <c r="C91" s="476"/>
      <c r="D91" s="72"/>
      <c r="E91" s="72"/>
      <c r="F91" s="72"/>
      <c r="G91" s="72"/>
      <c r="H91" s="297"/>
      <c r="I91" s="278"/>
      <c r="J91" s="279"/>
      <c r="K91" s="278"/>
      <c r="L91" s="279"/>
      <c r="M91" s="298"/>
      <c r="N91" s="298"/>
      <c r="O91" s="263"/>
      <c r="P91" s="298"/>
      <c r="Q91" s="263"/>
      <c r="R91" s="298"/>
      <c r="S91" s="72"/>
      <c r="T91" s="72"/>
      <c r="U91" s="72"/>
      <c r="V91" s="72"/>
      <c r="W91" s="72"/>
      <c r="X91" s="297"/>
      <c r="Y91" s="278"/>
      <c r="Z91" s="279"/>
      <c r="AA91" s="278"/>
      <c r="AB91" s="279"/>
      <c r="AC91" s="298"/>
      <c r="AD91" s="298"/>
      <c r="AE91" s="263"/>
      <c r="AF91" s="298"/>
      <c r="AG91" s="263"/>
      <c r="AH91" s="298"/>
      <c r="AI91" s="280"/>
      <c r="AJ91" s="298"/>
      <c r="AK91" s="263"/>
      <c r="AL91" s="72"/>
      <c r="AM91" s="72"/>
      <c r="AN91" s="72"/>
      <c r="AO91" s="72"/>
      <c r="AP91" s="72"/>
      <c r="AQ91" s="72"/>
      <c r="AR91" s="72"/>
      <c r="AS91" s="72"/>
      <c r="AT91" s="72"/>
      <c r="AU91" s="72"/>
      <c r="AV91" s="300"/>
      <c r="AW91" s="72"/>
      <c r="AX91" s="72"/>
      <c r="AY91" s="264"/>
      <c r="AZ91" s="33"/>
      <c r="BA91" s="46"/>
      <c r="BB91" s="78"/>
      <c r="BC91" s="34"/>
      <c r="BD91" s="28"/>
    </row>
    <row r="92" spans="1:60" ht="14.1" customHeight="1">
      <c r="A92" s="22"/>
      <c r="B92" s="202">
        <v>35</v>
      </c>
      <c r="C92" s="62" t="s">
        <v>244</v>
      </c>
      <c r="D92" s="332"/>
      <c r="E92" s="65"/>
      <c r="F92" s="65"/>
      <c r="G92" s="65"/>
      <c r="H92" s="65"/>
      <c r="I92" s="65"/>
      <c r="J92" s="477"/>
      <c r="K92" s="477"/>
      <c r="L92" s="477"/>
      <c r="M92" s="477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  <c r="AA92" s="65"/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  <c r="AP92" s="65"/>
      <c r="AQ92" s="65"/>
      <c r="AR92" s="65"/>
      <c r="AS92" s="65"/>
      <c r="AT92" s="125"/>
      <c r="AU92" s="65"/>
      <c r="AV92" s="65"/>
      <c r="AW92" s="65"/>
      <c r="AX92" s="65"/>
      <c r="AY92" s="65"/>
      <c r="AZ92" s="33"/>
      <c r="BA92" s="46"/>
      <c r="BB92" s="78"/>
      <c r="BC92" s="34"/>
      <c r="BD92" s="28"/>
      <c r="BG92" s="24"/>
      <c r="BH92" s="28"/>
    </row>
    <row r="93" spans="1:60" ht="14.1" customHeight="1">
      <c r="A93" s="22"/>
      <c r="B93" s="202">
        <v>35</v>
      </c>
      <c r="C93" s="331"/>
      <c r="D93" s="332"/>
      <c r="E93" s="65"/>
      <c r="F93" s="65"/>
      <c r="G93" s="65"/>
      <c r="H93" s="65"/>
      <c r="I93" s="65"/>
      <c r="J93" s="477"/>
      <c r="K93" s="477"/>
      <c r="L93" s="477"/>
      <c r="M93" s="477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125"/>
      <c r="AU93" s="65"/>
      <c r="AV93" s="65"/>
      <c r="AW93" s="65"/>
      <c r="AX93" s="65"/>
      <c r="AY93" s="65"/>
      <c r="AZ93" s="33"/>
      <c r="BA93" s="46"/>
      <c r="BB93" s="335"/>
      <c r="BC93" s="336"/>
      <c r="BD93" s="28"/>
      <c r="BG93" s="24"/>
      <c r="BH93" s="28"/>
    </row>
    <row r="94" spans="1:60" ht="14.1" customHeight="1">
      <c r="A94" s="22"/>
      <c r="B94" s="202">
        <v>35</v>
      </c>
      <c r="C94" s="346" t="s">
        <v>250</v>
      </c>
      <c r="D94" s="332"/>
      <c r="E94" s="65"/>
      <c r="F94" s="65"/>
      <c r="G94" s="65"/>
      <c r="H94" s="65"/>
      <c r="I94" s="65"/>
      <c r="J94" s="1067"/>
      <c r="K94" s="1067"/>
      <c r="L94" s="1067"/>
      <c r="M94" s="1067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  <c r="AP94" s="65"/>
      <c r="AQ94" s="65"/>
      <c r="AR94" s="65"/>
      <c r="AS94" s="65"/>
      <c r="AT94" s="125"/>
      <c r="AU94" s="65"/>
      <c r="AV94" s="65"/>
      <c r="AW94" s="65"/>
      <c r="AX94" s="65"/>
      <c r="AY94" s="65"/>
      <c r="AZ94" s="33"/>
      <c r="BA94" s="46"/>
      <c r="BB94" s="335"/>
      <c r="BC94" s="336"/>
      <c r="BD94" s="28"/>
      <c r="BG94" s="24"/>
      <c r="BH94" s="28"/>
    </row>
    <row r="95" spans="1:60" ht="5.0999999999999996" customHeight="1">
      <c r="A95" s="22"/>
      <c r="B95" s="202"/>
      <c r="C95" s="296"/>
      <c r="D95" s="72"/>
      <c r="E95" s="72"/>
      <c r="F95" s="72"/>
      <c r="G95" s="72"/>
      <c r="H95" s="297"/>
      <c r="I95" s="278"/>
      <c r="J95" s="279"/>
      <c r="K95" s="278"/>
      <c r="L95" s="279"/>
      <c r="M95" s="298"/>
      <c r="N95" s="298"/>
      <c r="O95" s="263"/>
      <c r="P95" s="298"/>
      <c r="Q95" s="263"/>
      <c r="R95" s="298"/>
      <c r="S95" s="72"/>
      <c r="T95" s="72"/>
      <c r="U95" s="72"/>
      <c r="V95" s="72"/>
      <c r="W95" s="72"/>
      <c r="X95" s="297"/>
      <c r="Y95" s="278"/>
      <c r="Z95" s="279"/>
      <c r="AA95" s="278"/>
      <c r="AB95" s="279"/>
      <c r="AC95" s="298"/>
      <c r="AD95" s="298"/>
      <c r="AE95" s="263"/>
      <c r="AF95" s="298"/>
      <c r="AG95" s="263"/>
      <c r="AH95" s="298"/>
      <c r="AI95" s="280"/>
      <c r="AJ95" s="298"/>
      <c r="AK95" s="263"/>
      <c r="AL95" s="72"/>
      <c r="AM95" s="72"/>
      <c r="AN95" s="72"/>
      <c r="AO95" s="72"/>
      <c r="AP95" s="72"/>
      <c r="AQ95" s="72"/>
      <c r="AR95" s="72"/>
      <c r="AS95" s="72"/>
      <c r="AT95" s="72"/>
      <c r="AU95" s="72"/>
      <c r="AV95" s="300"/>
      <c r="AW95" s="72"/>
      <c r="AX95" s="72"/>
      <c r="AY95" s="265"/>
      <c r="AZ95" s="33"/>
      <c r="BA95" s="46"/>
      <c r="BB95" s="335"/>
      <c r="BC95" s="336"/>
      <c r="BD95" s="28"/>
    </row>
    <row r="96" spans="1:60" ht="13.5" customHeight="1">
      <c r="A96" s="22"/>
      <c r="B96" s="45"/>
      <c r="C96" s="266"/>
      <c r="D96" s="28" t="s">
        <v>251</v>
      </c>
      <c r="E96" s="28"/>
      <c r="F96" s="28"/>
      <c r="G96" s="28"/>
      <c r="H96" s="24"/>
      <c r="I96" s="24"/>
      <c r="J96" s="24"/>
      <c r="K96" s="24"/>
      <c r="L96" s="24"/>
      <c r="M96" s="127"/>
      <c r="N96" s="75"/>
      <c r="O96" s="84"/>
      <c r="P96" s="84"/>
      <c r="Q96" s="85"/>
      <c r="R96" s="75"/>
      <c r="S96" s="75"/>
      <c r="T96" s="75"/>
      <c r="U96" s="84"/>
      <c r="V96" s="85"/>
      <c r="W96" s="75"/>
      <c r="X96" s="65"/>
      <c r="Y96" s="28"/>
      <c r="Z96" s="28"/>
      <c r="AA96" s="28"/>
      <c r="AB96" s="28"/>
      <c r="AC96" s="28"/>
      <c r="AD96" s="28"/>
      <c r="AE96" s="28"/>
      <c r="AF96" s="28"/>
      <c r="AG96" s="28"/>
      <c r="AH96" s="28"/>
      <c r="AI96" s="28"/>
      <c r="AJ96" s="28"/>
      <c r="AK96" s="28"/>
      <c r="AL96" s="28"/>
      <c r="AM96" s="31"/>
      <c r="AN96" s="31"/>
      <c r="AO96" s="31"/>
      <c r="AP96" s="31"/>
      <c r="AQ96" s="31"/>
      <c r="AR96" s="31"/>
      <c r="AS96" s="31"/>
      <c r="AT96" s="31"/>
      <c r="AU96" s="31"/>
      <c r="AV96" s="31"/>
      <c r="AW96" s="31"/>
      <c r="AX96" s="65"/>
      <c r="AY96" s="267"/>
      <c r="AZ96" s="33"/>
      <c r="BA96" s="46"/>
      <c r="BB96" s="335"/>
      <c r="BC96" s="336"/>
      <c r="BD96" s="28"/>
      <c r="BE96" s="35"/>
      <c r="BF96" s="35"/>
      <c r="BG96" s="35"/>
    </row>
    <row r="97" spans="1:60" ht="13.5" customHeight="1">
      <c r="A97" s="22"/>
      <c r="B97" s="45"/>
      <c r="C97" s="266"/>
      <c r="D97" s="28"/>
      <c r="E97" s="28"/>
      <c r="F97" s="28"/>
      <c r="G97" s="28"/>
      <c r="H97" s="348" t="s">
        <v>253</v>
      </c>
      <c r="I97" s="131"/>
      <c r="J97" s="131"/>
      <c r="K97" s="131"/>
      <c r="L97" s="132"/>
      <c r="M97" s="132"/>
      <c r="N97" s="106"/>
      <c r="O97" s="133"/>
      <c r="P97" s="134"/>
      <c r="Q97" s="133" t="s">
        <v>252</v>
      </c>
      <c r="R97" s="134"/>
      <c r="S97" s="107"/>
      <c r="T97" s="107"/>
      <c r="U97" s="107"/>
      <c r="V97" s="107"/>
      <c r="W97" s="107"/>
      <c r="X97" s="107"/>
      <c r="Y97" s="107"/>
      <c r="Z97" s="107"/>
      <c r="AA97" s="107"/>
      <c r="AB97" s="107"/>
      <c r="AC97" s="107"/>
      <c r="AD97" s="107"/>
      <c r="AE97" s="107"/>
      <c r="AF97" s="107"/>
      <c r="AG97" s="107"/>
      <c r="AH97" s="107"/>
      <c r="AI97" s="107"/>
      <c r="AJ97" s="107"/>
      <c r="AK97" s="107"/>
      <c r="AL97" s="133" t="s">
        <v>45</v>
      </c>
      <c r="AM97" s="134"/>
      <c r="AN97" s="107"/>
      <c r="AO97" s="31"/>
      <c r="AP97" s="31"/>
      <c r="AQ97" s="31"/>
      <c r="AR97" s="31"/>
      <c r="AS97" s="31"/>
      <c r="AT97" s="31"/>
      <c r="AU97" s="31"/>
      <c r="AV97" s="31"/>
      <c r="AW97" s="31"/>
      <c r="AX97" s="65"/>
      <c r="AY97" s="267"/>
      <c r="AZ97" s="33"/>
      <c r="BA97" s="46"/>
      <c r="BB97" s="335"/>
      <c r="BC97" s="336"/>
      <c r="BD97" s="28"/>
      <c r="BE97" s="35"/>
      <c r="BF97" s="35"/>
      <c r="BG97" s="35"/>
    </row>
    <row r="98" spans="1:60" ht="13.5" customHeight="1">
      <c r="A98" s="22"/>
      <c r="B98" s="45"/>
      <c r="C98" s="266"/>
      <c r="D98" s="28"/>
      <c r="E98" s="28"/>
      <c r="F98" s="28"/>
      <c r="G98" s="28"/>
      <c r="H98" s="485" t="s">
        <v>256</v>
      </c>
      <c r="I98" s="137"/>
      <c r="J98" s="137"/>
      <c r="K98" s="137"/>
      <c r="L98" s="137"/>
      <c r="M98" s="137"/>
      <c r="N98" s="137"/>
      <c r="O98" s="350"/>
      <c r="P98" s="139"/>
      <c r="Q98" s="486" t="s">
        <v>55</v>
      </c>
      <c r="R98" s="139"/>
      <c r="S98" s="108"/>
      <c r="T98" s="108"/>
      <c r="U98" s="108"/>
      <c r="V98" s="156"/>
      <c r="W98" s="110"/>
      <c r="X98" s="110"/>
      <c r="Y98" s="156"/>
      <c r="Z98" s="156"/>
      <c r="AA98" s="110"/>
      <c r="AB98" s="110"/>
      <c r="AC98" s="37"/>
      <c r="AD98" s="37"/>
      <c r="AE98" s="37"/>
      <c r="AF98" s="37"/>
      <c r="AG98" s="37"/>
      <c r="AH98" s="37"/>
      <c r="AI98" s="37"/>
      <c r="AJ98" s="37"/>
      <c r="AK98" s="97"/>
      <c r="AL98" s="140"/>
      <c r="AM98" s="141"/>
      <c r="AN98" s="142"/>
      <c r="AO98" s="31"/>
      <c r="AP98" s="31"/>
      <c r="AQ98" s="31"/>
      <c r="AR98" s="31"/>
      <c r="AS98" s="31"/>
      <c r="AT98" s="31"/>
      <c r="AU98" s="31"/>
      <c r="AV98" s="31"/>
      <c r="AW98" s="31"/>
      <c r="AX98" s="65"/>
      <c r="AY98" s="267"/>
      <c r="AZ98" s="33"/>
      <c r="BA98" s="46"/>
      <c r="BB98" s="335"/>
      <c r="BC98" s="336"/>
      <c r="BD98" s="28"/>
      <c r="BE98" s="35"/>
      <c r="BF98" s="35"/>
      <c r="BG98" s="35"/>
    </row>
    <row r="99" spans="1:60" ht="13.5" customHeight="1">
      <c r="A99" s="22"/>
      <c r="B99" s="45"/>
      <c r="C99" s="266"/>
      <c r="D99" s="28"/>
      <c r="E99" s="28"/>
      <c r="F99" s="28"/>
      <c r="G99" s="28"/>
      <c r="H99" s="485" t="s">
        <v>257</v>
      </c>
      <c r="I99" s="137"/>
      <c r="J99" s="137"/>
      <c r="K99" s="137"/>
      <c r="L99" s="137"/>
      <c r="M99" s="137"/>
      <c r="N99" s="137"/>
      <c r="O99" s="350"/>
      <c r="P99" s="139"/>
      <c r="Q99" s="486" t="s">
        <v>55</v>
      </c>
      <c r="R99" s="139"/>
      <c r="S99" s="108"/>
      <c r="T99" s="108"/>
      <c r="U99" s="108"/>
      <c r="V99" s="156"/>
      <c r="W99" s="110"/>
      <c r="X99" s="110"/>
      <c r="Y99" s="156"/>
      <c r="Z99" s="156"/>
      <c r="AA99" s="110"/>
      <c r="AB99" s="110"/>
      <c r="AC99" s="37"/>
      <c r="AD99" s="37"/>
      <c r="AE99" s="37"/>
      <c r="AF99" s="37"/>
      <c r="AG99" s="37"/>
      <c r="AH99" s="37"/>
      <c r="AI99" s="37"/>
      <c r="AJ99" s="37"/>
      <c r="AK99" s="97"/>
      <c r="AL99" s="140"/>
      <c r="AM99" s="141"/>
      <c r="AN99" s="142"/>
      <c r="AO99" s="31"/>
      <c r="AP99" s="31"/>
      <c r="AQ99" s="31"/>
      <c r="AR99" s="31"/>
      <c r="AS99" s="31"/>
      <c r="AT99" s="31"/>
      <c r="AU99" s="31"/>
      <c r="AV99" s="31"/>
      <c r="AW99" s="31"/>
      <c r="AX99" s="65"/>
      <c r="AY99" s="267"/>
      <c r="AZ99" s="33"/>
      <c r="BA99" s="46"/>
      <c r="BB99" s="335"/>
      <c r="BC99" s="336"/>
      <c r="BD99" s="28"/>
      <c r="BE99" s="35"/>
      <c r="BF99" s="35"/>
      <c r="BG99" s="35"/>
    </row>
    <row r="100" spans="1:60" ht="13.5" customHeight="1">
      <c r="A100" s="22"/>
      <c r="B100" s="45"/>
      <c r="C100" s="266"/>
      <c r="D100" s="28"/>
      <c r="E100" s="28"/>
      <c r="F100" s="28"/>
      <c r="G100" s="28"/>
      <c r="H100" s="485" t="s">
        <v>258</v>
      </c>
      <c r="I100" s="137"/>
      <c r="J100" s="137"/>
      <c r="K100" s="137"/>
      <c r="L100" s="137"/>
      <c r="M100" s="137"/>
      <c r="N100" s="137"/>
      <c r="O100" s="350"/>
      <c r="P100" s="139"/>
      <c r="Q100" s="486" t="s">
        <v>55</v>
      </c>
      <c r="R100" s="139"/>
      <c r="S100" s="108"/>
      <c r="T100" s="108"/>
      <c r="U100" s="108"/>
      <c r="V100" s="156"/>
      <c r="W100" s="110"/>
      <c r="X100" s="110"/>
      <c r="Y100" s="156"/>
      <c r="Z100" s="156"/>
      <c r="AA100" s="110"/>
      <c r="AB100" s="110"/>
      <c r="AC100" s="37"/>
      <c r="AD100" s="37"/>
      <c r="AE100" s="37"/>
      <c r="AF100" s="37"/>
      <c r="AG100" s="37"/>
      <c r="AH100" s="37"/>
      <c r="AI100" s="37"/>
      <c r="AJ100" s="37"/>
      <c r="AK100" s="97"/>
      <c r="AL100" s="140"/>
      <c r="AM100" s="141"/>
      <c r="AN100" s="142"/>
      <c r="AO100" s="31"/>
      <c r="AP100" s="31"/>
      <c r="AQ100" s="31"/>
      <c r="AR100" s="31"/>
      <c r="AS100" s="31"/>
      <c r="AT100" s="31"/>
      <c r="AU100" s="31"/>
      <c r="AV100" s="31"/>
      <c r="AW100" s="31"/>
      <c r="AX100" s="65"/>
      <c r="AY100" s="267"/>
      <c r="AZ100" s="33"/>
      <c r="BA100" s="46"/>
      <c r="BB100" s="335"/>
      <c r="BC100" s="336"/>
      <c r="BD100" s="28"/>
      <c r="BE100" s="35"/>
      <c r="BF100" s="35"/>
      <c r="BG100" s="35"/>
    </row>
    <row r="101" spans="1:60" ht="5.0999999999999996" customHeight="1">
      <c r="A101" s="22"/>
      <c r="B101" s="202"/>
      <c r="C101" s="315"/>
      <c r="D101" s="73"/>
      <c r="E101" s="73"/>
      <c r="F101" s="73"/>
      <c r="G101" s="73"/>
      <c r="H101" s="316"/>
      <c r="I101" s="275"/>
      <c r="J101" s="273"/>
      <c r="K101" s="275"/>
      <c r="L101" s="273"/>
      <c r="M101" s="317"/>
      <c r="N101" s="317"/>
      <c r="O101" s="270"/>
      <c r="P101" s="317"/>
      <c r="Q101" s="270"/>
      <c r="R101" s="317"/>
      <c r="S101" s="73"/>
      <c r="T101" s="73"/>
      <c r="U101" s="73"/>
      <c r="V101" s="73"/>
      <c r="W101" s="73"/>
      <c r="X101" s="316"/>
      <c r="Y101" s="275"/>
      <c r="Z101" s="273"/>
      <c r="AA101" s="275"/>
      <c r="AB101" s="273"/>
      <c r="AC101" s="317"/>
      <c r="AD101" s="317"/>
      <c r="AE101" s="270"/>
      <c r="AF101" s="317"/>
      <c r="AG101" s="270"/>
      <c r="AH101" s="317"/>
      <c r="AI101" s="276"/>
      <c r="AJ101" s="317"/>
      <c r="AK101" s="270"/>
      <c r="AL101" s="73"/>
      <c r="AM101" s="73"/>
      <c r="AN101" s="73"/>
      <c r="AO101" s="73"/>
      <c r="AP101" s="73"/>
      <c r="AQ101" s="73"/>
      <c r="AR101" s="73"/>
      <c r="AS101" s="73"/>
      <c r="AT101" s="73"/>
      <c r="AU101" s="73"/>
      <c r="AV101" s="318"/>
      <c r="AW101" s="73"/>
      <c r="AX101" s="73"/>
      <c r="AY101" s="277"/>
      <c r="AZ101" s="33"/>
      <c r="BA101" s="46"/>
      <c r="BB101" s="335"/>
      <c r="BC101" s="336"/>
      <c r="BD101" s="28"/>
    </row>
    <row r="102" spans="1:60" ht="14.1" customHeight="1">
      <c r="A102" s="22"/>
      <c r="B102" s="202"/>
      <c r="C102" s="331"/>
      <c r="D102" s="332"/>
      <c r="E102" s="65"/>
      <c r="F102" s="65"/>
      <c r="G102" s="65"/>
      <c r="H102" s="65"/>
      <c r="I102" s="65"/>
      <c r="J102" s="354"/>
      <c r="K102" s="354"/>
      <c r="L102" s="354"/>
      <c r="M102" s="354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125"/>
      <c r="AU102" s="65"/>
      <c r="AV102" s="65"/>
      <c r="AW102" s="65"/>
      <c r="AX102" s="65"/>
      <c r="AY102" s="65"/>
      <c r="AZ102" s="33"/>
      <c r="BA102" s="46"/>
      <c r="BB102" s="335"/>
      <c r="BC102" s="336"/>
      <c r="BD102" s="28"/>
      <c r="BG102" s="24"/>
      <c r="BH102" s="28"/>
    </row>
    <row r="103" spans="1:60" ht="13.5" customHeight="1">
      <c r="A103" s="22"/>
      <c r="B103" s="202">
        <v>36</v>
      </c>
      <c r="C103" s="331"/>
      <c r="D103" s="332"/>
      <c r="E103" s="65"/>
      <c r="F103" s="65"/>
      <c r="G103" s="65"/>
      <c r="H103" s="65"/>
      <c r="I103" s="65"/>
      <c r="J103" s="1067"/>
      <c r="K103" s="1067"/>
      <c r="L103" s="1067"/>
      <c r="M103" s="1067"/>
      <c r="N103" s="63"/>
      <c r="O103" s="65"/>
      <c r="P103" s="65"/>
      <c r="Q103" s="65"/>
      <c r="R103" s="28"/>
      <c r="S103" s="28"/>
      <c r="T103" s="31"/>
      <c r="U103" s="31"/>
      <c r="V103" s="31"/>
      <c r="W103" s="31"/>
      <c r="X103" s="31"/>
      <c r="Y103" s="44"/>
      <c r="Z103" s="31"/>
      <c r="AA103" s="28"/>
      <c r="AB103" s="44"/>
      <c r="AC103" s="31"/>
      <c r="AD103" s="28"/>
      <c r="AE103" s="44"/>
      <c r="AF103" s="28"/>
      <c r="AG103" s="116"/>
      <c r="AH103" s="41"/>
      <c r="AI103" s="116"/>
      <c r="AJ103" s="116"/>
      <c r="AK103" s="116"/>
      <c r="AL103" s="116"/>
      <c r="AM103" s="116"/>
      <c r="AN103" s="116"/>
      <c r="AO103" s="116"/>
      <c r="AP103" s="116"/>
      <c r="AQ103" s="116"/>
      <c r="AR103" s="116"/>
      <c r="AS103" s="116"/>
      <c r="AT103" s="116"/>
      <c r="AU103" s="116"/>
      <c r="AV103" s="116"/>
      <c r="AW103" s="116"/>
      <c r="AX103" s="116"/>
      <c r="AY103" s="116"/>
      <c r="AZ103" s="33"/>
      <c r="BA103" s="46"/>
      <c r="BB103" s="335"/>
      <c r="BC103" s="336"/>
      <c r="BD103" s="28"/>
      <c r="BG103" s="24"/>
      <c r="BH103" s="28"/>
    </row>
    <row r="104" spans="1:60" ht="13.5" customHeight="1">
      <c r="A104" s="22"/>
      <c r="B104" s="202">
        <v>37</v>
      </c>
      <c r="C104" s="331"/>
      <c r="D104" s="332"/>
      <c r="E104" s="65"/>
      <c r="F104" s="65"/>
      <c r="G104" s="65"/>
      <c r="H104" s="65"/>
      <c r="I104" s="65"/>
      <c r="J104" s="1067"/>
      <c r="K104" s="1067"/>
      <c r="L104" s="1067"/>
      <c r="M104" s="1067"/>
      <c r="N104" s="193"/>
      <c r="O104" s="195"/>
      <c r="P104" s="193"/>
      <c r="Q104" s="194"/>
      <c r="R104" s="194"/>
      <c r="S104" s="194"/>
      <c r="T104" s="196"/>
      <c r="U104" s="196"/>
      <c r="V104" s="196"/>
      <c r="W104" s="196"/>
      <c r="X104" s="196"/>
      <c r="Y104" s="195"/>
      <c r="Z104" s="196"/>
      <c r="AA104" s="194"/>
      <c r="AB104" s="195"/>
      <c r="AC104" s="196"/>
      <c r="AD104" s="194"/>
      <c r="AE104" s="195"/>
      <c r="AF104" s="194"/>
      <c r="AG104" s="194"/>
      <c r="AH104" s="195"/>
      <c r="AI104" s="194"/>
      <c r="AJ104" s="194"/>
      <c r="AK104" s="197"/>
      <c r="AL104" s="194"/>
      <c r="AM104" s="194"/>
      <c r="AN104" s="194"/>
      <c r="AO104" s="194"/>
      <c r="AP104" s="194"/>
      <c r="AQ104" s="194"/>
      <c r="AR104" s="194"/>
      <c r="AS104" s="194"/>
      <c r="AT104" s="194"/>
      <c r="AU104" s="194"/>
      <c r="AV104" s="194"/>
      <c r="AW104" s="194"/>
      <c r="AX104" s="194"/>
      <c r="AY104" s="194"/>
      <c r="AZ104" s="33"/>
      <c r="BA104" s="46"/>
      <c r="BB104" s="335"/>
      <c r="BC104" s="336"/>
      <c r="BD104" s="28"/>
      <c r="BG104" s="24"/>
      <c r="BH104" s="28"/>
    </row>
    <row r="105" spans="1:60">
      <c r="A105" s="22"/>
      <c r="B105" s="32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81"/>
      <c r="T105" s="81"/>
      <c r="U105" s="81"/>
      <c r="V105" s="81"/>
      <c r="W105" s="28"/>
      <c r="X105" s="28"/>
      <c r="Y105" s="81"/>
      <c r="Z105" s="81"/>
      <c r="AA105" s="28"/>
      <c r="AB105" s="28"/>
      <c r="AC105" s="28"/>
      <c r="AD105" s="81"/>
      <c r="AE105" s="81"/>
      <c r="AF105" s="81"/>
      <c r="AG105" s="81"/>
      <c r="AH105" s="81"/>
      <c r="AI105" s="81"/>
      <c r="AJ105" s="81"/>
      <c r="AK105" s="81"/>
      <c r="AL105" s="81"/>
      <c r="AM105" s="81"/>
      <c r="AN105" s="81"/>
      <c r="AO105" s="81"/>
      <c r="AP105" s="81"/>
      <c r="AQ105" s="81"/>
      <c r="AR105" s="81"/>
      <c r="AS105" s="81"/>
      <c r="AT105" s="81"/>
      <c r="AU105" s="81"/>
      <c r="AV105" s="81"/>
      <c r="AW105" s="81"/>
      <c r="AX105" s="81"/>
      <c r="AY105" s="31"/>
      <c r="AZ105" s="33"/>
      <c r="BA105" s="46"/>
      <c r="BB105" s="335"/>
      <c r="BC105" s="336"/>
    </row>
    <row r="106" spans="1:60">
      <c r="A106" s="155"/>
      <c r="B106" s="95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  <c r="O106" s="110"/>
      <c r="P106" s="110"/>
      <c r="Q106" s="110"/>
      <c r="R106" s="110"/>
      <c r="S106" s="156"/>
      <c r="T106" s="156"/>
      <c r="U106" s="156"/>
      <c r="V106" s="156"/>
      <c r="W106" s="110"/>
      <c r="X106" s="110"/>
      <c r="Y106" s="156"/>
      <c r="Z106" s="156"/>
      <c r="AA106" s="110"/>
      <c r="AB106" s="110"/>
      <c r="AC106" s="110"/>
      <c r="AD106" s="156"/>
      <c r="AE106" s="156"/>
      <c r="AF106" s="156"/>
      <c r="AG106" s="156"/>
      <c r="AH106" s="156"/>
      <c r="AI106" s="156"/>
      <c r="AJ106" s="156"/>
      <c r="AK106" s="156"/>
      <c r="AL106" s="156"/>
      <c r="AM106" s="156"/>
      <c r="AN106" s="156"/>
      <c r="AO106" s="156"/>
      <c r="AP106" s="156"/>
      <c r="AQ106" s="156"/>
      <c r="AR106" s="156"/>
      <c r="AS106" s="156"/>
      <c r="AT106" s="156"/>
      <c r="AU106" s="156"/>
      <c r="AV106" s="156"/>
      <c r="AW106" s="156"/>
      <c r="AX106" s="156"/>
      <c r="AY106" s="95"/>
      <c r="AZ106" s="95"/>
      <c r="BA106" s="157"/>
      <c r="BB106" s="355"/>
      <c r="BC106" s="356"/>
    </row>
  </sheetData>
  <mergeCells count="84">
    <mergeCell ref="X62:AA62"/>
    <mergeCell ref="AB62:AF62"/>
    <mergeCell ref="AO59:AR59"/>
    <mergeCell ref="AB58:AF58"/>
    <mergeCell ref="AB59:AF59"/>
    <mergeCell ref="T58:W58"/>
    <mergeCell ref="T59:W59"/>
    <mergeCell ref="AG59:AJ59"/>
    <mergeCell ref="AK58:AN58"/>
    <mergeCell ref="AK59:AN59"/>
    <mergeCell ref="J103:M103"/>
    <mergeCell ref="J104:M104"/>
    <mergeCell ref="BA65:BD65"/>
    <mergeCell ref="J68:M68"/>
    <mergeCell ref="J70:M70"/>
    <mergeCell ref="AB65:AF65"/>
    <mergeCell ref="J94:M94"/>
    <mergeCell ref="J86:M86"/>
    <mergeCell ref="J77:M77"/>
    <mergeCell ref="J80:M80"/>
    <mergeCell ref="J78:M78"/>
    <mergeCell ref="A5:BA5"/>
    <mergeCell ref="BB5:BC5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R43:U43"/>
    <mergeCell ref="R44:U44"/>
    <mergeCell ref="V43:Y43"/>
    <mergeCell ref="V44:Y44"/>
    <mergeCell ref="Z43:AC43"/>
    <mergeCell ref="Z44:AC44"/>
    <mergeCell ref="AQ43:AS43"/>
    <mergeCell ref="AQ44:AS44"/>
    <mergeCell ref="AH43:AL43"/>
    <mergeCell ref="AH44:AL44"/>
    <mergeCell ref="AD43:AG43"/>
    <mergeCell ref="AD44:AG44"/>
    <mergeCell ref="AM43:AP43"/>
    <mergeCell ref="AM44:AP44"/>
    <mergeCell ref="BE58:BG58"/>
    <mergeCell ref="BE59:BG59"/>
    <mergeCell ref="X58:AA58"/>
    <mergeCell ref="X59:AA59"/>
    <mergeCell ref="X65:AA65"/>
    <mergeCell ref="AG65:AJ65"/>
    <mergeCell ref="AK65:AN65"/>
    <mergeCell ref="AS65:AV65"/>
    <mergeCell ref="AO65:AR65"/>
    <mergeCell ref="AW65:AZ65"/>
    <mergeCell ref="AS58:AV58"/>
    <mergeCell ref="AS59:AV59"/>
    <mergeCell ref="AG58:AJ58"/>
    <mergeCell ref="BA58:BD58"/>
    <mergeCell ref="BA59:BD59"/>
    <mergeCell ref="AO58:AR58"/>
    <mergeCell ref="BA62:BD62"/>
    <mergeCell ref="AG62:AJ62"/>
    <mergeCell ref="AK62:AN62"/>
    <mergeCell ref="AO62:AR62"/>
    <mergeCell ref="AS62:AV62"/>
    <mergeCell ref="AW62:AZ62"/>
  </mergeCells>
  <phoneticPr fontId="54"/>
  <conditionalFormatting sqref="AO58:AR59">
    <cfRule type="cellIs" dxfId="38" priority="12" operator="lessThan">
      <formula>30</formula>
    </cfRule>
    <cfRule type="expression" dxfId="37" priority="13">
      <formula>$AK$65&lt;30</formula>
    </cfRule>
  </conditionalFormatting>
  <conditionalFormatting sqref="AO62:AR62">
    <cfRule type="cellIs" dxfId="36" priority="4" operator="lessThan">
      <formula>30</formula>
    </cfRule>
  </conditionalFormatting>
  <conditionalFormatting sqref="AO65:AR65">
    <cfRule type="cellIs" dxfId="35" priority="10" operator="lessThan">
      <formula>30</formula>
    </cfRule>
  </conditionalFormatting>
  <conditionalFormatting sqref="AO62:AV62">
    <cfRule type="cellIs" dxfId="34" priority="5" operator="lessThan">
      <formula>0</formula>
    </cfRule>
    <cfRule type="expression" dxfId="33" priority="6">
      <formula>$AK$65&lt;30</formula>
    </cfRule>
  </conditionalFormatting>
  <conditionalFormatting sqref="AO65:AV65">
    <cfRule type="cellIs" dxfId="32" priority="11" operator="lessThan">
      <formula>0</formula>
    </cfRule>
    <cfRule type="expression" dxfId="31" priority="24">
      <formula>$AK$65&lt;30</formula>
    </cfRule>
  </conditionalFormatting>
  <conditionalFormatting sqref="AS58:AV59">
    <cfRule type="cellIs" dxfId="30" priority="20" operator="lessThan">
      <formula>0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8D3B5-A6BF-4DE0-AEB8-F26B7CC024AC}">
  <dimension ref="A1:BQ106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.5"/>
  <cols>
    <col min="1" max="18" width="2.625" style="35" customWidth="1"/>
    <col min="19" max="22" width="2.625" style="25" customWidth="1"/>
    <col min="23" max="24" width="2.625" style="35" customWidth="1"/>
    <col min="25" max="26" width="2.625" style="25" customWidth="1"/>
    <col min="27" max="29" width="2.625" style="35" customWidth="1"/>
    <col min="30" max="55" width="2.625" style="25" customWidth="1"/>
    <col min="56" max="56" width="2.625" style="81" customWidth="1"/>
    <col min="57" max="59" width="2.625" style="28" customWidth="1"/>
    <col min="60" max="128" width="2.625" style="35" customWidth="1"/>
    <col min="129" max="16384" width="9" style="35"/>
  </cols>
  <sheetData>
    <row r="1" spans="1:59" ht="12" customHeight="1">
      <c r="A1" s="846" t="s">
        <v>4</v>
      </c>
      <c r="B1" s="846"/>
      <c r="C1" s="846"/>
      <c r="D1" s="846"/>
      <c r="E1" s="846"/>
      <c r="F1" s="846"/>
      <c r="G1" s="846"/>
      <c r="H1" s="846"/>
      <c r="I1" s="829" t="s">
        <v>5</v>
      </c>
      <c r="J1" s="829"/>
      <c r="K1" s="829"/>
      <c r="L1" s="829"/>
      <c r="M1" s="844" t="str">
        <f>変更来歴!M1</f>
        <v>ヒロセ電機株式会社</v>
      </c>
      <c r="N1" s="844"/>
      <c r="O1" s="844"/>
      <c r="P1" s="844"/>
      <c r="Q1" s="844"/>
      <c r="R1" s="844"/>
      <c r="S1" s="844"/>
      <c r="T1" s="844"/>
      <c r="U1" s="844"/>
      <c r="V1" s="844"/>
      <c r="W1" s="844"/>
      <c r="X1" s="829" t="s">
        <v>7</v>
      </c>
      <c r="Y1" s="829"/>
      <c r="Z1" s="829"/>
      <c r="AA1" s="848" t="str">
        <f>変更来歴!AA1</f>
        <v>契約書DB</v>
      </c>
      <c r="AB1" s="848"/>
      <c r="AC1" s="848"/>
      <c r="AD1" s="848"/>
      <c r="AE1" s="848"/>
      <c r="AF1" s="848"/>
      <c r="AG1" s="848"/>
      <c r="AH1" s="848"/>
      <c r="AI1" s="848"/>
      <c r="AJ1" s="848"/>
      <c r="AK1" s="833" t="s">
        <v>8</v>
      </c>
      <c r="AL1" s="833"/>
      <c r="AM1" s="833"/>
      <c r="AN1" s="834" t="str">
        <f>変更来歴!AP7</f>
        <v>古竹</v>
      </c>
      <c r="AO1" s="834"/>
      <c r="AP1" s="834"/>
      <c r="AQ1" s="834"/>
      <c r="AR1" s="834"/>
      <c r="AS1" s="833" t="s">
        <v>9</v>
      </c>
      <c r="AT1" s="833"/>
      <c r="AU1" s="833"/>
      <c r="AV1" s="836">
        <f>変更来歴!AL7</f>
        <v>46125</v>
      </c>
      <c r="AW1" s="849"/>
      <c r="AX1" s="849"/>
      <c r="AY1" s="849"/>
      <c r="AZ1" s="825" t="s">
        <v>10</v>
      </c>
      <c r="BA1" s="826"/>
      <c r="BB1" s="826"/>
      <c r="BC1" s="827"/>
    </row>
    <row r="2" spans="1:59">
      <c r="A2" s="828" t="s">
        <v>16</v>
      </c>
      <c r="B2" s="828"/>
      <c r="C2" s="828"/>
      <c r="D2" s="828"/>
      <c r="E2" s="828"/>
      <c r="F2" s="828"/>
      <c r="G2" s="828"/>
      <c r="H2" s="828"/>
      <c r="I2" s="829" t="s">
        <v>11</v>
      </c>
      <c r="J2" s="829"/>
      <c r="K2" s="829"/>
      <c r="L2" s="829"/>
      <c r="M2" s="862" t="str">
        <f>変更来歴!M2</f>
        <v>　</v>
      </c>
      <c r="N2" s="862"/>
      <c r="O2" s="862"/>
      <c r="P2" s="862"/>
      <c r="Q2" s="862"/>
      <c r="R2" s="862"/>
      <c r="S2" s="862"/>
      <c r="T2" s="862"/>
      <c r="U2" s="862"/>
      <c r="V2" s="862"/>
      <c r="W2" s="862"/>
      <c r="X2" s="829"/>
      <c r="Y2" s="829"/>
      <c r="Z2" s="829"/>
      <c r="AA2" s="848"/>
      <c r="AB2" s="848"/>
      <c r="AC2" s="848"/>
      <c r="AD2" s="848"/>
      <c r="AE2" s="848"/>
      <c r="AF2" s="848"/>
      <c r="AG2" s="848"/>
      <c r="AH2" s="848"/>
      <c r="AI2" s="848"/>
      <c r="AJ2" s="848"/>
      <c r="AK2" s="833" t="s">
        <v>12</v>
      </c>
      <c r="AL2" s="833"/>
      <c r="AM2" s="833"/>
      <c r="AN2" s="834" t="str">
        <f ca="1">INDIRECT("変更来歴!AP" &amp; COUNTA(変更来歴!AP7:'変更来歴'!AP39) + 6)</f>
        <v>古竹</v>
      </c>
      <c r="AO2" s="834"/>
      <c r="AP2" s="834"/>
      <c r="AQ2" s="834"/>
      <c r="AR2" s="834"/>
      <c r="AS2" s="833" t="s">
        <v>13</v>
      </c>
      <c r="AT2" s="833"/>
      <c r="AU2" s="833"/>
      <c r="AV2" s="836">
        <f ca="1">INDIRECT("変更来歴!AL" &amp; COUNTA(変更来歴!AL7:'変更来歴'!AL39) + 6)</f>
        <v>46134</v>
      </c>
      <c r="AW2" s="849"/>
      <c r="AX2" s="849"/>
      <c r="AY2" s="849"/>
      <c r="AZ2" s="837" t="str">
        <f>変更来歴!AX2</f>
        <v>IMWF-53</v>
      </c>
      <c r="BA2" s="838"/>
      <c r="BB2" s="838"/>
      <c r="BC2" s="839"/>
    </row>
    <row r="3" spans="1:59" ht="12" customHeight="1">
      <c r="A3" s="843" t="str">
        <f>変更来歴!A3</f>
        <v>画面設計書</v>
      </c>
      <c r="B3" s="843"/>
      <c r="C3" s="843"/>
      <c r="D3" s="843"/>
      <c r="E3" s="843"/>
      <c r="F3" s="843"/>
      <c r="G3" s="843"/>
      <c r="H3" s="843"/>
      <c r="I3" s="829" t="s">
        <v>14</v>
      </c>
      <c r="J3" s="829"/>
      <c r="K3" s="829"/>
      <c r="L3" s="829"/>
      <c r="M3" s="844" t="str">
        <f ca="1">RIGHT(CELL("filename",A1),LEN(CELL("filename",A1))-FIND("]",CELL("filename",A1)))</f>
        <v>円(技術原計)</v>
      </c>
      <c r="N3" s="844"/>
      <c r="O3" s="844"/>
      <c r="P3" s="844"/>
      <c r="Q3" s="844"/>
      <c r="R3" s="844"/>
      <c r="S3" s="844"/>
      <c r="T3" s="844"/>
      <c r="U3" s="844"/>
      <c r="V3" s="844"/>
      <c r="W3" s="844"/>
      <c r="X3" s="829" t="s">
        <v>27</v>
      </c>
      <c r="Y3" s="829"/>
      <c r="Z3" s="829"/>
      <c r="AA3" s="845" t="str">
        <f ca="1">MID(CELL("filename"),FIND("]",CELL("filename"))+1,LEN(CELL("filename"))) &amp; "画面"</f>
        <v>化学物質データ画面(日英併記)画面</v>
      </c>
      <c r="AB3" s="845"/>
      <c r="AC3" s="845"/>
      <c r="AD3" s="845"/>
      <c r="AE3" s="845"/>
      <c r="AF3" s="845"/>
      <c r="AG3" s="845"/>
      <c r="AH3" s="845"/>
      <c r="AI3" s="845"/>
      <c r="AJ3" s="845"/>
      <c r="AK3" s="845"/>
      <c r="AL3" s="845"/>
      <c r="AM3" s="845"/>
      <c r="AN3" s="845"/>
      <c r="AO3" s="845"/>
      <c r="AP3" s="845"/>
      <c r="AQ3" s="845"/>
      <c r="AR3" s="845"/>
      <c r="AS3" s="833" t="s">
        <v>15</v>
      </c>
      <c r="AT3" s="833"/>
      <c r="AU3" s="833"/>
      <c r="AV3" s="849" t="str">
        <f ca="1">INDIRECT("変更来歴!A" &amp; COUNTA(変更来歴!A7:'変更来歴'!A39) + 6)</f>
        <v>r1.1</v>
      </c>
      <c r="AW3" s="849"/>
      <c r="AX3" s="849"/>
      <c r="AY3" s="849"/>
      <c r="AZ3" s="840"/>
      <c r="BA3" s="841"/>
      <c r="BB3" s="841"/>
      <c r="BC3" s="842"/>
    </row>
    <row r="4" spans="1:59" ht="5.85" customHeight="1"/>
    <row r="5" spans="1:59" ht="13.5" customHeight="1">
      <c r="A5" s="864" t="str">
        <f ca="1">"画面レイアウト"&amp;"("&amp;MID(CELL("filename"),FIND("]",CELL("filename"))+1,LEN(CELL("filename")))&amp;")"</f>
        <v>画面レイアウト(化学物質データ画面(日英併記))</v>
      </c>
      <c r="B5" s="865"/>
      <c r="C5" s="865"/>
      <c r="D5" s="865"/>
      <c r="E5" s="865"/>
      <c r="F5" s="865"/>
      <c r="G5" s="865"/>
      <c r="H5" s="865"/>
      <c r="I5" s="865"/>
      <c r="J5" s="865"/>
      <c r="K5" s="865"/>
      <c r="L5" s="865"/>
      <c r="M5" s="865"/>
      <c r="N5" s="865"/>
      <c r="O5" s="865"/>
      <c r="P5" s="865"/>
      <c r="Q5" s="865"/>
      <c r="R5" s="865"/>
      <c r="S5" s="865"/>
      <c r="T5" s="865"/>
      <c r="U5" s="865"/>
      <c r="V5" s="865"/>
      <c r="W5" s="865"/>
      <c r="X5" s="865"/>
      <c r="Y5" s="865"/>
      <c r="Z5" s="865"/>
      <c r="AA5" s="865"/>
      <c r="AB5" s="865"/>
      <c r="AC5" s="865"/>
      <c r="AD5" s="865"/>
      <c r="AE5" s="865"/>
      <c r="AF5" s="865"/>
      <c r="AG5" s="865"/>
      <c r="AH5" s="865"/>
      <c r="AI5" s="865"/>
      <c r="AJ5" s="865"/>
      <c r="AK5" s="865"/>
      <c r="AL5" s="865"/>
      <c r="AM5" s="865"/>
      <c r="AN5" s="865"/>
      <c r="AO5" s="865"/>
      <c r="AP5" s="865"/>
      <c r="AQ5" s="865"/>
      <c r="AR5" s="865"/>
      <c r="AS5" s="865"/>
      <c r="AT5" s="865"/>
      <c r="AU5" s="865"/>
      <c r="AV5" s="865"/>
      <c r="AW5" s="865"/>
      <c r="AX5" s="865"/>
      <c r="AY5" s="865"/>
      <c r="AZ5" s="865"/>
      <c r="BA5" s="866"/>
      <c r="BB5" s="867" t="s">
        <v>24</v>
      </c>
      <c r="BC5" s="868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48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289</v>
      </c>
      <c r="O7" s="36"/>
      <c r="P7" s="36"/>
      <c r="Q7" s="36"/>
      <c r="R7" s="49" t="s">
        <v>288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49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50</v>
      </c>
      <c r="D10" s="31"/>
      <c r="E10" s="31"/>
      <c r="F10" s="31" t="s">
        <v>54</v>
      </c>
      <c r="G10" s="31"/>
      <c r="H10" s="127" t="s">
        <v>53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51</v>
      </c>
      <c r="D11" s="31"/>
      <c r="E11" s="31"/>
      <c r="F11" s="31" t="s">
        <v>54</v>
      </c>
      <c r="G11" s="31"/>
      <c r="H11" s="75" t="s">
        <v>55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52</v>
      </c>
      <c r="D12" s="31"/>
      <c r="E12" s="31"/>
      <c r="F12" s="31" t="s">
        <v>54</v>
      </c>
      <c r="G12" s="31"/>
      <c r="H12" s="75" t="s">
        <v>56</v>
      </c>
      <c r="I12" s="75"/>
      <c r="J12" s="75"/>
      <c r="K12" s="75"/>
      <c r="L12" s="75" t="s">
        <v>57</v>
      </c>
      <c r="M12" s="75"/>
      <c r="N12" s="75"/>
      <c r="O12" s="75" t="s">
        <v>58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104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0999999999999996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105</v>
      </c>
      <c r="D16" s="28"/>
      <c r="E16" s="28"/>
      <c r="F16" s="28"/>
      <c r="G16" s="28"/>
      <c r="H16" s="255" t="s">
        <v>171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59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60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61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62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63</v>
      </c>
      <c r="U19" s="63"/>
      <c r="V19" s="63"/>
      <c r="W19" s="63"/>
      <c r="X19" s="63"/>
      <c r="Y19" s="124" t="s">
        <v>71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107</v>
      </c>
      <c r="D20" s="31"/>
      <c r="E20" s="31"/>
      <c r="F20" s="31"/>
      <c r="G20" s="31"/>
      <c r="H20" s="58"/>
      <c r="I20" s="59"/>
      <c r="J20" s="59"/>
      <c r="K20" s="59"/>
      <c r="L20" s="299" t="s">
        <v>108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0999999999999996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109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0999999999999996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110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111</v>
      </c>
      <c r="Q25" s="64"/>
      <c r="R25" s="63"/>
      <c r="S25" s="35"/>
      <c r="T25" s="28" t="s">
        <v>120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113</v>
      </c>
      <c r="AH25" s="28"/>
      <c r="AI25" s="28"/>
      <c r="AJ25" s="35"/>
      <c r="AK25" s="28" t="s">
        <v>114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115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112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 t="s">
        <v>116</v>
      </c>
      <c r="S26" s="35"/>
      <c r="T26" s="35"/>
      <c r="U26" s="28"/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35"/>
      <c r="AK26" s="28"/>
      <c r="AL26" s="28"/>
      <c r="AM26" s="28"/>
      <c r="AN26" s="28"/>
      <c r="AO26" s="35"/>
      <c r="AP26" s="102"/>
      <c r="AQ26" s="103"/>
      <c r="AR26" s="103"/>
      <c r="AS26" s="103"/>
      <c r="AT26" s="102"/>
      <c r="AU26" s="104"/>
      <c r="AV26" s="102"/>
      <c r="AW26" s="103"/>
      <c r="AX26" s="63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" customHeight="1">
      <c r="A27" s="22"/>
      <c r="B27" s="256"/>
      <c r="C27" s="284" t="s">
        <v>118</v>
      </c>
      <c r="F27" s="285"/>
      <c r="G27" s="285"/>
      <c r="H27" s="98" t="s">
        <v>123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121</v>
      </c>
      <c r="U27" s="35"/>
      <c r="V27" s="285"/>
      <c r="W27" s="285"/>
      <c r="X27" s="285"/>
      <c r="Y27" s="98" t="s">
        <v>124</v>
      </c>
      <c r="Z27" s="257"/>
      <c r="AA27" s="258"/>
      <c r="AB27" s="258"/>
      <c r="AC27" s="258"/>
      <c r="AD27" s="259"/>
      <c r="AE27" s="258"/>
      <c r="AF27" s="110"/>
      <c r="AG27" s="261" t="s">
        <v>33</v>
      </c>
      <c r="AH27" s="35"/>
      <c r="AI27" s="35"/>
      <c r="AJ27" s="35"/>
      <c r="AK27" s="285" t="s">
        <v>122</v>
      </c>
      <c r="AL27" s="35"/>
      <c r="AM27" s="285"/>
      <c r="AN27" s="35"/>
      <c r="AO27" s="35"/>
      <c r="AP27" s="98" t="s">
        <v>117</v>
      </c>
      <c r="AQ27" s="257"/>
      <c r="AR27" s="258"/>
      <c r="AS27" s="258"/>
      <c r="AT27" s="258"/>
      <c r="AU27" s="259"/>
      <c r="AV27" s="110"/>
      <c r="AW27" s="37"/>
      <c r="AX27" s="262" t="s">
        <v>33</v>
      </c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126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131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94" t="s">
        <v>130</v>
      </c>
      <c r="AH28" s="28"/>
      <c r="AI28" s="28"/>
      <c r="AJ28" s="35"/>
      <c r="AK28" s="28" t="s">
        <v>119</v>
      </c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260" t="s">
        <v>33</v>
      </c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32"/>
      <c r="C29" s="287" t="s">
        <v>125</v>
      </c>
      <c r="D29" s="41"/>
      <c r="E29" s="41"/>
      <c r="F29" s="41"/>
      <c r="G29" s="41"/>
      <c r="H29" s="163"/>
      <c r="I29" s="164"/>
      <c r="J29" s="165"/>
      <c r="K29" s="164"/>
      <c r="L29" s="165"/>
      <c r="M29" s="164"/>
      <c r="N29" s="166"/>
      <c r="O29" s="164"/>
      <c r="P29" s="165"/>
      <c r="Q29" s="165"/>
      <c r="R29" s="165"/>
      <c r="S29" s="167"/>
      <c r="T29" s="167"/>
      <c r="U29" s="167"/>
      <c r="V29" s="167"/>
      <c r="W29" s="167"/>
      <c r="X29" s="166"/>
      <c r="Y29" s="167"/>
      <c r="Z29" s="165"/>
      <c r="AA29" s="166"/>
      <c r="AB29" s="167"/>
      <c r="AC29" s="165"/>
      <c r="AD29" s="166"/>
      <c r="AE29" s="165"/>
      <c r="AF29" s="165"/>
      <c r="AG29" s="166"/>
      <c r="AH29" s="165"/>
      <c r="AI29" s="165"/>
      <c r="AJ29" s="168"/>
      <c r="AK29" s="165"/>
      <c r="AL29" s="165"/>
      <c r="AM29" s="165"/>
      <c r="AN29" s="165"/>
      <c r="AO29" s="165"/>
      <c r="AP29" s="165"/>
      <c r="AQ29" s="165"/>
      <c r="AR29" s="165"/>
      <c r="AS29" s="165"/>
      <c r="AT29" s="165"/>
      <c r="AU29" s="165"/>
      <c r="AV29" s="165"/>
      <c r="AW29" s="165"/>
      <c r="AX29" s="160" t="s">
        <v>37</v>
      </c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/>
      <c r="D30" s="41"/>
      <c r="E30" s="41"/>
      <c r="F30" s="41"/>
      <c r="G30" s="41"/>
      <c r="H30" s="169"/>
      <c r="I30" s="170"/>
      <c r="J30" s="171"/>
      <c r="K30" s="170"/>
      <c r="L30" s="171"/>
      <c r="M30" s="170"/>
      <c r="N30" s="172"/>
      <c r="O30" s="170"/>
      <c r="P30" s="171"/>
      <c r="Q30" s="171"/>
      <c r="R30" s="171"/>
      <c r="S30" s="173"/>
      <c r="T30" s="173"/>
      <c r="U30" s="173"/>
      <c r="V30" s="173"/>
      <c r="W30" s="173"/>
      <c r="X30" s="172"/>
      <c r="Y30" s="173"/>
      <c r="Z30" s="171"/>
      <c r="AA30" s="172"/>
      <c r="AB30" s="173"/>
      <c r="AC30" s="171"/>
      <c r="AD30" s="172"/>
      <c r="AE30" s="171"/>
      <c r="AF30" s="171"/>
      <c r="AG30" s="172"/>
      <c r="AH30" s="171"/>
      <c r="AI30" s="171"/>
      <c r="AJ30" s="174"/>
      <c r="AK30" s="171"/>
      <c r="AL30" s="171"/>
      <c r="AM30" s="171"/>
      <c r="AN30" s="171"/>
      <c r="AO30" s="171"/>
      <c r="AP30" s="171"/>
      <c r="AQ30" s="171"/>
      <c r="AR30" s="171"/>
      <c r="AS30" s="171"/>
      <c r="AT30" s="171"/>
      <c r="AU30" s="171"/>
      <c r="AV30" s="171"/>
      <c r="AW30" s="171"/>
      <c r="AX30" s="122" t="s">
        <v>33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 t="s">
        <v>127</v>
      </c>
      <c r="D31" s="41"/>
      <c r="E31" s="41"/>
      <c r="F31" s="41"/>
      <c r="G31" s="41"/>
      <c r="H31" s="163" t="s">
        <v>172</v>
      </c>
      <c r="I31" s="164"/>
      <c r="J31" s="165"/>
      <c r="K31" s="164"/>
      <c r="L31" s="165"/>
      <c r="M31" s="164"/>
      <c r="N31" s="166"/>
      <c r="O31" s="164"/>
      <c r="P31" s="165"/>
      <c r="Q31" s="165"/>
      <c r="R31" s="165"/>
      <c r="S31" s="167"/>
      <c r="T31" s="167"/>
      <c r="U31" s="167"/>
      <c r="V31" s="167"/>
      <c r="W31" s="167"/>
      <c r="X31" s="166"/>
      <c r="Y31" s="167"/>
      <c r="Z31" s="165"/>
      <c r="AA31" s="166"/>
      <c r="AB31" s="167"/>
      <c r="AC31" s="165"/>
      <c r="AD31" s="166"/>
      <c r="AE31" s="165"/>
      <c r="AF31" s="165"/>
      <c r="AG31" s="166"/>
      <c r="AH31" s="165"/>
      <c r="AI31" s="165"/>
      <c r="AJ31" s="168"/>
      <c r="AK31" s="165"/>
      <c r="AL31" s="165"/>
      <c r="AM31" s="165"/>
      <c r="AN31" s="165"/>
      <c r="AO31" s="165"/>
      <c r="AP31" s="165"/>
      <c r="AQ31" s="165"/>
      <c r="AR31" s="165"/>
      <c r="AS31" s="165"/>
      <c r="AT31" s="165"/>
      <c r="AU31" s="165"/>
      <c r="AV31" s="165"/>
      <c r="AW31" s="165"/>
      <c r="AX31" s="160" t="s">
        <v>37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/>
      <c r="D32" s="41"/>
      <c r="E32" s="41"/>
      <c r="F32" s="41"/>
      <c r="G32" s="41"/>
      <c r="H32" s="169"/>
      <c r="I32" s="170"/>
      <c r="J32" s="171"/>
      <c r="K32" s="170"/>
      <c r="L32" s="171"/>
      <c r="M32" s="170"/>
      <c r="N32" s="172"/>
      <c r="O32" s="170"/>
      <c r="P32" s="171"/>
      <c r="Q32" s="171"/>
      <c r="R32" s="171"/>
      <c r="S32" s="173"/>
      <c r="T32" s="173"/>
      <c r="U32" s="173"/>
      <c r="V32" s="173"/>
      <c r="W32" s="173"/>
      <c r="X32" s="172"/>
      <c r="Y32" s="173"/>
      <c r="Z32" s="171"/>
      <c r="AA32" s="172"/>
      <c r="AB32" s="173"/>
      <c r="AC32" s="171"/>
      <c r="AD32" s="172"/>
      <c r="AE32" s="171"/>
      <c r="AF32" s="171"/>
      <c r="AG32" s="172"/>
      <c r="AH32" s="171"/>
      <c r="AI32" s="171"/>
      <c r="AJ32" s="174"/>
      <c r="AK32" s="171"/>
      <c r="AL32" s="171"/>
      <c r="AM32" s="171"/>
      <c r="AN32" s="171"/>
      <c r="AO32" s="171"/>
      <c r="AP32" s="171"/>
      <c r="AQ32" s="171"/>
      <c r="AR32" s="171"/>
      <c r="AS32" s="171"/>
      <c r="AT32" s="171"/>
      <c r="AU32" s="171"/>
      <c r="AV32" s="171"/>
      <c r="AW32" s="171"/>
      <c r="AX32" s="122" t="s">
        <v>33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62" ht="13.5" customHeight="1">
      <c r="A33" s="22"/>
      <c r="B33" s="32"/>
      <c r="C33" s="287" t="s">
        <v>128</v>
      </c>
      <c r="D33" s="41"/>
      <c r="E33" s="41"/>
      <c r="F33" s="41"/>
      <c r="G33" s="41"/>
      <c r="H33" s="163"/>
      <c r="I33" s="164"/>
      <c r="J33" s="165"/>
      <c r="K33" s="164"/>
      <c r="L33" s="165"/>
      <c r="M33" s="164"/>
      <c r="N33" s="166"/>
      <c r="O33" s="164"/>
      <c r="P33" s="165"/>
      <c r="Q33" s="165"/>
      <c r="R33" s="165"/>
      <c r="S33" s="167"/>
      <c r="T33" s="167"/>
      <c r="U33" s="167"/>
      <c r="V33" s="167"/>
      <c r="W33" s="167"/>
      <c r="X33" s="166"/>
      <c r="Y33" s="167"/>
      <c r="Z33" s="165"/>
      <c r="AA33" s="166"/>
      <c r="AB33" s="167"/>
      <c r="AC33" s="165"/>
      <c r="AD33" s="166"/>
      <c r="AE33" s="165"/>
      <c r="AF33" s="165"/>
      <c r="AG33" s="166"/>
      <c r="AH33" s="165"/>
      <c r="AI33" s="165"/>
      <c r="AJ33" s="168"/>
      <c r="AK33" s="165"/>
      <c r="AL33" s="165"/>
      <c r="AM33" s="165"/>
      <c r="AN33" s="165"/>
      <c r="AO33" s="165"/>
      <c r="AP33" s="165"/>
      <c r="AQ33" s="165"/>
      <c r="AR33" s="165"/>
      <c r="AS33" s="165"/>
      <c r="AT33" s="165"/>
      <c r="AU33" s="165"/>
      <c r="AV33" s="165"/>
      <c r="AW33" s="165"/>
      <c r="AX33" s="160" t="s">
        <v>37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62" ht="13.5" customHeight="1">
      <c r="A34" s="22"/>
      <c r="B34" s="32"/>
      <c r="C34" s="287"/>
      <c r="D34" s="41"/>
      <c r="E34" s="41"/>
      <c r="F34" s="41"/>
      <c r="G34" s="41"/>
      <c r="H34" s="169"/>
      <c r="I34" s="170"/>
      <c r="J34" s="171"/>
      <c r="K34" s="170"/>
      <c r="L34" s="171"/>
      <c r="M34" s="170"/>
      <c r="N34" s="172"/>
      <c r="O34" s="170"/>
      <c r="P34" s="171"/>
      <c r="Q34" s="171"/>
      <c r="R34" s="171"/>
      <c r="S34" s="173"/>
      <c r="T34" s="173"/>
      <c r="U34" s="173"/>
      <c r="V34" s="173"/>
      <c r="W34" s="173"/>
      <c r="X34" s="172"/>
      <c r="Y34" s="173"/>
      <c r="Z34" s="171"/>
      <c r="AA34" s="172"/>
      <c r="AB34" s="173"/>
      <c r="AC34" s="171"/>
      <c r="AD34" s="172"/>
      <c r="AE34" s="171"/>
      <c r="AF34" s="171"/>
      <c r="AG34" s="172"/>
      <c r="AH34" s="171"/>
      <c r="AI34" s="171"/>
      <c r="AJ34" s="174"/>
      <c r="AK34" s="171"/>
      <c r="AL34" s="171"/>
      <c r="AM34" s="171"/>
      <c r="AN34" s="171"/>
      <c r="AO34" s="171"/>
      <c r="AP34" s="171"/>
      <c r="AQ34" s="171"/>
      <c r="AR34" s="171"/>
      <c r="AS34" s="171"/>
      <c r="AT34" s="171"/>
      <c r="AU34" s="171"/>
      <c r="AV34" s="171"/>
      <c r="AW34" s="171"/>
      <c r="AX34" s="122" t="s">
        <v>33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62" ht="5.0999999999999996" customHeight="1">
      <c r="A35" s="22"/>
      <c r="B35" s="32"/>
      <c r="C35" s="288"/>
      <c r="D35" s="289"/>
      <c r="E35" s="289"/>
      <c r="F35" s="289"/>
      <c r="G35" s="289"/>
      <c r="H35" s="290"/>
      <c r="I35" s="290"/>
      <c r="J35" s="291"/>
      <c r="K35" s="290"/>
      <c r="L35" s="291"/>
      <c r="M35" s="290"/>
      <c r="N35" s="292"/>
      <c r="O35" s="290"/>
      <c r="P35" s="291"/>
      <c r="Q35" s="291"/>
      <c r="R35" s="291"/>
      <c r="S35" s="293"/>
      <c r="T35" s="293"/>
      <c r="U35" s="293"/>
      <c r="V35" s="293"/>
      <c r="W35" s="293"/>
      <c r="X35" s="292"/>
      <c r="Y35" s="293"/>
      <c r="Z35" s="291"/>
      <c r="AA35" s="292"/>
      <c r="AB35" s="293"/>
      <c r="AC35" s="291"/>
      <c r="AD35" s="292"/>
      <c r="AE35" s="291"/>
      <c r="AF35" s="291"/>
      <c r="AG35" s="292"/>
      <c r="AH35" s="291"/>
      <c r="AI35" s="291"/>
      <c r="AJ35" s="294"/>
      <c r="AK35" s="291"/>
      <c r="AL35" s="291"/>
      <c r="AM35" s="291"/>
      <c r="AN35" s="291"/>
      <c r="AO35" s="291"/>
      <c r="AP35" s="291"/>
      <c r="AQ35" s="291"/>
      <c r="AR35" s="291"/>
      <c r="AS35" s="291"/>
      <c r="AT35" s="291"/>
      <c r="AU35" s="291"/>
      <c r="AV35" s="291"/>
      <c r="AW35" s="291"/>
      <c r="AX35" s="276"/>
      <c r="AY35" s="295"/>
      <c r="AZ35" s="33"/>
      <c r="BA35" s="46"/>
      <c r="BB35" s="78"/>
      <c r="BC35" s="34"/>
      <c r="BD35" s="28"/>
      <c r="BE35" s="35"/>
      <c r="BF35" s="35"/>
      <c r="BG35" s="35"/>
    </row>
    <row r="36" spans="1:62" ht="13.5" customHeight="1">
      <c r="A36" s="22"/>
      <c r="B36" s="202">
        <v>4</v>
      </c>
      <c r="C36" s="43"/>
      <c r="D36" s="31"/>
      <c r="E36" s="31"/>
      <c r="F36" s="31"/>
      <c r="G36" s="31"/>
      <c r="H36" s="62"/>
      <c r="I36" s="63"/>
      <c r="J36" s="63"/>
      <c r="K36" s="63"/>
      <c r="L36" s="64"/>
      <c r="M36" s="63"/>
      <c r="N36" s="65"/>
      <c r="O36" s="65"/>
      <c r="P36" s="65"/>
      <c r="Q36" s="65"/>
      <c r="R36" s="65"/>
      <c r="S36" s="75"/>
      <c r="T36" s="63"/>
      <c r="U36" s="63"/>
      <c r="V36" s="63"/>
      <c r="W36" s="63"/>
      <c r="X36" s="62"/>
      <c r="Y36" s="63"/>
      <c r="Z36" s="63"/>
      <c r="AA36" s="63"/>
      <c r="AB36" s="64"/>
      <c r="AC36" s="63"/>
      <c r="AD36" s="65"/>
      <c r="AE36" s="65"/>
      <c r="AF36" s="65"/>
      <c r="AG36" s="65"/>
      <c r="AH36" s="65"/>
      <c r="AI36" s="75"/>
      <c r="AJ36" s="63"/>
      <c r="AK36" s="63"/>
      <c r="AL36" s="63"/>
      <c r="AM36" s="63"/>
      <c r="AN36" s="125"/>
      <c r="AO36" s="62"/>
      <c r="AP36" s="62"/>
      <c r="AQ36" s="63"/>
      <c r="AR36" s="63"/>
      <c r="AS36" s="63"/>
      <c r="AT36" s="64"/>
      <c r="AU36" s="63"/>
      <c r="AV36" s="65"/>
      <c r="AW36" s="65"/>
      <c r="AX36" s="65"/>
      <c r="AY36" s="31"/>
      <c r="AZ36" s="33"/>
      <c r="BA36" s="46"/>
      <c r="BB36" s="78"/>
      <c r="BC36" s="34"/>
      <c r="BD36" s="35"/>
      <c r="BE36" s="35"/>
      <c r="BF36" s="35"/>
      <c r="BG36" s="35"/>
    </row>
    <row r="37" spans="1:62" ht="13.5" customHeight="1">
      <c r="A37" s="22"/>
      <c r="B37" s="202">
        <v>5</v>
      </c>
      <c r="C37" s="204" t="s">
        <v>64</v>
      </c>
      <c r="D37" s="28"/>
      <c r="E37" s="28"/>
      <c r="F37" s="28"/>
      <c r="G37" s="28"/>
      <c r="H37" s="121"/>
      <c r="I37" s="62"/>
      <c r="J37" s="63"/>
      <c r="K37" s="62"/>
      <c r="L37" s="63"/>
      <c r="M37" s="69"/>
      <c r="N37" s="69"/>
      <c r="O37" s="65"/>
      <c r="P37" s="69"/>
      <c r="Q37" s="65"/>
      <c r="R37" s="69"/>
      <c r="S37" s="28"/>
      <c r="T37" s="28"/>
      <c r="U37" s="28"/>
      <c r="V37" s="28"/>
      <c r="W37" s="28"/>
      <c r="X37" s="121"/>
      <c r="Y37" s="62"/>
      <c r="Z37" s="63"/>
      <c r="AA37" s="62"/>
      <c r="AB37" s="63"/>
      <c r="AC37" s="69"/>
      <c r="AD37" s="69"/>
      <c r="AE37" s="65"/>
      <c r="AF37" s="69"/>
      <c r="AG37" s="65"/>
      <c r="AH37" s="69"/>
      <c r="AI37" s="64"/>
      <c r="AJ37" s="69"/>
      <c r="AK37" s="65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33" t="s">
        <v>73</v>
      </c>
      <c r="AW37" s="28"/>
      <c r="AX37" s="28"/>
      <c r="AY37" s="31"/>
      <c r="AZ37" s="33"/>
      <c r="BA37" s="46"/>
      <c r="BB37" s="159"/>
      <c r="BC37" s="115"/>
      <c r="BD37" s="28"/>
    </row>
    <row r="38" spans="1:62" ht="5.0999999999999996" customHeight="1">
      <c r="A38" s="22"/>
      <c r="B38" s="202"/>
      <c r="C38" s="296"/>
      <c r="D38" s="72"/>
      <c r="E38" s="72"/>
      <c r="F38" s="72"/>
      <c r="G38" s="72"/>
      <c r="H38" s="297"/>
      <c r="I38" s="278"/>
      <c r="J38" s="279"/>
      <c r="K38" s="278"/>
      <c r="L38" s="279"/>
      <c r="M38" s="298"/>
      <c r="N38" s="298"/>
      <c r="O38" s="263"/>
      <c r="P38" s="298"/>
      <c r="Q38" s="263"/>
      <c r="R38" s="298"/>
      <c r="S38" s="72"/>
      <c r="T38" s="72"/>
      <c r="U38" s="72"/>
      <c r="V38" s="72"/>
      <c r="W38" s="72"/>
      <c r="X38" s="297"/>
      <c r="Y38" s="278"/>
      <c r="Z38" s="279"/>
      <c r="AA38" s="278"/>
      <c r="AB38" s="279"/>
      <c r="AC38" s="298"/>
      <c r="AD38" s="298"/>
      <c r="AE38" s="263"/>
      <c r="AF38" s="298"/>
      <c r="AG38" s="263"/>
      <c r="AH38" s="298"/>
      <c r="AI38" s="280"/>
      <c r="AJ38" s="298"/>
      <c r="AK38" s="263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300"/>
      <c r="AW38" s="72"/>
      <c r="AX38" s="72"/>
      <c r="AY38" s="264"/>
      <c r="AZ38" s="264"/>
      <c r="BA38" s="301"/>
      <c r="BB38" s="302"/>
      <c r="BC38" s="303"/>
      <c r="BD38" s="28"/>
    </row>
    <row r="39" spans="1:62" ht="13.5" customHeight="1">
      <c r="A39" s="22"/>
      <c r="B39" s="45"/>
      <c r="C39" s="266"/>
      <c r="D39" s="28" t="s">
        <v>290</v>
      </c>
      <c r="E39" s="28"/>
      <c r="F39" s="28"/>
      <c r="G39" s="28"/>
      <c r="H39" s="86" t="s">
        <v>129</v>
      </c>
      <c r="I39" s="86"/>
      <c r="J39" s="86"/>
      <c r="K39" s="86"/>
      <c r="L39" s="86"/>
      <c r="M39" s="322"/>
      <c r="N39" s="87"/>
      <c r="O39" s="88"/>
      <c r="P39" s="88"/>
      <c r="Q39" s="89"/>
      <c r="R39" s="87"/>
      <c r="S39" s="87"/>
      <c r="T39" s="87"/>
      <c r="U39" s="88"/>
      <c r="V39" s="89"/>
      <c r="W39" s="87"/>
      <c r="X39" s="65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65"/>
      <c r="AY39" s="31"/>
      <c r="AZ39" s="52"/>
      <c r="BA39" s="93"/>
      <c r="BB39" s="327"/>
      <c r="BC39" s="328"/>
      <c r="BD39" s="28"/>
      <c r="BE39" s="35"/>
      <c r="BF39" s="35"/>
      <c r="BG39" s="35"/>
    </row>
    <row r="40" spans="1:62" ht="13.5" customHeight="1">
      <c r="A40" s="22"/>
      <c r="B40" s="202">
        <v>6</v>
      </c>
      <c r="C40" s="304" t="s">
        <v>32</v>
      </c>
      <c r="D40" s="205" t="s">
        <v>65</v>
      </c>
      <c r="E40" s="206"/>
      <c r="F40" s="206"/>
      <c r="G40" s="207"/>
      <c r="H40" s="208" t="s">
        <v>74</v>
      </c>
      <c r="I40" s="209"/>
      <c r="J40" s="209"/>
      <c r="K40" s="209"/>
      <c r="L40" s="206"/>
      <c r="M40" s="207"/>
      <c r="N40" s="205" t="s">
        <v>75</v>
      </c>
      <c r="O40" s="206"/>
      <c r="P40" s="206"/>
      <c r="Q40" s="207"/>
      <c r="R40" s="205" t="s">
        <v>76</v>
      </c>
      <c r="S40" s="206"/>
      <c r="T40" s="206"/>
      <c r="U40" s="206"/>
      <c r="V40" s="210" t="s">
        <v>88</v>
      </c>
      <c r="W40" s="211"/>
      <c r="X40" s="211"/>
      <c r="Y40" s="212"/>
      <c r="Z40" s="211" t="s">
        <v>90</v>
      </c>
      <c r="AA40" s="211"/>
      <c r="AB40" s="211"/>
      <c r="AC40" s="212"/>
      <c r="AD40" s="211" t="s">
        <v>77</v>
      </c>
      <c r="AE40" s="211"/>
      <c r="AF40" s="211"/>
      <c r="AG40" s="212"/>
      <c r="AH40" s="210" t="s">
        <v>280</v>
      </c>
      <c r="AI40" s="211"/>
      <c r="AJ40" s="211"/>
      <c r="AK40" s="211"/>
      <c r="AL40" s="212"/>
      <c r="AM40" s="210" t="s">
        <v>106</v>
      </c>
      <c r="AN40" s="211"/>
      <c r="AO40" s="211"/>
      <c r="AP40" s="211"/>
      <c r="AQ40" s="210" t="s">
        <v>84</v>
      </c>
      <c r="AR40" s="211"/>
      <c r="AS40" s="211"/>
      <c r="AT40" s="212"/>
      <c r="AU40" s="211" t="s">
        <v>86</v>
      </c>
      <c r="AV40" s="211"/>
      <c r="AW40" s="212"/>
      <c r="AX40" s="305" t="s">
        <v>87</v>
      </c>
      <c r="AY40" s="211"/>
      <c r="AZ40" s="211"/>
      <c r="BA40" s="212"/>
      <c r="BB40" s="211" t="s">
        <v>70</v>
      </c>
      <c r="BC40" s="211"/>
      <c r="BD40" s="211"/>
      <c r="BE40" s="212"/>
      <c r="BH40" s="28"/>
      <c r="BI40" s="28"/>
      <c r="BJ40" s="28"/>
    </row>
    <row r="41" spans="1:62" ht="13.5" customHeight="1">
      <c r="A41" s="22"/>
      <c r="B41" s="202">
        <v>7</v>
      </c>
      <c r="C41" s="306"/>
      <c r="D41" s="213" t="s">
        <v>30</v>
      </c>
      <c r="E41" s="216"/>
      <c r="F41" s="214"/>
      <c r="G41" s="215"/>
      <c r="H41" s="213" t="s">
        <v>30</v>
      </c>
      <c r="I41" s="216"/>
      <c r="J41" s="216"/>
      <c r="K41" s="216"/>
      <c r="L41" s="214"/>
      <c r="M41" s="215"/>
      <c r="N41" s="213"/>
      <c r="O41" s="214"/>
      <c r="P41" s="214"/>
      <c r="Q41" s="215"/>
      <c r="R41" s="213" t="s">
        <v>30</v>
      </c>
      <c r="S41" s="216"/>
      <c r="T41" s="214"/>
      <c r="U41" s="214"/>
      <c r="V41" s="217" t="s">
        <v>89</v>
      </c>
      <c r="W41" s="218"/>
      <c r="X41" s="219"/>
      <c r="Y41" s="220"/>
      <c r="Z41" s="218" t="s">
        <v>43</v>
      </c>
      <c r="AA41" s="218"/>
      <c r="AB41" s="219"/>
      <c r="AC41" s="220"/>
      <c r="AD41" s="218" t="s">
        <v>43</v>
      </c>
      <c r="AE41" s="218"/>
      <c r="AF41" s="219"/>
      <c r="AG41" s="220"/>
      <c r="AH41" s="217" t="s">
        <v>30</v>
      </c>
      <c r="AI41" s="218"/>
      <c r="AJ41" s="218"/>
      <c r="AK41" s="219"/>
      <c r="AL41" s="220"/>
      <c r="AM41" s="217" t="s">
        <v>43</v>
      </c>
      <c r="AN41" s="218"/>
      <c r="AO41" s="219"/>
      <c r="AP41" s="219"/>
      <c r="AQ41" s="217" t="s">
        <v>43</v>
      </c>
      <c r="AR41" s="218"/>
      <c r="AS41" s="219"/>
      <c r="AT41" s="220"/>
      <c r="AU41" s="218" t="s">
        <v>43</v>
      </c>
      <c r="AV41" s="218"/>
      <c r="AW41" s="220"/>
      <c r="AX41" s="307" t="s">
        <v>43</v>
      </c>
      <c r="AY41" s="218"/>
      <c r="AZ41" s="219"/>
      <c r="BA41" s="220"/>
      <c r="BB41" s="218" t="s">
        <v>43</v>
      </c>
      <c r="BC41" s="218"/>
      <c r="BD41" s="219"/>
      <c r="BE41" s="220"/>
      <c r="BH41" s="28"/>
      <c r="BI41" s="28"/>
      <c r="BJ41" s="28"/>
    </row>
    <row r="42" spans="1:62" ht="13.5" customHeight="1">
      <c r="A42" s="22"/>
      <c r="B42" s="202">
        <v>8</v>
      </c>
      <c r="C42" s="308">
        <v>1</v>
      </c>
      <c r="D42" s="148" t="s">
        <v>136</v>
      </c>
      <c r="E42" s="149"/>
      <c r="F42" s="149"/>
      <c r="G42" s="151"/>
      <c r="H42" s="242" t="s">
        <v>138</v>
      </c>
      <c r="I42" s="150"/>
      <c r="J42" s="150"/>
      <c r="K42" s="150"/>
      <c r="L42" s="161"/>
      <c r="M42" s="162"/>
      <c r="N42" s="242" t="s">
        <v>93</v>
      </c>
      <c r="O42" s="150"/>
      <c r="P42" s="150"/>
      <c r="Q42" s="99" t="s">
        <v>33</v>
      </c>
      <c r="R42" s="1097">
        <v>1000</v>
      </c>
      <c r="S42" s="1098"/>
      <c r="T42" s="1098"/>
      <c r="U42" s="1099"/>
      <c r="V42" s="1086">
        <v>980</v>
      </c>
      <c r="W42" s="1095"/>
      <c r="X42" s="1095"/>
      <c r="Y42" s="1096"/>
      <c r="Z42" s="1086">
        <v>1610</v>
      </c>
      <c r="AA42" s="1095"/>
      <c r="AB42" s="1095"/>
      <c r="AC42" s="1096"/>
      <c r="AD42" s="1086">
        <v>1035</v>
      </c>
      <c r="AE42" s="1095"/>
      <c r="AF42" s="1095"/>
      <c r="AG42" s="1096"/>
      <c r="AH42" s="1086">
        <v>510.27</v>
      </c>
      <c r="AI42" s="1095"/>
      <c r="AJ42" s="1095"/>
      <c r="AK42" s="1095"/>
      <c r="AL42" s="1096"/>
      <c r="AM42" s="1086">
        <v>796.03</v>
      </c>
      <c r="AN42" s="1095"/>
      <c r="AO42" s="1095"/>
      <c r="AP42" s="1096"/>
      <c r="AQ42" s="1086"/>
      <c r="AR42" s="1095"/>
      <c r="AS42" s="1095"/>
      <c r="AT42" s="1096"/>
      <c r="AU42" s="1083">
        <v>64.7</v>
      </c>
      <c r="AV42" s="1084"/>
      <c r="AW42" s="1085"/>
      <c r="AX42" s="309" t="s">
        <v>141</v>
      </c>
      <c r="AY42" s="150"/>
      <c r="AZ42" s="150"/>
      <c r="BA42" s="152"/>
      <c r="BB42" s="149" t="s">
        <v>30</v>
      </c>
      <c r="BC42" s="150"/>
      <c r="BD42" s="150"/>
      <c r="BE42" s="152"/>
      <c r="BH42" s="28"/>
      <c r="BI42" s="28"/>
      <c r="BJ42" s="28"/>
    </row>
    <row r="43" spans="1:62" ht="13.5" customHeight="1">
      <c r="A43" s="22"/>
      <c r="B43" s="202">
        <v>9</v>
      </c>
      <c r="C43" s="308">
        <v>2</v>
      </c>
      <c r="D43" s="148" t="s">
        <v>137</v>
      </c>
      <c r="E43" s="149"/>
      <c r="F43" s="149"/>
      <c r="G43" s="151"/>
      <c r="H43" s="242" t="s">
        <v>139</v>
      </c>
      <c r="I43" s="150"/>
      <c r="J43" s="150"/>
      <c r="K43" s="150"/>
      <c r="L43" s="161"/>
      <c r="M43" s="162"/>
      <c r="N43" s="242" t="s">
        <v>93</v>
      </c>
      <c r="O43" s="150"/>
      <c r="P43" s="150"/>
      <c r="Q43" s="99" t="s">
        <v>33</v>
      </c>
      <c r="R43" s="1097">
        <v>500</v>
      </c>
      <c r="S43" s="1098"/>
      <c r="T43" s="1098"/>
      <c r="U43" s="1099"/>
      <c r="V43" s="1086">
        <v>500</v>
      </c>
      <c r="W43" s="1095"/>
      <c r="X43" s="1095"/>
      <c r="Y43" s="1096"/>
      <c r="Z43" s="1086">
        <v>794</v>
      </c>
      <c r="AA43" s="1095"/>
      <c r="AB43" s="1095"/>
      <c r="AC43" s="1096"/>
      <c r="AD43" s="1086">
        <v>630</v>
      </c>
      <c r="AE43" s="1095"/>
      <c r="AF43" s="1095"/>
      <c r="AG43" s="1096"/>
      <c r="AH43" s="1086">
        <v>247.92</v>
      </c>
      <c r="AI43" s="1095"/>
      <c r="AJ43" s="1095"/>
      <c r="AK43" s="1095"/>
      <c r="AL43" s="1096"/>
      <c r="AM43" s="1086">
        <v>483.47</v>
      </c>
      <c r="AN43" s="1095"/>
      <c r="AO43" s="1095"/>
      <c r="AP43" s="1096"/>
      <c r="AQ43" s="1086"/>
      <c r="AR43" s="1095"/>
      <c r="AS43" s="1095"/>
      <c r="AT43" s="1096"/>
      <c r="AU43" s="1083">
        <v>39.4</v>
      </c>
      <c r="AV43" s="1084"/>
      <c r="AW43" s="1085"/>
      <c r="AX43" s="309" t="s">
        <v>141</v>
      </c>
      <c r="AY43" s="150"/>
      <c r="AZ43" s="150"/>
      <c r="BA43" s="152"/>
      <c r="BB43" s="149" t="s">
        <v>30</v>
      </c>
      <c r="BC43" s="150"/>
      <c r="BD43" s="150"/>
      <c r="BE43" s="152"/>
      <c r="BH43" s="28"/>
      <c r="BI43" s="28"/>
      <c r="BJ43" s="28"/>
    </row>
    <row r="44" spans="1:62" ht="13.5" customHeight="1">
      <c r="A44" s="22"/>
      <c r="B44" s="202">
        <v>10</v>
      </c>
      <c r="C44" s="310"/>
      <c r="D44" s="65"/>
      <c r="E44" s="65"/>
      <c r="F44" s="65"/>
      <c r="G44" s="65"/>
      <c r="H44" s="65"/>
      <c r="I44" s="65"/>
      <c r="J44" s="65"/>
      <c r="K44" s="65"/>
      <c r="L44" s="65"/>
      <c r="M44" s="62"/>
      <c r="N44" s="63"/>
      <c r="O44" s="65"/>
      <c r="P44" s="65"/>
      <c r="Q44" s="64"/>
      <c r="R44" s="63"/>
      <c r="S44" s="190"/>
      <c r="T44" s="190"/>
      <c r="U44" s="191"/>
      <c r="V44" s="192"/>
      <c r="W44" s="190"/>
      <c r="X44" s="65"/>
      <c r="Y44" s="65"/>
      <c r="Z44" s="65"/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3"/>
      <c r="AN44" s="63"/>
      <c r="AO44" s="63"/>
      <c r="AP44" s="63"/>
      <c r="AQ44" s="63"/>
      <c r="AR44" s="63"/>
      <c r="AS44" s="63"/>
      <c r="AT44" s="63"/>
      <c r="AU44" s="63"/>
      <c r="AV44" s="63"/>
      <c r="AW44" s="63"/>
      <c r="AX44" s="63"/>
      <c r="AY44" s="63"/>
      <c r="AZ44" s="31"/>
      <c r="BA44" s="35"/>
      <c r="BB44" s="35"/>
      <c r="BC44" s="311"/>
      <c r="BD44" s="28"/>
    </row>
    <row r="45" spans="1:62" ht="13.5" customHeight="1">
      <c r="A45" s="22"/>
      <c r="B45" s="202">
        <v>11</v>
      </c>
      <c r="C45" s="312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3"/>
      <c r="W45" s="63"/>
      <c r="X45" s="75"/>
      <c r="Y45" s="63"/>
      <c r="Z45" s="63"/>
      <c r="AA45" s="69"/>
      <c r="AB45" s="65"/>
      <c r="AC45" s="63"/>
      <c r="AD45" s="65"/>
      <c r="AE45" s="65"/>
      <c r="AF45" s="65"/>
      <c r="AG45" s="69"/>
      <c r="AH45" s="65"/>
      <c r="AI45" s="75"/>
      <c r="AJ45" s="63"/>
      <c r="AK45" s="63"/>
      <c r="AL45" s="63"/>
      <c r="AM45" s="63"/>
      <c r="AN45" s="125"/>
      <c r="AO45" s="62"/>
      <c r="AP45" s="62"/>
      <c r="AQ45" s="63"/>
      <c r="AR45" s="63"/>
      <c r="AS45" s="63"/>
      <c r="AT45" s="64"/>
      <c r="AU45" s="63"/>
      <c r="AV45" s="65"/>
      <c r="AW45" s="65"/>
      <c r="AX45" s="65"/>
      <c r="AY45" s="63"/>
      <c r="AZ45" s="31"/>
      <c r="BA45" s="35"/>
      <c r="BB45" s="35"/>
      <c r="BC45" s="311"/>
      <c r="BD45" s="28"/>
    </row>
    <row r="46" spans="1:62" ht="15.75" customHeight="1">
      <c r="A46" s="22"/>
      <c r="B46" s="202">
        <v>12</v>
      </c>
      <c r="C46" s="310"/>
      <c r="D46" s="65"/>
      <c r="E46" s="65"/>
      <c r="F46" s="65"/>
      <c r="G46" s="65"/>
      <c r="H46" s="65"/>
      <c r="I46" s="65"/>
      <c r="J46" s="65"/>
      <c r="K46" s="65"/>
      <c r="L46" s="65"/>
      <c r="M46" s="62"/>
      <c r="N46" s="65"/>
      <c r="O46" s="65"/>
      <c r="P46" s="63"/>
      <c r="Q46" s="64"/>
      <c r="R46" s="63"/>
      <c r="S46" s="63"/>
      <c r="T46" s="65"/>
      <c r="U46" s="63"/>
      <c r="V46" s="65"/>
      <c r="W46" s="63"/>
      <c r="X46" s="63"/>
      <c r="Y46" s="63"/>
      <c r="Z46" s="63"/>
      <c r="AA46" s="63"/>
      <c r="AB46" s="65"/>
      <c r="AC46" s="65"/>
      <c r="AD46" s="62"/>
      <c r="AE46" s="63"/>
      <c r="AF46" s="63"/>
      <c r="AG46" s="65"/>
      <c r="AH46" s="65"/>
      <c r="AI46" s="62"/>
      <c r="AJ46" s="63"/>
      <c r="AK46" s="65"/>
      <c r="AL46" s="63"/>
      <c r="AM46" s="63"/>
      <c r="AN46" s="126"/>
      <c r="AO46" s="65"/>
      <c r="AP46" s="65"/>
      <c r="AQ46" s="125"/>
      <c r="AR46" s="65"/>
      <c r="AS46" s="65"/>
      <c r="AT46" s="63"/>
      <c r="AU46" s="63"/>
      <c r="AV46" s="63"/>
      <c r="AW46" s="63"/>
      <c r="AX46" s="63"/>
      <c r="AY46" s="63"/>
      <c r="AZ46" s="31"/>
      <c r="BA46" s="35"/>
      <c r="BB46" s="35"/>
      <c r="BC46" s="311"/>
      <c r="BD46" s="28"/>
    </row>
    <row r="47" spans="1:62" ht="13.5" customHeight="1">
      <c r="A47" s="22"/>
      <c r="B47" s="202">
        <v>13</v>
      </c>
      <c r="C47" s="310"/>
      <c r="D47" s="65"/>
      <c r="E47" s="65"/>
      <c r="F47" s="65"/>
      <c r="G47" s="65"/>
      <c r="H47" s="84"/>
      <c r="I47" s="65"/>
      <c r="J47" s="65"/>
      <c r="K47" s="65"/>
      <c r="L47" s="65"/>
      <c r="M47" s="126"/>
      <c r="N47" s="65"/>
      <c r="O47" s="65"/>
      <c r="P47" s="65"/>
      <c r="Q47" s="198"/>
      <c r="R47" s="65"/>
      <c r="S47" s="63"/>
      <c r="T47" s="63"/>
      <c r="U47" s="63"/>
      <c r="V47" s="65"/>
      <c r="W47" s="84"/>
      <c r="X47" s="65"/>
      <c r="Y47" s="65"/>
      <c r="Z47" s="65"/>
      <c r="AA47" s="65"/>
      <c r="AB47" s="65"/>
      <c r="AC47" s="65"/>
      <c r="AD47" s="65"/>
      <c r="AE47" s="65"/>
      <c r="AF47" s="65"/>
      <c r="AG47" s="65"/>
      <c r="AH47" s="126"/>
      <c r="AI47" s="65"/>
      <c r="AJ47" s="125"/>
      <c r="AK47" s="65"/>
      <c r="AL47" s="65"/>
      <c r="AM47" s="65"/>
      <c r="AN47" s="65"/>
      <c r="AO47" s="65"/>
      <c r="AP47" s="65"/>
      <c r="AQ47" s="125"/>
      <c r="AR47" s="65"/>
      <c r="AS47" s="125"/>
      <c r="AT47" s="64"/>
      <c r="AU47" s="63"/>
      <c r="AV47" s="65"/>
      <c r="AW47" s="65"/>
      <c r="AX47" s="65"/>
      <c r="AY47" s="63"/>
      <c r="AZ47" s="31"/>
      <c r="BA47" s="35"/>
      <c r="BB47" s="35"/>
      <c r="BC47" s="311"/>
      <c r="BD47" s="28"/>
    </row>
    <row r="48" spans="1:62" ht="13.5" customHeight="1">
      <c r="A48" s="22"/>
      <c r="B48" s="202">
        <v>14</v>
      </c>
      <c r="C48" s="312"/>
      <c r="D48" s="65"/>
      <c r="E48" s="65"/>
      <c r="F48" s="65"/>
      <c r="G48" s="65"/>
      <c r="H48" s="65"/>
      <c r="I48" s="65"/>
      <c r="J48" s="65"/>
      <c r="K48" s="198"/>
      <c r="L48" s="65"/>
      <c r="M48" s="65"/>
      <c r="N48" s="65"/>
      <c r="O48" s="65"/>
      <c r="P48" s="65"/>
      <c r="Q48" s="198"/>
      <c r="R48" s="65"/>
      <c r="S48" s="65"/>
      <c r="T48" s="65"/>
      <c r="U48" s="198"/>
      <c r="V48" s="65"/>
      <c r="W48" s="65"/>
      <c r="X48" s="65"/>
      <c r="Y48" s="65"/>
      <c r="Z48" s="65"/>
      <c r="AA48" s="65"/>
      <c r="AB48" s="65"/>
      <c r="AC48" s="65"/>
      <c r="AD48" s="65"/>
      <c r="AE48" s="65"/>
      <c r="AF48" s="65"/>
      <c r="AG48" s="65"/>
      <c r="AH48" s="65"/>
      <c r="AI48" s="65"/>
      <c r="AJ48" s="125"/>
      <c r="AK48" s="112"/>
      <c r="AL48" s="62"/>
      <c r="AM48" s="63"/>
      <c r="AN48" s="63"/>
      <c r="AO48" s="63"/>
      <c r="AP48" s="63"/>
      <c r="AQ48" s="64"/>
      <c r="AR48" s="63"/>
      <c r="AS48" s="65"/>
      <c r="AT48" s="65"/>
      <c r="AU48" s="65"/>
      <c r="AV48" s="65"/>
      <c r="AW48" s="65"/>
      <c r="AX48" s="65"/>
      <c r="AY48" s="63"/>
      <c r="AZ48" s="31"/>
      <c r="BA48" s="35"/>
      <c r="BB48" s="35"/>
      <c r="BC48" s="311"/>
      <c r="BD48" s="28"/>
    </row>
    <row r="49" spans="1:67" ht="13.5" customHeight="1">
      <c r="A49" s="22"/>
      <c r="B49" s="202">
        <v>15</v>
      </c>
      <c r="C49" s="313" t="s">
        <v>72</v>
      </c>
      <c r="D49" s="223"/>
      <c r="E49" s="224"/>
      <c r="F49" s="223"/>
      <c r="G49" s="224"/>
      <c r="H49" s="225"/>
      <c r="I49" s="226"/>
      <c r="J49" s="227"/>
      <c r="K49" s="227"/>
      <c r="L49" s="227"/>
      <c r="M49" s="228"/>
      <c r="N49" s="227"/>
      <c r="O49" s="227"/>
      <c r="P49" s="227"/>
      <c r="Q49" s="229"/>
      <c r="R49" s="227"/>
      <c r="S49" s="227"/>
      <c r="T49" s="227"/>
      <c r="U49" s="227"/>
      <c r="V49" s="227"/>
      <c r="W49" s="229"/>
      <c r="X49" s="227"/>
      <c r="Y49" s="227"/>
      <c r="Z49" s="227"/>
      <c r="AA49" s="229"/>
      <c r="AB49" s="227"/>
      <c r="AC49" s="227"/>
      <c r="AD49" s="227"/>
      <c r="AE49" s="227"/>
      <c r="AF49" s="227"/>
      <c r="AG49" s="232"/>
      <c r="AH49" s="227"/>
      <c r="AI49" s="227"/>
      <c r="AJ49" s="227"/>
      <c r="AK49" s="227"/>
      <c r="AL49" s="227"/>
      <c r="AM49" s="227"/>
      <c r="AN49" s="227"/>
      <c r="AO49" s="227"/>
      <c r="AP49" s="227"/>
      <c r="AQ49" s="230"/>
      <c r="AR49" s="227"/>
      <c r="AS49" s="230"/>
      <c r="AT49" s="227"/>
      <c r="AU49" s="227"/>
      <c r="AV49" s="227"/>
      <c r="AW49" s="227"/>
      <c r="AX49" s="227"/>
      <c r="AY49" s="224"/>
      <c r="AZ49" s="224"/>
      <c r="BA49" s="231"/>
      <c r="BB49" s="231"/>
      <c r="BC49" s="314"/>
      <c r="BD49" s="28"/>
    </row>
    <row r="50" spans="1:67" ht="13.5" customHeight="1">
      <c r="A50" s="22"/>
      <c r="B50" s="202">
        <v>16</v>
      </c>
      <c r="C50" s="310"/>
      <c r="D50" s="65"/>
      <c r="E50" s="65"/>
      <c r="F50" s="65"/>
      <c r="G50" s="65"/>
      <c r="H50" s="65"/>
      <c r="I50" s="65"/>
      <c r="J50" s="65"/>
      <c r="K50" s="65"/>
      <c r="L50" s="65"/>
      <c r="M50" s="62"/>
      <c r="N50" s="65"/>
      <c r="O50" s="65"/>
      <c r="P50" s="63"/>
      <c r="Q50" s="64"/>
      <c r="R50" s="63"/>
      <c r="S50" s="111"/>
      <c r="T50" s="112"/>
      <c r="U50" s="111"/>
      <c r="V50" s="112"/>
      <c r="W50" s="111"/>
      <c r="X50" s="111"/>
      <c r="Y50" s="111"/>
      <c r="Z50" s="111"/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5"/>
      <c r="AN50" s="65"/>
      <c r="AO50" s="65"/>
      <c r="AP50" s="65"/>
      <c r="AQ50" s="65"/>
      <c r="AR50" s="65"/>
      <c r="AS50" s="65"/>
      <c r="AT50" s="65"/>
      <c r="AU50" s="65"/>
      <c r="AV50" s="65"/>
      <c r="AW50" s="65"/>
      <c r="AX50" s="65"/>
      <c r="AY50" s="63"/>
      <c r="AZ50" s="53"/>
      <c r="BA50" s="323"/>
      <c r="BB50" s="324"/>
      <c r="BC50" s="325"/>
      <c r="BD50" s="28"/>
    </row>
    <row r="51" spans="1:67" ht="13.5" customHeight="1">
      <c r="A51" s="22"/>
      <c r="B51" s="202">
        <v>17</v>
      </c>
      <c r="C51" s="310"/>
      <c r="D51" s="65"/>
      <c r="E51" s="65"/>
      <c r="F51" s="65"/>
      <c r="G51" s="65"/>
      <c r="H51" s="126"/>
      <c r="I51" s="65"/>
      <c r="J51" s="65"/>
      <c r="K51" s="65"/>
      <c r="L51" s="198"/>
      <c r="M51" s="65"/>
      <c r="N51" s="65"/>
      <c r="O51" s="65"/>
      <c r="P51" s="198"/>
      <c r="Q51" s="65"/>
      <c r="R51" s="65"/>
      <c r="S51" s="65"/>
      <c r="T51" s="198"/>
      <c r="U51" s="65"/>
      <c r="V51" s="65"/>
      <c r="W51" s="65"/>
      <c r="X51" s="65"/>
      <c r="Y51" s="65"/>
      <c r="Z51" s="65"/>
      <c r="AA51" s="65"/>
      <c r="AB51" s="65"/>
      <c r="AC51" s="65"/>
      <c r="AD51" s="65"/>
      <c r="AE51" s="65"/>
      <c r="AF51" s="65"/>
      <c r="AG51" s="65"/>
      <c r="AH51" s="65"/>
      <c r="AI51" s="65"/>
      <c r="AJ51" s="65"/>
      <c r="AK51" s="125"/>
      <c r="AL51" s="65"/>
      <c r="AM51" s="65"/>
      <c r="AN51" s="65"/>
      <c r="AO51" s="65"/>
      <c r="AP51" s="65"/>
      <c r="AQ51" s="65"/>
      <c r="AR51" s="65"/>
      <c r="AS51" s="65"/>
      <c r="AT51" s="65"/>
      <c r="AU51" s="65"/>
      <c r="AV51" s="65"/>
      <c r="AW51" s="65"/>
      <c r="AX51" s="65"/>
      <c r="AY51" s="63"/>
      <c r="AZ51" s="31"/>
      <c r="BA51" s="30"/>
      <c r="BB51" s="175"/>
      <c r="BC51" s="326"/>
      <c r="BD51" s="28"/>
    </row>
    <row r="52" spans="1:67" ht="5.0999999999999996" customHeight="1">
      <c r="A52" s="22"/>
      <c r="B52" s="202"/>
      <c r="C52" s="315"/>
      <c r="D52" s="73"/>
      <c r="E52" s="73"/>
      <c r="F52" s="73"/>
      <c r="G52" s="73"/>
      <c r="H52" s="316"/>
      <c r="I52" s="275"/>
      <c r="J52" s="273"/>
      <c r="K52" s="275"/>
      <c r="L52" s="273"/>
      <c r="M52" s="317"/>
      <c r="N52" s="317"/>
      <c r="O52" s="270"/>
      <c r="P52" s="317"/>
      <c r="Q52" s="270"/>
      <c r="R52" s="317"/>
      <c r="S52" s="73"/>
      <c r="T52" s="73"/>
      <c r="U52" s="73"/>
      <c r="V52" s="73"/>
      <c r="W52" s="73"/>
      <c r="X52" s="316"/>
      <c r="Y52" s="275"/>
      <c r="Z52" s="273"/>
      <c r="AA52" s="275"/>
      <c r="AB52" s="273"/>
      <c r="AC52" s="317"/>
      <c r="AD52" s="317"/>
      <c r="AE52" s="270"/>
      <c r="AF52" s="317"/>
      <c r="AG52" s="270"/>
      <c r="AH52" s="317"/>
      <c r="AI52" s="276"/>
      <c r="AJ52" s="317"/>
      <c r="AK52" s="270"/>
      <c r="AL52" s="73"/>
      <c r="AM52" s="73"/>
      <c r="AN52" s="73"/>
      <c r="AO52" s="73"/>
      <c r="AP52" s="73"/>
      <c r="AQ52" s="73"/>
      <c r="AR52" s="73"/>
      <c r="AS52" s="73"/>
      <c r="AT52" s="73"/>
      <c r="AU52" s="73"/>
      <c r="AV52" s="318"/>
      <c r="AW52" s="73"/>
      <c r="AX52" s="73"/>
      <c r="AY52" s="269"/>
      <c r="AZ52" s="269"/>
      <c r="BA52" s="319"/>
      <c r="BB52" s="320"/>
      <c r="BC52" s="321"/>
      <c r="BD52" s="28"/>
    </row>
    <row r="53" spans="1:67" ht="13.5" customHeight="1">
      <c r="A53" s="22"/>
      <c r="B53" s="202">
        <v>18</v>
      </c>
      <c r="C53" s="75"/>
      <c r="D53" s="63"/>
      <c r="E53" s="63"/>
      <c r="F53" s="63"/>
      <c r="G53" s="63"/>
      <c r="H53" s="69"/>
      <c r="I53" s="69"/>
      <c r="J53" s="65"/>
      <c r="K53" s="69"/>
      <c r="L53" s="65"/>
      <c r="M53" s="69"/>
      <c r="N53" s="64"/>
      <c r="O53" s="69"/>
      <c r="P53" s="65"/>
      <c r="Q53" s="65"/>
      <c r="R53" s="65"/>
      <c r="S53" s="63"/>
      <c r="T53" s="63"/>
      <c r="U53" s="63"/>
      <c r="V53" s="63"/>
      <c r="W53" s="63"/>
      <c r="X53" s="64"/>
      <c r="Y53" s="63"/>
      <c r="Z53" s="65"/>
      <c r="AA53" s="64"/>
      <c r="AB53" s="63"/>
      <c r="AC53" s="65"/>
      <c r="AD53" s="64"/>
      <c r="AE53" s="65"/>
      <c r="AF53" s="65"/>
      <c r="AG53" s="64"/>
      <c r="AH53" s="65"/>
      <c r="AI53" s="65"/>
      <c r="AJ53" s="126"/>
      <c r="AK53" s="65"/>
      <c r="AL53" s="65"/>
      <c r="AM53" s="65"/>
      <c r="AN53" s="65"/>
      <c r="AO53" s="65"/>
      <c r="AP53" s="65"/>
      <c r="AQ53" s="65"/>
      <c r="AR53" s="65"/>
      <c r="AS53" s="65"/>
      <c r="AT53" s="65"/>
      <c r="AU53" s="65"/>
      <c r="AV53" s="65"/>
      <c r="AW53" s="65"/>
      <c r="AX53" s="65"/>
      <c r="AY53" s="63"/>
      <c r="AZ53" s="264"/>
      <c r="BA53" s="301"/>
      <c r="BB53" s="302"/>
      <c r="BC53" s="343"/>
      <c r="BD53" s="28"/>
    </row>
    <row r="54" spans="1:67" ht="13.5" customHeight="1">
      <c r="A54" s="22"/>
      <c r="B54" s="202">
        <v>20</v>
      </c>
      <c r="C54" s="204" t="s">
        <v>79</v>
      </c>
      <c r="D54" s="28"/>
      <c r="E54" s="28"/>
      <c r="F54" s="28"/>
      <c r="G54" s="28"/>
      <c r="H54" s="121"/>
      <c r="I54" s="62"/>
      <c r="J54" s="63"/>
      <c r="K54" s="62"/>
      <c r="L54" s="63"/>
      <c r="M54" s="69"/>
      <c r="N54" s="69"/>
      <c r="O54" s="65"/>
      <c r="P54" s="69"/>
      <c r="Q54" s="65"/>
      <c r="R54" s="69"/>
      <c r="S54" s="28"/>
      <c r="T54" s="28"/>
      <c r="U54" s="28"/>
      <c r="V54" s="28"/>
      <c r="W54" s="28"/>
      <c r="X54" s="121"/>
      <c r="Y54" s="62"/>
      <c r="Z54" s="63"/>
      <c r="AA54" s="62"/>
      <c r="AB54" s="63"/>
      <c r="AC54" s="69"/>
      <c r="AD54" s="69"/>
      <c r="AE54" s="65"/>
      <c r="AF54" s="69"/>
      <c r="AG54" s="65"/>
      <c r="AH54" s="69"/>
      <c r="AI54" s="64"/>
      <c r="AJ54" s="69"/>
      <c r="AK54" s="65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33" t="s">
        <v>73</v>
      </c>
      <c r="AW54" s="28"/>
      <c r="AX54" s="28"/>
      <c r="AY54" s="31"/>
      <c r="AZ54" s="269"/>
      <c r="BA54" s="319"/>
      <c r="BB54" s="320"/>
      <c r="BC54" s="344"/>
      <c r="BD54" s="28"/>
    </row>
    <row r="55" spans="1:67" ht="5.0999999999999996" customHeight="1">
      <c r="A55" s="22"/>
      <c r="B55" s="202"/>
      <c r="C55" s="296"/>
      <c r="D55" s="72"/>
      <c r="E55" s="72"/>
      <c r="F55" s="72"/>
      <c r="G55" s="72"/>
      <c r="H55" s="297"/>
      <c r="I55" s="278"/>
      <c r="J55" s="279"/>
      <c r="K55" s="278"/>
      <c r="L55" s="279"/>
      <c r="M55" s="298"/>
      <c r="N55" s="298"/>
      <c r="O55" s="263"/>
      <c r="P55" s="298"/>
      <c r="Q55" s="263"/>
      <c r="R55" s="298"/>
      <c r="S55" s="72"/>
      <c r="T55" s="72"/>
      <c r="U55" s="72"/>
      <c r="V55" s="72"/>
      <c r="W55" s="72"/>
      <c r="X55" s="297"/>
      <c r="Y55" s="278"/>
      <c r="Z55" s="279"/>
      <c r="AA55" s="278"/>
      <c r="AB55" s="279"/>
      <c r="AC55" s="298"/>
      <c r="AD55" s="298"/>
      <c r="AE55" s="263"/>
      <c r="AF55" s="298"/>
      <c r="AG55" s="263"/>
      <c r="AH55" s="298"/>
      <c r="AI55" s="280"/>
      <c r="AJ55" s="298"/>
      <c r="AK55" s="263"/>
      <c r="AL55" s="72"/>
      <c r="AM55" s="72"/>
      <c r="AN55" s="72"/>
      <c r="AO55" s="72"/>
      <c r="AP55" s="72"/>
      <c r="AQ55" s="72"/>
      <c r="AR55" s="72"/>
      <c r="AS55" s="72"/>
      <c r="AT55" s="72"/>
      <c r="AU55" s="72"/>
      <c r="AV55" s="300"/>
      <c r="AW55" s="72"/>
      <c r="AX55" s="72"/>
      <c r="AY55" s="264"/>
      <c r="AZ55" s="264"/>
      <c r="BA55" s="301"/>
      <c r="BB55" s="302"/>
      <c r="BC55" s="303"/>
      <c r="BD55" s="28"/>
    </row>
    <row r="56" spans="1:67" ht="13.5" customHeight="1">
      <c r="A56" s="22"/>
      <c r="B56" s="202">
        <v>21</v>
      </c>
      <c r="C56" s="304" t="s">
        <v>32</v>
      </c>
      <c r="D56" s="234" t="s">
        <v>262</v>
      </c>
      <c r="E56" s="235"/>
      <c r="F56" s="234" t="s">
        <v>65</v>
      </c>
      <c r="G56" s="235"/>
      <c r="H56" s="235"/>
      <c r="I56" s="236"/>
      <c r="J56" s="237" t="s">
        <v>34</v>
      </c>
      <c r="K56" s="238"/>
      <c r="L56" s="238"/>
      <c r="M56" s="238"/>
      <c r="N56" s="235"/>
      <c r="O56" s="236"/>
      <c r="P56" s="239" t="s">
        <v>68</v>
      </c>
      <c r="Q56" s="240"/>
      <c r="R56" s="240"/>
      <c r="S56" s="241"/>
      <c r="T56" s="234" t="s">
        <v>80</v>
      </c>
      <c r="U56" s="235"/>
      <c r="V56" s="235"/>
      <c r="W56" s="236"/>
      <c r="X56" s="234" t="s">
        <v>225</v>
      </c>
      <c r="Y56" s="235"/>
      <c r="Z56" s="235"/>
      <c r="AA56" s="235"/>
      <c r="AB56" s="239" t="s">
        <v>66</v>
      </c>
      <c r="AC56" s="240"/>
      <c r="AD56" s="240"/>
      <c r="AE56" s="240"/>
      <c r="AF56" s="241"/>
      <c r="AG56" s="240" t="s">
        <v>69</v>
      </c>
      <c r="AH56" s="240"/>
      <c r="AI56" s="240"/>
      <c r="AJ56" s="241"/>
      <c r="AK56" s="240" t="s">
        <v>67</v>
      </c>
      <c r="AL56" s="240"/>
      <c r="AM56" s="240"/>
      <c r="AN56" s="241"/>
      <c r="AO56" s="239" t="s">
        <v>142</v>
      </c>
      <c r="AP56" s="240"/>
      <c r="AQ56" s="240"/>
      <c r="AR56" s="241"/>
      <c r="AS56" s="239" t="s">
        <v>83</v>
      </c>
      <c r="AT56" s="240"/>
      <c r="AU56" s="240"/>
      <c r="AV56" s="240"/>
      <c r="AW56" s="239" t="s">
        <v>84</v>
      </c>
      <c r="AX56" s="240"/>
      <c r="AY56" s="240"/>
      <c r="AZ56" s="241"/>
      <c r="BA56" s="239" t="s">
        <v>85</v>
      </c>
      <c r="BB56" s="240"/>
      <c r="BC56" s="240"/>
      <c r="BD56" s="241"/>
      <c r="BE56" s="240" t="s">
        <v>86</v>
      </c>
      <c r="BF56" s="240"/>
      <c r="BG56" s="241"/>
      <c r="BH56" s="240" t="s">
        <v>87</v>
      </c>
      <c r="BI56" s="240"/>
      <c r="BJ56" s="240"/>
      <c r="BK56" s="241"/>
      <c r="BL56" s="240" t="s">
        <v>70</v>
      </c>
      <c r="BM56" s="240"/>
      <c r="BN56" s="240"/>
      <c r="BO56" s="241"/>
    </row>
    <row r="57" spans="1:67" ht="13.5" customHeight="1">
      <c r="A57" s="22"/>
      <c r="B57" s="202">
        <v>22</v>
      </c>
      <c r="C57" s="308">
        <v>1</v>
      </c>
      <c r="D57" s="148" t="str">
        <f>N42</f>
        <v>R</v>
      </c>
      <c r="E57" s="149"/>
      <c r="F57" s="148" t="str">
        <f>D42</f>
        <v>1250103874</v>
      </c>
      <c r="G57" s="149"/>
      <c r="H57" s="149"/>
      <c r="I57" s="151"/>
      <c r="J57" s="242" t="str">
        <f>H42</f>
        <v>HR25-9TP-16P(74)</v>
      </c>
      <c r="K57" s="150"/>
      <c r="L57" s="150"/>
      <c r="M57" s="150"/>
      <c r="N57" s="161"/>
      <c r="O57" s="162"/>
      <c r="P57" s="148" t="s">
        <v>145</v>
      </c>
      <c r="Q57" s="150"/>
      <c r="R57" s="150"/>
      <c r="S57" s="162"/>
      <c r="T57" s="1097">
        <f>R42</f>
        <v>1000</v>
      </c>
      <c r="U57" s="1098"/>
      <c r="V57" s="1098"/>
      <c r="W57" s="1099"/>
      <c r="X57" s="1107">
        <f>AH42</f>
        <v>510.27</v>
      </c>
      <c r="Y57" s="1108"/>
      <c r="Z57" s="1108"/>
      <c r="AA57" s="1109"/>
      <c r="AB57" s="1107">
        <f>V42</f>
        <v>980</v>
      </c>
      <c r="AC57" s="1108"/>
      <c r="AD57" s="1108"/>
      <c r="AE57" s="1108"/>
      <c r="AF57" s="1109"/>
      <c r="AG57" s="1107">
        <f>Z42</f>
        <v>1610</v>
      </c>
      <c r="AH57" s="1108"/>
      <c r="AI57" s="1108"/>
      <c r="AJ57" s="1109"/>
      <c r="AK57" s="1107">
        <f>AD42</f>
        <v>1035</v>
      </c>
      <c r="AL57" s="1108"/>
      <c r="AM57" s="1108"/>
      <c r="AN57" s="1109"/>
      <c r="AO57" s="1092">
        <f>AD42/AM42-1</f>
        <v>0.30020225368390641</v>
      </c>
      <c r="AP57" s="1093"/>
      <c r="AQ57" s="1093"/>
      <c r="AR57" s="1094"/>
      <c r="AS57" s="1089">
        <f>(AK57-AG57)/AG57</f>
        <v>-0.35714285714285715</v>
      </c>
      <c r="AT57" s="1090"/>
      <c r="AU57" s="1090"/>
      <c r="AV57" s="1091"/>
      <c r="AW57" s="148"/>
      <c r="AX57" s="150"/>
      <c r="AY57" s="150"/>
      <c r="AZ57" s="162"/>
      <c r="BA57" s="1092" t="str">
        <f>IFERROR(1-(AD42/AQ42),"")</f>
        <v/>
      </c>
      <c r="BB57" s="1093"/>
      <c r="BC57" s="1093"/>
      <c r="BD57" s="1094"/>
      <c r="BE57" s="1083">
        <f>AU42</f>
        <v>64.7</v>
      </c>
      <c r="BF57" s="1084"/>
      <c r="BG57" s="1085"/>
      <c r="BH57" s="149" t="str">
        <f>AX42</f>
        <v>サンウー</v>
      </c>
      <c r="BI57" s="150"/>
      <c r="BJ57" s="150"/>
      <c r="BK57" s="152"/>
      <c r="BL57" s="149" t="s">
        <v>30</v>
      </c>
      <c r="BM57" s="150"/>
      <c r="BN57" s="150"/>
      <c r="BO57" s="152"/>
    </row>
    <row r="58" spans="1:67" ht="13.5" customHeight="1">
      <c r="A58" s="22"/>
      <c r="B58" s="202">
        <v>23</v>
      </c>
      <c r="C58" s="308">
        <v>2</v>
      </c>
      <c r="D58" s="148" t="str">
        <f>N43</f>
        <v>R</v>
      </c>
      <c r="E58" s="149"/>
      <c r="F58" s="148" t="str">
        <f>D43</f>
        <v>1250109471</v>
      </c>
      <c r="G58" s="149"/>
      <c r="H58" s="149"/>
      <c r="I58" s="151"/>
      <c r="J58" s="242" t="str">
        <f>H43</f>
        <v>HR25-9TR-16S(71)</v>
      </c>
      <c r="K58" s="150"/>
      <c r="L58" s="150"/>
      <c r="M58" s="150"/>
      <c r="N58" s="161"/>
      <c r="O58" s="162"/>
      <c r="P58" s="148" t="s">
        <v>145</v>
      </c>
      <c r="Q58" s="150"/>
      <c r="R58" s="150"/>
      <c r="S58" s="162"/>
      <c r="T58" s="1097">
        <f>R43</f>
        <v>500</v>
      </c>
      <c r="U58" s="1098"/>
      <c r="V58" s="1098"/>
      <c r="W58" s="1099"/>
      <c r="X58" s="1107">
        <f>AH43</f>
        <v>247.92</v>
      </c>
      <c r="Y58" s="1108"/>
      <c r="Z58" s="1108"/>
      <c r="AA58" s="1109"/>
      <c r="AB58" s="1107">
        <f>V43</f>
        <v>500</v>
      </c>
      <c r="AC58" s="1108"/>
      <c r="AD58" s="1108"/>
      <c r="AE58" s="1108"/>
      <c r="AF58" s="1109"/>
      <c r="AG58" s="1107">
        <f>Z43</f>
        <v>794</v>
      </c>
      <c r="AH58" s="1108"/>
      <c r="AI58" s="1108"/>
      <c r="AJ58" s="1109"/>
      <c r="AK58" s="1107">
        <f>AD43</f>
        <v>630</v>
      </c>
      <c r="AL58" s="1108"/>
      <c r="AM58" s="1108"/>
      <c r="AN58" s="1109"/>
      <c r="AO58" s="1092">
        <f>AD43/AM43-1</f>
        <v>0.3030798188098538</v>
      </c>
      <c r="AP58" s="1093"/>
      <c r="AQ58" s="1093"/>
      <c r="AR58" s="1094"/>
      <c r="AS58" s="1089">
        <f>(AK58-AG58)/AG58</f>
        <v>-0.20654911838790932</v>
      </c>
      <c r="AT58" s="1090"/>
      <c r="AU58" s="1090"/>
      <c r="AV58" s="1091"/>
      <c r="AW58" s="148"/>
      <c r="AX58" s="150"/>
      <c r="AY58" s="150"/>
      <c r="AZ58" s="162"/>
      <c r="BA58" s="1092" t="str">
        <f>IFERROR(1-(AD43/AQ43),"")</f>
        <v/>
      </c>
      <c r="BB58" s="1093"/>
      <c r="BC58" s="1093"/>
      <c r="BD58" s="1094"/>
      <c r="BE58" s="1083">
        <f>AU43</f>
        <v>39.4</v>
      </c>
      <c r="BF58" s="1084"/>
      <c r="BG58" s="1085"/>
      <c r="BH58" s="149" t="str">
        <f>AX43</f>
        <v>サンウー</v>
      </c>
      <c r="BI58" s="150"/>
      <c r="BJ58" s="150"/>
      <c r="BK58" s="152"/>
      <c r="BL58" s="149" t="s">
        <v>30</v>
      </c>
      <c r="BM58" s="150"/>
      <c r="BN58" s="150"/>
      <c r="BO58" s="152"/>
    </row>
    <row r="59" spans="1:67" ht="13.5" customHeight="1">
      <c r="A59" s="22"/>
      <c r="B59" s="202">
        <v>20</v>
      </c>
      <c r="C59" s="337" t="s">
        <v>283</v>
      </c>
      <c r="D59" s="28"/>
      <c r="E59" s="28"/>
      <c r="F59" s="28"/>
      <c r="G59" s="28"/>
      <c r="H59" s="121"/>
      <c r="I59" s="62"/>
      <c r="J59" s="63"/>
      <c r="K59" s="62"/>
      <c r="L59" s="63"/>
      <c r="M59" s="69"/>
      <c r="N59" s="69"/>
      <c r="O59" s="65"/>
      <c r="P59" s="69"/>
      <c r="Q59" s="65"/>
      <c r="R59" s="69"/>
      <c r="S59" s="28"/>
      <c r="T59" s="28"/>
      <c r="U59" s="28"/>
      <c r="V59" s="28"/>
      <c r="W59" s="28"/>
      <c r="X59" s="121"/>
      <c r="Y59" s="62"/>
      <c r="Z59" s="63"/>
      <c r="AA59" s="62"/>
      <c r="AB59" s="63"/>
      <c r="AC59" s="69"/>
      <c r="AD59" s="69"/>
      <c r="AE59" s="65"/>
      <c r="AF59" s="69"/>
      <c r="AG59" s="65"/>
      <c r="AH59" s="69"/>
      <c r="AI59" s="64"/>
      <c r="AJ59" s="69"/>
      <c r="AK59" s="65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33"/>
      <c r="AW59" s="28"/>
      <c r="AX59" s="28"/>
      <c r="AY59" s="31"/>
      <c r="AZ59" s="95"/>
      <c r="BA59" s="92"/>
      <c r="BB59" s="329"/>
      <c r="BC59" s="338"/>
      <c r="BD59" s="37"/>
      <c r="BE59" s="37"/>
    </row>
    <row r="60" spans="1:67" ht="13.5" customHeight="1">
      <c r="A60" s="22"/>
      <c r="B60" s="202">
        <v>24</v>
      </c>
      <c r="C60" s="304"/>
      <c r="D60" s="502" t="s">
        <v>282</v>
      </c>
      <c r="E60" s="503"/>
      <c r="F60" s="504" t="s">
        <v>30</v>
      </c>
      <c r="G60" s="503"/>
      <c r="H60" s="503"/>
      <c r="I60" s="505"/>
      <c r="J60" s="504" t="s">
        <v>30</v>
      </c>
      <c r="K60" s="506"/>
      <c r="L60" s="506"/>
      <c r="M60" s="506"/>
      <c r="N60" s="503"/>
      <c r="O60" s="505"/>
      <c r="P60" s="507"/>
      <c r="Q60" s="508"/>
      <c r="R60" s="508"/>
      <c r="S60" s="509"/>
      <c r="T60" s="502"/>
      <c r="U60" s="503"/>
      <c r="V60" s="503"/>
      <c r="W60" s="505"/>
      <c r="X60" s="508"/>
      <c r="Y60" s="503"/>
      <c r="Z60" s="503"/>
      <c r="AA60" s="503"/>
      <c r="AB60" s="507" t="s">
        <v>99</v>
      </c>
      <c r="AC60" s="508"/>
      <c r="AD60" s="508"/>
      <c r="AE60" s="508"/>
      <c r="AF60" s="509"/>
      <c r="AG60" s="510" t="s">
        <v>146</v>
      </c>
      <c r="AH60" s="508"/>
      <c r="AI60" s="508"/>
      <c r="AJ60" s="509"/>
      <c r="AK60" s="510" t="s">
        <v>143</v>
      </c>
      <c r="AL60" s="508"/>
      <c r="AM60" s="508"/>
      <c r="AN60" s="509"/>
      <c r="AO60" s="507" t="s">
        <v>144</v>
      </c>
      <c r="AP60" s="508"/>
      <c r="AQ60" s="508"/>
      <c r="AR60" s="509"/>
      <c r="AS60" s="507" t="s">
        <v>83</v>
      </c>
      <c r="AT60" s="508"/>
      <c r="AU60" s="508"/>
      <c r="AV60" s="508"/>
      <c r="AW60" s="507" t="s">
        <v>101</v>
      </c>
      <c r="AX60" s="508"/>
      <c r="AY60" s="508"/>
      <c r="AZ60" s="509"/>
      <c r="BA60" s="507" t="s">
        <v>102</v>
      </c>
      <c r="BB60" s="508"/>
      <c r="BC60" s="508"/>
      <c r="BD60" s="509"/>
      <c r="BE60" s="513" t="s">
        <v>30</v>
      </c>
      <c r="BF60" s="508"/>
      <c r="BG60" s="509"/>
      <c r="BH60" s="508"/>
      <c r="BI60" s="508"/>
      <c r="BJ60" s="508"/>
      <c r="BK60" s="509"/>
      <c r="BL60" s="513" t="s">
        <v>30</v>
      </c>
      <c r="BM60" s="508"/>
      <c r="BN60" s="508"/>
      <c r="BO60" s="509"/>
    </row>
    <row r="61" spans="1:67" ht="13.5" customHeight="1">
      <c r="A61" s="22"/>
      <c r="B61" s="202">
        <v>25</v>
      </c>
      <c r="C61" s="308">
        <v>1</v>
      </c>
      <c r="D61" s="148" t="s">
        <v>93</v>
      </c>
      <c r="E61" s="149"/>
      <c r="F61" s="148" t="s">
        <v>30</v>
      </c>
      <c r="G61" s="149"/>
      <c r="H61" s="149"/>
      <c r="I61" s="151"/>
      <c r="J61" s="221" t="s">
        <v>30</v>
      </c>
      <c r="K61" s="222"/>
      <c r="L61" s="222"/>
      <c r="M61" s="222"/>
      <c r="N61" s="161"/>
      <c r="O61" s="162"/>
      <c r="P61" s="148"/>
      <c r="Q61" s="150"/>
      <c r="R61" s="150"/>
      <c r="S61" s="162"/>
      <c r="T61" s="119"/>
      <c r="U61" s="120"/>
      <c r="V61" s="120"/>
      <c r="W61" s="162"/>
      <c r="X61" s="1086"/>
      <c r="Y61" s="1087"/>
      <c r="Z61" s="1087"/>
      <c r="AA61" s="1088"/>
      <c r="AB61" s="1103">
        <f>SUMPRODUCT($T$57:$W$58,$AK$57:$AN$58)</f>
        <v>1350000</v>
      </c>
      <c r="AC61" s="1104"/>
      <c r="AD61" s="1104"/>
      <c r="AE61" s="1104"/>
      <c r="AF61" s="1105"/>
      <c r="AG61" s="1074">
        <f>SUM(AM$42:AP$43)</f>
        <v>1279.5</v>
      </c>
      <c r="AH61" s="1075"/>
      <c r="AI61" s="1075"/>
      <c r="AJ61" s="1076"/>
      <c r="AK61" s="1074">
        <f>$AB61-SUMPRODUCT($R$42:$U$43,$AM$42:$AP$43)</f>
        <v>312235</v>
      </c>
      <c r="AL61" s="1075"/>
      <c r="AM61" s="1075"/>
      <c r="AN61" s="1076"/>
      <c r="AO61" s="1077">
        <f>$AK61/($AB61-$AK61)</f>
        <v>0.30087254821660009</v>
      </c>
      <c r="AP61" s="1078"/>
      <c r="AQ61" s="1078"/>
      <c r="AR61" s="1079"/>
      <c r="AS61" s="1077">
        <f>AW61/($AB61-AW61)</f>
        <v>-0.3273542600896861</v>
      </c>
      <c r="AT61" s="1078"/>
      <c r="AU61" s="1078"/>
      <c r="AV61" s="1079"/>
      <c r="AW61" s="1080">
        <f>$T$57*($AK$57-$AG$57)+$T$58*($AK$58-$AG$58)</f>
        <v>-657000</v>
      </c>
      <c r="AX61" s="1081"/>
      <c r="AY61" s="1081"/>
      <c r="AZ61" s="1082"/>
      <c r="BA61" s="1068">
        <f>SUMPRODUCT($T$57:$W$58,$AG$57:$AJ$58)</f>
        <v>2007000</v>
      </c>
      <c r="BB61" s="1069"/>
      <c r="BC61" s="1069"/>
      <c r="BD61" s="1070"/>
      <c r="BE61" s="149" t="s">
        <v>30</v>
      </c>
      <c r="BF61" s="150"/>
      <c r="BG61" s="152"/>
      <c r="BH61" s="149" t="s">
        <v>30</v>
      </c>
      <c r="BI61" s="150"/>
      <c r="BJ61" s="150"/>
      <c r="BK61" s="152"/>
      <c r="BL61" s="149" t="s">
        <v>30</v>
      </c>
      <c r="BM61" s="150"/>
      <c r="BN61" s="150"/>
      <c r="BO61" s="152"/>
    </row>
    <row r="62" spans="1:67" ht="13.5" customHeight="1">
      <c r="A62" s="22"/>
      <c r="B62" s="202">
        <v>20</v>
      </c>
      <c r="C62" s="337" t="s">
        <v>281</v>
      </c>
      <c r="D62" s="28"/>
      <c r="E62" s="28"/>
      <c r="F62" s="28"/>
      <c r="G62" s="28"/>
      <c r="H62" s="121"/>
      <c r="I62" s="62"/>
      <c r="J62" s="63"/>
      <c r="K62" s="62"/>
      <c r="L62" s="63"/>
      <c r="M62" s="69"/>
      <c r="N62" s="69"/>
      <c r="O62" s="65"/>
      <c r="P62" s="69"/>
      <c r="Q62" s="65"/>
      <c r="R62" s="69"/>
      <c r="S62" s="28"/>
      <c r="T62" s="28"/>
      <c r="U62" s="28"/>
      <c r="V62" s="28"/>
      <c r="W62" s="28"/>
      <c r="X62" s="121"/>
      <c r="Y62" s="62"/>
      <c r="Z62" s="63"/>
      <c r="AA62" s="62"/>
      <c r="AB62" s="63"/>
      <c r="AC62" s="69"/>
      <c r="AD62" s="69"/>
      <c r="AE62" s="65"/>
      <c r="AF62" s="69"/>
      <c r="AG62" s="65"/>
      <c r="AH62" s="69"/>
      <c r="AI62" s="64"/>
      <c r="AJ62" s="69"/>
      <c r="AK62" s="65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33"/>
      <c r="AW62" s="28"/>
      <c r="AX62" s="28"/>
      <c r="AY62" s="31"/>
      <c r="AZ62" s="95"/>
      <c r="BA62" s="92"/>
      <c r="BB62" s="329"/>
      <c r="BC62" s="338"/>
      <c r="BD62" s="37"/>
      <c r="BE62" s="37"/>
    </row>
    <row r="63" spans="1:67" ht="13.5" customHeight="1">
      <c r="A63" s="22"/>
      <c r="B63" s="202">
        <v>24</v>
      </c>
      <c r="C63" s="304"/>
      <c r="D63" s="243"/>
      <c r="E63" s="244"/>
      <c r="F63" s="243"/>
      <c r="G63" s="244"/>
      <c r="H63" s="244"/>
      <c r="I63" s="245"/>
      <c r="J63" s="246" t="s">
        <v>30</v>
      </c>
      <c r="K63" s="247"/>
      <c r="L63" s="247"/>
      <c r="M63" s="247"/>
      <c r="N63" s="244"/>
      <c r="O63" s="245"/>
      <c r="P63" s="248"/>
      <c r="Q63" s="249"/>
      <c r="R63" s="249"/>
      <c r="S63" s="250"/>
      <c r="T63" s="243"/>
      <c r="U63" s="244"/>
      <c r="V63" s="244"/>
      <c r="W63" s="245"/>
      <c r="X63" s="249"/>
      <c r="Y63" s="244"/>
      <c r="Z63" s="244"/>
      <c r="AA63" s="244"/>
      <c r="AB63" s="248" t="s">
        <v>99</v>
      </c>
      <c r="AC63" s="249"/>
      <c r="AD63" s="249"/>
      <c r="AE63" s="249"/>
      <c r="AF63" s="250"/>
      <c r="AG63" s="330" t="s">
        <v>146</v>
      </c>
      <c r="AH63" s="249"/>
      <c r="AI63" s="249"/>
      <c r="AJ63" s="250"/>
      <c r="AK63" s="330" t="s">
        <v>143</v>
      </c>
      <c r="AL63" s="249"/>
      <c r="AM63" s="249"/>
      <c r="AN63" s="250"/>
      <c r="AO63" s="248" t="s">
        <v>144</v>
      </c>
      <c r="AP63" s="249"/>
      <c r="AQ63" s="249"/>
      <c r="AR63" s="250"/>
      <c r="AS63" s="248" t="s">
        <v>83</v>
      </c>
      <c r="AT63" s="249"/>
      <c r="AU63" s="249"/>
      <c r="AV63" s="249"/>
      <c r="AW63" s="248" t="s">
        <v>101</v>
      </c>
      <c r="AX63" s="249"/>
      <c r="AY63" s="249"/>
      <c r="AZ63" s="250"/>
      <c r="BA63" s="248" t="s">
        <v>102</v>
      </c>
      <c r="BB63" s="249"/>
      <c r="BC63" s="249"/>
      <c r="BD63" s="250"/>
      <c r="BE63" s="251" t="s">
        <v>30</v>
      </c>
      <c r="BF63" s="249"/>
      <c r="BG63" s="250"/>
      <c r="BH63" s="249"/>
      <c r="BI63" s="249"/>
      <c r="BJ63" s="249"/>
      <c r="BK63" s="250"/>
      <c r="BL63" s="251" t="s">
        <v>30</v>
      </c>
      <c r="BM63" s="249"/>
      <c r="BN63" s="249"/>
      <c r="BO63" s="250"/>
    </row>
    <row r="64" spans="1:67" ht="13.5" customHeight="1">
      <c r="A64" s="22"/>
      <c r="B64" s="202">
        <v>25</v>
      </c>
      <c r="C64" s="308"/>
      <c r="D64" s="148"/>
      <c r="E64" s="149"/>
      <c r="F64" s="148"/>
      <c r="G64" s="149"/>
      <c r="H64" s="149"/>
      <c r="I64" s="151"/>
      <c r="J64" s="221"/>
      <c r="K64" s="222"/>
      <c r="L64" s="222"/>
      <c r="M64" s="222"/>
      <c r="N64" s="161"/>
      <c r="O64" s="162"/>
      <c r="P64" s="148"/>
      <c r="Q64" s="150"/>
      <c r="R64" s="150"/>
      <c r="S64" s="162"/>
      <c r="T64" s="119"/>
      <c r="U64" s="120"/>
      <c r="V64" s="120"/>
      <c r="W64" s="162"/>
      <c r="X64" s="1086"/>
      <c r="Y64" s="1087"/>
      <c r="Z64" s="1087"/>
      <c r="AA64" s="1088"/>
      <c r="AB64" s="1103">
        <f>SUMPRODUCT($T$57:$W$58,$AK$57:$AN$58)</f>
        <v>1350000</v>
      </c>
      <c r="AC64" s="1104"/>
      <c r="AD64" s="1104"/>
      <c r="AE64" s="1104"/>
      <c r="AF64" s="1105"/>
      <c r="AG64" s="1074">
        <f>SUM(AM$42:AP$43)</f>
        <v>1279.5</v>
      </c>
      <c r="AH64" s="1075"/>
      <c r="AI64" s="1075"/>
      <c r="AJ64" s="1076"/>
      <c r="AK64" s="1074">
        <f>$AB64-SUMPRODUCT($R$42:$U$43,$AM$42:$AP$43)</f>
        <v>312235</v>
      </c>
      <c r="AL64" s="1075"/>
      <c r="AM64" s="1075"/>
      <c r="AN64" s="1076"/>
      <c r="AO64" s="1077">
        <f>$AK64/($AB64-$AK64)</f>
        <v>0.30087254821660009</v>
      </c>
      <c r="AP64" s="1078"/>
      <c r="AQ64" s="1078"/>
      <c r="AR64" s="1079"/>
      <c r="AS64" s="1077">
        <f>AW64/($AB64-AW64)</f>
        <v>-0.3273542600896861</v>
      </c>
      <c r="AT64" s="1078"/>
      <c r="AU64" s="1078"/>
      <c r="AV64" s="1079"/>
      <c r="AW64" s="1080">
        <f>$T$57*($AK$57-$AG$57)+$T$58*($AK$58-$AG$58)</f>
        <v>-657000</v>
      </c>
      <c r="AX64" s="1081"/>
      <c r="AY64" s="1081"/>
      <c r="AZ64" s="1082"/>
      <c r="BA64" s="1068">
        <f>SUMPRODUCT($T$57:$W$58,$AG$57:$AJ$58)</f>
        <v>2007000</v>
      </c>
      <c r="BB64" s="1069"/>
      <c r="BC64" s="1069"/>
      <c r="BD64" s="1070"/>
      <c r="BE64" s="149" t="s">
        <v>30</v>
      </c>
      <c r="BF64" s="150"/>
      <c r="BG64" s="152"/>
      <c r="BH64" s="149" t="s">
        <v>30</v>
      </c>
      <c r="BI64" s="150"/>
      <c r="BJ64" s="150"/>
      <c r="BK64" s="152"/>
      <c r="BL64" s="149" t="s">
        <v>30</v>
      </c>
      <c r="BM64" s="150"/>
      <c r="BN64" s="150"/>
      <c r="BO64" s="152"/>
    </row>
    <row r="65" spans="1:60" ht="13.5" customHeight="1">
      <c r="A65" s="22"/>
      <c r="B65" s="202">
        <v>26</v>
      </c>
      <c r="C65" s="339"/>
      <c r="D65" s="75"/>
      <c r="E65" s="75"/>
      <c r="F65" s="75"/>
      <c r="G65" s="75"/>
      <c r="H65" s="199"/>
      <c r="I65" s="199"/>
      <c r="J65" s="200"/>
      <c r="K65" s="199"/>
      <c r="L65" s="200"/>
      <c r="M65" s="199"/>
      <c r="N65" s="199"/>
      <c r="O65" s="83"/>
      <c r="P65" s="84"/>
      <c r="Q65" s="84"/>
      <c r="R65" s="84"/>
      <c r="S65" s="75"/>
      <c r="T65" s="75"/>
      <c r="U65" s="75"/>
      <c r="V65" s="75"/>
      <c r="W65" s="75"/>
      <c r="X65" s="85"/>
      <c r="Y65" s="75"/>
      <c r="Z65" s="84"/>
      <c r="AA65" s="85"/>
      <c r="AB65" s="75"/>
      <c r="AC65" s="84"/>
      <c r="AD65" s="85"/>
      <c r="AE65" s="84"/>
      <c r="AF65" s="84"/>
      <c r="AG65" s="85"/>
      <c r="AH65" s="84"/>
      <c r="AI65" s="84"/>
      <c r="AJ65" s="90"/>
      <c r="AK65" s="84"/>
      <c r="AL65" s="84"/>
      <c r="AM65" s="84"/>
      <c r="AN65" s="84"/>
      <c r="AO65" s="84"/>
      <c r="AP65" s="84"/>
      <c r="AQ65" s="84"/>
      <c r="AR65" s="84"/>
      <c r="AS65" s="65"/>
      <c r="AT65" s="65"/>
      <c r="AU65" s="65"/>
      <c r="AV65" s="65"/>
      <c r="AW65" s="65"/>
      <c r="AX65" s="65"/>
      <c r="AY65" s="63"/>
      <c r="AZ65" s="264"/>
      <c r="BA65" s="30"/>
      <c r="BB65" s="175"/>
      <c r="BC65" s="345"/>
      <c r="BD65" s="28"/>
    </row>
    <row r="66" spans="1:60" ht="13.5" customHeight="1">
      <c r="A66" s="22"/>
      <c r="B66" s="202">
        <v>27</v>
      </c>
      <c r="C66" s="340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S66" s="35"/>
      <c r="T66" s="35"/>
      <c r="U66" s="35"/>
      <c r="V66" s="35"/>
      <c r="Y66" s="35"/>
      <c r="Z66" s="35"/>
      <c r="AD66" s="35"/>
      <c r="AE66" s="35"/>
      <c r="AF66" s="35"/>
      <c r="AG66" s="35"/>
      <c r="AH66" s="35"/>
      <c r="AI66" s="35"/>
      <c r="AJ66" s="35"/>
      <c r="AK66" s="35"/>
      <c r="AL66" s="84"/>
      <c r="AM66" s="84"/>
      <c r="AN66" s="84"/>
      <c r="AO66" s="84"/>
      <c r="AP66" s="84"/>
      <c r="AQ66" s="84"/>
      <c r="AR66" s="84"/>
      <c r="AS66" s="254"/>
      <c r="AT66" s="35"/>
      <c r="AU66" s="35"/>
      <c r="AV66" s="65"/>
      <c r="AW66" s="65"/>
      <c r="AX66" s="65"/>
      <c r="AY66" s="63"/>
      <c r="AZ66" s="31"/>
      <c r="BA66" s="30"/>
      <c r="BB66" s="175"/>
      <c r="BC66" s="345"/>
      <c r="BD66" s="28"/>
    </row>
    <row r="67" spans="1:60" ht="13.5" customHeight="1">
      <c r="A67" s="22"/>
      <c r="B67" s="202">
        <v>28</v>
      </c>
      <c r="C67" s="341"/>
      <c r="D67" s="71"/>
      <c r="E67" s="71"/>
      <c r="F67" s="71"/>
      <c r="G67" s="71"/>
      <c r="H67" s="71"/>
      <c r="I67" s="71"/>
      <c r="J67" s="71"/>
      <c r="K67" s="68"/>
      <c r="L67" s="68"/>
      <c r="M67" s="68"/>
      <c r="N67" s="91"/>
      <c r="O67" s="68"/>
      <c r="P67" s="68"/>
      <c r="Q67" s="68"/>
      <c r="R67" s="68"/>
      <c r="S67" s="68"/>
      <c r="T67" s="68"/>
      <c r="U67" s="68"/>
      <c r="V67" s="68"/>
      <c r="W67" s="91"/>
      <c r="X67" s="68"/>
      <c r="Y67" s="68"/>
      <c r="Z67" s="68"/>
      <c r="AA67" s="68"/>
      <c r="AB67" s="68"/>
      <c r="AC67" s="68"/>
      <c r="AD67" s="68"/>
      <c r="AE67" s="68"/>
      <c r="AF67" s="68"/>
      <c r="AG67" s="68"/>
      <c r="AH67" s="68"/>
      <c r="AI67" s="68"/>
      <c r="AJ67" s="68"/>
      <c r="AK67" s="68"/>
      <c r="AL67" s="68"/>
      <c r="AM67" s="65"/>
      <c r="AN67" s="65"/>
      <c r="AO67" s="65"/>
      <c r="AP67" s="65"/>
      <c r="AQ67" s="65"/>
      <c r="AR67" s="65"/>
      <c r="AS67" s="65"/>
      <c r="AT67" s="35"/>
      <c r="AU67" s="65"/>
      <c r="AV67" s="65"/>
      <c r="AW67" s="65"/>
      <c r="AX67" s="65"/>
      <c r="AY67" s="65"/>
      <c r="AZ67" s="31"/>
      <c r="BA67" s="30"/>
      <c r="BB67" s="175"/>
      <c r="BC67" s="345"/>
      <c r="BD67" s="28"/>
      <c r="BG67" s="24"/>
      <c r="BH67" s="28"/>
    </row>
    <row r="68" spans="1:60" ht="13.5" customHeight="1">
      <c r="A68" s="22"/>
      <c r="B68" s="202">
        <v>29</v>
      </c>
      <c r="C68" s="342"/>
      <c r="D68" s="332"/>
      <c r="E68" s="65"/>
      <c r="F68" s="65"/>
      <c r="G68" s="65"/>
      <c r="H68" s="65"/>
      <c r="I68" s="65"/>
      <c r="J68" s="1100"/>
      <c r="K68" s="1101"/>
      <c r="L68" s="1101"/>
      <c r="M68" s="1101"/>
      <c r="N68"/>
      <c r="O68"/>
      <c r="P68"/>
      <c r="Q68"/>
      <c r="R68"/>
      <c r="S68"/>
      <c r="T68"/>
      <c r="U68"/>
      <c r="V68"/>
      <c r="W68" s="65"/>
      <c r="X68" s="65"/>
      <c r="Y68" s="65"/>
      <c r="Z68" s="65"/>
      <c r="AA68" s="65"/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198"/>
      <c r="AN68" s="198"/>
      <c r="AO68" s="198"/>
      <c r="AP68" s="198"/>
      <c r="AQ68" s="198"/>
      <c r="AR68" s="198"/>
      <c r="AS68" s="254"/>
      <c r="AT68" s="35"/>
      <c r="AU68" s="35"/>
      <c r="AV68" s="254"/>
      <c r="AW68" s="198"/>
      <c r="AX68" s="198"/>
      <c r="AY68" s="198"/>
      <c r="AZ68" s="31"/>
      <c r="BA68" s="30"/>
      <c r="BB68" s="175"/>
      <c r="BC68" s="345"/>
      <c r="BD68" s="28"/>
      <c r="BG68" s="24"/>
      <c r="BH68" s="28"/>
    </row>
    <row r="69" spans="1:60" ht="5.0999999999999996" customHeight="1">
      <c r="A69" s="22"/>
      <c r="B69" s="202"/>
      <c r="C69" s="315"/>
      <c r="D69" s="73"/>
      <c r="E69" s="73"/>
      <c r="F69" s="73"/>
      <c r="G69" s="73"/>
      <c r="H69" s="316"/>
      <c r="I69" s="275"/>
      <c r="J69" s="273"/>
      <c r="K69" s="275"/>
      <c r="L69" s="273"/>
      <c r="M69" s="317"/>
      <c r="N69" s="317"/>
      <c r="O69" s="270"/>
      <c r="P69" s="317"/>
      <c r="Q69" s="270"/>
      <c r="R69" s="317"/>
      <c r="S69" s="73"/>
      <c r="T69" s="73"/>
      <c r="U69" s="73"/>
      <c r="V69" s="73"/>
      <c r="W69" s="73"/>
      <c r="X69" s="316"/>
      <c r="Y69" s="275"/>
      <c r="Z69" s="273"/>
      <c r="AA69" s="275"/>
      <c r="AB69" s="273"/>
      <c r="AC69" s="317"/>
      <c r="AD69" s="317"/>
      <c r="AE69" s="270"/>
      <c r="AF69" s="317"/>
      <c r="AG69" s="270"/>
      <c r="AH69" s="317"/>
      <c r="AI69" s="276"/>
      <c r="AJ69" s="317"/>
      <c r="AK69" s="270"/>
      <c r="AL69" s="73"/>
      <c r="AM69" s="73"/>
      <c r="AN69" s="73"/>
      <c r="AO69" s="73"/>
      <c r="AP69" s="73"/>
      <c r="AQ69" s="73"/>
      <c r="AR69" s="73"/>
      <c r="AS69" s="73"/>
      <c r="AT69" s="73"/>
      <c r="AU69" s="73"/>
      <c r="AV69" s="318"/>
      <c r="AW69" s="73"/>
      <c r="AX69" s="73"/>
      <c r="AY69" s="269"/>
      <c r="AZ69" s="269"/>
      <c r="BA69" s="319"/>
      <c r="BB69" s="320"/>
      <c r="BC69" s="344"/>
      <c r="BD69" s="28"/>
    </row>
    <row r="70" spans="1:60" ht="13.5" customHeight="1">
      <c r="A70" s="22"/>
      <c r="B70" s="202">
        <v>31</v>
      </c>
      <c r="C70" s="331"/>
      <c r="D70" s="332"/>
      <c r="E70" s="65"/>
      <c r="F70" s="65"/>
      <c r="G70" s="65"/>
      <c r="H70" s="65"/>
      <c r="I70" s="65"/>
      <c r="J70" s="1102"/>
      <c r="K70" s="1102"/>
      <c r="L70" s="1102"/>
      <c r="M70" s="1102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  <c r="AA70" s="65"/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198"/>
      <c r="AN70" s="198"/>
      <c r="AO70" s="198"/>
      <c r="AP70" s="198"/>
      <c r="AQ70" s="198"/>
      <c r="AR70" s="198"/>
      <c r="AS70" s="198"/>
      <c r="AT70" s="198"/>
      <c r="AU70" s="198"/>
      <c r="AV70" s="198"/>
      <c r="AW70" s="198"/>
      <c r="AX70" s="198"/>
      <c r="AY70" s="198"/>
      <c r="AZ70" s="33"/>
      <c r="BA70" s="46"/>
      <c r="BB70" s="78"/>
      <c r="BC70" s="34"/>
      <c r="BD70" s="28"/>
      <c r="BG70" s="24"/>
      <c r="BH70" s="28"/>
    </row>
    <row r="71" spans="1:60" ht="14.1" customHeight="1">
      <c r="A71" s="22"/>
      <c r="B71" s="129"/>
      <c r="C71" s="346" t="s">
        <v>132</v>
      </c>
      <c r="D71" s="28"/>
      <c r="E71" s="28"/>
      <c r="F71" s="28"/>
      <c r="G71" s="28"/>
      <c r="S71" s="35"/>
      <c r="T71" s="35"/>
      <c r="U71" s="35"/>
      <c r="V71" s="35"/>
      <c r="Y71" s="35"/>
      <c r="Z71" s="35"/>
      <c r="AD71" s="35"/>
      <c r="AE71" s="35"/>
      <c r="AF71" s="35"/>
      <c r="AG71" s="35"/>
      <c r="AH71" s="35"/>
      <c r="AI71" s="35"/>
      <c r="AJ71" s="28"/>
      <c r="AK71" s="28"/>
      <c r="AL71" s="28"/>
      <c r="AM71" s="130"/>
      <c r="AN71" s="130"/>
      <c r="AO71" s="35"/>
      <c r="AP71" s="35"/>
      <c r="AQ71" s="35"/>
      <c r="AR71" s="35"/>
      <c r="AS71" s="35"/>
      <c r="AT71" s="35"/>
      <c r="AU71" s="35"/>
      <c r="AV71" s="35"/>
      <c r="AW71" s="35"/>
      <c r="AX71" s="65"/>
      <c r="AY71" s="65"/>
      <c r="AZ71" s="33"/>
      <c r="BA71" s="46"/>
      <c r="BB71" s="78"/>
      <c r="BC71" s="34"/>
      <c r="BD71" s="28"/>
      <c r="BG71" s="35"/>
    </row>
    <row r="72" spans="1:60" ht="5.0999999999999996" customHeight="1">
      <c r="A72" s="22"/>
      <c r="B72" s="202"/>
      <c r="C72" s="296"/>
      <c r="D72" s="72"/>
      <c r="E72" s="72"/>
      <c r="F72" s="72"/>
      <c r="G72" s="72"/>
      <c r="H72" s="297"/>
      <c r="I72" s="278"/>
      <c r="J72" s="279"/>
      <c r="K72" s="278"/>
      <c r="L72" s="279"/>
      <c r="M72" s="298"/>
      <c r="N72" s="298"/>
      <c r="O72" s="263"/>
      <c r="P72" s="298"/>
      <c r="Q72" s="263"/>
      <c r="R72" s="298"/>
      <c r="S72" s="72"/>
      <c r="T72" s="72"/>
      <c r="U72" s="72"/>
      <c r="V72" s="72"/>
      <c r="W72" s="72"/>
      <c r="X72" s="297"/>
      <c r="Y72" s="278"/>
      <c r="Z72" s="279"/>
      <c r="AA72" s="278"/>
      <c r="AB72" s="279"/>
      <c r="AC72" s="298"/>
      <c r="AD72" s="298"/>
      <c r="AE72" s="263"/>
      <c r="AF72" s="298"/>
      <c r="AG72" s="263"/>
      <c r="AH72" s="298"/>
      <c r="AI72" s="280"/>
      <c r="AJ72" s="298"/>
      <c r="AK72" s="263"/>
      <c r="AL72" s="72"/>
      <c r="AM72" s="72"/>
      <c r="AN72" s="72"/>
      <c r="AO72" s="72"/>
      <c r="AP72" s="72"/>
      <c r="AQ72" s="72"/>
      <c r="AR72" s="72"/>
      <c r="AS72" s="72"/>
      <c r="AT72" s="72"/>
      <c r="AU72" s="72"/>
      <c r="AV72" s="300"/>
      <c r="AW72" s="72"/>
      <c r="AX72" s="72"/>
      <c r="AY72" s="265"/>
      <c r="AZ72" s="33"/>
      <c r="BA72" s="46"/>
      <c r="BB72" s="78"/>
      <c r="BC72" s="34"/>
      <c r="BD72" s="28"/>
    </row>
    <row r="73" spans="1:60" ht="14.1" customHeight="1">
      <c r="A73" s="23"/>
      <c r="B73" s="351"/>
      <c r="C73" s="282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5"/>
      <c r="S73" s="35"/>
      <c r="T73" s="28"/>
      <c r="U73" s="28"/>
      <c r="V73" s="28"/>
      <c r="W73" s="28"/>
      <c r="X73" s="28"/>
      <c r="Y73" s="28"/>
      <c r="Z73" s="28"/>
      <c r="AC73" s="28"/>
      <c r="AD73" s="28"/>
      <c r="AE73" s="35"/>
      <c r="AF73" s="35"/>
      <c r="AG73" s="35"/>
      <c r="AH73" s="35"/>
      <c r="AI73" s="35"/>
      <c r="AJ73" s="28"/>
      <c r="AK73" s="28"/>
      <c r="AL73" s="28"/>
      <c r="AM73" s="35"/>
      <c r="AN73" s="35"/>
      <c r="AO73" s="135"/>
      <c r="AP73" s="136"/>
      <c r="AQ73" s="130"/>
      <c r="AR73" s="130"/>
      <c r="AS73" s="130"/>
      <c r="AT73" s="130"/>
      <c r="AU73" s="81"/>
      <c r="AV73" s="35"/>
      <c r="AW73" s="35"/>
      <c r="AX73" s="65"/>
      <c r="AY73" s="347"/>
      <c r="AZ73" s="33"/>
      <c r="BA73" s="46"/>
      <c r="BB73" s="78"/>
      <c r="BC73" s="34"/>
      <c r="BD73" s="28"/>
      <c r="BG73" s="35"/>
    </row>
    <row r="74" spans="1:60" ht="14.1" customHeight="1">
      <c r="A74" s="23"/>
      <c r="B74" s="351"/>
      <c r="C74" s="352"/>
      <c r="D74" s="348" t="s">
        <v>38</v>
      </c>
      <c r="E74" s="131"/>
      <c r="F74" s="131"/>
      <c r="G74" s="131"/>
      <c r="H74" s="132"/>
      <c r="I74" s="132"/>
      <c r="J74" s="106"/>
      <c r="K74" s="133"/>
      <c r="L74" s="134"/>
      <c r="M74" s="144"/>
      <c r="N74" s="144"/>
      <c r="O74" s="131"/>
      <c r="P74" s="134"/>
      <c r="Q74" s="107"/>
      <c r="R74" s="133" t="s">
        <v>40</v>
      </c>
      <c r="S74" s="134"/>
      <c r="T74" s="107"/>
      <c r="U74" s="107"/>
      <c r="V74" s="133" t="s">
        <v>45</v>
      </c>
      <c r="W74" s="134"/>
      <c r="X74" s="107"/>
      <c r="Y74" s="35"/>
      <c r="Z74" s="35"/>
      <c r="AC74" s="28"/>
      <c r="AD74" s="28"/>
      <c r="AE74" s="28"/>
      <c r="AF74" s="35"/>
      <c r="AG74" s="35"/>
      <c r="AH74" s="28"/>
      <c r="AI74" s="28"/>
      <c r="AJ74" s="28"/>
      <c r="AK74" s="81"/>
      <c r="AL74" s="28"/>
      <c r="AM74" s="28"/>
      <c r="AN74" s="28"/>
      <c r="AO74" s="28"/>
      <c r="AP74" s="28"/>
      <c r="AQ74" s="65"/>
      <c r="AR74" s="65"/>
      <c r="AS74" s="65"/>
      <c r="AT74" s="125"/>
      <c r="AU74" s="65"/>
      <c r="AV74" s="65"/>
      <c r="AW74" s="65"/>
      <c r="AX74" s="65"/>
      <c r="AY74" s="347"/>
      <c r="AZ74" s="33"/>
      <c r="BA74" s="46"/>
      <c r="BB74" s="78"/>
      <c r="BC74" s="34"/>
      <c r="BD74" s="28"/>
      <c r="BE74" s="35"/>
      <c r="BF74" s="35"/>
      <c r="BG74" s="35"/>
    </row>
    <row r="75" spans="1:60" ht="13.5" customHeight="1">
      <c r="A75" s="22"/>
      <c r="B75" s="353"/>
      <c r="C75" s="352"/>
      <c r="D75" s="349" t="s">
        <v>46</v>
      </c>
      <c r="E75" s="137"/>
      <c r="F75" s="137"/>
      <c r="G75" s="137"/>
      <c r="H75" s="137"/>
      <c r="I75" s="137"/>
      <c r="J75" s="137"/>
      <c r="K75" s="350"/>
      <c r="L75" s="139"/>
      <c r="M75" s="108"/>
      <c r="N75" s="108"/>
      <c r="O75" s="145"/>
      <c r="P75" s="139"/>
      <c r="Q75" s="109"/>
      <c r="R75" s="138" t="s">
        <v>41</v>
      </c>
      <c r="S75" s="139"/>
      <c r="T75" s="108"/>
      <c r="U75" s="109"/>
      <c r="V75" s="140"/>
      <c r="W75" s="141"/>
      <c r="X75" s="142"/>
      <c r="Y75" s="116"/>
      <c r="Z75" s="41"/>
      <c r="AA75" s="116"/>
      <c r="AB75" s="116"/>
      <c r="AC75" s="116"/>
      <c r="AD75" s="116"/>
      <c r="AE75" s="116"/>
      <c r="AF75" s="116"/>
      <c r="AG75" s="116"/>
      <c r="AH75" s="116"/>
      <c r="AI75" s="116"/>
      <c r="AJ75" s="116"/>
      <c r="AK75" s="116"/>
      <c r="AL75" s="116"/>
      <c r="AM75" s="116"/>
      <c r="AN75" s="116"/>
      <c r="AO75" s="116"/>
      <c r="AP75" s="116"/>
      <c r="AQ75" s="65"/>
      <c r="AR75" s="65"/>
      <c r="AS75" s="65"/>
      <c r="AT75" s="125"/>
      <c r="AU75" s="65"/>
      <c r="AV75" s="65"/>
      <c r="AW75" s="65"/>
      <c r="AX75" s="65"/>
      <c r="AY75" s="347"/>
      <c r="AZ75" s="33"/>
      <c r="BA75" s="46"/>
      <c r="BB75" s="78"/>
      <c r="BC75" s="34"/>
      <c r="BD75" s="28"/>
      <c r="BE75" s="35"/>
      <c r="BF75" s="35"/>
      <c r="BG75" s="35"/>
    </row>
    <row r="76" spans="1:60" ht="5.0999999999999996" customHeight="1">
      <c r="A76" s="22"/>
      <c r="B76" s="202"/>
      <c r="C76" s="315"/>
      <c r="D76" s="73"/>
      <c r="E76" s="73"/>
      <c r="F76" s="73"/>
      <c r="G76" s="73"/>
      <c r="H76" s="316"/>
      <c r="I76" s="275"/>
      <c r="J76" s="273"/>
      <c r="K76" s="275"/>
      <c r="L76" s="273"/>
      <c r="M76" s="317"/>
      <c r="N76" s="317"/>
      <c r="O76" s="270"/>
      <c r="P76" s="317"/>
      <c r="Q76" s="270"/>
      <c r="R76" s="317"/>
      <c r="S76" s="73"/>
      <c r="T76" s="73"/>
      <c r="U76" s="73"/>
      <c r="V76" s="73"/>
      <c r="W76" s="73"/>
      <c r="X76" s="316"/>
      <c r="Y76" s="275"/>
      <c r="Z76" s="273"/>
      <c r="AA76" s="275"/>
      <c r="AB76" s="273"/>
      <c r="AC76" s="317"/>
      <c r="AD76" s="317"/>
      <c r="AE76" s="270"/>
      <c r="AF76" s="317"/>
      <c r="AG76" s="270"/>
      <c r="AH76" s="317"/>
      <c r="AI76" s="276"/>
      <c r="AJ76" s="317"/>
      <c r="AK76" s="270"/>
      <c r="AL76" s="73"/>
      <c r="AM76" s="73"/>
      <c r="AN76" s="73"/>
      <c r="AO76" s="73"/>
      <c r="AP76" s="73"/>
      <c r="AQ76" s="73"/>
      <c r="AR76" s="73"/>
      <c r="AS76" s="73"/>
      <c r="AT76" s="73"/>
      <c r="AU76" s="73"/>
      <c r="AV76" s="318"/>
      <c r="AW76" s="73"/>
      <c r="AX76" s="73"/>
      <c r="AY76" s="277"/>
      <c r="AZ76" s="33"/>
      <c r="BA76" s="46"/>
      <c r="BB76" s="78"/>
      <c r="BC76" s="34"/>
      <c r="BD76" s="28"/>
    </row>
    <row r="77" spans="1:60" ht="14.1" customHeight="1">
      <c r="A77" s="22"/>
      <c r="B77" s="202">
        <v>34</v>
      </c>
      <c r="C77" s="331"/>
      <c r="D77" s="332"/>
      <c r="E77" s="65"/>
      <c r="F77" s="65"/>
      <c r="G77" s="65"/>
      <c r="H77" s="65"/>
      <c r="I77" s="65"/>
      <c r="J77" s="1110"/>
      <c r="K77" s="1110"/>
      <c r="L77" s="1110"/>
      <c r="M77" s="1110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65"/>
      <c r="AN77" s="65"/>
      <c r="AO77" s="65"/>
      <c r="AP77" s="135"/>
      <c r="AQ77" s="135"/>
      <c r="AR77" s="65"/>
      <c r="AS77" s="65"/>
      <c r="AT77" s="125"/>
      <c r="AU77" s="65"/>
      <c r="AV77" s="65"/>
      <c r="AW77" s="65"/>
      <c r="AX77" s="65"/>
      <c r="AY77" s="65"/>
      <c r="AZ77" s="33"/>
      <c r="BA77" s="46"/>
      <c r="BB77" s="78"/>
      <c r="BC77" s="34"/>
      <c r="BD77" s="28"/>
      <c r="BG77" s="24"/>
      <c r="BH77" s="28"/>
    </row>
    <row r="78" spans="1:60" ht="14.1" customHeight="1">
      <c r="A78" s="22"/>
      <c r="B78" s="202">
        <v>35</v>
      </c>
      <c r="C78" s="346" t="s">
        <v>248</v>
      </c>
      <c r="D78" s="332"/>
      <c r="E78" s="65"/>
      <c r="F78" s="65"/>
      <c r="G78" s="65"/>
      <c r="H78" s="65"/>
      <c r="I78" s="65"/>
      <c r="J78" s="1067"/>
      <c r="K78" s="1067"/>
      <c r="L78" s="1067"/>
      <c r="M78" s="1067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  <c r="AP78" s="65"/>
      <c r="AQ78" s="65"/>
      <c r="AR78" s="65"/>
      <c r="AS78" s="65"/>
      <c r="AT78" s="125"/>
      <c r="AU78" s="65"/>
      <c r="AV78" s="65"/>
      <c r="AW78" s="65"/>
      <c r="AX78" s="65"/>
      <c r="AY78" s="65"/>
      <c r="AZ78" s="33"/>
      <c r="BA78" s="46"/>
      <c r="BB78" s="335"/>
      <c r="BC78" s="336"/>
      <c r="BD78" s="28"/>
      <c r="BG78" s="24"/>
      <c r="BH78" s="28"/>
    </row>
    <row r="79" spans="1:60" ht="14.1" customHeight="1">
      <c r="A79" s="22"/>
      <c r="B79" s="202">
        <v>35</v>
      </c>
      <c r="C79" s="331"/>
      <c r="D79" s="478" t="s">
        <v>249</v>
      </c>
      <c r="E79" s="65"/>
      <c r="F79" s="65"/>
      <c r="G79" s="65"/>
      <c r="H79" s="65"/>
      <c r="I79" s="65"/>
      <c r="J79" s="477"/>
      <c r="K79" s="477"/>
      <c r="L79" s="477"/>
      <c r="M79" s="477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  <c r="AA79" s="65"/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65"/>
      <c r="AN79" s="65"/>
      <c r="AO79" s="65"/>
      <c r="AP79" s="65"/>
      <c r="AQ79" s="65"/>
      <c r="AR79" s="65"/>
      <c r="AS79" s="65"/>
      <c r="AT79" s="125"/>
      <c r="AU79" s="65"/>
      <c r="AV79" s="65"/>
      <c r="AW79" s="65"/>
      <c r="AX79" s="65"/>
      <c r="AY79" s="65"/>
      <c r="AZ79" s="33"/>
      <c r="BA79" s="46"/>
      <c r="BB79" s="335"/>
      <c r="BC79" s="336"/>
      <c r="BD79" s="28"/>
      <c r="BG79" s="24"/>
      <c r="BH79" s="28"/>
    </row>
    <row r="80" spans="1:60" ht="14.1" customHeight="1">
      <c r="A80" s="22"/>
      <c r="B80" s="202">
        <v>35</v>
      </c>
      <c r="C80" s="331"/>
      <c r="D80" s="332"/>
      <c r="E80" s="65"/>
      <c r="F80" s="65"/>
      <c r="G80" s="65"/>
      <c r="H80" s="65"/>
      <c r="I80" s="65"/>
      <c r="J80" s="1106"/>
      <c r="K80" s="1106"/>
      <c r="L80" s="1106"/>
      <c r="M80" s="1106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  <c r="AP80" s="65"/>
      <c r="AQ80" s="65"/>
      <c r="AR80" s="65"/>
      <c r="AS80" s="65"/>
      <c r="AT80" s="125"/>
      <c r="AU80" s="65"/>
      <c r="AV80" s="65"/>
      <c r="AW80" s="65"/>
      <c r="AX80" s="65"/>
      <c r="AY80" s="65"/>
      <c r="AZ80" s="33"/>
      <c r="BA80" s="46"/>
      <c r="BB80" s="335"/>
      <c r="BC80" s="336"/>
      <c r="BD80" s="28"/>
      <c r="BG80" s="24"/>
      <c r="BH80" s="28"/>
    </row>
    <row r="81" spans="1:60" ht="5.0999999999999996" customHeight="1">
      <c r="A81" s="22"/>
      <c r="B81" s="202"/>
      <c r="C81" s="296"/>
      <c r="D81" s="72"/>
      <c r="E81" s="72"/>
      <c r="F81" s="72"/>
      <c r="G81" s="72"/>
      <c r="H81" s="297"/>
      <c r="I81" s="278"/>
      <c r="J81" s="279"/>
      <c r="K81" s="278"/>
      <c r="L81" s="279"/>
      <c r="M81" s="298"/>
      <c r="N81" s="298"/>
      <c r="O81" s="263"/>
      <c r="P81" s="298"/>
      <c r="Q81" s="263"/>
      <c r="R81" s="298"/>
      <c r="S81" s="72"/>
      <c r="T81" s="72"/>
      <c r="U81" s="72"/>
      <c r="V81" s="72"/>
      <c r="W81" s="72"/>
      <c r="X81" s="297"/>
      <c r="Y81" s="278"/>
      <c r="Z81" s="279"/>
      <c r="AA81" s="278"/>
      <c r="AB81" s="279"/>
      <c r="AC81" s="298"/>
      <c r="AD81" s="298"/>
      <c r="AE81" s="263"/>
      <c r="AF81" s="298"/>
      <c r="AG81" s="263"/>
      <c r="AH81" s="298"/>
      <c r="AI81" s="280"/>
      <c r="AJ81" s="298"/>
      <c r="AK81" s="263"/>
      <c r="AL81" s="72"/>
      <c r="AM81" s="72"/>
      <c r="AN81" s="72"/>
      <c r="AO81" s="72"/>
      <c r="AP81" s="72"/>
      <c r="AQ81" s="72"/>
      <c r="AR81" s="72"/>
      <c r="AS81" s="72"/>
      <c r="AT81" s="72"/>
      <c r="AU81" s="72"/>
      <c r="AV81" s="300"/>
      <c r="AW81" s="72"/>
      <c r="AX81" s="72"/>
      <c r="AY81" s="265"/>
      <c r="AZ81" s="33"/>
      <c r="BA81" s="46"/>
      <c r="BB81" s="78"/>
      <c r="BC81" s="34"/>
      <c r="BD81" s="28"/>
    </row>
    <row r="82" spans="1:60" ht="14.1" customHeight="1">
      <c r="A82" s="23"/>
      <c r="B82" s="351"/>
      <c r="C82" s="282"/>
      <c r="D82" s="28" t="s">
        <v>241</v>
      </c>
      <c r="E82" s="28"/>
      <c r="F82" s="28"/>
      <c r="G82" s="28"/>
      <c r="H82" s="468" t="s">
        <v>246</v>
      </c>
      <c r="I82" s="257"/>
      <c r="J82" s="258"/>
      <c r="K82" s="258"/>
      <c r="L82" s="258"/>
      <c r="M82" s="259"/>
      <c r="N82" s="258"/>
      <c r="O82" s="110"/>
      <c r="P82" s="261" t="s">
        <v>33</v>
      </c>
      <c r="Q82" s="25"/>
      <c r="R82" s="469" t="s">
        <v>247</v>
      </c>
      <c r="S82" s="470"/>
      <c r="T82" s="471"/>
      <c r="U82" s="471"/>
      <c r="V82" s="483"/>
      <c r="W82" s="472"/>
      <c r="X82" s="471"/>
      <c r="Y82" s="473"/>
      <c r="Z82" s="474"/>
      <c r="AB82" s="469" t="s">
        <v>291</v>
      </c>
      <c r="AC82" s="470"/>
      <c r="AD82" s="471"/>
      <c r="AE82" s="471"/>
      <c r="AF82" s="471"/>
      <c r="AG82" s="472"/>
      <c r="AH82" s="471"/>
      <c r="AI82" s="473"/>
      <c r="AJ82" s="472"/>
      <c r="AK82" s="479"/>
      <c r="AL82" s="479"/>
      <c r="AM82" s="473"/>
      <c r="AN82" s="473"/>
      <c r="AO82" s="471"/>
      <c r="AP82" s="480"/>
      <c r="AQ82" s="471"/>
      <c r="AR82" s="471"/>
      <c r="AS82" s="471"/>
      <c r="AT82" s="471"/>
      <c r="AU82" s="481"/>
      <c r="AV82" s="473"/>
      <c r="AW82" s="473"/>
      <c r="AX82" s="482"/>
      <c r="AY82" s="347"/>
      <c r="AZ82" s="33"/>
      <c r="BA82" s="46"/>
      <c r="BB82" s="78"/>
      <c r="BC82" s="34"/>
      <c r="BD82" s="28"/>
      <c r="BG82" s="35"/>
    </row>
    <row r="83" spans="1:60" ht="14.1" customHeight="1">
      <c r="A83" s="23"/>
      <c r="B83" s="351"/>
      <c r="C83" s="282"/>
      <c r="D83" s="28"/>
      <c r="E83" s="28"/>
      <c r="F83" s="28"/>
      <c r="G83" s="28"/>
      <c r="H83" s="469" t="s">
        <v>55</v>
      </c>
      <c r="I83" s="470"/>
      <c r="J83" s="471"/>
      <c r="K83" s="471"/>
      <c r="L83" s="471"/>
      <c r="M83" s="472"/>
      <c r="N83" s="471"/>
      <c r="O83" s="473"/>
      <c r="P83" s="472"/>
      <c r="Q83" s="479"/>
      <c r="R83" s="479"/>
      <c r="S83" s="473"/>
      <c r="T83" s="473"/>
      <c r="U83" s="471"/>
      <c r="V83" s="480"/>
      <c r="W83" s="471"/>
      <c r="X83" s="471"/>
      <c r="Y83" s="471"/>
      <c r="Z83" s="471"/>
      <c r="AA83" s="481"/>
      <c r="AB83" s="473"/>
      <c r="AC83" s="473"/>
      <c r="AD83" s="479"/>
      <c r="AE83" s="471"/>
      <c r="AF83" s="471"/>
      <c r="AG83" s="472"/>
      <c r="AH83" s="471"/>
      <c r="AI83" s="473"/>
      <c r="AJ83" s="472"/>
      <c r="AK83" s="479"/>
      <c r="AL83" s="479"/>
      <c r="AM83" s="473"/>
      <c r="AN83" s="473"/>
      <c r="AO83" s="471"/>
      <c r="AP83" s="480"/>
      <c r="AQ83" s="471"/>
      <c r="AR83" s="471"/>
      <c r="AS83" s="471"/>
      <c r="AT83" s="471"/>
      <c r="AU83" s="481"/>
      <c r="AV83" s="473"/>
      <c r="AW83" s="473"/>
      <c r="AX83" s="482"/>
      <c r="AY83" s="347"/>
      <c r="AZ83" s="33"/>
      <c r="BA83" s="46"/>
      <c r="BB83" s="78"/>
      <c r="BC83" s="34"/>
      <c r="BD83" s="28"/>
      <c r="BG83" s="35"/>
    </row>
    <row r="84" spans="1:60" ht="5.0999999999999996" customHeight="1">
      <c r="A84" s="22"/>
      <c r="B84" s="202"/>
      <c r="C84" s="315"/>
      <c r="D84" s="73"/>
      <c r="E84" s="73"/>
      <c r="F84" s="73"/>
      <c r="G84" s="73"/>
      <c r="H84" s="316"/>
      <c r="I84" s="275"/>
      <c r="J84" s="273"/>
      <c r="K84" s="275"/>
      <c r="L84" s="273"/>
      <c r="M84" s="317"/>
      <c r="N84" s="317"/>
      <c r="O84" s="270"/>
      <c r="P84" s="317"/>
      <c r="Q84" s="270"/>
      <c r="R84" s="317"/>
      <c r="S84" s="73"/>
      <c r="T84" s="73"/>
      <c r="U84" s="73"/>
      <c r="V84" s="73"/>
      <c r="W84" s="73"/>
      <c r="X84" s="316"/>
      <c r="Y84" s="275"/>
      <c r="Z84" s="273"/>
      <c r="AA84" s="275"/>
      <c r="AB84" s="273"/>
      <c r="AC84" s="317"/>
      <c r="AD84" s="317"/>
      <c r="AE84" s="270"/>
      <c r="AF84" s="317"/>
      <c r="AG84" s="270"/>
      <c r="AH84" s="317"/>
      <c r="AI84" s="276"/>
      <c r="AJ84" s="317"/>
      <c r="AK84" s="270"/>
      <c r="AL84" s="73"/>
      <c r="AM84" s="73"/>
      <c r="AN84" s="73"/>
      <c r="AO84" s="73"/>
      <c r="AP84" s="73"/>
      <c r="AQ84" s="73"/>
      <c r="AR84" s="73"/>
      <c r="AS84" s="73"/>
      <c r="AT84" s="73"/>
      <c r="AU84" s="73"/>
      <c r="AV84" s="318"/>
      <c r="AW84" s="73"/>
      <c r="AX84" s="73"/>
      <c r="AY84" s="277"/>
      <c r="AZ84" s="33"/>
      <c r="BA84" s="46"/>
      <c r="BB84" s="78"/>
      <c r="BC84" s="34"/>
      <c r="BD84" s="28"/>
    </row>
    <row r="85" spans="1:60" ht="5.0999999999999996" customHeight="1">
      <c r="A85" s="22"/>
      <c r="B85" s="202"/>
      <c r="C85" s="476"/>
      <c r="D85" s="72"/>
      <c r="E85" s="72"/>
      <c r="F85" s="72"/>
      <c r="G85" s="72"/>
      <c r="H85" s="297"/>
      <c r="I85" s="278"/>
      <c r="J85" s="279"/>
      <c r="K85" s="278"/>
      <c r="L85" s="279"/>
      <c r="M85" s="298"/>
      <c r="N85" s="298"/>
      <c r="O85" s="263"/>
      <c r="P85" s="298"/>
      <c r="Q85" s="263"/>
      <c r="R85" s="298"/>
      <c r="S85" s="72"/>
      <c r="T85" s="72"/>
      <c r="U85" s="72"/>
      <c r="V85" s="72"/>
      <c r="W85" s="72"/>
      <c r="X85" s="297"/>
      <c r="Y85" s="278"/>
      <c r="Z85" s="279"/>
      <c r="AA85" s="278"/>
      <c r="AB85" s="279"/>
      <c r="AC85" s="298"/>
      <c r="AD85" s="298"/>
      <c r="AE85" s="263"/>
      <c r="AF85" s="298"/>
      <c r="AG85" s="263"/>
      <c r="AH85" s="298"/>
      <c r="AI85" s="280"/>
      <c r="AJ85" s="298"/>
      <c r="AK85" s="263"/>
      <c r="AL85" s="72"/>
      <c r="AM85" s="72"/>
      <c r="AN85" s="72"/>
      <c r="AO85" s="72"/>
      <c r="AP85" s="72"/>
      <c r="AQ85" s="72"/>
      <c r="AR85" s="72"/>
      <c r="AS85" s="72"/>
      <c r="AT85" s="72"/>
      <c r="AU85" s="72"/>
      <c r="AV85" s="300"/>
      <c r="AW85" s="72"/>
      <c r="AX85" s="72"/>
      <c r="AY85" s="264"/>
      <c r="AZ85" s="33"/>
      <c r="BA85" s="46"/>
      <c r="BB85" s="78"/>
      <c r="BC85" s="34"/>
      <c r="BD85" s="28"/>
    </row>
    <row r="86" spans="1:60" ht="14.1" customHeight="1">
      <c r="A86" s="22"/>
      <c r="B86" s="202">
        <v>35</v>
      </c>
      <c r="C86" s="62" t="s">
        <v>244</v>
      </c>
      <c r="D86" s="332"/>
      <c r="E86" s="65"/>
      <c r="F86" s="65"/>
      <c r="G86" s="65"/>
      <c r="H86" s="65"/>
      <c r="I86" s="65"/>
      <c r="J86" s="1067"/>
      <c r="K86" s="1067"/>
      <c r="L86" s="1067"/>
      <c r="M86" s="1067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125"/>
      <c r="AU86" s="65"/>
      <c r="AV86" s="65"/>
      <c r="AW86" s="65"/>
      <c r="AX86" s="65"/>
      <c r="AY86" s="65"/>
      <c r="AZ86" s="33"/>
      <c r="BA86" s="46"/>
      <c r="BB86" s="335"/>
      <c r="BC86" s="336"/>
      <c r="BD86" s="28"/>
      <c r="BG86" s="24"/>
      <c r="BH86" s="28"/>
    </row>
    <row r="87" spans="1:60" ht="5.0999999999999996" customHeight="1">
      <c r="A87" s="22"/>
      <c r="B87" s="202"/>
      <c r="C87" s="296"/>
      <c r="D87" s="72"/>
      <c r="E87" s="72"/>
      <c r="F87" s="72"/>
      <c r="G87" s="72"/>
      <c r="H87" s="297"/>
      <c r="I87" s="278"/>
      <c r="J87" s="279"/>
      <c r="K87" s="278"/>
      <c r="L87" s="279"/>
      <c r="M87" s="298"/>
      <c r="N87" s="298"/>
      <c r="O87" s="263"/>
      <c r="P87" s="298"/>
      <c r="Q87" s="263"/>
      <c r="R87" s="298"/>
      <c r="S87" s="72"/>
      <c r="T87" s="72"/>
      <c r="U87" s="72"/>
      <c r="V87" s="72"/>
      <c r="W87" s="72"/>
      <c r="X87" s="297"/>
      <c r="Y87" s="278"/>
      <c r="Z87" s="279"/>
      <c r="AA87" s="278"/>
      <c r="AB87" s="279"/>
      <c r="AC87" s="298"/>
      <c r="AD87" s="298"/>
      <c r="AE87" s="263"/>
      <c r="AF87" s="298"/>
      <c r="AG87" s="263"/>
      <c r="AH87" s="298"/>
      <c r="AI87" s="280"/>
      <c r="AJ87" s="298"/>
      <c r="AK87" s="263"/>
      <c r="AL87" s="72"/>
      <c r="AM87" s="72"/>
      <c r="AN87" s="72"/>
      <c r="AO87" s="72"/>
      <c r="AP87" s="72"/>
      <c r="AQ87" s="72"/>
      <c r="AR87" s="72"/>
      <c r="AS87" s="72"/>
      <c r="AT87" s="72"/>
      <c r="AU87" s="72"/>
      <c r="AV87" s="300"/>
      <c r="AW87" s="72"/>
      <c r="AX87" s="72"/>
      <c r="AY87" s="265"/>
      <c r="AZ87" s="33"/>
      <c r="BA87" s="46"/>
      <c r="BB87" s="78"/>
      <c r="BC87" s="34"/>
      <c r="BD87" s="28"/>
    </row>
    <row r="88" spans="1:60" ht="14.1" customHeight="1">
      <c r="A88" s="23"/>
      <c r="B88" s="351"/>
      <c r="C88" s="282"/>
      <c r="D88" s="28" t="s">
        <v>241</v>
      </c>
      <c r="E88" s="28"/>
      <c r="F88" s="28"/>
      <c r="G88" s="28"/>
      <c r="H88" s="468" t="s">
        <v>242</v>
      </c>
      <c r="I88" s="257"/>
      <c r="J88" s="258"/>
      <c r="K88" s="258"/>
      <c r="L88" s="258"/>
      <c r="M88" s="259"/>
      <c r="N88" s="258"/>
      <c r="O88" s="110"/>
      <c r="P88" s="261" t="s">
        <v>33</v>
      </c>
      <c r="Q88" s="25"/>
      <c r="R88" s="469" t="s">
        <v>243</v>
      </c>
      <c r="S88" s="470"/>
      <c r="T88" s="471"/>
      <c r="U88" s="471"/>
      <c r="V88" s="483"/>
      <c r="W88" s="484" t="s">
        <v>255</v>
      </c>
      <c r="X88" s="471"/>
      <c r="Y88" s="473"/>
      <c r="Z88" s="474"/>
      <c r="AB88" s="529" t="s">
        <v>292</v>
      </c>
      <c r="AC88" s="530"/>
      <c r="AD88" s="531"/>
      <c r="AE88" s="531"/>
      <c r="AF88" s="531"/>
      <c r="AG88" s="532"/>
      <c r="AH88" s="531"/>
      <c r="AI88" s="533"/>
      <c r="AJ88" s="532"/>
      <c r="AK88" s="61"/>
      <c r="AL88" s="61"/>
      <c r="AM88" s="533"/>
      <c r="AN88" s="533"/>
      <c r="AO88" s="531"/>
      <c r="AP88" s="534"/>
      <c r="AQ88" s="531"/>
      <c r="AR88" s="531"/>
      <c r="AS88" s="531"/>
      <c r="AT88" s="531"/>
      <c r="AU88" s="535"/>
      <c r="AV88" s="533"/>
      <c r="AW88" s="533"/>
      <c r="AX88" s="70"/>
      <c r="AY88" s="347"/>
      <c r="AZ88" s="33"/>
      <c r="BA88" s="46"/>
      <c r="BB88" s="78"/>
      <c r="BC88" s="34"/>
      <c r="BD88" s="28"/>
      <c r="BG88" s="35"/>
    </row>
    <row r="89" spans="1:60" ht="14.1" customHeight="1">
      <c r="A89" s="23"/>
      <c r="B89" s="351"/>
      <c r="C89" s="282"/>
      <c r="D89" s="28"/>
      <c r="E89" s="28"/>
      <c r="F89" s="28"/>
      <c r="G89" s="28"/>
      <c r="H89" s="469" t="s">
        <v>254</v>
      </c>
      <c r="I89" s="470"/>
      <c r="J89" s="471"/>
      <c r="K89" s="471"/>
      <c r="L89" s="471"/>
      <c r="M89" s="472"/>
      <c r="N89" s="471"/>
      <c r="O89" s="473"/>
      <c r="P89" s="472"/>
      <c r="Q89" s="479"/>
      <c r="R89" s="479"/>
      <c r="S89" s="473"/>
      <c r="T89" s="473"/>
      <c r="U89" s="471"/>
      <c r="V89" s="480"/>
      <c r="W89" s="471"/>
      <c r="X89" s="471"/>
      <c r="Y89" s="471"/>
      <c r="Z89" s="471"/>
      <c r="AA89" s="481"/>
      <c r="AB89" s="473"/>
      <c r="AC89" s="473"/>
      <c r="AD89" s="479"/>
      <c r="AE89" s="471"/>
      <c r="AF89" s="471"/>
      <c r="AG89" s="472"/>
      <c r="AH89" s="471"/>
      <c r="AI89" s="473"/>
      <c r="AJ89" s="472"/>
      <c r="AK89" s="479"/>
      <c r="AL89" s="479"/>
      <c r="AM89" s="473"/>
      <c r="AN89" s="473"/>
      <c r="AO89" s="471"/>
      <c r="AP89" s="480"/>
      <c r="AQ89" s="471"/>
      <c r="AR89" s="471"/>
      <c r="AS89" s="471"/>
      <c r="AT89" s="471"/>
      <c r="AU89" s="481"/>
      <c r="AV89" s="473"/>
      <c r="AW89" s="473"/>
      <c r="AX89" s="482"/>
      <c r="AY89" s="347"/>
      <c r="AZ89" s="33"/>
      <c r="BA89" s="46"/>
      <c r="BB89" s="78"/>
      <c r="BC89" s="34"/>
      <c r="BD89" s="28"/>
      <c r="BG89" s="35"/>
    </row>
    <row r="90" spans="1:60" ht="5.0999999999999996" customHeight="1">
      <c r="A90" s="22"/>
      <c r="B90" s="202"/>
      <c r="C90" s="315"/>
      <c r="D90" s="73"/>
      <c r="E90" s="73"/>
      <c r="F90" s="73"/>
      <c r="G90" s="73"/>
      <c r="H90" s="316"/>
      <c r="I90" s="275"/>
      <c r="J90" s="273"/>
      <c r="K90" s="275"/>
      <c r="L90" s="273"/>
      <c r="M90" s="317"/>
      <c r="N90" s="317"/>
      <c r="O90" s="270"/>
      <c r="P90" s="317"/>
      <c r="Q90" s="270"/>
      <c r="R90" s="317"/>
      <c r="S90" s="73"/>
      <c r="T90" s="73"/>
      <c r="U90" s="73"/>
      <c r="V90" s="73"/>
      <c r="W90" s="73"/>
      <c r="X90" s="316"/>
      <c r="Y90" s="275"/>
      <c r="Z90" s="273"/>
      <c r="AA90" s="275"/>
      <c r="AB90" s="273"/>
      <c r="AC90" s="317"/>
      <c r="AD90" s="317"/>
      <c r="AE90" s="270"/>
      <c r="AF90" s="317"/>
      <c r="AG90" s="270"/>
      <c r="AH90" s="317"/>
      <c r="AI90" s="276"/>
      <c r="AJ90" s="317"/>
      <c r="AK90" s="270"/>
      <c r="AL90" s="73"/>
      <c r="AM90" s="73"/>
      <c r="AN90" s="73"/>
      <c r="AO90" s="73"/>
      <c r="AP90" s="73"/>
      <c r="AQ90" s="73"/>
      <c r="AR90" s="73"/>
      <c r="AS90" s="73"/>
      <c r="AT90" s="73"/>
      <c r="AU90" s="73"/>
      <c r="AV90" s="318"/>
      <c r="AW90" s="73"/>
      <c r="AX90" s="73"/>
      <c r="AY90" s="277"/>
      <c r="AZ90" s="33"/>
      <c r="BA90" s="46"/>
      <c r="BB90" s="78"/>
      <c r="BC90" s="34"/>
      <c r="BD90" s="28"/>
    </row>
    <row r="91" spans="1:60" ht="5.0999999999999996" customHeight="1">
      <c r="A91" s="22"/>
      <c r="B91" s="202"/>
      <c r="C91" s="476"/>
      <c r="D91" s="72"/>
      <c r="E91" s="72"/>
      <c r="F91" s="72"/>
      <c r="G91" s="72"/>
      <c r="H91" s="297"/>
      <c r="I91" s="278"/>
      <c r="J91" s="279"/>
      <c r="K91" s="278"/>
      <c r="L91" s="279"/>
      <c r="M91" s="298"/>
      <c r="N91" s="298"/>
      <c r="O91" s="263"/>
      <c r="P91" s="298"/>
      <c r="Q91" s="263"/>
      <c r="R91" s="298"/>
      <c r="S91" s="72"/>
      <c r="T91" s="72"/>
      <c r="U91" s="72"/>
      <c r="V91" s="72"/>
      <c r="W91" s="72"/>
      <c r="X91" s="297"/>
      <c r="Y91" s="278"/>
      <c r="Z91" s="279"/>
      <c r="AA91" s="278"/>
      <c r="AB91" s="279"/>
      <c r="AC91" s="298"/>
      <c r="AD91" s="298"/>
      <c r="AE91" s="263"/>
      <c r="AF91" s="298"/>
      <c r="AG91" s="263"/>
      <c r="AH91" s="298"/>
      <c r="AI91" s="280"/>
      <c r="AJ91" s="298"/>
      <c r="AK91" s="263"/>
      <c r="AL91" s="72"/>
      <c r="AM91" s="72"/>
      <c r="AN91" s="72"/>
      <c r="AO91" s="72"/>
      <c r="AP91" s="72"/>
      <c r="AQ91" s="72"/>
      <c r="AR91" s="72"/>
      <c r="AS91" s="72"/>
      <c r="AT91" s="72"/>
      <c r="AU91" s="72"/>
      <c r="AV91" s="300"/>
      <c r="AW91" s="72"/>
      <c r="AX91" s="72"/>
      <c r="AY91" s="264"/>
      <c r="AZ91" s="33"/>
      <c r="BA91" s="46"/>
      <c r="BB91" s="335"/>
      <c r="BC91" s="336"/>
      <c r="BD91" s="28"/>
    </row>
    <row r="92" spans="1:60" ht="14.1" customHeight="1">
      <c r="A92" s="22"/>
      <c r="B92" s="202">
        <v>35</v>
      </c>
      <c r="C92" s="62" t="s">
        <v>244</v>
      </c>
      <c r="D92" s="332"/>
      <c r="E92" s="65"/>
      <c r="F92" s="65"/>
      <c r="G92" s="65"/>
      <c r="H92" s="65"/>
      <c r="I92" s="65"/>
      <c r="J92" s="477"/>
      <c r="K92" s="477"/>
      <c r="L92" s="477"/>
      <c r="M92" s="477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  <c r="AA92" s="65"/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  <c r="AP92" s="65"/>
      <c r="AQ92" s="65"/>
      <c r="AR92" s="65"/>
      <c r="AS92" s="65"/>
      <c r="AT92" s="125"/>
      <c r="AU92" s="65"/>
      <c r="AV92" s="65"/>
      <c r="AW92" s="65"/>
      <c r="AX92" s="65"/>
      <c r="AY92" s="65"/>
      <c r="AZ92" s="33"/>
      <c r="BA92" s="46"/>
      <c r="BB92" s="335"/>
      <c r="BC92" s="336"/>
      <c r="BD92" s="28"/>
      <c r="BG92" s="24"/>
      <c r="BH92" s="28"/>
    </row>
    <row r="93" spans="1:60" ht="14.1" customHeight="1">
      <c r="A93" s="22"/>
      <c r="B93" s="202">
        <v>35</v>
      </c>
      <c r="C93" s="331"/>
      <c r="D93" s="332"/>
      <c r="E93" s="65"/>
      <c r="F93" s="65"/>
      <c r="G93" s="65"/>
      <c r="H93" s="65"/>
      <c r="I93" s="65"/>
      <c r="J93" s="477"/>
      <c r="K93" s="477"/>
      <c r="L93" s="477"/>
      <c r="M93" s="477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125"/>
      <c r="AU93" s="65"/>
      <c r="AV93" s="65"/>
      <c r="AW93" s="65"/>
      <c r="AX93" s="65"/>
      <c r="AY93" s="65"/>
      <c r="AZ93" s="33"/>
      <c r="BA93" s="46"/>
      <c r="BB93" s="335"/>
      <c r="BC93" s="336"/>
      <c r="BD93" s="28"/>
      <c r="BG93" s="24"/>
      <c r="BH93" s="28"/>
    </row>
    <row r="94" spans="1:60" ht="14.1" customHeight="1">
      <c r="A94" s="22"/>
      <c r="B94" s="202">
        <v>35</v>
      </c>
      <c r="C94" s="346" t="s">
        <v>250</v>
      </c>
      <c r="D94" s="332"/>
      <c r="E94" s="65"/>
      <c r="F94" s="65"/>
      <c r="G94" s="65"/>
      <c r="H94" s="65"/>
      <c r="I94" s="65"/>
      <c r="J94" s="1067"/>
      <c r="K94" s="1067"/>
      <c r="L94" s="1067"/>
      <c r="M94" s="1067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  <c r="AP94" s="65"/>
      <c r="AQ94" s="65"/>
      <c r="AR94" s="65"/>
      <c r="AS94" s="65"/>
      <c r="AT94" s="125"/>
      <c r="AU94" s="65"/>
      <c r="AV94" s="65"/>
      <c r="AW94" s="65"/>
      <c r="AX94" s="65"/>
      <c r="AY94" s="65"/>
      <c r="AZ94" s="33"/>
      <c r="BA94" s="46"/>
      <c r="BB94" s="335"/>
      <c r="BC94" s="336"/>
      <c r="BD94" s="28"/>
      <c r="BG94" s="24"/>
      <c r="BH94" s="28"/>
    </row>
    <row r="95" spans="1:60" ht="5.0999999999999996" customHeight="1">
      <c r="A95" s="22"/>
      <c r="B95" s="202"/>
      <c r="C95" s="296"/>
      <c r="D95" s="72"/>
      <c r="E95" s="72"/>
      <c r="F95" s="72"/>
      <c r="G95" s="72"/>
      <c r="H95" s="297"/>
      <c r="I95" s="278"/>
      <c r="J95" s="279"/>
      <c r="K95" s="278"/>
      <c r="L95" s="279"/>
      <c r="M95" s="298"/>
      <c r="N95" s="298"/>
      <c r="O95" s="263"/>
      <c r="P95" s="298"/>
      <c r="Q95" s="263"/>
      <c r="R95" s="298"/>
      <c r="S95" s="72"/>
      <c r="T95" s="72"/>
      <c r="U95" s="72"/>
      <c r="V95" s="72"/>
      <c r="W95" s="72"/>
      <c r="X95" s="297"/>
      <c r="Y95" s="278"/>
      <c r="Z95" s="279"/>
      <c r="AA95" s="278"/>
      <c r="AB95" s="279"/>
      <c r="AC95" s="298"/>
      <c r="AD95" s="298"/>
      <c r="AE95" s="263"/>
      <c r="AF95" s="298"/>
      <c r="AG95" s="263"/>
      <c r="AH95" s="298"/>
      <c r="AI95" s="280"/>
      <c r="AJ95" s="298"/>
      <c r="AK95" s="263"/>
      <c r="AL95" s="72"/>
      <c r="AM95" s="72"/>
      <c r="AN95" s="72"/>
      <c r="AO95" s="72"/>
      <c r="AP95" s="72"/>
      <c r="AQ95" s="72"/>
      <c r="AR95" s="72"/>
      <c r="AS95" s="72"/>
      <c r="AT95" s="72"/>
      <c r="AU95" s="72"/>
      <c r="AV95" s="300"/>
      <c r="AW95" s="72"/>
      <c r="AX95" s="72"/>
      <c r="AY95" s="265"/>
      <c r="AZ95" s="33"/>
      <c r="BA95" s="46"/>
      <c r="BB95" s="335"/>
      <c r="BC95" s="336"/>
      <c r="BD95" s="28"/>
    </row>
    <row r="96" spans="1:60" ht="13.5" customHeight="1">
      <c r="A96" s="22"/>
      <c r="B96" s="45"/>
      <c r="C96" s="266"/>
      <c r="D96" s="28" t="s">
        <v>251</v>
      </c>
      <c r="E96" s="28"/>
      <c r="F96" s="28"/>
      <c r="G96" s="28"/>
      <c r="H96" s="24"/>
      <c r="I96" s="24"/>
      <c r="J96" s="24"/>
      <c r="K96" s="24"/>
      <c r="L96" s="24"/>
      <c r="M96" s="127"/>
      <c r="N96" s="75"/>
      <c r="O96" s="84"/>
      <c r="P96" s="84"/>
      <c r="Q96" s="85"/>
      <c r="R96" s="75"/>
      <c r="S96" s="75"/>
      <c r="T96" s="75"/>
      <c r="U96" s="84"/>
      <c r="V96" s="85"/>
      <c r="W96" s="75"/>
      <c r="X96" s="65"/>
      <c r="Y96" s="28"/>
      <c r="Z96" s="28"/>
      <c r="AA96" s="28"/>
      <c r="AB96" s="28"/>
      <c r="AC96" s="28"/>
      <c r="AD96" s="28"/>
      <c r="AE96" s="28"/>
      <c r="AF96" s="28"/>
      <c r="AG96" s="28"/>
      <c r="AH96" s="28"/>
      <c r="AI96" s="28"/>
      <c r="AJ96" s="28"/>
      <c r="AK96" s="28"/>
      <c r="AL96" s="28"/>
      <c r="AM96" s="31"/>
      <c r="AN96" s="31"/>
      <c r="AO96" s="31"/>
      <c r="AP96" s="31"/>
      <c r="AQ96" s="31"/>
      <c r="AR96" s="31"/>
      <c r="AS96" s="31"/>
      <c r="AT96" s="31"/>
      <c r="AU96" s="31"/>
      <c r="AV96" s="31"/>
      <c r="AW96" s="31"/>
      <c r="AX96" s="65"/>
      <c r="AY96" s="267"/>
      <c r="AZ96" s="33"/>
      <c r="BA96" s="46"/>
      <c r="BB96" s="335"/>
      <c r="BC96" s="336"/>
      <c r="BD96" s="28"/>
      <c r="BE96" s="35"/>
      <c r="BF96" s="35"/>
      <c r="BG96" s="35"/>
    </row>
    <row r="97" spans="1:69" ht="13.5" customHeight="1">
      <c r="A97" s="22"/>
      <c r="B97" s="45"/>
      <c r="C97" s="266"/>
      <c r="D97" s="28"/>
      <c r="E97" s="28"/>
      <c r="F97" s="28"/>
      <c r="G97" s="28"/>
      <c r="H97" s="348" t="s">
        <v>253</v>
      </c>
      <c r="I97" s="131"/>
      <c r="J97" s="131"/>
      <c r="K97" s="131"/>
      <c r="L97" s="132"/>
      <c r="M97" s="132"/>
      <c r="N97" s="106"/>
      <c r="O97" s="133"/>
      <c r="P97" s="134"/>
      <c r="Q97" s="133" t="s">
        <v>252</v>
      </c>
      <c r="R97" s="134"/>
      <c r="S97" s="107"/>
      <c r="T97" s="107"/>
      <c r="U97" s="107"/>
      <c r="V97" s="107"/>
      <c r="W97" s="107"/>
      <c r="X97" s="107"/>
      <c r="Y97" s="107"/>
      <c r="Z97" s="107"/>
      <c r="AA97" s="107"/>
      <c r="AB97" s="107"/>
      <c r="AC97" s="107"/>
      <c r="AD97" s="107"/>
      <c r="AE97" s="107"/>
      <c r="AF97" s="107"/>
      <c r="AG97" s="107"/>
      <c r="AH97" s="107"/>
      <c r="AI97" s="107"/>
      <c r="AJ97" s="107"/>
      <c r="AK97" s="107"/>
      <c r="AL97" s="133" t="s">
        <v>45</v>
      </c>
      <c r="AM97" s="134"/>
      <c r="AN97" s="107"/>
      <c r="AO97" s="31"/>
      <c r="AP97" s="31"/>
      <c r="AQ97" s="31"/>
      <c r="AR97" s="31"/>
      <c r="AS97" s="31"/>
      <c r="AT97" s="31"/>
      <c r="AU97" s="31"/>
      <c r="AV97" s="31"/>
      <c r="AW97" s="31"/>
      <c r="AX97" s="65"/>
      <c r="AY97" s="267"/>
      <c r="AZ97" s="33"/>
      <c r="BA97" s="46"/>
      <c r="BB97" s="335"/>
      <c r="BC97" s="336"/>
      <c r="BD97" s="28"/>
      <c r="BE97" s="35"/>
      <c r="BF97" s="35"/>
      <c r="BG97" s="35"/>
    </row>
    <row r="98" spans="1:69" ht="13.5" customHeight="1">
      <c r="A98" s="22"/>
      <c r="B98" s="45"/>
      <c r="C98" s="266"/>
      <c r="D98" s="28"/>
      <c r="E98" s="28"/>
      <c r="F98" s="28"/>
      <c r="G98" s="28"/>
      <c r="H98" s="485" t="s">
        <v>256</v>
      </c>
      <c r="I98" s="137"/>
      <c r="J98" s="137"/>
      <c r="K98" s="137"/>
      <c r="L98" s="137"/>
      <c r="M98" s="137"/>
      <c r="N98" s="137"/>
      <c r="O98" s="350"/>
      <c r="P98" s="139"/>
      <c r="Q98" s="486" t="s">
        <v>55</v>
      </c>
      <c r="R98" s="139"/>
      <c r="S98" s="108"/>
      <c r="T98" s="108"/>
      <c r="U98" s="108"/>
      <c r="V98" s="156"/>
      <c r="W98" s="110"/>
      <c r="X98" s="110"/>
      <c r="Y98" s="156"/>
      <c r="Z98" s="156"/>
      <c r="AA98" s="110"/>
      <c r="AB98" s="110"/>
      <c r="AC98" s="37"/>
      <c r="AD98" s="37"/>
      <c r="AE98" s="37"/>
      <c r="AF98" s="37"/>
      <c r="AG98" s="37"/>
      <c r="AH98" s="37"/>
      <c r="AI98" s="37"/>
      <c r="AJ98" s="37"/>
      <c r="AK98" s="97"/>
      <c r="AL98" s="140"/>
      <c r="AM98" s="141"/>
      <c r="AN98" s="142"/>
      <c r="AO98" s="31"/>
      <c r="AP98" s="31"/>
      <c r="AQ98" s="31"/>
      <c r="AR98" s="31"/>
      <c r="AS98" s="31"/>
      <c r="AT98" s="31"/>
      <c r="AU98" s="31"/>
      <c r="AV98" s="31"/>
      <c r="AW98" s="31"/>
      <c r="AX98" s="65"/>
      <c r="AY98" s="267"/>
      <c r="AZ98" s="33"/>
      <c r="BA98" s="46"/>
      <c r="BB98" s="335"/>
      <c r="BC98" s="336"/>
      <c r="BD98" s="28"/>
      <c r="BE98" s="35"/>
      <c r="BF98" s="35"/>
      <c r="BG98" s="35"/>
    </row>
    <row r="99" spans="1:69" ht="13.5" customHeight="1">
      <c r="A99" s="22"/>
      <c r="B99" s="45"/>
      <c r="C99" s="266"/>
      <c r="D99" s="28"/>
      <c r="E99" s="28"/>
      <c r="F99" s="28"/>
      <c r="G99" s="28"/>
      <c r="H99" s="485" t="s">
        <v>257</v>
      </c>
      <c r="I99" s="137"/>
      <c r="J99" s="137"/>
      <c r="K99" s="137"/>
      <c r="L99" s="137"/>
      <c r="M99" s="137"/>
      <c r="N99" s="137"/>
      <c r="O99" s="350"/>
      <c r="P99" s="139"/>
      <c r="Q99" s="486" t="s">
        <v>55</v>
      </c>
      <c r="R99" s="139"/>
      <c r="S99" s="108"/>
      <c r="T99" s="108"/>
      <c r="U99" s="108"/>
      <c r="V99" s="156"/>
      <c r="W99" s="110"/>
      <c r="X99" s="110"/>
      <c r="Y99" s="156"/>
      <c r="Z99" s="156"/>
      <c r="AA99" s="110"/>
      <c r="AB99" s="110"/>
      <c r="AC99" s="37"/>
      <c r="AD99" s="37"/>
      <c r="AE99" s="37"/>
      <c r="AF99" s="37"/>
      <c r="AG99" s="37"/>
      <c r="AH99" s="37"/>
      <c r="AI99" s="37"/>
      <c r="AJ99" s="37"/>
      <c r="AK99" s="97"/>
      <c r="AL99" s="140"/>
      <c r="AM99" s="141"/>
      <c r="AN99" s="142"/>
      <c r="AO99" s="31"/>
      <c r="AP99" s="31"/>
      <c r="AQ99" s="31"/>
      <c r="AR99" s="31"/>
      <c r="AS99" s="31"/>
      <c r="AT99" s="31"/>
      <c r="AU99" s="31"/>
      <c r="AV99" s="31"/>
      <c r="AW99" s="31"/>
      <c r="AX99" s="65"/>
      <c r="AY99" s="267"/>
      <c r="AZ99" s="33"/>
      <c r="BA99" s="46"/>
      <c r="BB99" s="335"/>
      <c r="BC99" s="336"/>
      <c r="BD99" s="28"/>
      <c r="BE99" s="35"/>
      <c r="BF99" s="35"/>
      <c r="BG99" s="35"/>
    </row>
    <row r="100" spans="1:69" ht="13.5" customHeight="1">
      <c r="A100" s="22"/>
      <c r="B100" s="45"/>
      <c r="C100" s="266"/>
      <c r="D100" s="28"/>
      <c r="E100" s="28"/>
      <c r="F100" s="28"/>
      <c r="G100" s="28"/>
      <c r="H100" s="485" t="s">
        <v>258</v>
      </c>
      <c r="I100" s="137"/>
      <c r="J100" s="137"/>
      <c r="K100" s="137"/>
      <c r="L100" s="137"/>
      <c r="M100" s="137"/>
      <c r="N100" s="137"/>
      <c r="O100" s="350"/>
      <c r="P100" s="139"/>
      <c r="Q100" s="486" t="s">
        <v>55</v>
      </c>
      <c r="R100" s="139"/>
      <c r="S100" s="108"/>
      <c r="T100" s="108"/>
      <c r="U100" s="108"/>
      <c r="V100" s="156"/>
      <c r="W100" s="110"/>
      <c r="X100" s="110"/>
      <c r="Y100" s="156"/>
      <c r="Z100" s="156"/>
      <c r="AA100" s="110"/>
      <c r="AB100" s="110"/>
      <c r="AC100" s="37"/>
      <c r="AD100" s="37"/>
      <c r="AE100" s="37"/>
      <c r="AF100" s="37"/>
      <c r="AG100" s="37"/>
      <c r="AH100" s="37"/>
      <c r="AI100" s="37"/>
      <c r="AJ100" s="37"/>
      <c r="AK100" s="97"/>
      <c r="AL100" s="140"/>
      <c r="AM100" s="141"/>
      <c r="AN100" s="142"/>
      <c r="AO100" s="31"/>
      <c r="AP100" s="31"/>
      <c r="AQ100" s="31"/>
      <c r="AR100" s="31"/>
      <c r="AS100" s="31"/>
      <c r="AT100" s="31"/>
      <c r="AU100" s="31"/>
      <c r="AV100" s="31"/>
      <c r="AW100" s="31"/>
      <c r="AX100" s="65"/>
      <c r="AY100" s="267"/>
      <c r="AZ100" s="33"/>
      <c r="BA100" s="46"/>
      <c r="BB100" s="335"/>
      <c r="BC100" s="336"/>
      <c r="BD100" s="28"/>
      <c r="BE100" s="35"/>
      <c r="BF100" s="35"/>
      <c r="BG100" s="35"/>
    </row>
    <row r="101" spans="1:69" ht="5.0999999999999996" customHeight="1">
      <c r="A101" s="22"/>
      <c r="B101" s="202"/>
      <c r="C101" s="315"/>
      <c r="D101" s="73"/>
      <c r="E101" s="73"/>
      <c r="F101" s="73"/>
      <c r="G101" s="73"/>
      <c r="H101" s="316"/>
      <c r="I101" s="275"/>
      <c r="J101" s="273"/>
      <c r="K101" s="275"/>
      <c r="L101" s="273"/>
      <c r="M101" s="317"/>
      <c r="N101" s="317"/>
      <c r="O101" s="270"/>
      <c r="P101" s="317"/>
      <c r="Q101" s="270"/>
      <c r="R101" s="317"/>
      <c r="S101" s="73"/>
      <c r="T101" s="73"/>
      <c r="U101" s="73"/>
      <c r="V101" s="73"/>
      <c r="W101" s="73"/>
      <c r="X101" s="316"/>
      <c r="Y101" s="275"/>
      <c r="Z101" s="273"/>
      <c r="AA101" s="275"/>
      <c r="AB101" s="273"/>
      <c r="AC101" s="317"/>
      <c r="AD101" s="317"/>
      <c r="AE101" s="270"/>
      <c r="AF101" s="317"/>
      <c r="AG101" s="270"/>
      <c r="AH101" s="317"/>
      <c r="AI101" s="276"/>
      <c r="AJ101" s="317"/>
      <c r="AK101" s="270"/>
      <c r="AL101" s="73"/>
      <c r="AM101" s="73"/>
      <c r="AN101" s="73"/>
      <c r="AO101" s="73"/>
      <c r="AP101" s="73"/>
      <c r="AQ101" s="73"/>
      <c r="AR101" s="73"/>
      <c r="AS101" s="73"/>
      <c r="AT101" s="73"/>
      <c r="AU101" s="73"/>
      <c r="AV101" s="318"/>
      <c r="AW101" s="73"/>
      <c r="AX101" s="73"/>
      <c r="AY101" s="277"/>
      <c r="AZ101" s="33"/>
      <c r="BA101" s="46"/>
      <c r="BB101" s="335"/>
      <c r="BC101" s="336"/>
      <c r="BD101" s="28"/>
    </row>
    <row r="102" spans="1:69" ht="14.1" customHeight="1">
      <c r="A102" s="22"/>
      <c r="B102" s="202"/>
      <c r="C102" s="331"/>
      <c r="D102" s="332"/>
      <c r="E102" s="65"/>
      <c r="F102" s="65"/>
      <c r="G102" s="65"/>
      <c r="H102" s="65"/>
      <c r="I102" s="65"/>
      <c r="J102" s="354"/>
      <c r="K102" s="354"/>
      <c r="L102" s="354"/>
      <c r="M102" s="354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125"/>
      <c r="AU102" s="65"/>
      <c r="AV102" s="65"/>
      <c r="AW102" s="65"/>
      <c r="AX102" s="65"/>
      <c r="AY102" s="65"/>
      <c r="AZ102" s="33"/>
      <c r="BA102" s="46"/>
      <c r="BB102" s="335"/>
      <c r="BC102" s="336"/>
      <c r="BD102" s="28"/>
      <c r="BG102" s="24"/>
      <c r="BH102" s="28"/>
    </row>
    <row r="103" spans="1:69" ht="13.5" customHeight="1">
      <c r="A103" s="22"/>
      <c r="B103" s="202">
        <v>36</v>
      </c>
      <c r="C103" s="331"/>
      <c r="D103" s="332"/>
      <c r="E103" s="65"/>
      <c r="F103" s="65"/>
      <c r="G103" s="65"/>
      <c r="H103" s="65"/>
      <c r="I103" s="65"/>
      <c r="J103" s="1067"/>
      <c r="K103" s="1067"/>
      <c r="L103" s="1067"/>
      <c r="M103" s="1067"/>
      <c r="N103" s="63"/>
      <c r="O103" s="65"/>
      <c r="P103" s="65"/>
      <c r="Q103" s="65"/>
      <c r="R103" s="28"/>
      <c r="S103" s="28"/>
      <c r="T103" s="31"/>
      <c r="U103" s="31"/>
      <c r="V103" s="31"/>
      <c r="W103" s="31"/>
      <c r="X103" s="31"/>
      <c r="Y103" s="44"/>
      <c r="Z103" s="31"/>
      <c r="AA103" s="28"/>
      <c r="AB103" s="44"/>
      <c r="AC103" s="31"/>
      <c r="AD103" s="28"/>
      <c r="AE103" s="44"/>
      <c r="AF103" s="28"/>
      <c r="AG103" s="116"/>
      <c r="AH103" s="41"/>
      <c r="AI103" s="116"/>
      <c r="AJ103" s="116"/>
      <c r="AK103" s="116"/>
      <c r="AL103" s="116"/>
      <c r="AM103" s="116"/>
      <c r="AN103" s="116"/>
      <c r="AO103" s="116"/>
      <c r="AP103" s="116"/>
      <c r="AQ103" s="116"/>
      <c r="AR103" s="116"/>
      <c r="AS103" s="116"/>
      <c r="AT103" s="116"/>
      <c r="AU103" s="116"/>
      <c r="AV103" s="116"/>
      <c r="AW103" s="116"/>
      <c r="AX103" s="116"/>
      <c r="AY103" s="116"/>
      <c r="AZ103" s="33"/>
      <c r="BA103" s="46"/>
      <c r="BB103" s="78"/>
      <c r="BC103" s="34"/>
      <c r="BD103" s="28"/>
      <c r="BG103" s="24"/>
      <c r="BH103" s="28"/>
    </row>
    <row r="104" spans="1:69" ht="13.5" customHeight="1">
      <c r="A104" s="22"/>
      <c r="B104" s="202">
        <v>37</v>
      </c>
      <c r="C104" s="331"/>
      <c r="D104" s="332"/>
      <c r="E104" s="65"/>
      <c r="F104" s="65"/>
      <c r="G104" s="65"/>
      <c r="H104" s="65"/>
      <c r="I104" s="65"/>
      <c r="J104" s="1067"/>
      <c r="K104" s="1067"/>
      <c r="L104" s="1067"/>
      <c r="M104" s="1067"/>
      <c r="N104" s="193"/>
      <c r="O104" s="195"/>
      <c r="P104" s="193"/>
      <c r="Q104" s="194"/>
      <c r="R104" s="194"/>
      <c r="S104" s="194"/>
      <c r="T104" s="196"/>
      <c r="U104" s="196"/>
      <c r="V104" s="196"/>
      <c r="W104" s="196"/>
      <c r="X104" s="196"/>
      <c r="Y104" s="195"/>
      <c r="Z104" s="196"/>
      <c r="AA104" s="194"/>
      <c r="AB104" s="195"/>
      <c r="AC104" s="196"/>
      <c r="AD104" s="194"/>
      <c r="AE104" s="195"/>
      <c r="AF104" s="194"/>
      <c r="AG104" s="194"/>
      <c r="AH104" s="195"/>
      <c r="AI104" s="194"/>
      <c r="AJ104" s="194"/>
      <c r="AK104" s="197"/>
      <c r="AL104" s="194"/>
      <c r="AM104" s="194"/>
      <c r="AN104" s="194"/>
      <c r="AO104" s="194"/>
      <c r="AP104" s="194"/>
      <c r="AQ104" s="194"/>
      <c r="AR104" s="194"/>
      <c r="AS104" s="194"/>
      <c r="AT104" s="194"/>
      <c r="AU104" s="194"/>
      <c r="AV104" s="194"/>
      <c r="AW104" s="194"/>
      <c r="AX104" s="194"/>
      <c r="AY104" s="194"/>
      <c r="AZ104" s="33"/>
      <c r="BA104" s="46"/>
      <c r="BB104" s="78"/>
      <c r="BC104" s="34"/>
      <c r="BD104" s="28"/>
      <c r="BG104" s="24"/>
      <c r="BH104" s="28"/>
    </row>
    <row r="105" spans="1:69">
      <c r="A105" s="22"/>
      <c r="B105" s="32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81"/>
      <c r="T105" s="81"/>
      <c r="U105" s="81"/>
      <c r="V105" s="81"/>
      <c r="W105" s="28"/>
      <c r="X105" s="28"/>
      <c r="Y105" s="81"/>
      <c r="Z105" s="81"/>
      <c r="AA105" s="28"/>
      <c r="AB105" s="28"/>
      <c r="AC105" s="28"/>
      <c r="AD105" s="81"/>
      <c r="AE105" s="81"/>
      <c r="AF105" s="81"/>
      <c r="AG105" s="81"/>
      <c r="AH105" s="81"/>
      <c r="AI105" s="81"/>
      <c r="AJ105" s="81"/>
      <c r="AK105" s="81"/>
      <c r="AL105" s="81"/>
      <c r="AM105" s="81"/>
      <c r="AN105" s="81"/>
      <c r="AO105" s="81"/>
      <c r="AP105" s="81"/>
      <c r="AQ105" s="81"/>
      <c r="AR105" s="81"/>
      <c r="AS105" s="81"/>
      <c r="AT105" s="81"/>
      <c r="AU105" s="81"/>
      <c r="AV105" s="81"/>
      <c r="AW105" s="81"/>
      <c r="AX105" s="81"/>
      <c r="AY105" s="31"/>
      <c r="AZ105" s="33"/>
      <c r="BA105" s="46"/>
      <c r="BB105" s="78"/>
      <c r="BC105" s="34"/>
    </row>
    <row r="106" spans="1:69" s="81" customFormat="1">
      <c r="A106" s="155"/>
      <c r="B106" s="95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  <c r="O106" s="110"/>
      <c r="P106" s="110"/>
      <c r="Q106" s="110"/>
      <c r="R106" s="110"/>
      <c r="S106" s="156"/>
      <c r="T106" s="156"/>
      <c r="U106" s="156"/>
      <c r="V106" s="156"/>
      <c r="W106" s="110"/>
      <c r="X106" s="110"/>
      <c r="Y106" s="156"/>
      <c r="Z106" s="156"/>
      <c r="AA106" s="110"/>
      <c r="AB106" s="110"/>
      <c r="AC106" s="110"/>
      <c r="AD106" s="156"/>
      <c r="AE106" s="156"/>
      <c r="AF106" s="156"/>
      <c r="AG106" s="156"/>
      <c r="AH106" s="156"/>
      <c r="AI106" s="156"/>
      <c r="AJ106" s="156"/>
      <c r="AK106" s="156"/>
      <c r="AL106" s="156"/>
      <c r="AM106" s="156"/>
      <c r="AN106" s="156"/>
      <c r="AO106" s="156"/>
      <c r="AP106" s="156"/>
      <c r="AQ106" s="156"/>
      <c r="AR106" s="156"/>
      <c r="AS106" s="156"/>
      <c r="AT106" s="156"/>
      <c r="AU106" s="156"/>
      <c r="AV106" s="156"/>
      <c r="AW106" s="156"/>
      <c r="AX106" s="156"/>
      <c r="AY106" s="95"/>
      <c r="AZ106" s="95"/>
      <c r="BA106" s="157"/>
      <c r="BB106" s="79"/>
      <c r="BC106" s="40"/>
      <c r="BE106" s="28"/>
      <c r="BF106" s="28"/>
      <c r="BG106" s="28"/>
      <c r="BH106" s="35"/>
      <c r="BI106" s="35"/>
      <c r="BJ106" s="35"/>
      <c r="BK106" s="35"/>
      <c r="BL106" s="35"/>
      <c r="BM106" s="35"/>
      <c r="BN106" s="35"/>
      <c r="BO106" s="35"/>
      <c r="BP106" s="35"/>
      <c r="BQ106" s="35"/>
    </row>
  </sheetData>
  <mergeCells count="86">
    <mergeCell ref="J86:M86"/>
    <mergeCell ref="J94:M94"/>
    <mergeCell ref="J103:M103"/>
    <mergeCell ref="J104:M104"/>
    <mergeCell ref="AM42:AP42"/>
    <mergeCell ref="AM43:AP43"/>
    <mergeCell ref="AO57:AR57"/>
    <mergeCell ref="AO58:AR58"/>
    <mergeCell ref="J68:M68"/>
    <mergeCell ref="J70:M70"/>
    <mergeCell ref="J77:M77"/>
    <mergeCell ref="X64:AA64"/>
    <mergeCell ref="AB64:AF64"/>
    <mergeCell ref="AG64:AJ64"/>
    <mergeCell ref="J78:M78"/>
    <mergeCell ref="J80:M80"/>
    <mergeCell ref="AK64:AN64"/>
    <mergeCell ref="AO64:AR64"/>
    <mergeCell ref="AS64:AV64"/>
    <mergeCell ref="BE57:BG57"/>
    <mergeCell ref="T58:W58"/>
    <mergeCell ref="X58:AA58"/>
    <mergeCell ref="AB58:AF58"/>
    <mergeCell ref="AG58:AJ58"/>
    <mergeCell ref="AK58:AN58"/>
    <mergeCell ref="AS58:AV58"/>
    <mergeCell ref="BE58:BG58"/>
    <mergeCell ref="BA57:BD57"/>
    <mergeCell ref="BA58:BD58"/>
    <mergeCell ref="AW64:AZ64"/>
    <mergeCell ref="BA64:BD64"/>
    <mergeCell ref="AS61:AV61"/>
    <mergeCell ref="AQ43:AT43"/>
    <mergeCell ref="AU43:AW43"/>
    <mergeCell ref="T57:W57"/>
    <mergeCell ref="X57:AA57"/>
    <mergeCell ref="AB57:AF57"/>
    <mergeCell ref="AG57:AJ57"/>
    <mergeCell ref="AK57:AN57"/>
    <mergeCell ref="AS57:AV57"/>
    <mergeCell ref="R43:U43"/>
    <mergeCell ref="V43:Y43"/>
    <mergeCell ref="Z43:AC43"/>
    <mergeCell ref="AD43:AG43"/>
    <mergeCell ref="AH43:AL43"/>
    <mergeCell ref="A5:BA5"/>
    <mergeCell ref="BB5:BC5"/>
    <mergeCell ref="R42:U42"/>
    <mergeCell ref="V42:Y42"/>
    <mergeCell ref="Z42:AC42"/>
    <mergeCell ref="AD42:AG42"/>
    <mergeCell ref="AH42:AL42"/>
    <mergeCell ref="AQ42:AT42"/>
    <mergeCell ref="AU42:AW42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W61:AZ61"/>
    <mergeCell ref="BA61:BD61"/>
    <mergeCell ref="X61:AA61"/>
    <mergeCell ref="AB61:AF61"/>
    <mergeCell ref="AG61:AJ61"/>
    <mergeCell ref="AK61:AN61"/>
    <mergeCell ref="AO61:AR61"/>
  </mergeCells>
  <phoneticPr fontId="54"/>
  <conditionalFormatting sqref="AO61:AV61">
    <cfRule type="cellIs" dxfId="29" priority="1" operator="lessThan">
      <formula>0</formula>
    </cfRule>
    <cfRule type="expression" dxfId="28" priority="2">
      <formula>$AK$64&lt;30</formula>
    </cfRule>
  </conditionalFormatting>
  <conditionalFormatting sqref="AO64:AV64">
    <cfRule type="cellIs" dxfId="27" priority="6" operator="lessThan">
      <formula>0</formula>
    </cfRule>
    <cfRule type="expression" dxfId="26" priority="10">
      <formula>$AK$64&lt;30</formula>
    </cfRule>
  </conditionalFormatting>
  <conditionalFormatting sqref="AS57:AV58">
    <cfRule type="cellIs" dxfId="25" priority="8" operator="lessThan">
      <formula>0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2DBC6-994B-4366-A549-4789C391367A}">
  <dimension ref="A1:BV116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.5"/>
  <cols>
    <col min="1" max="18" width="2.625" style="35" customWidth="1"/>
    <col min="19" max="22" width="2.625" style="25" customWidth="1"/>
    <col min="23" max="24" width="2.625" style="35" customWidth="1"/>
    <col min="25" max="26" width="2.625" style="25" customWidth="1"/>
    <col min="27" max="29" width="2.625" style="35" customWidth="1"/>
    <col min="30" max="55" width="2.625" style="25" customWidth="1"/>
    <col min="56" max="56" width="2.625" style="81" customWidth="1"/>
    <col min="57" max="59" width="2.625" style="28" customWidth="1"/>
    <col min="60" max="128" width="2.625" style="35" customWidth="1"/>
    <col min="129" max="16384" width="9" style="35"/>
  </cols>
  <sheetData>
    <row r="1" spans="1:59" ht="12" customHeight="1">
      <c r="A1" s="846" t="s">
        <v>4</v>
      </c>
      <c r="B1" s="846"/>
      <c r="C1" s="846"/>
      <c r="D1" s="846"/>
      <c r="E1" s="846"/>
      <c r="F1" s="846"/>
      <c r="G1" s="846"/>
      <c r="H1" s="846"/>
      <c r="I1" s="829" t="s">
        <v>5</v>
      </c>
      <c r="J1" s="829"/>
      <c r="K1" s="829"/>
      <c r="L1" s="829"/>
      <c r="M1" s="844" t="str">
        <f>変更来歴!M1</f>
        <v>ヒロセ電機株式会社</v>
      </c>
      <c r="N1" s="844"/>
      <c r="O1" s="844"/>
      <c r="P1" s="844"/>
      <c r="Q1" s="844"/>
      <c r="R1" s="844"/>
      <c r="S1" s="844"/>
      <c r="T1" s="844"/>
      <c r="U1" s="844"/>
      <c r="V1" s="844"/>
      <c r="W1" s="844"/>
      <c r="X1" s="829" t="s">
        <v>7</v>
      </c>
      <c r="Y1" s="829"/>
      <c r="Z1" s="829"/>
      <c r="AA1" s="848" t="str">
        <f>変更来歴!AA1</f>
        <v>契約書DB</v>
      </c>
      <c r="AB1" s="848"/>
      <c r="AC1" s="848"/>
      <c r="AD1" s="848"/>
      <c r="AE1" s="848"/>
      <c r="AF1" s="848"/>
      <c r="AG1" s="848"/>
      <c r="AH1" s="848"/>
      <c r="AI1" s="848"/>
      <c r="AJ1" s="848"/>
      <c r="AK1" s="833" t="s">
        <v>8</v>
      </c>
      <c r="AL1" s="833"/>
      <c r="AM1" s="833"/>
      <c r="AN1" s="834" t="str">
        <f>変更来歴!AP7</f>
        <v>古竹</v>
      </c>
      <c r="AO1" s="834"/>
      <c r="AP1" s="834"/>
      <c r="AQ1" s="834"/>
      <c r="AR1" s="834"/>
      <c r="AS1" s="833" t="s">
        <v>9</v>
      </c>
      <c r="AT1" s="833"/>
      <c r="AU1" s="833"/>
      <c r="AV1" s="836">
        <f>変更来歴!AL7</f>
        <v>46125</v>
      </c>
      <c r="AW1" s="849"/>
      <c r="AX1" s="849"/>
      <c r="AY1" s="849"/>
      <c r="AZ1" s="825" t="s">
        <v>10</v>
      </c>
      <c r="BA1" s="826"/>
      <c r="BB1" s="826"/>
      <c r="BC1" s="827"/>
    </row>
    <row r="2" spans="1:59">
      <c r="A2" s="828" t="s">
        <v>16</v>
      </c>
      <c r="B2" s="828"/>
      <c r="C2" s="828"/>
      <c r="D2" s="828"/>
      <c r="E2" s="828"/>
      <c r="F2" s="828"/>
      <c r="G2" s="828"/>
      <c r="H2" s="828"/>
      <c r="I2" s="829" t="s">
        <v>11</v>
      </c>
      <c r="J2" s="829"/>
      <c r="K2" s="829"/>
      <c r="L2" s="829"/>
      <c r="M2" s="862" t="str">
        <f>変更来歴!M2</f>
        <v>　</v>
      </c>
      <c r="N2" s="862"/>
      <c r="O2" s="862"/>
      <c r="P2" s="862"/>
      <c r="Q2" s="862"/>
      <c r="R2" s="862"/>
      <c r="S2" s="862"/>
      <c r="T2" s="862"/>
      <c r="U2" s="862"/>
      <c r="V2" s="862"/>
      <c r="W2" s="862"/>
      <c r="X2" s="829"/>
      <c r="Y2" s="829"/>
      <c r="Z2" s="829"/>
      <c r="AA2" s="848"/>
      <c r="AB2" s="848"/>
      <c r="AC2" s="848"/>
      <c r="AD2" s="848"/>
      <c r="AE2" s="848"/>
      <c r="AF2" s="848"/>
      <c r="AG2" s="848"/>
      <c r="AH2" s="848"/>
      <c r="AI2" s="848"/>
      <c r="AJ2" s="848"/>
      <c r="AK2" s="833" t="s">
        <v>12</v>
      </c>
      <c r="AL2" s="833"/>
      <c r="AM2" s="833"/>
      <c r="AN2" s="834" t="str">
        <f ca="1">INDIRECT("変更来歴!AP" &amp; COUNTA(変更来歴!AP7:'変更来歴'!AP39) + 6)</f>
        <v>古竹</v>
      </c>
      <c r="AO2" s="834"/>
      <c r="AP2" s="834"/>
      <c r="AQ2" s="834"/>
      <c r="AR2" s="834"/>
      <c r="AS2" s="833" t="s">
        <v>13</v>
      </c>
      <c r="AT2" s="833"/>
      <c r="AU2" s="833"/>
      <c r="AV2" s="836">
        <f ca="1">INDIRECT("変更来歴!AL" &amp; COUNTA(変更来歴!AL7:'変更来歴'!AL39) + 6)</f>
        <v>46134</v>
      </c>
      <c r="AW2" s="849"/>
      <c r="AX2" s="849"/>
      <c r="AY2" s="849"/>
      <c r="AZ2" s="837" t="str">
        <f>変更来歴!AX2</f>
        <v>IMWF-53</v>
      </c>
      <c r="BA2" s="838"/>
      <c r="BB2" s="838"/>
      <c r="BC2" s="839"/>
    </row>
    <row r="3" spans="1:59" ht="12" customHeight="1">
      <c r="A3" s="843" t="str">
        <f>変更来歴!A3</f>
        <v>画面設計書</v>
      </c>
      <c r="B3" s="843"/>
      <c r="C3" s="843"/>
      <c r="D3" s="843"/>
      <c r="E3" s="843"/>
      <c r="F3" s="843"/>
      <c r="G3" s="843"/>
      <c r="H3" s="843"/>
      <c r="I3" s="829" t="s">
        <v>14</v>
      </c>
      <c r="J3" s="829"/>
      <c r="K3" s="829"/>
      <c r="L3" s="829"/>
      <c r="M3" s="844" t="str">
        <f ca="1">RIGHT(CELL("filename",A1),LEN(CELL("filename",A1))-FIND("]",CELL("filename",A1)))</f>
        <v>円(コリア原計)</v>
      </c>
      <c r="N3" s="844"/>
      <c r="O3" s="844"/>
      <c r="P3" s="844"/>
      <c r="Q3" s="844"/>
      <c r="R3" s="844"/>
      <c r="S3" s="844"/>
      <c r="T3" s="844"/>
      <c r="U3" s="844"/>
      <c r="V3" s="844"/>
      <c r="W3" s="844"/>
      <c r="X3" s="829" t="s">
        <v>27</v>
      </c>
      <c r="Y3" s="829"/>
      <c r="Z3" s="829"/>
      <c r="AA3" s="845" t="str">
        <f ca="1">MID(CELL("filename"),FIND("]",CELL("filename"))+1,LEN(CELL("filename"))) &amp; "画面"</f>
        <v>化学物質データ画面(日英併記)画面</v>
      </c>
      <c r="AB3" s="845"/>
      <c r="AC3" s="845"/>
      <c r="AD3" s="845"/>
      <c r="AE3" s="845"/>
      <c r="AF3" s="845"/>
      <c r="AG3" s="845"/>
      <c r="AH3" s="845"/>
      <c r="AI3" s="845"/>
      <c r="AJ3" s="845"/>
      <c r="AK3" s="845"/>
      <c r="AL3" s="845"/>
      <c r="AM3" s="845"/>
      <c r="AN3" s="845"/>
      <c r="AO3" s="845"/>
      <c r="AP3" s="845"/>
      <c r="AQ3" s="845"/>
      <c r="AR3" s="845"/>
      <c r="AS3" s="833" t="s">
        <v>15</v>
      </c>
      <c r="AT3" s="833"/>
      <c r="AU3" s="833"/>
      <c r="AV3" s="849" t="str">
        <f ca="1">INDIRECT("変更来歴!A" &amp; COUNTA(変更来歴!A7:'変更来歴'!A39) + 6)</f>
        <v>r1.1</v>
      </c>
      <c r="AW3" s="849"/>
      <c r="AX3" s="849"/>
      <c r="AY3" s="849"/>
      <c r="AZ3" s="840"/>
      <c r="BA3" s="841"/>
      <c r="BB3" s="841"/>
      <c r="BC3" s="842"/>
    </row>
    <row r="4" spans="1:59" ht="5.85" customHeight="1"/>
    <row r="5" spans="1:59" ht="13.5" customHeight="1">
      <c r="A5" s="864" t="str">
        <f ca="1">"画面レイアウト"&amp;"("&amp;MID(CELL("filename"),FIND("]",CELL("filename"))+1,LEN(CELL("filename")))&amp;")"</f>
        <v>画面レイアウト(化学物質データ画面(日英併記))</v>
      </c>
      <c r="B5" s="865"/>
      <c r="C5" s="865"/>
      <c r="D5" s="865"/>
      <c r="E5" s="865"/>
      <c r="F5" s="865"/>
      <c r="G5" s="865"/>
      <c r="H5" s="865"/>
      <c r="I5" s="865"/>
      <c r="J5" s="865"/>
      <c r="K5" s="865"/>
      <c r="L5" s="865"/>
      <c r="M5" s="865"/>
      <c r="N5" s="865"/>
      <c r="O5" s="865"/>
      <c r="P5" s="865"/>
      <c r="Q5" s="865"/>
      <c r="R5" s="865"/>
      <c r="S5" s="865"/>
      <c r="T5" s="865"/>
      <c r="U5" s="865"/>
      <c r="V5" s="865"/>
      <c r="W5" s="865"/>
      <c r="X5" s="865"/>
      <c r="Y5" s="865"/>
      <c r="Z5" s="865"/>
      <c r="AA5" s="865"/>
      <c r="AB5" s="865"/>
      <c r="AC5" s="865"/>
      <c r="AD5" s="865"/>
      <c r="AE5" s="865"/>
      <c r="AF5" s="865"/>
      <c r="AG5" s="865"/>
      <c r="AH5" s="865"/>
      <c r="AI5" s="865"/>
      <c r="AJ5" s="865"/>
      <c r="AK5" s="865"/>
      <c r="AL5" s="865"/>
      <c r="AM5" s="865"/>
      <c r="AN5" s="865"/>
      <c r="AO5" s="865"/>
      <c r="AP5" s="865"/>
      <c r="AQ5" s="865"/>
      <c r="AR5" s="865"/>
      <c r="AS5" s="865"/>
      <c r="AT5" s="865"/>
      <c r="AU5" s="865"/>
      <c r="AV5" s="865"/>
      <c r="AW5" s="865"/>
      <c r="AX5" s="865"/>
      <c r="AY5" s="865"/>
      <c r="AZ5" s="865"/>
      <c r="BA5" s="866"/>
      <c r="BB5" s="867" t="s">
        <v>24</v>
      </c>
      <c r="BC5" s="868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48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289</v>
      </c>
      <c r="O7" s="36"/>
      <c r="P7" s="36"/>
      <c r="Q7" s="36"/>
      <c r="R7" s="49" t="s">
        <v>288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49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50</v>
      </c>
      <c r="D10" s="31"/>
      <c r="E10" s="31"/>
      <c r="F10" s="31" t="s">
        <v>54</v>
      </c>
      <c r="G10" s="31"/>
      <c r="H10" s="127" t="s">
        <v>53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51</v>
      </c>
      <c r="D11" s="31"/>
      <c r="E11" s="31"/>
      <c r="F11" s="31" t="s">
        <v>54</v>
      </c>
      <c r="G11" s="31"/>
      <c r="H11" s="75" t="s">
        <v>55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52</v>
      </c>
      <c r="D12" s="31"/>
      <c r="E12" s="31"/>
      <c r="F12" s="31" t="s">
        <v>54</v>
      </c>
      <c r="G12" s="31"/>
      <c r="H12" s="75" t="s">
        <v>56</v>
      </c>
      <c r="I12" s="75"/>
      <c r="J12" s="75"/>
      <c r="K12" s="75"/>
      <c r="L12" s="75" t="s">
        <v>57</v>
      </c>
      <c r="M12" s="75"/>
      <c r="N12" s="75"/>
      <c r="O12" s="75" t="s">
        <v>58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104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0999999999999996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105</v>
      </c>
      <c r="D16" s="28"/>
      <c r="E16" s="28"/>
      <c r="F16" s="28"/>
      <c r="G16" s="28"/>
      <c r="H16" s="255" t="s">
        <v>171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59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60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61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62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63</v>
      </c>
      <c r="U19" s="63"/>
      <c r="V19" s="63"/>
      <c r="W19" s="63"/>
      <c r="X19" s="63"/>
      <c r="Y19" s="124" t="s">
        <v>71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107</v>
      </c>
      <c r="D20" s="31"/>
      <c r="E20" s="31"/>
      <c r="F20" s="31"/>
      <c r="G20" s="31"/>
      <c r="H20" s="58"/>
      <c r="I20" s="59"/>
      <c r="J20" s="59"/>
      <c r="K20" s="59"/>
      <c r="L20" s="299" t="s">
        <v>108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0999999999999996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109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0999999999999996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110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111</v>
      </c>
      <c r="Q25" s="64"/>
      <c r="R25" s="63"/>
      <c r="S25" s="35"/>
      <c r="T25" s="28" t="s">
        <v>120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113</v>
      </c>
      <c r="AH25" s="28"/>
      <c r="AI25" s="28"/>
      <c r="AJ25" s="35"/>
      <c r="AK25" s="28" t="s">
        <v>114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115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112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 t="s">
        <v>116</v>
      </c>
      <c r="S26" s="35"/>
      <c r="T26" s="35"/>
      <c r="U26" s="28"/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35"/>
      <c r="AK26" s="28"/>
      <c r="AL26" s="28"/>
      <c r="AM26" s="28"/>
      <c r="AN26" s="28"/>
      <c r="AO26" s="35"/>
      <c r="AP26" s="102"/>
      <c r="AQ26" s="103"/>
      <c r="AR26" s="103"/>
      <c r="AS26" s="103"/>
      <c r="AT26" s="102"/>
      <c r="AU26" s="104"/>
      <c r="AV26" s="102"/>
      <c r="AW26" s="103"/>
      <c r="AX26" s="63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" customHeight="1">
      <c r="A27" s="22"/>
      <c r="B27" s="256"/>
      <c r="C27" s="284" t="s">
        <v>118</v>
      </c>
      <c r="F27" s="285"/>
      <c r="G27" s="285"/>
      <c r="H27" s="98" t="s">
        <v>123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121</v>
      </c>
      <c r="U27" s="35"/>
      <c r="V27" s="285"/>
      <c r="W27" s="285"/>
      <c r="X27" s="285"/>
      <c r="Y27" s="98" t="s">
        <v>124</v>
      </c>
      <c r="Z27" s="257"/>
      <c r="AA27" s="258"/>
      <c r="AB27" s="258"/>
      <c r="AC27" s="258"/>
      <c r="AD27" s="259"/>
      <c r="AE27" s="258"/>
      <c r="AF27" s="110"/>
      <c r="AG27" s="261" t="s">
        <v>33</v>
      </c>
      <c r="AH27" s="35"/>
      <c r="AI27" s="35"/>
      <c r="AJ27" s="35"/>
      <c r="AK27" s="285" t="s">
        <v>122</v>
      </c>
      <c r="AL27" s="35"/>
      <c r="AM27" s="285"/>
      <c r="AN27" s="35"/>
      <c r="AO27" s="35"/>
      <c r="AP27" s="98" t="s">
        <v>117</v>
      </c>
      <c r="AQ27" s="257"/>
      <c r="AR27" s="258"/>
      <c r="AS27" s="258"/>
      <c r="AT27" s="258"/>
      <c r="AU27" s="259"/>
      <c r="AV27" s="110"/>
      <c r="AW27" s="37"/>
      <c r="AX27" s="262" t="s">
        <v>33</v>
      </c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126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131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94" t="s">
        <v>130</v>
      </c>
      <c r="AH28" s="28"/>
      <c r="AI28" s="28"/>
      <c r="AJ28" s="35"/>
      <c r="AK28" s="28" t="s">
        <v>119</v>
      </c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260" t="s">
        <v>33</v>
      </c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32"/>
      <c r="C29" s="287" t="s">
        <v>125</v>
      </c>
      <c r="D29" s="41"/>
      <c r="E29" s="41"/>
      <c r="F29" s="41"/>
      <c r="G29" s="41"/>
      <c r="H29" s="163"/>
      <c r="I29" s="164"/>
      <c r="J29" s="165"/>
      <c r="K29" s="164"/>
      <c r="L29" s="165"/>
      <c r="M29" s="164"/>
      <c r="N29" s="166"/>
      <c r="O29" s="164"/>
      <c r="P29" s="165"/>
      <c r="Q29" s="165"/>
      <c r="R29" s="165"/>
      <c r="S29" s="167"/>
      <c r="T29" s="167"/>
      <c r="U29" s="167"/>
      <c r="V29" s="167"/>
      <c r="W29" s="167"/>
      <c r="X29" s="166"/>
      <c r="Y29" s="167"/>
      <c r="Z29" s="165"/>
      <c r="AA29" s="166"/>
      <c r="AB29" s="167"/>
      <c r="AC29" s="165"/>
      <c r="AD29" s="166"/>
      <c r="AE29" s="165"/>
      <c r="AF29" s="165"/>
      <c r="AG29" s="166"/>
      <c r="AH29" s="165"/>
      <c r="AI29" s="165"/>
      <c r="AJ29" s="168"/>
      <c r="AK29" s="165"/>
      <c r="AL29" s="165"/>
      <c r="AM29" s="165"/>
      <c r="AN29" s="165"/>
      <c r="AO29" s="165"/>
      <c r="AP29" s="165"/>
      <c r="AQ29" s="165"/>
      <c r="AR29" s="165"/>
      <c r="AS29" s="165"/>
      <c r="AT29" s="165"/>
      <c r="AU29" s="165"/>
      <c r="AV29" s="165"/>
      <c r="AW29" s="165"/>
      <c r="AX29" s="160" t="s">
        <v>37</v>
      </c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/>
      <c r="D30" s="41"/>
      <c r="E30" s="41"/>
      <c r="F30" s="41"/>
      <c r="G30" s="41"/>
      <c r="H30" s="169"/>
      <c r="I30" s="170"/>
      <c r="J30" s="171"/>
      <c r="K30" s="170"/>
      <c r="L30" s="171"/>
      <c r="M30" s="170"/>
      <c r="N30" s="172"/>
      <c r="O30" s="170"/>
      <c r="P30" s="171"/>
      <c r="Q30" s="171"/>
      <c r="R30" s="171"/>
      <c r="S30" s="173"/>
      <c r="T30" s="173"/>
      <c r="U30" s="173"/>
      <c r="V30" s="173"/>
      <c r="W30" s="173"/>
      <c r="X30" s="172"/>
      <c r="Y30" s="173"/>
      <c r="Z30" s="171"/>
      <c r="AA30" s="172"/>
      <c r="AB30" s="173"/>
      <c r="AC30" s="171"/>
      <c r="AD30" s="172"/>
      <c r="AE30" s="171"/>
      <c r="AF30" s="171"/>
      <c r="AG30" s="172"/>
      <c r="AH30" s="171"/>
      <c r="AI30" s="171"/>
      <c r="AJ30" s="174"/>
      <c r="AK30" s="171"/>
      <c r="AL30" s="171"/>
      <c r="AM30" s="171"/>
      <c r="AN30" s="171"/>
      <c r="AO30" s="171"/>
      <c r="AP30" s="171"/>
      <c r="AQ30" s="171"/>
      <c r="AR30" s="171"/>
      <c r="AS30" s="171"/>
      <c r="AT30" s="171"/>
      <c r="AU30" s="171"/>
      <c r="AV30" s="171"/>
      <c r="AW30" s="171"/>
      <c r="AX30" s="122" t="s">
        <v>33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 t="s">
        <v>127</v>
      </c>
      <c r="D31" s="41"/>
      <c r="E31" s="41"/>
      <c r="F31" s="41"/>
      <c r="G31" s="41"/>
      <c r="H31" s="163" t="s">
        <v>172</v>
      </c>
      <c r="I31" s="164"/>
      <c r="J31" s="165"/>
      <c r="K31" s="164"/>
      <c r="L31" s="165"/>
      <c r="M31" s="164"/>
      <c r="N31" s="166"/>
      <c r="O31" s="164"/>
      <c r="P31" s="165"/>
      <c r="Q31" s="165"/>
      <c r="R31" s="165"/>
      <c r="S31" s="167"/>
      <c r="T31" s="167"/>
      <c r="U31" s="167"/>
      <c r="V31" s="167"/>
      <c r="W31" s="167"/>
      <c r="X31" s="166"/>
      <c r="Y31" s="167"/>
      <c r="Z31" s="165"/>
      <c r="AA31" s="166"/>
      <c r="AB31" s="167"/>
      <c r="AC31" s="165"/>
      <c r="AD31" s="166"/>
      <c r="AE31" s="165"/>
      <c r="AF31" s="165"/>
      <c r="AG31" s="166"/>
      <c r="AH31" s="165"/>
      <c r="AI31" s="165"/>
      <c r="AJ31" s="168"/>
      <c r="AK31" s="165"/>
      <c r="AL31" s="165"/>
      <c r="AM31" s="165"/>
      <c r="AN31" s="165"/>
      <c r="AO31" s="165"/>
      <c r="AP31" s="165"/>
      <c r="AQ31" s="165"/>
      <c r="AR31" s="165"/>
      <c r="AS31" s="165"/>
      <c r="AT31" s="165"/>
      <c r="AU31" s="165"/>
      <c r="AV31" s="165"/>
      <c r="AW31" s="165"/>
      <c r="AX31" s="160" t="s">
        <v>37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/>
      <c r="D32" s="41"/>
      <c r="E32" s="41"/>
      <c r="F32" s="41"/>
      <c r="G32" s="41"/>
      <c r="H32" s="169"/>
      <c r="I32" s="170"/>
      <c r="J32" s="171"/>
      <c r="K32" s="170"/>
      <c r="L32" s="171"/>
      <c r="M32" s="170"/>
      <c r="N32" s="172"/>
      <c r="O32" s="170"/>
      <c r="P32" s="171"/>
      <c r="Q32" s="171"/>
      <c r="R32" s="171"/>
      <c r="S32" s="173"/>
      <c r="T32" s="173"/>
      <c r="U32" s="173"/>
      <c r="V32" s="173"/>
      <c r="W32" s="173"/>
      <c r="X32" s="172"/>
      <c r="Y32" s="173"/>
      <c r="Z32" s="171"/>
      <c r="AA32" s="172"/>
      <c r="AB32" s="173"/>
      <c r="AC32" s="171"/>
      <c r="AD32" s="172"/>
      <c r="AE32" s="171"/>
      <c r="AF32" s="171"/>
      <c r="AG32" s="172"/>
      <c r="AH32" s="171"/>
      <c r="AI32" s="171"/>
      <c r="AJ32" s="174"/>
      <c r="AK32" s="171"/>
      <c r="AL32" s="171"/>
      <c r="AM32" s="171"/>
      <c r="AN32" s="171"/>
      <c r="AO32" s="171"/>
      <c r="AP32" s="171"/>
      <c r="AQ32" s="171"/>
      <c r="AR32" s="171"/>
      <c r="AS32" s="171"/>
      <c r="AT32" s="171"/>
      <c r="AU32" s="171"/>
      <c r="AV32" s="171"/>
      <c r="AW32" s="171"/>
      <c r="AX32" s="122" t="s">
        <v>33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74" ht="13.5" customHeight="1">
      <c r="A33" s="22"/>
      <c r="B33" s="32"/>
      <c r="C33" s="287" t="s">
        <v>128</v>
      </c>
      <c r="D33" s="41"/>
      <c r="E33" s="41"/>
      <c r="F33" s="41"/>
      <c r="G33" s="41"/>
      <c r="H33" s="163"/>
      <c r="I33" s="164"/>
      <c r="J33" s="165"/>
      <c r="K33" s="164"/>
      <c r="L33" s="165"/>
      <c r="M33" s="164"/>
      <c r="N33" s="166"/>
      <c r="O33" s="164"/>
      <c r="P33" s="165"/>
      <c r="Q33" s="165"/>
      <c r="R33" s="165"/>
      <c r="S33" s="167"/>
      <c r="T33" s="167"/>
      <c r="U33" s="167"/>
      <c r="V33" s="167"/>
      <c r="W33" s="167"/>
      <c r="X33" s="166"/>
      <c r="Y33" s="167"/>
      <c r="Z33" s="165"/>
      <c r="AA33" s="166"/>
      <c r="AB33" s="167"/>
      <c r="AC33" s="165"/>
      <c r="AD33" s="166"/>
      <c r="AE33" s="165"/>
      <c r="AF33" s="165"/>
      <c r="AG33" s="166"/>
      <c r="AH33" s="165"/>
      <c r="AI33" s="165"/>
      <c r="AJ33" s="168"/>
      <c r="AK33" s="165"/>
      <c r="AL33" s="165"/>
      <c r="AM33" s="165"/>
      <c r="AN33" s="165"/>
      <c r="AO33" s="165"/>
      <c r="AP33" s="165"/>
      <c r="AQ33" s="165"/>
      <c r="AR33" s="165"/>
      <c r="AS33" s="165"/>
      <c r="AT33" s="165"/>
      <c r="AU33" s="165"/>
      <c r="AV33" s="165"/>
      <c r="AW33" s="165"/>
      <c r="AX33" s="160" t="s">
        <v>37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74" ht="13.5" customHeight="1">
      <c r="A34" s="22"/>
      <c r="B34" s="32"/>
      <c r="C34" s="287"/>
      <c r="D34" s="41"/>
      <c r="E34" s="41"/>
      <c r="F34" s="41"/>
      <c r="G34" s="41"/>
      <c r="H34" s="169"/>
      <c r="I34" s="170"/>
      <c r="J34" s="171"/>
      <c r="K34" s="170"/>
      <c r="L34" s="171"/>
      <c r="M34" s="170"/>
      <c r="N34" s="172"/>
      <c r="O34" s="170"/>
      <c r="P34" s="171"/>
      <c r="Q34" s="171"/>
      <c r="R34" s="171"/>
      <c r="S34" s="173"/>
      <c r="T34" s="173"/>
      <c r="U34" s="173"/>
      <c r="V34" s="173"/>
      <c r="W34" s="173"/>
      <c r="X34" s="172"/>
      <c r="Y34" s="173"/>
      <c r="Z34" s="171"/>
      <c r="AA34" s="172"/>
      <c r="AB34" s="173"/>
      <c r="AC34" s="171"/>
      <c r="AD34" s="172"/>
      <c r="AE34" s="171"/>
      <c r="AF34" s="171"/>
      <c r="AG34" s="172"/>
      <c r="AH34" s="171"/>
      <c r="AI34" s="171"/>
      <c r="AJ34" s="174"/>
      <c r="AK34" s="171"/>
      <c r="AL34" s="171"/>
      <c r="AM34" s="171"/>
      <c r="AN34" s="171"/>
      <c r="AO34" s="171"/>
      <c r="AP34" s="171"/>
      <c r="AQ34" s="171"/>
      <c r="AR34" s="171"/>
      <c r="AS34" s="171"/>
      <c r="AT34" s="171"/>
      <c r="AU34" s="171"/>
      <c r="AV34" s="171"/>
      <c r="AW34" s="171"/>
      <c r="AX34" s="122" t="s">
        <v>33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74" ht="5.0999999999999996" customHeight="1">
      <c r="A35" s="22"/>
      <c r="B35" s="32"/>
      <c r="C35" s="288"/>
      <c r="D35" s="289"/>
      <c r="E35" s="289"/>
      <c r="F35" s="289"/>
      <c r="G35" s="289"/>
      <c r="H35" s="290"/>
      <c r="I35" s="290"/>
      <c r="J35" s="291"/>
      <c r="K35" s="290"/>
      <c r="L35" s="291"/>
      <c r="M35" s="290"/>
      <c r="N35" s="292"/>
      <c r="O35" s="290"/>
      <c r="P35" s="291"/>
      <c r="Q35" s="291"/>
      <c r="R35" s="291"/>
      <c r="S35" s="293"/>
      <c r="T35" s="293"/>
      <c r="U35" s="293"/>
      <c r="V35" s="293"/>
      <c r="W35" s="293"/>
      <c r="X35" s="292"/>
      <c r="Y35" s="293"/>
      <c r="Z35" s="291"/>
      <c r="AA35" s="292"/>
      <c r="AB35" s="293"/>
      <c r="AC35" s="291"/>
      <c r="AD35" s="292"/>
      <c r="AE35" s="291"/>
      <c r="AF35" s="291"/>
      <c r="AG35" s="292"/>
      <c r="AH35" s="291"/>
      <c r="AI35" s="291"/>
      <c r="AJ35" s="294"/>
      <c r="AK35" s="291"/>
      <c r="AL35" s="291"/>
      <c r="AM35" s="291"/>
      <c r="AN35" s="291"/>
      <c r="AO35" s="291"/>
      <c r="AP35" s="291"/>
      <c r="AQ35" s="291"/>
      <c r="AR35" s="291"/>
      <c r="AS35" s="291"/>
      <c r="AT35" s="291"/>
      <c r="AU35" s="291"/>
      <c r="AV35" s="291"/>
      <c r="AW35" s="291"/>
      <c r="AX35" s="276"/>
      <c r="AY35" s="295"/>
      <c r="AZ35" s="33"/>
      <c r="BA35" s="46"/>
      <c r="BB35" s="78"/>
      <c r="BC35" s="34"/>
      <c r="BD35" s="28"/>
      <c r="BE35" s="35"/>
      <c r="BF35" s="35"/>
      <c r="BG35" s="35"/>
    </row>
    <row r="36" spans="1:74" ht="13.5" customHeight="1">
      <c r="A36" s="22"/>
      <c r="B36" s="32"/>
      <c r="C36" s="41"/>
      <c r="D36" s="41"/>
      <c r="E36" s="41"/>
      <c r="F36" s="41"/>
      <c r="G36" s="41"/>
      <c r="H36" s="364"/>
      <c r="I36" s="364"/>
      <c r="J36" s="365"/>
      <c r="K36" s="364"/>
      <c r="L36" s="365"/>
      <c r="M36" s="364"/>
      <c r="N36" s="366"/>
      <c r="O36" s="364"/>
      <c r="P36" s="365"/>
      <c r="Q36" s="365"/>
      <c r="R36" s="365"/>
      <c r="S36" s="367"/>
      <c r="T36" s="367"/>
      <c r="U36" s="367"/>
      <c r="V36" s="367"/>
      <c r="W36" s="367"/>
      <c r="X36" s="366"/>
      <c r="Y36" s="367"/>
      <c r="Z36" s="365"/>
      <c r="AA36" s="366"/>
      <c r="AB36" s="367"/>
      <c r="AC36" s="365"/>
      <c r="AD36" s="366"/>
      <c r="AE36" s="365"/>
      <c r="AF36" s="365"/>
      <c r="AG36" s="366"/>
      <c r="AH36" s="365"/>
      <c r="AI36" s="365"/>
      <c r="AJ36" s="368"/>
      <c r="AK36" s="365"/>
      <c r="AL36" s="365"/>
      <c r="AM36" s="365"/>
      <c r="AN36" s="365"/>
      <c r="AO36" s="365"/>
      <c r="AP36" s="365"/>
      <c r="AQ36" s="365"/>
      <c r="AR36" s="365"/>
      <c r="AS36" s="365"/>
      <c r="AT36" s="365"/>
      <c r="AU36" s="365"/>
      <c r="AV36" s="365"/>
      <c r="AW36" s="365"/>
      <c r="AX36" s="280"/>
      <c r="AY36" s="279"/>
      <c r="AZ36" s="33"/>
      <c r="BA36" s="46"/>
      <c r="BB36" s="78"/>
      <c r="BC36" s="34"/>
      <c r="BD36" s="28"/>
      <c r="BE36" s="35"/>
      <c r="BF36" s="35"/>
      <c r="BG36" s="35"/>
    </row>
    <row r="37" spans="1:74" ht="13.5" customHeight="1">
      <c r="A37" s="22"/>
      <c r="B37" s="202">
        <v>5</v>
      </c>
      <c r="C37" s="204" t="s">
        <v>266</v>
      </c>
      <c r="D37" s="28"/>
      <c r="E37" s="28"/>
      <c r="F37" s="28"/>
      <c r="G37" s="28"/>
      <c r="H37" s="121"/>
      <c r="I37" s="62"/>
      <c r="J37" s="62"/>
      <c r="K37" s="63"/>
      <c r="L37" s="69"/>
      <c r="M37" s="69"/>
      <c r="N37" s="65"/>
      <c r="O37" s="69"/>
      <c r="P37" s="65"/>
      <c r="Q37" s="65"/>
      <c r="R37" s="69"/>
      <c r="S37" s="28"/>
      <c r="T37" s="28"/>
      <c r="U37" s="28"/>
      <c r="V37" s="28"/>
      <c r="W37" s="28"/>
      <c r="X37" s="121"/>
      <c r="Y37" s="62"/>
      <c r="Z37" s="63"/>
      <c r="AA37" s="62"/>
      <c r="AB37" s="63"/>
      <c r="AC37" s="69"/>
      <c r="AD37" s="69"/>
      <c r="AE37" s="65"/>
      <c r="AF37" s="69"/>
      <c r="AG37" s="65"/>
      <c r="AH37" s="69"/>
      <c r="AI37" s="64"/>
      <c r="AJ37" s="69"/>
      <c r="AK37" s="65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33"/>
      <c r="AW37" s="28"/>
      <c r="AX37" s="28"/>
      <c r="AY37" s="31"/>
      <c r="AZ37" s="33"/>
      <c r="BA37" s="46"/>
      <c r="BB37" s="159"/>
      <c r="BC37" s="115"/>
      <c r="BD37" s="28"/>
    </row>
    <row r="38" spans="1:74" ht="5.0999999999999996" customHeight="1">
      <c r="A38" s="22"/>
      <c r="B38" s="202"/>
      <c r="C38" s="296"/>
      <c r="D38" s="72"/>
      <c r="E38" s="72"/>
      <c r="F38" s="72"/>
      <c r="G38" s="72"/>
      <c r="H38" s="297"/>
      <c r="I38" s="278"/>
      <c r="J38" s="278"/>
      <c r="K38" s="279"/>
      <c r="L38" s="298"/>
      <c r="M38" s="298"/>
      <c r="N38" s="263"/>
      <c r="O38" s="298"/>
      <c r="P38" s="263"/>
      <c r="Q38" s="263"/>
      <c r="R38" s="298"/>
      <c r="S38" s="72"/>
      <c r="T38" s="72"/>
      <c r="U38" s="72"/>
      <c r="V38" s="72"/>
      <c r="W38" s="72"/>
      <c r="X38" s="297"/>
      <c r="Y38" s="278"/>
      <c r="Z38" s="279"/>
      <c r="AA38" s="278"/>
      <c r="AB38" s="279"/>
      <c r="AC38" s="298"/>
      <c r="AD38" s="298"/>
      <c r="AE38" s="263"/>
      <c r="AF38" s="298"/>
      <c r="AG38" s="263"/>
      <c r="AH38" s="298"/>
      <c r="AI38" s="280"/>
      <c r="AJ38" s="298"/>
      <c r="AK38" s="263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300"/>
      <c r="AW38" s="72"/>
      <c r="AX38" s="72"/>
      <c r="AY38" s="265"/>
      <c r="AZ38" s="33"/>
      <c r="BA38" s="46"/>
      <c r="BB38" s="159"/>
      <c r="BC38" s="115"/>
      <c r="BD38" s="28"/>
    </row>
    <row r="39" spans="1:74" ht="13.9" customHeight="1">
      <c r="A39" s="22"/>
      <c r="B39" s="202"/>
      <c r="C39" s="501" t="s">
        <v>284</v>
      </c>
      <c r="D39" s="28"/>
      <c r="E39" s="28"/>
      <c r="F39" s="28"/>
      <c r="G39" s="86" t="s">
        <v>279</v>
      </c>
      <c r="H39" s="86"/>
      <c r="I39" s="86"/>
      <c r="J39" s="86"/>
      <c r="K39" s="86"/>
      <c r="L39" s="322"/>
      <c r="M39" s="75"/>
      <c r="N39" s="65"/>
      <c r="O39" s="69"/>
      <c r="P39" s="65"/>
      <c r="Q39" s="65"/>
      <c r="R39" s="69"/>
      <c r="S39" s="28"/>
      <c r="T39" s="28"/>
      <c r="U39" s="28"/>
      <c r="V39" s="28"/>
      <c r="W39" s="28"/>
      <c r="X39" s="121"/>
      <c r="Y39" s="62"/>
      <c r="Z39" s="63"/>
      <c r="AA39" s="62"/>
      <c r="AB39" s="63"/>
      <c r="AC39" s="69"/>
      <c r="AD39" s="69"/>
      <c r="AE39" s="65"/>
      <c r="AF39" s="69"/>
      <c r="AG39" s="65"/>
      <c r="AH39" s="69"/>
      <c r="AI39" s="64"/>
      <c r="AJ39" s="69"/>
      <c r="AK39" s="65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33"/>
      <c r="AW39" s="28"/>
      <c r="AX39" s="28"/>
      <c r="AY39" s="267"/>
      <c r="AZ39" s="33"/>
      <c r="BA39" s="46"/>
      <c r="BB39" s="159"/>
      <c r="BC39" s="115"/>
      <c r="BD39" s="28"/>
    </row>
    <row r="40" spans="1:74" ht="13.5" customHeight="1">
      <c r="A40" s="22"/>
      <c r="B40" s="202">
        <v>6</v>
      </c>
      <c r="C40" s="304" t="s">
        <v>32</v>
      </c>
      <c r="D40" s="205" t="s">
        <v>264</v>
      </c>
      <c r="E40" s="206"/>
      <c r="F40" s="206"/>
      <c r="G40" s="207"/>
      <c r="H40" s="208" t="s">
        <v>278</v>
      </c>
      <c r="I40" s="209"/>
      <c r="J40" s="209"/>
      <c r="K40" s="206"/>
      <c r="L40" s="207"/>
      <c r="M40" s="515"/>
      <c r="N40" s="28"/>
      <c r="O40" s="28"/>
      <c r="P40" s="28"/>
      <c r="Q40" s="28"/>
      <c r="R40" s="28"/>
      <c r="S40" s="35"/>
      <c r="T40" s="35"/>
      <c r="U40" s="35"/>
      <c r="V40" s="35"/>
      <c r="Y40" s="35"/>
      <c r="Z40" s="35"/>
      <c r="AD40" s="35"/>
      <c r="AE40" s="35"/>
      <c r="AF40" s="35"/>
      <c r="AG40" s="35"/>
      <c r="AH40" s="35"/>
      <c r="AI40" s="35"/>
      <c r="AJ40" s="35"/>
      <c r="AK40" s="35"/>
      <c r="AL40" s="35"/>
      <c r="AM40" s="35"/>
      <c r="AN40" s="35"/>
      <c r="AO40" s="35"/>
      <c r="AP40" s="35"/>
      <c r="AQ40" s="35"/>
      <c r="AR40" s="35"/>
      <c r="AS40" s="35"/>
      <c r="AT40" s="35"/>
      <c r="AU40" s="35"/>
      <c r="AV40" s="35"/>
      <c r="AW40" s="35"/>
      <c r="AX40" s="35"/>
      <c r="AY40" s="311"/>
      <c r="AZ40" s="33"/>
      <c r="BA40" s="46"/>
      <c r="BB40" s="159"/>
      <c r="BC40" s="115"/>
      <c r="BD40" s="35"/>
      <c r="BE40" s="35"/>
      <c r="BF40" s="35"/>
      <c r="BG40" s="35"/>
    </row>
    <row r="41" spans="1:74" ht="13.5" customHeight="1">
      <c r="A41" s="22"/>
      <c r="B41" s="202">
        <v>8</v>
      </c>
      <c r="C41" s="308">
        <v>1</v>
      </c>
      <c r="D41" s="148" t="s">
        <v>149</v>
      </c>
      <c r="E41" s="149"/>
      <c r="F41" s="149"/>
      <c r="G41" s="151"/>
      <c r="H41" s="1117">
        <v>110</v>
      </c>
      <c r="I41" s="1087"/>
      <c r="J41" s="1087"/>
      <c r="K41" s="1087"/>
      <c r="L41" s="1088"/>
      <c r="M41" s="28"/>
      <c r="N41" s="28"/>
      <c r="O41" s="28"/>
      <c r="P41" s="28"/>
      <c r="Q41" s="28"/>
      <c r="R41" s="28"/>
      <c r="S41" s="35"/>
      <c r="T41" s="35"/>
      <c r="U41" s="35"/>
      <c r="V41" s="35"/>
      <c r="Y41" s="35"/>
      <c r="Z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11"/>
      <c r="AZ41" s="33"/>
      <c r="BA41" s="46"/>
      <c r="BB41" s="159"/>
      <c r="BC41" s="115"/>
      <c r="BD41" s="35"/>
      <c r="BE41" s="35"/>
      <c r="BF41" s="35"/>
      <c r="BG41" s="35"/>
    </row>
    <row r="42" spans="1:74" ht="13.5" customHeight="1">
      <c r="A42" s="22"/>
      <c r="B42" s="202">
        <v>9</v>
      </c>
      <c r="C42" s="308">
        <v>2</v>
      </c>
      <c r="D42" s="148" t="s">
        <v>265</v>
      </c>
      <c r="E42" s="149"/>
      <c r="F42" s="149"/>
      <c r="G42" s="151"/>
      <c r="H42" s="1117">
        <v>125</v>
      </c>
      <c r="I42" s="1087"/>
      <c r="J42" s="1087"/>
      <c r="K42" s="1087"/>
      <c r="L42" s="1088"/>
      <c r="M42" s="28"/>
      <c r="N42" s="28"/>
      <c r="O42" s="28"/>
      <c r="P42" s="28"/>
      <c r="Q42" s="28"/>
      <c r="R42" s="28"/>
      <c r="S42" s="35"/>
      <c r="T42" s="35"/>
      <c r="U42" s="35"/>
      <c r="V42" s="35"/>
      <c r="Y42" s="35"/>
      <c r="Z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11"/>
      <c r="AZ42" s="33"/>
      <c r="BA42" s="46"/>
      <c r="BB42" s="159"/>
      <c r="BC42" s="115"/>
      <c r="BD42" s="35"/>
      <c r="BE42" s="35"/>
      <c r="BF42" s="35"/>
      <c r="BG42" s="35"/>
    </row>
    <row r="43" spans="1:74" ht="5.0999999999999996" customHeight="1">
      <c r="A43" s="22"/>
      <c r="B43" s="202"/>
      <c r="C43" s="315"/>
      <c r="D43" s="73"/>
      <c r="E43" s="73"/>
      <c r="F43" s="73"/>
      <c r="G43" s="73"/>
      <c r="H43" s="316"/>
      <c r="I43" s="275"/>
      <c r="J43" s="275"/>
      <c r="K43" s="273"/>
      <c r="L43" s="317"/>
      <c r="M43" s="317"/>
      <c r="N43" s="270"/>
      <c r="O43" s="317"/>
      <c r="P43" s="270"/>
      <c r="Q43" s="270"/>
      <c r="R43" s="317"/>
      <c r="S43" s="73"/>
      <c r="T43" s="73"/>
      <c r="U43" s="73"/>
      <c r="V43" s="73"/>
      <c r="W43" s="73"/>
      <c r="X43" s="316"/>
      <c r="Y43" s="275"/>
      <c r="Z43" s="273"/>
      <c r="AA43" s="275"/>
      <c r="AB43" s="273"/>
      <c r="AC43" s="317"/>
      <c r="AD43" s="317"/>
      <c r="AE43" s="270"/>
      <c r="AF43" s="317"/>
      <c r="AG43" s="270"/>
      <c r="AH43" s="317"/>
      <c r="AI43" s="276"/>
      <c r="AJ43" s="317"/>
      <c r="AK43" s="270"/>
      <c r="AL43" s="73"/>
      <c r="AM43" s="73"/>
      <c r="AN43" s="73"/>
      <c r="AO43" s="73"/>
      <c r="AP43" s="73"/>
      <c r="AQ43" s="73"/>
      <c r="AR43" s="73"/>
      <c r="AS43" s="73"/>
      <c r="AT43" s="73"/>
      <c r="AU43" s="73"/>
      <c r="AV43" s="318"/>
      <c r="AW43" s="73"/>
      <c r="AX43" s="73"/>
      <c r="AY43" s="277"/>
      <c r="AZ43" s="33"/>
      <c r="BA43" s="46"/>
      <c r="BB43" s="159"/>
      <c r="BC43" s="115"/>
      <c r="BD43" s="28"/>
    </row>
    <row r="44" spans="1:74" ht="13.5" customHeight="1">
      <c r="A44" s="22"/>
      <c r="B44" s="202">
        <v>10</v>
      </c>
      <c r="C44" s="492"/>
      <c r="D44" s="65"/>
      <c r="E44" s="65"/>
      <c r="F44" s="65"/>
      <c r="G44" s="65"/>
      <c r="H44" s="65"/>
      <c r="I44" s="65"/>
      <c r="J44" s="65"/>
      <c r="K44" s="65"/>
      <c r="L44" s="65"/>
      <c r="M44" s="62"/>
      <c r="N44" s="63"/>
      <c r="O44" s="65"/>
      <c r="P44" s="65"/>
      <c r="Q44" s="64"/>
      <c r="R44" s="63"/>
      <c r="S44" s="190"/>
      <c r="T44" s="190"/>
      <c r="U44" s="191"/>
      <c r="V44" s="192"/>
      <c r="W44" s="190"/>
      <c r="X44" s="65"/>
      <c r="Y44" s="65"/>
      <c r="Z44" s="65"/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3"/>
      <c r="AN44" s="63"/>
      <c r="AO44" s="63"/>
      <c r="AP44" s="63"/>
      <c r="AQ44" s="63"/>
      <c r="AR44" s="63"/>
      <c r="AS44" s="63"/>
      <c r="AT44" s="63"/>
      <c r="AU44" s="63"/>
      <c r="AV44" s="63"/>
      <c r="AW44" s="63"/>
      <c r="AX44" s="63"/>
      <c r="AY44" s="63"/>
      <c r="AZ44" s="33"/>
      <c r="BA44" s="46"/>
      <c r="BB44" s="159"/>
      <c r="BC44" s="115"/>
      <c r="BD44" s="28"/>
    </row>
    <row r="45" spans="1:74" ht="13.5" customHeight="1">
      <c r="A45" s="22"/>
      <c r="B45" s="202">
        <v>5</v>
      </c>
      <c r="C45" s="204" t="s">
        <v>64</v>
      </c>
      <c r="D45" s="28"/>
      <c r="E45" s="28"/>
      <c r="F45" s="28"/>
      <c r="G45" s="28"/>
      <c r="H45" s="121"/>
      <c r="I45" s="62"/>
      <c r="J45" s="63"/>
      <c r="K45" s="62"/>
      <c r="L45" s="63"/>
      <c r="M45" s="69"/>
      <c r="N45" s="69"/>
      <c r="O45" s="65"/>
      <c r="P45" s="69"/>
      <c r="Q45" s="65"/>
      <c r="R45" s="69"/>
      <c r="S45" s="28"/>
      <c r="T45" s="28"/>
      <c r="U45" s="28"/>
      <c r="V45" s="28"/>
      <c r="W45" s="28"/>
      <c r="X45" s="121"/>
      <c r="Y45" s="62"/>
      <c r="Z45" s="63"/>
      <c r="AA45" s="62"/>
      <c r="AB45" s="63"/>
      <c r="AC45" s="69"/>
      <c r="AD45" s="69"/>
      <c r="AE45" s="65"/>
      <c r="AF45" s="69"/>
      <c r="AG45" s="65"/>
      <c r="AH45" s="69"/>
      <c r="AI45" s="64"/>
      <c r="AJ45" s="69"/>
      <c r="AK45" s="65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33"/>
      <c r="AW45" s="28"/>
      <c r="AX45" s="28"/>
      <c r="AY45" s="31"/>
      <c r="AZ45" s="33"/>
      <c r="BA45" s="46"/>
      <c r="BB45" s="159"/>
      <c r="BC45" s="115"/>
      <c r="BD45" s="28"/>
    </row>
    <row r="46" spans="1:74" ht="5.0999999999999996" customHeight="1">
      <c r="A46" s="22"/>
      <c r="B46" s="202"/>
      <c r="C46" s="296"/>
      <c r="D46" s="72"/>
      <c r="E46" s="72"/>
      <c r="F46" s="72"/>
      <c r="G46" s="72"/>
      <c r="H46" s="297"/>
      <c r="I46" s="278"/>
      <c r="J46" s="279"/>
      <c r="K46" s="278"/>
      <c r="L46" s="279"/>
      <c r="M46" s="298"/>
      <c r="N46" s="298"/>
      <c r="O46" s="263"/>
      <c r="P46" s="298"/>
      <c r="Q46" s="263"/>
      <c r="R46" s="298"/>
      <c r="S46" s="72"/>
      <c r="T46" s="72"/>
      <c r="U46" s="72"/>
      <c r="V46" s="72"/>
      <c r="W46" s="72"/>
      <c r="X46" s="297"/>
      <c r="Y46" s="278"/>
      <c r="Z46" s="279"/>
      <c r="AA46" s="278"/>
      <c r="AB46" s="279"/>
      <c r="AC46" s="298"/>
      <c r="AD46" s="298"/>
      <c r="AE46" s="263"/>
      <c r="AF46" s="298"/>
      <c r="AG46" s="263"/>
      <c r="AH46" s="298"/>
      <c r="AI46" s="280"/>
      <c r="AJ46" s="298"/>
      <c r="AK46" s="263"/>
      <c r="AL46" s="72"/>
      <c r="AM46" s="72"/>
      <c r="AN46" s="72"/>
      <c r="AO46" s="72"/>
      <c r="AP46" s="72"/>
      <c r="AQ46" s="72"/>
      <c r="AR46" s="72"/>
      <c r="AS46" s="72"/>
      <c r="AT46" s="72"/>
      <c r="AU46" s="72"/>
      <c r="AV46" s="300"/>
      <c r="AW46" s="72"/>
      <c r="AX46" s="72"/>
      <c r="AY46" s="264"/>
      <c r="AZ46" s="264"/>
      <c r="BA46" s="301"/>
      <c r="BB46" s="302"/>
      <c r="BC46" s="303"/>
      <c r="BD46" s="28"/>
    </row>
    <row r="47" spans="1:74" ht="13.5" customHeight="1">
      <c r="A47" s="22"/>
      <c r="B47" s="45"/>
      <c r="C47" s="266"/>
      <c r="D47" s="28" t="s">
        <v>290</v>
      </c>
      <c r="E47" s="28"/>
      <c r="F47" s="28"/>
      <c r="G47" s="28"/>
      <c r="H47" s="86" t="s">
        <v>147</v>
      </c>
      <c r="I47" s="86"/>
      <c r="J47" s="86"/>
      <c r="K47" s="86"/>
      <c r="L47" s="86"/>
      <c r="M47" s="322"/>
      <c r="N47" s="87"/>
      <c r="O47" s="88"/>
      <c r="P47" s="88"/>
      <c r="Q47" s="89"/>
      <c r="R47" s="87"/>
      <c r="S47" s="87"/>
      <c r="T47" s="87"/>
      <c r="U47" s="88"/>
      <c r="V47" s="89"/>
      <c r="W47" s="87"/>
      <c r="X47" s="65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31"/>
      <c r="AN47" s="31"/>
      <c r="AO47" s="31"/>
      <c r="AP47" s="31"/>
      <c r="AQ47" s="31"/>
      <c r="AR47" s="31"/>
      <c r="AS47" s="31"/>
      <c r="AT47" s="31"/>
      <c r="AU47" s="31"/>
      <c r="AV47" s="31"/>
      <c r="AW47" s="31"/>
      <c r="AX47" s="65"/>
      <c r="AY47" s="31"/>
      <c r="AZ47" s="52"/>
      <c r="BA47" s="93"/>
      <c r="BB47" s="327"/>
      <c r="BC47" s="328"/>
      <c r="BD47" s="28"/>
      <c r="BE47" s="35"/>
      <c r="BF47" s="35"/>
      <c r="BG47" s="35"/>
    </row>
    <row r="48" spans="1:74" ht="13.5" customHeight="1">
      <c r="A48" s="22"/>
      <c r="B48" s="202">
        <v>6</v>
      </c>
      <c r="C48" s="304" t="s">
        <v>32</v>
      </c>
      <c r="D48" s="205" t="s">
        <v>65</v>
      </c>
      <c r="E48" s="206"/>
      <c r="F48" s="206"/>
      <c r="G48" s="207"/>
      <c r="H48" s="208" t="s">
        <v>74</v>
      </c>
      <c r="I48" s="209"/>
      <c r="J48" s="209"/>
      <c r="K48" s="209"/>
      <c r="L48" s="206"/>
      <c r="M48" s="207"/>
      <c r="N48" s="205" t="s">
        <v>75</v>
      </c>
      <c r="O48" s="206"/>
      <c r="P48" s="206"/>
      <c r="Q48" s="207"/>
      <c r="R48" s="205" t="s">
        <v>76</v>
      </c>
      <c r="S48" s="206"/>
      <c r="T48" s="206"/>
      <c r="U48" s="206"/>
      <c r="V48" s="210" t="s">
        <v>294</v>
      </c>
      <c r="W48" s="211"/>
      <c r="X48" s="211"/>
      <c r="Y48" s="212"/>
      <c r="Z48" s="210" t="s">
        <v>151</v>
      </c>
      <c r="AA48" s="211"/>
      <c r="AB48" s="211"/>
      <c r="AC48" s="212"/>
      <c r="AD48" s="210" t="s">
        <v>295</v>
      </c>
      <c r="AE48" s="211"/>
      <c r="AF48" s="211"/>
      <c r="AG48" s="212"/>
      <c r="AH48" s="211" t="s">
        <v>77</v>
      </c>
      <c r="AI48" s="211"/>
      <c r="AJ48" s="211"/>
      <c r="AK48" s="212"/>
      <c r="AL48" s="211" t="s">
        <v>90</v>
      </c>
      <c r="AM48" s="211"/>
      <c r="AN48" s="211"/>
      <c r="AO48" s="212"/>
      <c r="AP48" s="210" t="s">
        <v>154</v>
      </c>
      <c r="AQ48" s="211"/>
      <c r="AR48" s="211"/>
      <c r="AS48" s="211"/>
      <c r="AT48" s="210" t="s">
        <v>155</v>
      </c>
      <c r="AU48" s="211"/>
      <c r="AV48" s="211"/>
      <c r="AW48" s="211"/>
      <c r="AX48" s="210" t="s">
        <v>84</v>
      </c>
      <c r="AY48" s="211"/>
      <c r="AZ48" s="211"/>
      <c r="BA48" s="212"/>
      <c r="BB48" s="210" t="s">
        <v>88</v>
      </c>
      <c r="BC48" s="211"/>
      <c r="BD48" s="211"/>
      <c r="BE48" s="212"/>
      <c r="BF48" s="210" t="s">
        <v>157</v>
      </c>
      <c r="BG48" s="211"/>
      <c r="BH48" s="211"/>
      <c r="BI48" s="212"/>
      <c r="BJ48" s="305" t="s">
        <v>87</v>
      </c>
      <c r="BK48" s="211"/>
      <c r="BL48" s="211"/>
      <c r="BM48" s="212"/>
      <c r="BN48" s="211" t="s">
        <v>70</v>
      </c>
      <c r="BO48" s="211"/>
      <c r="BP48" s="211"/>
      <c r="BQ48" s="212"/>
      <c r="BR48" s="28"/>
      <c r="BS48" s="28"/>
      <c r="BT48" s="28"/>
      <c r="BU48" s="28"/>
      <c r="BV48" s="28"/>
    </row>
    <row r="49" spans="1:74" ht="13.5" customHeight="1">
      <c r="A49" s="22"/>
      <c r="B49" s="202">
        <v>7</v>
      </c>
      <c r="C49" s="306"/>
      <c r="D49" s="213" t="s">
        <v>30</v>
      </c>
      <c r="E49" s="216"/>
      <c r="F49" s="214"/>
      <c r="G49" s="215"/>
      <c r="H49" s="213" t="s">
        <v>30</v>
      </c>
      <c r="I49" s="216"/>
      <c r="J49" s="216"/>
      <c r="K49" s="216"/>
      <c r="L49" s="214"/>
      <c r="M49" s="215"/>
      <c r="N49" s="213" t="s">
        <v>30</v>
      </c>
      <c r="O49" s="214"/>
      <c r="P49" s="214"/>
      <c r="Q49" s="215"/>
      <c r="R49" s="213" t="s">
        <v>30</v>
      </c>
      <c r="S49" s="216"/>
      <c r="T49" s="214"/>
      <c r="U49" s="214"/>
      <c r="V49" s="217" t="s">
        <v>43</v>
      </c>
      <c r="W49" s="218"/>
      <c r="X49" s="219"/>
      <c r="Y49" s="220"/>
      <c r="Z49" s="217" t="s">
        <v>30</v>
      </c>
      <c r="AA49" s="218"/>
      <c r="AB49" s="219"/>
      <c r="AC49" s="220"/>
      <c r="AD49" s="217" t="s">
        <v>43</v>
      </c>
      <c r="AE49" s="218"/>
      <c r="AF49" s="219"/>
      <c r="AG49" s="220"/>
      <c r="AH49" s="218" t="s">
        <v>30</v>
      </c>
      <c r="AI49" s="500"/>
      <c r="AJ49" s="219"/>
      <c r="AK49" s="220"/>
      <c r="AL49" s="500"/>
      <c r="AM49" s="218"/>
      <c r="AN49" s="219"/>
      <c r="AO49" s="220"/>
      <c r="AP49" s="217" t="s">
        <v>43</v>
      </c>
      <c r="AQ49" s="218"/>
      <c r="AR49" s="219"/>
      <c r="AS49" s="219"/>
      <c r="AT49" s="217" t="s">
        <v>156</v>
      </c>
      <c r="AU49" s="218"/>
      <c r="AV49" s="219"/>
      <c r="AW49" s="219"/>
      <c r="AX49" s="217" t="s">
        <v>156</v>
      </c>
      <c r="AY49" s="218"/>
      <c r="AZ49" s="219"/>
      <c r="BA49" s="220"/>
      <c r="BB49" s="217" t="s">
        <v>89</v>
      </c>
      <c r="BC49" s="218"/>
      <c r="BD49" s="219"/>
      <c r="BE49" s="220"/>
      <c r="BF49" s="217" t="s">
        <v>158</v>
      </c>
      <c r="BG49" s="218"/>
      <c r="BH49" s="219"/>
      <c r="BI49" s="220"/>
      <c r="BJ49" s="307" t="s">
        <v>43</v>
      </c>
      <c r="BK49" s="218"/>
      <c r="BL49" s="219"/>
      <c r="BM49" s="220"/>
      <c r="BN49" s="218" t="s">
        <v>43</v>
      </c>
      <c r="BO49" s="218"/>
      <c r="BP49" s="219"/>
      <c r="BQ49" s="220"/>
      <c r="BR49" s="28"/>
      <c r="BS49" s="28"/>
      <c r="BT49" s="28"/>
      <c r="BU49" s="28"/>
      <c r="BV49" s="28"/>
    </row>
    <row r="50" spans="1:74" ht="13.5" customHeight="1">
      <c r="A50" s="22"/>
      <c r="B50" s="202">
        <v>8</v>
      </c>
      <c r="C50" s="308">
        <v>1</v>
      </c>
      <c r="D50" s="148" t="s">
        <v>159</v>
      </c>
      <c r="E50" s="149"/>
      <c r="F50" s="149"/>
      <c r="G50" s="151"/>
      <c r="H50" s="242" t="s">
        <v>160</v>
      </c>
      <c r="I50" s="150"/>
      <c r="J50" s="150"/>
      <c r="K50" s="150"/>
      <c r="L50" s="161"/>
      <c r="M50" s="162"/>
      <c r="N50" s="242" t="s">
        <v>161</v>
      </c>
      <c r="O50" s="150"/>
      <c r="P50" s="150"/>
      <c r="Q50" s="99" t="s">
        <v>33</v>
      </c>
      <c r="R50" s="1097">
        <v>70000</v>
      </c>
      <c r="S50" s="1098"/>
      <c r="T50" s="1098"/>
      <c r="U50" s="1099"/>
      <c r="V50" s="148" t="s">
        <v>149</v>
      </c>
      <c r="W50" s="150"/>
      <c r="X50" s="150"/>
      <c r="Y50" s="99" t="s">
        <v>33</v>
      </c>
      <c r="Z50" s="1111">
        <v>6.7299999999999999E-2</v>
      </c>
      <c r="AA50" s="1112"/>
      <c r="AB50" s="1112"/>
      <c r="AC50" s="1113"/>
      <c r="AD50" s="148" t="s">
        <v>149</v>
      </c>
      <c r="AE50" s="150"/>
      <c r="AF50" s="150"/>
      <c r="AG50" s="99" t="s">
        <v>33</v>
      </c>
      <c r="AH50" s="1111">
        <v>0.1211</v>
      </c>
      <c r="AI50" s="1112"/>
      <c r="AJ50" s="1112"/>
      <c r="AK50" s="1113"/>
      <c r="AL50" s="1111"/>
      <c r="AM50" s="1112"/>
      <c r="AN50" s="1112"/>
      <c r="AO50" s="1113"/>
      <c r="AP50" s="1114">
        <v>0.01</v>
      </c>
      <c r="AQ50" s="1115"/>
      <c r="AR50" s="1115"/>
      <c r="AS50" s="1116"/>
      <c r="AT50" s="1111">
        <v>0.13589999999999999</v>
      </c>
      <c r="AU50" s="1112"/>
      <c r="AV50" s="1112"/>
      <c r="AW50" s="1113"/>
      <c r="AX50" s="1111">
        <v>0.151</v>
      </c>
      <c r="AY50" s="1112"/>
      <c r="AZ50" s="1112"/>
      <c r="BA50" s="1113"/>
      <c r="BB50" s="1111">
        <v>0.151</v>
      </c>
      <c r="BC50" s="1112"/>
      <c r="BD50" s="1112"/>
      <c r="BE50" s="1113"/>
      <c r="BF50" s="1111">
        <v>6.1000000000000004E-3</v>
      </c>
      <c r="BG50" s="1112"/>
      <c r="BH50" s="1112"/>
      <c r="BI50" s="1113"/>
      <c r="BJ50" s="1121"/>
      <c r="BK50" s="1122"/>
      <c r="BL50" s="1122"/>
      <c r="BM50" s="1123"/>
      <c r="BN50" s="149" t="s">
        <v>30</v>
      </c>
      <c r="BO50" s="150"/>
      <c r="BP50" s="150"/>
      <c r="BQ50" s="152"/>
      <c r="BR50" s="28"/>
      <c r="BS50" s="28"/>
      <c r="BT50" s="28"/>
      <c r="BU50" s="28"/>
      <c r="BV50" s="28"/>
    </row>
    <row r="51" spans="1:74" ht="13.5" customHeight="1">
      <c r="A51" s="22"/>
      <c r="B51" s="202">
        <v>9</v>
      </c>
      <c r="C51" s="308">
        <v>2</v>
      </c>
      <c r="D51" s="148"/>
      <c r="E51" s="149"/>
      <c r="F51" s="149"/>
      <c r="G51" s="151"/>
      <c r="H51" s="242"/>
      <c r="I51" s="150"/>
      <c r="J51" s="150"/>
      <c r="K51" s="150"/>
      <c r="L51" s="161"/>
      <c r="M51" s="162"/>
      <c r="N51" s="242"/>
      <c r="O51" s="150"/>
      <c r="P51" s="150"/>
      <c r="Q51" s="99" t="s">
        <v>33</v>
      </c>
      <c r="R51" s="1097"/>
      <c r="S51" s="1098"/>
      <c r="T51" s="1098"/>
      <c r="U51" s="1099"/>
      <c r="V51" s="148"/>
      <c r="W51" s="150"/>
      <c r="X51" s="150"/>
      <c r="Y51" s="99" t="s">
        <v>33</v>
      </c>
      <c r="Z51" s="1086"/>
      <c r="AA51" s="1095"/>
      <c r="AB51" s="1095"/>
      <c r="AC51" s="1096"/>
      <c r="AD51" s="148"/>
      <c r="AE51" s="150"/>
      <c r="AF51" s="150"/>
      <c r="AG51" s="99" t="s">
        <v>33</v>
      </c>
      <c r="AH51" s="1086"/>
      <c r="AI51" s="1095"/>
      <c r="AJ51" s="1095"/>
      <c r="AK51" s="1096"/>
      <c r="AL51" s="1086"/>
      <c r="AM51" s="1095"/>
      <c r="AN51" s="1095"/>
      <c r="AO51" s="1096"/>
      <c r="AP51" s="1086"/>
      <c r="AQ51" s="1095"/>
      <c r="AR51" s="1095"/>
      <c r="AS51" s="1096"/>
      <c r="AT51" s="1086"/>
      <c r="AU51" s="1095"/>
      <c r="AV51" s="1095"/>
      <c r="AW51" s="1096"/>
      <c r="AX51" s="1086"/>
      <c r="AY51" s="1095"/>
      <c r="AZ51" s="1095"/>
      <c r="BA51" s="1096"/>
      <c r="BB51" s="1086"/>
      <c r="BC51" s="1095"/>
      <c r="BD51" s="1095"/>
      <c r="BE51" s="1096"/>
      <c r="BF51" s="1086"/>
      <c r="BG51" s="1095"/>
      <c r="BH51" s="1095"/>
      <c r="BI51" s="1096"/>
      <c r="BJ51" s="148"/>
      <c r="BK51" s="150"/>
      <c r="BL51" s="150"/>
      <c r="BM51" s="152"/>
      <c r="BN51" s="149"/>
      <c r="BO51" s="150"/>
      <c r="BP51" s="150"/>
      <c r="BQ51" s="152"/>
      <c r="BR51" s="28"/>
      <c r="BS51" s="28"/>
      <c r="BT51" s="28"/>
      <c r="BU51" s="28"/>
      <c r="BV51" s="28"/>
    </row>
    <row r="52" spans="1:74" ht="13.5" customHeight="1">
      <c r="A52" s="22"/>
      <c r="B52" s="202">
        <v>10</v>
      </c>
      <c r="C52" s="310"/>
      <c r="D52" s="65"/>
      <c r="E52" s="65"/>
      <c r="F52" s="65"/>
      <c r="G52" s="65"/>
      <c r="H52" s="65"/>
      <c r="I52" s="65"/>
      <c r="J52" s="65"/>
      <c r="K52" s="65"/>
      <c r="L52" s="65"/>
      <c r="M52" s="62"/>
      <c r="N52" s="63"/>
      <c r="O52" s="65"/>
      <c r="P52" s="65"/>
      <c r="Q52" s="64"/>
      <c r="R52" s="63"/>
      <c r="S52" s="190"/>
      <c r="T52" s="190"/>
      <c r="U52" s="191"/>
      <c r="V52" s="192"/>
      <c r="W52" s="190"/>
      <c r="X52" s="65"/>
      <c r="Y52" s="65"/>
      <c r="Z52" s="65"/>
      <c r="AB52" s="65"/>
      <c r="AC52" s="65"/>
      <c r="AD52" s="65"/>
      <c r="AE52" s="65"/>
      <c r="AF52" s="65"/>
      <c r="AG52" s="65"/>
      <c r="AH52" s="65"/>
      <c r="AI52" s="65"/>
      <c r="AJ52" s="65"/>
      <c r="AK52" s="65"/>
      <c r="AL52" s="65"/>
      <c r="AM52" s="63"/>
      <c r="AN52" s="63"/>
      <c r="AO52" s="63"/>
      <c r="AP52" s="63"/>
      <c r="AQ52" s="63"/>
      <c r="AR52" s="63"/>
      <c r="AS52" s="63"/>
      <c r="AT52" s="63"/>
      <c r="AU52" s="63"/>
      <c r="AV52" s="63"/>
      <c r="AW52" s="63"/>
      <c r="AX52" s="63"/>
      <c r="AY52" s="63"/>
      <c r="AZ52" s="31"/>
      <c r="BA52" s="35"/>
      <c r="BB52" s="35"/>
      <c r="BC52" s="311"/>
      <c r="BD52" s="28"/>
    </row>
    <row r="53" spans="1:74" ht="13.5" customHeight="1">
      <c r="A53" s="22"/>
      <c r="B53" s="202">
        <v>11</v>
      </c>
      <c r="C53" s="312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3"/>
      <c r="W53" s="63"/>
      <c r="X53" s="75"/>
      <c r="Y53" s="63"/>
      <c r="Z53" s="63"/>
      <c r="AA53" s="69"/>
      <c r="AB53" s="65"/>
      <c r="AC53" s="63"/>
      <c r="AD53" s="65"/>
      <c r="AE53" s="65"/>
      <c r="AF53" s="65"/>
      <c r="AG53" s="69"/>
      <c r="AH53" s="65"/>
      <c r="AI53" s="75"/>
      <c r="AJ53" s="63"/>
      <c r="AK53" s="63"/>
      <c r="AL53" s="63"/>
      <c r="AM53" s="63"/>
      <c r="AN53" s="125"/>
      <c r="AO53" s="62"/>
      <c r="AP53" s="62"/>
      <c r="AQ53" s="63"/>
      <c r="AR53" s="63"/>
      <c r="AS53" s="63"/>
      <c r="AT53" s="64"/>
      <c r="AU53" s="63"/>
      <c r="AV53" s="65"/>
      <c r="AW53" s="65"/>
      <c r="AX53" s="65"/>
      <c r="AY53" s="63"/>
      <c r="AZ53" s="31"/>
      <c r="BA53" s="35"/>
      <c r="BB53" s="35"/>
      <c r="BC53" s="311"/>
      <c r="BD53" s="28"/>
    </row>
    <row r="54" spans="1:74" ht="15.75" customHeight="1">
      <c r="A54" s="22"/>
      <c r="B54" s="202">
        <v>12</v>
      </c>
      <c r="C54" s="310"/>
      <c r="D54" s="65"/>
      <c r="E54" s="65"/>
      <c r="F54" s="65"/>
      <c r="G54" s="65"/>
      <c r="H54" s="65"/>
      <c r="I54" s="65"/>
      <c r="J54" s="65"/>
      <c r="K54" s="65"/>
      <c r="L54" s="65"/>
      <c r="M54" s="62"/>
      <c r="N54" s="65"/>
      <c r="O54" s="65"/>
      <c r="P54" s="63"/>
      <c r="Q54" s="64"/>
      <c r="R54" s="63"/>
      <c r="S54" s="63"/>
      <c r="T54" s="65"/>
      <c r="U54" s="63"/>
      <c r="V54" s="65"/>
      <c r="W54" s="63"/>
      <c r="X54" s="63"/>
      <c r="Y54" s="63"/>
      <c r="Z54" s="63"/>
      <c r="AA54" s="63"/>
      <c r="AB54" s="65"/>
      <c r="AC54" s="65"/>
      <c r="AD54" s="62"/>
      <c r="AE54" s="63"/>
      <c r="AF54" s="63"/>
      <c r="AG54" s="65"/>
      <c r="AH54" s="65"/>
      <c r="AI54" s="62"/>
      <c r="AJ54" s="63"/>
      <c r="AK54" s="65"/>
      <c r="AL54" s="63"/>
      <c r="AM54" s="63"/>
      <c r="AN54" s="126"/>
      <c r="AO54" s="65"/>
      <c r="AP54" s="65"/>
      <c r="AQ54" s="125"/>
      <c r="AR54" s="65"/>
      <c r="AS54" s="65"/>
      <c r="AT54" s="63"/>
      <c r="AU54" s="63"/>
      <c r="AV54" s="63"/>
      <c r="AW54" s="63"/>
      <c r="AX54" s="63"/>
      <c r="AY54" s="63"/>
      <c r="AZ54" s="31"/>
      <c r="BA54" s="35"/>
      <c r="BB54" s="35"/>
      <c r="BC54" s="311"/>
      <c r="BD54" s="28"/>
    </row>
    <row r="55" spans="1:74" ht="13.5" customHeight="1">
      <c r="A55" s="22"/>
      <c r="B55" s="202">
        <v>13</v>
      </c>
      <c r="C55" s="310"/>
      <c r="D55" s="65"/>
      <c r="E55" s="65"/>
      <c r="F55" s="65"/>
      <c r="G55" s="65"/>
      <c r="H55" s="84"/>
      <c r="I55" s="65"/>
      <c r="J55" s="65"/>
      <c r="K55" s="65"/>
      <c r="L55" s="65"/>
      <c r="M55" s="126"/>
      <c r="N55" s="65"/>
      <c r="O55" s="65"/>
      <c r="P55" s="65"/>
      <c r="Q55" s="198"/>
      <c r="R55" s="65"/>
      <c r="S55" s="63"/>
      <c r="T55" s="63"/>
      <c r="U55" s="63"/>
      <c r="V55" s="65"/>
      <c r="W55" s="84"/>
      <c r="X55" s="65"/>
      <c r="Y55" s="65"/>
      <c r="Z55" s="65"/>
      <c r="AA55" s="65"/>
      <c r="AB55" s="65"/>
      <c r="AC55" s="65"/>
      <c r="AD55" s="65"/>
      <c r="AE55" s="65"/>
      <c r="AF55" s="65"/>
      <c r="AG55" s="65"/>
      <c r="AH55" s="126"/>
      <c r="AI55" s="65"/>
      <c r="AJ55" s="125"/>
      <c r="AK55" s="65"/>
      <c r="AL55" s="65"/>
      <c r="AM55" s="65"/>
      <c r="AN55" s="65"/>
      <c r="AO55" s="65"/>
      <c r="AP55" s="65"/>
      <c r="AQ55" s="125"/>
      <c r="AR55" s="65"/>
      <c r="AS55" s="125"/>
      <c r="AT55" s="64"/>
      <c r="AU55" s="63"/>
      <c r="AV55" s="65"/>
      <c r="AW55" s="65"/>
      <c r="AX55" s="65"/>
      <c r="AY55" s="63"/>
      <c r="AZ55" s="31"/>
      <c r="BA55" s="35"/>
      <c r="BB55" s="35"/>
      <c r="BC55" s="311"/>
      <c r="BD55" s="28"/>
    </row>
    <row r="56" spans="1:74" ht="13.5" customHeight="1">
      <c r="A56" s="22"/>
      <c r="B56" s="202">
        <v>14</v>
      </c>
      <c r="C56" s="312"/>
      <c r="D56" s="65"/>
      <c r="E56" s="65"/>
      <c r="F56" s="65"/>
      <c r="G56" s="65"/>
      <c r="H56" s="65"/>
      <c r="I56" s="65"/>
      <c r="J56" s="65"/>
      <c r="K56" s="198"/>
      <c r="L56" s="65"/>
      <c r="M56" s="65"/>
      <c r="N56" s="65"/>
      <c r="O56" s="65"/>
      <c r="P56" s="65"/>
      <c r="Q56" s="198"/>
      <c r="R56" s="65"/>
      <c r="S56" s="65"/>
      <c r="T56" s="65"/>
      <c r="U56" s="198"/>
      <c r="V56" s="65"/>
      <c r="W56" s="65"/>
      <c r="X56" s="65"/>
      <c r="Y56" s="65"/>
      <c r="Z56" s="65"/>
      <c r="AA56" s="65"/>
      <c r="AB56" s="65"/>
      <c r="AC56" s="65"/>
      <c r="AD56" s="65"/>
      <c r="AE56" s="65"/>
      <c r="AF56" s="65"/>
      <c r="AG56" s="65"/>
      <c r="AH56" s="65"/>
      <c r="AI56" s="65"/>
      <c r="AJ56" s="125"/>
      <c r="AK56" s="112"/>
      <c r="AL56" s="62"/>
      <c r="AM56" s="63"/>
      <c r="AN56" s="63"/>
      <c r="AO56" s="63"/>
      <c r="AP56" s="63"/>
      <c r="AQ56" s="64"/>
      <c r="AR56" s="63"/>
      <c r="AS56" s="65"/>
      <c r="AT56" s="65"/>
      <c r="AU56" s="65"/>
      <c r="AV56" s="65"/>
      <c r="AW56" s="65"/>
      <c r="AX56" s="65"/>
      <c r="AY56" s="63"/>
      <c r="AZ56" s="31"/>
      <c r="BA56" s="35"/>
      <c r="BB56" s="35"/>
      <c r="BC56" s="311"/>
      <c r="BD56" s="28"/>
    </row>
    <row r="57" spans="1:74" ht="13.5" customHeight="1">
      <c r="A57" s="22"/>
      <c r="B57" s="202">
        <v>15</v>
      </c>
      <c r="C57" s="313" t="s">
        <v>72</v>
      </c>
      <c r="D57" s="223"/>
      <c r="E57" s="224"/>
      <c r="F57" s="223"/>
      <c r="G57" s="224"/>
      <c r="H57" s="225"/>
      <c r="I57" s="226"/>
      <c r="J57" s="227"/>
      <c r="K57" s="227"/>
      <c r="L57" s="227"/>
      <c r="M57" s="228"/>
      <c r="N57" s="227"/>
      <c r="O57" s="227"/>
      <c r="P57" s="227"/>
      <c r="Q57" s="229"/>
      <c r="R57" s="227"/>
      <c r="S57" s="227"/>
      <c r="T57" s="227"/>
      <c r="U57" s="227"/>
      <c r="V57" s="227"/>
      <c r="W57" s="229"/>
      <c r="X57" s="227"/>
      <c r="Y57" s="227"/>
      <c r="Z57" s="227"/>
      <c r="AA57" s="229"/>
      <c r="AB57" s="227"/>
      <c r="AC57" s="227"/>
      <c r="AD57" s="227"/>
      <c r="AE57" s="227"/>
      <c r="AF57" s="227"/>
      <c r="AG57" s="232"/>
      <c r="AH57" s="227"/>
      <c r="AI57" s="227"/>
      <c r="AJ57" s="227"/>
      <c r="AK57" s="227"/>
      <c r="AL57" s="227"/>
      <c r="AM57" s="227"/>
      <c r="AN57" s="227"/>
      <c r="AO57" s="227"/>
      <c r="AP57" s="227"/>
      <c r="AQ57" s="230"/>
      <c r="AR57" s="227"/>
      <c r="AS57" s="230"/>
      <c r="AT57" s="227"/>
      <c r="AU57" s="227"/>
      <c r="AV57" s="227"/>
      <c r="AW57" s="227"/>
      <c r="AX57" s="227"/>
      <c r="AY57" s="224"/>
      <c r="AZ57" s="224"/>
      <c r="BA57" s="231"/>
      <c r="BB57" s="231"/>
      <c r="BC57" s="314"/>
      <c r="BD57" s="28"/>
    </row>
    <row r="58" spans="1:74" ht="13.5" customHeight="1">
      <c r="A58" s="22"/>
      <c r="B58" s="202">
        <v>16</v>
      </c>
      <c r="C58" s="310"/>
      <c r="D58" s="65"/>
      <c r="E58" s="65"/>
      <c r="F58" s="65"/>
      <c r="G58" s="65"/>
      <c r="H58" s="65"/>
      <c r="I58" s="65"/>
      <c r="J58" s="65"/>
      <c r="K58" s="65"/>
      <c r="L58" s="65"/>
      <c r="M58" s="62"/>
      <c r="N58" s="65"/>
      <c r="O58" s="65"/>
      <c r="P58" s="63"/>
      <c r="Q58" s="64"/>
      <c r="R58" s="63"/>
      <c r="S58" s="111"/>
      <c r="T58" s="112"/>
      <c r="U58" s="111"/>
      <c r="V58" s="112"/>
      <c r="W58" s="111"/>
      <c r="X58" s="111"/>
      <c r="Y58" s="111"/>
      <c r="Z58" s="111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3"/>
      <c r="AZ58" s="53"/>
      <c r="BA58" s="323"/>
      <c r="BB58" s="324"/>
      <c r="BC58" s="325"/>
      <c r="BD58" s="28"/>
    </row>
    <row r="59" spans="1:74" ht="13.5" customHeight="1">
      <c r="A59" s="22"/>
      <c r="B59" s="202">
        <v>17</v>
      </c>
      <c r="C59" s="310"/>
      <c r="D59" s="65"/>
      <c r="E59" s="65"/>
      <c r="F59" s="65"/>
      <c r="G59" s="65"/>
      <c r="H59" s="126"/>
      <c r="I59" s="65"/>
      <c r="J59" s="65"/>
      <c r="K59" s="65"/>
      <c r="L59" s="198"/>
      <c r="M59" s="65"/>
      <c r="N59" s="65"/>
      <c r="O59" s="65"/>
      <c r="P59" s="198"/>
      <c r="Q59" s="65"/>
      <c r="R59" s="65"/>
      <c r="S59" s="65"/>
      <c r="T59" s="198"/>
      <c r="U59" s="65"/>
      <c r="V59" s="65"/>
      <c r="W59" s="65"/>
      <c r="X59" s="65"/>
      <c r="Y59" s="65"/>
      <c r="Z59" s="65"/>
      <c r="AA59" s="65"/>
      <c r="AB59" s="65"/>
      <c r="AC59" s="65"/>
      <c r="AD59" s="65"/>
      <c r="AE59" s="65"/>
      <c r="AF59" s="65"/>
      <c r="AG59" s="65"/>
      <c r="AH59" s="65"/>
      <c r="AI59" s="65"/>
      <c r="AJ59" s="65"/>
      <c r="AK59" s="125"/>
      <c r="AL59" s="65"/>
      <c r="AM59" s="65"/>
      <c r="AN59" s="65"/>
      <c r="AO59" s="65"/>
      <c r="AP59" s="65"/>
      <c r="AQ59" s="65"/>
      <c r="AR59" s="65"/>
      <c r="AS59" s="65"/>
      <c r="AT59" s="65"/>
      <c r="AU59" s="65"/>
      <c r="AV59" s="65"/>
      <c r="AW59" s="65"/>
      <c r="AX59" s="65"/>
      <c r="AY59" s="63"/>
      <c r="AZ59" s="31"/>
      <c r="BA59" s="30"/>
      <c r="BB59" s="175"/>
      <c r="BC59" s="326"/>
      <c r="BD59" s="28"/>
    </row>
    <row r="60" spans="1:74" ht="5.0999999999999996" customHeight="1">
      <c r="A60" s="22"/>
      <c r="B60" s="202"/>
      <c r="C60" s="315"/>
      <c r="D60" s="73"/>
      <c r="E60" s="73"/>
      <c r="F60" s="73"/>
      <c r="G60" s="73"/>
      <c r="H60" s="316"/>
      <c r="I60" s="275"/>
      <c r="J60" s="273"/>
      <c r="K60" s="275"/>
      <c r="L60" s="273"/>
      <c r="M60" s="317"/>
      <c r="N60" s="317"/>
      <c r="O60" s="270"/>
      <c r="P60" s="317"/>
      <c r="Q60" s="270"/>
      <c r="R60" s="317"/>
      <c r="S60" s="73"/>
      <c r="T60" s="73"/>
      <c r="U60" s="73"/>
      <c r="V60" s="73"/>
      <c r="W60" s="73"/>
      <c r="X60" s="316"/>
      <c r="Y60" s="275"/>
      <c r="Z60" s="273"/>
      <c r="AA60" s="275"/>
      <c r="AB60" s="273"/>
      <c r="AC60" s="317"/>
      <c r="AD60" s="317"/>
      <c r="AE60" s="270"/>
      <c r="AF60" s="317"/>
      <c r="AG60" s="270"/>
      <c r="AH60" s="317"/>
      <c r="AI60" s="276"/>
      <c r="AJ60" s="317"/>
      <c r="AK60" s="270"/>
      <c r="AL60" s="73"/>
      <c r="AM60" s="73"/>
      <c r="AN60" s="73"/>
      <c r="AO60" s="73"/>
      <c r="AP60" s="73"/>
      <c r="AQ60" s="73"/>
      <c r="AR60" s="73"/>
      <c r="AS60" s="73"/>
      <c r="AT60" s="73"/>
      <c r="AU60" s="73"/>
      <c r="AV60" s="318"/>
      <c r="AW60" s="73"/>
      <c r="AX60" s="73"/>
      <c r="AY60" s="269"/>
      <c r="AZ60" s="269"/>
      <c r="BA60" s="319"/>
      <c r="BB60" s="320"/>
      <c r="BC60" s="321"/>
      <c r="BD60" s="28"/>
    </row>
    <row r="61" spans="1:74" ht="13.5" customHeight="1">
      <c r="A61" s="22"/>
      <c r="B61" s="202">
        <v>18</v>
      </c>
      <c r="C61" s="75"/>
      <c r="D61" s="63"/>
      <c r="E61" s="63"/>
      <c r="F61" s="63"/>
      <c r="G61" s="63"/>
      <c r="H61" s="69"/>
      <c r="I61" s="69"/>
      <c r="J61" s="65"/>
      <c r="K61" s="69"/>
      <c r="L61" s="65"/>
      <c r="M61" s="69"/>
      <c r="N61" s="64"/>
      <c r="O61" s="69"/>
      <c r="P61" s="65"/>
      <c r="Q61" s="65"/>
      <c r="R61" s="65"/>
      <c r="S61" s="63"/>
      <c r="T61" s="63"/>
      <c r="U61" s="63"/>
      <c r="V61" s="63"/>
      <c r="W61" s="63"/>
      <c r="X61" s="64"/>
      <c r="Y61" s="63"/>
      <c r="Z61" s="65"/>
      <c r="AA61" s="64"/>
      <c r="AB61" s="63"/>
      <c r="AC61" s="65"/>
      <c r="AD61" s="64"/>
      <c r="AE61" s="65"/>
      <c r="AF61" s="65"/>
      <c r="AG61" s="64"/>
      <c r="AH61" s="65"/>
      <c r="AI61" s="65"/>
      <c r="AJ61" s="126"/>
      <c r="AK61" s="65"/>
      <c r="AL61" s="65"/>
      <c r="AM61" s="65"/>
      <c r="AN61" s="65"/>
      <c r="AO61" s="65"/>
      <c r="AP61" s="65"/>
      <c r="AQ61" s="65"/>
      <c r="AR61" s="65"/>
      <c r="AS61" s="65"/>
      <c r="AT61" s="65"/>
      <c r="AU61" s="65"/>
      <c r="AV61" s="65"/>
      <c r="AW61" s="65"/>
      <c r="AX61" s="65"/>
      <c r="AY61" s="63"/>
      <c r="AZ61" s="264"/>
      <c r="BA61" s="301"/>
      <c r="BB61" s="302"/>
      <c r="BC61" s="343"/>
      <c r="BD61" s="28"/>
    </row>
    <row r="62" spans="1:74" ht="13.5" customHeight="1">
      <c r="A62" s="22"/>
      <c r="B62" s="202">
        <v>20</v>
      </c>
      <c r="C62" s="204" t="s">
        <v>79</v>
      </c>
      <c r="D62" s="28"/>
      <c r="E62" s="28"/>
      <c r="F62" s="28"/>
      <c r="G62" s="28"/>
      <c r="H62" s="121"/>
      <c r="I62" s="62"/>
      <c r="J62" s="63"/>
      <c r="K62" s="62"/>
      <c r="L62" s="63"/>
      <c r="M62" s="69"/>
      <c r="N62" s="69"/>
      <c r="O62" s="65"/>
      <c r="P62" s="69"/>
      <c r="Q62" s="65"/>
      <c r="R62" s="69"/>
      <c r="S62" s="28"/>
      <c r="T62" s="28"/>
      <c r="U62" s="28"/>
      <c r="V62" s="28"/>
      <c r="W62" s="28"/>
      <c r="X62" s="121"/>
      <c r="Y62" s="62"/>
      <c r="Z62" s="63"/>
      <c r="AA62" s="62"/>
      <c r="AB62" s="63"/>
      <c r="AC62" s="69"/>
      <c r="AD62" s="69"/>
      <c r="AE62" s="65"/>
      <c r="AF62" s="69"/>
      <c r="AG62" s="65"/>
      <c r="AH62" s="69"/>
      <c r="AI62" s="64"/>
      <c r="AJ62" s="69"/>
      <c r="AK62" s="65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33" t="s">
        <v>73</v>
      </c>
      <c r="AW62" s="28"/>
      <c r="AX62" s="28"/>
      <c r="AY62" s="31"/>
      <c r="AZ62" s="269"/>
      <c r="BA62" s="319"/>
      <c r="BB62" s="320"/>
      <c r="BC62" s="344"/>
      <c r="BD62" s="28"/>
    </row>
    <row r="63" spans="1:74" ht="5.0999999999999996" customHeight="1">
      <c r="A63" s="22"/>
      <c r="B63" s="202"/>
      <c r="C63" s="296"/>
      <c r="D63" s="72"/>
      <c r="E63" s="72"/>
      <c r="F63" s="72"/>
      <c r="G63" s="72"/>
      <c r="H63" s="297"/>
      <c r="I63" s="278"/>
      <c r="J63" s="279"/>
      <c r="K63" s="278"/>
      <c r="L63" s="279"/>
      <c r="M63" s="298"/>
      <c r="N63" s="298"/>
      <c r="O63" s="263"/>
      <c r="P63" s="298"/>
      <c r="Q63" s="263"/>
      <c r="R63" s="298"/>
      <c r="S63" s="72"/>
      <c r="T63" s="72"/>
      <c r="U63" s="72"/>
      <c r="V63" s="72"/>
      <c r="W63" s="72"/>
      <c r="X63" s="297"/>
      <c r="Y63" s="278"/>
      <c r="Z63" s="279"/>
      <c r="AA63" s="278"/>
      <c r="AB63" s="279"/>
      <c r="AC63" s="298"/>
      <c r="AD63" s="298"/>
      <c r="AE63" s="263"/>
      <c r="AF63" s="298"/>
      <c r="AG63" s="263"/>
      <c r="AH63" s="298"/>
      <c r="AI63" s="280"/>
      <c r="AJ63" s="298"/>
      <c r="AK63" s="263"/>
      <c r="AL63" s="72"/>
      <c r="AM63" s="72"/>
      <c r="AN63" s="72"/>
      <c r="AO63" s="72"/>
      <c r="AP63" s="72"/>
      <c r="AQ63" s="72"/>
      <c r="AR63" s="72"/>
      <c r="AS63" s="72"/>
      <c r="AT63" s="72"/>
      <c r="AU63" s="72"/>
      <c r="AV63" s="300"/>
      <c r="AW63" s="72"/>
      <c r="AX63" s="72"/>
      <c r="AY63" s="264"/>
      <c r="AZ63" s="264"/>
      <c r="BA63" s="301"/>
      <c r="BB63" s="302"/>
      <c r="BC63" s="303"/>
      <c r="BD63" s="28"/>
    </row>
    <row r="64" spans="1:74" ht="13.5" customHeight="1">
      <c r="A64" s="22"/>
      <c r="B64" s="202">
        <v>21</v>
      </c>
      <c r="C64" s="304" t="s">
        <v>32</v>
      </c>
      <c r="D64" s="234" t="s">
        <v>262</v>
      </c>
      <c r="E64" s="235"/>
      <c r="F64" s="234" t="s">
        <v>65</v>
      </c>
      <c r="G64" s="235"/>
      <c r="H64" s="235"/>
      <c r="I64" s="236"/>
      <c r="J64" s="237" t="s">
        <v>34</v>
      </c>
      <c r="K64" s="238"/>
      <c r="L64" s="238"/>
      <c r="M64" s="238"/>
      <c r="N64" s="235"/>
      <c r="O64" s="236"/>
      <c r="P64" s="239" t="s">
        <v>68</v>
      </c>
      <c r="Q64" s="240"/>
      <c r="R64" s="240"/>
      <c r="S64" s="241"/>
      <c r="T64" s="234" t="s">
        <v>80</v>
      </c>
      <c r="U64" s="235"/>
      <c r="V64" s="235"/>
      <c r="W64" s="236"/>
      <c r="X64" s="234" t="s">
        <v>151</v>
      </c>
      <c r="Y64" s="235"/>
      <c r="Z64" s="235"/>
      <c r="AA64" s="235"/>
      <c r="AB64" s="239" t="s">
        <v>66</v>
      </c>
      <c r="AC64" s="240"/>
      <c r="AD64" s="240"/>
      <c r="AE64" s="240"/>
      <c r="AF64" s="241"/>
      <c r="AG64" s="240" t="s">
        <v>69</v>
      </c>
      <c r="AH64" s="240"/>
      <c r="AI64" s="240"/>
      <c r="AJ64" s="241"/>
      <c r="AK64" s="240" t="s">
        <v>67</v>
      </c>
      <c r="AL64" s="240"/>
      <c r="AM64" s="240"/>
      <c r="AN64" s="241"/>
      <c r="AO64" s="239" t="s">
        <v>162</v>
      </c>
      <c r="AP64" s="240"/>
      <c r="AQ64" s="240"/>
      <c r="AR64" s="241"/>
      <c r="AS64" s="239" t="s">
        <v>83</v>
      </c>
      <c r="AT64" s="240"/>
      <c r="AU64" s="240"/>
      <c r="AV64" s="240"/>
      <c r="AW64" s="357" t="s">
        <v>84</v>
      </c>
      <c r="AX64" s="240"/>
      <c r="AY64" s="240"/>
      <c r="AZ64" s="241"/>
      <c r="BA64" s="239" t="s">
        <v>85</v>
      </c>
      <c r="BB64" s="240"/>
      <c r="BC64" s="240"/>
      <c r="BD64" s="241"/>
      <c r="BE64" s="240" t="s">
        <v>86</v>
      </c>
      <c r="BF64" s="240"/>
      <c r="BG64" s="241"/>
      <c r="BH64" s="240" t="s">
        <v>87</v>
      </c>
      <c r="BI64" s="240"/>
      <c r="BJ64" s="240"/>
      <c r="BK64" s="241"/>
      <c r="BL64" s="240" t="s">
        <v>70</v>
      </c>
      <c r="BM64" s="240"/>
      <c r="BN64" s="240"/>
      <c r="BO64" s="241"/>
    </row>
    <row r="65" spans="1:67" ht="13.5" customHeight="1">
      <c r="A65" s="22"/>
      <c r="B65" s="202">
        <v>22</v>
      </c>
      <c r="C65" s="308">
        <v>1</v>
      </c>
      <c r="D65" s="148" t="str">
        <f>N50</f>
        <v>KFH</v>
      </c>
      <c r="E65" s="149"/>
      <c r="F65" s="148" t="str">
        <f>D50</f>
        <v>4800215830</v>
      </c>
      <c r="G65" s="149"/>
      <c r="H65" s="149"/>
      <c r="I65" s="151"/>
      <c r="J65" s="242" t="str">
        <f>H50</f>
        <v>TF38-20S-0.5SV(830)</v>
      </c>
      <c r="K65" s="150"/>
      <c r="L65" s="150"/>
      <c r="M65" s="150"/>
      <c r="N65" s="161"/>
      <c r="O65" s="162"/>
      <c r="P65" s="148" t="s">
        <v>148</v>
      </c>
      <c r="Q65" s="150"/>
      <c r="R65" s="150"/>
      <c r="S65" s="162"/>
      <c r="T65" s="1097">
        <f>R50</f>
        <v>70000</v>
      </c>
      <c r="U65" s="1098"/>
      <c r="V65" s="1098"/>
      <c r="W65" s="1099"/>
      <c r="X65" s="1127">
        <f>SUM(Z50:AC51)</f>
        <v>6.7299999999999999E-2</v>
      </c>
      <c r="Y65" s="1128"/>
      <c r="Z65" s="1128"/>
      <c r="AA65" s="1129"/>
      <c r="AB65" s="1130">
        <f>BB50</f>
        <v>0.151</v>
      </c>
      <c r="AC65" s="1131"/>
      <c r="AD65" s="1131"/>
      <c r="AE65" s="1131"/>
      <c r="AF65" s="1132"/>
      <c r="AG65" s="1111">
        <f>AL50</f>
        <v>0</v>
      </c>
      <c r="AH65" s="1112"/>
      <c r="AI65" s="1112"/>
      <c r="AJ65" s="1113"/>
      <c r="AK65" s="1111">
        <f>AH50</f>
        <v>0.1211</v>
      </c>
      <c r="AL65" s="1112"/>
      <c r="AM65" s="1112"/>
      <c r="AN65" s="1113"/>
      <c r="AO65" s="1092">
        <f>1-Z50/AT50</f>
        <v>0.50478292862398821</v>
      </c>
      <c r="AP65" s="1093"/>
      <c r="AQ65" s="1093"/>
      <c r="AR65" s="1094"/>
      <c r="AS65" s="1089" t="str">
        <f>IFERROR((AK65-AG65)/AG65,"")</f>
        <v/>
      </c>
      <c r="AT65" s="1090"/>
      <c r="AU65" s="1090"/>
      <c r="AV65" s="1091"/>
      <c r="AW65" s="1111">
        <f>AX50</f>
        <v>0.151</v>
      </c>
      <c r="AX65" s="1112"/>
      <c r="AY65" s="1112"/>
      <c r="AZ65" s="1113"/>
      <c r="BA65" s="1092">
        <f>1-(AH50/AX50)</f>
        <v>0.19801324503311257</v>
      </c>
      <c r="BB65" s="1093"/>
      <c r="BC65" s="1093"/>
      <c r="BD65" s="1094"/>
      <c r="BE65" s="1127">
        <f>BF50</f>
        <v>6.1000000000000004E-3</v>
      </c>
      <c r="BF65" s="1128"/>
      <c r="BG65" s="1129"/>
      <c r="BH65" s="1121"/>
      <c r="BI65" s="1122"/>
      <c r="BJ65" s="1122"/>
      <c r="BK65" s="1123"/>
      <c r="BL65" s="149" t="s">
        <v>30</v>
      </c>
      <c r="BM65" s="150"/>
      <c r="BN65" s="150"/>
      <c r="BO65" s="152"/>
    </row>
    <row r="66" spans="1:67" ht="13.5" customHeight="1">
      <c r="A66" s="22"/>
      <c r="B66" s="202">
        <v>23</v>
      </c>
      <c r="C66" s="308">
        <v>2</v>
      </c>
      <c r="D66" s="148"/>
      <c r="E66" s="149"/>
      <c r="F66" s="148" t="s">
        <v>30</v>
      </c>
      <c r="G66" s="149"/>
      <c r="H66" s="149"/>
      <c r="I66" s="151"/>
      <c r="J66" s="242"/>
      <c r="K66" s="150"/>
      <c r="L66" s="150"/>
      <c r="M66" s="150"/>
      <c r="N66" s="161"/>
      <c r="O66" s="162"/>
      <c r="P66" s="148"/>
      <c r="Q66" s="150"/>
      <c r="R66" s="150"/>
      <c r="S66" s="162"/>
      <c r="T66" s="1097"/>
      <c r="U66" s="1098"/>
      <c r="V66" s="1098"/>
      <c r="W66" s="1099"/>
      <c r="X66" s="1086"/>
      <c r="Y66" s="1095"/>
      <c r="Z66" s="1095"/>
      <c r="AA66" s="1096"/>
      <c r="AB66" s="1124"/>
      <c r="AC66" s="1125"/>
      <c r="AD66" s="1125"/>
      <c r="AE66" s="1125"/>
      <c r="AF66" s="1126"/>
      <c r="AG66" s="1086"/>
      <c r="AH66" s="1095"/>
      <c r="AI66" s="1095"/>
      <c r="AJ66" s="1096"/>
      <c r="AK66" s="1086"/>
      <c r="AL66" s="1095"/>
      <c r="AM66" s="1095"/>
      <c r="AN66" s="1096"/>
      <c r="AO66" s="1092"/>
      <c r="AP66" s="1093"/>
      <c r="AQ66" s="1093"/>
      <c r="AR66" s="1094"/>
      <c r="AS66" s="1089"/>
      <c r="AT66" s="1090"/>
      <c r="AU66" s="1090"/>
      <c r="AV66" s="1091"/>
      <c r="AW66" s="1086"/>
      <c r="AX66" s="1095"/>
      <c r="AY66" s="1095"/>
      <c r="AZ66" s="1096"/>
      <c r="BA66" s="1092"/>
      <c r="BB66" s="1093"/>
      <c r="BC66" s="1093"/>
      <c r="BD66" s="1094"/>
      <c r="BE66" s="1083"/>
      <c r="BF66" s="1084"/>
      <c r="BG66" s="1085"/>
      <c r="BH66" s="149"/>
      <c r="BI66" s="150"/>
      <c r="BJ66" s="150"/>
      <c r="BK66" s="152"/>
      <c r="BL66" s="149"/>
      <c r="BM66" s="150"/>
      <c r="BN66" s="150"/>
      <c r="BO66" s="152"/>
    </row>
    <row r="67" spans="1:67" ht="13.5" customHeight="1">
      <c r="A67" s="22"/>
      <c r="B67" s="202">
        <v>20</v>
      </c>
      <c r="C67" s="337" t="s">
        <v>283</v>
      </c>
      <c r="D67" s="28"/>
      <c r="E67" s="28"/>
      <c r="F67" s="28"/>
      <c r="G67" s="28"/>
      <c r="H67" s="121"/>
      <c r="I67" s="62"/>
      <c r="J67" s="63"/>
      <c r="K67" s="62"/>
      <c r="L67" s="63"/>
      <c r="M67" s="69"/>
      <c r="N67" s="69"/>
      <c r="O67" s="65"/>
      <c r="P67" s="69"/>
      <c r="Q67" s="65"/>
      <c r="R67" s="69"/>
      <c r="S67" s="28"/>
      <c r="T67" s="28"/>
      <c r="U67" s="28"/>
      <c r="V67" s="28"/>
      <c r="W67" s="28"/>
      <c r="X67" s="121"/>
      <c r="Y67" s="62"/>
      <c r="Z67" s="63"/>
      <c r="AA67" s="62"/>
      <c r="AB67" s="63"/>
      <c r="AC67" s="69"/>
      <c r="AD67" s="69"/>
      <c r="AE67" s="65"/>
      <c r="AF67" s="69"/>
      <c r="AG67" s="65"/>
      <c r="AH67" s="69"/>
      <c r="AI67" s="64"/>
      <c r="AJ67" s="69"/>
      <c r="AK67" s="65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33"/>
      <c r="AW67" s="28"/>
      <c r="AX67" s="28"/>
      <c r="AY67" s="31"/>
      <c r="AZ67" s="95"/>
      <c r="BA67" s="92"/>
      <c r="BB67" s="329"/>
      <c r="BC67" s="338"/>
      <c r="BD67" s="37"/>
      <c r="BE67" s="37"/>
    </row>
    <row r="68" spans="1:67" ht="13.5" customHeight="1">
      <c r="A68" s="22"/>
      <c r="B68" s="202">
        <v>24</v>
      </c>
      <c r="C68" s="304"/>
      <c r="D68" s="502" t="s">
        <v>282</v>
      </c>
      <c r="E68" s="503"/>
      <c r="F68" s="504" t="s">
        <v>296</v>
      </c>
      <c r="G68" s="503"/>
      <c r="H68" s="503"/>
      <c r="I68" s="505"/>
      <c r="J68" s="504" t="s">
        <v>30</v>
      </c>
      <c r="K68" s="506"/>
      <c r="L68" s="506"/>
      <c r="M68" s="506"/>
      <c r="N68" s="503"/>
      <c r="O68" s="505"/>
      <c r="P68" s="507"/>
      <c r="Q68" s="508"/>
      <c r="R68" s="508"/>
      <c r="S68" s="509"/>
      <c r="T68" s="502" t="s">
        <v>103</v>
      </c>
      <c r="U68" s="503"/>
      <c r="V68" s="503"/>
      <c r="W68" s="509"/>
      <c r="X68" s="510" t="s">
        <v>235</v>
      </c>
      <c r="Y68" s="508"/>
      <c r="Z68" s="508"/>
      <c r="AA68" s="509"/>
      <c r="AB68" s="513" t="s">
        <v>30</v>
      </c>
      <c r="AC68" s="508"/>
      <c r="AD68" s="508"/>
      <c r="AE68" s="508"/>
      <c r="AF68" s="508"/>
      <c r="AG68" s="511" t="s">
        <v>164</v>
      </c>
      <c r="AH68" s="508"/>
      <c r="AI68" s="508"/>
      <c r="AJ68" s="509"/>
      <c r="AK68" s="514" t="s">
        <v>165</v>
      </c>
      <c r="AL68" s="508"/>
      <c r="AM68" s="508"/>
      <c r="AN68" s="509"/>
      <c r="AO68" s="507" t="s">
        <v>83</v>
      </c>
      <c r="AP68" s="508"/>
      <c r="AQ68" s="508"/>
      <c r="AR68" s="508"/>
      <c r="AS68" s="507" t="s">
        <v>101</v>
      </c>
      <c r="AT68" s="508"/>
      <c r="AU68" s="508"/>
      <c r="AV68" s="509"/>
      <c r="AW68" s="511" t="s">
        <v>30</v>
      </c>
      <c r="AX68" s="508"/>
      <c r="AY68" s="508"/>
      <c r="AZ68" s="509"/>
      <c r="BA68" s="511" t="s">
        <v>30</v>
      </c>
      <c r="BB68" s="508"/>
      <c r="BC68" s="508"/>
      <c r="BD68" s="509"/>
      <c r="BE68" s="508"/>
      <c r="BF68" s="508"/>
      <c r="BG68" s="509"/>
      <c r="BH68" s="508"/>
      <c r="BI68" s="508"/>
      <c r="BJ68" s="508"/>
      <c r="BK68" s="509"/>
      <c r="BL68" s="508"/>
      <c r="BM68" s="508"/>
      <c r="BN68" s="508"/>
      <c r="BO68" s="509"/>
    </row>
    <row r="69" spans="1:67" ht="13.5" customHeight="1">
      <c r="A69" s="22"/>
      <c r="B69" s="202">
        <v>25</v>
      </c>
      <c r="C69" s="308">
        <v>1</v>
      </c>
      <c r="D69" s="148" t="s">
        <v>161</v>
      </c>
      <c r="E69" s="149"/>
      <c r="F69" s="148" t="s">
        <v>149</v>
      </c>
      <c r="G69" s="149"/>
      <c r="H69" s="149"/>
      <c r="I69" s="151"/>
      <c r="J69" s="221"/>
      <c r="K69" s="222"/>
      <c r="L69" s="222"/>
      <c r="M69" s="222"/>
      <c r="N69" s="161"/>
      <c r="O69" s="162"/>
      <c r="P69" s="148"/>
      <c r="Q69" s="150"/>
      <c r="R69" s="150"/>
      <c r="S69" s="162"/>
      <c r="T69" s="1097">
        <f>SUMPRODUCT($T$65:$W$66,$AK$65:$AN$66)</f>
        <v>8477</v>
      </c>
      <c r="U69" s="1098"/>
      <c r="V69" s="1098"/>
      <c r="W69" s="1099"/>
      <c r="X69" s="1074">
        <f>SUMPRODUCT(R46:U47,Z46:AC47)</f>
        <v>0</v>
      </c>
      <c r="Y69" s="1075"/>
      <c r="Z69" s="1075"/>
      <c r="AA69" s="1076"/>
      <c r="AB69" s="252"/>
      <c r="AC69" s="252"/>
      <c r="AD69" s="252"/>
      <c r="AE69" s="252"/>
      <c r="AF69" s="252"/>
      <c r="AG69" s="1074">
        <f>$T69-$X69</f>
        <v>8477</v>
      </c>
      <c r="AH69" s="1075"/>
      <c r="AI69" s="1075"/>
      <c r="AJ69" s="1076"/>
      <c r="AK69" s="1118">
        <f>AG69/T69</f>
        <v>1</v>
      </c>
      <c r="AL69" s="1119"/>
      <c r="AM69" s="1119"/>
      <c r="AN69" s="1120"/>
      <c r="AO69" s="1077">
        <f>IFERROR(AS69/($T69-AS69),"")</f>
        <v>-0.5</v>
      </c>
      <c r="AP69" s="1078"/>
      <c r="AQ69" s="1078"/>
      <c r="AR69" s="1079"/>
      <c r="AS69" s="1080">
        <f>$T$65*($AG$65-$AK$65)+$T$66*($AG$66-$AK$66)</f>
        <v>-8477</v>
      </c>
      <c r="AT69" s="1081"/>
      <c r="AU69" s="1081"/>
      <c r="AV69" s="1082"/>
      <c r="AW69" s="1068"/>
      <c r="AX69" s="1069"/>
      <c r="AY69" s="1069"/>
      <c r="AZ69" s="1070"/>
      <c r="BA69" s="148" t="s">
        <v>30</v>
      </c>
      <c r="BB69" s="150"/>
      <c r="BC69" s="150"/>
      <c r="BD69" s="152"/>
      <c r="BE69" s="149" t="s">
        <v>30</v>
      </c>
      <c r="BF69" s="150"/>
      <c r="BG69" s="152"/>
      <c r="BH69" s="149" t="s">
        <v>30</v>
      </c>
      <c r="BI69" s="150"/>
      <c r="BJ69" s="150"/>
      <c r="BK69" s="152"/>
      <c r="BL69" s="149" t="s">
        <v>30</v>
      </c>
      <c r="BM69" s="150"/>
      <c r="BN69" s="150"/>
      <c r="BO69" s="152"/>
    </row>
    <row r="70" spans="1:67" ht="13.5" customHeight="1">
      <c r="A70" s="22"/>
      <c r="B70" s="202">
        <v>25</v>
      </c>
      <c r="C70" s="308">
        <v>2</v>
      </c>
      <c r="D70" s="148" t="s">
        <v>161</v>
      </c>
      <c r="E70" s="149"/>
      <c r="F70" s="148" t="s">
        <v>208</v>
      </c>
      <c r="G70" s="149"/>
      <c r="H70" s="149"/>
      <c r="I70" s="151"/>
      <c r="J70" s="221"/>
      <c r="K70" s="222"/>
      <c r="L70" s="222"/>
      <c r="M70" s="222"/>
      <c r="N70" s="161"/>
      <c r="O70" s="162"/>
      <c r="P70" s="148"/>
      <c r="Q70" s="150"/>
      <c r="R70" s="150"/>
      <c r="S70" s="162"/>
      <c r="T70" s="1097">
        <f>SUMPRODUCT($T$65:$W$66,$AK$65:$AN$66)</f>
        <v>8477</v>
      </c>
      <c r="U70" s="1098"/>
      <c r="V70" s="1098"/>
      <c r="W70" s="1099"/>
      <c r="X70" s="1074">
        <f>SUMPRODUCT(R47:U48,Z47:AC48)</f>
        <v>0</v>
      </c>
      <c r="Y70" s="1075"/>
      <c r="Z70" s="1075"/>
      <c r="AA70" s="1076"/>
      <c r="AB70" s="252"/>
      <c r="AC70" s="252"/>
      <c r="AD70" s="252"/>
      <c r="AE70" s="252"/>
      <c r="AF70" s="252"/>
      <c r="AG70" s="1074">
        <f>$T70-$X70</f>
        <v>8477</v>
      </c>
      <c r="AH70" s="1075"/>
      <c r="AI70" s="1075"/>
      <c r="AJ70" s="1076"/>
      <c r="AK70" s="1118">
        <f>AG70/T70</f>
        <v>1</v>
      </c>
      <c r="AL70" s="1119"/>
      <c r="AM70" s="1119"/>
      <c r="AN70" s="1120"/>
      <c r="AO70" s="1077">
        <f>IFERROR(AS70/($T70-AS70),"")</f>
        <v>-0.5</v>
      </c>
      <c r="AP70" s="1078"/>
      <c r="AQ70" s="1078"/>
      <c r="AR70" s="1079"/>
      <c r="AS70" s="1080">
        <f>$T$65*($AG$65-$AK$65)+$T$66*($AG$66-$AK$66)</f>
        <v>-8477</v>
      </c>
      <c r="AT70" s="1081"/>
      <c r="AU70" s="1081"/>
      <c r="AV70" s="1082"/>
      <c r="AW70" s="1068"/>
      <c r="AX70" s="1069"/>
      <c r="AY70" s="1069"/>
      <c r="AZ70" s="1070"/>
      <c r="BA70" s="148" t="s">
        <v>30</v>
      </c>
      <c r="BB70" s="150"/>
      <c r="BC70" s="150"/>
      <c r="BD70" s="152"/>
      <c r="BE70" s="149" t="s">
        <v>30</v>
      </c>
      <c r="BF70" s="150"/>
      <c r="BG70" s="152"/>
      <c r="BH70" s="149" t="s">
        <v>30</v>
      </c>
      <c r="BI70" s="150"/>
      <c r="BJ70" s="150"/>
      <c r="BK70" s="152"/>
      <c r="BL70" s="149" t="s">
        <v>30</v>
      </c>
      <c r="BM70" s="150"/>
      <c r="BN70" s="150"/>
      <c r="BO70" s="152"/>
    </row>
    <row r="71" spans="1:67" ht="13.5" customHeight="1">
      <c r="A71" s="22"/>
      <c r="B71" s="202">
        <v>20</v>
      </c>
      <c r="C71" s="337" t="s">
        <v>281</v>
      </c>
      <c r="D71" s="28"/>
      <c r="E71" s="28"/>
      <c r="F71" s="28"/>
      <c r="G71" s="28"/>
      <c r="H71" s="121"/>
      <c r="I71" s="62"/>
      <c r="J71" s="63"/>
      <c r="K71" s="62"/>
      <c r="L71" s="63"/>
      <c r="M71" s="69"/>
      <c r="N71" s="69"/>
      <c r="O71" s="65"/>
      <c r="P71" s="69"/>
      <c r="Q71" s="65"/>
      <c r="R71" s="69"/>
      <c r="S71" s="28"/>
      <c r="T71" s="28"/>
      <c r="U71" s="28"/>
      <c r="V71" s="28"/>
      <c r="W71" s="28"/>
      <c r="X71" s="121"/>
      <c r="Y71" s="62"/>
      <c r="Z71" s="63"/>
      <c r="AA71" s="62"/>
      <c r="AB71" s="63"/>
      <c r="AC71" s="69"/>
      <c r="AD71" s="69"/>
      <c r="AE71" s="65"/>
      <c r="AF71" s="69"/>
      <c r="AG71" s="65"/>
      <c r="AH71" s="69"/>
      <c r="AI71" s="64"/>
      <c r="AJ71" s="69"/>
      <c r="AK71" s="65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33"/>
      <c r="AW71" s="28"/>
      <c r="AX71" s="28"/>
      <c r="AY71" s="31"/>
      <c r="AZ71" s="95"/>
      <c r="BA71" s="92"/>
      <c r="BB71" s="329"/>
      <c r="BC71" s="338"/>
      <c r="BD71" s="37"/>
      <c r="BE71" s="37"/>
    </row>
    <row r="72" spans="1:67" ht="13.5" customHeight="1">
      <c r="A72" s="22"/>
      <c r="B72" s="202">
        <v>24</v>
      </c>
      <c r="C72" s="304"/>
      <c r="D72" s="243"/>
      <c r="E72" s="244"/>
      <c r="F72" s="243" t="s">
        <v>298</v>
      </c>
      <c r="G72" s="244"/>
      <c r="H72" s="244"/>
      <c r="I72" s="245"/>
      <c r="J72" s="246" t="s">
        <v>30</v>
      </c>
      <c r="K72" s="247"/>
      <c r="L72" s="247"/>
      <c r="M72" s="247"/>
      <c r="N72" s="244"/>
      <c r="O72" s="245"/>
      <c r="P72" s="248"/>
      <c r="Q72" s="249"/>
      <c r="R72" s="249"/>
      <c r="S72" s="250"/>
      <c r="T72" s="243" t="s">
        <v>103</v>
      </c>
      <c r="U72" s="244"/>
      <c r="V72" s="244"/>
      <c r="W72" s="250"/>
      <c r="X72" s="330" t="s">
        <v>235</v>
      </c>
      <c r="Y72" s="249"/>
      <c r="Z72" s="249"/>
      <c r="AA72" s="250"/>
      <c r="AB72" s="251" t="s">
        <v>30</v>
      </c>
      <c r="AC72" s="249"/>
      <c r="AD72" s="249"/>
      <c r="AE72" s="249"/>
      <c r="AF72" s="249"/>
      <c r="AG72" s="253" t="s">
        <v>164</v>
      </c>
      <c r="AH72" s="249"/>
      <c r="AI72" s="249"/>
      <c r="AJ72" s="250"/>
      <c r="AK72" s="358" t="s">
        <v>165</v>
      </c>
      <c r="AL72" s="249"/>
      <c r="AM72" s="249"/>
      <c r="AN72" s="250"/>
      <c r="AO72" s="248" t="s">
        <v>83</v>
      </c>
      <c r="AP72" s="249"/>
      <c r="AQ72" s="249"/>
      <c r="AR72" s="249"/>
      <c r="AS72" s="248" t="s">
        <v>101</v>
      </c>
      <c r="AT72" s="249"/>
      <c r="AU72" s="249"/>
      <c r="AV72" s="250"/>
      <c r="AW72" s="253" t="s">
        <v>30</v>
      </c>
      <c r="AX72" s="249"/>
      <c r="AY72" s="249"/>
      <c r="AZ72" s="250"/>
      <c r="BA72" s="253" t="s">
        <v>30</v>
      </c>
      <c r="BB72" s="249"/>
      <c r="BC72" s="249"/>
      <c r="BD72" s="250"/>
      <c r="BE72" s="249"/>
      <c r="BF72" s="249"/>
      <c r="BG72" s="250"/>
      <c r="BH72" s="249"/>
      <c r="BI72" s="249"/>
      <c r="BJ72" s="249"/>
      <c r="BK72" s="250"/>
      <c r="BL72" s="249"/>
      <c r="BM72" s="249"/>
      <c r="BN72" s="249"/>
      <c r="BO72" s="250"/>
    </row>
    <row r="73" spans="1:67" ht="13.5" customHeight="1">
      <c r="A73" s="22"/>
      <c r="B73" s="202">
        <v>25</v>
      </c>
      <c r="C73" s="308"/>
      <c r="D73" s="148"/>
      <c r="E73" s="149"/>
      <c r="F73" s="148" t="s">
        <v>149</v>
      </c>
      <c r="G73" s="149"/>
      <c r="H73" s="149"/>
      <c r="I73" s="151"/>
      <c r="J73" s="221"/>
      <c r="K73" s="222"/>
      <c r="L73" s="222"/>
      <c r="M73" s="222"/>
      <c r="N73" s="161"/>
      <c r="O73" s="162"/>
      <c r="P73" s="148"/>
      <c r="Q73" s="150"/>
      <c r="R73" s="150"/>
      <c r="S73" s="162"/>
      <c r="T73" s="1097">
        <f>SUMPRODUCT($T$65:$W$66,$AK$65:$AN$66)</f>
        <v>8477</v>
      </c>
      <c r="U73" s="1098"/>
      <c r="V73" s="1098"/>
      <c r="W73" s="1099"/>
      <c r="X73" s="1074">
        <f>SUMPRODUCT(R49:U50,Z49:AC50)</f>
        <v>4711</v>
      </c>
      <c r="Y73" s="1075"/>
      <c r="Z73" s="1075"/>
      <c r="AA73" s="1076"/>
      <c r="AB73" s="252"/>
      <c r="AC73" s="252"/>
      <c r="AD73" s="252"/>
      <c r="AE73" s="252"/>
      <c r="AF73" s="252"/>
      <c r="AG73" s="1074">
        <f>$T73-$X73</f>
        <v>3766</v>
      </c>
      <c r="AH73" s="1075"/>
      <c r="AI73" s="1075"/>
      <c r="AJ73" s="1076"/>
      <c r="AK73" s="1118">
        <f>AG73/T73</f>
        <v>0.44426094137076794</v>
      </c>
      <c r="AL73" s="1119"/>
      <c r="AM73" s="1119"/>
      <c r="AN73" s="1120"/>
      <c r="AO73" s="1077">
        <f>IFERROR(AS73/($T73-AS73),"")</f>
        <v>-0.5</v>
      </c>
      <c r="AP73" s="1078"/>
      <c r="AQ73" s="1078"/>
      <c r="AR73" s="1079"/>
      <c r="AS73" s="1080">
        <f>$T$65*($AG$65-$AK$65)+$T$66*($AG$66-$AK$66)</f>
        <v>-8477</v>
      </c>
      <c r="AT73" s="1081"/>
      <c r="AU73" s="1081"/>
      <c r="AV73" s="1082"/>
      <c r="AW73" s="1068"/>
      <c r="AX73" s="1069"/>
      <c r="AY73" s="1069"/>
      <c r="AZ73" s="1070"/>
      <c r="BA73" s="148" t="s">
        <v>30</v>
      </c>
      <c r="BB73" s="150"/>
      <c r="BC73" s="150"/>
      <c r="BD73" s="152"/>
      <c r="BE73" s="149" t="s">
        <v>30</v>
      </c>
      <c r="BF73" s="150"/>
      <c r="BG73" s="152"/>
      <c r="BH73" s="149" t="s">
        <v>30</v>
      </c>
      <c r="BI73" s="150"/>
      <c r="BJ73" s="150"/>
      <c r="BK73" s="152"/>
      <c r="BL73" s="149" t="s">
        <v>30</v>
      </c>
      <c r="BM73" s="150"/>
      <c r="BN73" s="150"/>
      <c r="BO73" s="152"/>
    </row>
    <row r="74" spans="1:67" ht="13.5" customHeight="1">
      <c r="A74" s="22"/>
      <c r="B74" s="202">
        <v>25</v>
      </c>
      <c r="C74" s="308"/>
      <c r="D74" s="148"/>
      <c r="E74" s="149"/>
      <c r="F74" s="148" t="s">
        <v>208</v>
      </c>
      <c r="G74" s="149"/>
      <c r="H74" s="149"/>
      <c r="I74" s="151"/>
      <c r="J74" s="221"/>
      <c r="K74" s="222"/>
      <c r="L74" s="222"/>
      <c r="M74" s="222"/>
      <c r="N74" s="161"/>
      <c r="O74" s="162"/>
      <c r="P74" s="148"/>
      <c r="Q74" s="150"/>
      <c r="R74" s="150"/>
      <c r="S74" s="162"/>
      <c r="T74" s="1097">
        <f>SUMPRODUCT($T$65:$W$66,$AK$65:$AN$66)</f>
        <v>8477</v>
      </c>
      <c r="U74" s="1098"/>
      <c r="V74" s="1098"/>
      <c r="W74" s="1099"/>
      <c r="X74" s="1074">
        <f>SUMPRODUCT(R50:U51,Z50:AC51)</f>
        <v>4711</v>
      </c>
      <c r="Y74" s="1075"/>
      <c r="Z74" s="1075"/>
      <c r="AA74" s="1076"/>
      <c r="AB74" s="252"/>
      <c r="AC74" s="252"/>
      <c r="AD74" s="252"/>
      <c r="AE74" s="252"/>
      <c r="AF74" s="252"/>
      <c r="AG74" s="1074">
        <f>$T74-$X74</f>
        <v>3766</v>
      </c>
      <c r="AH74" s="1075"/>
      <c r="AI74" s="1075"/>
      <c r="AJ74" s="1076"/>
      <c r="AK74" s="1118">
        <f>AG74/T74</f>
        <v>0.44426094137076794</v>
      </c>
      <c r="AL74" s="1119"/>
      <c r="AM74" s="1119"/>
      <c r="AN74" s="1120"/>
      <c r="AO74" s="1077">
        <f>IFERROR(AS74/($T74-AS74),"")</f>
        <v>-0.5</v>
      </c>
      <c r="AP74" s="1078"/>
      <c r="AQ74" s="1078"/>
      <c r="AR74" s="1079"/>
      <c r="AS74" s="1080">
        <f>$T$65*($AG$65-$AK$65)+$T$66*($AG$66-$AK$66)</f>
        <v>-8477</v>
      </c>
      <c r="AT74" s="1081"/>
      <c r="AU74" s="1081"/>
      <c r="AV74" s="1082"/>
      <c r="AW74" s="1068"/>
      <c r="AX74" s="1069"/>
      <c r="AY74" s="1069"/>
      <c r="AZ74" s="1070"/>
      <c r="BA74" s="148" t="s">
        <v>30</v>
      </c>
      <c r="BB74" s="150"/>
      <c r="BC74" s="150"/>
      <c r="BD74" s="152"/>
      <c r="BE74" s="149" t="s">
        <v>30</v>
      </c>
      <c r="BF74" s="150"/>
      <c r="BG74" s="152"/>
      <c r="BH74" s="149" t="s">
        <v>30</v>
      </c>
      <c r="BI74" s="150"/>
      <c r="BJ74" s="150"/>
      <c r="BK74" s="152"/>
      <c r="BL74" s="149" t="s">
        <v>30</v>
      </c>
      <c r="BM74" s="150"/>
      <c r="BN74" s="150"/>
      <c r="BO74" s="152"/>
    </row>
    <row r="75" spans="1:67" ht="13.5" customHeight="1">
      <c r="A75" s="22"/>
      <c r="B75" s="202">
        <v>26</v>
      </c>
      <c r="C75" s="339"/>
      <c r="D75" s="75"/>
      <c r="E75" s="75"/>
      <c r="F75" s="75"/>
      <c r="G75" s="75"/>
      <c r="H75" s="199"/>
      <c r="I75" s="199"/>
      <c r="J75" s="200"/>
      <c r="K75" s="199"/>
      <c r="L75" s="200"/>
      <c r="M75" s="199"/>
      <c r="N75" s="199"/>
      <c r="O75" s="83"/>
      <c r="P75" s="84"/>
      <c r="Q75" s="84"/>
      <c r="R75" s="84"/>
      <c r="S75" s="75"/>
      <c r="T75" s="75"/>
      <c r="U75" s="75"/>
      <c r="V75" s="75"/>
      <c r="W75" s="75"/>
      <c r="X75" s="85"/>
      <c r="Y75" s="75"/>
      <c r="Z75" s="84"/>
      <c r="AA75" s="85"/>
      <c r="AB75" s="75"/>
      <c r="AC75" s="84"/>
      <c r="AD75" s="85"/>
      <c r="AE75" s="84"/>
      <c r="AF75" s="84"/>
      <c r="AG75" s="85"/>
      <c r="AH75" s="84"/>
      <c r="AI75" s="84"/>
      <c r="AJ75" s="90"/>
      <c r="AK75" s="84"/>
      <c r="AL75" s="84"/>
      <c r="AM75" s="84"/>
      <c r="AN75" s="84"/>
      <c r="AO75" s="84"/>
      <c r="AP75" s="84"/>
      <c r="AQ75" s="84"/>
      <c r="AR75" s="84"/>
      <c r="AS75" s="65"/>
      <c r="AT75" s="65"/>
      <c r="AU75" s="65"/>
      <c r="AV75" s="65"/>
      <c r="AW75" s="65"/>
      <c r="AX75" s="65"/>
      <c r="AY75" s="63"/>
      <c r="AZ75" s="264"/>
      <c r="BA75" s="301"/>
      <c r="BB75" s="302"/>
      <c r="BC75" s="343"/>
      <c r="BD75" s="28"/>
    </row>
    <row r="76" spans="1:67" ht="13.5" customHeight="1">
      <c r="A76" s="22"/>
      <c r="B76" s="202">
        <v>27</v>
      </c>
      <c r="C76" s="340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S76" s="35"/>
      <c r="T76" s="35"/>
      <c r="U76" s="35"/>
      <c r="V76" s="35"/>
      <c r="Y76" s="35"/>
      <c r="Z76" s="35"/>
      <c r="AD76" s="35"/>
      <c r="AE76" s="35"/>
      <c r="AF76" s="35"/>
      <c r="AG76" s="35"/>
      <c r="AH76" s="35"/>
      <c r="AI76" s="35"/>
      <c r="AJ76" s="35"/>
      <c r="AK76" s="35"/>
      <c r="AL76" s="84"/>
      <c r="AM76" s="84"/>
      <c r="AN76" s="84"/>
      <c r="AO76" s="84"/>
      <c r="AP76" s="84"/>
      <c r="AQ76" s="84"/>
      <c r="AR76" s="84"/>
      <c r="AS76" s="254"/>
      <c r="AT76" s="35"/>
      <c r="AU76" s="35"/>
      <c r="AV76" s="65"/>
      <c r="AW76" s="65"/>
      <c r="AX76" s="65"/>
      <c r="AY76" s="63"/>
      <c r="AZ76" s="31"/>
      <c r="BA76" s="30"/>
      <c r="BB76" s="175"/>
      <c r="BC76" s="345"/>
      <c r="BD76" s="28"/>
    </row>
    <row r="77" spans="1:67" ht="13.5" customHeight="1">
      <c r="A77" s="22"/>
      <c r="B77" s="202">
        <v>28</v>
      </c>
      <c r="C77" s="341"/>
      <c r="D77" s="71"/>
      <c r="E77" s="71"/>
      <c r="F77" s="71"/>
      <c r="G77" s="71"/>
      <c r="H77" s="71"/>
      <c r="I77" s="71"/>
      <c r="J77" s="71"/>
      <c r="K77" s="68"/>
      <c r="L77" s="68"/>
      <c r="M77" s="68"/>
      <c r="N77" s="91"/>
      <c r="O77" s="68"/>
      <c r="P77" s="68"/>
      <c r="Q77" s="68"/>
      <c r="R77" s="68"/>
      <c r="S77" s="68"/>
      <c r="T77" s="68"/>
      <c r="U77" s="68"/>
      <c r="V77" s="68"/>
      <c r="W77" s="91"/>
      <c r="X77" s="68"/>
      <c r="Y77" s="68"/>
      <c r="Z77" s="68"/>
      <c r="AA77" s="68"/>
      <c r="AB77" s="68"/>
      <c r="AC77" s="68"/>
      <c r="AD77" s="68"/>
      <c r="AE77" s="68"/>
      <c r="AF77" s="68"/>
      <c r="AG77" s="68"/>
      <c r="AH77" s="68"/>
      <c r="AI77" s="68"/>
      <c r="AJ77" s="68"/>
      <c r="AK77" s="68"/>
      <c r="AL77" s="68"/>
      <c r="AM77" s="65"/>
      <c r="AN77" s="65"/>
      <c r="AO77" s="65"/>
      <c r="AP77" s="65"/>
      <c r="AQ77" s="65"/>
      <c r="AR77" s="65"/>
      <c r="AS77" s="65"/>
      <c r="AT77" s="35"/>
      <c r="AU77" s="65"/>
      <c r="AV77" s="65"/>
      <c r="AW77" s="65"/>
      <c r="AX77" s="65"/>
      <c r="AY77" s="65"/>
      <c r="AZ77" s="31"/>
      <c r="BA77" s="30"/>
      <c r="BB77" s="175"/>
      <c r="BC77" s="345"/>
      <c r="BD77" s="28"/>
      <c r="BG77" s="24"/>
      <c r="BH77" s="28"/>
    </row>
    <row r="78" spans="1:67" ht="13.5" customHeight="1">
      <c r="A78" s="22"/>
      <c r="B78" s="202">
        <v>29</v>
      </c>
      <c r="C78" s="342"/>
      <c r="D78" s="332"/>
      <c r="E78" s="65"/>
      <c r="F78" s="65"/>
      <c r="G78" s="65"/>
      <c r="H78" s="65"/>
      <c r="I78" s="65"/>
      <c r="J78" s="1100"/>
      <c r="K78" s="1101"/>
      <c r="L78" s="1101"/>
      <c r="M78" s="1101"/>
      <c r="N78"/>
      <c r="O78"/>
      <c r="P78"/>
      <c r="Q78"/>
      <c r="R78"/>
      <c r="S78"/>
      <c r="T78"/>
      <c r="U78"/>
      <c r="V78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198"/>
      <c r="AN78" s="198"/>
      <c r="AO78" s="198"/>
      <c r="AP78" s="198"/>
      <c r="AQ78" s="198"/>
      <c r="AR78" s="198"/>
      <c r="AS78" s="254"/>
      <c r="AT78" s="35"/>
      <c r="AU78" s="35"/>
      <c r="AV78" s="254"/>
      <c r="AW78" s="198"/>
      <c r="AX78" s="198"/>
      <c r="AY78" s="198"/>
      <c r="AZ78" s="31"/>
      <c r="BA78" s="30"/>
      <c r="BB78" s="175"/>
      <c r="BC78" s="345"/>
      <c r="BD78" s="28"/>
      <c r="BG78" s="24"/>
      <c r="BH78" s="28"/>
    </row>
    <row r="79" spans="1:67" ht="5.0999999999999996" customHeight="1">
      <c r="A79" s="22"/>
      <c r="B79" s="202"/>
      <c r="C79" s="315"/>
      <c r="D79" s="73"/>
      <c r="E79" s="73"/>
      <c r="F79" s="73"/>
      <c r="G79" s="73"/>
      <c r="H79" s="316"/>
      <c r="I79" s="275"/>
      <c r="J79" s="273"/>
      <c r="K79" s="275"/>
      <c r="L79" s="273"/>
      <c r="M79" s="317"/>
      <c r="N79" s="317"/>
      <c r="O79" s="270"/>
      <c r="P79" s="317"/>
      <c r="Q79" s="270"/>
      <c r="R79" s="317"/>
      <c r="S79" s="73"/>
      <c r="T79" s="73"/>
      <c r="U79" s="73"/>
      <c r="V79" s="73"/>
      <c r="W79" s="73"/>
      <c r="X79" s="316"/>
      <c r="Y79" s="275"/>
      <c r="Z79" s="273"/>
      <c r="AA79" s="275"/>
      <c r="AB79" s="273"/>
      <c r="AC79" s="317"/>
      <c r="AD79" s="317"/>
      <c r="AE79" s="270"/>
      <c r="AF79" s="317"/>
      <c r="AG79" s="270"/>
      <c r="AH79" s="317"/>
      <c r="AI79" s="276"/>
      <c r="AJ79" s="317"/>
      <c r="AK79" s="270"/>
      <c r="AL79" s="73"/>
      <c r="AM79" s="73"/>
      <c r="AN79" s="73"/>
      <c r="AO79" s="73"/>
      <c r="AP79" s="73"/>
      <c r="AQ79" s="73"/>
      <c r="AR79" s="73"/>
      <c r="AS79" s="73"/>
      <c r="AT79" s="73"/>
      <c r="AU79" s="73"/>
      <c r="AV79" s="318"/>
      <c r="AW79" s="73"/>
      <c r="AX79" s="73"/>
      <c r="AY79" s="269"/>
      <c r="AZ79" s="269"/>
      <c r="BA79" s="319"/>
      <c r="BB79" s="320"/>
      <c r="BC79" s="344"/>
      <c r="BD79" s="28"/>
    </row>
    <row r="80" spans="1:67" ht="13.5" customHeight="1">
      <c r="A80" s="22"/>
      <c r="B80" s="202">
        <v>31</v>
      </c>
      <c r="C80" s="331"/>
      <c r="D80" s="332"/>
      <c r="E80" s="65"/>
      <c r="F80" s="65"/>
      <c r="G80" s="65"/>
      <c r="H80" s="65"/>
      <c r="I80" s="65"/>
      <c r="J80" s="1102"/>
      <c r="K80" s="1102"/>
      <c r="L80" s="1102"/>
      <c r="M80" s="1102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198"/>
      <c r="AN80" s="198"/>
      <c r="AO80" s="198"/>
      <c r="AP80" s="198"/>
      <c r="AQ80" s="198"/>
      <c r="AR80" s="198"/>
      <c r="AS80" s="198"/>
      <c r="AT80" s="198"/>
      <c r="AU80" s="198"/>
      <c r="AV80" s="198"/>
      <c r="AW80" s="198"/>
      <c r="AX80" s="198"/>
      <c r="AY80" s="198"/>
      <c r="AZ80" s="33"/>
      <c r="BA80" s="46"/>
      <c r="BB80" s="78"/>
      <c r="BC80" s="34"/>
      <c r="BD80" s="28"/>
      <c r="BG80" s="24"/>
      <c r="BH80" s="28"/>
    </row>
    <row r="81" spans="1:60" ht="14.1" customHeight="1">
      <c r="A81" s="22"/>
      <c r="B81" s="129"/>
      <c r="C81" s="346" t="s">
        <v>132</v>
      </c>
      <c r="D81" s="28"/>
      <c r="E81" s="28"/>
      <c r="F81" s="28"/>
      <c r="G81" s="28"/>
      <c r="S81" s="35"/>
      <c r="T81" s="35"/>
      <c r="U81" s="35"/>
      <c r="V81" s="35"/>
      <c r="Y81" s="35"/>
      <c r="Z81" s="35"/>
      <c r="AD81" s="35"/>
      <c r="AE81" s="35"/>
      <c r="AF81" s="35"/>
      <c r="AG81" s="35"/>
      <c r="AH81" s="35"/>
      <c r="AI81" s="35"/>
      <c r="AJ81" s="28"/>
      <c r="AK81" s="28"/>
      <c r="AL81" s="28"/>
      <c r="AM81" s="130"/>
      <c r="AN81" s="130"/>
      <c r="AO81" s="35"/>
      <c r="AP81" s="35"/>
      <c r="AQ81" s="35"/>
      <c r="AR81" s="35"/>
      <c r="AS81" s="35"/>
      <c r="AT81" s="35"/>
      <c r="AU81" s="35"/>
      <c r="AV81" s="35"/>
      <c r="AW81" s="35"/>
      <c r="AX81" s="65"/>
      <c r="AY81" s="65"/>
      <c r="AZ81" s="33"/>
      <c r="BA81" s="46"/>
      <c r="BB81" s="78"/>
      <c r="BC81" s="34"/>
      <c r="BD81" s="28"/>
      <c r="BG81" s="35"/>
    </row>
    <row r="82" spans="1:60" ht="5.0999999999999996" customHeight="1">
      <c r="A82" s="22"/>
      <c r="B82" s="202"/>
      <c r="C82" s="296"/>
      <c r="D82" s="72"/>
      <c r="E82" s="72"/>
      <c r="F82" s="72"/>
      <c r="G82" s="72"/>
      <c r="H82" s="297"/>
      <c r="I82" s="278"/>
      <c r="J82" s="279"/>
      <c r="K82" s="278"/>
      <c r="L82" s="279"/>
      <c r="M82" s="298"/>
      <c r="N82" s="298"/>
      <c r="O82" s="263"/>
      <c r="P82" s="298"/>
      <c r="Q82" s="263"/>
      <c r="R82" s="298"/>
      <c r="S82" s="72"/>
      <c r="T82" s="72"/>
      <c r="U82" s="72"/>
      <c r="V82" s="72"/>
      <c r="W82" s="72"/>
      <c r="X82" s="297"/>
      <c r="Y82" s="278"/>
      <c r="Z82" s="279"/>
      <c r="AA82" s="278"/>
      <c r="AB82" s="279"/>
      <c r="AC82" s="298"/>
      <c r="AD82" s="298"/>
      <c r="AE82" s="263"/>
      <c r="AF82" s="298"/>
      <c r="AG82" s="263"/>
      <c r="AH82" s="298"/>
      <c r="AI82" s="280"/>
      <c r="AJ82" s="298"/>
      <c r="AK82" s="263"/>
      <c r="AL82" s="72"/>
      <c r="AM82" s="72"/>
      <c r="AN82" s="72"/>
      <c r="AO82" s="72"/>
      <c r="AP82" s="72"/>
      <c r="AQ82" s="72"/>
      <c r="AR82" s="72"/>
      <c r="AS82" s="72"/>
      <c r="AT82" s="72"/>
      <c r="AU82" s="72"/>
      <c r="AV82" s="300"/>
      <c r="AW82" s="72"/>
      <c r="AX82" s="72"/>
      <c r="AY82" s="265"/>
      <c r="AZ82" s="33"/>
      <c r="BA82" s="46"/>
      <c r="BB82" s="78"/>
      <c r="BC82" s="34"/>
      <c r="BD82" s="28"/>
    </row>
    <row r="83" spans="1:60" ht="14.1" customHeight="1">
      <c r="A83" s="23"/>
      <c r="B83" s="351"/>
      <c r="C83" s="282"/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5"/>
      <c r="S83" s="35"/>
      <c r="T83" s="28"/>
      <c r="U83" s="28"/>
      <c r="V83" s="28"/>
      <c r="W83" s="28"/>
      <c r="X83" s="28"/>
      <c r="Y83" s="28"/>
      <c r="Z83" s="28"/>
      <c r="AC83" s="28"/>
      <c r="AD83" s="28"/>
      <c r="AE83" s="35"/>
      <c r="AF83" s="35"/>
      <c r="AG83" s="35"/>
      <c r="AH83" s="35"/>
      <c r="AI83" s="35"/>
      <c r="AJ83" s="28"/>
      <c r="AK83" s="28"/>
      <c r="AL83" s="28"/>
      <c r="AM83" s="35"/>
      <c r="AN83" s="35"/>
      <c r="AO83" s="135"/>
      <c r="AP83" s="136"/>
      <c r="AQ83" s="130"/>
      <c r="AR83" s="130"/>
      <c r="AS83" s="130"/>
      <c r="AT83" s="130"/>
      <c r="AU83" s="81"/>
      <c r="AV83" s="35"/>
      <c r="AW83" s="35"/>
      <c r="AX83" s="65"/>
      <c r="AY83" s="347"/>
      <c r="AZ83" s="33"/>
      <c r="BA83" s="46"/>
      <c r="BB83" s="78"/>
      <c r="BC83" s="34"/>
      <c r="BD83" s="28"/>
      <c r="BG83" s="35"/>
    </row>
    <row r="84" spans="1:60" ht="14.1" customHeight="1">
      <c r="A84" s="23"/>
      <c r="B84" s="351"/>
      <c r="C84" s="352"/>
      <c r="D84" s="348" t="s">
        <v>38</v>
      </c>
      <c r="E84" s="131"/>
      <c r="F84" s="131"/>
      <c r="G84" s="131"/>
      <c r="H84" s="132"/>
      <c r="I84" s="132"/>
      <c r="J84" s="106"/>
      <c r="K84" s="133"/>
      <c r="L84" s="134"/>
      <c r="M84" s="144"/>
      <c r="N84" s="144"/>
      <c r="O84" s="131"/>
      <c r="P84" s="134"/>
      <c r="Q84" s="107"/>
      <c r="R84" s="133" t="s">
        <v>40</v>
      </c>
      <c r="S84" s="134"/>
      <c r="T84" s="107"/>
      <c r="U84" s="107"/>
      <c r="V84" s="133" t="s">
        <v>45</v>
      </c>
      <c r="W84" s="134"/>
      <c r="X84" s="107"/>
      <c r="Y84" s="35"/>
      <c r="Z84" s="35"/>
      <c r="AC84" s="28"/>
      <c r="AD84" s="28"/>
      <c r="AE84" s="28"/>
      <c r="AF84" s="35"/>
      <c r="AG84" s="35"/>
      <c r="AH84" s="28"/>
      <c r="AI84" s="28"/>
      <c r="AJ84" s="28"/>
      <c r="AK84" s="81"/>
      <c r="AL84" s="28"/>
      <c r="AM84" s="28"/>
      <c r="AN84" s="28"/>
      <c r="AO84" s="28"/>
      <c r="AP84" s="28"/>
      <c r="AQ84" s="65"/>
      <c r="AR84" s="65"/>
      <c r="AS84" s="65"/>
      <c r="AT84" s="125"/>
      <c r="AU84" s="65"/>
      <c r="AV84" s="65"/>
      <c r="AW84" s="65"/>
      <c r="AX84" s="65"/>
      <c r="AY84" s="347"/>
      <c r="AZ84" s="33"/>
      <c r="BA84" s="46"/>
      <c r="BB84" s="78"/>
      <c r="BC84" s="34"/>
      <c r="BD84" s="28"/>
      <c r="BE84" s="35"/>
      <c r="BF84" s="35"/>
      <c r="BG84" s="35"/>
    </row>
    <row r="85" spans="1:60" ht="13.5" customHeight="1">
      <c r="A85" s="22"/>
      <c r="B85" s="353"/>
      <c r="C85" s="352"/>
      <c r="D85" s="349" t="s">
        <v>46</v>
      </c>
      <c r="E85" s="137"/>
      <c r="F85" s="137"/>
      <c r="G85" s="137"/>
      <c r="H85" s="137"/>
      <c r="I85" s="137"/>
      <c r="J85" s="137"/>
      <c r="K85" s="350"/>
      <c r="L85" s="139"/>
      <c r="M85" s="108"/>
      <c r="N85" s="108"/>
      <c r="O85" s="145"/>
      <c r="P85" s="139"/>
      <c r="Q85" s="109"/>
      <c r="R85" s="138" t="s">
        <v>41</v>
      </c>
      <c r="S85" s="139"/>
      <c r="T85" s="108"/>
      <c r="U85" s="109"/>
      <c r="V85" s="140"/>
      <c r="W85" s="141"/>
      <c r="X85" s="142"/>
      <c r="Y85" s="116"/>
      <c r="Z85" s="41"/>
      <c r="AA85" s="116"/>
      <c r="AB85" s="116"/>
      <c r="AC85" s="116"/>
      <c r="AD85" s="116"/>
      <c r="AE85" s="116"/>
      <c r="AF85" s="116"/>
      <c r="AG85" s="116"/>
      <c r="AH85" s="116"/>
      <c r="AI85" s="116"/>
      <c r="AJ85" s="116"/>
      <c r="AK85" s="116"/>
      <c r="AL85" s="116"/>
      <c r="AM85" s="116"/>
      <c r="AN85" s="116"/>
      <c r="AO85" s="116"/>
      <c r="AP85" s="116"/>
      <c r="AQ85" s="65"/>
      <c r="AR85" s="65"/>
      <c r="AS85" s="65"/>
      <c r="AT85" s="125"/>
      <c r="AU85" s="65"/>
      <c r="AV85" s="65"/>
      <c r="AW85" s="65"/>
      <c r="AX85" s="65"/>
      <c r="AY85" s="347"/>
      <c r="AZ85" s="33"/>
      <c r="BA85" s="46"/>
      <c r="BB85" s="78"/>
      <c r="BC85" s="34"/>
      <c r="BD85" s="28"/>
      <c r="BE85" s="35"/>
      <c r="BF85" s="35"/>
      <c r="BG85" s="35"/>
    </row>
    <row r="86" spans="1:60" ht="5.0999999999999996" customHeight="1">
      <c r="A86" s="22"/>
      <c r="B86" s="202"/>
      <c r="C86" s="315"/>
      <c r="D86" s="73"/>
      <c r="E86" s="73"/>
      <c r="F86" s="73"/>
      <c r="G86" s="73"/>
      <c r="H86" s="316"/>
      <c r="I86" s="275"/>
      <c r="J86" s="273"/>
      <c r="K86" s="275"/>
      <c r="L86" s="273"/>
      <c r="M86" s="317"/>
      <c r="N86" s="317"/>
      <c r="O86" s="270"/>
      <c r="P86" s="317"/>
      <c r="Q86" s="270"/>
      <c r="R86" s="317"/>
      <c r="S86" s="73"/>
      <c r="T86" s="73"/>
      <c r="U86" s="73"/>
      <c r="V86" s="73"/>
      <c r="W86" s="73"/>
      <c r="X86" s="316"/>
      <c r="Y86" s="275"/>
      <c r="Z86" s="273"/>
      <c r="AA86" s="275"/>
      <c r="AB86" s="273"/>
      <c r="AC86" s="317"/>
      <c r="AD86" s="317"/>
      <c r="AE86" s="270"/>
      <c r="AF86" s="317"/>
      <c r="AG86" s="270"/>
      <c r="AH86" s="317"/>
      <c r="AI86" s="276"/>
      <c r="AJ86" s="317"/>
      <c r="AK86" s="270"/>
      <c r="AL86" s="73"/>
      <c r="AM86" s="73"/>
      <c r="AN86" s="73"/>
      <c r="AO86" s="73"/>
      <c r="AP86" s="73"/>
      <c r="AQ86" s="73"/>
      <c r="AR86" s="73"/>
      <c r="AS86" s="73"/>
      <c r="AT86" s="73"/>
      <c r="AU86" s="73"/>
      <c r="AV86" s="318"/>
      <c r="AW86" s="73"/>
      <c r="AX86" s="73"/>
      <c r="AY86" s="277"/>
      <c r="AZ86" s="33"/>
      <c r="BA86" s="46"/>
      <c r="BB86" s="78"/>
      <c r="BC86" s="34"/>
      <c r="BD86" s="28"/>
    </row>
    <row r="87" spans="1:60" ht="14.1" customHeight="1">
      <c r="A87" s="22"/>
      <c r="B87" s="202">
        <v>34</v>
      </c>
      <c r="C87" s="331"/>
      <c r="D87" s="332"/>
      <c r="E87" s="65"/>
      <c r="F87" s="65"/>
      <c r="G87" s="65"/>
      <c r="H87" s="65"/>
      <c r="I87" s="65"/>
      <c r="J87" s="1110"/>
      <c r="K87" s="1110"/>
      <c r="L87" s="1110"/>
      <c r="M87" s="1110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  <c r="AA87" s="65"/>
      <c r="AB87" s="65"/>
      <c r="AC87" s="65"/>
      <c r="AD87" s="65"/>
      <c r="AE87" s="65"/>
      <c r="AF87" s="65"/>
      <c r="AG87" s="65"/>
      <c r="AH87" s="65"/>
      <c r="AI87" s="65"/>
      <c r="AJ87" s="65"/>
      <c r="AK87" s="65"/>
      <c r="AL87" s="65"/>
      <c r="AM87" s="65"/>
      <c r="AN87" s="65"/>
      <c r="AO87" s="65"/>
      <c r="AP87" s="135"/>
      <c r="AQ87" s="135"/>
      <c r="AR87" s="65"/>
      <c r="AS87" s="65"/>
      <c r="AT87" s="125"/>
      <c r="AU87" s="65"/>
      <c r="AV87" s="65"/>
      <c r="AW87" s="65"/>
      <c r="AX87" s="65"/>
      <c r="AY87" s="65"/>
      <c r="AZ87" s="33"/>
      <c r="BA87" s="46"/>
      <c r="BB87" s="78"/>
      <c r="BC87" s="34"/>
      <c r="BD87" s="28"/>
      <c r="BG87" s="24"/>
      <c r="BH87" s="28"/>
    </row>
    <row r="88" spans="1:60" ht="14.1" customHeight="1">
      <c r="A88" s="22"/>
      <c r="B88" s="202">
        <v>35</v>
      </c>
      <c r="C88" s="346" t="s">
        <v>248</v>
      </c>
      <c r="D88" s="332"/>
      <c r="E88" s="65"/>
      <c r="F88" s="65"/>
      <c r="G88" s="65"/>
      <c r="H88" s="65"/>
      <c r="I88" s="65"/>
      <c r="J88" s="1067"/>
      <c r="K88" s="1067"/>
      <c r="L88" s="1067"/>
      <c r="M88" s="1067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  <c r="AA88" s="65"/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  <c r="AP88" s="65"/>
      <c r="AQ88" s="65"/>
      <c r="AR88" s="65"/>
      <c r="AS88" s="65"/>
      <c r="AT88" s="125"/>
      <c r="AU88" s="65"/>
      <c r="AV88" s="65"/>
      <c r="AW88" s="65"/>
      <c r="AX88" s="65"/>
      <c r="AY88" s="65"/>
      <c r="AZ88" s="33"/>
      <c r="BA88" s="46"/>
      <c r="BB88" s="335"/>
      <c r="BC88" s="336"/>
      <c r="BD88" s="28"/>
      <c r="BG88" s="24"/>
      <c r="BH88" s="28"/>
    </row>
    <row r="89" spans="1:60" ht="14.1" customHeight="1">
      <c r="A89" s="22"/>
      <c r="B89" s="202">
        <v>35</v>
      </c>
      <c r="C89" s="331"/>
      <c r="D89" s="478" t="s">
        <v>249</v>
      </c>
      <c r="E89" s="65"/>
      <c r="F89" s="65"/>
      <c r="G89" s="65"/>
      <c r="H89" s="65"/>
      <c r="I89" s="65"/>
      <c r="J89" s="477"/>
      <c r="K89" s="477"/>
      <c r="L89" s="477"/>
      <c r="M89" s="477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  <c r="AA89" s="65"/>
      <c r="AB89" s="65"/>
      <c r="AC89" s="65"/>
      <c r="AD89" s="65"/>
      <c r="AE89" s="65"/>
      <c r="AF89" s="65"/>
      <c r="AG89" s="65"/>
      <c r="AH89" s="65"/>
      <c r="AI89" s="65"/>
      <c r="AJ89" s="65"/>
      <c r="AK89" s="65"/>
      <c r="AL89" s="65"/>
      <c r="AM89" s="65"/>
      <c r="AN89" s="65"/>
      <c r="AO89" s="65"/>
      <c r="AP89" s="65"/>
      <c r="AQ89" s="65"/>
      <c r="AR89" s="65"/>
      <c r="AS89" s="65"/>
      <c r="AT89" s="125"/>
      <c r="AU89" s="65"/>
      <c r="AV89" s="65"/>
      <c r="AW89" s="65"/>
      <c r="AX89" s="65"/>
      <c r="AY89" s="65"/>
      <c r="AZ89" s="33"/>
      <c r="BA89" s="46"/>
      <c r="BB89" s="335"/>
      <c r="BC89" s="336"/>
      <c r="BD89" s="28"/>
      <c r="BG89" s="24"/>
      <c r="BH89" s="28"/>
    </row>
    <row r="90" spans="1:60" ht="14.1" customHeight="1">
      <c r="A90" s="22"/>
      <c r="B90" s="202">
        <v>35</v>
      </c>
      <c r="C90" s="331"/>
      <c r="D90" s="332"/>
      <c r="E90" s="65"/>
      <c r="F90" s="65"/>
      <c r="G90" s="65"/>
      <c r="H90" s="65"/>
      <c r="I90" s="65"/>
      <c r="J90" s="1106"/>
      <c r="K90" s="1106"/>
      <c r="L90" s="1106"/>
      <c r="M90" s="1106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  <c r="AA90" s="65"/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  <c r="AP90" s="65"/>
      <c r="AQ90" s="65"/>
      <c r="AR90" s="65"/>
      <c r="AS90" s="65"/>
      <c r="AT90" s="125"/>
      <c r="AU90" s="65"/>
      <c r="AV90" s="65"/>
      <c r="AW90" s="65"/>
      <c r="AX90" s="65"/>
      <c r="AY90" s="65"/>
      <c r="AZ90" s="33"/>
      <c r="BA90" s="46"/>
      <c r="BB90" s="335"/>
      <c r="BC90" s="336"/>
      <c r="BD90" s="28"/>
      <c r="BG90" s="24"/>
      <c r="BH90" s="28"/>
    </row>
    <row r="91" spans="1:60" ht="5.0999999999999996" customHeight="1">
      <c r="A91" s="22"/>
      <c r="B91" s="202"/>
      <c r="C91" s="296"/>
      <c r="D91" s="72"/>
      <c r="E91" s="72"/>
      <c r="F91" s="72"/>
      <c r="G91" s="72"/>
      <c r="H91" s="297"/>
      <c r="I91" s="278"/>
      <c r="J91" s="279"/>
      <c r="K91" s="278"/>
      <c r="L91" s="279"/>
      <c r="M91" s="298"/>
      <c r="N91" s="298"/>
      <c r="O91" s="263"/>
      <c r="P91" s="298"/>
      <c r="Q91" s="263"/>
      <c r="R91" s="298"/>
      <c r="S91" s="72"/>
      <c r="T91" s="72"/>
      <c r="U91" s="72"/>
      <c r="V91" s="72"/>
      <c r="W91" s="72"/>
      <c r="X91" s="297"/>
      <c r="Y91" s="278"/>
      <c r="Z91" s="279"/>
      <c r="AA91" s="278"/>
      <c r="AB91" s="279"/>
      <c r="AC91" s="298"/>
      <c r="AD91" s="298"/>
      <c r="AE91" s="263"/>
      <c r="AF91" s="298"/>
      <c r="AG91" s="263"/>
      <c r="AH91" s="298"/>
      <c r="AI91" s="280"/>
      <c r="AJ91" s="298"/>
      <c r="AK91" s="263"/>
      <c r="AL91" s="72"/>
      <c r="AM91" s="72"/>
      <c r="AN91" s="72"/>
      <c r="AO91" s="72"/>
      <c r="AP91" s="72"/>
      <c r="AQ91" s="72"/>
      <c r="AR91" s="72"/>
      <c r="AS91" s="72"/>
      <c r="AT91" s="72"/>
      <c r="AU91" s="72"/>
      <c r="AV91" s="300"/>
      <c r="AW91" s="72"/>
      <c r="AX91" s="72"/>
      <c r="AY91" s="265"/>
      <c r="AZ91" s="33"/>
      <c r="BA91" s="46"/>
      <c r="BB91" s="78"/>
      <c r="BC91" s="34"/>
      <c r="BD91" s="28"/>
    </row>
    <row r="92" spans="1:60" ht="14.1" customHeight="1">
      <c r="A92" s="23"/>
      <c r="B92" s="351"/>
      <c r="C92" s="282"/>
      <c r="D92" s="28" t="s">
        <v>241</v>
      </c>
      <c r="E92" s="28"/>
      <c r="F92" s="28"/>
      <c r="G92" s="28"/>
      <c r="H92" s="468" t="s">
        <v>246</v>
      </c>
      <c r="I92" s="257"/>
      <c r="J92" s="258"/>
      <c r="K92" s="258"/>
      <c r="L92" s="258"/>
      <c r="M92" s="259"/>
      <c r="N92" s="258"/>
      <c r="O92" s="110"/>
      <c r="P92" s="261" t="s">
        <v>33</v>
      </c>
      <c r="Q92" s="25"/>
      <c r="R92" s="469" t="s">
        <v>247</v>
      </c>
      <c r="S92" s="470"/>
      <c r="T92" s="471"/>
      <c r="U92" s="471"/>
      <c r="V92" s="483"/>
      <c r="W92" s="472"/>
      <c r="X92" s="471"/>
      <c r="Y92" s="473"/>
      <c r="Z92" s="474"/>
      <c r="AB92" s="469" t="s">
        <v>291</v>
      </c>
      <c r="AC92" s="470"/>
      <c r="AD92" s="471"/>
      <c r="AE92" s="471"/>
      <c r="AF92" s="471"/>
      <c r="AG92" s="472"/>
      <c r="AH92" s="471"/>
      <c r="AI92" s="473"/>
      <c r="AJ92" s="472"/>
      <c r="AK92" s="479"/>
      <c r="AL92" s="479"/>
      <c r="AM92" s="473"/>
      <c r="AN92" s="473"/>
      <c r="AO92" s="471"/>
      <c r="AP92" s="480"/>
      <c r="AQ92" s="471"/>
      <c r="AR92" s="471"/>
      <c r="AS92" s="471"/>
      <c r="AT92" s="471"/>
      <c r="AU92" s="481"/>
      <c r="AV92" s="473"/>
      <c r="AW92" s="473"/>
      <c r="AX92" s="482"/>
      <c r="AY92" s="347"/>
      <c r="AZ92" s="33"/>
      <c r="BA92" s="46"/>
      <c r="BB92" s="78"/>
      <c r="BC92" s="34"/>
      <c r="BD92" s="28"/>
      <c r="BG92" s="35"/>
    </row>
    <row r="93" spans="1:60" ht="14.1" customHeight="1">
      <c r="A93" s="23"/>
      <c r="B93" s="351"/>
      <c r="C93" s="282"/>
      <c r="D93" s="28"/>
      <c r="E93" s="28"/>
      <c r="F93" s="28"/>
      <c r="G93" s="28"/>
      <c r="H93" s="469" t="s">
        <v>55</v>
      </c>
      <c r="I93" s="470"/>
      <c r="J93" s="471"/>
      <c r="K93" s="471"/>
      <c r="L93" s="471"/>
      <c r="M93" s="472"/>
      <c r="N93" s="471"/>
      <c r="O93" s="473"/>
      <c r="P93" s="472"/>
      <c r="Q93" s="479"/>
      <c r="R93" s="479"/>
      <c r="S93" s="473"/>
      <c r="T93" s="473"/>
      <c r="U93" s="471"/>
      <c r="V93" s="480"/>
      <c r="W93" s="471"/>
      <c r="X93" s="471"/>
      <c r="Y93" s="471"/>
      <c r="Z93" s="471"/>
      <c r="AA93" s="481"/>
      <c r="AB93" s="473"/>
      <c r="AC93" s="473"/>
      <c r="AD93" s="479"/>
      <c r="AE93" s="471"/>
      <c r="AF93" s="471"/>
      <c r="AG93" s="472"/>
      <c r="AH93" s="471"/>
      <c r="AI93" s="473"/>
      <c r="AJ93" s="472"/>
      <c r="AK93" s="479"/>
      <c r="AL93" s="479"/>
      <c r="AM93" s="473"/>
      <c r="AN93" s="473"/>
      <c r="AO93" s="471"/>
      <c r="AP93" s="480"/>
      <c r="AQ93" s="471"/>
      <c r="AR93" s="471"/>
      <c r="AS93" s="471"/>
      <c r="AT93" s="471"/>
      <c r="AU93" s="481"/>
      <c r="AV93" s="473"/>
      <c r="AW93" s="473"/>
      <c r="AX93" s="482"/>
      <c r="AY93" s="347"/>
      <c r="AZ93" s="33"/>
      <c r="BA93" s="46"/>
      <c r="BB93" s="78"/>
      <c r="BC93" s="34"/>
      <c r="BD93" s="28"/>
      <c r="BG93" s="35"/>
    </row>
    <row r="94" spans="1:60" ht="5.0999999999999996" customHeight="1">
      <c r="A94" s="22"/>
      <c r="B94" s="202"/>
      <c r="C94" s="315"/>
      <c r="D94" s="73"/>
      <c r="E94" s="73"/>
      <c r="F94" s="73"/>
      <c r="G94" s="73"/>
      <c r="H94" s="316"/>
      <c r="I94" s="275"/>
      <c r="J94" s="273"/>
      <c r="K94" s="275"/>
      <c r="L94" s="273"/>
      <c r="M94" s="317"/>
      <c r="N94" s="317"/>
      <c r="O94" s="270"/>
      <c r="P94" s="317"/>
      <c r="Q94" s="270"/>
      <c r="R94" s="317"/>
      <c r="S94" s="73"/>
      <c r="T94" s="73"/>
      <c r="U94" s="73"/>
      <c r="V94" s="73"/>
      <c r="W94" s="73"/>
      <c r="X94" s="316"/>
      <c r="Y94" s="275"/>
      <c r="Z94" s="273"/>
      <c r="AA94" s="275"/>
      <c r="AB94" s="273"/>
      <c r="AC94" s="317"/>
      <c r="AD94" s="317"/>
      <c r="AE94" s="270"/>
      <c r="AF94" s="317"/>
      <c r="AG94" s="270"/>
      <c r="AH94" s="317"/>
      <c r="AI94" s="276"/>
      <c r="AJ94" s="317"/>
      <c r="AK94" s="270"/>
      <c r="AL94" s="73"/>
      <c r="AM94" s="73"/>
      <c r="AN94" s="73"/>
      <c r="AO94" s="73"/>
      <c r="AP94" s="73"/>
      <c r="AQ94" s="73"/>
      <c r="AR94" s="73"/>
      <c r="AS94" s="73"/>
      <c r="AT94" s="73"/>
      <c r="AU94" s="73"/>
      <c r="AV94" s="318"/>
      <c r="AW94" s="73"/>
      <c r="AX94" s="73"/>
      <c r="AY94" s="277"/>
      <c r="AZ94" s="33"/>
      <c r="BA94" s="46"/>
      <c r="BB94" s="78"/>
      <c r="BC94" s="34"/>
      <c r="BD94" s="28"/>
    </row>
    <row r="95" spans="1:60" ht="5.0999999999999996" customHeight="1">
      <c r="A95" s="22"/>
      <c r="B95" s="202"/>
      <c r="C95" s="476"/>
      <c r="D95" s="72"/>
      <c r="E95" s="72"/>
      <c r="F95" s="72"/>
      <c r="G95" s="72"/>
      <c r="H95" s="297"/>
      <c r="I95" s="278"/>
      <c r="J95" s="279"/>
      <c r="K95" s="278"/>
      <c r="L95" s="279"/>
      <c r="M95" s="298"/>
      <c r="N95" s="298"/>
      <c r="O95" s="263"/>
      <c r="P95" s="298"/>
      <c r="Q95" s="263"/>
      <c r="R95" s="298"/>
      <c r="S95" s="72"/>
      <c r="T95" s="72"/>
      <c r="U95" s="72"/>
      <c r="V95" s="72"/>
      <c r="W95" s="72"/>
      <c r="X95" s="297"/>
      <c r="Y95" s="278"/>
      <c r="Z95" s="279"/>
      <c r="AA95" s="278"/>
      <c r="AB95" s="279"/>
      <c r="AC95" s="298"/>
      <c r="AD95" s="298"/>
      <c r="AE95" s="263"/>
      <c r="AF95" s="298"/>
      <c r="AG95" s="263"/>
      <c r="AH95" s="298"/>
      <c r="AI95" s="280"/>
      <c r="AJ95" s="298"/>
      <c r="AK95" s="263"/>
      <c r="AL95" s="72"/>
      <c r="AM95" s="72"/>
      <c r="AN95" s="72"/>
      <c r="AO95" s="72"/>
      <c r="AP95" s="72"/>
      <c r="AQ95" s="72"/>
      <c r="AR95" s="72"/>
      <c r="AS95" s="72"/>
      <c r="AT95" s="72"/>
      <c r="AU95" s="72"/>
      <c r="AV95" s="300"/>
      <c r="AW95" s="72"/>
      <c r="AX95" s="72"/>
      <c r="AY95" s="264"/>
      <c r="AZ95" s="33"/>
      <c r="BA95" s="46"/>
      <c r="BB95" s="78"/>
      <c r="BC95" s="34"/>
      <c r="BD95" s="28"/>
    </row>
    <row r="96" spans="1:60" ht="14.1" customHeight="1">
      <c r="A96" s="22"/>
      <c r="B96" s="202">
        <v>35</v>
      </c>
      <c r="C96" s="62" t="s">
        <v>244</v>
      </c>
      <c r="D96" s="332"/>
      <c r="E96" s="65"/>
      <c r="F96" s="65"/>
      <c r="G96" s="65"/>
      <c r="H96" s="65"/>
      <c r="I96" s="65"/>
      <c r="J96" s="1067"/>
      <c r="K96" s="1067"/>
      <c r="L96" s="1067"/>
      <c r="M96" s="1067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  <c r="AA96" s="65"/>
      <c r="AB96" s="65"/>
      <c r="AC96" s="65"/>
      <c r="AD96" s="65"/>
      <c r="AE96" s="65"/>
      <c r="AF96" s="65"/>
      <c r="AG96" s="65"/>
      <c r="AH96" s="65"/>
      <c r="AI96" s="65"/>
      <c r="AJ96" s="65"/>
      <c r="AK96" s="65"/>
      <c r="AL96" s="65"/>
      <c r="AM96" s="65"/>
      <c r="AN96" s="65"/>
      <c r="AO96" s="65"/>
      <c r="AP96" s="65"/>
      <c r="AQ96" s="65"/>
      <c r="AR96" s="65"/>
      <c r="AS96" s="65"/>
      <c r="AT96" s="125"/>
      <c r="AU96" s="65"/>
      <c r="AV96" s="65"/>
      <c r="AW96" s="65"/>
      <c r="AX96" s="65"/>
      <c r="AY96" s="65"/>
      <c r="AZ96" s="33"/>
      <c r="BA96" s="46"/>
      <c r="BB96" s="335"/>
      <c r="BC96" s="336"/>
      <c r="BD96" s="28"/>
      <c r="BG96" s="24"/>
      <c r="BH96" s="28"/>
    </row>
    <row r="97" spans="1:60" ht="5.0999999999999996" customHeight="1">
      <c r="A97" s="22"/>
      <c r="B97" s="202"/>
      <c r="C97" s="296"/>
      <c r="D97" s="72"/>
      <c r="E97" s="72"/>
      <c r="F97" s="72"/>
      <c r="G97" s="72"/>
      <c r="H97" s="297"/>
      <c r="I97" s="278"/>
      <c r="J97" s="279"/>
      <c r="K97" s="278"/>
      <c r="L97" s="279"/>
      <c r="M97" s="298"/>
      <c r="N97" s="298"/>
      <c r="O97" s="263"/>
      <c r="P97" s="298"/>
      <c r="Q97" s="263"/>
      <c r="R97" s="298"/>
      <c r="S97" s="72"/>
      <c r="T97" s="72"/>
      <c r="U97" s="72"/>
      <c r="V97" s="72"/>
      <c r="W97" s="72"/>
      <c r="X97" s="297"/>
      <c r="Y97" s="278"/>
      <c r="Z97" s="279"/>
      <c r="AA97" s="278"/>
      <c r="AB97" s="279"/>
      <c r="AC97" s="298"/>
      <c r="AD97" s="298"/>
      <c r="AE97" s="263"/>
      <c r="AF97" s="298"/>
      <c r="AG97" s="263"/>
      <c r="AH97" s="298"/>
      <c r="AI97" s="280"/>
      <c r="AJ97" s="298"/>
      <c r="AK97" s="263"/>
      <c r="AL97" s="72"/>
      <c r="AM97" s="72"/>
      <c r="AN97" s="72"/>
      <c r="AO97" s="72"/>
      <c r="AP97" s="72"/>
      <c r="AQ97" s="72"/>
      <c r="AR97" s="72"/>
      <c r="AS97" s="72"/>
      <c r="AT97" s="72"/>
      <c r="AU97" s="72"/>
      <c r="AV97" s="300"/>
      <c r="AW97" s="72"/>
      <c r="AX97" s="72"/>
      <c r="AY97" s="265"/>
      <c r="AZ97" s="33"/>
      <c r="BA97" s="46"/>
      <c r="BB97" s="78"/>
      <c r="BC97" s="34"/>
      <c r="BD97" s="28"/>
    </row>
    <row r="98" spans="1:60" ht="14.1" customHeight="1">
      <c r="A98" s="23"/>
      <c r="B98" s="351"/>
      <c r="C98" s="282"/>
      <c r="D98" s="28" t="s">
        <v>241</v>
      </c>
      <c r="E98" s="28"/>
      <c r="F98" s="28"/>
      <c r="G98" s="28"/>
      <c r="H98" s="468" t="s">
        <v>242</v>
      </c>
      <c r="I98" s="257"/>
      <c r="J98" s="258"/>
      <c r="K98" s="258"/>
      <c r="L98" s="258"/>
      <c r="M98" s="259"/>
      <c r="N98" s="258"/>
      <c r="O98" s="110"/>
      <c r="P98" s="261" t="s">
        <v>33</v>
      </c>
      <c r="Q98" s="25"/>
      <c r="R98" s="469" t="s">
        <v>243</v>
      </c>
      <c r="S98" s="470"/>
      <c r="T98" s="471"/>
      <c r="U98" s="471"/>
      <c r="V98" s="483"/>
      <c r="W98" s="484" t="s">
        <v>255</v>
      </c>
      <c r="X98" s="471"/>
      <c r="Y98" s="473"/>
      <c r="Z98" s="474"/>
      <c r="AB98" s="529" t="s">
        <v>292</v>
      </c>
      <c r="AC98" s="530"/>
      <c r="AD98" s="531"/>
      <c r="AE98" s="531"/>
      <c r="AF98" s="531"/>
      <c r="AG98" s="532"/>
      <c r="AH98" s="531"/>
      <c r="AI98" s="533"/>
      <c r="AJ98" s="532"/>
      <c r="AK98" s="61"/>
      <c r="AL98" s="61"/>
      <c r="AM98" s="533"/>
      <c r="AN98" s="533"/>
      <c r="AO98" s="531"/>
      <c r="AP98" s="534"/>
      <c r="AQ98" s="531"/>
      <c r="AR98" s="531"/>
      <c r="AS98" s="531"/>
      <c r="AT98" s="531"/>
      <c r="AU98" s="535"/>
      <c r="AV98" s="533"/>
      <c r="AW98" s="533"/>
      <c r="AX98" s="70"/>
      <c r="AY98" s="347"/>
      <c r="AZ98" s="33"/>
      <c r="BA98" s="46"/>
      <c r="BB98" s="78"/>
      <c r="BC98" s="34"/>
      <c r="BD98" s="28"/>
      <c r="BG98" s="35"/>
    </row>
    <row r="99" spans="1:60" ht="14.1" customHeight="1">
      <c r="A99" s="23"/>
      <c r="B99" s="351"/>
      <c r="C99" s="282"/>
      <c r="D99" s="28"/>
      <c r="E99" s="28"/>
      <c r="F99" s="28"/>
      <c r="G99" s="28"/>
      <c r="H99" s="469" t="s">
        <v>254</v>
      </c>
      <c r="I99" s="470"/>
      <c r="J99" s="471"/>
      <c r="K99" s="471"/>
      <c r="L99" s="471"/>
      <c r="M99" s="472"/>
      <c r="N99" s="471"/>
      <c r="O99" s="473"/>
      <c r="P99" s="472"/>
      <c r="Q99" s="479"/>
      <c r="R99" s="479"/>
      <c r="S99" s="473"/>
      <c r="T99" s="473"/>
      <c r="U99" s="471"/>
      <c r="V99" s="480"/>
      <c r="W99" s="471"/>
      <c r="X99" s="471"/>
      <c r="Y99" s="471"/>
      <c r="Z99" s="471"/>
      <c r="AA99" s="481"/>
      <c r="AB99" s="473"/>
      <c r="AC99" s="473"/>
      <c r="AD99" s="479"/>
      <c r="AE99" s="471"/>
      <c r="AF99" s="471"/>
      <c r="AG99" s="472"/>
      <c r="AH99" s="471"/>
      <c r="AI99" s="473"/>
      <c r="AJ99" s="472"/>
      <c r="AK99" s="479"/>
      <c r="AL99" s="479"/>
      <c r="AM99" s="473"/>
      <c r="AN99" s="473"/>
      <c r="AO99" s="471"/>
      <c r="AP99" s="480"/>
      <c r="AQ99" s="471"/>
      <c r="AR99" s="471"/>
      <c r="AS99" s="471"/>
      <c r="AT99" s="471"/>
      <c r="AU99" s="481"/>
      <c r="AV99" s="473"/>
      <c r="AW99" s="473"/>
      <c r="AX99" s="482"/>
      <c r="AY99" s="347"/>
      <c r="AZ99" s="33"/>
      <c r="BA99" s="46"/>
      <c r="BB99" s="78"/>
      <c r="BC99" s="34"/>
      <c r="BD99" s="28"/>
      <c r="BG99" s="35"/>
    </row>
    <row r="100" spans="1:60" ht="5.0999999999999996" customHeight="1">
      <c r="A100" s="22"/>
      <c r="B100" s="202"/>
      <c r="C100" s="315"/>
      <c r="D100" s="73"/>
      <c r="E100" s="73"/>
      <c r="F100" s="73"/>
      <c r="G100" s="73"/>
      <c r="H100" s="316"/>
      <c r="I100" s="275"/>
      <c r="J100" s="273"/>
      <c r="K100" s="275"/>
      <c r="L100" s="273"/>
      <c r="M100" s="317"/>
      <c r="N100" s="317"/>
      <c r="O100" s="270"/>
      <c r="P100" s="317"/>
      <c r="Q100" s="270"/>
      <c r="R100" s="317"/>
      <c r="S100" s="73"/>
      <c r="T100" s="73"/>
      <c r="U100" s="73"/>
      <c r="V100" s="73"/>
      <c r="W100" s="73"/>
      <c r="X100" s="316"/>
      <c r="Y100" s="275"/>
      <c r="Z100" s="273"/>
      <c r="AA100" s="275"/>
      <c r="AB100" s="273"/>
      <c r="AC100" s="317"/>
      <c r="AD100" s="317"/>
      <c r="AE100" s="270"/>
      <c r="AF100" s="317"/>
      <c r="AG100" s="270"/>
      <c r="AH100" s="317"/>
      <c r="AI100" s="276"/>
      <c r="AJ100" s="317"/>
      <c r="AK100" s="270"/>
      <c r="AL100" s="73"/>
      <c r="AM100" s="73"/>
      <c r="AN100" s="73"/>
      <c r="AO100" s="73"/>
      <c r="AP100" s="73"/>
      <c r="AQ100" s="73"/>
      <c r="AR100" s="73"/>
      <c r="AS100" s="73"/>
      <c r="AT100" s="73"/>
      <c r="AU100" s="73"/>
      <c r="AV100" s="318"/>
      <c r="AW100" s="73"/>
      <c r="AX100" s="73"/>
      <c r="AY100" s="277"/>
      <c r="AZ100" s="33"/>
      <c r="BA100" s="46"/>
      <c r="BB100" s="78"/>
      <c r="BC100" s="34"/>
      <c r="BD100" s="28"/>
    </row>
    <row r="101" spans="1:60" ht="5.0999999999999996" customHeight="1">
      <c r="A101" s="22"/>
      <c r="B101" s="202"/>
      <c r="C101" s="476"/>
      <c r="D101" s="72"/>
      <c r="E101" s="72"/>
      <c r="F101" s="72"/>
      <c r="G101" s="72"/>
      <c r="H101" s="297"/>
      <c r="I101" s="278"/>
      <c r="J101" s="279"/>
      <c r="K101" s="278"/>
      <c r="L101" s="279"/>
      <c r="M101" s="298"/>
      <c r="N101" s="298"/>
      <c r="O101" s="263"/>
      <c r="P101" s="298"/>
      <c r="Q101" s="263"/>
      <c r="R101" s="298"/>
      <c r="S101" s="72"/>
      <c r="T101" s="72"/>
      <c r="U101" s="72"/>
      <c r="V101" s="72"/>
      <c r="W101" s="72"/>
      <c r="X101" s="297"/>
      <c r="Y101" s="278"/>
      <c r="Z101" s="279"/>
      <c r="AA101" s="278"/>
      <c r="AB101" s="279"/>
      <c r="AC101" s="298"/>
      <c r="AD101" s="298"/>
      <c r="AE101" s="263"/>
      <c r="AF101" s="298"/>
      <c r="AG101" s="263"/>
      <c r="AH101" s="298"/>
      <c r="AI101" s="280"/>
      <c r="AJ101" s="298"/>
      <c r="AK101" s="263"/>
      <c r="AL101" s="72"/>
      <c r="AM101" s="72"/>
      <c r="AN101" s="72"/>
      <c r="AO101" s="72"/>
      <c r="AP101" s="72"/>
      <c r="AQ101" s="72"/>
      <c r="AR101" s="72"/>
      <c r="AS101" s="72"/>
      <c r="AT101" s="72"/>
      <c r="AU101" s="72"/>
      <c r="AV101" s="300"/>
      <c r="AW101" s="72"/>
      <c r="AX101" s="72"/>
      <c r="AY101" s="264"/>
      <c r="AZ101" s="33"/>
      <c r="BA101" s="46"/>
      <c r="BB101" s="78"/>
      <c r="BC101" s="34"/>
      <c r="BD101" s="28"/>
    </row>
    <row r="102" spans="1:60" ht="14.1" customHeight="1">
      <c r="A102" s="22"/>
      <c r="B102" s="202">
        <v>35</v>
      </c>
      <c r="C102" s="62" t="s">
        <v>244</v>
      </c>
      <c r="D102" s="332"/>
      <c r="E102" s="65"/>
      <c r="F102" s="65"/>
      <c r="G102" s="65"/>
      <c r="H102" s="65"/>
      <c r="I102" s="65"/>
      <c r="J102" s="477"/>
      <c r="K102" s="477"/>
      <c r="L102" s="477"/>
      <c r="M102" s="477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125"/>
      <c r="AU102" s="65"/>
      <c r="AV102" s="65"/>
      <c r="AW102" s="65"/>
      <c r="AX102" s="65"/>
      <c r="AY102" s="65"/>
      <c r="AZ102" s="33"/>
      <c r="BA102" s="46"/>
      <c r="BB102" s="335"/>
      <c r="BC102" s="336"/>
      <c r="BD102" s="28"/>
      <c r="BG102" s="24"/>
      <c r="BH102" s="28"/>
    </row>
    <row r="103" spans="1:60" ht="14.1" customHeight="1">
      <c r="A103" s="22"/>
      <c r="B103" s="202">
        <v>35</v>
      </c>
      <c r="C103" s="331"/>
      <c r="D103" s="332"/>
      <c r="E103" s="65"/>
      <c r="F103" s="65"/>
      <c r="G103" s="65"/>
      <c r="H103" s="65"/>
      <c r="I103" s="65"/>
      <c r="J103" s="477"/>
      <c r="K103" s="477"/>
      <c r="L103" s="477"/>
      <c r="M103" s="477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M103" s="65"/>
      <c r="AN103" s="65"/>
      <c r="AO103" s="65"/>
      <c r="AP103" s="65"/>
      <c r="AQ103" s="65"/>
      <c r="AR103" s="65"/>
      <c r="AS103" s="65"/>
      <c r="AT103" s="125"/>
      <c r="AU103" s="65"/>
      <c r="AV103" s="65"/>
      <c r="AW103" s="65"/>
      <c r="AX103" s="65"/>
      <c r="AY103" s="65"/>
      <c r="AZ103" s="33"/>
      <c r="BA103" s="46"/>
      <c r="BB103" s="335"/>
      <c r="BC103" s="336"/>
      <c r="BD103" s="28"/>
      <c r="BG103" s="24"/>
      <c r="BH103" s="28"/>
    </row>
    <row r="104" spans="1:60" ht="14.1" customHeight="1">
      <c r="A104" s="22"/>
      <c r="B104" s="202">
        <v>35</v>
      </c>
      <c r="C104" s="346" t="s">
        <v>250</v>
      </c>
      <c r="D104" s="332"/>
      <c r="E104" s="65"/>
      <c r="F104" s="65"/>
      <c r="G104" s="65"/>
      <c r="H104" s="65"/>
      <c r="I104" s="65"/>
      <c r="J104" s="1067"/>
      <c r="K104" s="1067"/>
      <c r="L104" s="1067"/>
      <c r="M104" s="1067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  <c r="AP104" s="65"/>
      <c r="AQ104" s="65"/>
      <c r="AR104" s="65"/>
      <c r="AS104" s="65"/>
      <c r="AT104" s="125"/>
      <c r="AU104" s="65"/>
      <c r="AV104" s="65"/>
      <c r="AW104" s="65"/>
      <c r="AX104" s="65"/>
      <c r="AY104" s="65"/>
      <c r="AZ104" s="33"/>
      <c r="BA104" s="46"/>
      <c r="BB104" s="335"/>
      <c r="BC104" s="336"/>
      <c r="BD104" s="28"/>
      <c r="BG104" s="24"/>
      <c r="BH104" s="28"/>
    </row>
    <row r="105" spans="1:60" ht="5.0999999999999996" customHeight="1">
      <c r="A105" s="22"/>
      <c r="B105" s="202"/>
      <c r="C105" s="296"/>
      <c r="D105" s="72"/>
      <c r="E105" s="72"/>
      <c r="F105" s="72"/>
      <c r="G105" s="72"/>
      <c r="H105" s="297"/>
      <c r="I105" s="278"/>
      <c r="J105" s="279"/>
      <c r="K105" s="278"/>
      <c r="L105" s="279"/>
      <c r="M105" s="298"/>
      <c r="N105" s="298"/>
      <c r="O105" s="263"/>
      <c r="P105" s="298"/>
      <c r="Q105" s="263"/>
      <c r="R105" s="298"/>
      <c r="S105" s="72"/>
      <c r="T105" s="72"/>
      <c r="U105" s="72"/>
      <c r="V105" s="72"/>
      <c r="W105" s="72"/>
      <c r="X105" s="297"/>
      <c r="Y105" s="278"/>
      <c r="Z105" s="279"/>
      <c r="AA105" s="278"/>
      <c r="AB105" s="279"/>
      <c r="AC105" s="298"/>
      <c r="AD105" s="298"/>
      <c r="AE105" s="263"/>
      <c r="AF105" s="298"/>
      <c r="AG105" s="263"/>
      <c r="AH105" s="298"/>
      <c r="AI105" s="280"/>
      <c r="AJ105" s="298"/>
      <c r="AK105" s="263"/>
      <c r="AL105" s="72"/>
      <c r="AM105" s="72"/>
      <c r="AN105" s="72"/>
      <c r="AO105" s="72"/>
      <c r="AP105" s="72"/>
      <c r="AQ105" s="72"/>
      <c r="AR105" s="72"/>
      <c r="AS105" s="72"/>
      <c r="AT105" s="72"/>
      <c r="AU105" s="72"/>
      <c r="AV105" s="300"/>
      <c r="AW105" s="72"/>
      <c r="AX105" s="72"/>
      <c r="AY105" s="265"/>
      <c r="AZ105" s="33"/>
      <c r="BA105" s="46"/>
      <c r="BB105" s="335"/>
      <c r="BC105" s="336"/>
      <c r="BD105" s="28"/>
    </row>
    <row r="106" spans="1:60" ht="13.5" customHeight="1">
      <c r="A106" s="22"/>
      <c r="B106" s="45"/>
      <c r="C106" s="266"/>
      <c r="D106" s="28" t="s">
        <v>251</v>
      </c>
      <c r="E106" s="28"/>
      <c r="F106" s="28"/>
      <c r="G106" s="28"/>
      <c r="H106" s="24"/>
      <c r="I106" s="24"/>
      <c r="J106" s="24"/>
      <c r="K106" s="24"/>
      <c r="L106" s="24"/>
      <c r="M106" s="127"/>
      <c r="N106" s="75"/>
      <c r="O106" s="84"/>
      <c r="P106" s="84"/>
      <c r="Q106" s="85"/>
      <c r="R106" s="75"/>
      <c r="S106" s="75"/>
      <c r="T106" s="75"/>
      <c r="U106" s="84"/>
      <c r="V106" s="85"/>
      <c r="W106" s="75"/>
      <c r="X106" s="65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  <c r="AI106" s="28"/>
      <c r="AJ106" s="28"/>
      <c r="AK106" s="28"/>
      <c r="AL106" s="28"/>
      <c r="AM106" s="31"/>
      <c r="AN106" s="31"/>
      <c r="AO106" s="31"/>
      <c r="AP106" s="31"/>
      <c r="AQ106" s="31"/>
      <c r="AR106" s="31"/>
      <c r="AS106" s="31"/>
      <c r="AT106" s="31"/>
      <c r="AU106" s="31"/>
      <c r="AV106" s="31"/>
      <c r="AW106" s="31"/>
      <c r="AX106" s="65"/>
      <c r="AY106" s="267"/>
      <c r="AZ106" s="33"/>
      <c r="BA106" s="46"/>
      <c r="BB106" s="335"/>
      <c r="BC106" s="336"/>
      <c r="BD106" s="28"/>
      <c r="BE106" s="35"/>
      <c r="BF106" s="35"/>
      <c r="BG106" s="35"/>
    </row>
    <row r="107" spans="1:60" ht="13.5" customHeight="1">
      <c r="A107" s="22"/>
      <c r="B107" s="45"/>
      <c r="C107" s="266"/>
      <c r="D107" s="28"/>
      <c r="E107" s="28"/>
      <c r="F107" s="28"/>
      <c r="G107" s="28"/>
      <c r="H107" s="348" t="s">
        <v>253</v>
      </c>
      <c r="I107" s="131"/>
      <c r="J107" s="131"/>
      <c r="K107" s="131"/>
      <c r="L107" s="132"/>
      <c r="M107" s="132"/>
      <c r="N107" s="106"/>
      <c r="O107" s="133"/>
      <c r="P107" s="134"/>
      <c r="Q107" s="133" t="s">
        <v>252</v>
      </c>
      <c r="R107" s="134"/>
      <c r="S107" s="107"/>
      <c r="T107" s="107"/>
      <c r="U107" s="107"/>
      <c r="V107" s="107"/>
      <c r="W107" s="107"/>
      <c r="X107" s="107"/>
      <c r="Y107" s="107"/>
      <c r="Z107" s="107"/>
      <c r="AA107" s="107"/>
      <c r="AB107" s="107"/>
      <c r="AC107" s="107"/>
      <c r="AD107" s="107"/>
      <c r="AE107" s="107"/>
      <c r="AF107" s="107"/>
      <c r="AG107" s="107"/>
      <c r="AH107" s="107"/>
      <c r="AI107" s="107"/>
      <c r="AJ107" s="107"/>
      <c r="AK107" s="107"/>
      <c r="AL107" s="133" t="s">
        <v>45</v>
      </c>
      <c r="AM107" s="134"/>
      <c r="AN107" s="107"/>
      <c r="AO107" s="31"/>
      <c r="AP107" s="31"/>
      <c r="AQ107" s="31"/>
      <c r="AR107" s="31"/>
      <c r="AS107" s="31"/>
      <c r="AT107" s="31"/>
      <c r="AU107" s="31"/>
      <c r="AV107" s="31"/>
      <c r="AW107" s="31"/>
      <c r="AX107" s="65"/>
      <c r="AY107" s="267"/>
      <c r="AZ107" s="33"/>
      <c r="BA107" s="46"/>
      <c r="BB107" s="335"/>
      <c r="BC107" s="336"/>
      <c r="BD107" s="28"/>
      <c r="BE107" s="35"/>
      <c r="BF107" s="35"/>
      <c r="BG107" s="35"/>
    </row>
    <row r="108" spans="1:60" ht="13.5" customHeight="1">
      <c r="A108" s="22"/>
      <c r="B108" s="45"/>
      <c r="C108" s="266"/>
      <c r="D108" s="28"/>
      <c r="E108" s="28"/>
      <c r="F108" s="28"/>
      <c r="G108" s="28"/>
      <c r="H108" s="485" t="s">
        <v>256</v>
      </c>
      <c r="I108" s="137"/>
      <c r="J108" s="137"/>
      <c r="K108" s="137"/>
      <c r="L108" s="137"/>
      <c r="M108" s="137"/>
      <c r="N108" s="137"/>
      <c r="O108" s="350"/>
      <c r="P108" s="139"/>
      <c r="Q108" s="486" t="s">
        <v>55</v>
      </c>
      <c r="R108" s="139"/>
      <c r="S108" s="108"/>
      <c r="T108" s="108"/>
      <c r="U108" s="108"/>
      <c r="V108" s="156"/>
      <c r="W108" s="110"/>
      <c r="X108" s="110"/>
      <c r="Y108" s="156"/>
      <c r="Z108" s="156"/>
      <c r="AA108" s="110"/>
      <c r="AB108" s="110"/>
      <c r="AC108" s="37"/>
      <c r="AD108" s="37"/>
      <c r="AE108" s="37"/>
      <c r="AF108" s="37"/>
      <c r="AG108" s="37"/>
      <c r="AH108" s="37"/>
      <c r="AI108" s="37"/>
      <c r="AJ108" s="37"/>
      <c r="AK108" s="97"/>
      <c r="AL108" s="140"/>
      <c r="AM108" s="141"/>
      <c r="AN108" s="142"/>
      <c r="AO108" s="31"/>
      <c r="AP108" s="31"/>
      <c r="AQ108" s="31"/>
      <c r="AR108" s="31"/>
      <c r="AS108" s="31"/>
      <c r="AT108" s="31"/>
      <c r="AU108" s="31"/>
      <c r="AV108" s="31"/>
      <c r="AW108" s="31"/>
      <c r="AX108" s="65"/>
      <c r="AY108" s="267"/>
      <c r="AZ108" s="33"/>
      <c r="BA108" s="46"/>
      <c r="BB108" s="335"/>
      <c r="BC108" s="336"/>
      <c r="BD108" s="28"/>
      <c r="BE108" s="35"/>
      <c r="BF108" s="35"/>
      <c r="BG108" s="35"/>
    </row>
    <row r="109" spans="1:60" ht="13.5" customHeight="1">
      <c r="A109" s="22"/>
      <c r="B109" s="45"/>
      <c r="C109" s="266"/>
      <c r="D109" s="28"/>
      <c r="E109" s="28"/>
      <c r="F109" s="28"/>
      <c r="G109" s="28"/>
      <c r="H109" s="485" t="s">
        <v>257</v>
      </c>
      <c r="I109" s="137"/>
      <c r="J109" s="137"/>
      <c r="K109" s="137"/>
      <c r="L109" s="137"/>
      <c r="M109" s="137"/>
      <c r="N109" s="137"/>
      <c r="O109" s="350"/>
      <c r="P109" s="139"/>
      <c r="Q109" s="486" t="s">
        <v>55</v>
      </c>
      <c r="R109" s="139"/>
      <c r="S109" s="108"/>
      <c r="T109" s="108"/>
      <c r="U109" s="108"/>
      <c r="V109" s="156"/>
      <c r="W109" s="110"/>
      <c r="X109" s="110"/>
      <c r="Y109" s="156"/>
      <c r="Z109" s="156"/>
      <c r="AA109" s="110"/>
      <c r="AB109" s="110"/>
      <c r="AC109" s="37"/>
      <c r="AD109" s="37"/>
      <c r="AE109" s="37"/>
      <c r="AF109" s="37"/>
      <c r="AG109" s="37"/>
      <c r="AH109" s="37"/>
      <c r="AI109" s="37"/>
      <c r="AJ109" s="37"/>
      <c r="AK109" s="97"/>
      <c r="AL109" s="140"/>
      <c r="AM109" s="141"/>
      <c r="AN109" s="142"/>
      <c r="AO109" s="31"/>
      <c r="AP109" s="31"/>
      <c r="AQ109" s="31"/>
      <c r="AR109" s="31"/>
      <c r="AS109" s="31"/>
      <c r="AT109" s="31"/>
      <c r="AU109" s="31"/>
      <c r="AV109" s="31"/>
      <c r="AW109" s="31"/>
      <c r="AX109" s="65"/>
      <c r="AY109" s="267"/>
      <c r="AZ109" s="33"/>
      <c r="BA109" s="46"/>
      <c r="BB109" s="335"/>
      <c r="BC109" s="336"/>
      <c r="BD109" s="28"/>
      <c r="BE109" s="35"/>
      <c r="BF109" s="35"/>
      <c r="BG109" s="35"/>
    </row>
    <row r="110" spans="1:60" ht="13.5" customHeight="1">
      <c r="A110" s="22"/>
      <c r="B110" s="45"/>
      <c r="C110" s="266"/>
      <c r="D110" s="28"/>
      <c r="E110" s="28"/>
      <c r="F110" s="28"/>
      <c r="G110" s="28"/>
      <c r="H110" s="485" t="s">
        <v>258</v>
      </c>
      <c r="I110" s="137"/>
      <c r="J110" s="137"/>
      <c r="K110" s="137"/>
      <c r="L110" s="137"/>
      <c r="M110" s="137"/>
      <c r="N110" s="137"/>
      <c r="O110" s="350"/>
      <c r="P110" s="139"/>
      <c r="Q110" s="486" t="s">
        <v>55</v>
      </c>
      <c r="R110" s="139"/>
      <c r="S110" s="108"/>
      <c r="T110" s="108"/>
      <c r="U110" s="108"/>
      <c r="V110" s="156"/>
      <c r="W110" s="110"/>
      <c r="X110" s="110"/>
      <c r="Y110" s="156"/>
      <c r="Z110" s="156"/>
      <c r="AA110" s="110"/>
      <c r="AB110" s="110"/>
      <c r="AC110" s="37"/>
      <c r="AD110" s="37"/>
      <c r="AE110" s="37"/>
      <c r="AF110" s="37"/>
      <c r="AG110" s="37"/>
      <c r="AH110" s="37"/>
      <c r="AI110" s="37"/>
      <c r="AJ110" s="37"/>
      <c r="AK110" s="97"/>
      <c r="AL110" s="140"/>
      <c r="AM110" s="141"/>
      <c r="AN110" s="142"/>
      <c r="AO110" s="31"/>
      <c r="AP110" s="31"/>
      <c r="AQ110" s="31"/>
      <c r="AR110" s="31"/>
      <c r="AS110" s="31"/>
      <c r="AT110" s="31"/>
      <c r="AU110" s="31"/>
      <c r="AV110" s="31"/>
      <c r="AW110" s="31"/>
      <c r="AX110" s="65"/>
      <c r="AY110" s="267"/>
      <c r="AZ110" s="33"/>
      <c r="BA110" s="46"/>
      <c r="BB110" s="335"/>
      <c r="BC110" s="336"/>
      <c r="BD110" s="28"/>
      <c r="BE110" s="35"/>
      <c r="BF110" s="35"/>
      <c r="BG110" s="35"/>
    </row>
    <row r="111" spans="1:60" ht="5.0999999999999996" customHeight="1">
      <c r="A111" s="22"/>
      <c r="B111" s="202"/>
      <c r="C111" s="315"/>
      <c r="D111" s="73"/>
      <c r="E111" s="73"/>
      <c r="F111" s="73"/>
      <c r="G111" s="73"/>
      <c r="H111" s="316"/>
      <c r="I111" s="275"/>
      <c r="J111" s="273"/>
      <c r="K111" s="275"/>
      <c r="L111" s="273"/>
      <c r="M111" s="317"/>
      <c r="N111" s="317"/>
      <c r="O111" s="270"/>
      <c r="P111" s="317"/>
      <c r="Q111" s="270"/>
      <c r="R111" s="317"/>
      <c r="S111" s="73"/>
      <c r="T111" s="73"/>
      <c r="U111" s="73"/>
      <c r="V111" s="73"/>
      <c r="W111" s="73"/>
      <c r="X111" s="316"/>
      <c r="Y111" s="275"/>
      <c r="Z111" s="273"/>
      <c r="AA111" s="275"/>
      <c r="AB111" s="273"/>
      <c r="AC111" s="317"/>
      <c r="AD111" s="317"/>
      <c r="AE111" s="270"/>
      <c r="AF111" s="317"/>
      <c r="AG111" s="270"/>
      <c r="AH111" s="317"/>
      <c r="AI111" s="276"/>
      <c r="AJ111" s="317"/>
      <c r="AK111" s="270"/>
      <c r="AL111" s="73"/>
      <c r="AM111" s="73"/>
      <c r="AN111" s="73"/>
      <c r="AO111" s="73"/>
      <c r="AP111" s="73"/>
      <c r="AQ111" s="73"/>
      <c r="AR111" s="73"/>
      <c r="AS111" s="73"/>
      <c r="AT111" s="73"/>
      <c r="AU111" s="73"/>
      <c r="AV111" s="318"/>
      <c r="AW111" s="73"/>
      <c r="AX111" s="73"/>
      <c r="AY111" s="277"/>
      <c r="AZ111" s="33"/>
      <c r="BA111" s="46"/>
      <c r="BB111" s="335"/>
      <c r="BC111" s="336"/>
      <c r="BD111" s="28"/>
    </row>
    <row r="112" spans="1:60" ht="14.1" customHeight="1">
      <c r="A112" s="22"/>
      <c r="B112" s="202">
        <v>35</v>
      </c>
      <c r="C112" s="331"/>
      <c r="D112" s="332"/>
      <c r="E112" s="65"/>
      <c r="F112" s="65"/>
      <c r="G112" s="65"/>
      <c r="H112" s="65"/>
      <c r="I112" s="65"/>
      <c r="J112" s="1067"/>
      <c r="K112" s="1067"/>
      <c r="L112" s="1067"/>
      <c r="M112" s="1067"/>
      <c r="N112" s="65"/>
      <c r="O112" s="65"/>
      <c r="P112" s="65"/>
      <c r="Q112" s="65"/>
      <c r="R112" s="65"/>
      <c r="S112" s="65"/>
      <c r="T112" s="65"/>
      <c r="U112" s="65"/>
      <c r="V112" s="65"/>
      <c r="W112" s="65"/>
      <c r="X112" s="65"/>
      <c r="Y112" s="65"/>
      <c r="Z112" s="65"/>
      <c r="AA112" s="65"/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65"/>
      <c r="AN112" s="65"/>
      <c r="AO112" s="65"/>
      <c r="AP112" s="65"/>
      <c r="AQ112" s="65"/>
      <c r="AR112" s="65"/>
      <c r="AS112" s="65"/>
      <c r="AT112" s="125"/>
      <c r="AU112" s="65"/>
      <c r="AV112" s="65"/>
      <c r="AW112" s="65"/>
      <c r="AX112" s="65"/>
      <c r="AY112" s="65"/>
      <c r="AZ112" s="33"/>
      <c r="BA112" s="46"/>
      <c r="BB112" s="78"/>
      <c r="BC112" s="34"/>
      <c r="BD112" s="28"/>
      <c r="BG112" s="24"/>
      <c r="BH112" s="28"/>
    </row>
    <row r="113" spans="1:69" ht="13.5" customHeight="1">
      <c r="A113" s="22"/>
      <c r="B113" s="202">
        <v>36</v>
      </c>
      <c r="C113" s="331"/>
      <c r="D113" s="332"/>
      <c r="E113" s="65"/>
      <c r="F113" s="65"/>
      <c r="G113" s="65"/>
      <c r="H113" s="65"/>
      <c r="I113" s="65"/>
      <c r="J113" s="1067"/>
      <c r="K113" s="1067"/>
      <c r="L113" s="1067"/>
      <c r="M113" s="1067"/>
      <c r="N113" s="63"/>
      <c r="O113" s="65"/>
      <c r="P113" s="65"/>
      <c r="Q113" s="65"/>
      <c r="R113" s="28"/>
      <c r="S113" s="28"/>
      <c r="T113" s="31"/>
      <c r="U113" s="31"/>
      <c r="V113" s="31"/>
      <c r="W113" s="31"/>
      <c r="X113" s="31"/>
      <c r="Y113" s="44"/>
      <c r="Z113" s="31"/>
      <c r="AA113" s="28"/>
      <c r="AB113" s="44"/>
      <c r="AC113" s="31"/>
      <c r="AD113" s="28"/>
      <c r="AE113" s="44"/>
      <c r="AF113" s="28"/>
      <c r="AG113" s="116"/>
      <c r="AH113" s="41"/>
      <c r="AI113" s="116"/>
      <c r="AJ113" s="116"/>
      <c r="AK113" s="116"/>
      <c r="AL113" s="116"/>
      <c r="AM113" s="116"/>
      <c r="AN113" s="116"/>
      <c r="AO113" s="116"/>
      <c r="AP113" s="116"/>
      <c r="AQ113" s="116"/>
      <c r="AR113" s="116"/>
      <c r="AS113" s="116"/>
      <c r="AT113" s="116"/>
      <c r="AU113" s="116"/>
      <c r="AV113" s="116"/>
      <c r="AW113" s="116"/>
      <c r="AX113" s="116"/>
      <c r="AY113" s="116"/>
      <c r="AZ113" s="33"/>
      <c r="BA113" s="46"/>
      <c r="BB113" s="78"/>
      <c r="BC113" s="34"/>
      <c r="BD113" s="28"/>
      <c r="BG113" s="24"/>
      <c r="BH113" s="28"/>
    </row>
    <row r="114" spans="1:69" ht="13.5" customHeight="1">
      <c r="A114" s="22"/>
      <c r="B114" s="202">
        <v>37</v>
      </c>
      <c r="C114" s="331"/>
      <c r="D114" s="332"/>
      <c r="E114" s="65"/>
      <c r="F114" s="65"/>
      <c r="G114" s="65"/>
      <c r="H114" s="65"/>
      <c r="I114" s="65"/>
      <c r="J114" s="1067"/>
      <c r="K114" s="1067"/>
      <c r="L114" s="1067"/>
      <c r="M114" s="1067"/>
      <c r="N114" s="193"/>
      <c r="O114" s="195"/>
      <c r="P114" s="193"/>
      <c r="Q114" s="194"/>
      <c r="R114" s="194"/>
      <c r="S114" s="194"/>
      <c r="T114" s="196"/>
      <c r="U114" s="196"/>
      <c r="V114" s="196"/>
      <c r="W114" s="196"/>
      <c r="X114" s="196"/>
      <c r="Y114" s="195"/>
      <c r="Z114" s="196"/>
      <c r="AA114" s="194"/>
      <c r="AB114" s="195"/>
      <c r="AC114" s="196"/>
      <c r="AD114" s="194"/>
      <c r="AE114" s="195"/>
      <c r="AF114" s="194"/>
      <c r="AG114" s="194"/>
      <c r="AH114" s="195"/>
      <c r="AI114" s="194"/>
      <c r="AJ114" s="194"/>
      <c r="AK114" s="197"/>
      <c r="AL114" s="194"/>
      <c r="AM114" s="194"/>
      <c r="AN114" s="194"/>
      <c r="AO114" s="194"/>
      <c r="AP114" s="194"/>
      <c r="AQ114" s="194"/>
      <c r="AR114" s="194"/>
      <c r="AS114" s="194"/>
      <c r="AT114" s="194"/>
      <c r="AU114" s="194"/>
      <c r="AV114" s="194"/>
      <c r="AW114" s="194"/>
      <c r="AX114" s="194"/>
      <c r="AY114" s="194"/>
      <c r="AZ114" s="33"/>
      <c r="BA114" s="46"/>
      <c r="BB114" s="78"/>
      <c r="BC114" s="34"/>
      <c r="BD114" s="28"/>
      <c r="BG114" s="24"/>
      <c r="BH114" s="28"/>
    </row>
    <row r="115" spans="1:69">
      <c r="A115" s="22"/>
      <c r="B115" s="32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81"/>
      <c r="T115" s="81"/>
      <c r="U115" s="81"/>
      <c r="V115" s="81"/>
      <c r="W115" s="28"/>
      <c r="X115" s="28"/>
      <c r="Y115" s="81"/>
      <c r="Z115" s="81"/>
      <c r="AA115" s="28"/>
      <c r="AB115" s="28"/>
      <c r="AC115" s="28"/>
      <c r="AD115" s="81"/>
      <c r="AE115" s="81"/>
      <c r="AF115" s="81"/>
      <c r="AG115" s="81"/>
      <c r="AH115" s="81"/>
      <c r="AI115" s="81"/>
      <c r="AJ115" s="81"/>
      <c r="AK115" s="81"/>
      <c r="AL115" s="81"/>
      <c r="AM115" s="81"/>
      <c r="AN115" s="81"/>
      <c r="AO115" s="81"/>
      <c r="AP115" s="81"/>
      <c r="AQ115" s="81"/>
      <c r="AR115" s="81"/>
      <c r="AS115" s="81"/>
      <c r="AT115" s="81"/>
      <c r="AU115" s="81"/>
      <c r="AV115" s="81"/>
      <c r="AW115" s="81"/>
      <c r="AX115" s="81"/>
      <c r="AY115" s="31"/>
      <c r="AZ115" s="33"/>
      <c r="BA115" s="46"/>
      <c r="BB115" s="78"/>
      <c r="BC115" s="34"/>
    </row>
    <row r="116" spans="1:69" s="81" customFormat="1">
      <c r="A116" s="155"/>
      <c r="B116" s="95"/>
      <c r="C116" s="110"/>
      <c r="D116" s="110"/>
      <c r="E116" s="110"/>
      <c r="F116" s="110"/>
      <c r="G116" s="110"/>
      <c r="H116" s="110"/>
      <c r="I116" s="110"/>
      <c r="J116" s="110"/>
      <c r="K116" s="110"/>
      <c r="L116" s="110"/>
      <c r="M116" s="110"/>
      <c r="N116" s="110"/>
      <c r="O116" s="110"/>
      <c r="P116" s="110"/>
      <c r="Q116" s="110"/>
      <c r="R116" s="110"/>
      <c r="S116" s="156"/>
      <c r="T116" s="156"/>
      <c r="U116" s="156"/>
      <c r="V116" s="156"/>
      <c r="W116" s="110"/>
      <c r="X116" s="110"/>
      <c r="Y116" s="156"/>
      <c r="Z116" s="156"/>
      <c r="AA116" s="110"/>
      <c r="AB116" s="110"/>
      <c r="AC116" s="110"/>
      <c r="AD116" s="156"/>
      <c r="AE116" s="156"/>
      <c r="AF116" s="156"/>
      <c r="AG116" s="156"/>
      <c r="AH116" s="156"/>
      <c r="AI116" s="156"/>
      <c r="AJ116" s="156"/>
      <c r="AK116" s="156"/>
      <c r="AL116" s="156"/>
      <c r="AM116" s="156"/>
      <c r="AN116" s="156"/>
      <c r="AO116" s="156"/>
      <c r="AP116" s="156"/>
      <c r="AQ116" s="156"/>
      <c r="AR116" s="156"/>
      <c r="AS116" s="156"/>
      <c r="AT116" s="156"/>
      <c r="AU116" s="156"/>
      <c r="AV116" s="156"/>
      <c r="AW116" s="156"/>
      <c r="AX116" s="156"/>
      <c r="AY116" s="95"/>
      <c r="AZ116" s="95"/>
      <c r="BA116" s="157"/>
      <c r="BB116" s="79"/>
      <c r="BC116" s="40"/>
      <c r="BE116" s="28"/>
      <c r="BF116" s="28"/>
      <c r="BG116" s="28"/>
      <c r="BH116" s="35"/>
      <c r="BI116" s="35"/>
      <c r="BJ116" s="35"/>
      <c r="BK116" s="35"/>
      <c r="BL116" s="35"/>
      <c r="BM116" s="35"/>
      <c r="BN116" s="35"/>
      <c r="BO116" s="35"/>
      <c r="BP116" s="35"/>
      <c r="BQ116" s="35"/>
    </row>
  </sheetData>
  <mergeCells count="107">
    <mergeCell ref="AW69:AZ69"/>
    <mergeCell ref="T73:W73"/>
    <mergeCell ref="X73:AA73"/>
    <mergeCell ref="AG73:AJ73"/>
    <mergeCell ref="AK73:AN73"/>
    <mergeCell ref="AO73:AR73"/>
    <mergeCell ref="AS73:AV73"/>
    <mergeCell ref="AW73:AZ73"/>
    <mergeCell ref="T69:W69"/>
    <mergeCell ref="X69:AA69"/>
    <mergeCell ref="AG69:AJ69"/>
    <mergeCell ref="AK69:AN69"/>
    <mergeCell ref="AO69:AR69"/>
    <mergeCell ref="J104:M104"/>
    <mergeCell ref="AP51:AS51"/>
    <mergeCell ref="T74:W74"/>
    <mergeCell ref="BJ50:BM50"/>
    <mergeCell ref="BH65:BK65"/>
    <mergeCell ref="AG74:AJ74"/>
    <mergeCell ref="AO66:AR66"/>
    <mergeCell ref="AK66:AN66"/>
    <mergeCell ref="AG66:AJ66"/>
    <mergeCell ref="AB66:AF66"/>
    <mergeCell ref="X66:AA66"/>
    <mergeCell ref="T66:W66"/>
    <mergeCell ref="BB50:BE50"/>
    <mergeCell ref="BB51:BE51"/>
    <mergeCell ref="BF50:BI50"/>
    <mergeCell ref="BF51:BI51"/>
    <mergeCell ref="AW66:AZ66"/>
    <mergeCell ref="BA65:BD65"/>
    <mergeCell ref="BE65:BG65"/>
    <mergeCell ref="AX51:BA51"/>
    <mergeCell ref="T65:W65"/>
    <mergeCell ref="X65:AA65"/>
    <mergeCell ref="AB65:AF65"/>
    <mergeCell ref="AS69:AV69"/>
    <mergeCell ref="J114:M114"/>
    <mergeCell ref="BA66:BD66"/>
    <mergeCell ref="BE66:BG66"/>
    <mergeCell ref="X74:AA74"/>
    <mergeCell ref="AK74:AN74"/>
    <mergeCell ref="AO74:AR74"/>
    <mergeCell ref="AS74:AV74"/>
    <mergeCell ref="AW74:AZ74"/>
    <mergeCell ref="J78:M78"/>
    <mergeCell ref="J80:M80"/>
    <mergeCell ref="J87:M87"/>
    <mergeCell ref="J112:M112"/>
    <mergeCell ref="J113:M113"/>
    <mergeCell ref="AS66:AV66"/>
    <mergeCell ref="J88:M88"/>
    <mergeCell ref="J90:M90"/>
    <mergeCell ref="AS70:AV70"/>
    <mergeCell ref="AW70:AZ70"/>
    <mergeCell ref="T70:W70"/>
    <mergeCell ref="X70:AA70"/>
    <mergeCell ref="AG70:AJ70"/>
    <mergeCell ref="AK70:AN70"/>
    <mergeCell ref="AO70:AR70"/>
    <mergeCell ref="J96:M96"/>
    <mergeCell ref="AG65:AJ65"/>
    <mergeCell ref="AK65:AN65"/>
    <mergeCell ref="AO65:AR65"/>
    <mergeCell ref="AS65:AV65"/>
    <mergeCell ref="AW65:AZ65"/>
    <mergeCell ref="R51:U51"/>
    <mergeCell ref="Z51:AC51"/>
    <mergeCell ref="AT51:AW51"/>
    <mergeCell ref="AH51:AK51"/>
    <mergeCell ref="AL51:AO51"/>
    <mergeCell ref="AV3:AY3"/>
    <mergeCell ref="A5:BA5"/>
    <mergeCell ref="BB5:BC5"/>
    <mergeCell ref="R50:U50"/>
    <mergeCell ref="Z50:AC50"/>
    <mergeCell ref="AT50:AW50"/>
    <mergeCell ref="AX50:BA50"/>
    <mergeCell ref="AH50:AK50"/>
    <mergeCell ref="AL50:AO50"/>
    <mergeCell ref="AP50:AS50"/>
    <mergeCell ref="H41:L41"/>
    <mergeCell ref="H42:L42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V2:AY2"/>
    <mergeCell ref="AZ2:BC3"/>
    <mergeCell ref="A3:H3"/>
    <mergeCell ref="I3:L3"/>
    <mergeCell ref="M3:W3"/>
    <mergeCell ref="X3:Z3"/>
    <mergeCell ref="AA3:AR3"/>
    <mergeCell ref="AS3:AU3"/>
  </mergeCells>
  <phoneticPr fontId="54"/>
  <conditionalFormatting sqref="AO69:AR70">
    <cfRule type="cellIs" dxfId="24" priority="3" operator="lessThan">
      <formula>0</formula>
    </cfRule>
    <cfRule type="expression" dxfId="23" priority="4">
      <formula>#REF!&lt;30</formula>
    </cfRule>
  </conditionalFormatting>
  <conditionalFormatting sqref="AO73:AR74">
    <cfRule type="cellIs" dxfId="22" priority="1" operator="lessThan">
      <formula>0</formula>
    </cfRule>
    <cfRule type="expression" dxfId="21" priority="2">
      <formula>#REF!&lt;30</formula>
    </cfRule>
  </conditionalFormatting>
  <conditionalFormatting sqref="AS65:AV66">
    <cfRule type="cellIs" dxfId="20" priority="8" operator="lessThan">
      <formula>0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2C837-CC74-4F4E-AF36-58ED36486169}">
  <dimension ref="A1:CM150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.5"/>
  <cols>
    <col min="1" max="18" width="2.625" style="35" customWidth="1"/>
    <col min="19" max="22" width="2.625" style="25" customWidth="1"/>
    <col min="23" max="24" width="2.625" style="35" customWidth="1"/>
    <col min="25" max="26" width="2.625" style="25" customWidth="1"/>
    <col min="27" max="29" width="2.625" style="35" customWidth="1"/>
    <col min="30" max="55" width="2.625" style="25" customWidth="1"/>
    <col min="56" max="56" width="2.625" style="81" customWidth="1"/>
    <col min="57" max="59" width="2.625" style="28" customWidth="1"/>
    <col min="60" max="128" width="2.625" style="35" customWidth="1"/>
    <col min="129" max="16384" width="9" style="35"/>
  </cols>
  <sheetData>
    <row r="1" spans="1:59" ht="12" customHeight="1">
      <c r="A1" s="846" t="s">
        <v>4</v>
      </c>
      <c r="B1" s="846"/>
      <c r="C1" s="846"/>
      <c r="D1" s="846"/>
      <c r="E1" s="846"/>
      <c r="F1" s="846"/>
      <c r="G1" s="846"/>
      <c r="H1" s="846"/>
      <c r="I1" s="829" t="s">
        <v>5</v>
      </c>
      <c r="J1" s="829"/>
      <c r="K1" s="829"/>
      <c r="L1" s="829"/>
      <c r="M1" s="844" t="str">
        <f>変更来歴!M1</f>
        <v>ヒロセ電機株式会社</v>
      </c>
      <c r="N1" s="844"/>
      <c r="O1" s="844"/>
      <c r="P1" s="844"/>
      <c r="Q1" s="844"/>
      <c r="R1" s="844"/>
      <c r="S1" s="844"/>
      <c r="T1" s="844"/>
      <c r="U1" s="844"/>
      <c r="V1" s="844"/>
      <c r="W1" s="844"/>
      <c r="X1" s="829" t="s">
        <v>7</v>
      </c>
      <c r="Y1" s="829"/>
      <c r="Z1" s="829"/>
      <c r="AA1" s="848" t="str">
        <f>変更来歴!AA1</f>
        <v>契約書DB</v>
      </c>
      <c r="AB1" s="848"/>
      <c r="AC1" s="848"/>
      <c r="AD1" s="848"/>
      <c r="AE1" s="848"/>
      <c r="AF1" s="848"/>
      <c r="AG1" s="848"/>
      <c r="AH1" s="848"/>
      <c r="AI1" s="848"/>
      <c r="AJ1" s="848"/>
      <c r="AK1" s="833" t="s">
        <v>8</v>
      </c>
      <c r="AL1" s="833"/>
      <c r="AM1" s="833"/>
      <c r="AN1" s="834" t="str">
        <f>変更来歴!AP7</f>
        <v>古竹</v>
      </c>
      <c r="AO1" s="834"/>
      <c r="AP1" s="834"/>
      <c r="AQ1" s="834"/>
      <c r="AR1" s="834"/>
      <c r="AS1" s="833" t="s">
        <v>9</v>
      </c>
      <c r="AT1" s="833"/>
      <c r="AU1" s="833"/>
      <c r="AV1" s="836">
        <f>変更来歴!AL7</f>
        <v>46125</v>
      </c>
      <c r="AW1" s="849"/>
      <c r="AX1" s="849"/>
      <c r="AY1" s="849"/>
      <c r="AZ1" s="825" t="s">
        <v>10</v>
      </c>
      <c r="BA1" s="826"/>
      <c r="BB1" s="826"/>
      <c r="BC1" s="827"/>
    </row>
    <row r="2" spans="1:59">
      <c r="A2" s="828" t="s">
        <v>16</v>
      </c>
      <c r="B2" s="828"/>
      <c r="C2" s="828"/>
      <c r="D2" s="828"/>
      <c r="E2" s="828"/>
      <c r="F2" s="828"/>
      <c r="G2" s="828"/>
      <c r="H2" s="828"/>
      <c r="I2" s="829" t="s">
        <v>11</v>
      </c>
      <c r="J2" s="829"/>
      <c r="K2" s="829"/>
      <c r="L2" s="829"/>
      <c r="M2" s="862" t="str">
        <f>変更来歴!M2</f>
        <v>　</v>
      </c>
      <c r="N2" s="862"/>
      <c r="O2" s="862"/>
      <c r="P2" s="862"/>
      <c r="Q2" s="862"/>
      <c r="R2" s="862"/>
      <c r="S2" s="862"/>
      <c r="T2" s="862"/>
      <c r="U2" s="862"/>
      <c r="V2" s="862"/>
      <c r="W2" s="862"/>
      <c r="X2" s="829"/>
      <c r="Y2" s="829"/>
      <c r="Z2" s="829"/>
      <c r="AA2" s="848"/>
      <c r="AB2" s="848"/>
      <c r="AC2" s="848"/>
      <c r="AD2" s="848"/>
      <c r="AE2" s="848"/>
      <c r="AF2" s="848"/>
      <c r="AG2" s="848"/>
      <c r="AH2" s="848"/>
      <c r="AI2" s="848"/>
      <c r="AJ2" s="848"/>
      <c r="AK2" s="833" t="s">
        <v>12</v>
      </c>
      <c r="AL2" s="833"/>
      <c r="AM2" s="833"/>
      <c r="AN2" s="834" t="str">
        <f ca="1">INDIRECT("変更来歴!AP" &amp; COUNTA(変更来歴!AP7:'変更来歴'!AP39) + 6)</f>
        <v>古竹</v>
      </c>
      <c r="AO2" s="834"/>
      <c r="AP2" s="834"/>
      <c r="AQ2" s="834"/>
      <c r="AR2" s="834"/>
      <c r="AS2" s="833" t="s">
        <v>13</v>
      </c>
      <c r="AT2" s="833"/>
      <c r="AU2" s="833"/>
      <c r="AV2" s="836">
        <f ca="1">INDIRECT("変更来歴!AL" &amp; COUNTA(変更来歴!AL7:'変更来歴'!AL39) + 6)</f>
        <v>46134</v>
      </c>
      <c r="AW2" s="849"/>
      <c r="AX2" s="849"/>
      <c r="AY2" s="849"/>
      <c r="AZ2" s="837" t="str">
        <f>変更来歴!AX2</f>
        <v>IMWF-53</v>
      </c>
      <c r="BA2" s="838"/>
      <c r="BB2" s="838"/>
      <c r="BC2" s="839"/>
    </row>
    <row r="3" spans="1:59" ht="12" customHeight="1">
      <c r="A3" s="843" t="str">
        <f>変更来歴!A3</f>
        <v>画面設計書</v>
      </c>
      <c r="B3" s="843"/>
      <c r="C3" s="843"/>
      <c r="D3" s="843"/>
      <c r="E3" s="843"/>
      <c r="F3" s="843"/>
      <c r="G3" s="843"/>
      <c r="H3" s="843"/>
      <c r="I3" s="829" t="s">
        <v>14</v>
      </c>
      <c r="J3" s="829"/>
      <c r="K3" s="829"/>
      <c r="L3" s="829"/>
      <c r="M3" s="844" t="str">
        <f ca="1">RIGHT(CELL("filename",A1),LEN(CELL("filename",A1))-FIND("]",CELL("filename",A1)))</f>
        <v>外貨(PPM)</v>
      </c>
      <c r="N3" s="844"/>
      <c r="O3" s="844"/>
      <c r="P3" s="844"/>
      <c r="Q3" s="844"/>
      <c r="R3" s="844"/>
      <c r="S3" s="844"/>
      <c r="T3" s="844"/>
      <c r="U3" s="844"/>
      <c r="V3" s="844"/>
      <c r="W3" s="844"/>
      <c r="X3" s="829" t="s">
        <v>27</v>
      </c>
      <c r="Y3" s="829"/>
      <c r="Z3" s="829"/>
      <c r="AA3" s="845" t="str">
        <f ca="1">MID(CELL("filename"),FIND("]",CELL("filename"))+1,LEN(CELL("filename"))) &amp; "画面"</f>
        <v>化学物質データ画面(日英併記)画面</v>
      </c>
      <c r="AB3" s="845"/>
      <c r="AC3" s="845"/>
      <c r="AD3" s="845"/>
      <c r="AE3" s="845"/>
      <c r="AF3" s="845"/>
      <c r="AG3" s="845"/>
      <c r="AH3" s="845"/>
      <c r="AI3" s="845"/>
      <c r="AJ3" s="845"/>
      <c r="AK3" s="845"/>
      <c r="AL3" s="845"/>
      <c r="AM3" s="845"/>
      <c r="AN3" s="845"/>
      <c r="AO3" s="845"/>
      <c r="AP3" s="845"/>
      <c r="AQ3" s="845"/>
      <c r="AR3" s="845"/>
      <c r="AS3" s="833" t="s">
        <v>15</v>
      </c>
      <c r="AT3" s="833"/>
      <c r="AU3" s="833"/>
      <c r="AV3" s="849" t="str">
        <f ca="1">INDIRECT("変更来歴!A" &amp; COUNTA(変更来歴!A7:'変更来歴'!A39) + 6)</f>
        <v>r1.1</v>
      </c>
      <c r="AW3" s="849"/>
      <c r="AX3" s="849"/>
      <c r="AY3" s="849"/>
      <c r="AZ3" s="840"/>
      <c r="BA3" s="841"/>
      <c r="BB3" s="841"/>
      <c r="BC3" s="842"/>
    </row>
    <row r="4" spans="1:59" ht="5.85" customHeight="1"/>
    <row r="5" spans="1:59" ht="13.5" customHeight="1">
      <c r="A5" s="864" t="str">
        <f ca="1">"画面レイアウト"&amp;"("&amp;MID(CELL("filename"),FIND("]",CELL("filename"))+1,LEN(CELL("filename")))&amp;")"</f>
        <v>画面レイアウト(化学物質データ画面(日英併記))</v>
      </c>
      <c r="B5" s="865"/>
      <c r="C5" s="865"/>
      <c r="D5" s="865"/>
      <c r="E5" s="865"/>
      <c r="F5" s="865"/>
      <c r="G5" s="865"/>
      <c r="H5" s="865"/>
      <c r="I5" s="865"/>
      <c r="J5" s="865"/>
      <c r="K5" s="865"/>
      <c r="L5" s="865"/>
      <c r="M5" s="865"/>
      <c r="N5" s="865"/>
      <c r="O5" s="865"/>
      <c r="P5" s="865"/>
      <c r="Q5" s="865"/>
      <c r="R5" s="865"/>
      <c r="S5" s="865"/>
      <c r="T5" s="865"/>
      <c r="U5" s="865"/>
      <c r="V5" s="865"/>
      <c r="W5" s="865"/>
      <c r="X5" s="865"/>
      <c r="Y5" s="865"/>
      <c r="Z5" s="865"/>
      <c r="AA5" s="865"/>
      <c r="AB5" s="865"/>
      <c r="AC5" s="865"/>
      <c r="AD5" s="865"/>
      <c r="AE5" s="865"/>
      <c r="AF5" s="865"/>
      <c r="AG5" s="865"/>
      <c r="AH5" s="865"/>
      <c r="AI5" s="865"/>
      <c r="AJ5" s="865"/>
      <c r="AK5" s="865"/>
      <c r="AL5" s="865"/>
      <c r="AM5" s="865"/>
      <c r="AN5" s="865"/>
      <c r="AO5" s="865"/>
      <c r="AP5" s="865"/>
      <c r="AQ5" s="865"/>
      <c r="AR5" s="865"/>
      <c r="AS5" s="865"/>
      <c r="AT5" s="865"/>
      <c r="AU5" s="865"/>
      <c r="AV5" s="865"/>
      <c r="AW5" s="865"/>
      <c r="AX5" s="865"/>
      <c r="AY5" s="865"/>
      <c r="AZ5" s="865"/>
      <c r="BA5" s="866"/>
      <c r="BB5" s="867" t="s">
        <v>24</v>
      </c>
      <c r="BC5" s="868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293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/>
      <c r="O7" s="48" t="s">
        <v>289</v>
      </c>
      <c r="P7" s="36"/>
      <c r="Q7" s="36"/>
      <c r="R7" s="36"/>
      <c r="S7" s="49" t="s">
        <v>288</v>
      </c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49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50</v>
      </c>
      <c r="D10" s="31"/>
      <c r="E10" s="31"/>
      <c r="F10" s="31" t="s">
        <v>54</v>
      </c>
      <c r="G10" s="31"/>
      <c r="H10" s="127" t="s">
        <v>53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51</v>
      </c>
      <c r="D11" s="31"/>
      <c r="E11" s="31"/>
      <c r="F11" s="31" t="s">
        <v>54</v>
      </c>
      <c r="G11" s="31"/>
      <c r="H11" s="75" t="s">
        <v>55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52</v>
      </c>
      <c r="D12" s="31"/>
      <c r="E12" s="31"/>
      <c r="F12" s="31" t="s">
        <v>54</v>
      </c>
      <c r="G12" s="31"/>
      <c r="H12" s="75" t="s">
        <v>56</v>
      </c>
      <c r="I12" s="75"/>
      <c r="J12" s="75"/>
      <c r="K12" s="75"/>
      <c r="L12" s="75" t="s">
        <v>57</v>
      </c>
      <c r="M12" s="75"/>
      <c r="N12" s="75"/>
      <c r="O12" s="75" t="s">
        <v>58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104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0999999999999996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105</v>
      </c>
      <c r="D16" s="28"/>
      <c r="E16" s="28"/>
      <c r="F16" s="28"/>
      <c r="G16" s="28"/>
      <c r="H16" s="255" t="s">
        <v>171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59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60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61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62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63</v>
      </c>
      <c r="U19" s="63"/>
      <c r="V19" s="63"/>
      <c r="W19" s="63"/>
      <c r="X19" s="63"/>
      <c r="Y19" s="124" t="s">
        <v>71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107</v>
      </c>
      <c r="D20" s="31"/>
      <c r="E20" s="31"/>
      <c r="F20" s="31"/>
      <c r="G20" s="31"/>
      <c r="H20" s="58"/>
      <c r="I20" s="59"/>
      <c r="J20" s="59"/>
      <c r="K20" s="456">
        <v>0.05</v>
      </c>
      <c r="L20" s="299" t="s">
        <v>108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0999999999999996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109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0999999999999996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110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111</v>
      </c>
      <c r="Q25" s="64"/>
      <c r="R25" s="63"/>
      <c r="S25" s="35"/>
      <c r="T25" s="28" t="s">
        <v>120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113</v>
      </c>
      <c r="AH25" s="28"/>
      <c r="AI25" s="28"/>
      <c r="AJ25" s="28"/>
      <c r="AK25" s="28" t="s">
        <v>114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115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269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/>
      <c r="S26" s="35"/>
      <c r="T26" s="28" t="s">
        <v>267</v>
      </c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28"/>
      <c r="AL26" s="28"/>
      <c r="AM26" s="28"/>
      <c r="AN26" s="28"/>
      <c r="AO26" s="35"/>
      <c r="AP26" s="62"/>
      <c r="AQ26" s="63"/>
      <c r="AR26" s="63"/>
      <c r="AS26" s="63"/>
      <c r="AT26" s="64"/>
      <c r="AU26" s="63"/>
      <c r="AV26" s="65"/>
      <c r="AW26" s="65"/>
      <c r="AX26" s="65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" customHeight="1">
      <c r="A27" s="22"/>
      <c r="B27" s="256"/>
      <c r="C27" s="497" t="s">
        <v>275</v>
      </c>
      <c r="F27" s="285"/>
      <c r="G27" s="285"/>
      <c r="H27" s="98" t="s">
        <v>123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276</v>
      </c>
      <c r="U27" s="35"/>
      <c r="V27" s="285"/>
      <c r="W27" s="285"/>
      <c r="X27" s="285"/>
      <c r="Y27" s="98" t="s">
        <v>124</v>
      </c>
      <c r="Z27" s="257"/>
      <c r="AA27" s="258"/>
      <c r="AB27" s="258"/>
      <c r="AC27" s="258"/>
      <c r="AD27" s="259"/>
      <c r="AE27" s="258"/>
      <c r="AF27" s="142"/>
      <c r="AG27" s="496" t="s">
        <v>33</v>
      </c>
      <c r="AH27" s="35"/>
      <c r="AI27" s="35"/>
      <c r="AJ27" s="285"/>
      <c r="AL27" s="35"/>
      <c r="AM27" s="285"/>
      <c r="AN27" s="35"/>
      <c r="AO27" s="35"/>
      <c r="AP27" s="26"/>
      <c r="AQ27" s="493"/>
      <c r="AR27" s="494"/>
      <c r="AS27" s="494"/>
      <c r="AT27" s="494"/>
      <c r="AU27" s="495"/>
      <c r="AV27" s="38"/>
      <c r="AW27" s="26"/>
      <c r="AX27" s="499"/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270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271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70"/>
      <c r="AH28" s="28"/>
      <c r="AI28" s="28"/>
      <c r="AJ28" s="28" t="s">
        <v>272</v>
      </c>
      <c r="AK28" s="28"/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498"/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45"/>
      <c r="C29" s="282" t="s">
        <v>119</v>
      </c>
      <c r="D29" s="28"/>
      <c r="E29" s="28"/>
      <c r="F29" s="28"/>
      <c r="H29" s="58"/>
      <c r="I29" s="59"/>
      <c r="J29" s="59"/>
      <c r="K29" s="59"/>
      <c r="L29" s="60"/>
      <c r="M29" s="59"/>
      <c r="N29" s="61"/>
      <c r="O29" s="61"/>
      <c r="P29" s="260" t="s">
        <v>33</v>
      </c>
      <c r="Q29" s="64"/>
      <c r="R29" s="28"/>
      <c r="S29" s="35"/>
      <c r="T29" s="26" t="s">
        <v>273</v>
      </c>
      <c r="U29" s="28"/>
      <c r="V29" s="28"/>
      <c r="W29" s="28"/>
      <c r="Y29" s="58"/>
      <c r="Z29" s="59"/>
      <c r="AA29" s="59"/>
      <c r="AB29" s="59"/>
      <c r="AC29" s="60"/>
      <c r="AD29" s="59"/>
      <c r="AE29" s="61"/>
      <c r="AF29" s="61"/>
      <c r="AG29" s="70"/>
      <c r="AH29" s="28"/>
      <c r="AI29" s="28"/>
      <c r="AJ29" s="28" t="s">
        <v>274</v>
      </c>
      <c r="AK29" s="28"/>
      <c r="AL29" s="28"/>
      <c r="AM29" s="28"/>
      <c r="AN29" s="28"/>
      <c r="AO29" s="35"/>
      <c r="AP29" s="58"/>
      <c r="AQ29" s="59"/>
      <c r="AR29" s="59"/>
      <c r="AS29" s="59"/>
      <c r="AT29" s="60"/>
      <c r="AU29" s="59"/>
      <c r="AV29" s="70"/>
      <c r="AW29" s="94" t="s">
        <v>268</v>
      </c>
      <c r="AX29" s="35"/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 t="s">
        <v>125</v>
      </c>
      <c r="D30" s="41"/>
      <c r="E30" s="41"/>
      <c r="F30" s="41"/>
      <c r="G30" s="41"/>
      <c r="H30" s="163"/>
      <c r="I30" s="164"/>
      <c r="J30" s="165"/>
      <c r="K30" s="164"/>
      <c r="L30" s="165"/>
      <c r="M30" s="164"/>
      <c r="N30" s="166"/>
      <c r="O30" s="164"/>
      <c r="P30" s="165"/>
      <c r="Q30" s="165"/>
      <c r="R30" s="165"/>
      <c r="S30" s="167"/>
      <c r="T30" s="167"/>
      <c r="U30" s="167"/>
      <c r="V30" s="167"/>
      <c r="W30" s="167"/>
      <c r="X30" s="166"/>
      <c r="Y30" s="167"/>
      <c r="Z30" s="165"/>
      <c r="AA30" s="166"/>
      <c r="AB30" s="167"/>
      <c r="AC30" s="165"/>
      <c r="AD30" s="166"/>
      <c r="AE30" s="165"/>
      <c r="AF30" s="165"/>
      <c r="AG30" s="166"/>
      <c r="AH30" s="165"/>
      <c r="AI30" s="165"/>
      <c r="AJ30" s="168"/>
      <c r="AK30" s="165"/>
      <c r="AL30" s="165"/>
      <c r="AM30" s="165"/>
      <c r="AN30" s="165"/>
      <c r="AO30" s="165"/>
      <c r="AP30" s="165"/>
      <c r="AQ30" s="165"/>
      <c r="AR30" s="165"/>
      <c r="AS30" s="165"/>
      <c r="AT30" s="165"/>
      <c r="AU30" s="165"/>
      <c r="AV30" s="165"/>
      <c r="AW30" s="165"/>
      <c r="AX30" s="160" t="s">
        <v>37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/>
      <c r="D31" s="41"/>
      <c r="E31" s="41"/>
      <c r="F31" s="41"/>
      <c r="G31" s="41"/>
      <c r="H31" s="169"/>
      <c r="I31" s="170"/>
      <c r="J31" s="171"/>
      <c r="K31" s="170"/>
      <c r="L31" s="171"/>
      <c r="M31" s="170"/>
      <c r="N31" s="172"/>
      <c r="O31" s="170"/>
      <c r="P31" s="171"/>
      <c r="Q31" s="171"/>
      <c r="R31" s="171"/>
      <c r="S31" s="173"/>
      <c r="T31" s="173"/>
      <c r="U31" s="173"/>
      <c r="V31" s="173"/>
      <c r="W31" s="173"/>
      <c r="X31" s="172"/>
      <c r="Y31" s="173"/>
      <c r="Z31" s="171"/>
      <c r="AA31" s="172"/>
      <c r="AB31" s="173"/>
      <c r="AC31" s="171"/>
      <c r="AD31" s="172"/>
      <c r="AE31" s="171"/>
      <c r="AF31" s="171"/>
      <c r="AG31" s="172"/>
      <c r="AH31" s="171"/>
      <c r="AI31" s="171"/>
      <c r="AJ31" s="174"/>
      <c r="AK31" s="171"/>
      <c r="AL31" s="171"/>
      <c r="AM31" s="171"/>
      <c r="AN31" s="171"/>
      <c r="AO31" s="171"/>
      <c r="AP31" s="171"/>
      <c r="AQ31" s="171"/>
      <c r="AR31" s="171"/>
      <c r="AS31" s="171"/>
      <c r="AT31" s="171"/>
      <c r="AU31" s="171"/>
      <c r="AV31" s="171"/>
      <c r="AW31" s="171"/>
      <c r="AX31" s="122" t="s">
        <v>33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 t="s">
        <v>127</v>
      </c>
      <c r="D32" s="41"/>
      <c r="E32" s="41"/>
      <c r="F32" s="41"/>
      <c r="G32" s="41"/>
      <c r="H32" s="163" t="s">
        <v>172</v>
      </c>
      <c r="I32" s="164"/>
      <c r="J32" s="165"/>
      <c r="K32" s="164"/>
      <c r="L32" s="165"/>
      <c r="M32" s="164"/>
      <c r="N32" s="166"/>
      <c r="O32" s="164"/>
      <c r="P32" s="165"/>
      <c r="Q32" s="165"/>
      <c r="R32" s="165"/>
      <c r="S32" s="167"/>
      <c r="T32" s="167"/>
      <c r="U32" s="167"/>
      <c r="V32" s="167"/>
      <c r="W32" s="167"/>
      <c r="X32" s="166"/>
      <c r="Y32" s="167"/>
      <c r="Z32" s="165"/>
      <c r="AA32" s="166"/>
      <c r="AB32" s="167"/>
      <c r="AC32" s="165"/>
      <c r="AD32" s="166"/>
      <c r="AE32" s="165"/>
      <c r="AF32" s="165"/>
      <c r="AG32" s="166"/>
      <c r="AH32" s="165"/>
      <c r="AI32" s="165"/>
      <c r="AJ32" s="168"/>
      <c r="AK32" s="165"/>
      <c r="AL32" s="165"/>
      <c r="AM32" s="165"/>
      <c r="AN32" s="165"/>
      <c r="AO32" s="165"/>
      <c r="AP32" s="165"/>
      <c r="AQ32" s="165"/>
      <c r="AR32" s="165"/>
      <c r="AS32" s="165"/>
      <c r="AT32" s="165"/>
      <c r="AU32" s="165"/>
      <c r="AV32" s="165"/>
      <c r="AW32" s="165"/>
      <c r="AX32" s="160" t="s">
        <v>37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87"/>
      <c r="D33" s="41"/>
      <c r="E33" s="41"/>
      <c r="F33" s="41"/>
      <c r="G33" s="41"/>
      <c r="H33" s="169"/>
      <c r="I33" s="170"/>
      <c r="J33" s="171"/>
      <c r="K33" s="170"/>
      <c r="L33" s="171"/>
      <c r="M33" s="170"/>
      <c r="N33" s="172"/>
      <c r="O33" s="170"/>
      <c r="P33" s="171"/>
      <c r="Q33" s="171"/>
      <c r="R33" s="171"/>
      <c r="S33" s="173"/>
      <c r="T33" s="173"/>
      <c r="U33" s="173"/>
      <c r="V33" s="173"/>
      <c r="W33" s="173"/>
      <c r="X33" s="172"/>
      <c r="Y33" s="173"/>
      <c r="Z33" s="171"/>
      <c r="AA33" s="172"/>
      <c r="AB33" s="173"/>
      <c r="AC33" s="171"/>
      <c r="AD33" s="172"/>
      <c r="AE33" s="171"/>
      <c r="AF33" s="171"/>
      <c r="AG33" s="172"/>
      <c r="AH33" s="171"/>
      <c r="AI33" s="171"/>
      <c r="AJ33" s="174"/>
      <c r="AK33" s="171"/>
      <c r="AL33" s="171"/>
      <c r="AM33" s="171"/>
      <c r="AN33" s="171"/>
      <c r="AO33" s="171"/>
      <c r="AP33" s="171"/>
      <c r="AQ33" s="171"/>
      <c r="AR33" s="171"/>
      <c r="AS33" s="171"/>
      <c r="AT33" s="171"/>
      <c r="AU33" s="171"/>
      <c r="AV33" s="171"/>
      <c r="AW33" s="171"/>
      <c r="AX33" s="122" t="s">
        <v>33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87" t="s">
        <v>128</v>
      </c>
      <c r="D34" s="41"/>
      <c r="E34" s="41"/>
      <c r="F34" s="41"/>
      <c r="G34" s="41"/>
      <c r="H34" s="163"/>
      <c r="I34" s="164"/>
      <c r="J34" s="165"/>
      <c r="K34" s="164"/>
      <c r="L34" s="165"/>
      <c r="M34" s="164"/>
      <c r="N34" s="166"/>
      <c r="O34" s="164"/>
      <c r="P34" s="165"/>
      <c r="Q34" s="165"/>
      <c r="R34" s="165"/>
      <c r="S34" s="167"/>
      <c r="T34" s="167"/>
      <c r="U34" s="167"/>
      <c r="V34" s="167"/>
      <c r="W34" s="167"/>
      <c r="X34" s="166"/>
      <c r="Y34" s="167"/>
      <c r="Z34" s="165"/>
      <c r="AA34" s="166"/>
      <c r="AB34" s="167"/>
      <c r="AC34" s="165"/>
      <c r="AD34" s="166"/>
      <c r="AE34" s="165"/>
      <c r="AF34" s="165"/>
      <c r="AG34" s="166"/>
      <c r="AH34" s="165"/>
      <c r="AI34" s="165"/>
      <c r="AJ34" s="168"/>
      <c r="AK34" s="165"/>
      <c r="AL34" s="165"/>
      <c r="AM34" s="165"/>
      <c r="AN34" s="165"/>
      <c r="AO34" s="165"/>
      <c r="AP34" s="165"/>
      <c r="AQ34" s="165"/>
      <c r="AR34" s="165"/>
      <c r="AS34" s="165"/>
      <c r="AT34" s="165"/>
      <c r="AU34" s="165"/>
      <c r="AV34" s="165"/>
      <c r="AW34" s="165"/>
      <c r="AX34" s="160" t="s">
        <v>37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59" ht="13.5" customHeight="1">
      <c r="A35" s="22"/>
      <c r="B35" s="32"/>
      <c r="C35" s="287"/>
      <c r="D35" s="41"/>
      <c r="E35" s="41"/>
      <c r="F35" s="41"/>
      <c r="G35" s="41"/>
      <c r="H35" s="169"/>
      <c r="I35" s="170"/>
      <c r="J35" s="171"/>
      <c r="K35" s="170"/>
      <c r="L35" s="171"/>
      <c r="M35" s="170"/>
      <c r="N35" s="172"/>
      <c r="O35" s="170"/>
      <c r="P35" s="171"/>
      <c r="Q35" s="171"/>
      <c r="R35" s="171"/>
      <c r="S35" s="173"/>
      <c r="T35" s="173"/>
      <c r="U35" s="173"/>
      <c r="V35" s="173"/>
      <c r="W35" s="173"/>
      <c r="X35" s="172"/>
      <c r="Y35" s="173"/>
      <c r="Z35" s="171"/>
      <c r="AA35" s="172"/>
      <c r="AB35" s="173"/>
      <c r="AC35" s="171"/>
      <c r="AD35" s="172"/>
      <c r="AE35" s="171"/>
      <c r="AF35" s="171"/>
      <c r="AG35" s="172"/>
      <c r="AH35" s="171"/>
      <c r="AI35" s="171"/>
      <c r="AJ35" s="174"/>
      <c r="AK35" s="171"/>
      <c r="AL35" s="171"/>
      <c r="AM35" s="171"/>
      <c r="AN35" s="171"/>
      <c r="AO35" s="171"/>
      <c r="AP35" s="171"/>
      <c r="AQ35" s="171"/>
      <c r="AR35" s="171"/>
      <c r="AS35" s="171"/>
      <c r="AT35" s="171"/>
      <c r="AU35" s="171"/>
      <c r="AV35" s="171"/>
      <c r="AW35" s="171"/>
      <c r="AX35" s="122" t="s">
        <v>33</v>
      </c>
      <c r="AY35" s="283"/>
      <c r="AZ35" s="33"/>
      <c r="BA35" s="46"/>
      <c r="BB35" s="78"/>
      <c r="BC35" s="34"/>
      <c r="BD35" s="28"/>
      <c r="BE35" s="35"/>
      <c r="BF35" s="35"/>
      <c r="BG35" s="35"/>
    </row>
    <row r="36" spans="1:59" ht="5.0999999999999996" customHeight="1">
      <c r="A36" s="22"/>
      <c r="B36" s="32"/>
      <c r="C36" s="288"/>
      <c r="D36" s="289"/>
      <c r="E36" s="289"/>
      <c r="F36" s="289"/>
      <c r="G36" s="289"/>
      <c r="H36" s="290"/>
      <c r="I36" s="290"/>
      <c r="J36" s="291"/>
      <c r="K36" s="290"/>
      <c r="L36" s="291"/>
      <c r="M36" s="290"/>
      <c r="N36" s="292"/>
      <c r="O36" s="290"/>
      <c r="P36" s="291"/>
      <c r="Q36" s="291"/>
      <c r="R36" s="291"/>
      <c r="S36" s="293"/>
      <c r="T36" s="293"/>
      <c r="U36" s="293"/>
      <c r="V36" s="293"/>
      <c r="W36" s="293"/>
      <c r="X36" s="292"/>
      <c r="Y36" s="293"/>
      <c r="Z36" s="291"/>
      <c r="AA36" s="292"/>
      <c r="AB36" s="293"/>
      <c r="AC36" s="291"/>
      <c r="AD36" s="292"/>
      <c r="AE36" s="291"/>
      <c r="AF36" s="291"/>
      <c r="AG36" s="292"/>
      <c r="AH36" s="291"/>
      <c r="AI36" s="291"/>
      <c r="AJ36" s="294"/>
      <c r="AK36" s="291"/>
      <c r="AL36" s="291"/>
      <c r="AM36" s="291"/>
      <c r="AN36" s="291"/>
      <c r="AO36" s="291"/>
      <c r="AP36" s="291"/>
      <c r="AQ36" s="291"/>
      <c r="AR36" s="291"/>
      <c r="AS36" s="291"/>
      <c r="AT36" s="291"/>
      <c r="AU36" s="291"/>
      <c r="AV36" s="291"/>
      <c r="AW36" s="291"/>
      <c r="AX36" s="276"/>
      <c r="AY36" s="295"/>
      <c r="AZ36" s="33"/>
      <c r="BA36" s="46"/>
      <c r="BB36" s="78"/>
      <c r="BC36" s="34"/>
      <c r="BD36" s="28"/>
      <c r="BE36" s="35"/>
      <c r="BF36" s="35"/>
      <c r="BG36" s="35"/>
    </row>
    <row r="37" spans="1:59" ht="13.5" customHeight="1">
      <c r="A37" s="22"/>
      <c r="B37" s="32"/>
      <c r="C37" s="41"/>
      <c r="D37" s="41"/>
      <c r="E37" s="41"/>
      <c r="F37" s="41"/>
      <c r="G37" s="41"/>
      <c r="H37" s="364"/>
      <c r="I37" s="364"/>
      <c r="J37" s="365"/>
      <c r="K37" s="364"/>
      <c r="L37" s="365"/>
      <c r="M37" s="364"/>
      <c r="N37" s="366"/>
      <c r="O37" s="364"/>
      <c r="P37" s="365"/>
      <c r="Q37" s="365"/>
      <c r="R37" s="365"/>
      <c r="S37" s="367"/>
      <c r="T37" s="367"/>
      <c r="U37" s="367"/>
      <c r="V37" s="367"/>
      <c r="W37" s="367"/>
      <c r="X37" s="366"/>
      <c r="Y37" s="367"/>
      <c r="Z37" s="365"/>
      <c r="AA37" s="366"/>
      <c r="AB37" s="367"/>
      <c r="AC37" s="365"/>
      <c r="AD37" s="366"/>
      <c r="AE37" s="365"/>
      <c r="AF37" s="365"/>
      <c r="AG37" s="366"/>
      <c r="AH37" s="365"/>
      <c r="AI37" s="365"/>
      <c r="AJ37" s="368"/>
      <c r="AK37" s="365"/>
      <c r="AL37" s="365"/>
      <c r="AM37" s="365"/>
      <c r="AN37" s="365"/>
      <c r="AO37" s="365"/>
      <c r="AP37" s="365"/>
      <c r="AQ37" s="365"/>
      <c r="AR37" s="365"/>
      <c r="AS37" s="365"/>
      <c r="AT37" s="365"/>
      <c r="AU37" s="365"/>
      <c r="AV37" s="365"/>
      <c r="AW37" s="365"/>
      <c r="AX37" s="280"/>
      <c r="AY37" s="279"/>
      <c r="AZ37" s="33"/>
      <c r="BA37" s="46"/>
      <c r="BB37" s="78"/>
      <c r="BC37" s="34"/>
      <c r="BD37" s="28"/>
      <c r="BE37" s="35"/>
      <c r="BF37" s="35"/>
      <c r="BG37" s="35"/>
    </row>
    <row r="38" spans="1:59" ht="13.5" customHeight="1">
      <c r="A38" s="22"/>
      <c r="B38" s="202">
        <v>2</v>
      </c>
      <c r="C38" s="204" t="s">
        <v>173</v>
      </c>
      <c r="D38" s="28"/>
      <c r="E38" s="28"/>
      <c r="F38" s="28"/>
      <c r="G38" s="28"/>
      <c r="H38" s="316"/>
      <c r="I38" s="275"/>
      <c r="J38" s="273"/>
      <c r="K38" s="275"/>
      <c r="L38" s="273"/>
      <c r="M38" s="317"/>
      <c r="N38" s="317"/>
      <c r="O38" s="270"/>
      <c r="P38" s="317"/>
      <c r="Q38" s="270"/>
      <c r="R38" s="317"/>
      <c r="S38" s="271"/>
      <c r="T38" s="73"/>
      <c r="U38" s="73"/>
      <c r="V38" s="73"/>
      <c r="W38" s="73"/>
      <c r="X38" s="73"/>
      <c r="Y38" s="316"/>
      <c r="Z38" s="275"/>
      <c r="AA38" s="273"/>
      <c r="AB38" s="275"/>
      <c r="AC38" s="273"/>
      <c r="AD38" s="317"/>
      <c r="AE38" s="317"/>
      <c r="AF38" s="270"/>
      <c r="AG38" s="317"/>
      <c r="AH38" s="317"/>
      <c r="AI38" s="276"/>
      <c r="AJ38" s="317"/>
      <c r="AK38" s="270"/>
      <c r="AL38" s="73"/>
      <c r="AM38" s="73"/>
      <c r="AN38" s="73"/>
      <c r="AO38" s="73"/>
      <c r="AP38" s="73"/>
      <c r="AQ38" s="73"/>
      <c r="AR38" s="73"/>
      <c r="AS38" s="273"/>
      <c r="AT38" s="276"/>
      <c r="AU38" s="273"/>
      <c r="AV38" s="270"/>
      <c r="AW38" s="270"/>
      <c r="AX38" s="270"/>
      <c r="AY38" s="31"/>
      <c r="AZ38" s="33"/>
      <c r="BA38" s="46"/>
      <c r="BB38" s="78"/>
      <c r="BC38" s="34"/>
      <c r="BD38" s="28"/>
    </row>
    <row r="39" spans="1:59" ht="5.0999999999999996" customHeight="1">
      <c r="A39" s="22"/>
      <c r="B39" s="202"/>
      <c r="C39" s="369"/>
      <c r="D39" s="370"/>
      <c r="E39" s="370"/>
      <c r="F39" s="370"/>
      <c r="G39" s="370"/>
      <c r="H39" s="371"/>
      <c r="I39" s="372"/>
      <c r="J39" s="373"/>
      <c r="K39" s="372"/>
      <c r="L39" s="373"/>
      <c r="M39" s="374"/>
      <c r="N39" s="374"/>
      <c r="O39" s="370"/>
      <c r="P39" s="374"/>
      <c r="Q39" s="370"/>
      <c r="R39" s="374"/>
      <c r="S39" s="375"/>
      <c r="T39" s="370"/>
      <c r="U39" s="370"/>
      <c r="V39" s="370"/>
      <c r="W39" s="370"/>
      <c r="X39" s="370"/>
      <c r="Y39" s="371"/>
      <c r="Z39" s="372"/>
      <c r="AA39" s="373"/>
      <c r="AB39" s="372"/>
      <c r="AC39" s="373"/>
      <c r="AD39" s="374"/>
      <c r="AE39" s="374"/>
      <c r="AF39" s="370"/>
      <c r="AG39" s="374"/>
      <c r="AH39" s="374"/>
      <c r="AI39" s="376"/>
      <c r="AJ39" s="374"/>
      <c r="AK39" s="370"/>
      <c r="AL39" s="370"/>
      <c r="AM39" s="370"/>
      <c r="AN39" s="370"/>
      <c r="AO39" s="370"/>
      <c r="AP39" s="370"/>
      <c r="AQ39" s="370"/>
      <c r="AR39" s="370"/>
      <c r="AS39" s="373"/>
      <c r="AT39" s="376"/>
      <c r="AU39" s="373"/>
      <c r="AV39" s="370"/>
      <c r="AW39" s="370"/>
      <c r="AX39" s="370"/>
      <c r="AY39" s="487"/>
      <c r="AZ39" s="33"/>
      <c r="BA39" s="46"/>
      <c r="BB39" s="78"/>
      <c r="BC39" s="34"/>
      <c r="BD39" s="28"/>
    </row>
    <row r="40" spans="1:59" ht="13.5" customHeight="1">
      <c r="A40" s="22"/>
      <c r="B40" s="45"/>
      <c r="C40" s="377" t="s">
        <v>174</v>
      </c>
      <c r="D40" s="378"/>
      <c r="E40" s="378"/>
      <c r="F40" s="378"/>
      <c r="G40" s="378"/>
      <c r="H40" s="392"/>
      <c r="I40" s="95"/>
      <c r="J40" s="95"/>
      <c r="K40" s="95"/>
      <c r="L40" s="96"/>
      <c r="M40" s="95"/>
      <c r="N40" s="97"/>
      <c r="O40" s="379" t="s">
        <v>113</v>
      </c>
      <c r="P40" s="380"/>
      <c r="Q40" s="381"/>
      <c r="R40" s="382"/>
      <c r="S40" s="380"/>
      <c r="T40" s="378"/>
      <c r="U40" s="378"/>
      <c r="V40" s="378"/>
      <c r="W40" s="378"/>
      <c r="X40" s="380"/>
      <c r="Y40" s="383"/>
      <c r="Z40" s="382"/>
      <c r="AA40" s="382"/>
      <c r="AB40" s="382"/>
      <c r="AC40" s="381"/>
      <c r="AD40" s="382"/>
      <c r="AE40" s="378"/>
      <c r="AF40" s="378"/>
      <c r="AG40" s="378"/>
      <c r="AH40" s="378"/>
      <c r="AI40" s="378"/>
      <c r="AJ40" s="380"/>
      <c r="AK40" s="378"/>
      <c r="AL40" s="378"/>
      <c r="AM40" s="378"/>
      <c r="AN40" s="378"/>
      <c r="AO40" s="380"/>
      <c r="AP40" s="383"/>
      <c r="AQ40" s="382"/>
      <c r="AR40" s="382"/>
      <c r="AS40" s="382"/>
      <c r="AT40" s="381"/>
      <c r="AU40" s="382"/>
      <c r="AV40" s="378"/>
      <c r="AW40" s="378"/>
      <c r="AX40" s="378"/>
      <c r="AY40" s="487"/>
      <c r="AZ40" s="33"/>
      <c r="BA40" s="46"/>
      <c r="BB40" s="78"/>
      <c r="BC40" s="34"/>
      <c r="BD40" s="28"/>
      <c r="BE40" s="35"/>
      <c r="BF40" s="35"/>
      <c r="BG40" s="35"/>
    </row>
    <row r="41" spans="1:59" ht="5.0999999999999996" customHeight="1">
      <c r="A41" s="22"/>
      <c r="B41" s="32"/>
      <c r="C41" s="384"/>
      <c r="D41" s="385"/>
      <c r="E41" s="385"/>
      <c r="F41" s="385"/>
      <c r="G41" s="385"/>
      <c r="H41" s="386"/>
      <c r="I41" s="386"/>
      <c r="J41" s="387"/>
      <c r="K41" s="386"/>
      <c r="L41" s="387"/>
      <c r="M41" s="386"/>
      <c r="N41" s="388"/>
      <c r="O41" s="386"/>
      <c r="P41" s="387"/>
      <c r="Q41" s="387"/>
      <c r="R41" s="387"/>
      <c r="S41" s="389"/>
      <c r="T41" s="389"/>
      <c r="U41" s="389"/>
      <c r="V41" s="389"/>
      <c r="W41" s="389"/>
      <c r="X41" s="388"/>
      <c r="Y41" s="389"/>
      <c r="Z41" s="387"/>
      <c r="AA41" s="388"/>
      <c r="AB41" s="389"/>
      <c r="AC41" s="387"/>
      <c r="AD41" s="388"/>
      <c r="AE41" s="387"/>
      <c r="AF41" s="387"/>
      <c r="AG41" s="388"/>
      <c r="AH41" s="387"/>
      <c r="AI41" s="387"/>
      <c r="AJ41" s="390"/>
      <c r="AK41" s="387"/>
      <c r="AL41" s="387"/>
      <c r="AM41" s="387"/>
      <c r="AN41" s="387"/>
      <c r="AO41" s="387"/>
      <c r="AP41" s="387"/>
      <c r="AQ41" s="387"/>
      <c r="AR41" s="387"/>
      <c r="AS41" s="387"/>
      <c r="AT41" s="387"/>
      <c r="AU41" s="387"/>
      <c r="AV41" s="387"/>
      <c r="AW41" s="387"/>
      <c r="AX41" s="391"/>
      <c r="AY41" s="487"/>
      <c r="AZ41" s="33"/>
      <c r="BA41" s="46"/>
      <c r="BB41" s="78"/>
      <c r="BC41" s="34"/>
      <c r="BD41" s="28"/>
      <c r="BE41" s="35"/>
      <c r="BF41" s="35"/>
      <c r="BG41" s="35"/>
    </row>
    <row r="42" spans="1:59" ht="13.5" customHeight="1">
      <c r="A42" s="22"/>
      <c r="B42" s="202">
        <v>4</v>
      </c>
      <c r="C42" s="43"/>
      <c r="D42" s="31"/>
      <c r="E42" s="31"/>
      <c r="F42" s="31"/>
      <c r="G42" s="31"/>
      <c r="H42" s="62"/>
      <c r="I42" s="63"/>
      <c r="J42" s="63"/>
      <c r="K42" s="63"/>
      <c r="L42" s="64"/>
      <c r="M42" s="63"/>
      <c r="N42" s="65"/>
      <c r="O42" s="65"/>
      <c r="P42" s="65"/>
      <c r="Q42" s="65"/>
      <c r="R42" s="65"/>
      <c r="S42" s="75"/>
      <c r="T42" s="63"/>
      <c r="U42" s="63"/>
      <c r="V42" s="63"/>
      <c r="W42" s="63"/>
      <c r="X42" s="62"/>
      <c r="Y42" s="63"/>
      <c r="Z42" s="63"/>
      <c r="AA42" s="63"/>
      <c r="AB42" s="64"/>
      <c r="AC42" s="63"/>
      <c r="AD42" s="65"/>
      <c r="AE42" s="65"/>
      <c r="AF42" s="65"/>
      <c r="AG42" s="65"/>
      <c r="AH42" s="65"/>
      <c r="AI42" s="75"/>
      <c r="AJ42" s="63"/>
      <c r="AK42" s="63"/>
      <c r="AL42" s="63"/>
      <c r="AM42" s="63"/>
      <c r="AN42" s="125"/>
      <c r="AO42" s="62"/>
      <c r="AP42" s="62"/>
      <c r="AQ42" s="63"/>
      <c r="AR42" s="63"/>
      <c r="AS42" s="63"/>
      <c r="AT42" s="64"/>
      <c r="AU42" s="63"/>
      <c r="AV42" s="65"/>
      <c r="AW42" s="65"/>
      <c r="AX42" s="65"/>
      <c r="AY42" s="31"/>
      <c r="AZ42" s="33"/>
      <c r="BA42" s="46"/>
      <c r="BB42" s="78"/>
      <c r="BC42" s="34"/>
      <c r="BD42" s="35"/>
      <c r="BE42" s="35"/>
      <c r="BF42" s="35"/>
      <c r="BG42" s="35"/>
    </row>
    <row r="43" spans="1:59" ht="13.5" customHeight="1">
      <c r="A43" s="22"/>
      <c r="B43" s="202">
        <v>5</v>
      </c>
      <c r="C43" s="204" t="s">
        <v>266</v>
      </c>
      <c r="D43" s="28"/>
      <c r="E43" s="28"/>
      <c r="F43" s="28"/>
      <c r="G43" s="28"/>
      <c r="H43" s="121"/>
      <c r="I43" s="62"/>
      <c r="J43" s="62"/>
      <c r="K43" s="63"/>
      <c r="L43" s="69"/>
      <c r="M43" s="69"/>
      <c r="N43" s="65"/>
      <c r="O43" s="69"/>
      <c r="P43" s="65"/>
      <c r="Q43" s="65"/>
      <c r="R43" s="69"/>
      <c r="S43" s="28"/>
      <c r="T43" s="28"/>
      <c r="U43" s="28"/>
      <c r="V43" s="28"/>
      <c r="W43" s="28"/>
      <c r="X43" s="121"/>
      <c r="Y43" s="62"/>
      <c r="Z43" s="63"/>
      <c r="AA43" s="62"/>
      <c r="AB43" s="63"/>
      <c r="AC43" s="69"/>
      <c r="AD43" s="69"/>
      <c r="AE43" s="65"/>
      <c r="AF43" s="69"/>
      <c r="AG43" s="65"/>
      <c r="AH43" s="69"/>
      <c r="AI43" s="64"/>
      <c r="AJ43" s="69"/>
      <c r="AK43" s="65"/>
      <c r="AL43" s="28"/>
      <c r="AM43" s="28"/>
      <c r="AN43" s="28"/>
      <c r="AO43" s="28"/>
      <c r="AP43" s="28"/>
      <c r="AQ43" s="28"/>
      <c r="AR43" s="28"/>
      <c r="AS43" s="28"/>
      <c r="AT43" s="28"/>
      <c r="AU43" s="28"/>
      <c r="AV43" s="233"/>
      <c r="AW43" s="28"/>
      <c r="AX43" s="28"/>
      <c r="AY43" s="31"/>
      <c r="AZ43" s="33"/>
      <c r="BA43" s="46"/>
      <c r="BB43" s="159"/>
      <c r="BC43" s="115"/>
      <c r="BD43" s="28"/>
    </row>
    <row r="44" spans="1:59" ht="5.0999999999999996" customHeight="1">
      <c r="A44" s="22"/>
      <c r="B44" s="202"/>
      <c r="C44" s="296"/>
      <c r="D44" s="72"/>
      <c r="E44" s="72"/>
      <c r="F44" s="72"/>
      <c r="G44" s="72"/>
      <c r="H44" s="297"/>
      <c r="I44" s="278"/>
      <c r="J44" s="278"/>
      <c r="K44" s="279"/>
      <c r="L44" s="298"/>
      <c r="M44" s="298"/>
      <c r="N44" s="263"/>
      <c r="O44" s="298"/>
      <c r="P44" s="263"/>
      <c r="Q44" s="263"/>
      <c r="R44" s="298"/>
      <c r="S44" s="72"/>
      <c r="T44" s="72"/>
      <c r="U44" s="72"/>
      <c r="V44" s="72"/>
      <c r="W44" s="72"/>
      <c r="X44" s="297"/>
      <c r="Y44" s="278"/>
      <c r="Z44" s="279"/>
      <c r="AA44" s="278"/>
      <c r="AB44" s="279"/>
      <c r="AC44" s="298"/>
      <c r="AD44" s="298"/>
      <c r="AE44" s="263"/>
      <c r="AF44" s="298"/>
      <c r="AG44" s="263"/>
      <c r="AH44" s="298"/>
      <c r="AI44" s="280"/>
      <c r="AJ44" s="298"/>
      <c r="AK44" s="263"/>
      <c r="AL44" s="72"/>
      <c r="AM44" s="72"/>
      <c r="AN44" s="72"/>
      <c r="AO44" s="72"/>
      <c r="AP44" s="72"/>
      <c r="AQ44" s="72"/>
      <c r="AR44" s="72"/>
      <c r="AS44" s="72"/>
      <c r="AT44" s="72"/>
      <c r="AU44" s="72"/>
      <c r="AV44" s="300"/>
      <c r="AW44" s="72"/>
      <c r="AX44" s="72"/>
      <c r="AY44" s="265"/>
      <c r="AZ44" s="33"/>
      <c r="BA44" s="46"/>
      <c r="BB44" s="159"/>
      <c r="BC44" s="115"/>
      <c r="BD44" s="28"/>
    </row>
    <row r="45" spans="1:59" ht="13.9" customHeight="1">
      <c r="A45" s="22"/>
      <c r="B45" s="202"/>
      <c r="C45" s="501" t="s">
        <v>284</v>
      </c>
      <c r="D45" s="28"/>
      <c r="E45" s="28"/>
      <c r="F45" s="28"/>
      <c r="G45" s="86" t="s">
        <v>279</v>
      </c>
      <c r="H45" s="86"/>
      <c r="I45" s="86"/>
      <c r="J45" s="86"/>
      <c r="K45" s="86"/>
      <c r="L45" s="322"/>
      <c r="M45" s="75"/>
      <c r="N45" s="65"/>
      <c r="O45" s="69"/>
      <c r="P45" s="65"/>
      <c r="Q45" s="65"/>
      <c r="R45" s="69"/>
      <c r="S45" s="28"/>
      <c r="T45" s="28"/>
      <c r="U45" s="28"/>
      <c r="V45" s="28"/>
      <c r="W45" s="28"/>
      <c r="X45" s="121"/>
      <c r="Y45" s="62"/>
      <c r="Z45" s="63"/>
      <c r="AA45" s="62"/>
      <c r="AB45" s="63"/>
      <c r="AC45" s="69"/>
      <c r="AD45" s="69"/>
      <c r="AE45" s="65"/>
      <c r="AF45" s="69"/>
      <c r="AG45" s="65"/>
      <c r="AH45" s="69"/>
      <c r="AI45" s="64"/>
      <c r="AJ45" s="69"/>
      <c r="AK45" s="65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33"/>
      <c r="AW45" s="28"/>
      <c r="AX45" s="28"/>
      <c r="AY45" s="267"/>
      <c r="AZ45" s="33"/>
      <c r="BA45" s="46"/>
      <c r="BB45" s="159"/>
      <c r="BC45" s="115"/>
      <c r="BD45" s="28"/>
    </row>
    <row r="46" spans="1:59" ht="13.5" customHeight="1">
      <c r="A46" s="22"/>
      <c r="B46" s="202">
        <v>6</v>
      </c>
      <c r="C46" s="304" t="s">
        <v>32</v>
      </c>
      <c r="D46" s="205" t="s">
        <v>264</v>
      </c>
      <c r="E46" s="206"/>
      <c r="F46" s="206"/>
      <c r="G46" s="207"/>
      <c r="H46" s="208" t="s">
        <v>278</v>
      </c>
      <c r="I46" s="209"/>
      <c r="J46" s="209"/>
      <c r="K46" s="206"/>
      <c r="L46" s="207"/>
      <c r="M46" s="515"/>
      <c r="N46" s="28"/>
      <c r="O46" s="28"/>
      <c r="P46" s="28"/>
      <c r="Q46" s="28"/>
      <c r="R46" s="28"/>
      <c r="S46" s="35"/>
      <c r="T46" s="35"/>
      <c r="U46" s="35"/>
      <c r="V46" s="35"/>
      <c r="Y46" s="35"/>
      <c r="Z46" s="35"/>
      <c r="AD46" s="35"/>
      <c r="AE46" s="35"/>
      <c r="AF46" s="35"/>
      <c r="AG46" s="35"/>
      <c r="AH46" s="35"/>
      <c r="AI46" s="35"/>
      <c r="AJ46" s="35"/>
      <c r="AK46" s="35"/>
      <c r="AL46" s="35"/>
      <c r="AM46" s="35"/>
      <c r="AN46" s="35"/>
      <c r="AO46" s="35"/>
      <c r="AP46" s="35"/>
      <c r="AQ46" s="35"/>
      <c r="AR46" s="35"/>
      <c r="AS46" s="35"/>
      <c r="AT46" s="35"/>
      <c r="AU46" s="35"/>
      <c r="AV46" s="35"/>
      <c r="AW46" s="35"/>
      <c r="AX46" s="35"/>
      <c r="AY46" s="311"/>
      <c r="AZ46" s="33"/>
      <c r="BA46" s="46"/>
      <c r="BB46" s="159"/>
      <c r="BC46" s="115"/>
      <c r="BD46" s="35"/>
      <c r="BE46" s="35"/>
      <c r="BF46" s="35"/>
      <c r="BG46" s="35"/>
    </row>
    <row r="47" spans="1:59" ht="13.5" customHeight="1">
      <c r="A47" s="22"/>
      <c r="B47" s="202">
        <v>8</v>
      </c>
      <c r="C47" s="308">
        <v>1</v>
      </c>
      <c r="D47" s="148" t="s">
        <v>149</v>
      </c>
      <c r="E47" s="149"/>
      <c r="F47" s="149"/>
      <c r="G47" s="151"/>
      <c r="H47" s="1117">
        <v>110</v>
      </c>
      <c r="I47" s="1087"/>
      <c r="J47" s="1087"/>
      <c r="K47" s="1087"/>
      <c r="L47" s="1088"/>
      <c r="M47" s="28"/>
      <c r="N47" s="28"/>
      <c r="O47" s="28"/>
      <c r="P47" s="28"/>
      <c r="Q47" s="28"/>
      <c r="R47" s="28"/>
      <c r="S47" s="35"/>
      <c r="T47" s="35"/>
      <c r="U47" s="35"/>
      <c r="V47" s="35"/>
      <c r="Y47" s="35"/>
      <c r="Z47" s="35"/>
      <c r="AD47" s="35"/>
      <c r="AE47" s="35"/>
      <c r="AF47" s="35"/>
      <c r="AG47" s="35"/>
      <c r="AH47" s="35"/>
      <c r="AI47" s="35"/>
      <c r="AJ47" s="35"/>
      <c r="AK47" s="35"/>
      <c r="AL47" s="35"/>
      <c r="AM47" s="35"/>
      <c r="AN47" s="35"/>
      <c r="AO47" s="35"/>
      <c r="AP47" s="35"/>
      <c r="AQ47" s="35"/>
      <c r="AR47" s="35"/>
      <c r="AS47" s="35"/>
      <c r="AT47" s="35"/>
      <c r="AU47" s="35"/>
      <c r="AV47" s="35"/>
      <c r="AW47" s="35"/>
      <c r="AX47" s="35"/>
      <c r="AY47" s="311"/>
      <c r="AZ47" s="33"/>
      <c r="BA47" s="46"/>
      <c r="BB47" s="159"/>
      <c r="BC47" s="115"/>
      <c r="BD47" s="35"/>
      <c r="BE47" s="35"/>
      <c r="BF47" s="35"/>
      <c r="BG47" s="35"/>
    </row>
    <row r="48" spans="1:59" ht="13.5" customHeight="1">
      <c r="A48" s="22"/>
      <c r="B48" s="202">
        <v>9</v>
      </c>
      <c r="C48" s="308">
        <v>2</v>
      </c>
      <c r="D48" s="148" t="s">
        <v>265</v>
      </c>
      <c r="E48" s="149"/>
      <c r="F48" s="149"/>
      <c r="G48" s="151"/>
      <c r="H48" s="1117">
        <v>125</v>
      </c>
      <c r="I48" s="1087"/>
      <c r="J48" s="1087"/>
      <c r="K48" s="1087"/>
      <c r="L48" s="1088"/>
      <c r="M48" s="28"/>
      <c r="N48" s="28"/>
      <c r="O48" s="28"/>
      <c r="P48" s="28"/>
      <c r="Q48" s="28"/>
      <c r="R48" s="28"/>
      <c r="S48" s="35"/>
      <c r="T48" s="35"/>
      <c r="U48" s="35"/>
      <c r="V48" s="35"/>
      <c r="Y48" s="35"/>
      <c r="Z48" s="35"/>
      <c r="AD48" s="35"/>
      <c r="AE48" s="35"/>
      <c r="AF48" s="35"/>
      <c r="AG48" s="35"/>
      <c r="AH48" s="35"/>
      <c r="AI48" s="35"/>
      <c r="AJ48" s="35"/>
      <c r="AK48" s="35"/>
      <c r="AL48" s="35"/>
      <c r="AM48" s="35"/>
      <c r="AN48" s="35"/>
      <c r="AO48" s="35"/>
      <c r="AP48" s="35"/>
      <c r="AQ48" s="35"/>
      <c r="AR48" s="35"/>
      <c r="AS48" s="35"/>
      <c r="AT48" s="35"/>
      <c r="AU48" s="35"/>
      <c r="AV48" s="35"/>
      <c r="AW48" s="35"/>
      <c r="AX48" s="35"/>
      <c r="AY48" s="311"/>
      <c r="AZ48" s="33"/>
      <c r="BA48" s="46"/>
      <c r="BB48" s="159"/>
      <c r="BC48" s="115"/>
      <c r="BD48" s="35"/>
      <c r="BE48" s="35"/>
      <c r="BF48" s="35"/>
      <c r="BG48" s="35"/>
    </row>
    <row r="49" spans="1:74" ht="5.0999999999999996" customHeight="1">
      <c r="A49" s="22"/>
      <c r="B49" s="202"/>
      <c r="C49" s="315"/>
      <c r="D49" s="73"/>
      <c r="E49" s="73"/>
      <c r="F49" s="73"/>
      <c r="G49" s="73"/>
      <c r="H49" s="316"/>
      <c r="I49" s="275"/>
      <c r="J49" s="275"/>
      <c r="K49" s="273"/>
      <c r="L49" s="317"/>
      <c r="M49" s="317"/>
      <c r="N49" s="270"/>
      <c r="O49" s="317"/>
      <c r="P49" s="270"/>
      <c r="Q49" s="270"/>
      <c r="R49" s="317"/>
      <c r="S49" s="73"/>
      <c r="T49" s="73"/>
      <c r="U49" s="73"/>
      <c r="V49" s="73"/>
      <c r="W49" s="73"/>
      <c r="X49" s="316"/>
      <c r="Y49" s="275"/>
      <c r="Z49" s="273"/>
      <c r="AA49" s="275"/>
      <c r="AB49" s="273"/>
      <c r="AC49" s="317"/>
      <c r="AD49" s="317"/>
      <c r="AE49" s="270"/>
      <c r="AF49" s="317"/>
      <c r="AG49" s="270"/>
      <c r="AH49" s="317"/>
      <c r="AI49" s="276"/>
      <c r="AJ49" s="317"/>
      <c r="AK49" s="270"/>
      <c r="AL49" s="73"/>
      <c r="AM49" s="73"/>
      <c r="AN49" s="73"/>
      <c r="AO49" s="73"/>
      <c r="AP49" s="73"/>
      <c r="AQ49" s="73"/>
      <c r="AR49" s="73"/>
      <c r="AS49" s="73"/>
      <c r="AT49" s="73"/>
      <c r="AU49" s="73"/>
      <c r="AV49" s="318"/>
      <c r="AW49" s="73"/>
      <c r="AX49" s="73"/>
      <c r="AY49" s="277"/>
      <c r="AZ49" s="33"/>
      <c r="BA49" s="46"/>
      <c r="BB49" s="159"/>
      <c r="BC49" s="115"/>
      <c r="BD49" s="28"/>
    </row>
    <row r="50" spans="1:74" ht="13.5" customHeight="1">
      <c r="A50" s="22"/>
      <c r="B50" s="202">
        <v>10</v>
      </c>
      <c r="C50" s="492"/>
      <c r="D50" s="65"/>
      <c r="E50" s="65"/>
      <c r="F50" s="65"/>
      <c r="G50" s="65"/>
      <c r="H50" s="65"/>
      <c r="I50" s="65"/>
      <c r="J50" s="65"/>
      <c r="K50" s="65"/>
      <c r="L50" s="65"/>
      <c r="M50" s="62"/>
      <c r="N50" s="63"/>
      <c r="O50" s="65"/>
      <c r="P50" s="65"/>
      <c r="Q50" s="64"/>
      <c r="R50" s="63"/>
      <c r="S50" s="190"/>
      <c r="T50" s="190"/>
      <c r="U50" s="191"/>
      <c r="V50" s="192"/>
      <c r="W50" s="190"/>
      <c r="X50" s="65"/>
      <c r="Y50" s="65"/>
      <c r="Z50" s="65"/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3"/>
      <c r="AN50" s="63"/>
      <c r="AO50" s="63"/>
      <c r="AP50" s="63"/>
      <c r="AQ50" s="63"/>
      <c r="AR50" s="63"/>
      <c r="AS50" s="63"/>
      <c r="AT50" s="63"/>
      <c r="AU50" s="63"/>
      <c r="AV50" s="63"/>
      <c r="AW50" s="63"/>
      <c r="AX50" s="63"/>
      <c r="AY50" s="63"/>
      <c r="AZ50" s="33"/>
      <c r="BA50" s="46"/>
      <c r="BB50" s="159"/>
      <c r="BC50" s="115"/>
      <c r="BD50" s="28"/>
    </row>
    <row r="51" spans="1:74" ht="13.5" customHeight="1">
      <c r="A51" s="22"/>
      <c r="B51" s="202">
        <v>5</v>
      </c>
      <c r="C51" s="204" t="s">
        <v>64</v>
      </c>
      <c r="D51" s="28"/>
      <c r="E51" s="28"/>
      <c r="F51" s="28"/>
      <c r="G51" s="28"/>
      <c r="H51" s="121"/>
      <c r="I51" s="62"/>
      <c r="J51" s="63"/>
      <c r="K51" s="62"/>
      <c r="L51" s="63"/>
      <c r="M51" s="69"/>
      <c r="N51" s="69"/>
      <c r="O51" s="65"/>
      <c r="P51" s="69"/>
      <c r="Q51" s="65"/>
      <c r="R51" s="69"/>
      <c r="S51" s="28"/>
      <c r="T51" s="28"/>
      <c r="U51" s="28"/>
      <c r="V51" s="28"/>
      <c r="W51" s="28"/>
      <c r="X51" s="121"/>
      <c r="Y51" s="62"/>
      <c r="Z51" s="63"/>
      <c r="AA51" s="62"/>
      <c r="AB51" s="63"/>
      <c r="AC51" s="69"/>
      <c r="AD51" s="69"/>
      <c r="AE51" s="65"/>
      <c r="AF51" s="69"/>
      <c r="AG51" s="65"/>
      <c r="AH51" s="69"/>
      <c r="AI51" s="64"/>
      <c r="AJ51" s="69"/>
      <c r="AK51" s="65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33"/>
      <c r="AW51" s="28"/>
      <c r="AX51" s="28"/>
      <c r="AY51" s="31"/>
      <c r="AZ51" s="33"/>
      <c r="BA51" s="46"/>
      <c r="BB51" s="159"/>
      <c r="BC51" s="115"/>
      <c r="BD51" s="28"/>
    </row>
    <row r="52" spans="1:74" ht="5.0999999999999996" customHeight="1">
      <c r="A52" s="22"/>
      <c r="B52" s="202"/>
      <c r="C52" s="296"/>
      <c r="D52" s="72"/>
      <c r="E52" s="72"/>
      <c r="F52" s="72"/>
      <c r="G52" s="72"/>
      <c r="H52" s="297"/>
      <c r="I52" s="278"/>
      <c r="J52" s="279"/>
      <c r="K52" s="278"/>
      <c r="L52" s="279"/>
      <c r="M52" s="298"/>
      <c r="N52" s="298"/>
      <c r="O52" s="263"/>
      <c r="P52" s="298"/>
      <c r="Q52" s="263"/>
      <c r="R52" s="298"/>
      <c r="S52" s="72"/>
      <c r="T52" s="72"/>
      <c r="U52" s="72"/>
      <c r="V52" s="72"/>
      <c r="W52" s="72"/>
      <c r="X52" s="297"/>
      <c r="Y52" s="278"/>
      <c r="Z52" s="279"/>
      <c r="AA52" s="278"/>
      <c r="AB52" s="279"/>
      <c r="AC52" s="298"/>
      <c r="AD52" s="298"/>
      <c r="AE52" s="263"/>
      <c r="AF52" s="298"/>
      <c r="AG52" s="263"/>
      <c r="AH52" s="298"/>
      <c r="AI52" s="280"/>
      <c r="AJ52" s="298"/>
      <c r="AK52" s="263"/>
      <c r="AL52" s="72"/>
      <c r="AM52" s="72"/>
      <c r="AN52" s="72"/>
      <c r="AO52" s="72"/>
      <c r="AP52" s="72"/>
      <c r="AQ52" s="72"/>
      <c r="AR52" s="72"/>
      <c r="AS52" s="72"/>
      <c r="AT52" s="72"/>
      <c r="AU52" s="72"/>
      <c r="AV52" s="300"/>
      <c r="AW52" s="72"/>
      <c r="AX52" s="72"/>
      <c r="AY52" s="264"/>
      <c r="AZ52" s="264"/>
      <c r="BA52" s="301"/>
      <c r="BB52" s="302"/>
      <c r="BC52" s="303"/>
      <c r="BD52" s="28"/>
    </row>
    <row r="53" spans="1:74" ht="13.5" customHeight="1">
      <c r="A53" s="22"/>
      <c r="B53" s="45"/>
      <c r="C53" s="266"/>
      <c r="D53" s="28" t="s">
        <v>290</v>
      </c>
      <c r="E53" s="28"/>
      <c r="F53" s="28"/>
      <c r="G53" s="28"/>
      <c r="H53" s="86" t="s">
        <v>140</v>
      </c>
      <c r="I53" s="86"/>
      <c r="J53" s="86"/>
      <c r="K53" s="86"/>
      <c r="L53" s="86"/>
      <c r="M53" s="322"/>
      <c r="N53" s="87"/>
      <c r="O53" s="88"/>
      <c r="P53" s="88"/>
      <c r="Q53" s="89"/>
      <c r="R53" s="87"/>
      <c r="S53" s="87"/>
      <c r="T53" s="87"/>
      <c r="U53" s="88"/>
      <c r="V53" s="89"/>
      <c r="W53" s="87"/>
      <c r="X53" s="65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31"/>
      <c r="AN53" s="31"/>
      <c r="AO53" s="31"/>
      <c r="AP53" s="31"/>
      <c r="AQ53" s="31"/>
      <c r="AR53" s="31"/>
      <c r="AS53" s="31"/>
      <c r="AT53" s="31"/>
      <c r="AU53" s="31"/>
      <c r="AV53" s="31"/>
      <c r="AW53" s="31"/>
      <c r="AX53" s="65"/>
      <c r="AY53" s="31"/>
      <c r="AZ53" s="52"/>
      <c r="BA53" s="93"/>
      <c r="BB53" s="327"/>
      <c r="BC53" s="328"/>
      <c r="BD53" s="28"/>
      <c r="BE53" s="35"/>
      <c r="BF53" s="35"/>
      <c r="BG53" s="35"/>
    </row>
    <row r="54" spans="1:74" ht="13.5" customHeight="1">
      <c r="A54" s="22"/>
      <c r="B54" s="202">
        <v>6</v>
      </c>
      <c r="C54" s="304" t="s">
        <v>32</v>
      </c>
      <c r="D54" s="205" t="s">
        <v>65</v>
      </c>
      <c r="E54" s="206"/>
      <c r="F54" s="206"/>
      <c r="G54" s="207"/>
      <c r="H54" s="208" t="s">
        <v>74</v>
      </c>
      <c r="I54" s="209"/>
      <c r="J54" s="209"/>
      <c r="K54" s="209"/>
      <c r="L54" s="206"/>
      <c r="M54" s="207"/>
      <c r="N54" s="205" t="s">
        <v>75</v>
      </c>
      <c r="O54" s="206"/>
      <c r="P54" s="206"/>
      <c r="Q54" s="207"/>
      <c r="R54" s="205" t="s">
        <v>76</v>
      </c>
      <c r="S54" s="206"/>
      <c r="T54" s="206"/>
      <c r="U54" s="206"/>
      <c r="V54" s="210" t="s">
        <v>294</v>
      </c>
      <c r="W54" s="211"/>
      <c r="X54" s="211"/>
      <c r="Y54" s="212"/>
      <c r="Z54" s="528" t="s">
        <v>78</v>
      </c>
      <c r="AA54" s="211"/>
      <c r="AB54" s="211"/>
      <c r="AC54" s="211"/>
      <c r="AD54" s="212"/>
      <c r="AE54" s="210" t="s">
        <v>295</v>
      </c>
      <c r="AF54" s="211"/>
      <c r="AG54" s="211"/>
      <c r="AH54" s="212"/>
      <c r="AI54" s="210" t="s">
        <v>163</v>
      </c>
      <c r="AJ54" s="211"/>
      <c r="AK54" s="211"/>
      <c r="AL54" s="212"/>
      <c r="AM54" s="211" t="s">
        <v>153</v>
      </c>
      <c r="AN54" s="211"/>
      <c r="AO54" s="211"/>
      <c r="AP54" s="212"/>
      <c r="AQ54" s="211" t="s">
        <v>198</v>
      </c>
      <c r="AR54" s="211"/>
      <c r="AS54" s="211"/>
      <c r="AT54" s="212"/>
      <c r="AU54" s="210" t="s">
        <v>200</v>
      </c>
      <c r="AV54" s="211"/>
      <c r="AW54" s="211"/>
      <c r="AX54" s="212"/>
      <c r="AY54" s="210" t="s">
        <v>84</v>
      </c>
      <c r="AZ54" s="211"/>
      <c r="BA54" s="211"/>
      <c r="BB54" s="212"/>
      <c r="BC54" s="210" t="s">
        <v>42</v>
      </c>
      <c r="BD54" s="211"/>
      <c r="BE54" s="211"/>
      <c r="BF54" s="212"/>
      <c r="BG54" s="211" t="s">
        <v>157</v>
      </c>
      <c r="BH54" s="211"/>
      <c r="BI54" s="212"/>
      <c r="BJ54" s="305" t="s">
        <v>87</v>
      </c>
      <c r="BK54" s="211"/>
      <c r="BL54" s="211"/>
      <c r="BM54" s="212"/>
      <c r="BN54" s="211" t="s">
        <v>70</v>
      </c>
      <c r="BO54" s="211"/>
      <c r="BP54" s="211"/>
      <c r="BQ54" s="212"/>
      <c r="BR54" s="28"/>
      <c r="BS54" s="28"/>
      <c r="BT54" s="28"/>
      <c r="BU54" s="28"/>
      <c r="BV54" s="28"/>
    </row>
    <row r="55" spans="1:74" ht="13.5" customHeight="1">
      <c r="A55" s="22"/>
      <c r="B55" s="202">
        <v>7</v>
      </c>
      <c r="C55" s="306"/>
      <c r="D55" s="213" t="s">
        <v>30</v>
      </c>
      <c r="E55" s="216"/>
      <c r="F55" s="214"/>
      <c r="G55" s="215"/>
      <c r="H55" s="213" t="s">
        <v>30</v>
      </c>
      <c r="I55" s="216"/>
      <c r="J55" s="216"/>
      <c r="K55" s="216"/>
      <c r="L55" s="214"/>
      <c r="M55" s="215"/>
      <c r="N55" s="213" t="s">
        <v>30</v>
      </c>
      <c r="O55" s="214"/>
      <c r="P55" s="214"/>
      <c r="Q55" s="215"/>
      <c r="R55" s="213"/>
      <c r="S55" s="216"/>
      <c r="T55" s="214"/>
      <c r="U55" s="214"/>
      <c r="V55" s="217" t="s">
        <v>43</v>
      </c>
      <c r="W55" s="218"/>
      <c r="X55" s="219"/>
      <c r="Y55" s="220"/>
      <c r="Z55" s="217" t="s">
        <v>30</v>
      </c>
      <c r="AA55" s="218"/>
      <c r="AB55" s="218"/>
      <c r="AC55" s="219"/>
      <c r="AD55" s="220"/>
      <c r="AE55" s="217" t="s">
        <v>43</v>
      </c>
      <c r="AF55" s="218"/>
      <c r="AG55" s="219"/>
      <c r="AH55" s="220"/>
      <c r="AI55" s="217" t="s">
        <v>30</v>
      </c>
      <c r="AJ55" s="218"/>
      <c r="AK55" s="219"/>
      <c r="AL55" s="220"/>
      <c r="AM55" s="218" t="s">
        <v>43</v>
      </c>
      <c r="AN55" s="218"/>
      <c r="AO55" s="219"/>
      <c r="AP55" s="220"/>
      <c r="AQ55" s="218" t="s">
        <v>199</v>
      </c>
      <c r="AR55" s="218"/>
      <c r="AS55" s="219"/>
      <c r="AT55" s="220"/>
      <c r="AU55" s="217" t="s">
        <v>156</v>
      </c>
      <c r="AV55" s="218"/>
      <c r="AW55" s="219"/>
      <c r="AX55" s="220"/>
      <c r="AY55" s="217" t="s">
        <v>156</v>
      </c>
      <c r="AZ55" s="218"/>
      <c r="BA55" s="219"/>
      <c r="BB55" s="220"/>
      <c r="BC55" s="217" t="s">
        <v>201</v>
      </c>
      <c r="BD55" s="218"/>
      <c r="BE55" s="219"/>
      <c r="BF55" s="220"/>
      <c r="BG55" s="218" t="s">
        <v>202</v>
      </c>
      <c r="BH55" s="218"/>
      <c r="BI55" s="220"/>
      <c r="BJ55" s="307" t="s">
        <v>43</v>
      </c>
      <c r="BK55" s="218"/>
      <c r="BL55" s="219"/>
      <c r="BM55" s="220"/>
      <c r="BN55" s="218" t="s">
        <v>43</v>
      </c>
      <c r="BO55" s="218"/>
      <c r="BP55" s="219"/>
      <c r="BQ55" s="220"/>
      <c r="BR55" s="28"/>
      <c r="BS55" s="28"/>
      <c r="BT55" s="28"/>
      <c r="BU55" s="28"/>
      <c r="BV55" s="28"/>
    </row>
    <row r="56" spans="1:74" ht="13.5" customHeight="1">
      <c r="A56" s="22"/>
      <c r="B56" s="202">
        <v>8</v>
      </c>
      <c r="C56" s="308">
        <v>1</v>
      </c>
      <c r="D56" s="148" t="s">
        <v>203</v>
      </c>
      <c r="E56" s="149"/>
      <c r="F56" s="149"/>
      <c r="G56" s="151"/>
      <c r="H56" s="242" t="s">
        <v>205</v>
      </c>
      <c r="I56" s="150"/>
      <c r="J56" s="150"/>
      <c r="K56" s="150"/>
      <c r="L56" s="161"/>
      <c r="M56" s="162"/>
      <c r="N56" s="242" t="s">
        <v>207</v>
      </c>
      <c r="O56" s="150"/>
      <c r="P56" s="150"/>
      <c r="Q56" s="99" t="s">
        <v>33</v>
      </c>
      <c r="R56" s="1097">
        <v>2000000</v>
      </c>
      <c r="S56" s="1098"/>
      <c r="T56" s="1098"/>
      <c r="U56" s="1099"/>
      <c r="V56" s="148" t="s">
        <v>208</v>
      </c>
      <c r="W56" s="150"/>
      <c r="X56" s="150"/>
      <c r="Y56" s="99" t="s">
        <v>33</v>
      </c>
      <c r="Z56" s="1086">
        <v>5.29</v>
      </c>
      <c r="AA56" s="1095"/>
      <c r="AB56" s="1095"/>
      <c r="AC56" s="1095"/>
      <c r="AD56" s="1096"/>
      <c r="AE56" s="148" t="s">
        <v>149</v>
      </c>
      <c r="AF56" s="150"/>
      <c r="AG56" s="150"/>
      <c r="AH56" s="99" t="s">
        <v>33</v>
      </c>
      <c r="AI56" s="1111">
        <v>9.2200000000000004E-2</v>
      </c>
      <c r="AJ56" s="1112"/>
      <c r="AK56" s="1112"/>
      <c r="AL56" s="1113"/>
      <c r="AM56" s="1111">
        <v>9.4E-2</v>
      </c>
      <c r="AN56" s="1112"/>
      <c r="AO56" s="1112"/>
      <c r="AP56" s="1113"/>
      <c r="AQ56" s="1114">
        <v>0.01</v>
      </c>
      <c r="AR56" s="1115"/>
      <c r="AS56" s="1115"/>
      <c r="AT56" s="1116"/>
      <c r="AU56" s="1111">
        <v>0.1012</v>
      </c>
      <c r="AV56" s="1112"/>
      <c r="AW56" s="1112"/>
      <c r="AX56" s="1113"/>
      <c r="AY56" s="1111">
        <v>0.11</v>
      </c>
      <c r="AZ56" s="1112"/>
      <c r="BA56" s="1112"/>
      <c r="BB56" s="1113"/>
      <c r="BC56" s="1111">
        <v>0.11</v>
      </c>
      <c r="BD56" s="1112"/>
      <c r="BE56" s="1112"/>
      <c r="BF56" s="1113"/>
      <c r="BG56" s="1127">
        <f>AI56/21</f>
        <v>4.3904761904761903E-3</v>
      </c>
      <c r="BH56" s="1128"/>
      <c r="BI56" s="1129"/>
      <c r="BJ56" s="309" t="s">
        <v>209</v>
      </c>
      <c r="BK56" s="150"/>
      <c r="BL56" s="150"/>
      <c r="BM56" s="152"/>
      <c r="BN56" s="149" t="s">
        <v>30</v>
      </c>
      <c r="BO56" s="150"/>
      <c r="BP56" s="150"/>
      <c r="BQ56" s="152"/>
      <c r="BR56" s="28"/>
      <c r="BS56" s="28"/>
      <c r="BT56" s="28"/>
      <c r="BU56" s="28"/>
      <c r="BV56" s="28"/>
    </row>
    <row r="57" spans="1:74" ht="13.5" customHeight="1">
      <c r="A57" s="22"/>
      <c r="B57" s="202">
        <v>9</v>
      </c>
      <c r="C57" s="308">
        <v>2</v>
      </c>
      <c r="D57" s="148" t="s">
        <v>204</v>
      </c>
      <c r="E57" s="149"/>
      <c r="F57" s="149"/>
      <c r="G57" s="151"/>
      <c r="H57" s="242" t="s">
        <v>206</v>
      </c>
      <c r="I57" s="150"/>
      <c r="J57" s="150"/>
      <c r="K57" s="150"/>
      <c r="L57" s="161"/>
      <c r="M57" s="162"/>
      <c r="N57" s="242" t="s">
        <v>207</v>
      </c>
      <c r="O57" s="150"/>
      <c r="P57" s="150"/>
      <c r="Q57" s="99" t="s">
        <v>33</v>
      </c>
      <c r="R57" s="1097">
        <v>20000</v>
      </c>
      <c r="S57" s="1098"/>
      <c r="T57" s="1098"/>
      <c r="U57" s="1099"/>
      <c r="V57" s="148" t="s">
        <v>208</v>
      </c>
      <c r="W57" s="150"/>
      <c r="X57" s="150"/>
      <c r="Y57" s="99" t="s">
        <v>33</v>
      </c>
      <c r="Z57" s="1086">
        <v>11</v>
      </c>
      <c r="AA57" s="1095"/>
      <c r="AB57" s="1095"/>
      <c r="AC57" s="1095"/>
      <c r="AD57" s="1096"/>
      <c r="AE57" s="148" t="s">
        <v>149</v>
      </c>
      <c r="AF57" s="150"/>
      <c r="AG57" s="150"/>
      <c r="AH57" s="99" t="s">
        <v>33</v>
      </c>
      <c r="AI57" s="1111">
        <v>0.12970000000000001</v>
      </c>
      <c r="AJ57" s="1112"/>
      <c r="AK57" s="1112"/>
      <c r="AL57" s="1113"/>
      <c r="AM57" s="1111">
        <v>0.13</v>
      </c>
      <c r="AN57" s="1112"/>
      <c r="AO57" s="1112"/>
      <c r="AP57" s="1113"/>
      <c r="AQ57" s="1114">
        <v>0.01</v>
      </c>
      <c r="AR57" s="1115"/>
      <c r="AS57" s="1115"/>
      <c r="AT57" s="1116"/>
      <c r="AU57" s="1111">
        <v>0.13600000000000001</v>
      </c>
      <c r="AV57" s="1112"/>
      <c r="AW57" s="1112"/>
      <c r="AX57" s="1113"/>
      <c r="AY57" s="1111">
        <v>0.156</v>
      </c>
      <c r="AZ57" s="1112"/>
      <c r="BA57" s="1112"/>
      <c r="BB57" s="1113"/>
      <c r="BC57" s="1111">
        <v>0.156</v>
      </c>
      <c r="BD57" s="1112"/>
      <c r="BE57" s="1112"/>
      <c r="BF57" s="1113"/>
      <c r="BG57" s="1127">
        <f>AI57/21</f>
        <v>6.1761904761904766E-3</v>
      </c>
      <c r="BH57" s="1128"/>
      <c r="BI57" s="1129"/>
      <c r="BJ57" s="309" t="s">
        <v>210</v>
      </c>
      <c r="BK57" s="150"/>
      <c r="BL57" s="150"/>
      <c r="BM57" s="152"/>
      <c r="BN57" s="149" t="s">
        <v>30</v>
      </c>
      <c r="BO57" s="150"/>
      <c r="BP57" s="150"/>
      <c r="BQ57" s="152"/>
      <c r="BR57" s="28"/>
      <c r="BS57" s="28"/>
      <c r="BT57" s="28"/>
      <c r="BU57" s="28"/>
      <c r="BV57" s="28"/>
    </row>
    <row r="58" spans="1:74" ht="13.5" customHeight="1">
      <c r="A58" s="22"/>
      <c r="B58" s="202">
        <v>10</v>
      </c>
      <c r="C58" s="310"/>
      <c r="D58" s="65"/>
      <c r="E58" s="65"/>
      <c r="F58" s="65"/>
      <c r="G58" s="65"/>
      <c r="H58" s="65"/>
      <c r="I58" s="65"/>
      <c r="J58" s="65"/>
      <c r="K58" s="65"/>
      <c r="L58" s="65"/>
      <c r="M58" s="62"/>
      <c r="N58" s="63"/>
      <c r="O58" s="65"/>
      <c r="P58" s="65"/>
      <c r="Q58" s="64"/>
      <c r="R58" s="63"/>
      <c r="S58" s="190"/>
      <c r="T58" s="190"/>
      <c r="U58" s="191"/>
      <c r="V58" s="192"/>
      <c r="W58" s="190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3"/>
      <c r="AN58" s="63"/>
      <c r="AO58" s="63"/>
      <c r="AP58" s="63"/>
      <c r="AQ58" s="63"/>
      <c r="AR58" s="63"/>
      <c r="AS58" s="63"/>
      <c r="AT58" s="63"/>
      <c r="AU58" s="63"/>
      <c r="AV58" s="63"/>
      <c r="AW58" s="63"/>
      <c r="AX58" s="63"/>
      <c r="AY58" s="63"/>
      <c r="AZ58" s="31"/>
      <c r="BA58" s="35"/>
      <c r="BB58" s="35"/>
      <c r="BC58" s="311"/>
      <c r="BD58" s="28"/>
    </row>
    <row r="59" spans="1:74" ht="13.5" customHeight="1">
      <c r="A59" s="22"/>
      <c r="B59" s="202">
        <v>14</v>
      </c>
      <c r="C59" s="312"/>
      <c r="D59" s="65"/>
      <c r="E59" s="65"/>
      <c r="F59" s="65"/>
      <c r="G59" s="65"/>
      <c r="H59" s="65"/>
      <c r="I59" s="65"/>
      <c r="J59" s="65"/>
      <c r="K59" s="198"/>
      <c r="L59" s="65"/>
      <c r="M59" s="65"/>
      <c r="N59" s="65"/>
      <c r="O59" s="65"/>
      <c r="P59" s="65"/>
      <c r="Q59" s="198"/>
      <c r="R59" s="65"/>
      <c r="S59" s="65"/>
      <c r="T59" s="65"/>
      <c r="U59" s="198"/>
      <c r="V59" s="65"/>
      <c r="W59" s="65"/>
      <c r="X59" s="65"/>
      <c r="Y59" s="65"/>
      <c r="Z59" s="65"/>
      <c r="AA59" s="65"/>
      <c r="AB59" s="65"/>
      <c r="AC59" s="65"/>
      <c r="AD59" s="65"/>
      <c r="AE59" s="65"/>
      <c r="AF59" s="65"/>
      <c r="AG59" s="65"/>
      <c r="AH59" s="65"/>
      <c r="AI59" s="65"/>
      <c r="AJ59" s="125"/>
      <c r="AK59" s="112"/>
      <c r="AL59" s="62"/>
      <c r="AM59" s="63"/>
      <c r="AN59" s="63"/>
      <c r="AO59" s="63"/>
      <c r="AP59" s="63"/>
      <c r="AQ59" s="64"/>
      <c r="AR59" s="63"/>
      <c r="AS59" s="65"/>
      <c r="AT59" s="65"/>
      <c r="AU59" s="65"/>
      <c r="AV59" s="65"/>
      <c r="AW59" s="65"/>
      <c r="AX59" s="65"/>
      <c r="AY59" s="63"/>
      <c r="AZ59" s="31"/>
      <c r="BA59" s="35"/>
      <c r="BB59" s="35"/>
      <c r="BC59" s="311"/>
      <c r="BD59" s="28"/>
    </row>
    <row r="60" spans="1:74" ht="13.5" customHeight="1">
      <c r="A60" s="22"/>
      <c r="B60" s="202">
        <v>15</v>
      </c>
      <c r="C60" s="313" t="s">
        <v>72</v>
      </c>
      <c r="D60" s="223"/>
      <c r="E60" s="224"/>
      <c r="F60" s="223"/>
      <c r="G60" s="224"/>
      <c r="H60" s="225"/>
      <c r="I60" s="226"/>
      <c r="J60" s="227"/>
      <c r="K60" s="227"/>
      <c r="L60" s="227"/>
      <c r="M60" s="228"/>
      <c r="N60" s="227"/>
      <c r="O60" s="227"/>
      <c r="P60" s="227"/>
      <c r="Q60" s="229"/>
      <c r="R60" s="227"/>
      <c r="S60" s="227"/>
      <c r="T60" s="227"/>
      <c r="U60" s="227"/>
      <c r="V60" s="227"/>
      <c r="W60" s="229"/>
      <c r="X60" s="227"/>
      <c r="Y60" s="227"/>
      <c r="Z60" s="227"/>
      <c r="AA60" s="229"/>
      <c r="AB60" s="227"/>
      <c r="AC60" s="227"/>
      <c r="AD60" s="227"/>
      <c r="AE60" s="227"/>
      <c r="AF60" s="227"/>
      <c r="AG60" s="232"/>
      <c r="AH60" s="227"/>
      <c r="AI60" s="227"/>
      <c r="AJ60" s="227"/>
      <c r="AK60" s="227"/>
      <c r="AL60" s="227"/>
      <c r="AM60" s="227"/>
      <c r="AN60" s="227"/>
      <c r="AO60" s="227"/>
      <c r="AP60" s="227"/>
      <c r="AQ60" s="230"/>
      <c r="AR60" s="227"/>
      <c r="AS60" s="230"/>
      <c r="AT60" s="227"/>
      <c r="AU60" s="227"/>
      <c r="AV60" s="227"/>
      <c r="AW60" s="227"/>
      <c r="AX60" s="227"/>
      <c r="AY60" s="224"/>
      <c r="AZ60" s="224"/>
      <c r="BA60" s="231"/>
      <c r="BB60" s="231"/>
      <c r="BC60" s="314"/>
      <c r="BD60" s="28"/>
    </row>
    <row r="61" spans="1:74" ht="13.5" customHeight="1">
      <c r="A61" s="22"/>
      <c r="B61" s="202"/>
      <c r="C61" s="394"/>
      <c r="D61" s="62"/>
      <c r="E61" s="63"/>
      <c r="F61" s="62"/>
      <c r="G61" s="63"/>
      <c r="H61" s="398"/>
      <c r="I61" s="399"/>
      <c r="J61" s="74"/>
      <c r="K61" s="74"/>
      <c r="L61" s="74"/>
      <c r="M61" s="400"/>
      <c r="N61" s="74"/>
      <c r="O61" s="74"/>
      <c r="P61" s="74"/>
      <c r="Q61" s="401"/>
      <c r="R61" s="74"/>
      <c r="S61" s="74"/>
      <c r="T61" s="74"/>
      <c r="U61" s="74"/>
      <c r="V61" s="74"/>
      <c r="W61" s="401"/>
      <c r="X61" s="65"/>
      <c r="Y61" s="65"/>
      <c r="Z61" s="65"/>
      <c r="AA61" s="198"/>
      <c r="AB61" s="65"/>
      <c r="AC61" s="65"/>
      <c r="AD61" s="65"/>
      <c r="AE61" s="65"/>
      <c r="AF61" s="65"/>
      <c r="AG61" s="158"/>
      <c r="AH61" s="65"/>
      <c r="AI61" s="65"/>
      <c r="AJ61" s="65"/>
      <c r="AK61" s="65"/>
      <c r="AL61" s="65"/>
      <c r="AM61" s="65"/>
      <c r="AN61" s="65"/>
      <c r="AO61" s="65"/>
      <c r="AP61" s="65"/>
      <c r="AQ61" s="125"/>
      <c r="AR61" s="65"/>
      <c r="AS61" s="125"/>
      <c r="AT61" s="65"/>
      <c r="AU61" s="65"/>
      <c r="AV61" s="65"/>
      <c r="AW61" s="65"/>
      <c r="AX61" s="65"/>
      <c r="AY61" s="63"/>
      <c r="AZ61" s="103"/>
      <c r="BA61" s="396"/>
      <c r="BB61"/>
      <c r="BC61" s="397"/>
      <c r="BD61" s="28"/>
    </row>
    <row r="62" spans="1:74" ht="13.5" customHeight="1">
      <c r="A62" s="22"/>
      <c r="B62" s="45"/>
      <c r="C62" s="393" t="s">
        <v>175</v>
      </c>
      <c r="D62" s="28"/>
      <c r="E62" s="28"/>
      <c r="F62" s="28"/>
      <c r="G62" s="28"/>
      <c r="H62" s="24"/>
      <c r="I62" s="24"/>
      <c r="J62" s="24"/>
      <c r="K62" s="24"/>
      <c r="L62" s="24"/>
      <c r="M62" s="127"/>
      <c r="N62" s="75"/>
      <c r="O62" s="84"/>
      <c r="P62" s="84"/>
      <c r="Q62" s="85"/>
      <c r="R62" s="75"/>
      <c r="S62" s="75"/>
      <c r="T62" s="75"/>
      <c r="U62" s="84"/>
      <c r="V62" s="85"/>
      <c r="W62" s="75"/>
      <c r="X62" s="65"/>
      <c r="Y62" s="28"/>
      <c r="Z62" s="233" t="s">
        <v>73</v>
      </c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31"/>
      <c r="AN62" s="31"/>
      <c r="AO62" s="31"/>
      <c r="AP62" s="31"/>
      <c r="AQ62" s="31"/>
      <c r="AR62" s="31"/>
      <c r="AS62" s="31"/>
      <c r="AT62" s="31"/>
      <c r="AU62" s="31"/>
      <c r="AV62" s="31"/>
      <c r="AW62" s="31"/>
      <c r="AX62" s="65"/>
      <c r="AY62" s="31"/>
      <c r="AZ62" s="31"/>
      <c r="BA62" s="30"/>
      <c r="BB62" s="35"/>
      <c r="BC62" s="326"/>
      <c r="BD62" s="28"/>
      <c r="BF62" s="35"/>
      <c r="BG62" s="35"/>
    </row>
    <row r="63" spans="1:74" ht="13.5" customHeight="1">
      <c r="A63" s="22"/>
      <c r="B63" s="202">
        <v>6</v>
      </c>
      <c r="C63" s="431" t="s">
        <v>32</v>
      </c>
      <c r="D63" s="432" t="s">
        <v>183</v>
      </c>
      <c r="E63" s="433"/>
      <c r="F63" s="433"/>
      <c r="G63" s="434"/>
      <c r="H63" s="435" t="s">
        <v>184</v>
      </c>
      <c r="I63" s="436"/>
      <c r="J63" s="436"/>
      <c r="K63" s="436"/>
      <c r="L63" s="433"/>
      <c r="M63" s="434"/>
      <c r="N63" s="432" t="s">
        <v>185</v>
      </c>
      <c r="O63" s="433"/>
      <c r="P63" s="433"/>
      <c r="Q63" s="433"/>
      <c r="R63" s="433"/>
      <c r="S63" s="434"/>
      <c r="T63" s="432" t="s">
        <v>186</v>
      </c>
      <c r="U63" s="433"/>
      <c r="V63" s="433"/>
      <c r="W63" s="433"/>
      <c r="X63" s="433"/>
      <c r="Y63" s="433"/>
      <c r="Z63" s="437" t="s">
        <v>180</v>
      </c>
      <c r="AA63" s="438"/>
      <c r="AB63" s="438"/>
      <c r="AC63" s="439"/>
      <c r="AD63" s="39"/>
      <c r="AE63" s="39"/>
      <c r="AF63" s="39"/>
      <c r="AG63" s="39"/>
      <c r="AH63" s="39"/>
      <c r="AI63" s="118"/>
      <c r="AJ63" s="118"/>
      <c r="AK63" s="118"/>
      <c r="AL63" s="118"/>
      <c r="AM63" s="118"/>
      <c r="AN63" s="118"/>
      <c r="AO63" s="118"/>
      <c r="AP63" s="118"/>
      <c r="AQ63" s="118"/>
      <c r="AR63" s="118"/>
      <c r="AS63" s="118"/>
      <c r="AT63" s="118"/>
      <c r="AU63" s="118"/>
      <c r="AV63" s="118"/>
      <c r="AW63" s="118"/>
      <c r="AX63" s="118"/>
      <c r="AY63" s="118"/>
      <c r="AZ63" s="118"/>
      <c r="BA63" s="118"/>
      <c r="BB63" s="440"/>
      <c r="BC63" s="326"/>
      <c r="BD63" s="28"/>
      <c r="BF63" s="35"/>
      <c r="BG63" s="35"/>
      <c r="BH63" s="28"/>
    </row>
    <row r="64" spans="1:74" ht="13.5" customHeight="1">
      <c r="A64" s="22"/>
      <c r="B64" s="202">
        <v>8</v>
      </c>
      <c r="C64" s="441">
        <v>1</v>
      </c>
      <c r="D64" s="148" t="s">
        <v>181</v>
      </c>
      <c r="E64" s="149"/>
      <c r="F64" s="149"/>
      <c r="G64" s="99" t="s">
        <v>33</v>
      </c>
      <c r="H64" s="242" t="s">
        <v>193</v>
      </c>
      <c r="I64" s="150"/>
      <c r="J64" s="150"/>
      <c r="K64" s="150"/>
      <c r="L64" s="161"/>
      <c r="M64" s="162"/>
      <c r="N64" s="1149">
        <v>5000</v>
      </c>
      <c r="O64" s="1150"/>
      <c r="P64" s="1150"/>
      <c r="Q64" s="1150"/>
      <c r="R64" s="1150"/>
      <c r="S64" s="1151"/>
      <c r="T64" s="1149">
        <v>5000</v>
      </c>
      <c r="U64" s="1144"/>
      <c r="V64" s="1144"/>
      <c r="W64" s="1144"/>
      <c r="X64" s="1144"/>
      <c r="Y64" s="1145"/>
      <c r="Z64" s="1152">
        <v>10</v>
      </c>
      <c r="AA64" s="1153"/>
      <c r="AB64" s="1153"/>
      <c r="AC64" s="1154"/>
      <c r="AD64" s="28"/>
      <c r="AE64" s="28"/>
      <c r="AF64" s="28"/>
      <c r="AG64" s="28"/>
      <c r="AH64" s="28"/>
      <c r="AI64" s="35"/>
      <c r="AJ64" s="35"/>
      <c r="AK64" s="35"/>
      <c r="AL64" s="35"/>
      <c r="AM64" s="35"/>
      <c r="AN64" s="35"/>
      <c r="AO64" s="35"/>
      <c r="AP64" s="35"/>
      <c r="AQ64" s="35"/>
      <c r="AR64" s="35"/>
      <c r="AS64" s="35"/>
      <c r="AT64" s="35"/>
      <c r="AU64" s="35"/>
      <c r="AV64" s="35"/>
      <c r="AW64" s="35"/>
      <c r="AX64" s="35"/>
      <c r="AY64" s="35"/>
      <c r="AZ64" s="35"/>
      <c r="BA64" s="35"/>
      <c r="BB64" s="153"/>
      <c r="BC64" s="326"/>
      <c r="BD64" s="28"/>
      <c r="BF64" s="35"/>
      <c r="BG64" s="35"/>
      <c r="BH64" s="28"/>
    </row>
    <row r="65" spans="1:91" ht="13.5" customHeight="1">
      <c r="A65" s="22"/>
      <c r="B65" s="202">
        <v>14</v>
      </c>
      <c r="C65" s="94"/>
      <c r="D65" s="65"/>
      <c r="E65" s="65"/>
      <c r="F65" s="65"/>
      <c r="G65" s="65"/>
      <c r="H65" s="65"/>
      <c r="I65" s="65"/>
      <c r="J65" s="65"/>
      <c r="K65" s="198"/>
      <c r="L65" s="65"/>
      <c r="M65" s="65"/>
      <c r="N65" s="65"/>
      <c r="O65" s="65"/>
      <c r="P65" s="65"/>
      <c r="Q65" s="65"/>
      <c r="R65" s="65"/>
      <c r="S65" s="198"/>
      <c r="T65" s="65"/>
      <c r="U65" s="65"/>
      <c r="V65" s="65"/>
      <c r="W65" s="65"/>
      <c r="X65" s="65"/>
      <c r="Y65" s="198"/>
      <c r="Z65" s="65"/>
      <c r="AA65" s="65"/>
      <c r="AB65" s="65"/>
      <c r="AC65" s="65"/>
      <c r="AD65" s="65"/>
      <c r="AE65" s="65"/>
      <c r="AF65" s="65"/>
      <c r="AG65" s="65"/>
      <c r="AH65" s="65"/>
      <c r="AI65" s="65"/>
      <c r="AJ65" s="65"/>
      <c r="AK65" s="65"/>
      <c r="AL65" s="65"/>
      <c r="AM65" s="65"/>
      <c r="AN65" s="125"/>
      <c r="AO65" s="112"/>
      <c r="AP65" s="62"/>
      <c r="AQ65" s="63"/>
      <c r="AR65" s="63"/>
      <c r="AS65" s="63"/>
      <c r="AT65" s="63"/>
      <c r="AU65" s="64"/>
      <c r="AV65" s="63"/>
      <c r="AW65" s="65"/>
      <c r="AX65" s="65"/>
      <c r="AY65" s="65"/>
      <c r="AZ65" s="65"/>
      <c r="BA65" s="65"/>
      <c r="BB65" s="442"/>
      <c r="BC65" s="326"/>
      <c r="BD65" s="28"/>
      <c r="BF65" s="35"/>
      <c r="BG65" s="35"/>
      <c r="BH65" s="28"/>
      <c r="BI65" s="28"/>
      <c r="BJ65" s="28"/>
      <c r="BK65" s="28"/>
    </row>
    <row r="66" spans="1:91" ht="13.5" customHeight="1">
      <c r="A66" s="22"/>
      <c r="B66" s="202">
        <v>15</v>
      </c>
      <c r="C66" s="443" t="s">
        <v>72</v>
      </c>
      <c r="D66" s="223"/>
      <c r="E66" s="224"/>
      <c r="F66" s="223"/>
      <c r="G66" s="224"/>
      <c r="H66" s="225"/>
      <c r="I66" s="226"/>
      <c r="J66" s="227"/>
      <c r="K66" s="227"/>
      <c r="L66" s="227"/>
      <c r="M66" s="228"/>
      <c r="N66" s="227"/>
      <c r="O66" s="227"/>
      <c r="P66" s="227"/>
      <c r="Q66" s="229"/>
      <c r="R66" s="227"/>
      <c r="S66" s="227"/>
      <c r="T66" s="227"/>
      <c r="U66" s="227"/>
      <c r="V66" s="227"/>
      <c r="W66" s="229"/>
      <c r="X66" s="227"/>
      <c r="Y66" s="227"/>
      <c r="Z66" s="227"/>
      <c r="AA66" s="229"/>
      <c r="AB66" s="227"/>
      <c r="AC66" s="227"/>
      <c r="AD66" s="227"/>
      <c r="AE66" s="227"/>
      <c r="AF66" s="227"/>
      <c r="AG66" s="232"/>
      <c r="AH66" s="227"/>
      <c r="AI66" s="227"/>
      <c r="AJ66" s="227"/>
      <c r="AK66" s="227"/>
      <c r="AL66" s="227"/>
      <c r="AM66" s="227"/>
      <c r="AN66" s="227"/>
      <c r="AO66" s="227"/>
      <c r="AP66" s="227"/>
      <c r="AQ66" s="230"/>
      <c r="AR66" s="227"/>
      <c r="AS66" s="230"/>
      <c r="AT66" s="227"/>
      <c r="AU66" s="227"/>
      <c r="AV66" s="227"/>
      <c r="AW66" s="227"/>
      <c r="AX66" s="227"/>
      <c r="AY66" s="224"/>
      <c r="AZ66" s="224"/>
      <c r="BA66" s="231"/>
      <c r="BB66" s="444"/>
      <c r="BC66" s="326"/>
      <c r="BD66" s="28"/>
      <c r="BH66" s="28"/>
      <c r="BI66" s="28"/>
      <c r="BJ66" s="28"/>
      <c r="BK66" s="28"/>
    </row>
    <row r="67" spans="1:91" ht="13.5" customHeight="1">
      <c r="A67" s="22"/>
      <c r="B67" s="202"/>
      <c r="C67" s="394"/>
      <c r="D67" s="62"/>
      <c r="E67" s="63"/>
      <c r="F67" s="62"/>
      <c r="G67" s="63"/>
      <c r="H67" s="398"/>
      <c r="I67" s="399"/>
      <c r="J67" s="74"/>
      <c r="K67" s="74"/>
      <c r="L67" s="74"/>
      <c r="M67" s="400"/>
      <c r="N67" s="74"/>
      <c r="O67" s="74"/>
      <c r="P67" s="74"/>
      <c r="Q67" s="74"/>
      <c r="R67" s="74"/>
      <c r="S67" s="401"/>
      <c r="T67" s="74"/>
      <c r="U67" s="74"/>
      <c r="V67" s="74"/>
      <c r="W67" s="74"/>
      <c r="X67" s="74"/>
      <c r="Y67" s="74"/>
      <c r="Z67" s="74"/>
      <c r="AA67" s="401"/>
      <c r="AB67" s="65"/>
      <c r="AC67" s="65"/>
      <c r="AD67" s="65"/>
      <c r="AE67" s="198"/>
      <c r="AF67" s="65"/>
      <c r="AG67" s="65"/>
      <c r="AH67" s="65"/>
      <c r="AI67" s="65"/>
      <c r="AJ67" s="65"/>
      <c r="AK67" s="158"/>
      <c r="AL67" s="65"/>
      <c r="AM67" s="65"/>
      <c r="AN67" s="65"/>
      <c r="AO67" s="65"/>
      <c r="AP67" s="65"/>
      <c r="AQ67" s="65"/>
      <c r="AR67" s="65"/>
      <c r="AS67" s="65"/>
      <c r="AT67" s="65"/>
      <c r="AU67" s="125"/>
      <c r="AV67" s="65"/>
      <c r="AW67" s="125"/>
      <c r="AX67" s="65"/>
      <c r="AY67" s="65"/>
      <c r="AZ67" s="65"/>
      <c r="BA67" s="65"/>
      <c r="BB67" s="65"/>
      <c r="BC67" s="326"/>
      <c r="BD67" s="28"/>
      <c r="BF67"/>
      <c r="BG67"/>
      <c r="BH67" s="28"/>
      <c r="BI67" s="28"/>
      <c r="BJ67" s="28"/>
      <c r="BK67" s="28"/>
    </row>
    <row r="68" spans="1:91" ht="13.5" customHeight="1">
      <c r="A68" s="22"/>
      <c r="B68" s="45"/>
      <c r="C68" s="393" t="s">
        <v>182</v>
      </c>
      <c r="D68" s="28"/>
      <c r="E68" s="28"/>
      <c r="F68" s="28"/>
      <c r="G68" s="28"/>
      <c r="H68" s="24"/>
      <c r="I68" s="24"/>
      <c r="J68" s="24"/>
      <c r="K68" s="24"/>
      <c r="L68" s="24"/>
      <c r="M68" s="127"/>
      <c r="N68" s="75"/>
      <c r="O68" s="84"/>
      <c r="P68" s="84"/>
      <c r="Q68" s="84"/>
      <c r="R68" s="84"/>
      <c r="S68" s="85"/>
      <c r="T68" s="75"/>
      <c r="U68" s="75"/>
      <c r="V68" s="75"/>
      <c r="W68" s="75"/>
      <c r="X68" s="75"/>
      <c r="Y68" s="84"/>
      <c r="Z68" s="233" t="s">
        <v>73</v>
      </c>
      <c r="AA68" s="75"/>
      <c r="AB68" s="65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31"/>
      <c r="AR68" s="31"/>
      <c r="AS68" s="31"/>
      <c r="AT68" s="31"/>
      <c r="AU68" s="31"/>
      <c r="AV68" s="31"/>
      <c r="AW68" s="31"/>
      <c r="AX68" s="31"/>
      <c r="AY68" s="31"/>
      <c r="AZ68" s="31"/>
      <c r="BA68" s="31"/>
      <c r="BB68" s="65"/>
      <c r="BC68" s="326"/>
      <c r="BD68" s="28"/>
      <c r="BF68" s="35"/>
      <c r="BG68" s="35"/>
      <c r="BH68" s="28"/>
    </row>
    <row r="69" spans="1:91" ht="13.5" customHeight="1">
      <c r="A69" s="22"/>
      <c r="B69" s="202">
        <v>6</v>
      </c>
      <c r="C69" s="431" t="s">
        <v>32</v>
      </c>
      <c r="D69" s="432" t="s">
        <v>183</v>
      </c>
      <c r="E69" s="445"/>
      <c r="F69" s="445"/>
      <c r="G69" s="446"/>
      <c r="H69" s="447" t="s">
        <v>190</v>
      </c>
      <c r="I69" s="448"/>
      <c r="J69" s="448"/>
      <c r="K69" s="448"/>
      <c r="L69" s="445"/>
      <c r="M69" s="446"/>
      <c r="N69" s="449" t="s">
        <v>191</v>
      </c>
      <c r="O69" s="445"/>
      <c r="P69" s="445"/>
      <c r="Q69" s="445"/>
      <c r="R69" s="445"/>
      <c r="S69" s="446"/>
      <c r="T69" s="449" t="s">
        <v>192</v>
      </c>
      <c r="U69" s="445"/>
      <c r="V69" s="445"/>
      <c r="W69" s="445"/>
      <c r="X69" s="445"/>
      <c r="Y69" s="445"/>
      <c r="Z69" s="450" t="s">
        <v>180</v>
      </c>
      <c r="AA69" s="451"/>
      <c r="AB69" s="451"/>
      <c r="AC69" s="452"/>
      <c r="AD69" s="39"/>
      <c r="AE69" s="39"/>
      <c r="AF69" s="39"/>
      <c r="AG69" s="39"/>
      <c r="AH69" s="39"/>
      <c r="AI69" s="118"/>
      <c r="AJ69" s="118"/>
      <c r="AK69" s="118"/>
      <c r="AL69" s="118"/>
      <c r="AM69" s="118"/>
      <c r="AN69" s="118"/>
      <c r="AO69" s="118"/>
      <c r="AP69" s="118"/>
      <c r="AQ69" s="118"/>
      <c r="AR69" s="118"/>
      <c r="AS69" s="118"/>
      <c r="AT69" s="118"/>
      <c r="AU69" s="118"/>
      <c r="AV69" s="118"/>
      <c r="AW69" s="118"/>
      <c r="AX69" s="118"/>
      <c r="AY69" s="118"/>
      <c r="AZ69" s="118"/>
      <c r="BA69" s="118"/>
      <c r="BB69" s="440"/>
      <c r="BC69" s="326"/>
      <c r="BD69" s="28"/>
      <c r="BF69" s="35"/>
      <c r="BG69" s="35"/>
      <c r="BH69" s="28"/>
    </row>
    <row r="70" spans="1:91" ht="13.5" customHeight="1">
      <c r="A70" s="22"/>
      <c r="B70" s="202">
        <v>8</v>
      </c>
      <c r="C70" s="441">
        <v>1</v>
      </c>
      <c r="D70" s="148" t="s">
        <v>181</v>
      </c>
      <c r="E70" s="149"/>
      <c r="F70" s="149"/>
      <c r="G70" s="99" t="s">
        <v>33</v>
      </c>
      <c r="H70" s="242"/>
      <c r="I70" s="150"/>
      <c r="J70" s="150"/>
      <c r="K70" s="150"/>
      <c r="L70" s="161"/>
      <c r="M70" s="162"/>
      <c r="N70" s="1143">
        <v>5000</v>
      </c>
      <c r="O70" s="1144"/>
      <c r="P70" s="1144"/>
      <c r="Q70" s="1144"/>
      <c r="R70" s="1144"/>
      <c r="S70" s="1145"/>
      <c r="T70" s="1143">
        <v>5000</v>
      </c>
      <c r="U70" s="1144"/>
      <c r="V70" s="1144"/>
      <c r="W70" s="1144"/>
      <c r="X70" s="1144"/>
      <c r="Y70" s="1145"/>
      <c r="Z70" s="1146">
        <v>10</v>
      </c>
      <c r="AA70" s="1147"/>
      <c r="AB70" s="1147"/>
      <c r="AC70" s="1148"/>
      <c r="AD70" s="28"/>
      <c r="AE70" s="28"/>
      <c r="AF70" s="28"/>
      <c r="AG70" s="28"/>
      <c r="AH70" s="28"/>
      <c r="AI70" s="35"/>
      <c r="AJ70" s="35"/>
      <c r="AK70" s="35"/>
      <c r="AL70" s="35"/>
      <c r="AM70" s="35"/>
      <c r="AN70" s="35"/>
      <c r="AO70" s="35"/>
      <c r="AP70" s="35"/>
      <c r="AQ70" s="35"/>
      <c r="AR70" s="35"/>
      <c r="AS70" s="35"/>
      <c r="AT70" s="35"/>
      <c r="AU70" s="35"/>
      <c r="AV70" s="35"/>
      <c r="AW70" s="35"/>
      <c r="AX70" s="35"/>
      <c r="AY70" s="35"/>
      <c r="AZ70" s="35"/>
      <c r="BA70" s="35"/>
      <c r="BB70" s="153"/>
      <c r="BC70" s="326"/>
      <c r="BD70" s="28"/>
      <c r="BF70" s="35"/>
      <c r="BG70" s="35"/>
      <c r="BH70" s="28"/>
    </row>
    <row r="71" spans="1:91" ht="13.5" customHeight="1">
      <c r="A71" s="22"/>
      <c r="B71" s="202">
        <v>14</v>
      </c>
      <c r="C71" s="453"/>
      <c r="D71" s="67"/>
      <c r="E71" s="67"/>
      <c r="F71" s="67"/>
      <c r="G71" s="67"/>
      <c r="H71" s="67"/>
      <c r="I71" s="67"/>
      <c r="J71" s="67"/>
      <c r="K71" s="395"/>
      <c r="L71" s="67"/>
      <c r="M71" s="67"/>
      <c r="N71" s="67"/>
      <c r="O71" s="67"/>
      <c r="P71" s="67"/>
      <c r="Q71" s="395"/>
      <c r="R71" s="67"/>
      <c r="S71" s="67"/>
      <c r="T71" s="67"/>
      <c r="U71" s="395"/>
      <c r="V71" s="67"/>
      <c r="W71" s="67"/>
      <c r="X71" s="67"/>
      <c r="Y71" s="67"/>
      <c r="Z71" s="67"/>
      <c r="AA71" s="67"/>
      <c r="AB71" s="67"/>
      <c r="AC71" s="67"/>
      <c r="AD71" s="67"/>
      <c r="AE71" s="67"/>
      <c r="AF71" s="67"/>
      <c r="AG71" s="67"/>
      <c r="AH71" s="67"/>
      <c r="AI71" s="67"/>
      <c r="AJ71" s="454"/>
      <c r="AK71" s="455"/>
      <c r="AL71" s="105"/>
      <c r="AM71" s="100"/>
      <c r="AN71" s="100"/>
      <c r="AO71" s="100"/>
      <c r="AP71" s="100"/>
      <c r="AQ71" s="101"/>
      <c r="AR71" s="100"/>
      <c r="AS71" s="67"/>
      <c r="AT71" s="67"/>
      <c r="AU71" s="67"/>
      <c r="AV71" s="67"/>
      <c r="AW71" s="67"/>
      <c r="AX71" s="67"/>
      <c r="AY71" s="100"/>
      <c r="AZ71" s="52"/>
      <c r="BA71" s="38"/>
      <c r="BB71" s="154"/>
      <c r="BC71" s="326"/>
      <c r="BD71" s="28"/>
    </row>
    <row r="72" spans="1:91" ht="13.5" customHeight="1">
      <c r="A72" s="22"/>
      <c r="B72" s="202">
        <v>15</v>
      </c>
      <c r="C72" s="313" t="s">
        <v>72</v>
      </c>
      <c r="D72" s="223"/>
      <c r="E72" s="224"/>
      <c r="F72" s="223"/>
      <c r="G72" s="224"/>
      <c r="H72" s="225"/>
      <c r="I72" s="226"/>
      <c r="J72" s="227"/>
      <c r="K72" s="227"/>
      <c r="L72" s="227"/>
      <c r="M72" s="228"/>
      <c r="N72" s="227"/>
      <c r="O72" s="227"/>
      <c r="P72" s="227"/>
      <c r="Q72" s="229"/>
      <c r="R72" s="227"/>
      <c r="S72" s="227"/>
      <c r="T72" s="227"/>
      <c r="U72" s="227"/>
      <c r="V72" s="227"/>
      <c r="W72" s="229"/>
      <c r="X72" s="227"/>
      <c r="Y72" s="227"/>
      <c r="Z72" s="227"/>
      <c r="AA72" s="229"/>
      <c r="AB72" s="227"/>
      <c r="AC72" s="227"/>
      <c r="AD72" s="227"/>
      <c r="AE72" s="227"/>
      <c r="AF72" s="227"/>
      <c r="AG72" s="232"/>
      <c r="AH72" s="227"/>
      <c r="AI72" s="227"/>
      <c r="AJ72" s="227"/>
      <c r="AK72" s="227"/>
      <c r="AL72" s="227"/>
      <c r="AM72" s="227"/>
      <c r="AN72" s="227"/>
      <c r="AO72" s="227"/>
      <c r="AP72" s="227"/>
      <c r="AQ72" s="230"/>
      <c r="AR72" s="227"/>
      <c r="AS72" s="230"/>
      <c r="AT72" s="227"/>
      <c r="AU72" s="227"/>
      <c r="AV72" s="227"/>
      <c r="AW72" s="227"/>
      <c r="AX72" s="227"/>
      <c r="AY72" s="224"/>
      <c r="AZ72" s="224"/>
      <c r="BA72" s="231"/>
      <c r="BB72" s="231"/>
      <c r="BC72" s="326"/>
      <c r="BD72" s="28"/>
    </row>
    <row r="73" spans="1:91" ht="13.5" customHeight="1">
      <c r="A73" s="22"/>
      <c r="B73" s="202">
        <v>16</v>
      </c>
      <c r="C73" s="310"/>
      <c r="D73" s="65"/>
      <c r="E73" s="65"/>
      <c r="F73" s="65"/>
      <c r="G73" s="65"/>
      <c r="H73" s="65"/>
      <c r="I73" s="65"/>
      <c r="J73" s="65"/>
      <c r="K73" s="65"/>
      <c r="L73" s="65"/>
      <c r="M73" s="62"/>
      <c r="N73" s="65"/>
      <c r="O73" s="65"/>
      <c r="P73" s="63"/>
      <c r="Q73" s="64"/>
      <c r="R73" s="63"/>
      <c r="S73" s="111"/>
      <c r="T73" s="112"/>
      <c r="U73" s="111"/>
      <c r="V73" s="112"/>
      <c r="W73" s="111"/>
      <c r="X73" s="111"/>
      <c r="Y73" s="111"/>
      <c r="Z73" s="111"/>
      <c r="AA73" s="65"/>
      <c r="AB73" s="65"/>
      <c r="AC73" s="65"/>
      <c r="AD73" s="65"/>
      <c r="AE73" s="65"/>
      <c r="AF73" s="65"/>
      <c r="AG73" s="65"/>
      <c r="AH73" s="65"/>
      <c r="AI73" s="65"/>
      <c r="AJ73" s="65"/>
      <c r="AK73" s="65"/>
      <c r="AL73" s="65"/>
      <c r="AM73" s="65"/>
      <c r="AN73" s="65"/>
      <c r="AO73" s="65"/>
      <c r="AP73" s="65"/>
      <c r="AQ73" s="65"/>
      <c r="AR73" s="65"/>
      <c r="AS73" s="65"/>
      <c r="AT73" s="65"/>
      <c r="AU73" s="65"/>
      <c r="AV73" s="65"/>
      <c r="AW73" s="65"/>
      <c r="AX73" s="65"/>
      <c r="AY73" s="63"/>
      <c r="AZ73" s="53"/>
      <c r="BA73" s="323"/>
      <c r="BB73" s="324"/>
      <c r="BC73" s="326"/>
      <c r="BD73" s="28"/>
    </row>
    <row r="74" spans="1:91" ht="13.5" customHeight="1">
      <c r="A74" s="22"/>
      <c r="B74" s="202">
        <v>17</v>
      </c>
      <c r="C74" s="310"/>
      <c r="D74" s="65"/>
      <c r="E74" s="65"/>
      <c r="F74" s="65"/>
      <c r="G74" s="65"/>
      <c r="H74" s="126"/>
      <c r="I74" s="65"/>
      <c r="J74" s="65"/>
      <c r="K74" s="65"/>
      <c r="L74" s="198"/>
      <c r="M74" s="65"/>
      <c r="N74" s="65"/>
      <c r="O74" s="65"/>
      <c r="P74" s="198"/>
      <c r="Q74" s="65"/>
      <c r="R74" s="65"/>
      <c r="S74" s="65"/>
      <c r="T74" s="198"/>
      <c r="U74" s="65"/>
      <c r="V74" s="65"/>
      <c r="W74" s="65"/>
      <c r="X74" s="65"/>
      <c r="Y74" s="65"/>
      <c r="Z74" s="65"/>
      <c r="AA74" s="65"/>
      <c r="AB74" s="65"/>
      <c r="AC74" s="65"/>
      <c r="AD74" s="65"/>
      <c r="AE74" s="65"/>
      <c r="AF74" s="65"/>
      <c r="AG74" s="65"/>
      <c r="AH74" s="65"/>
      <c r="AI74" s="65"/>
      <c r="AJ74" s="65"/>
      <c r="AK74" s="125"/>
      <c r="AL74" s="65"/>
      <c r="AM74" s="65"/>
      <c r="AN74" s="65"/>
      <c r="AO74" s="65"/>
      <c r="AP74" s="65"/>
      <c r="AQ74" s="65"/>
      <c r="AR74" s="65"/>
      <c r="AS74" s="65"/>
      <c r="AT74" s="65"/>
      <c r="AU74" s="65"/>
      <c r="AV74" s="65"/>
      <c r="AW74" s="65"/>
      <c r="AX74" s="65"/>
      <c r="AY74" s="63"/>
      <c r="AZ74" s="31"/>
      <c r="BA74" s="30"/>
      <c r="BB74" s="175"/>
      <c r="BC74" s="326"/>
      <c r="BD74" s="28"/>
    </row>
    <row r="75" spans="1:91" ht="5.0999999999999996" customHeight="1">
      <c r="A75" s="22"/>
      <c r="B75" s="202"/>
      <c r="C75" s="315"/>
      <c r="D75" s="73"/>
      <c r="E75" s="73"/>
      <c r="F75" s="73"/>
      <c r="G75" s="73"/>
      <c r="H75" s="316"/>
      <c r="I75" s="275"/>
      <c r="J75" s="273"/>
      <c r="K75" s="275"/>
      <c r="L75" s="273"/>
      <c r="M75" s="317"/>
      <c r="N75" s="317"/>
      <c r="O75" s="270"/>
      <c r="P75" s="317"/>
      <c r="Q75" s="270"/>
      <c r="R75" s="317"/>
      <c r="S75" s="73"/>
      <c r="T75" s="73"/>
      <c r="U75" s="73"/>
      <c r="V75" s="73"/>
      <c r="W75" s="73"/>
      <c r="X75" s="316"/>
      <c r="Y75" s="275"/>
      <c r="Z75" s="273"/>
      <c r="AA75" s="275"/>
      <c r="AB75" s="273"/>
      <c r="AC75" s="317"/>
      <c r="AD75" s="317"/>
      <c r="AE75" s="270"/>
      <c r="AF75" s="317"/>
      <c r="AG75" s="270"/>
      <c r="AH75" s="317"/>
      <c r="AI75" s="276"/>
      <c r="AJ75" s="317"/>
      <c r="AK75" s="270"/>
      <c r="AL75" s="73"/>
      <c r="AM75" s="73"/>
      <c r="AN75" s="73"/>
      <c r="AO75" s="73"/>
      <c r="AP75" s="73"/>
      <c r="AQ75" s="73"/>
      <c r="AR75" s="73"/>
      <c r="AS75" s="73"/>
      <c r="AT75" s="73"/>
      <c r="AU75" s="73"/>
      <c r="AV75" s="318"/>
      <c r="AW75" s="73"/>
      <c r="AX75" s="73"/>
      <c r="AY75" s="269"/>
      <c r="AZ75" s="269"/>
      <c r="BA75" s="319"/>
      <c r="BB75" s="320"/>
      <c r="BC75" s="321"/>
      <c r="BD75" s="28"/>
    </row>
    <row r="76" spans="1:91" ht="13.5" customHeight="1">
      <c r="A76" s="22"/>
      <c r="B76" s="202">
        <v>18</v>
      </c>
      <c r="C76" s="75"/>
      <c r="D76" s="63"/>
      <c r="E76" s="63"/>
      <c r="F76" s="63"/>
      <c r="G76" s="63"/>
      <c r="H76" s="69"/>
      <c r="I76" s="69"/>
      <c r="J76" s="65"/>
      <c r="K76" s="69"/>
      <c r="L76" s="65"/>
      <c r="M76" s="69"/>
      <c r="N76" s="64"/>
      <c r="O76" s="69"/>
      <c r="P76" s="65"/>
      <c r="Q76" s="65"/>
      <c r="R76" s="65"/>
      <c r="S76" s="63"/>
      <c r="T76" s="63"/>
      <c r="U76" s="63"/>
      <c r="V76" s="63"/>
      <c r="W76" s="63"/>
      <c r="X76" s="64"/>
      <c r="Y76" s="63"/>
      <c r="Z76" s="65"/>
      <c r="AA76" s="64"/>
      <c r="AB76" s="63"/>
      <c r="AC76" s="65"/>
      <c r="AD76" s="64"/>
      <c r="AE76" s="65"/>
      <c r="AF76" s="65"/>
      <c r="AG76" s="64"/>
      <c r="AH76" s="65"/>
      <c r="AI76" s="65"/>
      <c r="AJ76" s="126"/>
      <c r="AK76" s="65"/>
      <c r="AL76" s="65"/>
      <c r="AM76" s="65"/>
      <c r="AN76" s="65"/>
      <c r="AO76" s="65"/>
      <c r="AP76" s="65"/>
      <c r="AQ76" s="65"/>
      <c r="AR76" s="65"/>
      <c r="AS76" s="65"/>
      <c r="AT76" s="65"/>
      <c r="AU76" s="65"/>
      <c r="AV76" s="65"/>
      <c r="AW76" s="65"/>
      <c r="AX76" s="65"/>
      <c r="AY76" s="63"/>
      <c r="AZ76" s="264"/>
      <c r="BA76" s="301"/>
      <c r="BB76" s="302"/>
      <c r="BC76" s="343"/>
      <c r="BD76" s="28"/>
    </row>
    <row r="77" spans="1:91" ht="13.5" customHeight="1">
      <c r="A77" s="22"/>
      <c r="B77" s="202">
        <v>20</v>
      </c>
      <c r="C77" s="204" t="s">
        <v>79</v>
      </c>
      <c r="D77" s="28"/>
      <c r="E77" s="28"/>
      <c r="F77" s="28"/>
      <c r="G77" s="28"/>
      <c r="H77" s="121"/>
      <c r="I77" s="62"/>
      <c r="J77" s="63"/>
      <c r="K77" s="62"/>
      <c r="L77" s="63"/>
      <c r="M77" s="69"/>
      <c r="N77" s="69"/>
      <c r="O77" s="65"/>
      <c r="P77" s="69"/>
      <c r="Q77" s="65"/>
      <c r="R77" s="69"/>
      <c r="S77" s="28"/>
      <c r="T77" s="28"/>
      <c r="U77" s="28"/>
      <c r="V77" s="28"/>
      <c r="W77" s="28"/>
      <c r="X77" s="121"/>
      <c r="Y77" s="62"/>
      <c r="Z77" s="63"/>
      <c r="AA77" s="62"/>
      <c r="AB77" s="63"/>
      <c r="AC77" s="69"/>
      <c r="AD77" s="69"/>
      <c r="AE77" s="65"/>
      <c r="AF77" s="69"/>
      <c r="AG77" s="65"/>
      <c r="AH77" s="69"/>
      <c r="AI77" s="64"/>
      <c r="AJ77" s="69"/>
      <c r="AK77" s="65"/>
      <c r="AL77" s="28"/>
      <c r="AM77" s="28"/>
      <c r="AN77" s="28"/>
      <c r="AO77" s="28"/>
      <c r="AP77" s="28"/>
      <c r="AQ77" s="28"/>
      <c r="AR77" s="28"/>
      <c r="AS77" s="28"/>
      <c r="AT77" s="28"/>
      <c r="AU77" s="28"/>
      <c r="AV77" s="233"/>
      <c r="AW77" s="28"/>
      <c r="AX77" s="28"/>
      <c r="AY77" s="31"/>
      <c r="AZ77" s="269"/>
      <c r="BA77" s="319"/>
      <c r="BB77" s="320"/>
      <c r="BC77" s="344"/>
      <c r="BD77" s="28"/>
    </row>
    <row r="78" spans="1:91" ht="5.0999999999999996" customHeight="1">
      <c r="A78" s="22"/>
      <c r="B78" s="202"/>
      <c r="C78" s="296"/>
      <c r="D78" s="72"/>
      <c r="E78" s="72"/>
      <c r="F78" s="72"/>
      <c r="G78" s="72"/>
      <c r="H78" s="297"/>
      <c r="I78" s="278"/>
      <c r="J78" s="279"/>
      <c r="K78" s="278"/>
      <c r="L78" s="279"/>
      <c r="M78" s="298"/>
      <c r="N78" s="298"/>
      <c r="O78" s="263"/>
      <c r="P78" s="298"/>
      <c r="Q78" s="263"/>
      <c r="R78" s="298"/>
      <c r="S78" s="72"/>
      <c r="T78" s="72"/>
      <c r="U78" s="72"/>
      <c r="V78" s="72"/>
      <c r="W78" s="72"/>
      <c r="X78" s="297"/>
      <c r="Y78" s="278"/>
      <c r="Z78" s="279"/>
      <c r="AA78" s="278"/>
      <c r="AB78" s="279"/>
      <c r="AC78" s="298"/>
      <c r="AD78" s="298"/>
      <c r="AE78" s="263"/>
      <c r="AF78" s="298"/>
      <c r="AG78" s="263"/>
      <c r="AH78" s="298"/>
      <c r="AI78" s="280"/>
      <c r="AJ78" s="298"/>
      <c r="AK78" s="263"/>
      <c r="AL78" s="72"/>
      <c r="AM78" s="72"/>
      <c r="AN78" s="72"/>
      <c r="AO78" s="72"/>
      <c r="AP78" s="72"/>
      <c r="AQ78" s="72"/>
      <c r="AR78" s="72"/>
      <c r="AS78" s="72"/>
      <c r="AT78" s="72"/>
      <c r="AU78" s="72"/>
      <c r="AV78" s="300"/>
      <c r="AW78" s="72"/>
      <c r="AX78" s="72"/>
      <c r="AY78" s="264"/>
      <c r="AZ78" s="264"/>
      <c r="BA78" s="301"/>
      <c r="BB78" s="302"/>
      <c r="BC78" s="303"/>
      <c r="BD78" s="28"/>
    </row>
    <row r="79" spans="1:91" ht="13.5" customHeight="1">
      <c r="A79" s="22"/>
      <c r="B79" s="202">
        <v>21</v>
      </c>
      <c r="C79" s="304" t="s">
        <v>32</v>
      </c>
      <c r="D79" s="234" t="s">
        <v>262</v>
      </c>
      <c r="E79" s="235"/>
      <c r="F79" s="234" t="s">
        <v>65</v>
      </c>
      <c r="G79" s="235"/>
      <c r="H79" s="235"/>
      <c r="I79" s="236"/>
      <c r="J79" s="237" t="s">
        <v>34</v>
      </c>
      <c r="K79" s="238"/>
      <c r="L79" s="238"/>
      <c r="M79" s="238"/>
      <c r="N79" s="235"/>
      <c r="O79" s="236"/>
      <c r="P79" s="239" t="s">
        <v>68</v>
      </c>
      <c r="Q79" s="240"/>
      <c r="R79" s="240"/>
      <c r="S79" s="241"/>
      <c r="T79" s="239" t="s">
        <v>152</v>
      </c>
      <c r="U79" s="240"/>
      <c r="V79" s="240"/>
      <c r="W79" s="241"/>
      <c r="X79" s="234" t="s">
        <v>80</v>
      </c>
      <c r="Y79" s="235"/>
      <c r="Z79" s="235"/>
      <c r="AA79" s="236"/>
      <c r="AB79" s="234" t="s">
        <v>81</v>
      </c>
      <c r="AC79" s="235"/>
      <c r="AD79" s="235"/>
      <c r="AE79" s="235"/>
      <c r="AF79" s="239" t="s">
        <v>66</v>
      </c>
      <c r="AG79" s="240"/>
      <c r="AH79" s="240"/>
      <c r="AI79" s="240"/>
      <c r="AJ79" s="241"/>
      <c r="AK79" s="240" t="s">
        <v>211</v>
      </c>
      <c r="AL79" s="240"/>
      <c r="AM79" s="240"/>
      <c r="AN79" s="241"/>
      <c r="AO79" s="240" t="s">
        <v>163</v>
      </c>
      <c r="AP79" s="240"/>
      <c r="AQ79" s="240"/>
      <c r="AR79" s="241"/>
      <c r="AS79" s="240" t="s">
        <v>212</v>
      </c>
      <c r="AT79" s="240"/>
      <c r="AU79" s="240"/>
      <c r="AV79" s="241"/>
      <c r="AW79" s="240" t="s">
        <v>67</v>
      </c>
      <c r="AX79" s="240"/>
      <c r="AY79" s="240"/>
      <c r="AZ79" s="241"/>
      <c r="BA79" s="239" t="s">
        <v>213</v>
      </c>
      <c r="BB79" s="240"/>
      <c r="BC79" s="240"/>
      <c r="BD79" s="241"/>
      <c r="BE79" s="239" t="s">
        <v>214</v>
      </c>
      <c r="BF79" s="240"/>
      <c r="BG79" s="240"/>
      <c r="BH79" s="240"/>
      <c r="BI79" s="239" t="s">
        <v>200</v>
      </c>
      <c r="BJ79" s="240"/>
      <c r="BK79" s="240"/>
      <c r="BL79" s="241"/>
      <c r="BM79" s="239" t="s">
        <v>215</v>
      </c>
      <c r="BN79" s="240"/>
      <c r="BO79" s="240"/>
      <c r="BP79" s="241"/>
      <c r="BQ79" s="239" t="s">
        <v>216</v>
      </c>
      <c r="BR79" s="240"/>
      <c r="BS79" s="240"/>
      <c r="BT79" s="241"/>
      <c r="BU79" s="239" t="s">
        <v>84</v>
      </c>
      <c r="BV79" s="240"/>
      <c r="BW79" s="240"/>
      <c r="BX79" s="241"/>
      <c r="BY79" s="239" t="s">
        <v>85</v>
      </c>
      <c r="BZ79" s="240"/>
      <c r="CA79" s="240"/>
      <c r="CB79" s="241"/>
      <c r="CC79" s="240" t="s">
        <v>86</v>
      </c>
      <c r="CD79" s="240"/>
      <c r="CE79" s="241"/>
      <c r="CF79" s="240" t="s">
        <v>87</v>
      </c>
      <c r="CG79" s="240"/>
      <c r="CH79" s="240"/>
      <c r="CI79" s="241"/>
      <c r="CJ79" s="240" t="s">
        <v>70</v>
      </c>
      <c r="CK79" s="240"/>
      <c r="CL79" s="240"/>
      <c r="CM79" s="241"/>
    </row>
    <row r="80" spans="1:91" ht="13.5" customHeight="1">
      <c r="A80" s="22"/>
      <c r="B80" s="202">
        <v>22</v>
      </c>
      <c r="C80" s="308">
        <v>1</v>
      </c>
      <c r="D80" s="148" t="str">
        <f>N56</f>
        <v>FH</v>
      </c>
      <c r="E80" s="149"/>
      <c r="F80" s="148" t="str">
        <f>D56</f>
        <v>5802922450</v>
      </c>
      <c r="G80" s="149"/>
      <c r="H80" s="149"/>
      <c r="I80" s="151"/>
      <c r="J80" s="242" t="str">
        <f>H56</f>
        <v>FH35C-21S-0.3SHW(50)</v>
      </c>
      <c r="K80" s="150"/>
      <c r="L80" s="150"/>
      <c r="M80" s="150"/>
      <c r="N80" s="161"/>
      <c r="O80" s="162"/>
      <c r="P80" s="148" t="s">
        <v>94</v>
      </c>
      <c r="Q80" s="150"/>
      <c r="R80" s="150"/>
      <c r="S80" s="162"/>
      <c r="T80" s="148" t="str">
        <f>AE56</f>
        <v>USD</v>
      </c>
      <c r="U80" s="150"/>
      <c r="V80" s="150"/>
      <c r="W80" s="162"/>
      <c r="X80" s="1097">
        <f>R56</f>
        <v>2000000</v>
      </c>
      <c r="Y80" s="1098"/>
      <c r="Z80" s="1098"/>
      <c r="AA80" s="1099"/>
      <c r="AB80" s="1111">
        <f>Z56/111</f>
        <v>4.7657657657657657E-2</v>
      </c>
      <c r="AC80" s="1112"/>
      <c r="AD80" s="1112"/>
      <c r="AE80" s="1113"/>
      <c r="AF80" s="1111">
        <f>BC56</f>
        <v>0.11</v>
      </c>
      <c r="AG80" s="1112"/>
      <c r="AH80" s="1112"/>
      <c r="AI80" s="1112"/>
      <c r="AJ80" s="1113"/>
      <c r="AK80" s="1111">
        <f>AM56</f>
        <v>9.4E-2</v>
      </c>
      <c r="AL80" s="1112"/>
      <c r="AM80" s="1112"/>
      <c r="AN80" s="1113"/>
      <c r="AO80" s="1111">
        <f>AI56</f>
        <v>9.2200000000000004E-2</v>
      </c>
      <c r="AP80" s="1112"/>
      <c r="AQ80" s="1112"/>
      <c r="AR80" s="1113"/>
      <c r="AS80" s="1111">
        <f>AI56/(1-AQ56)</f>
        <v>9.3131313131313134E-2</v>
      </c>
      <c r="AT80" s="1112"/>
      <c r="AU80" s="1112"/>
      <c r="AV80" s="1113"/>
      <c r="AW80" s="1111">
        <f>AO80-(AS80*$K$20)</f>
        <v>8.7543434343434354E-2</v>
      </c>
      <c r="AX80" s="1112"/>
      <c r="AY80" s="1112"/>
      <c r="AZ80" s="1113"/>
      <c r="BA80" s="1077">
        <f>1-Z56/111/AW80</f>
        <v>0.4556112858138982</v>
      </c>
      <c r="BB80" s="1078"/>
      <c r="BC80" s="1078"/>
      <c r="BD80" s="1079"/>
      <c r="BE80" s="1089">
        <f>(AI56-AM56)/AM56</f>
        <v>-1.9148936170212724E-2</v>
      </c>
      <c r="BF80" s="1090"/>
      <c r="BG80" s="1090"/>
      <c r="BH80" s="1091"/>
      <c r="BI80" s="1139">
        <f>AU56</f>
        <v>0.1012</v>
      </c>
      <c r="BJ80" s="1140"/>
      <c r="BK80" s="1140"/>
      <c r="BL80" s="1141"/>
      <c r="BM80" s="1092">
        <f>1-AI56/(1-AQ56)/AU56</f>
        <v>7.9730107398091499E-2</v>
      </c>
      <c r="BN80" s="1093"/>
      <c r="BO80" s="1093"/>
      <c r="BP80" s="1094"/>
      <c r="BQ80" s="1092">
        <f>1-(Z56/111+AI56*AQ56+AS80*$K$20)/AU56</f>
        <v>0.47395036250767475</v>
      </c>
      <c r="BR80" s="1093"/>
      <c r="BS80" s="1093"/>
      <c r="BT80" s="1094"/>
      <c r="BU80" s="1127">
        <f>AY56</f>
        <v>0.11</v>
      </c>
      <c r="BV80" s="1128"/>
      <c r="BW80" s="1128"/>
      <c r="BX80" s="1129"/>
      <c r="BY80" s="1092">
        <f>1-AU56/AY56</f>
        <v>8.0000000000000071E-2</v>
      </c>
      <c r="BZ80" s="1093"/>
      <c r="CA80" s="1093"/>
      <c r="CB80" s="1094"/>
      <c r="CC80" s="1083">
        <f>BG56</f>
        <v>4.3904761904761903E-3</v>
      </c>
      <c r="CD80" s="1084"/>
      <c r="CE80" s="1085"/>
      <c r="CF80" s="149" t="str">
        <f>BJ56</f>
        <v>JAE</v>
      </c>
      <c r="CG80" s="150"/>
      <c r="CH80" s="150"/>
      <c r="CI80" s="152"/>
      <c r="CJ80" s="149" t="s">
        <v>30</v>
      </c>
      <c r="CK80" s="150"/>
      <c r="CL80" s="150"/>
      <c r="CM80" s="152"/>
    </row>
    <row r="81" spans="1:91" ht="13.5" customHeight="1">
      <c r="A81" s="22"/>
      <c r="B81" s="202">
        <v>23</v>
      </c>
      <c r="C81" s="308">
        <v>2</v>
      </c>
      <c r="D81" s="148" t="str">
        <f>N57</f>
        <v>FH</v>
      </c>
      <c r="E81" s="149"/>
      <c r="F81" s="148" t="str">
        <f>D57</f>
        <v>5801232050</v>
      </c>
      <c r="G81" s="149"/>
      <c r="H81" s="149"/>
      <c r="I81" s="151"/>
      <c r="J81" s="242" t="str">
        <f>H57</f>
        <v>FH34SRJ-30S-0.5SH(50)</v>
      </c>
      <c r="K81" s="150"/>
      <c r="L81" s="150"/>
      <c r="M81" s="150"/>
      <c r="N81" s="161"/>
      <c r="O81" s="162"/>
      <c r="P81" s="148" t="s">
        <v>94</v>
      </c>
      <c r="Q81" s="150"/>
      <c r="R81" s="150"/>
      <c r="S81" s="162"/>
      <c r="T81" s="148" t="str">
        <f>AE57</f>
        <v>USD</v>
      </c>
      <c r="U81" s="150"/>
      <c r="V81" s="150"/>
      <c r="W81" s="162"/>
      <c r="X81" s="1097">
        <f>R57</f>
        <v>20000</v>
      </c>
      <c r="Y81" s="1098"/>
      <c r="Z81" s="1098"/>
      <c r="AA81" s="1099"/>
      <c r="AB81" s="1111">
        <f>Z57/111</f>
        <v>9.90990990990991E-2</v>
      </c>
      <c r="AC81" s="1112"/>
      <c r="AD81" s="1112"/>
      <c r="AE81" s="1113"/>
      <c r="AF81" s="1111">
        <f>BC57</f>
        <v>0.156</v>
      </c>
      <c r="AG81" s="1112"/>
      <c r="AH81" s="1112"/>
      <c r="AI81" s="1112"/>
      <c r="AJ81" s="1113"/>
      <c r="AK81" s="1111">
        <f>AM57</f>
        <v>0.13</v>
      </c>
      <c r="AL81" s="1112"/>
      <c r="AM81" s="1112"/>
      <c r="AN81" s="1113"/>
      <c r="AO81" s="1111">
        <f>AI57</f>
        <v>0.12970000000000001</v>
      </c>
      <c r="AP81" s="1112"/>
      <c r="AQ81" s="1112"/>
      <c r="AR81" s="1113"/>
      <c r="AS81" s="1111">
        <f>AI57/(1-AQ57)</f>
        <v>0.13101010101010102</v>
      </c>
      <c r="AT81" s="1112"/>
      <c r="AU81" s="1112"/>
      <c r="AV81" s="1113"/>
      <c r="AW81" s="1111">
        <f>AO81-(AS81*$K$20)</f>
        <v>0.12314949494949495</v>
      </c>
      <c r="AX81" s="1112"/>
      <c r="AY81" s="1112"/>
      <c r="AZ81" s="1113"/>
      <c r="BA81" s="1077">
        <f>1-Z57/111/AW81</f>
        <v>0.19529431168401623</v>
      </c>
      <c r="BB81" s="1078"/>
      <c r="BC81" s="1078"/>
      <c r="BD81" s="1079"/>
      <c r="BE81" s="1089">
        <f>(AI57-AM57)/AM57</f>
        <v>-2.3076923076922671E-3</v>
      </c>
      <c r="BF81" s="1090"/>
      <c r="BG81" s="1090"/>
      <c r="BH81" s="1091"/>
      <c r="BI81" s="1139">
        <f>AU57</f>
        <v>0.13600000000000001</v>
      </c>
      <c r="BJ81" s="1140"/>
      <c r="BK81" s="1140"/>
      <c r="BL81" s="1141"/>
      <c r="BM81" s="1092">
        <f>1-AI57/(1-AQ57)/AU57</f>
        <v>3.669043374925729E-2</v>
      </c>
      <c r="BN81" s="1093"/>
      <c r="BO81" s="1093"/>
      <c r="BP81" s="1094"/>
      <c r="BQ81" s="1092">
        <f>1-(Z57/111+AI57*AQ57+AS81*$K$20)/AU57</f>
        <v>0.21362791066467535</v>
      </c>
      <c r="BR81" s="1093"/>
      <c r="BS81" s="1093"/>
      <c r="BT81" s="1094"/>
      <c r="BU81" s="1127">
        <f>AY57</f>
        <v>0.156</v>
      </c>
      <c r="BV81" s="1128"/>
      <c r="BW81" s="1128"/>
      <c r="BX81" s="1129"/>
      <c r="BY81" s="1092">
        <f>1-AU57/AY57</f>
        <v>0.12820512820512819</v>
      </c>
      <c r="BZ81" s="1093"/>
      <c r="CA81" s="1093"/>
      <c r="CB81" s="1094"/>
      <c r="CC81" s="1083">
        <f>BG57</f>
        <v>6.1761904761904766E-3</v>
      </c>
      <c r="CD81" s="1084"/>
      <c r="CE81" s="1085"/>
      <c r="CF81" s="149" t="str">
        <f>BJ57</f>
        <v>TE</v>
      </c>
      <c r="CG81" s="150"/>
      <c r="CH81" s="150"/>
      <c r="CI81" s="152"/>
      <c r="CJ81" s="149" t="s">
        <v>30</v>
      </c>
      <c r="CK81" s="150"/>
      <c r="CL81" s="150"/>
      <c r="CM81" s="152"/>
    </row>
    <row r="82" spans="1:91" ht="13.5" customHeight="1">
      <c r="A82" s="22"/>
      <c r="B82" s="202">
        <v>20</v>
      </c>
      <c r="C82" s="337" t="s">
        <v>283</v>
      </c>
      <c r="D82" s="28"/>
      <c r="E82" s="28"/>
      <c r="F82" s="28"/>
      <c r="G82" s="28"/>
      <c r="H82" s="121"/>
      <c r="I82" s="62"/>
      <c r="J82" s="63"/>
      <c r="K82" s="62"/>
      <c r="L82" s="63"/>
      <c r="M82" s="69"/>
      <c r="N82" s="69"/>
      <c r="O82" s="65"/>
      <c r="P82" s="69"/>
      <c r="Q82" s="65"/>
      <c r="R82" s="69"/>
      <c r="S82" s="28"/>
      <c r="T82" s="28"/>
      <c r="U82" s="28"/>
      <c r="V82" s="28"/>
      <c r="W82" s="28"/>
      <c r="X82" s="121"/>
      <c r="Y82" s="62"/>
      <c r="Z82" s="63"/>
      <c r="AA82" s="62"/>
      <c r="AB82" s="63"/>
      <c r="AC82" s="69"/>
      <c r="AD82" s="69"/>
      <c r="AE82" s="65"/>
      <c r="AF82" s="69"/>
      <c r="AG82" s="65"/>
      <c r="AH82" s="69"/>
      <c r="AI82" s="64"/>
      <c r="AJ82" s="69"/>
      <c r="AK82" s="65"/>
      <c r="AL82" s="28"/>
      <c r="AM82" s="28"/>
      <c r="AN82" s="28"/>
      <c r="AO82" s="28"/>
      <c r="AP82" s="28"/>
      <c r="AQ82" s="28"/>
      <c r="AR82" s="28"/>
      <c r="AS82" s="28"/>
      <c r="AT82" s="28"/>
      <c r="AU82" s="28"/>
      <c r="AV82" s="233"/>
      <c r="AW82" s="28"/>
      <c r="AX82" s="28"/>
      <c r="AY82" s="31"/>
      <c r="AZ82" s="95"/>
      <c r="BA82" s="92"/>
      <c r="BB82" s="329"/>
      <c r="BC82" s="338"/>
      <c r="BD82" s="37"/>
      <c r="BE82" s="37"/>
    </row>
    <row r="83" spans="1:91" ht="13.5" customHeight="1">
      <c r="A83" s="22"/>
      <c r="B83" s="202">
        <v>24</v>
      </c>
      <c r="C83" s="304"/>
      <c r="D83" s="502" t="s">
        <v>282</v>
      </c>
      <c r="E83" s="503"/>
      <c r="F83" s="504" t="s">
        <v>296</v>
      </c>
      <c r="G83" s="503"/>
      <c r="H83" s="503"/>
      <c r="I83" s="505"/>
      <c r="J83" s="504" t="s">
        <v>30</v>
      </c>
      <c r="K83" s="506"/>
      <c r="L83" s="506"/>
      <c r="M83" s="506"/>
      <c r="N83" s="503"/>
      <c r="O83" s="505"/>
      <c r="P83" s="511" t="s">
        <v>30</v>
      </c>
      <c r="Q83" s="508"/>
      <c r="R83" s="508"/>
      <c r="S83" s="509"/>
      <c r="T83" s="504" t="s">
        <v>30</v>
      </c>
      <c r="U83" s="503"/>
      <c r="V83" s="503"/>
      <c r="W83" s="505"/>
      <c r="X83" s="508" t="s">
        <v>217</v>
      </c>
      <c r="Y83" s="503"/>
      <c r="Z83" s="503"/>
      <c r="AA83" s="503"/>
      <c r="AB83" s="507" t="s">
        <v>218</v>
      </c>
      <c r="AC83" s="503"/>
      <c r="AD83" s="503"/>
      <c r="AE83" s="503"/>
      <c r="AF83" s="507" t="s">
        <v>219</v>
      </c>
      <c r="AG83" s="508"/>
      <c r="AH83" s="508"/>
      <c r="AI83" s="508"/>
      <c r="AJ83" s="509"/>
      <c r="AK83" s="507" t="s">
        <v>220</v>
      </c>
      <c r="AL83" s="508"/>
      <c r="AM83" s="508"/>
      <c r="AN83" s="509"/>
      <c r="AO83" s="507" t="s">
        <v>221</v>
      </c>
      <c r="AP83" s="508"/>
      <c r="AQ83" s="508"/>
      <c r="AR83" s="509"/>
      <c r="AS83" s="507" t="s">
        <v>222</v>
      </c>
      <c r="AT83" s="508"/>
      <c r="AU83" s="508"/>
      <c r="AV83" s="508"/>
      <c r="AW83" s="507" t="s">
        <v>102</v>
      </c>
      <c r="AX83" s="508"/>
      <c r="AY83" s="508"/>
      <c r="AZ83" s="509"/>
      <c r="BA83" s="511" t="s">
        <v>223</v>
      </c>
      <c r="BB83" s="508"/>
      <c r="BC83" s="508"/>
      <c r="BD83" s="509"/>
      <c r="BE83" s="513" t="s">
        <v>224</v>
      </c>
      <c r="BF83" s="508"/>
      <c r="BG83" s="508"/>
      <c r="BH83" s="509"/>
      <c r="BI83" s="513" t="s">
        <v>30</v>
      </c>
      <c r="BJ83" s="508"/>
      <c r="BK83" s="508"/>
      <c r="BL83" s="509"/>
      <c r="BM83" s="513" t="s">
        <v>30</v>
      </c>
      <c r="BN83" s="508"/>
      <c r="BO83" s="508"/>
      <c r="BP83" s="509"/>
      <c r="BQ83" s="513" t="s">
        <v>30</v>
      </c>
      <c r="BR83" s="508"/>
      <c r="BS83" s="508"/>
      <c r="BT83" s="509"/>
      <c r="BU83" s="513" t="s">
        <v>30</v>
      </c>
      <c r="BV83" s="508"/>
      <c r="BW83" s="508"/>
      <c r="BX83" s="509"/>
      <c r="BY83" s="508"/>
      <c r="BZ83" s="508"/>
      <c r="CA83" s="508"/>
      <c r="CB83" s="509"/>
      <c r="CC83" s="513" t="s">
        <v>30</v>
      </c>
      <c r="CD83" s="508"/>
      <c r="CE83" s="509"/>
      <c r="CF83" s="508"/>
      <c r="CG83" s="508"/>
      <c r="CH83" s="508"/>
      <c r="CI83" s="509"/>
      <c r="CJ83" s="508"/>
      <c r="CK83" s="508"/>
      <c r="CL83" s="508"/>
      <c r="CM83" s="509"/>
    </row>
    <row r="84" spans="1:91" ht="13.5" customHeight="1">
      <c r="A84" s="22"/>
      <c r="B84" s="202">
        <v>24</v>
      </c>
      <c r="C84" s="461"/>
      <c r="D84" s="517"/>
      <c r="E84" s="518"/>
      <c r="F84" s="517"/>
      <c r="G84" s="518"/>
      <c r="H84" s="518"/>
      <c r="I84" s="519"/>
      <c r="J84" s="520"/>
      <c r="K84" s="521"/>
      <c r="L84" s="521"/>
      <c r="M84" s="521"/>
      <c r="N84" s="518"/>
      <c r="O84" s="519"/>
      <c r="P84" s="522"/>
      <c r="Q84" s="523"/>
      <c r="R84" s="523"/>
      <c r="S84" s="524"/>
      <c r="T84" s="517"/>
      <c r="U84" s="518"/>
      <c r="V84" s="518"/>
      <c r="W84" s="519"/>
      <c r="X84" s="523"/>
      <c r="Y84" s="518"/>
      <c r="Z84" s="518"/>
      <c r="AA84" s="518"/>
      <c r="AB84" s="522"/>
      <c r="AC84" s="518"/>
      <c r="AD84" s="518"/>
      <c r="AE84" s="518"/>
      <c r="AF84" s="522"/>
      <c r="AG84" s="523"/>
      <c r="AH84" s="523"/>
      <c r="AI84" s="523"/>
      <c r="AJ84" s="524"/>
      <c r="AK84" s="522"/>
      <c r="AL84" s="523"/>
      <c r="AM84" s="523"/>
      <c r="AN84" s="524"/>
      <c r="AO84" s="522"/>
      <c r="AP84" s="523"/>
      <c r="AQ84" s="523"/>
      <c r="AR84" s="524"/>
      <c r="AS84" s="522"/>
      <c r="AT84" s="523"/>
      <c r="AU84" s="523"/>
      <c r="AV84" s="523"/>
      <c r="AW84" s="522" t="s">
        <v>234</v>
      </c>
      <c r="AX84" s="523"/>
      <c r="AY84" s="523"/>
      <c r="AZ84" s="524"/>
      <c r="BA84" s="525" t="s">
        <v>30</v>
      </c>
      <c r="BB84" s="523"/>
      <c r="BC84" s="523"/>
      <c r="BD84" s="524"/>
      <c r="BE84" s="526" t="s">
        <v>30</v>
      </c>
      <c r="BF84" s="523"/>
      <c r="BG84" s="523"/>
      <c r="BH84" s="524"/>
      <c r="BI84" s="526" t="s">
        <v>30</v>
      </c>
      <c r="BJ84" s="523"/>
      <c r="BK84" s="523"/>
      <c r="BL84" s="524"/>
      <c r="BM84" s="526" t="s">
        <v>30</v>
      </c>
      <c r="BN84" s="523"/>
      <c r="BO84" s="523"/>
      <c r="BP84" s="524"/>
      <c r="BQ84" s="526" t="s">
        <v>30</v>
      </c>
      <c r="BR84" s="523"/>
      <c r="BS84" s="523"/>
      <c r="BT84" s="524"/>
      <c r="BU84" s="526" t="s">
        <v>30</v>
      </c>
      <c r="BV84" s="523"/>
      <c r="BW84" s="523"/>
      <c r="BX84" s="524"/>
      <c r="BY84" s="523"/>
      <c r="BZ84" s="523"/>
      <c r="CA84" s="523"/>
      <c r="CB84" s="524"/>
      <c r="CC84" s="526" t="s">
        <v>30</v>
      </c>
      <c r="CD84" s="523"/>
      <c r="CE84" s="524"/>
      <c r="CF84" s="523"/>
      <c r="CG84" s="523"/>
      <c r="CH84" s="523"/>
      <c r="CI84" s="524"/>
      <c r="CJ84" s="523"/>
      <c r="CK84" s="523"/>
      <c r="CL84" s="523"/>
      <c r="CM84" s="524"/>
    </row>
    <row r="85" spans="1:91" ht="13.5" customHeight="1">
      <c r="A85" s="22"/>
      <c r="B85" s="202">
        <v>25</v>
      </c>
      <c r="C85" s="308">
        <v>1</v>
      </c>
      <c r="D85" s="148" t="s">
        <v>207</v>
      </c>
      <c r="E85" s="149"/>
      <c r="F85" s="148" t="s">
        <v>149</v>
      </c>
      <c r="G85" s="149"/>
      <c r="H85" s="149"/>
      <c r="I85" s="151"/>
      <c r="J85" s="221"/>
      <c r="K85" s="222"/>
      <c r="L85" s="222"/>
      <c r="M85" s="222"/>
      <c r="N85" s="161"/>
      <c r="O85" s="162"/>
      <c r="P85" s="148"/>
      <c r="Q85" s="150"/>
      <c r="R85" s="150"/>
      <c r="S85" s="162"/>
      <c r="T85" s="119"/>
      <c r="U85" s="120"/>
      <c r="V85" s="120"/>
      <c r="W85" s="162"/>
      <c r="X85" s="1074">
        <f>SUMPRODUCT(X$80:AA$81,AO$80:AR$81)</f>
        <v>186994</v>
      </c>
      <c r="Y85" s="1075"/>
      <c r="Z85" s="1075"/>
      <c r="AA85" s="1076"/>
      <c r="AB85" s="1074">
        <f>SUMPRODUCT(X$80:AA$81,AB$80:AE$81)</f>
        <v>97297.297297297293</v>
      </c>
      <c r="AC85" s="1075"/>
      <c r="AD85" s="1075"/>
      <c r="AE85" s="1076"/>
      <c r="AF85" s="1103">
        <f>X$86-AB$86</f>
        <v>89696.702702702707</v>
      </c>
      <c r="AG85" s="1104"/>
      <c r="AH85" s="1104"/>
      <c r="AI85" s="1104"/>
      <c r="AJ85" s="1105"/>
      <c r="AK85" s="1077">
        <f>AF85/X85</f>
        <v>0.4796769024819123</v>
      </c>
      <c r="AL85" s="1078"/>
      <c r="AM85" s="1078"/>
      <c r="AN85" s="1079"/>
      <c r="AO85" s="1077">
        <f>AS85/AW85</f>
        <v>-1.8919202518363022E-2</v>
      </c>
      <c r="AP85" s="1078"/>
      <c r="AQ85" s="1078"/>
      <c r="AR85" s="1079"/>
      <c r="AS85" s="1133">
        <f>X$80*(AO$80-AK$80)+X$81*(AO$81-AK$81)</f>
        <v>-3605.9999999999923</v>
      </c>
      <c r="AT85" s="1134"/>
      <c r="AU85" s="1134"/>
      <c r="AV85" s="1135"/>
      <c r="AW85" s="1136">
        <f>SUMPRODUCT(X$80:AA$81,AK$80:AN$81)</f>
        <v>190600</v>
      </c>
      <c r="AX85" s="1137"/>
      <c r="AY85" s="1137"/>
      <c r="AZ85" s="1138"/>
      <c r="BA85" s="1074">
        <f>SUMPRODUCT(X$80:AA$81,BI$80:BL$81)</f>
        <v>205120</v>
      </c>
      <c r="BB85" s="1075"/>
      <c r="BC85" s="1075"/>
      <c r="BD85" s="1076"/>
      <c r="BE85" s="1092">
        <f>1-(AB$91+X$80*(AO$80*AQ$56+AS$80*$K$20)+X$81*(AO$81*AQ$57+AS$81*$K$20))/BA$91</f>
        <v>0.47049834871568497</v>
      </c>
      <c r="BF85" s="1093"/>
      <c r="BG85" s="1093"/>
      <c r="BH85" s="1094"/>
      <c r="BI85" s="149" t="s">
        <v>30</v>
      </c>
      <c r="BJ85" s="150"/>
      <c r="BK85" s="150"/>
      <c r="BL85" s="152"/>
      <c r="BM85" s="149" t="s">
        <v>30</v>
      </c>
      <c r="BN85" s="150"/>
      <c r="BO85" s="150"/>
      <c r="BP85" s="152"/>
      <c r="BQ85" s="149" t="s">
        <v>30</v>
      </c>
      <c r="BR85" s="150"/>
      <c r="BS85" s="150"/>
      <c r="BT85" s="152"/>
      <c r="BU85" s="149" t="s">
        <v>30</v>
      </c>
      <c r="BV85" s="150"/>
      <c r="BW85" s="150"/>
      <c r="BX85" s="152"/>
      <c r="BY85" s="149" t="s">
        <v>30</v>
      </c>
      <c r="BZ85" s="150"/>
      <c r="CA85" s="150"/>
      <c r="CB85" s="152"/>
      <c r="CC85" s="149" t="s">
        <v>30</v>
      </c>
      <c r="CD85" s="150"/>
      <c r="CE85" s="152"/>
      <c r="CF85" s="149" t="s">
        <v>30</v>
      </c>
      <c r="CG85" s="150"/>
      <c r="CH85" s="150"/>
      <c r="CI85" s="152"/>
      <c r="CJ85" s="149" t="s">
        <v>30</v>
      </c>
      <c r="CK85" s="150"/>
      <c r="CL85" s="150"/>
      <c r="CM85" s="152"/>
    </row>
    <row r="86" spans="1:91" ht="13.5" customHeight="1">
      <c r="A86" s="22"/>
      <c r="B86" s="202">
        <v>25</v>
      </c>
      <c r="C86" s="308">
        <v>2</v>
      </c>
      <c r="D86" s="148" t="s">
        <v>207</v>
      </c>
      <c r="E86" s="149"/>
      <c r="F86" s="148" t="s">
        <v>208</v>
      </c>
      <c r="G86" s="149"/>
      <c r="H86" s="149"/>
      <c r="I86" s="151"/>
      <c r="J86" s="221"/>
      <c r="K86" s="222"/>
      <c r="L86" s="222"/>
      <c r="M86" s="222"/>
      <c r="N86" s="161"/>
      <c r="O86" s="162"/>
      <c r="P86" s="148"/>
      <c r="Q86" s="150"/>
      <c r="R86" s="150"/>
      <c r="S86" s="162"/>
      <c r="T86" s="119"/>
      <c r="U86" s="120"/>
      <c r="V86" s="120"/>
      <c r="W86" s="162"/>
      <c r="X86" s="1074">
        <f>SUMPRODUCT(X$80:AA$81,AO$80:AR$81)</f>
        <v>186994</v>
      </c>
      <c r="Y86" s="1075"/>
      <c r="Z86" s="1075"/>
      <c r="AA86" s="1076"/>
      <c r="AB86" s="1074">
        <f>SUMPRODUCT(X$80:AA$81,AB$80:AE$81)</f>
        <v>97297.297297297293</v>
      </c>
      <c r="AC86" s="1075"/>
      <c r="AD86" s="1075"/>
      <c r="AE86" s="1076"/>
      <c r="AF86" s="1103">
        <f>X$86-AB$86</f>
        <v>89696.702702702707</v>
      </c>
      <c r="AG86" s="1104"/>
      <c r="AH86" s="1104"/>
      <c r="AI86" s="1104"/>
      <c r="AJ86" s="1105"/>
      <c r="AK86" s="1077">
        <f>AF86/X86</f>
        <v>0.4796769024819123</v>
      </c>
      <c r="AL86" s="1078"/>
      <c r="AM86" s="1078"/>
      <c r="AN86" s="1079"/>
      <c r="AO86" s="1077">
        <f>AS86/AW86</f>
        <v>-1.8919202518363022E-2</v>
      </c>
      <c r="AP86" s="1078"/>
      <c r="AQ86" s="1078"/>
      <c r="AR86" s="1079"/>
      <c r="AS86" s="1133">
        <f>X$80*(AO$80-AK$80)+X$81*(AO$81-AK$81)</f>
        <v>-3605.9999999999923</v>
      </c>
      <c r="AT86" s="1134"/>
      <c r="AU86" s="1134"/>
      <c r="AV86" s="1135"/>
      <c r="AW86" s="1136">
        <f>SUMPRODUCT(X$80:AA$81,AK$80:AN$81)</f>
        <v>190600</v>
      </c>
      <c r="AX86" s="1137"/>
      <c r="AY86" s="1137"/>
      <c r="AZ86" s="1138"/>
      <c r="BA86" s="1074">
        <f>SUMPRODUCT(X$80:AA$81,BI$80:BL$81)</f>
        <v>205120</v>
      </c>
      <c r="BB86" s="1075"/>
      <c r="BC86" s="1075"/>
      <c r="BD86" s="1076"/>
      <c r="BE86" s="1092">
        <f>1-(AB$91+X$80*(AO$80*AQ$56+AS$80*$K$20)+X$81*(AO$81*AQ$57+AS$81*$K$20))/BA$91</f>
        <v>0.47049834871568497</v>
      </c>
      <c r="BF86" s="1093"/>
      <c r="BG86" s="1093"/>
      <c r="BH86" s="1094"/>
      <c r="BI86" s="149" t="s">
        <v>30</v>
      </c>
      <c r="BJ86" s="150"/>
      <c r="BK86" s="150"/>
      <c r="BL86" s="152"/>
      <c r="BM86" s="149" t="s">
        <v>30</v>
      </c>
      <c r="BN86" s="150"/>
      <c r="BO86" s="150"/>
      <c r="BP86" s="152"/>
      <c r="BQ86" s="149" t="s">
        <v>30</v>
      </c>
      <c r="BR86" s="150"/>
      <c r="BS86" s="150"/>
      <c r="BT86" s="152"/>
      <c r="BU86" s="149" t="s">
        <v>30</v>
      </c>
      <c r="BV86" s="150"/>
      <c r="BW86" s="150"/>
      <c r="BX86" s="152"/>
      <c r="BY86" s="149" t="s">
        <v>30</v>
      </c>
      <c r="BZ86" s="150"/>
      <c r="CA86" s="150"/>
      <c r="CB86" s="152"/>
      <c r="CC86" s="149" t="s">
        <v>30</v>
      </c>
      <c r="CD86" s="150"/>
      <c r="CE86" s="152"/>
      <c r="CF86" s="149" t="s">
        <v>30</v>
      </c>
      <c r="CG86" s="150"/>
      <c r="CH86" s="150"/>
      <c r="CI86" s="152"/>
      <c r="CJ86" s="149" t="s">
        <v>30</v>
      </c>
      <c r="CK86" s="150"/>
      <c r="CL86" s="150"/>
      <c r="CM86" s="152"/>
    </row>
    <row r="87" spans="1:91" ht="13.5" customHeight="1">
      <c r="A87" s="22"/>
      <c r="B87" s="202">
        <v>20</v>
      </c>
      <c r="C87" s="337" t="s">
        <v>281</v>
      </c>
      <c r="D87" s="28"/>
      <c r="E87" s="28"/>
      <c r="F87" s="28"/>
      <c r="G87" s="28"/>
      <c r="H87" s="121"/>
      <c r="I87" s="62"/>
      <c r="J87" s="63"/>
      <c r="K87" s="62"/>
      <c r="L87" s="63"/>
      <c r="M87" s="69"/>
      <c r="N87" s="69"/>
      <c r="O87" s="65"/>
      <c r="P87" s="69"/>
      <c r="Q87" s="65"/>
      <c r="R87" s="69"/>
      <c r="S87" s="28"/>
      <c r="T87" s="28"/>
      <c r="U87" s="28"/>
      <c r="V87" s="28"/>
      <c r="W87" s="28"/>
      <c r="X87" s="121"/>
      <c r="Y87" s="62"/>
      <c r="Z87" s="63"/>
      <c r="AA87" s="62"/>
      <c r="AB87" s="63"/>
      <c r="AC87" s="69"/>
      <c r="AD87" s="69"/>
      <c r="AE87" s="65"/>
      <c r="AF87" s="69"/>
      <c r="AG87" s="65"/>
      <c r="AH87" s="69"/>
      <c r="AI87" s="64"/>
      <c r="AJ87" s="69"/>
      <c r="AK87" s="65"/>
      <c r="AL87" s="28"/>
      <c r="AM87" s="28"/>
      <c r="AN87" s="28"/>
      <c r="AO87" s="28"/>
      <c r="AP87" s="28"/>
      <c r="AQ87" s="28"/>
      <c r="AR87" s="28"/>
      <c r="AS87" s="28"/>
      <c r="AT87" s="28"/>
      <c r="AU87" s="28"/>
      <c r="AV87" s="233"/>
      <c r="AW87" s="28"/>
      <c r="AX87" s="28"/>
      <c r="AY87" s="31"/>
      <c r="AZ87" s="95"/>
      <c r="BA87" s="92"/>
      <c r="BB87" s="329"/>
      <c r="BC87" s="338"/>
      <c r="BD87" s="37"/>
      <c r="BE87" s="37"/>
    </row>
    <row r="88" spans="1:91" ht="13.5" customHeight="1">
      <c r="A88" s="22"/>
      <c r="B88" s="202">
        <v>24</v>
      </c>
      <c r="C88" s="304"/>
      <c r="D88" s="243"/>
      <c r="E88" s="244"/>
      <c r="F88" s="243" t="s">
        <v>297</v>
      </c>
      <c r="G88" s="244"/>
      <c r="H88" s="244"/>
      <c r="I88" s="245"/>
      <c r="J88" s="246" t="s">
        <v>30</v>
      </c>
      <c r="K88" s="247"/>
      <c r="L88" s="247"/>
      <c r="M88" s="247"/>
      <c r="N88" s="244"/>
      <c r="O88" s="245"/>
      <c r="P88" s="253" t="s">
        <v>30</v>
      </c>
      <c r="Q88" s="249"/>
      <c r="R88" s="249"/>
      <c r="S88" s="250"/>
      <c r="T88" s="243"/>
      <c r="U88" s="244"/>
      <c r="V88" s="244"/>
      <c r="W88" s="245"/>
      <c r="X88" s="249" t="s">
        <v>217</v>
      </c>
      <c r="Y88" s="244"/>
      <c r="Z88" s="244"/>
      <c r="AA88" s="244"/>
      <c r="AB88" s="248" t="s">
        <v>218</v>
      </c>
      <c r="AC88" s="244"/>
      <c r="AD88" s="244"/>
      <c r="AE88" s="244"/>
      <c r="AF88" s="248" t="s">
        <v>219</v>
      </c>
      <c r="AG88" s="249"/>
      <c r="AH88" s="249"/>
      <c r="AI88" s="249"/>
      <c r="AJ88" s="250"/>
      <c r="AK88" s="248" t="s">
        <v>220</v>
      </c>
      <c r="AL88" s="249"/>
      <c r="AM88" s="249"/>
      <c r="AN88" s="250"/>
      <c r="AO88" s="248" t="s">
        <v>221</v>
      </c>
      <c r="AP88" s="249"/>
      <c r="AQ88" s="249"/>
      <c r="AR88" s="250"/>
      <c r="AS88" s="248" t="s">
        <v>222</v>
      </c>
      <c r="AT88" s="249"/>
      <c r="AU88" s="249"/>
      <c r="AV88" s="249"/>
      <c r="AW88" s="248" t="s">
        <v>102</v>
      </c>
      <c r="AX88" s="249"/>
      <c r="AY88" s="249"/>
      <c r="AZ88" s="250"/>
      <c r="BA88" s="253" t="s">
        <v>223</v>
      </c>
      <c r="BB88" s="249"/>
      <c r="BC88" s="249"/>
      <c r="BD88" s="250"/>
      <c r="BE88" s="251" t="s">
        <v>224</v>
      </c>
      <c r="BF88" s="249"/>
      <c r="BG88" s="249"/>
      <c r="BH88" s="250"/>
      <c r="BI88" s="251" t="s">
        <v>30</v>
      </c>
      <c r="BJ88" s="249"/>
      <c r="BK88" s="249"/>
      <c r="BL88" s="250"/>
      <c r="BM88" s="251" t="s">
        <v>30</v>
      </c>
      <c r="BN88" s="249"/>
      <c r="BO88" s="249"/>
      <c r="BP88" s="250"/>
      <c r="BQ88" s="251" t="s">
        <v>30</v>
      </c>
      <c r="BR88" s="249"/>
      <c r="BS88" s="249"/>
      <c r="BT88" s="250"/>
      <c r="BU88" s="251" t="s">
        <v>30</v>
      </c>
      <c r="BV88" s="249"/>
      <c r="BW88" s="249"/>
      <c r="BX88" s="250"/>
      <c r="BY88" s="249"/>
      <c r="BZ88" s="249"/>
      <c r="CA88" s="249"/>
      <c r="CB88" s="250"/>
      <c r="CC88" s="251" t="s">
        <v>30</v>
      </c>
      <c r="CD88" s="249"/>
      <c r="CE88" s="250"/>
      <c r="CF88" s="249"/>
      <c r="CG88" s="249"/>
      <c r="CH88" s="249"/>
      <c r="CI88" s="250"/>
      <c r="CJ88" s="249"/>
      <c r="CK88" s="249"/>
      <c r="CL88" s="249"/>
      <c r="CM88" s="250"/>
    </row>
    <row r="89" spans="1:91" ht="13.5" customHeight="1">
      <c r="A89" s="22"/>
      <c r="B89" s="202">
        <v>24</v>
      </c>
      <c r="C89" s="461"/>
      <c r="D89" s="462"/>
      <c r="E89" s="463"/>
      <c r="F89" s="462"/>
      <c r="G89" s="463"/>
      <c r="H89" s="463"/>
      <c r="I89" s="464"/>
      <c r="J89" s="465"/>
      <c r="K89" s="466"/>
      <c r="L89" s="466"/>
      <c r="M89" s="466"/>
      <c r="N89" s="463"/>
      <c r="O89" s="464"/>
      <c r="P89" s="467"/>
      <c r="Q89" s="458"/>
      <c r="R89" s="458"/>
      <c r="S89" s="459"/>
      <c r="T89" s="462"/>
      <c r="U89" s="463"/>
      <c r="V89" s="463"/>
      <c r="W89" s="464"/>
      <c r="X89" s="458"/>
      <c r="Y89" s="463"/>
      <c r="Z89" s="463"/>
      <c r="AA89" s="463"/>
      <c r="AB89" s="467"/>
      <c r="AC89" s="463"/>
      <c r="AD89" s="463"/>
      <c r="AE89" s="463"/>
      <c r="AF89" s="467"/>
      <c r="AG89" s="458"/>
      <c r="AH89" s="458"/>
      <c r="AI89" s="458"/>
      <c r="AJ89" s="459"/>
      <c r="AK89" s="467"/>
      <c r="AL89" s="458"/>
      <c r="AM89" s="458"/>
      <c r="AN89" s="459"/>
      <c r="AO89" s="467"/>
      <c r="AP89" s="458"/>
      <c r="AQ89" s="458"/>
      <c r="AR89" s="459"/>
      <c r="AS89" s="467"/>
      <c r="AT89" s="458"/>
      <c r="AU89" s="458"/>
      <c r="AV89" s="458"/>
      <c r="AW89" s="467" t="s">
        <v>234</v>
      </c>
      <c r="AX89" s="458"/>
      <c r="AY89" s="458"/>
      <c r="AZ89" s="459"/>
      <c r="BA89" s="457" t="s">
        <v>30</v>
      </c>
      <c r="BB89" s="458"/>
      <c r="BC89" s="458"/>
      <c r="BD89" s="459"/>
      <c r="BE89" s="460" t="s">
        <v>30</v>
      </c>
      <c r="BF89" s="458"/>
      <c r="BG89" s="458"/>
      <c r="BH89" s="459"/>
      <c r="BI89" s="460" t="s">
        <v>30</v>
      </c>
      <c r="BJ89" s="458"/>
      <c r="BK89" s="458"/>
      <c r="BL89" s="459"/>
      <c r="BM89" s="460" t="s">
        <v>30</v>
      </c>
      <c r="BN89" s="458"/>
      <c r="BO89" s="458"/>
      <c r="BP89" s="459"/>
      <c r="BQ89" s="460" t="s">
        <v>30</v>
      </c>
      <c r="BR89" s="458"/>
      <c r="BS89" s="458"/>
      <c r="BT89" s="459"/>
      <c r="BU89" s="460" t="s">
        <v>30</v>
      </c>
      <c r="BV89" s="458"/>
      <c r="BW89" s="458"/>
      <c r="BX89" s="459"/>
      <c r="BY89" s="458"/>
      <c r="BZ89" s="458"/>
      <c r="CA89" s="458"/>
      <c r="CB89" s="459"/>
      <c r="CC89" s="460" t="s">
        <v>30</v>
      </c>
      <c r="CD89" s="458"/>
      <c r="CE89" s="459"/>
      <c r="CF89" s="458"/>
      <c r="CG89" s="458"/>
      <c r="CH89" s="458"/>
      <c r="CI89" s="459"/>
      <c r="CJ89" s="458"/>
      <c r="CK89" s="458"/>
      <c r="CL89" s="458"/>
      <c r="CM89" s="459"/>
    </row>
    <row r="90" spans="1:91" ht="13.5" customHeight="1">
      <c r="A90" s="22"/>
      <c r="B90" s="202">
        <v>25</v>
      </c>
      <c r="C90" s="308"/>
      <c r="D90" s="148"/>
      <c r="E90" s="149"/>
      <c r="F90" s="148" t="s">
        <v>149</v>
      </c>
      <c r="G90" s="149"/>
      <c r="H90" s="149"/>
      <c r="I90" s="151"/>
      <c r="J90" s="221"/>
      <c r="K90" s="222"/>
      <c r="L90" s="222"/>
      <c r="M90" s="222"/>
      <c r="N90" s="161"/>
      <c r="O90" s="162"/>
      <c r="P90" s="148"/>
      <c r="Q90" s="150"/>
      <c r="R90" s="150"/>
      <c r="S90" s="162"/>
      <c r="T90" s="119"/>
      <c r="U90" s="120"/>
      <c r="V90" s="120"/>
      <c r="W90" s="162"/>
      <c r="X90" s="1074">
        <f>SUMPRODUCT(X$80:AA$81,AO$80:AR$81)</f>
        <v>186994</v>
      </c>
      <c r="Y90" s="1075"/>
      <c r="Z90" s="1075"/>
      <c r="AA90" s="1076"/>
      <c r="AB90" s="1074">
        <f>SUMPRODUCT(X$80:AA$81,AB$80:AE$81)</f>
        <v>97297.297297297293</v>
      </c>
      <c r="AC90" s="1075"/>
      <c r="AD90" s="1075"/>
      <c r="AE90" s="1076"/>
      <c r="AF90" s="1103">
        <f>X$91-AB$91</f>
        <v>89696.702702702707</v>
      </c>
      <c r="AG90" s="1104"/>
      <c r="AH90" s="1104"/>
      <c r="AI90" s="1104"/>
      <c r="AJ90" s="1105"/>
      <c r="AK90" s="1077">
        <f>AF90/X90</f>
        <v>0.4796769024819123</v>
      </c>
      <c r="AL90" s="1078"/>
      <c r="AM90" s="1078"/>
      <c r="AN90" s="1079"/>
      <c r="AO90" s="1077">
        <f>AS90/AW90</f>
        <v>-1.8919202518363022E-2</v>
      </c>
      <c r="AP90" s="1078"/>
      <c r="AQ90" s="1078"/>
      <c r="AR90" s="1079"/>
      <c r="AS90" s="1133">
        <f>X$80*(AO$80-AK$80)+X$81*(AO$81-AK$81)</f>
        <v>-3605.9999999999923</v>
      </c>
      <c r="AT90" s="1134"/>
      <c r="AU90" s="1134"/>
      <c r="AV90" s="1135"/>
      <c r="AW90" s="1136">
        <f>SUMPRODUCT(X$80:AA$81,AK$80:AN$81)</f>
        <v>190600</v>
      </c>
      <c r="AX90" s="1137"/>
      <c r="AY90" s="1137"/>
      <c r="AZ90" s="1138"/>
      <c r="BA90" s="1074">
        <f>SUMPRODUCT(X$80:AA$81,BI$80:BL$81)</f>
        <v>205120</v>
      </c>
      <c r="BB90" s="1075"/>
      <c r="BC90" s="1075"/>
      <c r="BD90" s="1076"/>
      <c r="BE90" s="1092">
        <f>1-(AB$91+X$80*(AO$80*AQ$56+AS$80*$K$20)+X$81*(AO$81*AQ$57+AS$81*$K$20))/BA$91</f>
        <v>0.47049834871568497</v>
      </c>
      <c r="BF90" s="1093"/>
      <c r="BG90" s="1093"/>
      <c r="BH90" s="1094"/>
      <c r="BI90" s="149" t="s">
        <v>30</v>
      </c>
      <c r="BJ90" s="150"/>
      <c r="BK90" s="150"/>
      <c r="BL90" s="152"/>
      <c r="BM90" s="149" t="s">
        <v>30</v>
      </c>
      <c r="BN90" s="150"/>
      <c r="BO90" s="150"/>
      <c r="BP90" s="152"/>
      <c r="BQ90" s="149" t="s">
        <v>30</v>
      </c>
      <c r="BR90" s="150"/>
      <c r="BS90" s="150"/>
      <c r="BT90" s="152"/>
      <c r="BU90" s="149" t="s">
        <v>30</v>
      </c>
      <c r="BV90" s="150"/>
      <c r="BW90" s="150"/>
      <c r="BX90" s="152"/>
      <c r="BY90" s="149" t="s">
        <v>30</v>
      </c>
      <c r="BZ90" s="150"/>
      <c r="CA90" s="150"/>
      <c r="CB90" s="152"/>
      <c r="CC90" s="149" t="s">
        <v>30</v>
      </c>
      <c r="CD90" s="150"/>
      <c r="CE90" s="152"/>
      <c r="CF90" s="149" t="s">
        <v>30</v>
      </c>
      <c r="CG90" s="150"/>
      <c r="CH90" s="150"/>
      <c r="CI90" s="152"/>
      <c r="CJ90" s="149" t="s">
        <v>30</v>
      </c>
      <c r="CK90" s="150"/>
      <c r="CL90" s="150"/>
      <c r="CM90" s="152"/>
    </row>
    <row r="91" spans="1:91" ht="13.5" customHeight="1">
      <c r="A91" s="22"/>
      <c r="B91" s="202">
        <v>25</v>
      </c>
      <c r="C91" s="308"/>
      <c r="D91" s="148"/>
      <c r="E91" s="149"/>
      <c r="F91" s="148" t="s">
        <v>208</v>
      </c>
      <c r="G91" s="149"/>
      <c r="H91" s="149"/>
      <c r="I91" s="151"/>
      <c r="J91" s="221"/>
      <c r="K91" s="222"/>
      <c r="L91" s="222"/>
      <c r="M91" s="222"/>
      <c r="N91" s="161"/>
      <c r="O91" s="162"/>
      <c r="P91" s="148"/>
      <c r="Q91" s="150"/>
      <c r="R91" s="150"/>
      <c r="S91" s="162"/>
      <c r="T91" s="119"/>
      <c r="U91" s="120"/>
      <c r="V91" s="120"/>
      <c r="W91" s="162"/>
      <c r="X91" s="1074">
        <f>SUMPRODUCT(X$80:AA$81,AO$80:AR$81)</f>
        <v>186994</v>
      </c>
      <c r="Y91" s="1075"/>
      <c r="Z91" s="1075"/>
      <c r="AA91" s="1076"/>
      <c r="AB91" s="1074">
        <f>SUMPRODUCT(X$80:AA$81,AB$80:AE$81)</f>
        <v>97297.297297297293</v>
      </c>
      <c r="AC91" s="1075"/>
      <c r="AD91" s="1075"/>
      <c r="AE91" s="1076"/>
      <c r="AF91" s="1103">
        <f>X$91-AB$91</f>
        <v>89696.702702702707</v>
      </c>
      <c r="AG91" s="1104"/>
      <c r="AH91" s="1104"/>
      <c r="AI91" s="1104"/>
      <c r="AJ91" s="1105"/>
      <c r="AK91" s="1077">
        <f>AF91/X91</f>
        <v>0.4796769024819123</v>
      </c>
      <c r="AL91" s="1078"/>
      <c r="AM91" s="1078"/>
      <c r="AN91" s="1079"/>
      <c r="AO91" s="1077">
        <f>AS91/AW91</f>
        <v>-1.8919202518363022E-2</v>
      </c>
      <c r="AP91" s="1078"/>
      <c r="AQ91" s="1078"/>
      <c r="AR91" s="1079"/>
      <c r="AS91" s="1133">
        <f>X$80*(AO$80-AK$80)+X$81*(AO$81-AK$81)</f>
        <v>-3605.9999999999923</v>
      </c>
      <c r="AT91" s="1134"/>
      <c r="AU91" s="1134"/>
      <c r="AV91" s="1135"/>
      <c r="AW91" s="1136">
        <f>SUMPRODUCT(X$80:AA$81,AK$80:AN$81)</f>
        <v>190600</v>
      </c>
      <c r="AX91" s="1137"/>
      <c r="AY91" s="1137"/>
      <c r="AZ91" s="1138"/>
      <c r="BA91" s="1074">
        <f>SUMPRODUCT(X$80:AA$81,BI$80:BL$81)</f>
        <v>205120</v>
      </c>
      <c r="BB91" s="1075"/>
      <c r="BC91" s="1075"/>
      <c r="BD91" s="1076"/>
      <c r="BE91" s="1092">
        <f>1-(AB$91+X$80*(AO$80*AQ$56+AS$80*$K$20)+X$81*(AO$81*AQ$57+AS$81*$K$20))/BA$91</f>
        <v>0.47049834871568497</v>
      </c>
      <c r="BF91" s="1093"/>
      <c r="BG91" s="1093"/>
      <c r="BH91" s="1094"/>
      <c r="BI91" s="149" t="s">
        <v>30</v>
      </c>
      <c r="BJ91" s="150"/>
      <c r="BK91" s="150"/>
      <c r="BL91" s="152"/>
      <c r="BM91" s="149" t="s">
        <v>30</v>
      </c>
      <c r="BN91" s="150"/>
      <c r="BO91" s="150"/>
      <c r="BP91" s="152"/>
      <c r="BQ91" s="149" t="s">
        <v>30</v>
      </c>
      <c r="BR91" s="150"/>
      <c r="BS91" s="150"/>
      <c r="BT91" s="152"/>
      <c r="BU91" s="149" t="s">
        <v>30</v>
      </c>
      <c r="BV91" s="150"/>
      <c r="BW91" s="150"/>
      <c r="BX91" s="152"/>
      <c r="BY91" s="149" t="s">
        <v>30</v>
      </c>
      <c r="BZ91" s="150"/>
      <c r="CA91" s="150"/>
      <c r="CB91" s="152"/>
      <c r="CC91" s="149" t="s">
        <v>30</v>
      </c>
      <c r="CD91" s="150"/>
      <c r="CE91" s="152"/>
      <c r="CF91" s="149" t="s">
        <v>30</v>
      </c>
      <c r="CG91" s="150"/>
      <c r="CH91" s="150"/>
      <c r="CI91" s="152"/>
      <c r="CJ91" s="149" t="s">
        <v>30</v>
      </c>
      <c r="CK91" s="150"/>
      <c r="CL91" s="150"/>
      <c r="CM91" s="152"/>
    </row>
    <row r="92" spans="1:91" ht="13.5" customHeight="1">
      <c r="A92" s="22"/>
      <c r="B92" s="202">
        <v>28</v>
      </c>
      <c r="C92" s="341"/>
      <c r="D92" s="71"/>
      <c r="E92" s="71"/>
      <c r="F92" s="71"/>
      <c r="G92" s="71"/>
      <c r="H92" s="71"/>
      <c r="I92" s="71"/>
      <c r="J92" s="71"/>
      <c r="K92" s="68"/>
      <c r="L92" s="68"/>
      <c r="M92" s="68"/>
      <c r="N92" s="91"/>
      <c r="O92" s="68"/>
      <c r="P92" s="68"/>
      <c r="Q92" s="68"/>
      <c r="R92" s="68"/>
      <c r="S92" s="68"/>
      <c r="T92" s="68"/>
      <c r="U92" s="68"/>
      <c r="V92" s="68"/>
      <c r="W92" s="91"/>
      <c r="X92" s="68"/>
      <c r="Y92" s="68"/>
      <c r="Z92" s="68"/>
      <c r="AA92" s="68"/>
      <c r="AB92" s="68"/>
      <c r="AC92" s="68"/>
      <c r="AD92" s="68"/>
      <c r="AE92" s="68"/>
      <c r="AF92" s="68"/>
      <c r="AG92" s="68"/>
      <c r="AH92" s="68"/>
      <c r="AI92" s="68"/>
      <c r="AJ92" s="68"/>
      <c r="AK92" s="68"/>
      <c r="AL92" s="68"/>
      <c r="AM92" s="65"/>
      <c r="AN92" s="65"/>
      <c r="AO92" s="65"/>
      <c r="AP92" s="65"/>
      <c r="AQ92" s="65"/>
      <c r="AR92" s="65"/>
      <c r="AS92" s="65"/>
      <c r="AT92" s="35"/>
      <c r="AU92" s="65"/>
      <c r="AV92" s="65"/>
      <c r="AW92" s="65"/>
      <c r="AX92" s="65"/>
      <c r="AY92" s="65"/>
      <c r="AZ92" s="31"/>
      <c r="BA92" s="30"/>
      <c r="BB92" s="175"/>
      <c r="BC92" s="345"/>
      <c r="BD92" s="28"/>
      <c r="BG92" s="24"/>
      <c r="BH92" s="28"/>
    </row>
    <row r="93" spans="1:91" ht="13.5" customHeight="1">
      <c r="A93" s="22"/>
      <c r="B93" s="202">
        <v>29</v>
      </c>
      <c r="C93" s="342"/>
      <c r="D93" s="332"/>
      <c r="E93" s="65"/>
      <c r="F93" s="65"/>
      <c r="G93" s="65"/>
      <c r="H93" s="65"/>
      <c r="I93" s="65"/>
      <c r="J93" s="1100"/>
      <c r="K93" s="1101"/>
      <c r="L93" s="1101"/>
      <c r="M93" s="1101"/>
      <c r="N93"/>
      <c r="O93"/>
      <c r="P93"/>
      <c r="Q93"/>
      <c r="R93"/>
      <c r="S93"/>
      <c r="T93"/>
      <c r="U93"/>
      <c r="V93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198"/>
      <c r="AN93" s="198"/>
      <c r="AO93" s="198"/>
      <c r="AP93" s="198"/>
      <c r="AQ93" s="198"/>
      <c r="AR93" s="198"/>
      <c r="AS93" s="254"/>
      <c r="AT93" s="35"/>
      <c r="AU93" s="35"/>
      <c r="AV93" s="254"/>
      <c r="AW93" s="198"/>
      <c r="AX93" s="198"/>
      <c r="AY93" s="198"/>
      <c r="AZ93" s="31"/>
      <c r="BA93" s="30"/>
      <c r="BB93" s="175"/>
      <c r="BC93" s="345"/>
      <c r="BD93" s="28"/>
      <c r="BG93" s="24"/>
      <c r="BH93" s="28"/>
    </row>
    <row r="94" spans="1:91" ht="13.5" customHeight="1">
      <c r="A94" s="22"/>
      <c r="B94" s="202"/>
      <c r="C94" s="393" t="s">
        <v>175</v>
      </c>
      <c r="D94" s="28"/>
      <c r="E94" s="28"/>
      <c r="F94" s="28"/>
      <c r="G94" s="28"/>
      <c r="H94" s="24"/>
      <c r="I94" s="24"/>
      <c r="J94" s="24"/>
      <c r="K94" s="24"/>
      <c r="L94" s="24"/>
      <c r="M94" s="127"/>
      <c r="N94" s="75"/>
      <c r="O94" s="84"/>
      <c r="P94" s="84"/>
      <c r="Q94" s="85"/>
      <c r="R94" s="75"/>
      <c r="S94" s="75"/>
      <c r="T94" s="75"/>
      <c r="U94" s="84"/>
      <c r="V94" s="85"/>
      <c r="W94" s="75"/>
      <c r="X94" s="65"/>
      <c r="Y94" s="28"/>
      <c r="Z94" s="233" t="s">
        <v>73</v>
      </c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198"/>
      <c r="AN94" s="198"/>
      <c r="AO94" s="198"/>
      <c r="AP94" s="198"/>
      <c r="AQ94" s="198"/>
      <c r="AR94" s="198"/>
      <c r="AS94" s="254"/>
      <c r="AT94" s="35"/>
      <c r="AU94" s="35"/>
      <c r="AV94" s="254"/>
      <c r="AW94" s="198"/>
      <c r="AX94" s="198"/>
      <c r="AY94" s="198"/>
      <c r="AZ94" s="31"/>
      <c r="BA94" s="30"/>
      <c r="BB94" s="175"/>
      <c r="BC94" s="345"/>
      <c r="BD94" s="28"/>
      <c r="BG94" s="24"/>
      <c r="BH94" s="28"/>
    </row>
    <row r="95" spans="1:91" ht="13.5" customHeight="1">
      <c r="A95" s="22"/>
      <c r="B95" s="202"/>
      <c r="C95" s="402" t="s">
        <v>32</v>
      </c>
      <c r="D95" s="403" t="s">
        <v>176</v>
      </c>
      <c r="E95" s="404"/>
      <c r="F95" s="404"/>
      <c r="G95" s="405"/>
      <c r="H95" s="406" t="s">
        <v>177</v>
      </c>
      <c r="I95" s="407"/>
      <c r="J95" s="407"/>
      <c r="K95" s="407"/>
      <c r="L95" s="404"/>
      <c r="M95" s="405"/>
      <c r="N95" s="403" t="s">
        <v>178</v>
      </c>
      <c r="O95" s="404"/>
      <c r="P95" s="404"/>
      <c r="Q95" s="404"/>
      <c r="R95" s="404"/>
      <c r="S95" s="405"/>
      <c r="T95" s="403" t="s">
        <v>179</v>
      </c>
      <c r="U95" s="404"/>
      <c r="V95" s="404"/>
      <c r="W95" s="404"/>
      <c r="X95" s="404"/>
      <c r="Y95" s="404"/>
      <c r="Z95" s="408" t="s">
        <v>180</v>
      </c>
      <c r="AA95" s="409"/>
      <c r="AB95" s="409"/>
      <c r="AC95" s="410"/>
      <c r="AD95" s="65"/>
      <c r="AE95" s="65"/>
      <c r="AF95" s="65"/>
      <c r="AG95" s="65"/>
      <c r="AH95" s="65"/>
      <c r="AI95" s="65"/>
      <c r="AJ95" s="65"/>
      <c r="AK95" s="65"/>
      <c r="AL95" s="65"/>
      <c r="AM95" s="198"/>
      <c r="AN95" s="198"/>
      <c r="AO95" s="198"/>
      <c r="AP95" s="198"/>
      <c r="AQ95" s="198"/>
      <c r="AR95" s="198"/>
      <c r="AS95" s="254"/>
      <c r="AT95" s="35"/>
      <c r="AU95" s="35"/>
      <c r="AV95" s="254"/>
      <c r="AW95" s="198"/>
      <c r="AX95" s="198"/>
      <c r="AY95" s="198"/>
      <c r="AZ95" s="31"/>
      <c r="BA95" s="30"/>
      <c r="BB95" s="175"/>
      <c r="BC95" s="345"/>
      <c r="BD95" s="28"/>
      <c r="BG95" s="24"/>
      <c r="BH95" s="28"/>
    </row>
    <row r="96" spans="1:91" ht="13.5" customHeight="1">
      <c r="A96" s="22"/>
      <c r="B96" s="202"/>
      <c r="C96" s="419">
        <v>1</v>
      </c>
      <c r="D96" s="427" t="s">
        <v>263</v>
      </c>
      <c r="E96" s="428"/>
      <c r="F96" s="428"/>
      <c r="G96" s="429"/>
      <c r="H96" s="420" t="s">
        <v>193</v>
      </c>
      <c r="I96" s="117"/>
      <c r="J96" s="117"/>
      <c r="K96" s="117"/>
      <c r="L96" s="421"/>
      <c r="M96" s="422"/>
      <c r="N96" s="1149">
        <v>5000</v>
      </c>
      <c r="O96" s="1150"/>
      <c r="P96" s="1150"/>
      <c r="Q96" s="1150"/>
      <c r="R96" s="1150"/>
      <c r="S96" s="1151"/>
      <c r="T96" s="1149">
        <v>5000</v>
      </c>
      <c r="U96" s="1144"/>
      <c r="V96" s="1144"/>
      <c r="W96" s="1144"/>
      <c r="X96" s="1144"/>
      <c r="Y96" s="1145"/>
      <c r="Z96" s="1152">
        <v>10</v>
      </c>
      <c r="AA96" s="1153"/>
      <c r="AB96" s="1153"/>
      <c r="AC96" s="1154"/>
      <c r="AD96" s="65"/>
      <c r="AE96" s="65"/>
      <c r="AF96" s="65"/>
      <c r="AG96" s="65"/>
      <c r="AH96" s="65"/>
      <c r="AI96" s="65"/>
      <c r="AJ96" s="65"/>
      <c r="AK96" s="65"/>
      <c r="AL96" s="65"/>
      <c r="AM96" s="198"/>
      <c r="AN96" s="198"/>
      <c r="AO96" s="198"/>
      <c r="AP96" s="198"/>
      <c r="AQ96" s="198"/>
      <c r="AR96" s="198"/>
      <c r="AS96" s="254"/>
      <c r="AT96" s="35"/>
      <c r="AU96" s="35"/>
      <c r="AV96" s="254"/>
      <c r="AW96" s="198"/>
      <c r="AX96" s="198"/>
      <c r="AY96" s="198"/>
      <c r="AZ96" s="31"/>
      <c r="BA96" s="30"/>
      <c r="BB96" s="175"/>
      <c r="BC96" s="345"/>
      <c r="BD96" s="28"/>
      <c r="BG96" s="24"/>
      <c r="BH96" s="28"/>
    </row>
    <row r="97" spans="1:60" ht="13.5" customHeight="1">
      <c r="A97" s="22"/>
      <c r="B97" s="202"/>
      <c r="C97" s="419"/>
      <c r="D97" s="427"/>
      <c r="E97" s="428"/>
      <c r="F97" s="428"/>
      <c r="G97" s="429"/>
      <c r="H97" s="420"/>
      <c r="I97" s="117"/>
      <c r="J97" s="117"/>
      <c r="K97" s="117"/>
      <c r="L97" s="421"/>
      <c r="M97" s="422"/>
      <c r="N97" s="1149">
        <v>5000</v>
      </c>
      <c r="O97" s="1150"/>
      <c r="P97" s="1150"/>
      <c r="Q97" s="1150"/>
      <c r="R97" s="1150"/>
      <c r="S97" s="1151"/>
      <c r="T97" s="1149">
        <v>5000</v>
      </c>
      <c r="U97" s="1144"/>
      <c r="V97" s="1144"/>
      <c r="W97" s="1144"/>
      <c r="X97" s="1144"/>
      <c r="Y97" s="1145"/>
      <c r="Z97" s="1152"/>
      <c r="AA97" s="1153"/>
      <c r="AB97" s="1153"/>
      <c r="AC97" s="1154"/>
      <c r="AD97" s="65"/>
      <c r="AE97" s="65"/>
      <c r="AF97" s="65"/>
      <c r="AG97" s="65"/>
      <c r="AH97" s="65"/>
      <c r="AI97" s="65"/>
      <c r="AJ97" s="65"/>
      <c r="AK97" s="65"/>
      <c r="AL97" s="65"/>
      <c r="AM97" s="198"/>
      <c r="AN97" s="198"/>
      <c r="AO97" s="198"/>
      <c r="AP97" s="198"/>
      <c r="AQ97" s="198"/>
      <c r="AR97" s="198"/>
      <c r="AS97" s="254"/>
      <c r="AT97" s="35"/>
      <c r="AU97" s="35"/>
      <c r="AV97" s="254"/>
      <c r="AW97" s="198"/>
      <c r="AX97" s="198"/>
      <c r="AY97" s="198"/>
      <c r="AZ97" s="31"/>
      <c r="BA97" s="30"/>
      <c r="BB97" s="175"/>
      <c r="BC97" s="345"/>
      <c r="BD97" s="28"/>
      <c r="BG97" s="24"/>
      <c r="BH97" s="28"/>
    </row>
    <row r="98" spans="1:60" ht="13.5" customHeight="1">
      <c r="A98" s="22"/>
      <c r="B98" s="202"/>
      <c r="C98" s="430"/>
      <c r="D98" s="423"/>
      <c r="E98" s="423"/>
      <c r="F98" s="423"/>
      <c r="G98" s="424"/>
      <c r="H98" s="424"/>
      <c r="I98" s="424"/>
      <c r="J98" s="424"/>
      <c r="K98" s="424"/>
      <c r="L98" s="425"/>
      <c r="M98" s="425"/>
      <c r="N98" s="424"/>
      <c r="O98" s="424"/>
      <c r="P98" s="424"/>
      <c r="Q98" s="426"/>
      <c r="R98" s="1142"/>
      <c r="S98" s="1142"/>
      <c r="T98" s="1142"/>
      <c r="U98" s="1142"/>
      <c r="V98" s="423"/>
      <c r="W98" s="424"/>
      <c r="X98" s="424"/>
      <c r="Y98" s="426"/>
      <c r="Z98" s="65"/>
      <c r="AA98" s="65"/>
      <c r="AB98" s="65"/>
      <c r="AC98" s="65"/>
      <c r="AD98" s="65"/>
      <c r="AE98" s="65"/>
      <c r="AF98" s="65"/>
      <c r="AG98" s="65"/>
      <c r="AH98" s="65"/>
      <c r="AI98" s="65"/>
      <c r="AJ98" s="65"/>
      <c r="AK98" s="65"/>
      <c r="AL98" s="65"/>
      <c r="AM98" s="198"/>
      <c r="AN98" s="198"/>
      <c r="AO98" s="198"/>
      <c r="AP98" s="198"/>
      <c r="AQ98" s="198"/>
      <c r="AR98" s="198"/>
      <c r="AS98" s="254"/>
      <c r="AT98" s="35"/>
      <c r="AU98" s="35"/>
      <c r="AV98" s="254"/>
      <c r="AW98" s="198"/>
      <c r="AX98" s="198"/>
      <c r="AY98" s="198"/>
      <c r="AZ98" s="31"/>
      <c r="BA98" s="30"/>
      <c r="BB98" s="175"/>
      <c r="BC98" s="345"/>
      <c r="BD98" s="28"/>
      <c r="BG98" s="24"/>
      <c r="BH98" s="28"/>
    </row>
    <row r="99" spans="1:60" ht="13.5" customHeight="1">
      <c r="A99" s="22"/>
      <c r="B99" s="202"/>
      <c r="C99" s="393" t="s">
        <v>182</v>
      </c>
      <c r="D99" s="28"/>
      <c r="E99" s="28"/>
      <c r="F99" s="28"/>
      <c r="G99" s="28"/>
      <c r="H99" s="24"/>
      <c r="I99" s="24"/>
      <c r="J99" s="24"/>
      <c r="K99" s="24"/>
      <c r="L99" s="24"/>
      <c r="M99" s="127"/>
      <c r="N99" s="75"/>
      <c r="O99" s="84"/>
      <c r="P99" s="84"/>
      <c r="Q99" s="84"/>
      <c r="R99" s="84"/>
      <c r="S99" s="85"/>
      <c r="T99" s="75"/>
      <c r="U99" s="75"/>
      <c r="V99" s="75"/>
      <c r="W99" s="75"/>
      <c r="X99" s="75"/>
      <c r="Y99" s="84"/>
      <c r="Z99" s="233" t="s">
        <v>73</v>
      </c>
      <c r="AA99" s="75"/>
      <c r="AB99" s="65"/>
      <c r="AC99" s="28"/>
      <c r="AD99" s="65"/>
      <c r="AE99" s="65"/>
      <c r="AF99" s="65"/>
      <c r="AG99" s="65"/>
      <c r="AH99" s="65"/>
      <c r="AI99" s="65"/>
      <c r="AJ99" s="65"/>
      <c r="AK99" s="65"/>
      <c r="AL99" s="65"/>
      <c r="AM99" s="198"/>
      <c r="AN99" s="198"/>
      <c r="AO99" s="198"/>
      <c r="AP99" s="198"/>
      <c r="AQ99" s="198"/>
      <c r="AR99" s="198"/>
      <c r="AS99" s="254"/>
      <c r="AT99" s="35"/>
      <c r="AU99" s="35"/>
      <c r="AV99" s="254"/>
      <c r="AW99" s="198"/>
      <c r="AX99" s="198"/>
      <c r="AY99" s="198"/>
      <c r="AZ99" s="31"/>
      <c r="BA99" s="30"/>
      <c r="BB99" s="175"/>
      <c r="BC99" s="345"/>
      <c r="BD99" s="28"/>
      <c r="BG99" s="24"/>
      <c r="BH99" s="28"/>
    </row>
    <row r="100" spans="1:60" ht="13.5" customHeight="1">
      <c r="A100" s="22"/>
      <c r="B100" s="202"/>
      <c r="C100" s="402" t="s">
        <v>32</v>
      </c>
      <c r="D100" s="403" t="s">
        <v>176</v>
      </c>
      <c r="E100" s="412"/>
      <c r="F100" s="412"/>
      <c r="G100" s="413"/>
      <c r="H100" s="414" t="s">
        <v>187</v>
      </c>
      <c r="I100" s="415"/>
      <c r="J100" s="415"/>
      <c r="K100" s="415"/>
      <c r="L100" s="412"/>
      <c r="M100" s="413"/>
      <c r="N100" s="411" t="s">
        <v>188</v>
      </c>
      <c r="O100" s="412"/>
      <c r="P100" s="412"/>
      <c r="Q100" s="412"/>
      <c r="R100" s="412"/>
      <c r="S100" s="413"/>
      <c r="T100" s="411" t="s">
        <v>189</v>
      </c>
      <c r="U100" s="412"/>
      <c r="V100" s="412"/>
      <c r="W100" s="412"/>
      <c r="X100" s="412"/>
      <c r="Y100" s="412"/>
      <c r="Z100" s="416" t="s">
        <v>180</v>
      </c>
      <c r="AA100" s="417"/>
      <c r="AB100" s="417"/>
      <c r="AC100" s="418"/>
      <c r="AD100" s="65"/>
      <c r="AE100" s="65"/>
      <c r="AF100" s="65"/>
      <c r="AG100" s="65"/>
      <c r="AH100" s="65"/>
      <c r="AI100" s="65"/>
      <c r="AJ100" s="65"/>
      <c r="AK100" s="65"/>
      <c r="AL100" s="65"/>
      <c r="AM100" s="198"/>
      <c r="AN100" s="198"/>
      <c r="AO100" s="198"/>
      <c r="AP100" s="198"/>
      <c r="AQ100" s="198"/>
      <c r="AR100" s="198"/>
      <c r="AS100" s="254"/>
      <c r="AT100" s="35"/>
      <c r="AU100" s="35"/>
      <c r="AV100" s="254"/>
      <c r="AW100" s="198"/>
      <c r="AX100" s="198"/>
      <c r="AY100" s="198"/>
      <c r="AZ100" s="31"/>
      <c r="BA100" s="30"/>
      <c r="BB100" s="175"/>
      <c r="BC100" s="345"/>
      <c r="BD100" s="28"/>
      <c r="BG100" s="24"/>
      <c r="BH100" s="28"/>
    </row>
    <row r="101" spans="1:60" ht="13.5" customHeight="1">
      <c r="A101" s="22"/>
      <c r="B101" s="202"/>
      <c r="C101" s="308">
        <v>1</v>
      </c>
      <c r="D101" s="427" t="s">
        <v>263</v>
      </c>
      <c r="E101" s="428"/>
      <c r="F101" s="428"/>
      <c r="G101" s="429"/>
      <c r="H101" s="242" t="s">
        <v>30</v>
      </c>
      <c r="I101" s="150"/>
      <c r="J101" s="150"/>
      <c r="K101" s="150"/>
      <c r="L101" s="161"/>
      <c r="M101" s="162"/>
      <c r="N101" s="1143">
        <v>5000</v>
      </c>
      <c r="O101" s="1144"/>
      <c r="P101" s="1144"/>
      <c r="Q101" s="1144"/>
      <c r="R101" s="1144"/>
      <c r="S101" s="1145"/>
      <c r="T101" s="1143">
        <v>5000</v>
      </c>
      <c r="U101" s="1144"/>
      <c r="V101" s="1144"/>
      <c r="W101" s="1144"/>
      <c r="X101" s="1144"/>
      <c r="Y101" s="1145"/>
      <c r="Z101" s="1146">
        <v>10</v>
      </c>
      <c r="AA101" s="1147"/>
      <c r="AB101" s="1147"/>
      <c r="AC101" s="1148"/>
      <c r="AD101" s="65"/>
      <c r="AE101" s="65"/>
      <c r="AF101" s="65"/>
      <c r="AG101" s="65"/>
      <c r="AH101" s="65"/>
      <c r="AI101" s="65"/>
      <c r="AJ101" s="65"/>
      <c r="AK101" s="65"/>
      <c r="AL101" s="65"/>
      <c r="AM101" s="198"/>
      <c r="AN101" s="198"/>
      <c r="AO101" s="198"/>
      <c r="AP101" s="198"/>
      <c r="AQ101" s="198"/>
      <c r="AR101" s="198"/>
      <c r="AS101" s="254"/>
      <c r="AT101" s="35"/>
      <c r="AU101" s="35"/>
      <c r="AV101" s="254"/>
      <c r="AW101" s="198"/>
      <c r="AX101" s="198"/>
      <c r="AY101" s="198"/>
      <c r="AZ101" s="31"/>
      <c r="BA101" s="30"/>
      <c r="BB101" s="175"/>
      <c r="BC101" s="345"/>
      <c r="BD101" s="28"/>
      <c r="BG101" s="24"/>
      <c r="BH101" s="28"/>
    </row>
    <row r="102" spans="1:60" ht="13.5" customHeight="1">
      <c r="A102" s="22"/>
      <c r="B102" s="202"/>
      <c r="C102" s="308"/>
      <c r="D102" s="427"/>
      <c r="E102" s="428"/>
      <c r="F102" s="428"/>
      <c r="G102" s="429"/>
      <c r="H102" s="242" t="s">
        <v>30</v>
      </c>
      <c r="I102" s="150"/>
      <c r="J102" s="150"/>
      <c r="K102" s="150"/>
      <c r="L102" s="161"/>
      <c r="M102" s="162"/>
      <c r="N102" s="1143">
        <v>5000</v>
      </c>
      <c r="O102" s="1144"/>
      <c r="P102" s="1144"/>
      <c r="Q102" s="1144"/>
      <c r="R102" s="1144"/>
      <c r="S102" s="1145"/>
      <c r="T102" s="1143">
        <v>5000</v>
      </c>
      <c r="U102" s="1144"/>
      <c r="V102" s="1144"/>
      <c r="W102" s="1144"/>
      <c r="X102" s="1144"/>
      <c r="Y102" s="1145"/>
      <c r="Z102" s="1146"/>
      <c r="AA102" s="1147"/>
      <c r="AB102" s="1147"/>
      <c r="AC102" s="1148"/>
      <c r="AD102" s="65"/>
      <c r="AE102" s="65"/>
      <c r="AF102" s="65"/>
      <c r="AG102" s="65"/>
      <c r="AH102" s="65"/>
      <c r="AI102" s="65"/>
      <c r="AJ102" s="65"/>
      <c r="AK102" s="65"/>
      <c r="AL102" s="65"/>
      <c r="AM102" s="198"/>
      <c r="AN102" s="198"/>
      <c r="AO102" s="198"/>
      <c r="AP102" s="198"/>
      <c r="AQ102" s="198"/>
      <c r="AR102" s="198"/>
      <c r="AS102" s="254"/>
      <c r="AT102" s="35"/>
      <c r="AU102" s="35"/>
      <c r="AV102" s="254"/>
      <c r="AW102" s="198"/>
      <c r="AX102" s="198"/>
      <c r="AY102" s="198"/>
      <c r="AZ102" s="31"/>
      <c r="BA102" s="30"/>
      <c r="BB102" s="175"/>
      <c r="BC102" s="345"/>
      <c r="BD102" s="28"/>
      <c r="BG102" s="24"/>
      <c r="BH102" s="28"/>
    </row>
    <row r="103" spans="1:60" ht="13.5" customHeight="1">
      <c r="A103" s="22"/>
      <c r="B103" s="202"/>
      <c r="C103" s="342"/>
      <c r="D103" s="332"/>
      <c r="E103" s="65"/>
      <c r="F103" s="65"/>
      <c r="G103" s="65"/>
      <c r="H103" s="65"/>
      <c r="I103" s="65"/>
      <c r="J103" s="333"/>
      <c r="K103" s="334"/>
      <c r="L103" s="334"/>
      <c r="M103" s="334"/>
      <c r="N103"/>
      <c r="O103"/>
      <c r="P103"/>
      <c r="Q103"/>
      <c r="R103"/>
      <c r="S103"/>
      <c r="T103"/>
      <c r="U103"/>
      <c r="V103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W103" s="198"/>
      <c r="AX103" s="198"/>
      <c r="AY103" s="198"/>
      <c r="AZ103" s="31"/>
      <c r="BA103" s="30"/>
      <c r="BB103" s="175"/>
      <c r="BC103" s="345"/>
      <c r="BD103" s="28"/>
      <c r="BG103" s="24"/>
      <c r="BH103" s="28"/>
    </row>
    <row r="104" spans="1:60" ht="13.5" customHeight="1">
      <c r="A104" s="22"/>
      <c r="B104" s="202"/>
      <c r="C104" s="282" t="s">
        <v>194</v>
      </c>
      <c r="D104" s="28"/>
      <c r="E104" s="28"/>
      <c r="F104" s="28"/>
      <c r="H104" s="58"/>
      <c r="I104" s="59"/>
      <c r="J104" s="59"/>
      <c r="K104" s="59"/>
      <c r="L104" s="60"/>
      <c r="M104" s="59"/>
      <c r="N104" s="61"/>
      <c r="O104" s="61"/>
      <c r="P104" s="70"/>
      <c r="Q104" s="64"/>
      <c r="R104"/>
      <c r="S104"/>
      <c r="T104"/>
      <c r="U104"/>
      <c r="V104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W104" s="198"/>
      <c r="AX104" s="198"/>
      <c r="AY104" s="198"/>
      <c r="AZ104" s="31"/>
      <c r="BA104" s="30"/>
      <c r="BB104" s="175"/>
      <c r="BC104" s="345"/>
      <c r="BD104" s="28"/>
      <c r="BG104" s="24"/>
      <c r="BH104" s="28"/>
    </row>
    <row r="105" spans="1:60" ht="13.5" customHeight="1">
      <c r="A105" s="22"/>
      <c r="B105" s="202"/>
      <c r="C105" s="282" t="s">
        <v>195</v>
      </c>
      <c r="D105" s="28"/>
      <c r="E105" s="28"/>
      <c r="F105" s="28"/>
      <c r="H105" s="58"/>
      <c r="I105" s="59"/>
      <c r="J105" s="59"/>
      <c r="K105" s="59"/>
      <c r="L105" s="60"/>
      <c r="M105" s="59"/>
      <c r="N105" s="61"/>
      <c r="O105" s="61"/>
      <c r="P105" s="70"/>
      <c r="Q105"/>
      <c r="R105" s="488" t="s">
        <v>197</v>
      </c>
      <c r="S105" s="488"/>
      <c r="T105"/>
      <c r="U105"/>
      <c r="V105"/>
      <c r="W105" s="65"/>
      <c r="X105" s="65"/>
      <c r="Y105" s="65"/>
      <c r="Z105" s="65"/>
      <c r="AA105" s="65"/>
      <c r="AB105" s="65"/>
      <c r="AC105" s="65"/>
      <c r="AD105" s="65"/>
      <c r="AE105" s="65"/>
      <c r="AF105" s="65"/>
      <c r="AG105" s="65"/>
      <c r="AH105" s="65"/>
      <c r="AI105" s="65"/>
      <c r="AJ105" s="65"/>
      <c r="AK105" s="65"/>
      <c r="AL105" s="65"/>
      <c r="AW105" s="198"/>
      <c r="AX105" s="198"/>
      <c r="AY105" s="198"/>
      <c r="AZ105" s="31"/>
      <c r="BA105" s="30"/>
      <c r="BB105" s="175"/>
      <c r="BC105" s="345"/>
      <c r="BD105" s="28"/>
      <c r="BG105" s="24"/>
      <c r="BH105" s="28"/>
    </row>
    <row r="106" spans="1:60" ht="13.5" customHeight="1">
      <c r="A106" s="22"/>
      <c r="B106" s="202"/>
      <c r="C106" s="282" t="s">
        <v>196</v>
      </c>
      <c r="D106" s="28"/>
      <c r="E106" s="28"/>
      <c r="F106" s="28"/>
      <c r="H106" s="516" t="s">
        <v>285</v>
      </c>
      <c r="I106" s="59"/>
      <c r="J106" s="59"/>
      <c r="K106" s="59"/>
      <c r="L106" s="60"/>
      <c r="M106" s="59"/>
      <c r="N106" s="61"/>
      <c r="O106" s="61"/>
      <c r="P106" s="99" t="s">
        <v>33</v>
      </c>
      <c r="Q106"/>
      <c r="R106"/>
      <c r="S106"/>
      <c r="T106"/>
      <c r="U106"/>
      <c r="V106"/>
      <c r="W106" s="65"/>
      <c r="X106" s="65"/>
      <c r="Y106" s="65"/>
      <c r="Z106" s="65"/>
      <c r="AA106" s="65"/>
      <c r="AB106" s="65"/>
      <c r="AC106" s="65"/>
      <c r="AD106" s="65"/>
      <c r="AE106" s="65"/>
      <c r="AF106" s="65"/>
      <c r="AG106" s="65"/>
      <c r="AH106" s="65"/>
      <c r="AI106" s="65"/>
      <c r="AJ106" s="65"/>
      <c r="AK106" s="65"/>
      <c r="AL106" s="65"/>
      <c r="AW106" s="198"/>
      <c r="AX106" s="198"/>
      <c r="AY106" s="198"/>
      <c r="AZ106" s="31"/>
      <c r="BA106" s="30"/>
      <c r="BB106" s="175"/>
      <c r="BC106" s="345"/>
      <c r="BD106" s="28"/>
      <c r="BG106" s="24"/>
      <c r="BH106" s="28"/>
    </row>
    <row r="107" spans="1:60" ht="13.5" customHeight="1">
      <c r="A107" s="22"/>
      <c r="B107" s="202"/>
      <c r="C107" s="282"/>
      <c r="D107" s="28"/>
      <c r="E107" s="28"/>
      <c r="F107" s="28"/>
      <c r="H107" s="62"/>
      <c r="I107" s="63"/>
      <c r="J107" s="63"/>
      <c r="K107" s="63"/>
      <c r="L107" s="64"/>
      <c r="M107" s="63"/>
      <c r="N107" s="65"/>
      <c r="O107" s="65"/>
      <c r="P107" s="82"/>
      <c r="Q107"/>
      <c r="R107"/>
      <c r="S107"/>
      <c r="T107"/>
      <c r="U107"/>
      <c r="V107"/>
      <c r="W107" s="65"/>
      <c r="X107" s="65"/>
      <c r="Y107" s="65"/>
      <c r="Z107" s="65"/>
      <c r="AA107" s="65"/>
      <c r="AB107" s="65"/>
      <c r="AC107" s="65"/>
      <c r="AD107" s="65"/>
      <c r="AE107" s="65"/>
      <c r="AF107" s="65"/>
      <c r="AG107" s="65"/>
      <c r="AH107" s="65"/>
      <c r="AI107" s="65"/>
      <c r="AJ107" s="65"/>
      <c r="AK107" s="65"/>
      <c r="AL107" s="65"/>
      <c r="AW107" s="198"/>
      <c r="AX107" s="198"/>
      <c r="AY107" s="198"/>
      <c r="AZ107" s="31"/>
      <c r="BA107" s="30"/>
      <c r="BB107" s="175"/>
      <c r="BC107" s="345"/>
      <c r="BD107" s="28"/>
      <c r="BG107" s="24"/>
      <c r="BH107" s="28"/>
    </row>
    <row r="108" spans="1:60" ht="13.5" customHeight="1">
      <c r="A108" s="22"/>
      <c r="B108" s="202"/>
      <c r="C108" s="282" t="s">
        <v>286</v>
      </c>
      <c r="D108" s="28"/>
      <c r="E108" s="28"/>
      <c r="F108" s="28"/>
      <c r="H108" s="163"/>
      <c r="I108" s="164"/>
      <c r="J108" s="165"/>
      <c r="K108" s="164"/>
      <c r="L108" s="165"/>
      <c r="M108" s="164"/>
      <c r="N108" s="166"/>
      <c r="O108" s="164"/>
      <c r="P108" s="165"/>
      <c r="Q108" s="165"/>
      <c r="R108" s="165"/>
      <c r="S108" s="167"/>
      <c r="T108" s="167"/>
      <c r="U108" s="167"/>
      <c r="V108" s="167"/>
      <c r="W108" s="167"/>
      <c r="X108" s="166"/>
      <c r="Y108" s="167"/>
      <c r="Z108" s="165"/>
      <c r="AA108" s="166"/>
      <c r="AB108" s="167"/>
      <c r="AC108" s="165"/>
      <c r="AD108" s="166"/>
      <c r="AE108" s="165"/>
      <c r="AF108" s="165"/>
      <c r="AG108" s="166"/>
      <c r="AH108" s="165"/>
      <c r="AI108" s="165"/>
      <c r="AJ108" s="168"/>
      <c r="AK108" s="165"/>
      <c r="AL108" s="165"/>
      <c r="AM108" s="165"/>
      <c r="AN108" s="165"/>
      <c r="AO108" s="165"/>
      <c r="AP108" s="165"/>
      <c r="AQ108" s="165"/>
      <c r="AR108" s="165"/>
      <c r="AS108" s="165"/>
      <c r="AT108" s="165"/>
      <c r="AU108" s="165"/>
      <c r="AV108" s="165"/>
      <c r="AW108" s="165"/>
      <c r="AX108" s="160" t="s">
        <v>37</v>
      </c>
      <c r="AY108" s="198"/>
      <c r="AZ108" s="31"/>
      <c r="BA108" s="30"/>
      <c r="BB108" s="175"/>
      <c r="BC108" s="345"/>
      <c r="BD108" s="28"/>
      <c r="BG108" s="24"/>
      <c r="BH108" s="28"/>
    </row>
    <row r="109" spans="1:60" ht="13.5" customHeight="1">
      <c r="A109" s="22"/>
      <c r="B109" s="202"/>
      <c r="C109" s="282"/>
      <c r="D109" s="28"/>
      <c r="E109" s="28"/>
      <c r="F109" s="28"/>
      <c r="H109" s="169"/>
      <c r="I109" s="170"/>
      <c r="J109" s="171"/>
      <c r="K109" s="170"/>
      <c r="L109" s="171"/>
      <c r="M109" s="170"/>
      <c r="N109" s="172"/>
      <c r="O109" s="170"/>
      <c r="P109" s="171"/>
      <c r="Q109" s="171"/>
      <c r="R109" s="171"/>
      <c r="S109" s="173"/>
      <c r="T109" s="173"/>
      <c r="U109" s="173"/>
      <c r="V109" s="173"/>
      <c r="W109" s="173"/>
      <c r="X109" s="172"/>
      <c r="Y109" s="173"/>
      <c r="Z109" s="171"/>
      <c r="AA109" s="172"/>
      <c r="AB109" s="173"/>
      <c r="AC109" s="171"/>
      <c r="AD109" s="172"/>
      <c r="AE109" s="171"/>
      <c r="AF109" s="171"/>
      <c r="AG109" s="172"/>
      <c r="AH109" s="171"/>
      <c r="AI109" s="171"/>
      <c r="AJ109" s="174"/>
      <c r="AK109" s="171"/>
      <c r="AL109" s="171"/>
      <c r="AM109" s="171"/>
      <c r="AN109" s="171"/>
      <c r="AO109" s="171"/>
      <c r="AP109" s="171"/>
      <c r="AQ109" s="171"/>
      <c r="AR109" s="171"/>
      <c r="AS109" s="171"/>
      <c r="AT109" s="171"/>
      <c r="AU109" s="171"/>
      <c r="AV109" s="171"/>
      <c r="AW109" s="171"/>
      <c r="AX109" s="122" t="s">
        <v>33</v>
      </c>
      <c r="AY109" s="198"/>
      <c r="AZ109" s="31"/>
      <c r="BA109" s="30"/>
      <c r="BB109" s="175"/>
      <c r="BC109" s="345"/>
      <c r="BD109" s="28"/>
      <c r="BG109" s="24"/>
      <c r="BH109" s="28"/>
    </row>
    <row r="110" spans="1:60" ht="13.5" customHeight="1">
      <c r="A110" s="22"/>
      <c r="B110" s="202"/>
      <c r="C110" s="282"/>
      <c r="D110" s="28"/>
      <c r="E110" s="28"/>
      <c r="F110" s="28"/>
      <c r="H110" s="62"/>
      <c r="I110" s="63"/>
      <c r="J110" s="63"/>
      <c r="K110" s="63"/>
      <c r="L110" s="64"/>
      <c r="M110" s="63"/>
      <c r="N110" s="65"/>
      <c r="O110" s="65"/>
      <c r="P110" s="82"/>
      <c r="Q110"/>
      <c r="R110"/>
      <c r="S110"/>
      <c r="T110"/>
      <c r="U110"/>
      <c r="V110"/>
      <c r="W110" s="65"/>
      <c r="X110" s="65"/>
      <c r="Y110" s="65"/>
      <c r="Z110" s="65"/>
      <c r="AA110" s="65"/>
      <c r="AB110" s="65"/>
      <c r="AC110" s="65"/>
      <c r="AD110" s="65"/>
      <c r="AE110" s="65"/>
      <c r="AF110" s="65"/>
      <c r="AG110" s="65"/>
      <c r="AH110" s="65"/>
      <c r="AI110" s="65"/>
      <c r="AJ110" s="65"/>
      <c r="AK110" s="65"/>
      <c r="AL110" s="65"/>
      <c r="AW110" s="198"/>
      <c r="AX110" s="198"/>
      <c r="AY110" s="198"/>
      <c r="AZ110" s="31"/>
      <c r="BA110" s="30"/>
      <c r="BB110" s="175"/>
      <c r="BC110" s="345"/>
      <c r="BD110" s="28"/>
      <c r="BG110" s="24"/>
      <c r="BH110" s="28"/>
    </row>
    <row r="111" spans="1:60" ht="13.5" customHeight="1">
      <c r="A111" s="22"/>
      <c r="B111" s="202"/>
      <c r="C111" s="342"/>
      <c r="D111" s="332"/>
      <c r="E111" s="65"/>
      <c r="F111" s="65"/>
      <c r="G111" s="65"/>
      <c r="H111" s="65"/>
      <c r="I111" s="65"/>
      <c r="J111" s="333"/>
      <c r="K111" s="334"/>
      <c r="L111" s="334"/>
      <c r="M111" s="334"/>
      <c r="N111"/>
      <c r="O111"/>
      <c r="P111"/>
      <c r="Q111"/>
      <c r="R111"/>
      <c r="S111"/>
      <c r="T111"/>
      <c r="U111"/>
      <c r="V111"/>
      <c r="W111" s="65"/>
      <c r="X111" s="65"/>
      <c r="Y111" s="65"/>
      <c r="Z111" s="65"/>
      <c r="AA111" s="65"/>
      <c r="AB111" s="65"/>
      <c r="AC111" s="65"/>
      <c r="AD111" s="65"/>
      <c r="AE111" s="65"/>
      <c r="AF111" s="65"/>
      <c r="AG111" s="65"/>
      <c r="AH111" s="65"/>
      <c r="AI111" s="65"/>
      <c r="AJ111" s="65"/>
      <c r="AK111" s="65"/>
      <c r="AL111" s="65"/>
      <c r="AM111" s="198"/>
      <c r="AN111" s="198"/>
      <c r="AO111" s="198"/>
      <c r="AP111" s="198"/>
      <c r="AQ111" s="198"/>
      <c r="AR111" s="198"/>
      <c r="AS111" s="254"/>
      <c r="AT111" s="35"/>
      <c r="AU111" s="35"/>
      <c r="AV111" s="254"/>
      <c r="AW111" s="198"/>
      <c r="AX111" s="198"/>
      <c r="AY111" s="198"/>
      <c r="AZ111" s="31"/>
      <c r="BA111" s="30"/>
      <c r="BB111" s="175"/>
      <c r="BC111" s="345"/>
      <c r="BD111" s="28"/>
      <c r="BG111" s="24"/>
      <c r="BH111" s="28"/>
    </row>
    <row r="112" spans="1:60" ht="13.5" customHeight="1">
      <c r="A112" s="22"/>
      <c r="B112" s="202"/>
      <c r="C112" s="342"/>
      <c r="D112" s="332"/>
      <c r="E112" s="65"/>
      <c r="F112" s="65"/>
      <c r="G112" s="65"/>
      <c r="H112" s="65"/>
      <c r="I112" s="65"/>
      <c r="J112" s="333"/>
      <c r="K112" s="334"/>
      <c r="L112" s="334"/>
      <c r="M112" s="334"/>
      <c r="N112"/>
      <c r="O112"/>
      <c r="P112"/>
      <c r="Q112"/>
      <c r="R112"/>
      <c r="S112"/>
      <c r="T112"/>
      <c r="U112"/>
      <c r="V112"/>
      <c r="W112" s="65"/>
      <c r="X112" s="65"/>
      <c r="Y112" s="65"/>
      <c r="Z112" s="65"/>
      <c r="AA112" s="65"/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198"/>
      <c r="AN112" s="198"/>
      <c r="AO112" s="198"/>
      <c r="AP112" s="198"/>
      <c r="AQ112" s="198"/>
      <c r="AR112" s="198"/>
      <c r="AS112" s="254"/>
      <c r="AT112" s="35"/>
      <c r="AU112" s="35"/>
      <c r="AV112" s="254"/>
      <c r="AW112" s="198"/>
      <c r="AX112" s="198"/>
      <c r="AY112" s="198"/>
      <c r="AZ112" s="31"/>
      <c r="BA112" s="30"/>
      <c r="BB112" s="175"/>
      <c r="BC112" s="345"/>
      <c r="BD112" s="28"/>
      <c r="BG112" s="24"/>
      <c r="BH112" s="28"/>
    </row>
    <row r="113" spans="1:60" ht="5.0999999999999996" customHeight="1">
      <c r="A113" s="22"/>
      <c r="B113" s="202"/>
      <c r="C113" s="315"/>
      <c r="D113" s="73"/>
      <c r="E113" s="73"/>
      <c r="F113" s="73"/>
      <c r="G113" s="73"/>
      <c r="H113" s="316"/>
      <c r="I113" s="275"/>
      <c r="J113" s="273"/>
      <c r="K113" s="275"/>
      <c r="L113" s="273"/>
      <c r="M113" s="317"/>
      <c r="N113" s="317"/>
      <c r="O113" s="270"/>
      <c r="P113" s="317"/>
      <c r="Q113" s="270"/>
      <c r="R113" s="317"/>
      <c r="S113" s="73"/>
      <c r="T113" s="73"/>
      <c r="U113" s="73"/>
      <c r="V113" s="73"/>
      <c r="W113" s="73"/>
      <c r="X113" s="316"/>
      <c r="Y113" s="275"/>
      <c r="Z113" s="273"/>
      <c r="AA113" s="275"/>
      <c r="AB113" s="273"/>
      <c r="AC113" s="317"/>
      <c r="AD113" s="317"/>
      <c r="AE113" s="270"/>
      <c r="AF113" s="317"/>
      <c r="AG113" s="270"/>
      <c r="AH113" s="317"/>
      <c r="AI113" s="276"/>
      <c r="AJ113" s="317"/>
      <c r="AK113" s="270"/>
      <c r="AL113" s="73"/>
      <c r="AM113" s="73"/>
      <c r="AN113" s="73"/>
      <c r="AO113" s="73"/>
      <c r="AP113" s="73"/>
      <c r="AQ113" s="73"/>
      <c r="AR113" s="73"/>
      <c r="AS113" s="73"/>
      <c r="AT113" s="73"/>
      <c r="AU113" s="73"/>
      <c r="AV113" s="318"/>
      <c r="AW113" s="73"/>
      <c r="AX113" s="73"/>
      <c r="AY113" s="269"/>
      <c r="AZ113" s="269"/>
      <c r="BA113" s="319"/>
      <c r="BB113" s="320"/>
      <c r="BC113" s="344"/>
      <c r="BD113" s="28"/>
    </row>
    <row r="114" spans="1:60" ht="13.5" customHeight="1">
      <c r="A114" s="22"/>
      <c r="B114" s="202">
        <v>31</v>
      </c>
      <c r="C114" s="331"/>
      <c r="D114" s="332"/>
      <c r="E114" s="65"/>
      <c r="F114" s="65"/>
      <c r="G114" s="65"/>
      <c r="H114" s="65"/>
      <c r="I114" s="65"/>
      <c r="J114" s="1102"/>
      <c r="K114" s="1102"/>
      <c r="L114" s="1102"/>
      <c r="M114" s="1102"/>
      <c r="N114" s="65"/>
      <c r="O114" s="65"/>
      <c r="P114" s="65"/>
      <c r="Q114" s="65"/>
      <c r="R114" s="65"/>
      <c r="S114" s="65"/>
      <c r="T114" s="65"/>
      <c r="U114" s="65"/>
      <c r="V114" s="65"/>
      <c r="W114" s="65"/>
      <c r="X114" s="65"/>
      <c r="Y114" s="65"/>
      <c r="Z114" s="65"/>
      <c r="AA114" s="65"/>
      <c r="AB114" s="65"/>
      <c r="AC114" s="65"/>
      <c r="AD114" s="65"/>
      <c r="AE114" s="65"/>
      <c r="AF114" s="65"/>
      <c r="AG114" s="65"/>
      <c r="AH114" s="65"/>
      <c r="AI114" s="65"/>
      <c r="AJ114" s="65"/>
      <c r="AK114" s="65"/>
      <c r="AL114" s="65"/>
      <c r="AM114" s="198"/>
      <c r="AN114" s="198"/>
      <c r="AO114" s="198"/>
      <c r="AP114" s="198"/>
      <c r="AQ114" s="198"/>
      <c r="AR114" s="198"/>
      <c r="AS114" s="198"/>
      <c r="AT114" s="198"/>
      <c r="AU114" s="198"/>
      <c r="AV114" s="198"/>
      <c r="AW114" s="198"/>
      <c r="AX114" s="198"/>
      <c r="AY114" s="198"/>
      <c r="AZ114" s="33"/>
      <c r="BA114" s="46"/>
      <c r="BB114" s="78"/>
      <c r="BC114" s="34"/>
      <c r="BD114" s="28"/>
      <c r="BG114" s="24"/>
      <c r="BH114" s="28"/>
    </row>
    <row r="115" spans="1:60" ht="14.1" customHeight="1">
      <c r="A115" s="22"/>
      <c r="B115" s="129"/>
      <c r="C115" s="346" t="s">
        <v>132</v>
      </c>
      <c r="D115" s="28"/>
      <c r="E115" s="28"/>
      <c r="F115" s="28"/>
      <c r="G115" s="28"/>
      <c r="S115" s="35"/>
      <c r="T115" s="35"/>
      <c r="U115" s="35"/>
      <c r="V115" s="35"/>
      <c r="Y115" s="35"/>
      <c r="Z115" s="35"/>
      <c r="AD115" s="35"/>
      <c r="AE115" s="35"/>
      <c r="AF115" s="35"/>
      <c r="AG115" s="35"/>
      <c r="AH115" s="35"/>
      <c r="AI115" s="35"/>
      <c r="AJ115" s="28"/>
      <c r="AK115" s="28"/>
      <c r="AL115" s="28"/>
      <c r="AM115" s="130"/>
      <c r="AN115" s="130"/>
      <c r="AO115" s="35"/>
      <c r="AP115" s="35"/>
      <c r="AQ115" s="35"/>
      <c r="AR115" s="35"/>
      <c r="AS115" s="35"/>
      <c r="AT115" s="35"/>
      <c r="AU115" s="35"/>
      <c r="AV115" s="35"/>
      <c r="AW115" s="35"/>
      <c r="AX115" s="65"/>
      <c r="AY115" s="65"/>
      <c r="AZ115" s="33"/>
      <c r="BA115" s="46"/>
      <c r="BB115" s="78"/>
      <c r="BC115" s="34"/>
      <c r="BD115" s="28"/>
      <c r="BG115" s="35"/>
    </row>
    <row r="116" spans="1:60" ht="5.0999999999999996" customHeight="1">
      <c r="A116" s="22"/>
      <c r="B116" s="202"/>
      <c r="C116" s="296"/>
      <c r="D116" s="72"/>
      <c r="E116" s="72"/>
      <c r="F116" s="72"/>
      <c r="G116" s="72"/>
      <c r="H116" s="297"/>
      <c r="I116" s="278"/>
      <c r="J116" s="279"/>
      <c r="K116" s="278"/>
      <c r="L116" s="279"/>
      <c r="M116" s="298"/>
      <c r="N116" s="298"/>
      <c r="O116" s="263"/>
      <c r="P116" s="298"/>
      <c r="Q116" s="263"/>
      <c r="R116" s="298"/>
      <c r="S116" s="72"/>
      <c r="T116" s="72"/>
      <c r="U116" s="72"/>
      <c r="V116" s="72"/>
      <c r="W116" s="72"/>
      <c r="X116" s="297"/>
      <c r="Y116" s="278"/>
      <c r="Z116" s="279"/>
      <c r="AA116" s="278"/>
      <c r="AB116" s="279"/>
      <c r="AC116" s="298"/>
      <c r="AD116" s="298"/>
      <c r="AE116" s="263"/>
      <c r="AF116" s="298"/>
      <c r="AG116" s="263"/>
      <c r="AH116" s="298"/>
      <c r="AI116" s="280"/>
      <c r="AJ116" s="298"/>
      <c r="AK116" s="263"/>
      <c r="AL116" s="72"/>
      <c r="AM116" s="72"/>
      <c r="AN116" s="72"/>
      <c r="AO116" s="72"/>
      <c r="AP116" s="72"/>
      <c r="AQ116" s="72"/>
      <c r="AR116" s="72"/>
      <c r="AS116" s="72"/>
      <c r="AT116" s="72"/>
      <c r="AU116" s="72"/>
      <c r="AV116" s="300"/>
      <c r="AW116" s="72"/>
      <c r="AX116" s="72"/>
      <c r="AY116" s="265"/>
      <c r="AZ116" s="33"/>
      <c r="BA116" s="46"/>
      <c r="BB116" s="78"/>
      <c r="BC116" s="34"/>
      <c r="BD116" s="28"/>
    </row>
    <row r="117" spans="1:60" ht="14.1" customHeight="1">
      <c r="A117" s="23"/>
      <c r="B117" s="351"/>
      <c r="C117" s="282"/>
      <c r="D117" s="28"/>
      <c r="E117" s="28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5"/>
      <c r="S117" s="35"/>
      <c r="T117" s="28"/>
      <c r="U117" s="28"/>
      <c r="V117" s="28"/>
      <c r="W117" s="28"/>
      <c r="X117" s="28"/>
      <c r="Y117" s="28"/>
      <c r="Z117" s="28"/>
      <c r="AC117" s="28"/>
      <c r="AD117" s="28"/>
      <c r="AE117" s="35"/>
      <c r="AF117" s="35"/>
      <c r="AG117" s="35"/>
      <c r="AH117" s="35"/>
      <c r="AI117" s="35"/>
      <c r="AJ117" s="28"/>
      <c r="AK117" s="28"/>
      <c r="AL117" s="28"/>
      <c r="AM117" s="35"/>
      <c r="AN117" s="35"/>
      <c r="AO117" s="135"/>
      <c r="AP117" s="136"/>
      <c r="AQ117" s="130"/>
      <c r="AR117" s="130"/>
      <c r="AS117" s="130"/>
      <c r="AT117" s="130"/>
      <c r="AU117" s="81"/>
      <c r="AV117" s="35"/>
      <c r="AW117" s="35"/>
      <c r="AX117" s="65"/>
      <c r="AY117" s="347"/>
      <c r="AZ117" s="33"/>
      <c r="BA117" s="46"/>
      <c r="BB117" s="78"/>
      <c r="BC117" s="34"/>
      <c r="BD117" s="28"/>
      <c r="BG117" s="35"/>
    </row>
    <row r="118" spans="1:60" ht="14.1" customHeight="1">
      <c r="A118" s="23"/>
      <c r="B118" s="351"/>
      <c r="C118" s="352"/>
      <c r="D118" s="348" t="s">
        <v>38</v>
      </c>
      <c r="E118" s="131"/>
      <c r="F118" s="131"/>
      <c r="G118" s="131"/>
      <c r="H118" s="132"/>
      <c r="I118" s="132"/>
      <c r="J118" s="106"/>
      <c r="K118" s="133"/>
      <c r="L118" s="134"/>
      <c r="M118" s="144"/>
      <c r="N118" s="144"/>
      <c r="O118" s="131"/>
      <c r="P118" s="134"/>
      <c r="Q118" s="107"/>
      <c r="R118" s="133" t="s">
        <v>40</v>
      </c>
      <c r="S118" s="134"/>
      <c r="T118" s="107"/>
      <c r="U118" s="107"/>
      <c r="V118" s="133" t="s">
        <v>45</v>
      </c>
      <c r="W118" s="134"/>
      <c r="X118" s="107"/>
      <c r="Y118" s="35"/>
      <c r="Z118" s="35"/>
      <c r="AC118" s="28"/>
      <c r="AD118" s="28"/>
      <c r="AE118" s="28"/>
      <c r="AF118" s="35"/>
      <c r="AG118" s="35"/>
      <c r="AH118" s="28"/>
      <c r="AI118" s="28"/>
      <c r="AJ118" s="28"/>
      <c r="AK118" s="81"/>
      <c r="AL118" s="28"/>
      <c r="AM118" s="28"/>
      <c r="AN118" s="28"/>
      <c r="AO118" s="28"/>
      <c r="AP118" s="28"/>
      <c r="AQ118" s="65"/>
      <c r="AR118" s="65"/>
      <c r="AS118" s="65"/>
      <c r="AT118" s="125"/>
      <c r="AU118" s="65"/>
      <c r="AV118" s="65"/>
      <c r="AW118" s="65"/>
      <c r="AX118" s="65"/>
      <c r="AY118" s="347"/>
      <c r="AZ118" s="33"/>
      <c r="BA118" s="46"/>
      <c r="BB118" s="78"/>
      <c r="BC118" s="34"/>
      <c r="BD118" s="28"/>
      <c r="BE118" s="35"/>
      <c r="BF118" s="35"/>
      <c r="BG118" s="35"/>
    </row>
    <row r="119" spans="1:60" ht="13.5" customHeight="1">
      <c r="A119" s="22"/>
      <c r="B119" s="353"/>
      <c r="C119" s="352"/>
      <c r="D119" s="349" t="s">
        <v>46</v>
      </c>
      <c r="E119" s="137"/>
      <c r="F119" s="137"/>
      <c r="G119" s="137"/>
      <c r="H119" s="137"/>
      <c r="I119" s="137"/>
      <c r="J119" s="137"/>
      <c r="K119" s="350"/>
      <c r="L119" s="139"/>
      <c r="M119" s="108"/>
      <c r="N119" s="108"/>
      <c r="O119" s="145"/>
      <c r="P119" s="139"/>
      <c r="Q119" s="109"/>
      <c r="R119" s="138" t="s">
        <v>41</v>
      </c>
      <c r="S119" s="139"/>
      <c r="T119" s="108"/>
      <c r="U119" s="109"/>
      <c r="V119" s="140"/>
      <c r="W119" s="141"/>
      <c r="X119" s="142"/>
      <c r="Y119" s="116"/>
      <c r="Z119" s="41"/>
      <c r="AA119" s="116"/>
      <c r="AB119" s="116"/>
      <c r="AC119" s="116"/>
      <c r="AD119" s="116"/>
      <c r="AE119" s="116"/>
      <c r="AF119" s="116"/>
      <c r="AG119" s="116"/>
      <c r="AH119" s="116"/>
      <c r="AI119" s="116"/>
      <c r="AJ119" s="116"/>
      <c r="AK119" s="116"/>
      <c r="AL119" s="116"/>
      <c r="AM119" s="116"/>
      <c r="AN119" s="116"/>
      <c r="AO119" s="116"/>
      <c r="AP119" s="116"/>
      <c r="AQ119" s="65"/>
      <c r="AR119" s="65"/>
      <c r="AS119" s="65"/>
      <c r="AT119" s="125"/>
      <c r="AU119" s="65"/>
      <c r="AV119" s="65"/>
      <c r="AW119" s="65"/>
      <c r="AX119" s="65"/>
      <c r="AY119" s="347"/>
      <c r="AZ119" s="33"/>
      <c r="BA119" s="46"/>
      <c r="BB119" s="78"/>
      <c r="BC119" s="34"/>
      <c r="BD119" s="28"/>
      <c r="BE119" s="35"/>
      <c r="BF119" s="35"/>
      <c r="BG119" s="35"/>
    </row>
    <row r="120" spans="1:60" ht="5.0999999999999996" customHeight="1">
      <c r="A120" s="22"/>
      <c r="B120" s="202"/>
      <c r="C120" s="315"/>
      <c r="D120" s="73"/>
      <c r="E120" s="73"/>
      <c r="F120" s="73"/>
      <c r="G120" s="73"/>
      <c r="H120" s="316"/>
      <c r="I120" s="275"/>
      <c r="J120" s="273"/>
      <c r="K120" s="275"/>
      <c r="L120" s="273"/>
      <c r="M120" s="317"/>
      <c r="N120" s="317"/>
      <c r="O120" s="270"/>
      <c r="P120" s="317"/>
      <c r="Q120" s="270"/>
      <c r="R120" s="317"/>
      <c r="S120" s="73"/>
      <c r="T120" s="73"/>
      <c r="U120" s="73"/>
      <c r="V120" s="73"/>
      <c r="W120" s="73"/>
      <c r="X120" s="316"/>
      <c r="Y120" s="275"/>
      <c r="Z120" s="273"/>
      <c r="AA120" s="275"/>
      <c r="AB120" s="273"/>
      <c r="AC120" s="317"/>
      <c r="AD120" s="317"/>
      <c r="AE120" s="270"/>
      <c r="AF120" s="317"/>
      <c r="AG120" s="270"/>
      <c r="AH120" s="317"/>
      <c r="AI120" s="276"/>
      <c r="AJ120" s="317"/>
      <c r="AK120" s="270"/>
      <c r="AL120" s="73"/>
      <c r="AM120" s="73"/>
      <c r="AN120" s="73"/>
      <c r="AO120" s="73"/>
      <c r="AP120" s="73"/>
      <c r="AQ120" s="73"/>
      <c r="AR120" s="73"/>
      <c r="AS120" s="73"/>
      <c r="AT120" s="73"/>
      <c r="AU120" s="73"/>
      <c r="AV120" s="318"/>
      <c r="AW120" s="73"/>
      <c r="AX120" s="73"/>
      <c r="AY120" s="277"/>
      <c r="AZ120" s="33"/>
      <c r="BA120" s="46"/>
      <c r="BB120" s="78"/>
      <c r="BC120" s="34"/>
      <c r="BD120" s="28"/>
    </row>
    <row r="121" spans="1:60" ht="14.1" customHeight="1">
      <c r="A121" s="22"/>
      <c r="B121" s="202">
        <v>35</v>
      </c>
      <c r="C121" s="331"/>
      <c r="D121" s="332"/>
      <c r="E121" s="65"/>
      <c r="F121" s="65"/>
      <c r="G121" s="65"/>
      <c r="H121" s="65"/>
      <c r="I121" s="65"/>
      <c r="J121" s="1067"/>
      <c r="K121" s="1067"/>
      <c r="L121" s="1067"/>
      <c r="M121" s="1067"/>
      <c r="N121" s="65"/>
      <c r="O121" s="65"/>
      <c r="P121" s="65"/>
      <c r="Q121" s="65"/>
      <c r="R121" s="65"/>
      <c r="S121" s="65"/>
      <c r="T121" s="65"/>
      <c r="U121" s="65"/>
      <c r="V121" s="65"/>
      <c r="W121" s="65"/>
      <c r="X121" s="65"/>
      <c r="Y121" s="65"/>
      <c r="Z121" s="65"/>
      <c r="AA121" s="65"/>
      <c r="AB121" s="65"/>
      <c r="AC121" s="65"/>
      <c r="AD121" s="65"/>
      <c r="AE121" s="65"/>
      <c r="AF121" s="65"/>
      <c r="AG121" s="65"/>
      <c r="AH121" s="65"/>
      <c r="AI121" s="65"/>
      <c r="AJ121" s="65"/>
      <c r="AK121" s="65"/>
      <c r="AL121" s="65"/>
      <c r="AM121" s="65"/>
      <c r="AN121" s="65"/>
      <c r="AO121" s="65"/>
      <c r="AP121" s="65"/>
      <c r="AQ121" s="65"/>
      <c r="AR121" s="65"/>
      <c r="AS121" s="65"/>
      <c r="AT121" s="125"/>
      <c r="AU121" s="65"/>
      <c r="AV121" s="65"/>
      <c r="AW121" s="65"/>
      <c r="AX121" s="65"/>
      <c r="AY121" s="65"/>
      <c r="AZ121" s="33"/>
      <c r="BA121" s="46"/>
      <c r="BB121" s="335"/>
      <c r="BC121" s="336"/>
      <c r="BD121" s="28"/>
      <c r="BG121" s="24"/>
      <c r="BH121" s="28"/>
    </row>
    <row r="122" spans="1:60" ht="14.1" customHeight="1">
      <c r="A122" s="22"/>
      <c r="B122" s="202">
        <v>35</v>
      </c>
      <c r="C122" s="346" t="s">
        <v>248</v>
      </c>
      <c r="D122" s="332"/>
      <c r="E122" s="65"/>
      <c r="F122" s="65"/>
      <c r="G122" s="65"/>
      <c r="H122" s="65"/>
      <c r="I122" s="65"/>
      <c r="J122" s="1067"/>
      <c r="K122" s="1067"/>
      <c r="L122" s="1067"/>
      <c r="M122" s="1067"/>
      <c r="N122" s="65"/>
      <c r="O122" s="65"/>
      <c r="P122" s="65"/>
      <c r="Q122" s="65"/>
      <c r="R122" s="65"/>
      <c r="S122" s="65"/>
      <c r="T122" s="65"/>
      <c r="U122" s="65"/>
      <c r="V122" s="65"/>
      <c r="W122" s="65"/>
      <c r="X122" s="65"/>
      <c r="Y122" s="65"/>
      <c r="Z122" s="65"/>
      <c r="AA122" s="65"/>
      <c r="AB122" s="65"/>
      <c r="AC122" s="65"/>
      <c r="AD122" s="65"/>
      <c r="AE122" s="65"/>
      <c r="AF122" s="65"/>
      <c r="AG122" s="65"/>
      <c r="AH122" s="65"/>
      <c r="AI122" s="65"/>
      <c r="AJ122" s="65"/>
      <c r="AK122" s="65"/>
      <c r="AL122" s="65"/>
      <c r="AM122" s="65"/>
      <c r="AN122" s="65"/>
      <c r="AO122" s="65"/>
      <c r="AP122" s="65"/>
      <c r="AQ122" s="65"/>
      <c r="AR122" s="65"/>
      <c r="AS122" s="65"/>
      <c r="AT122" s="125"/>
      <c r="AU122" s="65"/>
      <c r="AV122" s="65"/>
      <c r="AW122" s="65"/>
      <c r="AX122" s="65"/>
      <c r="AY122" s="65"/>
      <c r="AZ122" s="33"/>
      <c r="BA122" s="46"/>
      <c r="BB122" s="335"/>
      <c r="BC122" s="336"/>
      <c r="BD122" s="28"/>
      <c r="BG122" s="24"/>
      <c r="BH122" s="28"/>
    </row>
    <row r="123" spans="1:60" ht="14.1" customHeight="1">
      <c r="A123" s="22"/>
      <c r="B123" s="202">
        <v>35</v>
      </c>
      <c r="C123" s="331"/>
      <c r="D123" s="478" t="s">
        <v>249</v>
      </c>
      <c r="E123" s="65"/>
      <c r="F123" s="65"/>
      <c r="G123" s="65"/>
      <c r="H123" s="65"/>
      <c r="I123" s="65"/>
      <c r="J123" s="477"/>
      <c r="K123" s="477"/>
      <c r="L123" s="477"/>
      <c r="M123" s="477"/>
      <c r="N123" s="65"/>
      <c r="O123" s="65"/>
      <c r="P123" s="65"/>
      <c r="Q123" s="65"/>
      <c r="R123" s="65"/>
      <c r="S123" s="65"/>
      <c r="T123" s="65"/>
      <c r="U123" s="65"/>
      <c r="V123" s="65"/>
      <c r="W123" s="65"/>
      <c r="X123" s="65"/>
      <c r="Y123" s="65"/>
      <c r="Z123" s="65"/>
      <c r="AA123" s="65"/>
      <c r="AB123" s="65"/>
      <c r="AC123" s="65"/>
      <c r="AD123" s="65"/>
      <c r="AE123" s="65"/>
      <c r="AF123" s="65"/>
      <c r="AG123" s="65"/>
      <c r="AH123" s="65"/>
      <c r="AI123" s="65"/>
      <c r="AJ123" s="65"/>
      <c r="AK123" s="65"/>
      <c r="AL123" s="65"/>
      <c r="AM123" s="65"/>
      <c r="AN123" s="65"/>
      <c r="AO123" s="65"/>
      <c r="AP123" s="65"/>
      <c r="AQ123" s="65"/>
      <c r="AR123" s="65"/>
      <c r="AS123" s="65"/>
      <c r="AT123" s="125"/>
      <c r="AU123" s="65"/>
      <c r="AV123" s="65"/>
      <c r="AW123" s="65"/>
      <c r="AX123" s="65"/>
      <c r="AY123" s="65"/>
      <c r="AZ123" s="33"/>
      <c r="BA123" s="46"/>
      <c r="BB123" s="335"/>
      <c r="BC123" s="336"/>
      <c r="BD123" s="28"/>
      <c r="BG123" s="24"/>
      <c r="BH123" s="28"/>
    </row>
    <row r="124" spans="1:60" ht="14.1" customHeight="1">
      <c r="A124" s="22"/>
      <c r="B124" s="202">
        <v>35</v>
      </c>
      <c r="C124" s="331"/>
      <c r="D124" s="332"/>
      <c r="E124" s="65"/>
      <c r="F124" s="65"/>
      <c r="G124" s="65"/>
      <c r="H124" s="65"/>
      <c r="I124" s="65"/>
      <c r="J124" s="1106"/>
      <c r="K124" s="1106"/>
      <c r="L124" s="1106"/>
      <c r="M124" s="1106"/>
      <c r="N124" s="65"/>
      <c r="O124" s="65"/>
      <c r="P124" s="65"/>
      <c r="Q124" s="65"/>
      <c r="R124" s="65"/>
      <c r="S124" s="65"/>
      <c r="T124" s="65"/>
      <c r="U124" s="65"/>
      <c r="V124" s="65"/>
      <c r="W124" s="65"/>
      <c r="X124" s="65"/>
      <c r="Y124" s="65"/>
      <c r="Z124" s="65"/>
      <c r="AA124" s="65"/>
      <c r="AB124" s="65"/>
      <c r="AC124" s="65"/>
      <c r="AD124" s="65"/>
      <c r="AE124" s="65"/>
      <c r="AF124" s="65"/>
      <c r="AG124" s="65"/>
      <c r="AH124" s="65"/>
      <c r="AI124" s="65"/>
      <c r="AJ124" s="65"/>
      <c r="AK124" s="65"/>
      <c r="AL124" s="65"/>
      <c r="AM124" s="65"/>
      <c r="AN124" s="65"/>
      <c r="AO124" s="65"/>
      <c r="AP124" s="65"/>
      <c r="AQ124" s="65"/>
      <c r="AR124" s="65"/>
      <c r="AS124" s="65"/>
      <c r="AT124" s="125"/>
      <c r="AU124" s="65"/>
      <c r="AV124" s="65"/>
      <c r="AW124" s="65"/>
      <c r="AX124" s="65"/>
      <c r="AY124" s="65"/>
      <c r="AZ124" s="33"/>
      <c r="BA124" s="46"/>
      <c r="BB124" s="335"/>
      <c r="BC124" s="336"/>
      <c r="BD124" s="28"/>
      <c r="BG124" s="24"/>
      <c r="BH124" s="28"/>
    </row>
    <row r="125" spans="1:60" ht="5.0999999999999996" customHeight="1">
      <c r="A125" s="22"/>
      <c r="B125" s="202"/>
      <c r="C125" s="296"/>
      <c r="D125" s="72"/>
      <c r="E125" s="72"/>
      <c r="F125" s="72"/>
      <c r="G125" s="72"/>
      <c r="H125" s="297"/>
      <c r="I125" s="278"/>
      <c r="J125" s="279"/>
      <c r="K125" s="278"/>
      <c r="L125" s="279"/>
      <c r="M125" s="298"/>
      <c r="N125" s="298"/>
      <c r="O125" s="263"/>
      <c r="P125" s="298"/>
      <c r="Q125" s="263"/>
      <c r="R125" s="298"/>
      <c r="S125" s="72"/>
      <c r="T125" s="72"/>
      <c r="U125" s="72"/>
      <c r="V125" s="72"/>
      <c r="W125" s="72"/>
      <c r="X125" s="297"/>
      <c r="Y125" s="278"/>
      <c r="Z125" s="279"/>
      <c r="AA125" s="278"/>
      <c r="AB125" s="279"/>
      <c r="AC125" s="298"/>
      <c r="AD125" s="298"/>
      <c r="AE125" s="263"/>
      <c r="AF125" s="298"/>
      <c r="AG125" s="263"/>
      <c r="AH125" s="298"/>
      <c r="AI125" s="280"/>
      <c r="AJ125" s="298"/>
      <c r="AK125" s="263"/>
      <c r="AL125" s="72"/>
      <c r="AM125" s="72"/>
      <c r="AN125" s="72"/>
      <c r="AO125" s="72"/>
      <c r="AP125" s="72"/>
      <c r="AQ125" s="72"/>
      <c r="AR125" s="72"/>
      <c r="AS125" s="72"/>
      <c r="AT125" s="72"/>
      <c r="AU125" s="72"/>
      <c r="AV125" s="300"/>
      <c r="AW125" s="72"/>
      <c r="AX125" s="72"/>
      <c r="AY125" s="265"/>
      <c r="AZ125" s="33"/>
      <c r="BA125" s="46"/>
      <c r="BB125" s="78"/>
      <c r="BC125" s="34"/>
      <c r="BD125" s="28"/>
    </row>
    <row r="126" spans="1:60" ht="14.1" customHeight="1">
      <c r="A126" s="23"/>
      <c r="B126" s="351"/>
      <c r="C126" s="282"/>
      <c r="D126" s="28" t="s">
        <v>241</v>
      </c>
      <c r="E126" s="28"/>
      <c r="F126" s="28"/>
      <c r="G126" s="28"/>
      <c r="H126" s="468" t="s">
        <v>246</v>
      </c>
      <c r="I126" s="257"/>
      <c r="J126" s="258"/>
      <c r="K126" s="258"/>
      <c r="L126" s="258"/>
      <c r="M126" s="259"/>
      <c r="N126" s="258"/>
      <c r="O126" s="110"/>
      <c r="P126" s="261" t="s">
        <v>33</v>
      </c>
      <c r="Q126" s="25"/>
      <c r="R126" s="469" t="s">
        <v>247</v>
      </c>
      <c r="S126" s="470"/>
      <c r="T126" s="471"/>
      <c r="U126" s="471"/>
      <c r="V126" s="483"/>
      <c r="W126" s="472"/>
      <c r="X126" s="471"/>
      <c r="Y126" s="473"/>
      <c r="Z126" s="474"/>
      <c r="AB126" s="469" t="s">
        <v>291</v>
      </c>
      <c r="AC126" s="470"/>
      <c r="AD126" s="471"/>
      <c r="AE126" s="471"/>
      <c r="AF126" s="471"/>
      <c r="AG126" s="472"/>
      <c r="AH126" s="471"/>
      <c r="AI126" s="473"/>
      <c r="AJ126" s="472"/>
      <c r="AK126" s="479"/>
      <c r="AL126" s="479"/>
      <c r="AM126" s="473"/>
      <c r="AN126" s="473"/>
      <c r="AO126" s="471"/>
      <c r="AP126" s="480"/>
      <c r="AQ126" s="471"/>
      <c r="AR126" s="471"/>
      <c r="AS126" s="471"/>
      <c r="AT126" s="471"/>
      <c r="AU126" s="481"/>
      <c r="AV126" s="473"/>
      <c r="AW126" s="473"/>
      <c r="AX126" s="482"/>
      <c r="AY126" s="347"/>
      <c r="AZ126" s="33"/>
      <c r="BA126" s="46"/>
      <c r="BB126" s="78"/>
      <c r="BC126" s="34"/>
      <c r="BD126" s="28"/>
      <c r="BG126" s="35"/>
    </row>
    <row r="127" spans="1:60" ht="14.1" customHeight="1">
      <c r="A127" s="23"/>
      <c r="B127" s="351"/>
      <c r="C127" s="282"/>
      <c r="D127" s="28"/>
      <c r="E127" s="28"/>
      <c r="F127" s="28"/>
      <c r="G127" s="28"/>
      <c r="H127" s="469" t="s">
        <v>55</v>
      </c>
      <c r="I127" s="470"/>
      <c r="J127" s="471"/>
      <c r="K127" s="471"/>
      <c r="L127" s="471"/>
      <c r="M127" s="472"/>
      <c r="N127" s="471"/>
      <c r="O127" s="473"/>
      <c r="P127" s="472"/>
      <c r="Q127" s="479"/>
      <c r="R127" s="479"/>
      <c r="S127" s="473"/>
      <c r="T127" s="473"/>
      <c r="U127" s="471"/>
      <c r="V127" s="480"/>
      <c r="W127" s="471"/>
      <c r="X127" s="471"/>
      <c r="Y127" s="471"/>
      <c r="Z127" s="471"/>
      <c r="AA127" s="481"/>
      <c r="AB127" s="473"/>
      <c r="AC127" s="473"/>
      <c r="AD127" s="479"/>
      <c r="AE127" s="471"/>
      <c r="AF127" s="471"/>
      <c r="AG127" s="472"/>
      <c r="AH127" s="471"/>
      <c r="AI127" s="473"/>
      <c r="AJ127" s="472"/>
      <c r="AK127" s="479"/>
      <c r="AL127" s="479"/>
      <c r="AM127" s="473"/>
      <c r="AN127" s="473"/>
      <c r="AO127" s="471"/>
      <c r="AP127" s="480"/>
      <c r="AQ127" s="471"/>
      <c r="AR127" s="471"/>
      <c r="AS127" s="471"/>
      <c r="AT127" s="471"/>
      <c r="AU127" s="481"/>
      <c r="AV127" s="473"/>
      <c r="AW127" s="473"/>
      <c r="AX127" s="482"/>
      <c r="AY127" s="347"/>
      <c r="AZ127" s="33"/>
      <c r="BA127" s="46"/>
      <c r="BB127" s="78"/>
      <c r="BC127" s="34"/>
      <c r="BD127" s="28"/>
      <c r="BG127" s="35"/>
    </row>
    <row r="128" spans="1:60" ht="5.0999999999999996" customHeight="1">
      <c r="A128" s="22"/>
      <c r="B128" s="202"/>
      <c r="C128" s="315"/>
      <c r="D128" s="73"/>
      <c r="E128" s="73"/>
      <c r="F128" s="73"/>
      <c r="G128" s="73"/>
      <c r="H128" s="316"/>
      <c r="I128" s="275"/>
      <c r="J128" s="273"/>
      <c r="K128" s="275"/>
      <c r="L128" s="273"/>
      <c r="M128" s="317"/>
      <c r="N128" s="317"/>
      <c r="O128" s="270"/>
      <c r="P128" s="317"/>
      <c r="Q128" s="270"/>
      <c r="R128" s="317"/>
      <c r="S128" s="73"/>
      <c r="T128" s="73"/>
      <c r="U128" s="73"/>
      <c r="V128" s="73"/>
      <c r="W128" s="73"/>
      <c r="X128" s="316"/>
      <c r="Y128" s="275"/>
      <c r="Z128" s="273"/>
      <c r="AA128" s="275"/>
      <c r="AB128" s="273"/>
      <c r="AC128" s="317"/>
      <c r="AD128" s="317"/>
      <c r="AE128" s="270"/>
      <c r="AF128" s="317"/>
      <c r="AG128" s="270"/>
      <c r="AH128" s="317"/>
      <c r="AI128" s="276"/>
      <c r="AJ128" s="317"/>
      <c r="AK128" s="270"/>
      <c r="AL128" s="73"/>
      <c r="AM128" s="73"/>
      <c r="AN128" s="73"/>
      <c r="AO128" s="73"/>
      <c r="AP128" s="73"/>
      <c r="AQ128" s="73"/>
      <c r="AR128" s="73"/>
      <c r="AS128" s="73"/>
      <c r="AT128" s="73"/>
      <c r="AU128" s="73"/>
      <c r="AV128" s="318"/>
      <c r="AW128" s="73"/>
      <c r="AX128" s="73"/>
      <c r="AY128" s="277"/>
      <c r="AZ128" s="33"/>
      <c r="BA128" s="46"/>
      <c r="BB128" s="78"/>
      <c r="BC128" s="34"/>
      <c r="BD128" s="28"/>
    </row>
    <row r="129" spans="1:60" ht="5.0999999999999996" customHeight="1">
      <c r="A129" s="22"/>
      <c r="B129" s="202"/>
      <c r="C129" s="476"/>
      <c r="D129" s="72"/>
      <c r="E129" s="72"/>
      <c r="F129" s="72"/>
      <c r="G129" s="72"/>
      <c r="H129" s="297"/>
      <c r="I129" s="278"/>
      <c r="J129" s="279"/>
      <c r="K129" s="278"/>
      <c r="L129" s="279"/>
      <c r="M129" s="298"/>
      <c r="N129" s="298"/>
      <c r="O129" s="263"/>
      <c r="P129" s="298"/>
      <c r="Q129" s="263"/>
      <c r="R129" s="298"/>
      <c r="S129" s="72"/>
      <c r="T129" s="72"/>
      <c r="U129" s="72"/>
      <c r="V129" s="72"/>
      <c r="W129" s="72"/>
      <c r="X129" s="297"/>
      <c r="Y129" s="278"/>
      <c r="Z129" s="279"/>
      <c r="AA129" s="278"/>
      <c r="AB129" s="279"/>
      <c r="AC129" s="298"/>
      <c r="AD129" s="298"/>
      <c r="AE129" s="263"/>
      <c r="AF129" s="298"/>
      <c r="AG129" s="263"/>
      <c r="AH129" s="298"/>
      <c r="AI129" s="280"/>
      <c r="AJ129" s="298"/>
      <c r="AK129" s="263"/>
      <c r="AL129" s="72"/>
      <c r="AM129" s="72"/>
      <c r="AN129" s="72"/>
      <c r="AO129" s="72"/>
      <c r="AP129" s="72"/>
      <c r="AQ129" s="72"/>
      <c r="AR129" s="72"/>
      <c r="AS129" s="72"/>
      <c r="AT129" s="72"/>
      <c r="AU129" s="72"/>
      <c r="AV129" s="300"/>
      <c r="AW129" s="72"/>
      <c r="AX129" s="72"/>
      <c r="AY129" s="264"/>
      <c r="AZ129" s="33"/>
      <c r="BA129" s="46"/>
      <c r="BB129" s="78"/>
      <c r="BC129" s="34"/>
      <c r="BD129" s="28"/>
    </row>
    <row r="130" spans="1:60" ht="14.1" customHeight="1">
      <c r="A130" s="22"/>
      <c r="B130" s="202">
        <v>35</v>
      </c>
      <c r="C130" s="62" t="s">
        <v>244</v>
      </c>
      <c r="D130" s="332"/>
      <c r="E130" s="65"/>
      <c r="F130" s="65"/>
      <c r="G130" s="65"/>
      <c r="H130" s="65"/>
      <c r="I130" s="65"/>
      <c r="J130" s="1067"/>
      <c r="K130" s="1067"/>
      <c r="L130" s="1067"/>
      <c r="M130" s="1067"/>
      <c r="N130" s="65"/>
      <c r="O130" s="65"/>
      <c r="P130" s="65"/>
      <c r="Q130" s="65"/>
      <c r="R130" s="65"/>
      <c r="S130" s="65"/>
      <c r="T130" s="65"/>
      <c r="U130" s="65"/>
      <c r="V130" s="65"/>
      <c r="W130" s="65"/>
      <c r="X130" s="65"/>
      <c r="Y130" s="65"/>
      <c r="Z130" s="65"/>
      <c r="AA130" s="65"/>
      <c r="AB130" s="65"/>
      <c r="AC130" s="65"/>
      <c r="AD130" s="65"/>
      <c r="AE130" s="65"/>
      <c r="AF130" s="65"/>
      <c r="AG130" s="65"/>
      <c r="AH130" s="65"/>
      <c r="AI130" s="65"/>
      <c r="AJ130" s="65"/>
      <c r="AK130" s="65"/>
      <c r="AL130" s="65"/>
      <c r="AM130" s="65"/>
      <c r="AN130" s="65"/>
      <c r="AO130" s="65"/>
      <c r="AP130" s="65"/>
      <c r="AQ130" s="65"/>
      <c r="AR130" s="65"/>
      <c r="AS130" s="65"/>
      <c r="AT130" s="125"/>
      <c r="AU130" s="65"/>
      <c r="AV130" s="65"/>
      <c r="AW130" s="65"/>
      <c r="AX130" s="65"/>
      <c r="AY130" s="65"/>
      <c r="AZ130" s="33"/>
      <c r="BA130" s="46"/>
      <c r="BB130" s="335"/>
      <c r="BC130" s="336"/>
      <c r="BD130" s="28"/>
      <c r="BG130" s="24"/>
      <c r="BH130" s="28"/>
    </row>
    <row r="131" spans="1:60" ht="5.0999999999999996" customHeight="1">
      <c r="A131" s="22"/>
      <c r="B131" s="202"/>
      <c r="C131" s="296"/>
      <c r="D131" s="72"/>
      <c r="E131" s="72"/>
      <c r="F131" s="72"/>
      <c r="G131" s="72"/>
      <c r="H131" s="297"/>
      <c r="I131" s="278"/>
      <c r="J131" s="279"/>
      <c r="K131" s="278"/>
      <c r="L131" s="279"/>
      <c r="M131" s="298"/>
      <c r="N131" s="298"/>
      <c r="O131" s="263"/>
      <c r="P131" s="298"/>
      <c r="Q131" s="263"/>
      <c r="R131" s="298"/>
      <c r="S131" s="72"/>
      <c r="T131" s="72"/>
      <c r="U131" s="72"/>
      <c r="V131" s="72"/>
      <c r="W131" s="72"/>
      <c r="X131" s="297"/>
      <c r="Y131" s="278"/>
      <c r="Z131" s="279"/>
      <c r="AA131" s="278"/>
      <c r="AB131" s="279"/>
      <c r="AC131" s="298"/>
      <c r="AD131" s="298"/>
      <c r="AE131" s="263"/>
      <c r="AF131" s="298"/>
      <c r="AG131" s="263"/>
      <c r="AH131" s="298"/>
      <c r="AI131" s="280"/>
      <c r="AJ131" s="298"/>
      <c r="AK131" s="263"/>
      <c r="AL131" s="72"/>
      <c r="AM131" s="72"/>
      <c r="AN131" s="72"/>
      <c r="AO131" s="72"/>
      <c r="AP131" s="72"/>
      <c r="AQ131" s="72"/>
      <c r="AR131" s="72"/>
      <c r="AS131" s="72"/>
      <c r="AT131" s="72"/>
      <c r="AU131" s="72"/>
      <c r="AV131" s="300"/>
      <c r="AW131" s="72"/>
      <c r="AX131" s="72"/>
      <c r="AY131" s="265"/>
      <c r="AZ131" s="33"/>
      <c r="BA131" s="46"/>
      <c r="BB131" s="78"/>
      <c r="BC131" s="34"/>
      <c r="BD131" s="28"/>
    </row>
    <row r="132" spans="1:60" ht="14.1" customHeight="1">
      <c r="A132" s="23"/>
      <c r="B132" s="351"/>
      <c r="C132" s="282"/>
      <c r="D132" s="28" t="s">
        <v>241</v>
      </c>
      <c r="E132" s="28"/>
      <c r="F132" s="28"/>
      <c r="G132" s="28"/>
      <c r="H132" s="468" t="s">
        <v>242</v>
      </c>
      <c r="I132" s="257"/>
      <c r="J132" s="258"/>
      <c r="K132" s="258"/>
      <c r="L132" s="258"/>
      <c r="M132" s="259"/>
      <c r="N132" s="258"/>
      <c r="O132" s="110"/>
      <c r="P132" s="261" t="s">
        <v>33</v>
      </c>
      <c r="Q132" s="25"/>
      <c r="R132" s="469" t="s">
        <v>243</v>
      </c>
      <c r="S132" s="470"/>
      <c r="T132" s="471"/>
      <c r="U132" s="471"/>
      <c r="V132" s="483"/>
      <c r="W132" s="484" t="s">
        <v>255</v>
      </c>
      <c r="X132" s="471"/>
      <c r="Y132" s="473"/>
      <c r="Z132" s="474"/>
      <c r="AB132" s="529" t="s">
        <v>292</v>
      </c>
      <c r="AC132" s="530"/>
      <c r="AD132" s="531"/>
      <c r="AE132" s="531"/>
      <c r="AF132" s="531"/>
      <c r="AG132" s="532"/>
      <c r="AH132" s="531"/>
      <c r="AI132" s="533"/>
      <c r="AJ132" s="532"/>
      <c r="AK132" s="61"/>
      <c r="AL132" s="61"/>
      <c r="AM132" s="533"/>
      <c r="AN132" s="533"/>
      <c r="AO132" s="531"/>
      <c r="AP132" s="534"/>
      <c r="AQ132" s="531"/>
      <c r="AR132" s="531"/>
      <c r="AS132" s="531"/>
      <c r="AT132" s="531"/>
      <c r="AU132" s="535"/>
      <c r="AV132" s="533"/>
      <c r="AW132" s="533"/>
      <c r="AX132" s="70"/>
      <c r="AY132" s="347"/>
      <c r="AZ132" s="33"/>
      <c r="BA132" s="46"/>
      <c r="BB132" s="78"/>
      <c r="BC132" s="34"/>
      <c r="BD132" s="28"/>
      <c r="BG132" s="35"/>
    </row>
    <row r="133" spans="1:60" ht="14.1" customHeight="1">
      <c r="A133" s="23"/>
      <c r="B133" s="351"/>
      <c r="C133" s="282"/>
      <c r="D133" s="28"/>
      <c r="E133" s="28"/>
      <c r="F133" s="28"/>
      <c r="G133" s="28"/>
      <c r="H133" s="469" t="s">
        <v>254</v>
      </c>
      <c r="I133" s="470"/>
      <c r="J133" s="471"/>
      <c r="K133" s="471"/>
      <c r="L133" s="471"/>
      <c r="M133" s="472"/>
      <c r="N133" s="471"/>
      <c r="O133" s="473"/>
      <c r="P133" s="472"/>
      <c r="Q133" s="479"/>
      <c r="R133" s="479"/>
      <c r="S133" s="473"/>
      <c r="T133" s="473"/>
      <c r="U133" s="471"/>
      <c r="V133" s="480"/>
      <c r="W133" s="471"/>
      <c r="X133" s="471"/>
      <c r="Y133" s="471"/>
      <c r="Z133" s="471"/>
      <c r="AA133" s="481"/>
      <c r="AB133" s="473"/>
      <c r="AC133" s="473"/>
      <c r="AD133" s="479"/>
      <c r="AE133" s="471"/>
      <c r="AF133" s="471"/>
      <c r="AG133" s="472"/>
      <c r="AH133" s="471"/>
      <c r="AI133" s="473"/>
      <c r="AJ133" s="472"/>
      <c r="AK133" s="479"/>
      <c r="AL133" s="479"/>
      <c r="AM133" s="473"/>
      <c r="AN133" s="473"/>
      <c r="AO133" s="471"/>
      <c r="AP133" s="480"/>
      <c r="AQ133" s="471"/>
      <c r="AR133" s="471"/>
      <c r="AS133" s="471"/>
      <c r="AT133" s="471"/>
      <c r="AU133" s="481"/>
      <c r="AV133" s="473"/>
      <c r="AW133" s="473"/>
      <c r="AX133" s="482"/>
      <c r="AY133" s="347"/>
      <c r="AZ133" s="33"/>
      <c r="BA133" s="46"/>
      <c r="BB133" s="78"/>
      <c r="BC133" s="34"/>
      <c r="BD133" s="28"/>
      <c r="BG133" s="35"/>
    </row>
    <row r="134" spans="1:60" ht="5.0999999999999996" customHeight="1">
      <c r="A134" s="22"/>
      <c r="B134" s="202"/>
      <c r="C134" s="315"/>
      <c r="D134" s="73"/>
      <c r="E134" s="73"/>
      <c r="F134" s="73"/>
      <c r="G134" s="73"/>
      <c r="H134" s="316"/>
      <c r="I134" s="275"/>
      <c r="J134" s="273"/>
      <c r="K134" s="275"/>
      <c r="L134" s="273"/>
      <c r="M134" s="317"/>
      <c r="N134" s="317"/>
      <c r="O134" s="270"/>
      <c r="P134" s="317"/>
      <c r="Q134" s="270"/>
      <c r="R134" s="317"/>
      <c r="S134" s="73"/>
      <c r="T134" s="73"/>
      <c r="U134" s="73"/>
      <c r="V134" s="73"/>
      <c r="W134" s="73"/>
      <c r="X134" s="316"/>
      <c r="Y134" s="275"/>
      <c r="Z134" s="273"/>
      <c r="AA134" s="275"/>
      <c r="AB134" s="273"/>
      <c r="AC134" s="317"/>
      <c r="AD134" s="317"/>
      <c r="AE134" s="270"/>
      <c r="AF134" s="317"/>
      <c r="AG134" s="270"/>
      <c r="AH134" s="317"/>
      <c r="AI134" s="276"/>
      <c r="AJ134" s="317"/>
      <c r="AK134" s="270"/>
      <c r="AL134" s="73"/>
      <c r="AM134" s="73"/>
      <c r="AN134" s="73"/>
      <c r="AO134" s="73"/>
      <c r="AP134" s="73"/>
      <c r="AQ134" s="73"/>
      <c r="AR134" s="73"/>
      <c r="AS134" s="73"/>
      <c r="AT134" s="73"/>
      <c r="AU134" s="73"/>
      <c r="AV134" s="318"/>
      <c r="AW134" s="73"/>
      <c r="AX134" s="73"/>
      <c r="AY134" s="277"/>
      <c r="AZ134" s="33"/>
      <c r="BA134" s="46"/>
      <c r="BB134" s="78"/>
      <c r="BC134" s="34"/>
      <c r="BD134" s="28"/>
    </row>
    <row r="135" spans="1:60" ht="5.0999999999999996" customHeight="1">
      <c r="A135" s="22"/>
      <c r="B135" s="202"/>
      <c r="C135" s="476"/>
      <c r="D135" s="72"/>
      <c r="E135" s="72"/>
      <c r="F135" s="72"/>
      <c r="G135" s="72"/>
      <c r="H135" s="297"/>
      <c r="I135" s="278"/>
      <c r="J135" s="279"/>
      <c r="K135" s="278"/>
      <c r="L135" s="279"/>
      <c r="M135" s="298"/>
      <c r="N135" s="298"/>
      <c r="O135" s="263"/>
      <c r="P135" s="298"/>
      <c r="Q135" s="263"/>
      <c r="R135" s="298"/>
      <c r="S135" s="72"/>
      <c r="T135" s="72"/>
      <c r="U135" s="72"/>
      <c r="V135" s="72"/>
      <c r="W135" s="72"/>
      <c r="X135" s="297"/>
      <c r="Y135" s="278"/>
      <c r="Z135" s="279"/>
      <c r="AA135" s="278"/>
      <c r="AB135" s="279"/>
      <c r="AC135" s="298"/>
      <c r="AD135" s="298"/>
      <c r="AE135" s="263"/>
      <c r="AF135" s="298"/>
      <c r="AG135" s="263"/>
      <c r="AH135" s="298"/>
      <c r="AI135" s="280"/>
      <c r="AJ135" s="298"/>
      <c r="AK135" s="263"/>
      <c r="AL135" s="72"/>
      <c r="AM135" s="72"/>
      <c r="AN135" s="72"/>
      <c r="AO135" s="72"/>
      <c r="AP135" s="72"/>
      <c r="AQ135" s="72"/>
      <c r="AR135" s="72"/>
      <c r="AS135" s="72"/>
      <c r="AT135" s="72"/>
      <c r="AU135" s="72"/>
      <c r="AV135" s="300"/>
      <c r="AW135" s="72"/>
      <c r="AX135" s="72"/>
      <c r="AY135" s="264"/>
      <c r="AZ135" s="33"/>
      <c r="BA135" s="46"/>
      <c r="BB135" s="78"/>
      <c r="BC135" s="34"/>
      <c r="BD135" s="28"/>
    </row>
    <row r="136" spans="1:60" ht="14.1" customHeight="1">
      <c r="A136" s="22"/>
      <c r="B136" s="202">
        <v>35</v>
      </c>
      <c r="C136" s="62" t="s">
        <v>244</v>
      </c>
      <c r="D136" s="332"/>
      <c r="E136" s="65"/>
      <c r="F136" s="65"/>
      <c r="G136" s="65"/>
      <c r="H136" s="65"/>
      <c r="I136" s="65"/>
      <c r="J136" s="477"/>
      <c r="K136" s="477"/>
      <c r="L136" s="477"/>
      <c r="M136" s="477"/>
      <c r="N136" s="65"/>
      <c r="O136" s="65"/>
      <c r="P136" s="65"/>
      <c r="Q136" s="65"/>
      <c r="R136" s="65"/>
      <c r="S136" s="65"/>
      <c r="T136" s="65"/>
      <c r="U136" s="65"/>
      <c r="V136" s="65"/>
      <c r="W136" s="65"/>
      <c r="X136" s="65"/>
      <c r="Y136" s="65"/>
      <c r="Z136" s="65"/>
      <c r="AA136" s="65"/>
      <c r="AB136" s="65"/>
      <c r="AC136" s="65"/>
      <c r="AD136" s="65"/>
      <c r="AE136" s="65"/>
      <c r="AF136" s="65"/>
      <c r="AG136" s="65"/>
      <c r="AH136" s="65"/>
      <c r="AI136" s="65"/>
      <c r="AJ136" s="65"/>
      <c r="AK136" s="65"/>
      <c r="AL136" s="65"/>
      <c r="AM136" s="65"/>
      <c r="AN136" s="65"/>
      <c r="AO136" s="65"/>
      <c r="AP136" s="65"/>
      <c r="AQ136" s="65"/>
      <c r="AR136" s="65"/>
      <c r="AS136" s="65"/>
      <c r="AT136" s="125"/>
      <c r="AU136" s="65"/>
      <c r="AV136" s="65"/>
      <c r="AW136" s="65"/>
      <c r="AX136" s="65"/>
      <c r="AY136" s="65"/>
      <c r="AZ136" s="33"/>
      <c r="BA136" s="46"/>
      <c r="BB136" s="335"/>
      <c r="BC136" s="336"/>
      <c r="BD136" s="28"/>
      <c r="BG136" s="24"/>
      <c r="BH136" s="28"/>
    </row>
    <row r="137" spans="1:60" ht="14.1" customHeight="1">
      <c r="A137" s="22"/>
      <c r="B137" s="202">
        <v>35</v>
      </c>
      <c r="C137" s="331"/>
      <c r="D137" s="332"/>
      <c r="E137" s="65"/>
      <c r="F137" s="65"/>
      <c r="G137" s="65"/>
      <c r="H137" s="65"/>
      <c r="I137" s="65"/>
      <c r="J137" s="477"/>
      <c r="K137" s="477"/>
      <c r="L137" s="477"/>
      <c r="M137" s="477"/>
      <c r="N137" s="65"/>
      <c r="O137" s="65"/>
      <c r="P137" s="65"/>
      <c r="Q137" s="65"/>
      <c r="R137" s="65"/>
      <c r="S137" s="65"/>
      <c r="T137" s="65"/>
      <c r="U137" s="65"/>
      <c r="V137" s="65"/>
      <c r="W137" s="65"/>
      <c r="X137" s="65"/>
      <c r="Y137" s="65"/>
      <c r="Z137" s="65"/>
      <c r="AA137" s="65"/>
      <c r="AB137" s="65"/>
      <c r="AC137" s="65"/>
      <c r="AD137" s="65"/>
      <c r="AE137" s="65"/>
      <c r="AF137" s="65"/>
      <c r="AG137" s="65"/>
      <c r="AH137" s="65"/>
      <c r="AI137" s="65"/>
      <c r="AJ137" s="65"/>
      <c r="AK137" s="65"/>
      <c r="AL137" s="65"/>
      <c r="AM137" s="65"/>
      <c r="AN137" s="65"/>
      <c r="AO137" s="65"/>
      <c r="AP137" s="65"/>
      <c r="AQ137" s="65"/>
      <c r="AR137" s="65"/>
      <c r="AS137" s="65"/>
      <c r="AT137" s="125"/>
      <c r="AU137" s="65"/>
      <c r="AV137" s="65"/>
      <c r="AW137" s="65"/>
      <c r="AX137" s="65"/>
      <c r="AY137" s="65"/>
      <c r="AZ137" s="33"/>
      <c r="BA137" s="46"/>
      <c r="BB137" s="335"/>
      <c r="BC137" s="336"/>
      <c r="BD137" s="28"/>
      <c r="BG137" s="24"/>
      <c r="BH137" s="28"/>
    </row>
    <row r="138" spans="1:60" ht="14.1" customHeight="1">
      <c r="A138" s="22"/>
      <c r="B138" s="202">
        <v>35</v>
      </c>
      <c r="C138" s="346" t="s">
        <v>250</v>
      </c>
      <c r="D138" s="332"/>
      <c r="E138" s="65"/>
      <c r="F138" s="65"/>
      <c r="G138" s="65"/>
      <c r="H138" s="65"/>
      <c r="I138" s="65"/>
      <c r="J138" s="1067"/>
      <c r="K138" s="1067"/>
      <c r="L138" s="1067"/>
      <c r="M138" s="1067"/>
      <c r="N138" s="65"/>
      <c r="O138" s="65"/>
      <c r="P138" s="65"/>
      <c r="Q138" s="65"/>
      <c r="R138" s="65"/>
      <c r="S138" s="65"/>
      <c r="T138" s="65"/>
      <c r="U138" s="65"/>
      <c r="V138" s="65"/>
      <c r="W138" s="65"/>
      <c r="X138" s="65"/>
      <c r="Y138" s="65"/>
      <c r="Z138" s="65"/>
      <c r="AA138" s="65"/>
      <c r="AB138" s="65"/>
      <c r="AC138" s="65"/>
      <c r="AD138" s="65"/>
      <c r="AE138" s="65"/>
      <c r="AF138" s="65"/>
      <c r="AG138" s="65"/>
      <c r="AH138" s="65"/>
      <c r="AI138" s="65"/>
      <c r="AJ138" s="65"/>
      <c r="AK138" s="65"/>
      <c r="AL138" s="65"/>
      <c r="AM138" s="65"/>
      <c r="AN138" s="65"/>
      <c r="AO138" s="65"/>
      <c r="AP138" s="65"/>
      <c r="AQ138" s="65"/>
      <c r="AR138" s="65"/>
      <c r="AS138" s="65"/>
      <c r="AT138" s="125"/>
      <c r="AU138" s="65"/>
      <c r="AV138" s="65"/>
      <c r="AW138" s="65"/>
      <c r="AX138" s="65"/>
      <c r="AY138" s="65"/>
      <c r="AZ138" s="33"/>
      <c r="BA138" s="46"/>
      <c r="BB138" s="335"/>
      <c r="BC138" s="336"/>
      <c r="BD138" s="28"/>
      <c r="BG138" s="24"/>
      <c r="BH138" s="28"/>
    </row>
    <row r="139" spans="1:60" ht="5.0999999999999996" customHeight="1">
      <c r="A139" s="22"/>
      <c r="B139" s="202"/>
      <c r="C139" s="296"/>
      <c r="D139" s="72"/>
      <c r="E139" s="72"/>
      <c r="F139" s="72"/>
      <c r="G139" s="72"/>
      <c r="H139" s="297"/>
      <c r="I139" s="278"/>
      <c r="J139" s="279"/>
      <c r="K139" s="278"/>
      <c r="L139" s="279"/>
      <c r="M139" s="298"/>
      <c r="N139" s="298"/>
      <c r="O139" s="263"/>
      <c r="P139" s="298"/>
      <c r="Q139" s="263"/>
      <c r="R139" s="298"/>
      <c r="S139" s="72"/>
      <c r="T139" s="72"/>
      <c r="U139" s="72"/>
      <c r="V139" s="72"/>
      <c r="W139" s="72"/>
      <c r="X139" s="297"/>
      <c r="Y139" s="278"/>
      <c r="Z139" s="279"/>
      <c r="AA139" s="278"/>
      <c r="AB139" s="279"/>
      <c r="AC139" s="298"/>
      <c r="AD139" s="298"/>
      <c r="AE139" s="263"/>
      <c r="AF139" s="298"/>
      <c r="AG139" s="263"/>
      <c r="AH139" s="298"/>
      <c r="AI139" s="280"/>
      <c r="AJ139" s="298"/>
      <c r="AK139" s="263"/>
      <c r="AL139" s="72"/>
      <c r="AM139" s="72"/>
      <c r="AN139" s="72"/>
      <c r="AO139" s="72"/>
      <c r="AP139" s="72"/>
      <c r="AQ139" s="72"/>
      <c r="AR139" s="72"/>
      <c r="AS139" s="72"/>
      <c r="AT139" s="72"/>
      <c r="AU139" s="72"/>
      <c r="AV139" s="300"/>
      <c r="AW139" s="72"/>
      <c r="AX139" s="72"/>
      <c r="AY139" s="265"/>
      <c r="AZ139" s="33"/>
      <c r="BA139" s="46"/>
      <c r="BB139" s="335"/>
      <c r="BC139" s="336"/>
      <c r="BD139" s="28"/>
    </row>
    <row r="140" spans="1:60" ht="13.5" customHeight="1">
      <c r="A140" s="22"/>
      <c r="B140" s="45"/>
      <c r="C140" s="266"/>
      <c r="D140" s="28" t="s">
        <v>251</v>
      </c>
      <c r="E140" s="28"/>
      <c r="F140" s="28"/>
      <c r="G140" s="28"/>
      <c r="H140" s="24"/>
      <c r="I140" s="24"/>
      <c r="J140" s="24"/>
      <c r="K140" s="24"/>
      <c r="L140" s="24"/>
      <c r="M140" s="127"/>
      <c r="N140" s="75"/>
      <c r="O140" s="84"/>
      <c r="P140" s="84"/>
      <c r="Q140" s="85"/>
      <c r="R140" s="75"/>
      <c r="S140" s="75"/>
      <c r="T140" s="75"/>
      <c r="U140" s="84"/>
      <c r="V140" s="85"/>
      <c r="W140" s="75"/>
      <c r="X140" s="65"/>
      <c r="Y140" s="28"/>
      <c r="Z140" s="28"/>
      <c r="AA140" s="28"/>
      <c r="AB140" s="28"/>
      <c r="AC140" s="28"/>
      <c r="AD140" s="28"/>
      <c r="AE140" s="28"/>
      <c r="AF140" s="28"/>
      <c r="AG140" s="28"/>
      <c r="AH140" s="28"/>
      <c r="AI140" s="28"/>
      <c r="AJ140" s="28"/>
      <c r="AK140" s="28"/>
      <c r="AL140" s="28"/>
      <c r="AM140" s="31"/>
      <c r="AN140" s="31"/>
      <c r="AO140" s="31"/>
      <c r="AP140" s="31"/>
      <c r="AQ140" s="31"/>
      <c r="AR140" s="31"/>
      <c r="AS140" s="31"/>
      <c r="AT140" s="31"/>
      <c r="AU140" s="31"/>
      <c r="AV140" s="31"/>
      <c r="AW140" s="31"/>
      <c r="AX140" s="65"/>
      <c r="AY140" s="267"/>
      <c r="AZ140" s="33"/>
      <c r="BA140" s="46"/>
      <c r="BB140" s="335"/>
      <c r="BC140" s="336"/>
      <c r="BD140" s="28"/>
      <c r="BE140" s="35"/>
      <c r="BF140" s="35"/>
      <c r="BG140" s="35"/>
    </row>
    <row r="141" spans="1:60" ht="13.5" customHeight="1">
      <c r="A141" s="22"/>
      <c r="B141" s="45"/>
      <c r="C141" s="266"/>
      <c r="D141" s="28"/>
      <c r="E141" s="28"/>
      <c r="F141" s="28"/>
      <c r="G141" s="28"/>
      <c r="H141" s="348" t="s">
        <v>253</v>
      </c>
      <c r="I141" s="131"/>
      <c r="J141" s="131"/>
      <c r="K141" s="131"/>
      <c r="L141" s="132"/>
      <c r="M141" s="132"/>
      <c r="N141" s="106"/>
      <c r="O141" s="133"/>
      <c r="P141" s="134"/>
      <c r="Q141" s="133" t="s">
        <v>252</v>
      </c>
      <c r="R141" s="134"/>
      <c r="S141" s="107"/>
      <c r="T141" s="107"/>
      <c r="U141" s="107"/>
      <c r="V141" s="107"/>
      <c r="W141" s="107"/>
      <c r="X141" s="107"/>
      <c r="Y141" s="107"/>
      <c r="Z141" s="107"/>
      <c r="AA141" s="107"/>
      <c r="AB141" s="107"/>
      <c r="AC141" s="107"/>
      <c r="AD141" s="107"/>
      <c r="AE141" s="107"/>
      <c r="AF141" s="107"/>
      <c r="AG141" s="107"/>
      <c r="AH141" s="107"/>
      <c r="AI141" s="107"/>
      <c r="AJ141" s="107"/>
      <c r="AK141" s="107"/>
      <c r="AL141" s="133" t="s">
        <v>45</v>
      </c>
      <c r="AM141" s="134"/>
      <c r="AN141" s="107"/>
      <c r="AO141" s="31"/>
      <c r="AP141" s="31"/>
      <c r="AQ141" s="31"/>
      <c r="AR141" s="31"/>
      <c r="AS141" s="31"/>
      <c r="AT141" s="31"/>
      <c r="AU141" s="31"/>
      <c r="AV141" s="31"/>
      <c r="AW141" s="31"/>
      <c r="AX141" s="65"/>
      <c r="AY141" s="267"/>
      <c r="AZ141" s="33"/>
      <c r="BA141" s="46"/>
      <c r="BB141" s="335"/>
      <c r="BC141" s="336"/>
      <c r="BD141" s="28"/>
      <c r="BE141" s="35"/>
      <c r="BF141" s="35"/>
      <c r="BG141" s="35"/>
    </row>
    <row r="142" spans="1:60" ht="13.5" customHeight="1">
      <c r="A142" s="22"/>
      <c r="B142" s="45"/>
      <c r="C142" s="266"/>
      <c r="D142" s="28"/>
      <c r="E142" s="28"/>
      <c r="F142" s="28"/>
      <c r="G142" s="28"/>
      <c r="H142" s="485" t="s">
        <v>256</v>
      </c>
      <c r="I142" s="137"/>
      <c r="J142" s="137"/>
      <c r="K142" s="137"/>
      <c r="L142" s="137"/>
      <c r="M142" s="137"/>
      <c r="N142" s="137"/>
      <c r="O142" s="350"/>
      <c r="P142" s="139"/>
      <c r="Q142" s="486" t="s">
        <v>55</v>
      </c>
      <c r="R142" s="139"/>
      <c r="S142" s="108"/>
      <c r="T142" s="108"/>
      <c r="U142" s="108"/>
      <c r="V142" s="156"/>
      <c r="W142" s="110"/>
      <c r="X142" s="110"/>
      <c r="Y142" s="156"/>
      <c r="Z142" s="156"/>
      <c r="AA142" s="110"/>
      <c r="AB142" s="110"/>
      <c r="AC142" s="37"/>
      <c r="AD142" s="37"/>
      <c r="AE142" s="37"/>
      <c r="AF142" s="37"/>
      <c r="AG142" s="37"/>
      <c r="AH142" s="37"/>
      <c r="AI142" s="37"/>
      <c r="AJ142" s="37"/>
      <c r="AK142" s="97"/>
      <c r="AL142" s="140"/>
      <c r="AM142" s="141"/>
      <c r="AN142" s="142"/>
      <c r="AO142" s="31"/>
      <c r="AP142" s="31"/>
      <c r="AQ142" s="31"/>
      <c r="AR142" s="31"/>
      <c r="AS142" s="31"/>
      <c r="AT142" s="31"/>
      <c r="AU142" s="31"/>
      <c r="AV142" s="31"/>
      <c r="AW142" s="31"/>
      <c r="AX142" s="65"/>
      <c r="AY142" s="267"/>
      <c r="AZ142" s="33"/>
      <c r="BA142" s="46"/>
      <c r="BB142" s="335"/>
      <c r="BC142" s="336"/>
      <c r="BD142" s="28"/>
      <c r="BE142" s="35"/>
      <c r="BF142" s="35"/>
      <c r="BG142" s="35"/>
    </row>
    <row r="143" spans="1:60" ht="13.5" customHeight="1">
      <c r="A143" s="22"/>
      <c r="B143" s="45"/>
      <c r="C143" s="266"/>
      <c r="D143" s="28"/>
      <c r="E143" s="28"/>
      <c r="F143" s="28"/>
      <c r="G143" s="28"/>
      <c r="H143" s="485" t="s">
        <v>257</v>
      </c>
      <c r="I143" s="137"/>
      <c r="J143" s="137"/>
      <c r="K143" s="137"/>
      <c r="L143" s="137"/>
      <c r="M143" s="137"/>
      <c r="N143" s="137"/>
      <c r="O143" s="350"/>
      <c r="P143" s="139"/>
      <c r="Q143" s="486" t="s">
        <v>55</v>
      </c>
      <c r="R143" s="139"/>
      <c r="S143" s="108"/>
      <c r="T143" s="108"/>
      <c r="U143" s="108"/>
      <c r="V143" s="156"/>
      <c r="W143" s="110"/>
      <c r="X143" s="110"/>
      <c r="Y143" s="156"/>
      <c r="Z143" s="156"/>
      <c r="AA143" s="110"/>
      <c r="AB143" s="110"/>
      <c r="AC143" s="37"/>
      <c r="AD143" s="37"/>
      <c r="AE143" s="37"/>
      <c r="AF143" s="37"/>
      <c r="AG143" s="37"/>
      <c r="AH143" s="37"/>
      <c r="AI143" s="37"/>
      <c r="AJ143" s="37"/>
      <c r="AK143" s="97"/>
      <c r="AL143" s="140"/>
      <c r="AM143" s="141"/>
      <c r="AN143" s="142"/>
      <c r="AO143" s="31"/>
      <c r="AP143" s="31"/>
      <c r="AQ143" s="31"/>
      <c r="AR143" s="31"/>
      <c r="AS143" s="31"/>
      <c r="AT143" s="31"/>
      <c r="AU143" s="31"/>
      <c r="AV143" s="31"/>
      <c r="AW143" s="31"/>
      <c r="AX143" s="65"/>
      <c r="AY143" s="267"/>
      <c r="AZ143" s="33"/>
      <c r="BA143" s="46"/>
      <c r="BB143" s="335"/>
      <c r="BC143" s="336"/>
      <c r="BD143" s="28"/>
      <c r="BE143" s="35"/>
      <c r="BF143" s="35"/>
      <c r="BG143" s="35"/>
    </row>
    <row r="144" spans="1:60" ht="13.5" customHeight="1">
      <c r="A144" s="22"/>
      <c r="B144" s="45"/>
      <c r="C144" s="266"/>
      <c r="D144" s="28"/>
      <c r="E144" s="28"/>
      <c r="F144" s="28"/>
      <c r="G144" s="28"/>
      <c r="H144" s="485" t="s">
        <v>258</v>
      </c>
      <c r="I144" s="137"/>
      <c r="J144" s="137"/>
      <c r="K144" s="137"/>
      <c r="L144" s="137"/>
      <c r="M144" s="137"/>
      <c r="N144" s="137"/>
      <c r="O144" s="350"/>
      <c r="P144" s="139"/>
      <c r="Q144" s="486" t="s">
        <v>55</v>
      </c>
      <c r="R144" s="139"/>
      <c r="S144" s="108"/>
      <c r="T144" s="108"/>
      <c r="U144" s="108"/>
      <c r="V144" s="156"/>
      <c r="W144" s="110"/>
      <c r="X144" s="110"/>
      <c r="Y144" s="156"/>
      <c r="Z144" s="156"/>
      <c r="AA144" s="110"/>
      <c r="AB144" s="110"/>
      <c r="AC144" s="37"/>
      <c r="AD144" s="37"/>
      <c r="AE144" s="37"/>
      <c r="AF144" s="37"/>
      <c r="AG144" s="37"/>
      <c r="AH144" s="37"/>
      <c r="AI144" s="37"/>
      <c r="AJ144" s="37"/>
      <c r="AK144" s="97"/>
      <c r="AL144" s="140"/>
      <c r="AM144" s="141"/>
      <c r="AN144" s="142"/>
      <c r="AO144" s="31"/>
      <c r="AP144" s="31"/>
      <c r="AQ144" s="31"/>
      <c r="AR144" s="31"/>
      <c r="AS144" s="31"/>
      <c r="AT144" s="31"/>
      <c r="AU144" s="31"/>
      <c r="AV144" s="31"/>
      <c r="AW144" s="31"/>
      <c r="AX144" s="65"/>
      <c r="AY144" s="267"/>
      <c r="AZ144" s="33"/>
      <c r="BA144" s="46"/>
      <c r="BB144" s="335"/>
      <c r="BC144" s="336"/>
      <c r="BD144" s="28"/>
      <c r="BE144" s="35"/>
      <c r="BF144" s="35"/>
      <c r="BG144" s="35"/>
    </row>
    <row r="145" spans="1:60" ht="5.0999999999999996" customHeight="1">
      <c r="A145" s="22"/>
      <c r="B145" s="202"/>
      <c r="C145" s="315"/>
      <c r="D145" s="73"/>
      <c r="E145" s="73"/>
      <c r="F145" s="73"/>
      <c r="G145" s="73"/>
      <c r="H145" s="316"/>
      <c r="I145" s="275"/>
      <c r="J145" s="273"/>
      <c r="K145" s="275"/>
      <c r="L145" s="273"/>
      <c r="M145" s="317"/>
      <c r="N145" s="317"/>
      <c r="O145" s="270"/>
      <c r="P145" s="317"/>
      <c r="Q145" s="270"/>
      <c r="R145" s="317"/>
      <c r="S145" s="73"/>
      <c r="T145" s="73"/>
      <c r="U145" s="73"/>
      <c r="V145" s="73"/>
      <c r="W145" s="73"/>
      <c r="X145" s="316"/>
      <c r="Y145" s="275"/>
      <c r="Z145" s="273"/>
      <c r="AA145" s="275"/>
      <c r="AB145" s="273"/>
      <c r="AC145" s="317"/>
      <c r="AD145" s="317"/>
      <c r="AE145" s="270"/>
      <c r="AF145" s="317"/>
      <c r="AG145" s="270"/>
      <c r="AH145" s="317"/>
      <c r="AI145" s="276"/>
      <c r="AJ145" s="317"/>
      <c r="AK145" s="270"/>
      <c r="AL145" s="73"/>
      <c r="AM145" s="73"/>
      <c r="AN145" s="73"/>
      <c r="AO145" s="73"/>
      <c r="AP145" s="73"/>
      <c r="AQ145" s="73"/>
      <c r="AR145" s="73"/>
      <c r="AS145" s="73"/>
      <c r="AT145" s="73"/>
      <c r="AU145" s="73"/>
      <c r="AV145" s="318"/>
      <c r="AW145" s="73"/>
      <c r="AX145" s="73"/>
      <c r="AY145" s="277"/>
      <c r="AZ145" s="33"/>
      <c r="BA145" s="46"/>
      <c r="BB145" s="335"/>
      <c r="BC145" s="336"/>
      <c r="BD145" s="28"/>
    </row>
    <row r="146" spans="1:60" ht="14.1" customHeight="1">
      <c r="A146" s="22"/>
      <c r="B146" s="202">
        <v>35</v>
      </c>
      <c r="C146" s="331"/>
      <c r="D146" s="332"/>
      <c r="E146" s="65"/>
      <c r="F146" s="65"/>
      <c r="G146" s="65"/>
      <c r="H146" s="65"/>
      <c r="I146" s="65"/>
      <c r="J146" s="1067"/>
      <c r="K146" s="1067"/>
      <c r="L146" s="1067"/>
      <c r="M146" s="1067"/>
      <c r="N146" s="65"/>
      <c r="O146" s="65"/>
      <c r="P146" s="65"/>
      <c r="Q146" s="65"/>
      <c r="R146" s="65"/>
      <c r="S146" s="65"/>
      <c r="T146" s="65"/>
      <c r="U146" s="65"/>
      <c r="V146" s="65"/>
      <c r="W146" s="65"/>
      <c r="X146" s="65"/>
      <c r="Y146" s="65"/>
      <c r="Z146" s="65"/>
      <c r="AA146" s="65"/>
      <c r="AB146" s="65"/>
      <c r="AC146" s="65"/>
      <c r="AD146" s="65"/>
      <c r="AE146" s="65"/>
      <c r="AF146" s="65"/>
      <c r="AG146" s="65"/>
      <c r="AH146" s="65"/>
      <c r="AI146" s="65"/>
      <c r="AJ146" s="65"/>
      <c r="AK146" s="65"/>
      <c r="AL146" s="65"/>
      <c r="AM146" s="65"/>
      <c r="AN146" s="65"/>
      <c r="AO146" s="65"/>
      <c r="AP146" s="65"/>
      <c r="AQ146" s="65"/>
      <c r="AR146" s="65"/>
      <c r="AS146" s="65"/>
      <c r="AT146" s="125"/>
      <c r="AU146" s="65"/>
      <c r="AV146" s="65"/>
      <c r="AW146" s="65"/>
      <c r="AX146" s="65"/>
      <c r="AY146" s="65"/>
      <c r="AZ146" s="33"/>
      <c r="BA146" s="46"/>
      <c r="BB146" s="78"/>
      <c r="BC146" s="34"/>
      <c r="BD146" s="28"/>
      <c r="BG146" s="24"/>
      <c r="BH146" s="28"/>
    </row>
    <row r="147" spans="1:60" ht="13.5" customHeight="1">
      <c r="A147" s="22"/>
      <c r="B147" s="202">
        <v>36</v>
      </c>
      <c r="C147" s="331"/>
      <c r="D147" s="332"/>
      <c r="E147" s="65"/>
      <c r="F147" s="65"/>
      <c r="G147" s="65"/>
      <c r="H147" s="65"/>
      <c r="I147" s="65"/>
      <c r="J147" s="1067"/>
      <c r="K147" s="1067"/>
      <c r="L147" s="1067"/>
      <c r="M147" s="1067"/>
      <c r="N147" s="63"/>
      <c r="O147" s="65"/>
      <c r="P147" s="65"/>
      <c r="Q147" s="65"/>
      <c r="R147" s="28"/>
      <c r="S147" s="28"/>
      <c r="T147" s="31"/>
      <c r="U147" s="31"/>
      <c r="V147" s="31"/>
      <c r="W147" s="31"/>
      <c r="X147" s="31"/>
      <c r="Y147" s="44"/>
      <c r="Z147" s="31"/>
      <c r="AA147" s="28"/>
      <c r="AB147" s="44"/>
      <c r="AC147" s="31"/>
      <c r="AD147" s="28"/>
      <c r="AE147" s="44"/>
      <c r="AF147" s="28"/>
      <c r="AG147" s="116"/>
      <c r="AH147" s="41"/>
      <c r="AI147" s="116"/>
      <c r="AJ147" s="116"/>
      <c r="AK147" s="116"/>
      <c r="AL147" s="116"/>
      <c r="AM147" s="116"/>
      <c r="AN147" s="116"/>
      <c r="AO147" s="116"/>
      <c r="AP147" s="116"/>
      <c r="AQ147" s="116"/>
      <c r="AR147" s="116"/>
      <c r="AS147" s="116"/>
      <c r="AT147" s="116"/>
      <c r="AU147" s="116"/>
      <c r="AV147" s="116"/>
      <c r="AW147" s="116"/>
      <c r="AX147" s="116"/>
      <c r="AY147" s="116"/>
      <c r="AZ147" s="33"/>
      <c r="BA147" s="46"/>
      <c r="BB147" s="335"/>
      <c r="BC147" s="336"/>
      <c r="BD147" s="28"/>
      <c r="BG147" s="24"/>
      <c r="BH147" s="28"/>
    </row>
    <row r="148" spans="1:60" ht="13.5" customHeight="1">
      <c r="A148" s="22"/>
      <c r="B148" s="202">
        <v>37</v>
      </c>
      <c r="C148" s="331"/>
      <c r="D148" s="332"/>
      <c r="E148" s="65"/>
      <c r="F148" s="65"/>
      <c r="G148" s="65"/>
      <c r="H148" s="65"/>
      <c r="I148" s="65"/>
      <c r="J148" s="1067"/>
      <c r="K148" s="1067"/>
      <c r="L148" s="1067"/>
      <c r="M148" s="1067"/>
      <c r="N148" s="193"/>
      <c r="O148" s="195"/>
      <c r="P148" s="193"/>
      <c r="Q148" s="194"/>
      <c r="R148" s="194"/>
      <c r="S148" s="194"/>
      <c r="T148" s="196"/>
      <c r="U148" s="196"/>
      <c r="V148" s="196"/>
      <c r="W148" s="196"/>
      <c r="X148" s="196"/>
      <c r="Y148" s="195"/>
      <c r="Z148" s="196"/>
      <c r="AA148" s="194"/>
      <c r="AB148" s="195"/>
      <c r="AC148" s="196"/>
      <c r="AD148" s="194"/>
      <c r="AE148" s="195"/>
      <c r="AF148" s="194"/>
      <c r="AG148" s="194"/>
      <c r="AH148" s="195"/>
      <c r="AI148" s="194"/>
      <c r="AJ148" s="194"/>
      <c r="AK148" s="197"/>
      <c r="AL148" s="194"/>
      <c r="AM148" s="194"/>
      <c r="AN148" s="194"/>
      <c r="AO148" s="194"/>
      <c r="AP148" s="194"/>
      <c r="AQ148" s="194"/>
      <c r="AR148" s="194"/>
      <c r="AS148" s="194"/>
      <c r="AT148" s="194"/>
      <c r="AU148" s="194"/>
      <c r="AV148" s="194"/>
      <c r="AW148" s="194"/>
      <c r="AX148" s="194"/>
      <c r="AY148" s="194"/>
      <c r="AZ148" s="33"/>
      <c r="BA148" s="46"/>
      <c r="BB148" s="335"/>
      <c r="BC148" s="336"/>
      <c r="BD148" s="28"/>
      <c r="BG148" s="24"/>
      <c r="BH148" s="28"/>
    </row>
    <row r="149" spans="1:60">
      <c r="A149" s="22"/>
      <c r="B149" s="32"/>
      <c r="C149" s="28"/>
      <c r="D149" s="28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81"/>
      <c r="T149" s="81"/>
      <c r="U149" s="81"/>
      <c r="V149" s="81"/>
      <c r="W149" s="28"/>
      <c r="X149" s="28"/>
      <c r="Y149" s="81"/>
      <c r="Z149" s="81"/>
      <c r="AA149" s="28"/>
      <c r="AB149" s="28"/>
      <c r="AC149" s="28"/>
      <c r="AD149" s="81"/>
      <c r="AE149" s="81"/>
      <c r="AF149" s="81"/>
      <c r="AG149" s="81"/>
      <c r="AH149" s="81"/>
      <c r="AI149" s="81"/>
      <c r="AJ149" s="81"/>
      <c r="AK149" s="81"/>
      <c r="AL149" s="81"/>
      <c r="AM149" s="81"/>
      <c r="AN149" s="81"/>
      <c r="AO149" s="81"/>
      <c r="AP149" s="81"/>
      <c r="AQ149" s="81"/>
      <c r="AR149" s="81"/>
      <c r="AS149" s="81"/>
      <c r="AT149" s="81"/>
      <c r="AU149" s="81"/>
      <c r="AV149" s="81"/>
      <c r="AW149" s="81"/>
      <c r="AX149" s="81"/>
      <c r="AY149" s="31"/>
      <c r="AZ149" s="33"/>
      <c r="BA149" s="46"/>
      <c r="BB149" s="335"/>
      <c r="BC149" s="336"/>
    </row>
    <row r="150" spans="1:60">
      <c r="A150" s="155"/>
      <c r="B150" s="95"/>
      <c r="C150" s="110"/>
      <c r="D150" s="110"/>
      <c r="E150" s="110"/>
      <c r="F150" s="110"/>
      <c r="G150" s="110"/>
      <c r="H150" s="110"/>
      <c r="I150" s="110"/>
      <c r="J150" s="110"/>
      <c r="K150" s="110"/>
      <c r="L150" s="110"/>
      <c r="M150" s="110"/>
      <c r="N150" s="110"/>
      <c r="O150" s="110"/>
      <c r="P150" s="110"/>
      <c r="Q150" s="110"/>
      <c r="R150" s="110"/>
      <c r="S150" s="156"/>
      <c r="T150" s="156"/>
      <c r="U150" s="156"/>
      <c r="V150" s="156"/>
      <c r="W150" s="110"/>
      <c r="X150" s="110"/>
      <c r="Y150" s="156"/>
      <c r="Z150" s="156"/>
      <c r="AA150" s="110"/>
      <c r="AB150" s="110"/>
      <c r="AC150" s="110"/>
      <c r="AD150" s="156"/>
      <c r="AE150" s="156"/>
      <c r="AF150" s="156"/>
      <c r="AG150" s="156"/>
      <c r="AH150" s="156"/>
      <c r="AI150" s="156"/>
      <c r="AJ150" s="156"/>
      <c r="AK150" s="156"/>
      <c r="AL150" s="156"/>
      <c r="AM150" s="156"/>
      <c r="AN150" s="156"/>
      <c r="AO150" s="156"/>
      <c r="AP150" s="156"/>
      <c r="AQ150" s="156"/>
      <c r="AR150" s="156"/>
      <c r="AS150" s="156"/>
      <c r="AT150" s="156"/>
      <c r="AU150" s="156"/>
      <c r="AV150" s="156"/>
      <c r="AW150" s="156"/>
      <c r="AX150" s="156"/>
      <c r="AY150" s="95"/>
      <c r="AZ150" s="95"/>
      <c r="BA150" s="157"/>
      <c r="BB150" s="355"/>
      <c r="BC150" s="356"/>
    </row>
  </sheetData>
  <mergeCells count="142">
    <mergeCell ref="AN1:AR1"/>
    <mergeCell ref="AS1:AU1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BB5:BC5"/>
    <mergeCell ref="R56:U56"/>
    <mergeCell ref="AI56:AL56"/>
    <mergeCell ref="AM56:AP56"/>
    <mergeCell ref="AQ56:AT56"/>
    <mergeCell ref="Z56:AD56"/>
    <mergeCell ref="AU56:AX56"/>
    <mergeCell ref="AV1:AY1"/>
    <mergeCell ref="A5:BA5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H47:L47"/>
    <mergeCell ref="H48:L48"/>
    <mergeCell ref="AA1:AJ2"/>
    <mergeCell ref="AK1:AM1"/>
    <mergeCell ref="BG56:BI56"/>
    <mergeCell ref="AY56:BB56"/>
    <mergeCell ref="BG57:BI57"/>
    <mergeCell ref="X80:AA80"/>
    <mergeCell ref="AB80:AE80"/>
    <mergeCell ref="AF80:AJ80"/>
    <mergeCell ref="AK80:AN80"/>
    <mergeCell ref="AO80:AR80"/>
    <mergeCell ref="BA80:BD80"/>
    <mergeCell ref="BE80:BH80"/>
    <mergeCell ref="AY57:BB57"/>
    <mergeCell ref="BC56:BF56"/>
    <mergeCell ref="BC57:BF57"/>
    <mergeCell ref="AI57:AL57"/>
    <mergeCell ref="AM57:AP57"/>
    <mergeCell ref="AQ57:AT57"/>
    <mergeCell ref="Z57:AD57"/>
    <mergeCell ref="AU57:AX57"/>
    <mergeCell ref="Z64:AC64"/>
    <mergeCell ref="R57:U57"/>
    <mergeCell ref="J114:M114"/>
    <mergeCell ref="N64:S64"/>
    <mergeCell ref="T64:Y64"/>
    <mergeCell ref="N70:S70"/>
    <mergeCell ref="T70:Y70"/>
    <mergeCell ref="Z70:AC70"/>
    <mergeCell ref="T97:Y97"/>
    <mergeCell ref="Z97:AC97"/>
    <mergeCell ref="AW91:AZ91"/>
    <mergeCell ref="AK85:AN85"/>
    <mergeCell ref="AO85:AR85"/>
    <mergeCell ref="AS85:AV85"/>
    <mergeCell ref="AW85:AZ85"/>
    <mergeCell ref="N96:S96"/>
    <mergeCell ref="T96:Y96"/>
    <mergeCell ref="Z96:AC96"/>
    <mergeCell ref="N101:S101"/>
    <mergeCell ref="T101:Y101"/>
    <mergeCell ref="Z101:AC101"/>
    <mergeCell ref="J147:M147"/>
    <mergeCell ref="R98:U98"/>
    <mergeCell ref="J148:M148"/>
    <mergeCell ref="BM81:BP81"/>
    <mergeCell ref="CC81:CE81"/>
    <mergeCell ref="X91:AA91"/>
    <mergeCell ref="AF91:AJ91"/>
    <mergeCell ref="AB91:AE91"/>
    <mergeCell ref="AK91:AN91"/>
    <mergeCell ref="AO91:AR91"/>
    <mergeCell ref="AS91:AV91"/>
    <mergeCell ref="BQ81:BT81"/>
    <mergeCell ref="J124:M124"/>
    <mergeCell ref="J130:M130"/>
    <mergeCell ref="J138:M138"/>
    <mergeCell ref="J146:M146"/>
    <mergeCell ref="J122:M122"/>
    <mergeCell ref="AS81:AV81"/>
    <mergeCell ref="AW81:AZ81"/>
    <mergeCell ref="BI81:BL81"/>
    <mergeCell ref="N102:S102"/>
    <mergeCell ref="T102:Y102"/>
    <mergeCell ref="Z102:AC102"/>
    <mergeCell ref="N97:S97"/>
    <mergeCell ref="J121:M121"/>
    <mergeCell ref="BY80:CB80"/>
    <mergeCell ref="BY81:CB81"/>
    <mergeCell ref="BU80:BX80"/>
    <mergeCell ref="BU81:BX81"/>
    <mergeCell ref="BA91:BD91"/>
    <mergeCell ref="BE91:BH91"/>
    <mergeCell ref="BI80:BL80"/>
    <mergeCell ref="J93:M93"/>
    <mergeCell ref="BM80:BP80"/>
    <mergeCell ref="AS80:AV80"/>
    <mergeCell ref="AW80:AZ80"/>
    <mergeCell ref="X86:AA86"/>
    <mergeCell ref="AB86:AE86"/>
    <mergeCell ref="AF86:AJ86"/>
    <mergeCell ref="AK86:AN86"/>
    <mergeCell ref="AO86:AR86"/>
    <mergeCell ref="AS86:AV86"/>
    <mergeCell ref="AW86:AZ86"/>
    <mergeCell ref="BA86:BD86"/>
    <mergeCell ref="BE86:BH86"/>
    <mergeCell ref="X85:AA85"/>
    <mergeCell ref="AB85:AE85"/>
    <mergeCell ref="AF85:AJ85"/>
    <mergeCell ref="CC80:CE80"/>
    <mergeCell ref="X81:AA81"/>
    <mergeCell ref="AB81:AE81"/>
    <mergeCell ref="AF81:AJ81"/>
    <mergeCell ref="AK81:AN81"/>
    <mergeCell ref="AO81:AR81"/>
    <mergeCell ref="BA81:BD81"/>
    <mergeCell ref="BE81:BH81"/>
    <mergeCell ref="BQ80:BT80"/>
    <mergeCell ref="BE85:BH85"/>
    <mergeCell ref="X90:AA90"/>
    <mergeCell ref="AB90:AE90"/>
    <mergeCell ref="AF90:AJ90"/>
    <mergeCell ref="AK90:AN90"/>
    <mergeCell ref="AO90:AR90"/>
    <mergeCell ref="AS90:AV90"/>
    <mergeCell ref="AW90:AZ90"/>
    <mergeCell ref="BA90:BD90"/>
    <mergeCell ref="BE90:BH90"/>
    <mergeCell ref="BA85:BD85"/>
  </mergeCells>
  <phoneticPr fontId="54"/>
  <conditionalFormatting sqref="AK85:AV86">
    <cfRule type="cellIs" dxfId="19" priority="4" operator="lessThan">
      <formula>0</formula>
    </cfRule>
  </conditionalFormatting>
  <conditionalFormatting sqref="AK90:AV91">
    <cfRule type="cellIs" dxfId="18" priority="2" operator="lessThan">
      <formula>0</formula>
    </cfRule>
  </conditionalFormatting>
  <conditionalFormatting sqref="BA80:BD81">
    <cfRule type="cellIs" dxfId="17" priority="14" operator="lessThan">
      <formula>0.3</formula>
    </cfRule>
  </conditionalFormatting>
  <conditionalFormatting sqref="BE80:BH81">
    <cfRule type="cellIs" dxfId="16" priority="13" operator="lessThan">
      <formula>0</formula>
    </cfRule>
  </conditionalFormatting>
  <conditionalFormatting sqref="BE85:BH86">
    <cfRule type="cellIs" dxfId="15" priority="3" operator="lessThan">
      <formula>0.3</formula>
    </cfRule>
  </conditionalFormatting>
  <conditionalFormatting sqref="BE90:BH91">
    <cfRule type="cellIs" dxfId="14" priority="1" operator="lessThan">
      <formula>0.3</formula>
    </cfRule>
  </conditionalFormatting>
  <conditionalFormatting sqref="BQ80:BT81">
    <cfRule type="cellIs" dxfId="13" priority="11" operator="lessThan">
      <formula>0.3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74EBD-1876-4CED-B80F-E839595C5CAB}">
  <dimension ref="A1:CM117"/>
  <sheetViews>
    <sheetView showGridLines="0" zoomScaleNormal="100" zoomScaleSheetLayoutView="100" workbookViewId="0">
      <selection activeCell="Z20" sqref="Z20"/>
    </sheetView>
  </sheetViews>
  <sheetFormatPr defaultColWidth="9" defaultRowHeight="13.5"/>
  <cols>
    <col min="1" max="18" width="2.625" style="35" customWidth="1"/>
    <col min="19" max="22" width="2.625" style="25" customWidth="1"/>
    <col min="23" max="24" width="2.625" style="35" customWidth="1"/>
    <col min="25" max="26" width="2.625" style="25" customWidth="1"/>
    <col min="27" max="29" width="2.625" style="35" customWidth="1"/>
    <col min="30" max="55" width="2.625" style="25" customWidth="1"/>
    <col min="56" max="56" width="2.625" style="81" customWidth="1"/>
    <col min="57" max="59" width="2.625" style="28" customWidth="1"/>
    <col min="60" max="128" width="2.625" style="35" customWidth="1"/>
    <col min="129" max="16384" width="9" style="35"/>
  </cols>
  <sheetData>
    <row r="1" spans="1:59" ht="12" customHeight="1">
      <c r="A1" s="846" t="s">
        <v>4</v>
      </c>
      <c r="B1" s="846"/>
      <c r="C1" s="846"/>
      <c r="D1" s="846"/>
      <c r="E1" s="846"/>
      <c r="F1" s="846"/>
      <c r="G1" s="846"/>
      <c r="H1" s="846"/>
      <c r="I1" s="829" t="s">
        <v>5</v>
      </c>
      <c r="J1" s="829"/>
      <c r="K1" s="829"/>
      <c r="L1" s="829"/>
      <c r="M1" s="844" t="str">
        <f>変更来歴!M1</f>
        <v>ヒロセ電機株式会社</v>
      </c>
      <c r="N1" s="844"/>
      <c r="O1" s="844"/>
      <c r="P1" s="844"/>
      <c r="Q1" s="844"/>
      <c r="R1" s="844"/>
      <c r="S1" s="844"/>
      <c r="T1" s="844"/>
      <c r="U1" s="844"/>
      <c r="V1" s="844"/>
      <c r="W1" s="844"/>
      <c r="X1" s="829" t="s">
        <v>7</v>
      </c>
      <c r="Y1" s="829"/>
      <c r="Z1" s="829"/>
      <c r="AA1" s="848" t="str">
        <f>変更来歴!AA1</f>
        <v>契約書DB</v>
      </c>
      <c r="AB1" s="848"/>
      <c r="AC1" s="848"/>
      <c r="AD1" s="848"/>
      <c r="AE1" s="848"/>
      <c r="AF1" s="848"/>
      <c r="AG1" s="848"/>
      <c r="AH1" s="848"/>
      <c r="AI1" s="848"/>
      <c r="AJ1" s="848"/>
      <c r="AK1" s="833" t="s">
        <v>8</v>
      </c>
      <c r="AL1" s="833"/>
      <c r="AM1" s="833"/>
      <c r="AN1" s="834" t="str">
        <f>変更来歴!AP7</f>
        <v>古竹</v>
      </c>
      <c r="AO1" s="834"/>
      <c r="AP1" s="834"/>
      <c r="AQ1" s="834"/>
      <c r="AR1" s="834"/>
      <c r="AS1" s="833" t="s">
        <v>9</v>
      </c>
      <c r="AT1" s="833"/>
      <c r="AU1" s="833"/>
      <c r="AV1" s="836">
        <f>変更来歴!AL7</f>
        <v>46125</v>
      </c>
      <c r="AW1" s="849"/>
      <c r="AX1" s="849"/>
      <c r="AY1" s="849"/>
      <c r="AZ1" s="825" t="s">
        <v>10</v>
      </c>
      <c r="BA1" s="826"/>
      <c r="BB1" s="826"/>
      <c r="BC1" s="827"/>
    </row>
    <row r="2" spans="1:59">
      <c r="A2" s="828" t="s">
        <v>16</v>
      </c>
      <c r="B2" s="828"/>
      <c r="C2" s="828"/>
      <c r="D2" s="828"/>
      <c r="E2" s="828"/>
      <c r="F2" s="828"/>
      <c r="G2" s="828"/>
      <c r="H2" s="828"/>
      <c r="I2" s="829" t="s">
        <v>11</v>
      </c>
      <c r="J2" s="829"/>
      <c r="K2" s="829"/>
      <c r="L2" s="829"/>
      <c r="M2" s="862" t="str">
        <f>変更来歴!M2</f>
        <v>　</v>
      </c>
      <c r="N2" s="862"/>
      <c r="O2" s="862"/>
      <c r="P2" s="862"/>
      <c r="Q2" s="862"/>
      <c r="R2" s="862"/>
      <c r="S2" s="862"/>
      <c r="T2" s="862"/>
      <c r="U2" s="862"/>
      <c r="V2" s="862"/>
      <c r="W2" s="862"/>
      <c r="X2" s="829"/>
      <c r="Y2" s="829"/>
      <c r="Z2" s="829"/>
      <c r="AA2" s="848"/>
      <c r="AB2" s="848"/>
      <c r="AC2" s="848"/>
      <c r="AD2" s="848"/>
      <c r="AE2" s="848"/>
      <c r="AF2" s="848"/>
      <c r="AG2" s="848"/>
      <c r="AH2" s="848"/>
      <c r="AI2" s="848"/>
      <c r="AJ2" s="848"/>
      <c r="AK2" s="833" t="s">
        <v>12</v>
      </c>
      <c r="AL2" s="833"/>
      <c r="AM2" s="833"/>
      <c r="AN2" s="834" t="str">
        <f ca="1">INDIRECT("変更来歴!AP" &amp; COUNTA(変更来歴!AP7:'変更来歴'!AP39) + 6)</f>
        <v>古竹</v>
      </c>
      <c r="AO2" s="834"/>
      <c r="AP2" s="834"/>
      <c r="AQ2" s="834"/>
      <c r="AR2" s="834"/>
      <c r="AS2" s="833" t="s">
        <v>13</v>
      </c>
      <c r="AT2" s="833"/>
      <c r="AU2" s="833"/>
      <c r="AV2" s="836">
        <f ca="1">INDIRECT("変更来歴!AL" &amp; COUNTA(変更来歴!AL7:'変更来歴'!AL39) + 6)</f>
        <v>46134</v>
      </c>
      <c r="AW2" s="849"/>
      <c r="AX2" s="849"/>
      <c r="AY2" s="849"/>
      <c r="AZ2" s="837" t="str">
        <f>変更来歴!AX2</f>
        <v>IMWF-53</v>
      </c>
      <c r="BA2" s="838"/>
      <c r="BB2" s="838"/>
      <c r="BC2" s="839"/>
    </row>
    <row r="3" spans="1:59" ht="12" customHeight="1">
      <c r="A3" s="843" t="str">
        <f>変更来歴!A3</f>
        <v>画面設計書</v>
      </c>
      <c r="B3" s="843"/>
      <c r="C3" s="843"/>
      <c r="D3" s="843"/>
      <c r="E3" s="843"/>
      <c r="F3" s="843"/>
      <c r="G3" s="843"/>
      <c r="H3" s="843"/>
      <c r="I3" s="829" t="s">
        <v>14</v>
      </c>
      <c r="J3" s="829"/>
      <c r="K3" s="829"/>
      <c r="L3" s="829"/>
      <c r="M3" s="844" t="str">
        <f ca="1">RIGHT(CELL("filename",A1),LEN(CELL("filename",A1))-FIND("]",CELL("filename",A1)))</f>
        <v>外貨(技術原計)</v>
      </c>
      <c r="N3" s="844"/>
      <c r="O3" s="844"/>
      <c r="P3" s="844"/>
      <c r="Q3" s="844"/>
      <c r="R3" s="844"/>
      <c r="S3" s="844"/>
      <c r="T3" s="844"/>
      <c r="U3" s="844"/>
      <c r="V3" s="844"/>
      <c r="W3" s="844"/>
      <c r="X3" s="829" t="s">
        <v>27</v>
      </c>
      <c r="Y3" s="829"/>
      <c r="Z3" s="829"/>
      <c r="AA3" s="845" t="str">
        <f ca="1">MID(CELL("filename"),FIND("]",CELL("filename"))+1,LEN(CELL("filename"))) &amp; "画面"</f>
        <v>化学物質データ画面(日英併記)画面</v>
      </c>
      <c r="AB3" s="845"/>
      <c r="AC3" s="845"/>
      <c r="AD3" s="845"/>
      <c r="AE3" s="845"/>
      <c r="AF3" s="845"/>
      <c r="AG3" s="845"/>
      <c r="AH3" s="845"/>
      <c r="AI3" s="845"/>
      <c r="AJ3" s="845"/>
      <c r="AK3" s="845"/>
      <c r="AL3" s="845"/>
      <c r="AM3" s="845"/>
      <c r="AN3" s="845"/>
      <c r="AO3" s="845"/>
      <c r="AP3" s="845"/>
      <c r="AQ3" s="845"/>
      <c r="AR3" s="845"/>
      <c r="AS3" s="833" t="s">
        <v>15</v>
      </c>
      <c r="AT3" s="833"/>
      <c r="AU3" s="833"/>
      <c r="AV3" s="849" t="str">
        <f ca="1">INDIRECT("変更来歴!A" &amp; COUNTA(変更来歴!A7:'変更来歴'!A39) + 6)</f>
        <v>r1.1</v>
      </c>
      <c r="AW3" s="849"/>
      <c r="AX3" s="849"/>
      <c r="AY3" s="849"/>
      <c r="AZ3" s="840"/>
      <c r="BA3" s="841"/>
      <c r="BB3" s="841"/>
      <c r="BC3" s="842"/>
    </row>
    <row r="4" spans="1:59" ht="5.85" customHeight="1"/>
    <row r="5" spans="1:59" ht="13.5" customHeight="1">
      <c r="A5" s="864" t="str">
        <f ca="1">"画面レイアウト"&amp;"("&amp;MID(CELL("filename"),FIND("]",CELL("filename"))+1,LEN(CELL("filename")))&amp;")"</f>
        <v>画面レイアウト(化学物質データ画面(日英併記))</v>
      </c>
      <c r="B5" s="865"/>
      <c r="C5" s="865"/>
      <c r="D5" s="865"/>
      <c r="E5" s="865"/>
      <c r="F5" s="865"/>
      <c r="G5" s="865"/>
      <c r="H5" s="865"/>
      <c r="I5" s="865"/>
      <c r="J5" s="865"/>
      <c r="K5" s="865"/>
      <c r="L5" s="865"/>
      <c r="M5" s="865"/>
      <c r="N5" s="865"/>
      <c r="O5" s="865"/>
      <c r="P5" s="865"/>
      <c r="Q5" s="865"/>
      <c r="R5" s="865"/>
      <c r="S5" s="865"/>
      <c r="T5" s="865"/>
      <c r="U5" s="865"/>
      <c r="V5" s="865"/>
      <c r="W5" s="865"/>
      <c r="X5" s="865"/>
      <c r="Y5" s="865"/>
      <c r="Z5" s="865"/>
      <c r="AA5" s="865"/>
      <c r="AB5" s="865"/>
      <c r="AC5" s="865"/>
      <c r="AD5" s="865"/>
      <c r="AE5" s="865"/>
      <c r="AF5" s="865"/>
      <c r="AG5" s="865"/>
      <c r="AH5" s="865"/>
      <c r="AI5" s="865"/>
      <c r="AJ5" s="865"/>
      <c r="AK5" s="865"/>
      <c r="AL5" s="865"/>
      <c r="AM5" s="865"/>
      <c r="AN5" s="865"/>
      <c r="AO5" s="865"/>
      <c r="AP5" s="865"/>
      <c r="AQ5" s="865"/>
      <c r="AR5" s="865"/>
      <c r="AS5" s="865"/>
      <c r="AT5" s="865"/>
      <c r="AU5" s="865"/>
      <c r="AV5" s="865"/>
      <c r="AW5" s="865"/>
      <c r="AX5" s="865"/>
      <c r="AY5" s="865"/>
      <c r="AZ5" s="865"/>
      <c r="BA5" s="866"/>
      <c r="BB5" s="867" t="s">
        <v>24</v>
      </c>
      <c r="BC5" s="868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48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289</v>
      </c>
      <c r="O7" s="36"/>
      <c r="P7" s="36"/>
      <c r="Q7" s="36"/>
      <c r="R7" s="49" t="s">
        <v>288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49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50</v>
      </c>
      <c r="D10" s="31"/>
      <c r="E10" s="31"/>
      <c r="F10" s="31" t="s">
        <v>54</v>
      </c>
      <c r="G10" s="31"/>
      <c r="H10" s="127" t="s">
        <v>53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51</v>
      </c>
      <c r="D11" s="31"/>
      <c r="E11" s="31"/>
      <c r="F11" s="31" t="s">
        <v>54</v>
      </c>
      <c r="G11" s="31"/>
      <c r="H11" s="75" t="s">
        <v>55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52</v>
      </c>
      <c r="D12" s="31"/>
      <c r="E12" s="31"/>
      <c r="F12" s="31" t="s">
        <v>54</v>
      </c>
      <c r="G12" s="31"/>
      <c r="H12" s="75" t="s">
        <v>56</v>
      </c>
      <c r="I12" s="75"/>
      <c r="J12" s="75"/>
      <c r="K12" s="75"/>
      <c r="L12" s="75" t="s">
        <v>57</v>
      </c>
      <c r="M12" s="75"/>
      <c r="N12" s="75"/>
      <c r="O12" s="75" t="s">
        <v>58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104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0999999999999996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105</v>
      </c>
      <c r="D16" s="28"/>
      <c r="E16" s="28"/>
      <c r="F16" s="28"/>
      <c r="G16" s="28"/>
      <c r="H16" s="255" t="s">
        <v>171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59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60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61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62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63</v>
      </c>
      <c r="U19" s="63"/>
      <c r="V19" s="63"/>
      <c r="W19" s="63"/>
      <c r="X19" s="63"/>
      <c r="Y19" s="124" t="s">
        <v>71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107</v>
      </c>
      <c r="D20" s="31"/>
      <c r="E20" s="31"/>
      <c r="F20" s="31"/>
      <c r="G20" s="31"/>
      <c r="H20" s="58"/>
      <c r="I20" s="59"/>
      <c r="J20" s="59"/>
      <c r="K20" s="456">
        <v>0.05</v>
      </c>
      <c r="L20" s="299" t="s">
        <v>108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0999999999999996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109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0999999999999996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110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111</v>
      </c>
      <c r="Q25" s="64"/>
      <c r="R25" s="63"/>
      <c r="S25" s="35"/>
      <c r="T25" s="28" t="s">
        <v>120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113</v>
      </c>
      <c r="AH25" s="28"/>
      <c r="AI25" s="28"/>
      <c r="AJ25" s="28"/>
      <c r="AK25" s="28" t="s">
        <v>114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115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269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/>
      <c r="S26" s="35"/>
      <c r="T26" s="28" t="s">
        <v>267</v>
      </c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28"/>
      <c r="AL26" s="28"/>
      <c r="AM26" s="28"/>
      <c r="AN26" s="28"/>
      <c r="AO26" s="35"/>
      <c r="AP26" s="62"/>
      <c r="AQ26" s="63"/>
      <c r="AR26" s="63"/>
      <c r="AS26" s="63"/>
      <c r="AT26" s="64"/>
      <c r="AU26" s="63"/>
      <c r="AV26" s="65"/>
      <c r="AW26" s="65"/>
      <c r="AX26" s="65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" customHeight="1">
      <c r="A27" s="22"/>
      <c r="B27" s="256"/>
      <c r="C27" s="497" t="s">
        <v>275</v>
      </c>
      <c r="F27" s="285"/>
      <c r="G27" s="285"/>
      <c r="H27" s="98" t="s">
        <v>123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276</v>
      </c>
      <c r="U27" s="35"/>
      <c r="V27" s="285"/>
      <c r="W27" s="285"/>
      <c r="X27" s="285"/>
      <c r="Y27" s="98" t="s">
        <v>124</v>
      </c>
      <c r="Z27" s="257"/>
      <c r="AA27" s="258"/>
      <c r="AB27" s="258"/>
      <c r="AC27" s="258"/>
      <c r="AD27" s="259"/>
      <c r="AE27" s="258"/>
      <c r="AF27" s="142"/>
      <c r="AG27" s="496" t="s">
        <v>33</v>
      </c>
      <c r="AH27" s="35"/>
      <c r="AI27" s="35"/>
      <c r="AJ27" s="285"/>
      <c r="AL27" s="35"/>
      <c r="AM27" s="285"/>
      <c r="AN27" s="35"/>
      <c r="AO27" s="35"/>
      <c r="AP27" s="26"/>
      <c r="AQ27" s="493"/>
      <c r="AR27" s="494"/>
      <c r="AS27" s="494"/>
      <c r="AT27" s="494"/>
      <c r="AU27" s="495"/>
      <c r="AV27" s="38"/>
      <c r="AW27" s="26"/>
      <c r="AX27" s="499"/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270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271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70"/>
      <c r="AH28" s="28"/>
      <c r="AI28" s="28"/>
      <c r="AJ28" s="28" t="s">
        <v>272</v>
      </c>
      <c r="AK28" s="28"/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498"/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45"/>
      <c r="C29" s="282" t="s">
        <v>119</v>
      </c>
      <c r="D29" s="28"/>
      <c r="E29" s="28"/>
      <c r="F29" s="28"/>
      <c r="H29" s="58"/>
      <c r="I29" s="59"/>
      <c r="J29" s="59"/>
      <c r="K29" s="59"/>
      <c r="L29" s="60"/>
      <c r="M29" s="59"/>
      <c r="N29" s="61"/>
      <c r="O29" s="61"/>
      <c r="P29" s="260" t="s">
        <v>33</v>
      </c>
      <c r="Q29" s="64"/>
      <c r="R29" s="28"/>
      <c r="S29" s="35"/>
      <c r="T29" s="26" t="s">
        <v>273</v>
      </c>
      <c r="U29" s="28"/>
      <c r="V29" s="28"/>
      <c r="W29" s="28"/>
      <c r="Y29" s="58"/>
      <c r="Z29" s="59"/>
      <c r="AA29" s="59"/>
      <c r="AB29" s="59"/>
      <c r="AC29" s="60"/>
      <c r="AD29" s="59"/>
      <c r="AE29" s="61"/>
      <c r="AF29" s="61"/>
      <c r="AG29" s="70"/>
      <c r="AH29" s="28"/>
      <c r="AI29" s="28"/>
      <c r="AJ29" s="28" t="s">
        <v>274</v>
      </c>
      <c r="AK29" s="28"/>
      <c r="AL29" s="28"/>
      <c r="AM29" s="28"/>
      <c r="AN29" s="28"/>
      <c r="AO29" s="35"/>
      <c r="AP29" s="58"/>
      <c r="AQ29" s="59"/>
      <c r="AR29" s="59"/>
      <c r="AS29" s="59"/>
      <c r="AT29" s="60"/>
      <c r="AU29" s="59"/>
      <c r="AV29" s="70"/>
      <c r="AW29" s="94" t="s">
        <v>268</v>
      </c>
      <c r="AX29" s="35"/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 t="s">
        <v>125</v>
      </c>
      <c r="D30" s="41"/>
      <c r="E30" s="41"/>
      <c r="F30" s="41"/>
      <c r="G30" s="41"/>
      <c r="H30" s="163"/>
      <c r="I30" s="164"/>
      <c r="J30" s="165"/>
      <c r="K30" s="164"/>
      <c r="L30" s="165"/>
      <c r="M30" s="164"/>
      <c r="N30" s="166"/>
      <c r="O30" s="164"/>
      <c r="P30" s="165"/>
      <c r="Q30" s="165"/>
      <c r="R30" s="165"/>
      <c r="S30" s="167"/>
      <c r="T30" s="167"/>
      <c r="U30" s="167"/>
      <c r="V30" s="167"/>
      <c r="W30" s="167"/>
      <c r="X30" s="166"/>
      <c r="Y30" s="167"/>
      <c r="Z30" s="165"/>
      <c r="AA30" s="166"/>
      <c r="AB30" s="167"/>
      <c r="AC30" s="165"/>
      <c r="AD30" s="166"/>
      <c r="AE30" s="165"/>
      <c r="AF30" s="165"/>
      <c r="AG30" s="166"/>
      <c r="AH30" s="165"/>
      <c r="AI30" s="165"/>
      <c r="AJ30" s="168"/>
      <c r="AK30" s="165"/>
      <c r="AL30" s="165"/>
      <c r="AM30" s="165"/>
      <c r="AN30" s="165"/>
      <c r="AO30" s="165"/>
      <c r="AP30" s="165"/>
      <c r="AQ30" s="165"/>
      <c r="AR30" s="165"/>
      <c r="AS30" s="165"/>
      <c r="AT30" s="165"/>
      <c r="AU30" s="165"/>
      <c r="AV30" s="165"/>
      <c r="AW30" s="165"/>
      <c r="AX30" s="160" t="s">
        <v>37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/>
      <c r="D31" s="41"/>
      <c r="E31" s="41"/>
      <c r="F31" s="41"/>
      <c r="G31" s="41"/>
      <c r="H31" s="169"/>
      <c r="I31" s="170"/>
      <c r="J31" s="171"/>
      <c r="K31" s="170"/>
      <c r="L31" s="171"/>
      <c r="M31" s="170"/>
      <c r="N31" s="172"/>
      <c r="O31" s="170"/>
      <c r="P31" s="171"/>
      <c r="Q31" s="171"/>
      <c r="R31" s="171"/>
      <c r="S31" s="173"/>
      <c r="T31" s="173"/>
      <c r="U31" s="173"/>
      <c r="V31" s="173"/>
      <c r="W31" s="173"/>
      <c r="X31" s="172"/>
      <c r="Y31" s="173"/>
      <c r="Z31" s="171"/>
      <c r="AA31" s="172"/>
      <c r="AB31" s="173"/>
      <c r="AC31" s="171"/>
      <c r="AD31" s="172"/>
      <c r="AE31" s="171"/>
      <c r="AF31" s="171"/>
      <c r="AG31" s="172"/>
      <c r="AH31" s="171"/>
      <c r="AI31" s="171"/>
      <c r="AJ31" s="174"/>
      <c r="AK31" s="171"/>
      <c r="AL31" s="171"/>
      <c r="AM31" s="171"/>
      <c r="AN31" s="171"/>
      <c r="AO31" s="171"/>
      <c r="AP31" s="171"/>
      <c r="AQ31" s="171"/>
      <c r="AR31" s="171"/>
      <c r="AS31" s="171"/>
      <c r="AT31" s="171"/>
      <c r="AU31" s="171"/>
      <c r="AV31" s="171"/>
      <c r="AW31" s="171"/>
      <c r="AX31" s="122" t="s">
        <v>33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 t="s">
        <v>127</v>
      </c>
      <c r="D32" s="41"/>
      <c r="E32" s="41"/>
      <c r="F32" s="41"/>
      <c r="G32" s="41"/>
      <c r="H32" s="163" t="s">
        <v>172</v>
      </c>
      <c r="I32" s="164"/>
      <c r="J32" s="165"/>
      <c r="K32" s="164"/>
      <c r="L32" s="165"/>
      <c r="M32" s="164"/>
      <c r="N32" s="166"/>
      <c r="O32" s="164"/>
      <c r="P32" s="165"/>
      <c r="Q32" s="165"/>
      <c r="R32" s="165"/>
      <c r="S32" s="167"/>
      <c r="T32" s="167"/>
      <c r="U32" s="167"/>
      <c r="V32" s="167"/>
      <c r="W32" s="167"/>
      <c r="X32" s="166"/>
      <c r="Y32" s="167"/>
      <c r="Z32" s="165"/>
      <c r="AA32" s="166"/>
      <c r="AB32" s="167"/>
      <c r="AC32" s="165"/>
      <c r="AD32" s="166"/>
      <c r="AE32" s="165"/>
      <c r="AF32" s="165"/>
      <c r="AG32" s="166"/>
      <c r="AH32" s="165"/>
      <c r="AI32" s="165"/>
      <c r="AJ32" s="168"/>
      <c r="AK32" s="165"/>
      <c r="AL32" s="165"/>
      <c r="AM32" s="165"/>
      <c r="AN32" s="165"/>
      <c r="AO32" s="165"/>
      <c r="AP32" s="165"/>
      <c r="AQ32" s="165"/>
      <c r="AR32" s="165"/>
      <c r="AS32" s="165"/>
      <c r="AT32" s="165"/>
      <c r="AU32" s="165"/>
      <c r="AV32" s="165"/>
      <c r="AW32" s="165"/>
      <c r="AX32" s="160" t="s">
        <v>37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87"/>
      <c r="D33" s="41"/>
      <c r="E33" s="41"/>
      <c r="F33" s="41"/>
      <c r="G33" s="41"/>
      <c r="H33" s="169"/>
      <c r="I33" s="170"/>
      <c r="J33" s="171"/>
      <c r="K33" s="170"/>
      <c r="L33" s="171"/>
      <c r="M33" s="170"/>
      <c r="N33" s="172"/>
      <c r="O33" s="170"/>
      <c r="P33" s="171"/>
      <c r="Q33" s="171"/>
      <c r="R33" s="171"/>
      <c r="S33" s="173"/>
      <c r="T33" s="173"/>
      <c r="U33" s="173"/>
      <c r="V33" s="173"/>
      <c r="W33" s="173"/>
      <c r="X33" s="172"/>
      <c r="Y33" s="173"/>
      <c r="Z33" s="171"/>
      <c r="AA33" s="172"/>
      <c r="AB33" s="173"/>
      <c r="AC33" s="171"/>
      <c r="AD33" s="172"/>
      <c r="AE33" s="171"/>
      <c r="AF33" s="171"/>
      <c r="AG33" s="172"/>
      <c r="AH33" s="171"/>
      <c r="AI33" s="171"/>
      <c r="AJ33" s="174"/>
      <c r="AK33" s="171"/>
      <c r="AL33" s="171"/>
      <c r="AM33" s="171"/>
      <c r="AN33" s="171"/>
      <c r="AO33" s="171"/>
      <c r="AP33" s="171"/>
      <c r="AQ33" s="171"/>
      <c r="AR33" s="171"/>
      <c r="AS33" s="171"/>
      <c r="AT33" s="171"/>
      <c r="AU33" s="171"/>
      <c r="AV33" s="171"/>
      <c r="AW33" s="171"/>
      <c r="AX33" s="122" t="s">
        <v>33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87" t="s">
        <v>128</v>
      </c>
      <c r="D34" s="41"/>
      <c r="E34" s="41"/>
      <c r="F34" s="41"/>
      <c r="G34" s="41"/>
      <c r="H34" s="163"/>
      <c r="I34" s="164"/>
      <c r="J34" s="165"/>
      <c r="K34" s="164"/>
      <c r="L34" s="165"/>
      <c r="M34" s="164"/>
      <c r="N34" s="166"/>
      <c r="O34" s="164"/>
      <c r="P34" s="165"/>
      <c r="Q34" s="165"/>
      <c r="R34" s="165"/>
      <c r="S34" s="167"/>
      <c r="T34" s="167"/>
      <c r="U34" s="167"/>
      <c r="V34" s="167"/>
      <c r="W34" s="167"/>
      <c r="X34" s="166"/>
      <c r="Y34" s="167"/>
      <c r="Z34" s="165"/>
      <c r="AA34" s="166"/>
      <c r="AB34" s="167"/>
      <c r="AC34" s="165"/>
      <c r="AD34" s="166"/>
      <c r="AE34" s="165"/>
      <c r="AF34" s="165"/>
      <c r="AG34" s="166"/>
      <c r="AH34" s="165"/>
      <c r="AI34" s="165"/>
      <c r="AJ34" s="168"/>
      <c r="AK34" s="165"/>
      <c r="AL34" s="165"/>
      <c r="AM34" s="165"/>
      <c r="AN34" s="165"/>
      <c r="AO34" s="165"/>
      <c r="AP34" s="165"/>
      <c r="AQ34" s="165"/>
      <c r="AR34" s="165"/>
      <c r="AS34" s="165"/>
      <c r="AT34" s="165"/>
      <c r="AU34" s="165"/>
      <c r="AV34" s="165"/>
      <c r="AW34" s="165"/>
      <c r="AX34" s="160" t="s">
        <v>37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59" ht="13.5" customHeight="1">
      <c r="A35" s="22"/>
      <c r="B35" s="32"/>
      <c r="C35" s="287"/>
      <c r="D35" s="41"/>
      <c r="E35" s="41"/>
      <c r="F35" s="41"/>
      <c r="G35" s="41"/>
      <c r="H35" s="169"/>
      <c r="I35" s="170"/>
      <c r="J35" s="171"/>
      <c r="K35" s="170"/>
      <c r="L35" s="171"/>
      <c r="M35" s="170"/>
      <c r="N35" s="172"/>
      <c r="O35" s="170"/>
      <c r="P35" s="171"/>
      <c r="Q35" s="171"/>
      <c r="R35" s="171"/>
      <c r="S35" s="173"/>
      <c r="T35" s="173"/>
      <c r="U35" s="173"/>
      <c r="V35" s="173"/>
      <c r="W35" s="173"/>
      <c r="X35" s="172"/>
      <c r="Y35" s="173"/>
      <c r="Z35" s="171"/>
      <c r="AA35" s="172"/>
      <c r="AB35" s="173"/>
      <c r="AC35" s="171"/>
      <c r="AD35" s="172"/>
      <c r="AE35" s="171"/>
      <c r="AF35" s="171"/>
      <c r="AG35" s="172"/>
      <c r="AH35" s="171"/>
      <c r="AI35" s="171"/>
      <c r="AJ35" s="174"/>
      <c r="AK35" s="171"/>
      <c r="AL35" s="171"/>
      <c r="AM35" s="171"/>
      <c r="AN35" s="171"/>
      <c r="AO35" s="171"/>
      <c r="AP35" s="171"/>
      <c r="AQ35" s="171"/>
      <c r="AR35" s="171"/>
      <c r="AS35" s="171"/>
      <c r="AT35" s="171"/>
      <c r="AU35" s="171"/>
      <c r="AV35" s="171"/>
      <c r="AW35" s="171"/>
      <c r="AX35" s="122" t="s">
        <v>33</v>
      </c>
      <c r="AY35" s="283"/>
      <c r="AZ35" s="33"/>
      <c r="BA35" s="46"/>
      <c r="BB35" s="78"/>
      <c r="BC35" s="34"/>
      <c r="BD35" s="28"/>
      <c r="BE35" s="35"/>
      <c r="BF35" s="35"/>
      <c r="BG35" s="35"/>
    </row>
    <row r="36" spans="1:59" ht="5.0999999999999996" customHeight="1">
      <c r="A36" s="22"/>
      <c r="B36" s="32"/>
      <c r="C36" s="288"/>
      <c r="D36" s="289"/>
      <c r="E36" s="289"/>
      <c r="F36" s="289"/>
      <c r="G36" s="289"/>
      <c r="H36" s="290"/>
      <c r="I36" s="290"/>
      <c r="J36" s="291"/>
      <c r="K36" s="290"/>
      <c r="L36" s="291"/>
      <c r="M36" s="290"/>
      <c r="N36" s="292"/>
      <c r="O36" s="290"/>
      <c r="P36" s="291"/>
      <c r="Q36" s="291"/>
      <c r="R36" s="291"/>
      <c r="S36" s="293"/>
      <c r="T36" s="293"/>
      <c r="U36" s="293"/>
      <c r="V36" s="293"/>
      <c r="W36" s="293"/>
      <c r="X36" s="292"/>
      <c r="Y36" s="293"/>
      <c r="Z36" s="291"/>
      <c r="AA36" s="292"/>
      <c r="AB36" s="293"/>
      <c r="AC36" s="291"/>
      <c r="AD36" s="292"/>
      <c r="AE36" s="291"/>
      <c r="AF36" s="291"/>
      <c r="AG36" s="292"/>
      <c r="AH36" s="291"/>
      <c r="AI36" s="291"/>
      <c r="AJ36" s="294"/>
      <c r="AK36" s="291"/>
      <c r="AL36" s="291"/>
      <c r="AM36" s="291"/>
      <c r="AN36" s="291"/>
      <c r="AO36" s="291"/>
      <c r="AP36" s="291"/>
      <c r="AQ36" s="291"/>
      <c r="AR36" s="291"/>
      <c r="AS36" s="291"/>
      <c r="AT36" s="291"/>
      <c r="AU36" s="291"/>
      <c r="AV36" s="291"/>
      <c r="AW36" s="291"/>
      <c r="AX36" s="276"/>
      <c r="AY36" s="295"/>
      <c r="AZ36" s="33"/>
      <c r="BA36" s="46"/>
      <c r="BB36" s="78"/>
      <c r="BC36" s="34"/>
      <c r="BD36" s="28"/>
      <c r="BE36" s="35"/>
      <c r="BF36" s="35"/>
      <c r="BG36" s="35"/>
    </row>
    <row r="37" spans="1:59" ht="13.5" customHeight="1">
      <c r="A37" s="22"/>
      <c r="B37" s="32"/>
      <c r="C37" s="41"/>
      <c r="D37" s="41"/>
      <c r="E37" s="41"/>
      <c r="F37" s="41"/>
      <c r="G37" s="41"/>
      <c r="H37" s="364"/>
      <c r="I37" s="364"/>
      <c r="J37" s="365"/>
      <c r="K37" s="364"/>
      <c r="L37" s="365"/>
      <c r="M37" s="364"/>
      <c r="N37" s="366"/>
      <c r="O37" s="364"/>
      <c r="P37" s="365"/>
      <c r="Q37" s="365"/>
      <c r="R37" s="365"/>
      <c r="S37" s="367"/>
      <c r="T37" s="367"/>
      <c r="U37" s="367"/>
      <c r="V37" s="367"/>
      <c r="W37" s="367"/>
      <c r="X37" s="366"/>
      <c r="Y37" s="367"/>
      <c r="Z37" s="365"/>
      <c r="AA37" s="366"/>
      <c r="AB37" s="367"/>
      <c r="AC37" s="365"/>
      <c r="AD37" s="366"/>
      <c r="AE37" s="365"/>
      <c r="AF37" s="365"/>
      <c r="AG37" s="366"/>
      <c r="AH37" s="365"/>
      <c r="AI37" s="365"/>
      <c r="AJ37" s="368"/>
      <c r="AK37" s="365"/>
      <c r="AL37" s="365"/>
      <c r="AM37" s="365"/>
      <c r="AN37" s="365"/>
      <c r="AO37" s="365"/>
      <c r="AP37" s="365"/>
      <c r="AQ37" s="365"/>
      <c r="AR37" s="365"/>
      <c r="AS37" s="365"/>
      <c r="AT37" s="365"/>
      <c r="AU37" s="365"/>
      <c r="AV37" s="365"/>
      <c r="AW37" s="365"/>
      <c r="AX37" s="280"/>
      <c r="AY37" s="63"/>
      <c r="AZ37" s="33"/>
      <c r="BA37" s="46"/>
      <c r="BB37" s="78"/>
      <c r="BC37" s="34"/>
      <c r="BD37" s="28"/>
      <c r="BE37" s="35"/>
      <c r="BF37" s="35"/>
      <c r="BG37" s="35"/>
    </row>
    <row r="38" spans="1:59" ht="13.5" customHeight="1">
      <c r="A38" s="22"/>
      <c r="B38" s="202">
        <v>5</v>
      </c>
      <c r="C38" s="204" t="s">
        <v>266</v>
      </c>
      <c r="D38" s="28"/>
      <c r="E38" s="28"/>
      <c r="F38" s="28"/>
      <c r="G38" s="28"/>
      <c r="H38" s="121"/>
      <c r="I38" s="62"/>
      <c r="J38" s="62"/>
      <c r="K38" s="63"/>
      <c r="L38" s="69"/>
      <c r="M38" s="69"/>
      <c r="N38" s="65"/>
      <c r="O38" s="69"/>
      <c r="P38" s="65"/>
      <c r="Q38" s="65"/>
      <c r="R38" s="69"/>
      <c r="S38" s="28"/>
      <c r="T38" s="28"/>
      <c r="U38" s="28"/>
      <c r="V38" s="28"/>
      <c r="W38" s="28"/>
      <c r="X38" s="121"/>
      <c r="Y38" s="62"/>
      <c r="Z38" s="63"/>
      <c r="AA38" s="62"/>
      <c r="AB38" s="63"/>
      <c r="AC38" s="69"/>
      <c r="AD38" s="69"/>
      <c r="AE38" s="65"/>
      <c r="AF38" s="69"/>
      <c r="AG38" s="65"/>
      <c r="AH38" s="69"/>
      <c r="AI38" s="64"/>
      <c r="AJ38" s="69"/>
      <c r="AK38" s="65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33"/>
      <c r="AW38" s="28"/>
      <c r="AX38" s="28"/>
      <c r="AY38" s="31"/>
      <c r="AZ38" s="33"/>
      <c r="BA38" s="46"/>
      <c r="BB38" s="159"/>
      <c r="BC38" s="115"/>
      <c r="BD38" s="28"/>
    </row>
    <row r="39" spans="1:59" ht="5.0999999999999996" customHeight="1">
      <c r="A39" s="22"/>
      <c r="B39" s="202"/>
      <c r="C39" s="296"/>
      <c r="D39" s="72"/>
      <c r="E39" s="72"/>
      <c r="F39" s="72"/>
      <c r="G39" s="72"/>
      <c r="H39" s="297"/>
      <c r="I39" s="278"/>
      <c r="J39" s="278"/>
      <c r="K39" s="279"/>
      <c r="L39" s="298"/>
      <c r="M39" s="298"/>
      <c r="N39" s="263"/>
      <c r="O39" s="298"/>
      <c r="P39" s="263"/>
      <c r="Q39" s="263"/>
      <c r="R39" s="298"/>
      <c r="S39" s="72"/>
      <c r="T39" s="72"/>
      <c r="U39" s="72"/>
      <c r="V39" s="72"/>
      <c r="W39" s="72"/>
      <c r="X39" s="297"/>
      <c r="Y39" s="278"/>
      <c r="Z39" s="279"/>
      <c r="AA39" s="278"/>
      <c r="AB39" s="279"/>
      <c r="AC39" s="298"/>
      <c r="AD39" s="298"/>
      <c r="AE39" s="263"/>
      <c r="AF39" s="298"/>
      <c r="AG39" s="263"/>
      <c r="AH39" s="298"/>
      <c r="AI39" s="280"/>
      <c r="AJ39" s="298"/>
      <c r="AK39" s="263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300"/>
      <c r="AW39" s="72"/>
      <c r="AX39" s="72"/>
      <c r="AY39" s="265"/>
      <c r="AZ39" s="33"/>
      <c r="BA39" s="46"/>
      <c r="BB39" s="159"/>
      <c r="BC39" s="115"/>
      <c r="BD39" s="28"/>
    </row>
    <row r="40" spans="1:59" ht="13.9" customHeight="1">
      <c r="A40" s="22"/>
      <c r="B40" s="202"/>
      <c r="C40" s="501" t="s">
        <v>284</v>
      </c>
      <c r="D40" s="28"/>
      <c r="E40" s="28"/>
      <c r="F40" s="28"/>
      <c r="G40" s="86" t="s">
        <v>279</v>
      </c>
      <c r="H40" s="86"/>
      <c r="I40" s="86"/>
      <c r="J40" s="86"/>
      <c r="K40" s="86"/>
      <c r="L40" s="322"/>
      <c r="M40" s="75"/>
      <c r="N40" s="65"/>
      <c r="O40" s="69"/>
      <c r="P40" s="65"/>
      <c r="Q40" s="65"/>
      <c r="R40" s="69"/>
      <c r="S40" s="28"/>
      <c r="T40" s="28"/>
      <c r="U40" s="28"/>
      <c r="V40" s="28"/>
      <c r="W40" s="28"/>
      <c r="X40" s="121"/>
      <c r="Y40" s="62"/>
      <c r="Z40" s="63"/>
      <c r="AA40" s="62"/>
      <c r="AB40" s="63"/>
      <c r="AC40" s="69"/>
      <c r="AD40" s="69"/>
      <c r="AE40" s="65"/>
      <c r="AF40" s="69"/>
      <c r="AG40" s="65"/>
      <c r="AH40" s="69"/>
      <c r="AI40" s="64"/>
      <c r="AJ40" s="69"/>
      <c r="AK40" s="65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33"/>
      <c r="AW40" s="28"/>
      <c r="AX40" s="28"/>
      <c r="AY40" s="267"/>
      <c r="AZ40" s="33"/>
      <c r="BA40" s="46"/>
      <c r="BB40" s="159"/>
      <c r="BC40" s="115"/>
      <c r="BD40" s="28"/>
    </row>
    <row r="41" spans="1:59" ht="13.5" customHeight="1">
      <c r="A41" s="22"/>
      <c r="B41" s="202">
        <v>6</v>
      </c>
      <c r="C41" s="304" t="s">
        <v>32</v>
      </c>
      <c r="D41" s="205" t="s">
        <v>264</v>
      </c>
      <c r="E41" s="206"/>
      <c r="F41" s="206"/>
      <c r="G41" s="207"/>
      <c r="H41" s="208" t="s">
        <v>278</v>
      </c>
      <c r="I41" s="209"/>
      <c r="J41" s="209"/>
      <c r="K41" s="206"/>
      <c r="L41" s="207"/>
      <c r="M41" s="28"/>
      <c r="N41" s="28"/>
      <c r="O41" s="28"/>
      <c r="P41" s="28"/>
      <c r="Q41" s="28"/>
      <c r="R41" s="28"/>
      <c r="S41" s="35"/>
      <c r="T41" s="35"/>
      <c r="U41" s="35"/>
      <c r="V41" s="35"/>
      <c r="Y41" s="35"/>
      <c r="Z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11"/>
      <c r="AZ41" s="33"/>
      <c r="BA41" s="46"/>
      <c r="BB41" s="159"/>
      <c r="BC41" s="115"/>
      <c r="BD41" s="35"/>
      <c r="BE41" s="35"/>
      <c r="BF41" s="35"/>
      <c r="BG41" s="35"/>
    </row>
    <row r="42" spans="1:59" ht="13.5" customHeight="1">
      <c r="A42" s="22"/>
      <c r="B42" s="202">
        <v>8</v>
      </c>
      <c r="C42" s="308">
        <v>1</v>
      </c>
      <c r="D42" s="148" t="s">
        <v>149</v>
      </c>
      <c r="E42" s="149"/>
      <c r="F42" s="149"/>
      <c r="G42" s="151"/>
      <c r="H42" s="1117">
        <v>110</v>
      </c>
      <c r="I42" s="1087"/>
      <c r="J42" s="1087"/>
      <c r="K42" s="1087"/>
      <c r="L42" s="1088"/>
      <c r="M42" s="28"/>
      <c r="N42" s="28"/>
      <c r="O42" s="28"/>
      <c r="P42" s="28"/>
      <c r="Q42" s="28"/>
      <c r="R42" s="28"/>
      <c r="S42" s="35"/>
      <c r="T42" s="35"/>
      <c r="U42" s="35"/>
      <c r="V42" s="35"/>
      <c r="Y42" s="35"/>
      <c r="Z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11"/>
      <c r="AZ42" s="33"/>
      <c r="BA42" s="46"/>
      <c r="BB42" s="159"/>
      <c r="BC42" s="115"/>
      <c r="BD42" s="35"/>
      <c r="BE42" s="35"/>
      <c r="BF42" s="35"/>
      <c r="BG42" s="35"/>
    </row>
    <row r="43" spans="1:59" ht="13.5" customHeight="1">
      <c r="A43" s="22"/>
      <c r="B43" s="202">
        <v>9</v>
      </c>
      <c r="C43" s="308">
        <v>2</v>
      </c>
      <c r="D43" s="148" t="s">
        <v>265</v>
      </c>
      <c r="E43" s="149"/>
      <c r="F43" s="149"/>
      <c r="G43" s="151"/>
      <c r="H43" s="1117">
        <v>125</v>
      </c>
      <c r="I43" s="1087"/>
      <c r="J43" s="1087"/>
      <c r="K43" s="1087"/>
      <c r="L43" s="1088"/>
      <c r="M43" s="28"/>
      <c r="N43" s="28"/>
      <c r="O43" s="28"/>
      <c r="P43" s="28"/>
      <c r="Q43" s="28"/>
      <c r="R43" s="28"/>
      <c r="S43" s="35"/>
      <c r="T43" s="35"/>
      <c r="U43" s="35"/>
      <c r="V43" s="35"/>
      <c r="Y43" s="35"/>
      <c r="Z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311"/>
      <c r="AZ43" s="33"/>
      <c r="BA43" s="46"/>
      <c r="BB43" s="159"/>
      <c r="BC43" s="115"/>
      <c r="BD43" s="35"/>
      <c r="BE43" s="35"/>
      <c r="BF43" s="35"/>
      <c r="BG43" s="35"/>
    </row>
    <row r="44" spans="1:59" ht="5.0999999999999996" customHeight="1">
      <c r="A44" s="22"/>
      <c r="B44" s="202"/>
      <c r="C44" s="315"/>
      <c r="D44" s="73"/>
      <c r="E44" s="73"/>
      <c r="F44" s="73"/>
      <c r="G44" s="73"/>
      <c r="H44" s="316"/>
      <c r="I44" s="275"/>
      <c r="J44" s="275"/>
      <c r="K44" s="273"/>
      <c r="L44" s="317"/>
      <c r="M44" s="317"/>
      <c r="N44" s="270"/>
      <c r="O44" s="317"/>
      <c r="P44" s="270"/>
      <c r="Q44" s="270"/>
      <c r="R44" s="317"/>
      <c r="S44" s="73"/>
      <c r="T44" s="73"/>
      <c r="U44" s="73"/>
      <c r="V44" s="73"/>
      <c r="W44" s="73"/>
      <c r="X44" s="316"/>
      <c r="Y44" s="275"/>
      <c r="Z44" s="273"/>
      <c r="AA44" s="275"/>
      <c r="AB44" s="273"/>
      <c r="AC44" s="317"/>
      <c r="AD44" s="317"/>
      <c r="AE44" s="270"/>
      <c r="AF44" s="317"/>
      <c r="AG44" s="270"/>
      <c r="AH44" s="317"/>
      <c r="AI44" s="276"/>
      <c r="AJ44" s="317"/>
      <c r="AK44" s="270"/>
      <c r="AL44" s="73"/>
      <c r="AM44" s="73"/>
      <c r="AN44" s="73"/>
      <c r="AO44" s="73"/>
      <c r="AP44" s="73"/>
      <c r="AQ44" s="73"/>
      <c r="AR44" s="73"/>
      <c r="AS44" s="73"/>
      <c r="AT44" s="73"/>
      <c r="AU44" s="73"/>
      <c r="AV44" s="318"/>
      <c r="AW44" s="73"/>
      <c r="AX44" s="73"/>
      <c r="AY44" s="277"/>
      <c r="AZ44" s="33"/>
      <c r="BA44" s="46"/>
      <c r="BB44" s="159"/>
      <c r="BC44" s="115"/>
      <c r="BD44" s="28"/>
    </row>
    <row r="45" spans="1:59" ht="13.5" customHeight="1">
      <c r="A45" s="22"/>
      <c r="B45" s="202">
        <v>10</v>
      </c>
      <c r="C45" s="492"/>
      <c r="D45" s="65"/>
      <c r="E45" s="65"/>
      <c r="F45" s="65"/>
      <c r="G45" s="65"/>
      <c r="H45" s="65"/>
      <c r="I45" s="65"/>
      <c r="J45" s="65"/>
      <c r="K45" s="65"/>
      <c r="L45" s="65"/>
      <c r="M45" s="62"/>
      <c r="N45" s="63"/>
      <c r="O45" s="65"/>
      <c r="P45" s="65"/>
      <c r="Q45" s="64"/>
      <c r="R45" s="63"/>
      <c r="S45" s="190"/>
      <c r="T45" s="190"/>
      <c r="U45" s="191"/>
      <c r="V45" s="192"/>
      <c r="W45" s="190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3"/>
      <c r="AN45" s="63"/>
      <c r="AO45" s="63"/>
      <c r="AP45" s="63"/>
      <c r="AQ45" s="63"/>
      <c r="AR45" s="63"/>
      <c r="AS45" s="63"/>
      <c r="AT45" s="63"/>
      <c r="AU45" s="63"/>
      <c r="AV45" s="63"/>
      <c r="AW45" s="63"/>
      <c r="AX45" s="63"/>
      <c r="AY45" s="63"/>
      <c r="AZ45" s="33"/>
      <c r="BA45" s="46"/>
      <c r="BB45" s="159"/>
      <c r="BC45" s="115"/>
      <c r="BD45" s="28"/>
    </row>
    <row r="46" spans="1:59" ht="13.5" customHeight="1">
      <c r="A46" s="22"/>
      <c r="B46" s="202">
        <v>5</v>
      </c>
      <c r="C46" s="204" t="s">
        <v>64</v>
      </c>
      <c r="D46" s="28"/>
      <c r="E46" s="28"/>
      <c r="F46" s="28"/>
      <c r="G46" s="28"/>
      <c r="H46" s="121"/>
      <c r="I46" s="62"/>
      <c r="J46" s="63"/>
      <c r="K46" s="62"/>
      <c r="L46" s="63"/>
      <c r="M46" s="69"/>
      <c r="N46" s="69"/>
      <c r="O46" s="65"/>
      <c r="P46" s="69"/>
      <c r="Q46" s="65"/>
      <c r="R46" s="69"/>
      <c r="S46" s="28"/>
      <c r="T46" s="28"/>
      <c r="U46" s="28"/>
      <c r="V46" s="28"/>
      <c r="W46" s="28"/>
      <c r="X46" s="121"/>
      <c r="Y46" s="62"/>
      <c r="Z46" s="63"/>
      <c r="AA46" s="62"/>
      <c r="AB46" s="63"/>
      <c r="AC46" s="69"/>
      <c r="AD46" s="69"/>
      <c r="AE46" s="65"/>
      <c r="AF46" s="69"/>
      <c r="AG46" s="65"/>
      <c r="AH46" s="69"/>
      <c r="AI46" s="64"/>
      <c r="AJ46" s="69"/>
      <c r="AK46" s="65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33"/>
      <c r="AW46" s="28"/>
      <c r="AX46" s="28"/>
      <c r="AY46" s="31"/>
      <c r="AZ46" s="33"/>
      <c r="BA46" s="46"/>
      <c r="BB46" s="159"/>
      <c r="BC46" s="115"/>
      <c r="BD46" s="28"/>
    </row>
    <row r="47" spans="1:59" ht="5.0999999999999996" customHeight="1">
      <c r="A47" s="22"/>
      <c r="B47" s="202"/>
      <c r="C47" s="296"/>
      <c r="D47" s="72"/>
      <c r="E47" s="72"/>
      <c r="F47" s="72"/>
      <c r="G47" s="72"/>
      <c r="H47" s="297"/>
      <c r="I47" s="278"/>
      <c r="J47" s="279"/>
      <c r="K47" s="278"/>
      <c r="L47" s="279"/>
      <c r="M47" s="298"/>
      <c r="N47" s="298"/>
      <c r="O47" s="263"/>
      <c r="P47" s="298"/>
      <c r="Q47" s="263"/>
      <c r="R47" s="298"/>
      <c r="S47" s="72"/>
      <c r="T47" s="72"/>
      <c r="U47" s="72"/>
      <c r="V47" s="72"/>
      <c r="W47" s="72"/>
      <c r="X47" s="297"/>
      <c r="Y47" s="278"/>
      <c r="Z47" s="279"/>
      <c r="AA47" s="278"/>
      <c r="AB47" s="279"/>
      <c r="AC47" s="298"/>
      <c r="AD47" s="298"/>
      <c r="AE47" s="263"/>
      <c r="AF47" s="298"/>
      <c r="AG47" s="263"/>
      <c r="AH47" s="298"/>
      <c r="AI47" s="280"/>
      <c r="AJ47" s="298"/>
      <c r="AK47" s="263"/>
      <c r="AL47" s="72"/>
      <c r="AM47" s="72"/>
      <c r="AN47" s="72"/>
      <c r="AO47" s="72"/>
      <c r="AP47" s="72"/>
      <c r="AQ47" s="72"/>
      <c r="AR47" s="72"/>
      <c r="AS47" s="72"/>
      <c r="AT47" s="72"/>
      <c r="AU47" s="72"/>
      <c r="AV47" s="300"/>
      <c r="AW47" s="72"/>
      <c r="AX47" s="72"/>
      <c r="AY47" s="264"/>
      <c r="AZ47" s="264"/>
      <c r="BA47" s="301"/>
      <c r="BB47" s="302"/>
      <c r="BC47" s="303"/>
      <c r="BD47" s="28"/>
    </row>
    <row r="48" spans="1:59" ht="13.5" customHeight="1">
      <c r="A48" s="22"/>
      <c r="B48" s="45"/>
      <c r="C48" s="266"/>
      <c r="D48" s="28" t="s">
        <v>290</v>
      </c>
      <c r="E48" s="28"/>
      <c r="F48" s="28"/>
      <c r="G48" s="28"/>
      <c r="H48" s="86" t="s">
        <v>129</v>
      </c>
      <c r="I48" s="86"/>
      <c r="J48" s="86"/>
      <c r="K48" s="86"/>
      <c r="L48" s="86"/>
      <c r="M48" s="322"/>
      <c r="N48" s="87"/>
      <c r="O48" s="88"/>
      <c r="P48" s="88"/>
      <c r="Q48" s="89"/>
      <c r="R48" s="87"/>
      <c r="S48" s="87"/>
      <c r="T48" s="87"/>
      <c r="U48" s="88"/>
      <c r="V48" s="89"/>
      <c r="W48" s="87"/>
      <c r="X48" s="65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65"/>
      <c r="AY48" s="31"/>
      <c r="AZ48" s="52"/>
      <c r="BA48" s="93"/>
      <c r="BB48" s="327"/>
      <c r="BC48" s="328"/>
      <c r="BD48" s="28"/>
      <c r="BE48" s="35"/>
      <c r="BF48" s="35"/>
      <c r="BG48" s="35"/>
    </row>
    <row r="49" spans="1:91" ht="13.5" customHeight="1">
      <c r="A49" s="22"/>
      <c r="B49" s="202">
        <v>6</v>
      </c>
      <c r="C49" s="304" t="s">
        <v>32</v>
      </c>
      <c r="D49" s="205" t="s">
        <v>65</v>
      </c>
      <c r="E49" s="206"/>
      <c r="F49" s="206"/>
      <c r="G49" s="207"/>
      <c r="H49" s="208" t="s">
        <v>74</v>
      </c>
      <c r="I49" s="209"/>
      <c r="J49" s="209"/>
      <c r="K49" s="209"/>
      <c r="L49" s="206"/>
      <c r="M49" s="207"/>
      <c r="N49" s="205" t="s">
        <v>75</v>
      </c>
      <c r="O49" s="206"/>
      <c r="P49" s="206"/>
      <c r="Q49" s="207"/>
      <c r="R49" s="205" t="s">
        <v>76</v>
      </c>
      <c r="S49" s="206"/>
      <c r="T49" s="206"/>
      <c r="U49" s="206"/>
      <c r="V49" s="210" t="s">
        <v>294</v>
      </c>
      <c r="W49" s="211"/>
      <c r="X49" s="211"/>
      <c r="Y49" s="212"/>
      <c r="Z49" s="210" t="s">
        <v>280</v>
      </c>
      <c r="AA49" s="211"/>
      <c r="AB49" s="211"/>
      <c r="AC49" s="211"/>
      <c r="AD49" s="212"/>
      <c r="AE49" s="210" t="s">
        <v>225</v>
      </c>
      <c r="AF49" s="211"/>
      <c r="AG49" s="211"/>
      <c r="AH49" s="211"/>
      <c r="AI49" s="212"/>
      <c r="AJ49" s="210" t="s">
        <v>295</v>
      </c>
      <c r="AK49" s="211"/>
      <c r="AL49" s="211"/>
      <c r="AM49" s="212"/>
      <c r="AN49" s="210" t="s">
        <v>163</v>
      </c>
      <c r="AO49" s="211"/>
      <c r="AP49" s="211"/>
      <c r="AQ49" s="212"/>
      <c r="AR49" s="211" t="s">
        <v>153</v>
      </c>
      <c r="AS49" s="211"/>
      <c r="AT49" s="211"/>
      <c r="AU49" s="212"/>
      <c r="AV49" s="211" t="s">
        <v>198</v>
      </c>
      <c r="AW49" s="211"/>
      <c r="AX49" s="211"/>
      <c r="AY49" s="212"/>
      <c r="AZ49" s="210" t="s">
        <v>200</v>
      </c>
      <c r="BA49" s="211"/>
      <c r="BB49" s="211"/>
      <c r="BC49" s="212"/>
      <c r="BD49" s="210" t="s">
        <v>84</v>
      </c>
      <c r="BE49" s="211"/>
      <c r="BF49" s="211"/>
      <c r="BG49" s="212"/>
      <c r="BH49" s="210" t="s">
        <v>42</v>
      </c>
      <c r="BI49" s="211"/>
      <c r="BJ49" s="211"/>
      <c r="BK49" s="212"/>
      <c r="BL49" s="211" t="s">
        <v>157</v>
      </c>
      <c r="BM49" s="211"/>
      <c r="BN49" s="212"/>
      <c r="BO49" s="305" t="s">
        <v>87</v>
      </c>
      <c r="BP49" s="211"/>
      <c r="BQ49" s="211"/>
      <c r="BR49" s="212"/>
      <c r="BS49" s="211" t="s">
        <v>70</v>
      </c>
      <c r="BT49" s="211"/>
      <c r="BU49" s="211"/>
      <c r="BV49" s="212"/>
      <c r="BW49" s="28"/>
      <c r="BX49" s="28"/>
      <c r="BY49" s="28"/>
      <c r="BZ49" s="28"/>
      <c r="CA49" s="28"/>
    </row>
    <row r="50" spans="1:91" ht="13.5" customHeight="1">
      <c r="A50" s="22"/>
      <c r="B50" s="202">
        <v>7</v>
      </c>
      <c r="C50" s="306"/>
      <c r="D50" s="213" t="s">
        <v>30</v>
      </c>
      <c r="E50" s="216"/>
      <c r="F50" s="214"/>
      <c r="G50" s="215"/>
      <c r="H50" s="213" t="s">
        <v>30</v>
      </c>
      <c r="I50" s="216"/>
      <c r="J50" s="216"/>
      <c r="K50" s="216"/>
      <c r="L50" s="214"/>
      <c r="M50" s="215"/>
      <c r="N50" s="213" t="s">
        <v>30</v>
      </c>
      <c r="O50" s="214"/>
      <c r="P50" s="214"/>
      <c r="Q50" s="215"/>
      <c r="R50" s="213" t="s">
        <v>30</v>
      </c>
      <c r="S50" s="216"/>
      <c r="T50" s="214"/>
      <c r="U50" s="214"/>
      <c r="V50" s="217" t="s">
        <v>43</v>
      </c>
      <c r="W50" s="218"/>
      <c r="X50" s="219"/>
      <c r="Y50" s="220"/>
      <c r="Z50" s="217" t="s">
        <v>30</v>
      </c>
      <c r="AA50" s="218"/>
      <c r="AB50" s="218"/>
      <c r="AC50" s="219"/>
      <c r="AD50" s="220"/>
      <c r="AE50" s="217" t="s">
        <v>30</v>
      </c>
      <c r="AF50" s="218"/>
      <c r="AG50" s="218"/>
      <c r="AH50" s="219"/>
      <c r="AI50" s="220"/>
      <c r="AJ50" s="217" t="s">
        <v>43</v>
      </c>
      <c r="AK50" s="218"/>
      <c r="AL50" s="219"/>
      <c r="AM50" s="220"/>
      <c r="AN50" s="217" t="s">
        <v>30</v>
      </c>
      <c r="AO50" s="218"/>
      <c r="AP50" s="219"/>
      <c r="AQ50" s="220"/>
      <c r="AR50" s="218" t="s">
        <v>43</v>
      </c>
      <c r="AS50" s="218"/>
      <c r="AT50" s="219"/>
      <c r="AU50" s="220"/>
      <c r="AV50" s="218" t="s">
        <v>199</v>
      </c>
      <c r="AW50" s="218"/>
      <c r="AX50" s="219"/>
      <c r="AY50" s="220"/>
      <c r="AZ50" s="217" t="s">
        <v>156</v>
      </c>
      <c r="BA50" s="218"/>
      <c r="BB50" s="219"/>
      <c r="BC50" s="220"/>
      <c r="BD50" s="217" t="s">
        <v>156</v>
      </c>
      <c r="BE50" s="218"/>
      <c r="BF50" s="219"/>
      <c r="BG50" s="220"/>
      <c r="BH50" s="217" t="s">
        <v>201</v>
      </c>
      <c r="BI50" s="218"/>
      <c r="BJ50" s="219"/>
      <c r="BK50" s="220"/>
      <c r="BL50" s="218" t="s">
        <v>202</v>
      </c>
      <c r="BM50" s="218"/>
      <c r="BN50" s="220"/>
      <c r="BO50" s="307" t="s">
        <v>43</v>
      </c>
      <c r="BP50" s="218"/>
      <c r="BQ50" s="219"/>
      <c r="BR50" s="220"/>
      <c r="BS50" s="218" t="s">
        <v>43</v>
      </c>
      <c r="BT50" s="218"/>
      <c r="BU50" s="219"/>
      <c r="BV50" s="220"/>
      <c r="BW50" s="28"/>
      <c r="BX50" s="28"/>
      <c r="BY50" s="28"/>
      <c r="BZ50" s="28"/>
      <c r="CA50" s="28"/>
    </row>
    <row r="51" spans="1:91" ht="13.5" customHeight="1">
      <c r="A51" s="22"/>
      <c r="B51" s="202">
        <v>8</v>
      </c>
      <c r="C51" s="308">
        <v>1</v>
      </c>
      <c r="D51" s="148" t="s">
        <v>226</v>
      </c>
      <c r="E51" s="149"/>
      <c r="F51" s="149"/>
      <c r="G51" s="151"/>
      <c r="H51" s="242" t="s">
        <v>228</v>
      </c>
      <c r="I51" s="150"/>
      <c r="J51" s="150"/>
      <c r="K51" s="150"/>
      <c r="L51" s="161"/>
      <c r="M51" s="162"/>
      <c r="N51" s="242" t="s">
        <v>230</v>
      </c>
      <c r="O51" s="150"/>
      <c r="P51" s="150"/>
      <c r="Q51" s="99" t="s">
        <v>33</v>
      </c>
      <c r="R51" s="1097">
        <v>200</v>
      </c>
      <c r="S51" s="1098"/>
      <c r="T51" s="1098"/>
      <c r="U51" s="1099"/>
      <c r="V51" s="148" t="s">
        <v>208</v>
      </c>
      <c r="W51" s="150"/>
      <c r="X51" s="150"/>
      <c r="Y51" s="99" t="s">
        <v>33</v>
      </c>
      <c r="Z51" s="1086">
        <v>34690.32</v>
      </c>
      <c r="AA51" s="1095"/>
      <c r="AB51" s="1095"/>
      <c r="AC51" s="1095"/>
      <c r="AD51" s="1096"/>
      <c r="AE51" s="1086">
        <v>46831.94</v>
      </c>
      <c r="AF51" s="1095"/>
      <c r="AG51" s="1095"/>
      <c r="AH51" s="1095"/>
      <c r="AI51" s="1096"/>
      <c r="AJ51" s="148" t="s">
        <v>149</v>
      </c>
      <c r="AK51" s="150"/>
      <c r="AL51" s="150"/>
      <c r="AM51" s="99" t="s">
        <v>33</v>
      </c>
      <c r="AN51" s="1111">
        <v>547.11950000000002</v>
      </c>
      <c r="AO51" s="1112"/>
      <c r="AP51" s="1112"/>
      <c r="AQ51" s="1113"/>
      <c r="AR51" s="1111">
        <v>560</v>
      </c>
      <c r="AS51" s="1112"/>
      <c r="AT51" s="1112"/>
      <c r="AU51" s="1113"/>
      <c r="AV51" s="1114">
        <v>4.4999999999999998E-2</v>
      </c>
      <c r="AW51" s="1115"/>
      <c r="AX51" s="1115"/>
      <c r="AY51" s="1116"/>
      <c r="AZ51" s="1111">
        <v>674</v>
      </c>
      <c r="BA51" s="1112"/>
      <c r="BB51" s="1112"/>
      <c r="BC51" s="1113"/>
      <c r="BD51" s="1111"/>
      <c r="BE51" s="1112"/>
      <c r="BF51" s="1112"/>
      <c r="BG51" s="1113"/>
      <c r="BH51" s="1111"/>
      <c r="BI51" s="1112"/>
      <c r="BJ51" s="1112"/>
      <c r="BK51" s="1113"/>
      <c r="BL51" s="1127"/>
      <c r="BM51" s="1128"/>
      <c r="BN51" s="1129"/>
      <c r="BO51" s="242"/>
      <c r="BP51" s="150"/>
      <c r="BQ51" s="150"/>
      <c r="BR51" s="152"/>
      <c r="BS51" s="149" t="s">
        <v>30</v>
      </c>
      <c r="BT51" s="150"/>
      <c r="BU51" s="150"/>
      <c r="BV51" s="152"/>
      <c r="BW51" s="28"/>
      <c r="BX51" s="28"/>
      <c r="BY51" s="28"/>
      <c r="BZ51" s="28"/>
      <c r="CA51" s="28"/>
    </row>
    <row r="52" spans="1:91" ht="13.5" customHeight="1">
      <c r="A52" s="22"/>
      <c r="B52" s="202">
        <v>9</v>
      </c>
      <c r="C52" s="308">
        <v>2</v>
      </c>
      <c r="D52" s="148" t="s">
        <v>227</v>
      </c>
      <c r="E52" s="149"/>
      <c r="F52" s="149"/>
      <c r="G52" s="151"/>
      <c r="H52" s="242" t="s">
        <v>229</v>
      </c>
      <c r="I52" s="150"/>
      <c r="J52" s="150"/>
      <c r="K52" s="150"/>
      <c r="L52" s="161"/>
      <c r="M52" s="162"/>
      <c r="N52" s="242" t="s">
        <v>230</v>
      </c>
      <c r="O52" s="150"/>
      <c r="P52" s="150"/>
      <c r="Q52" s="99" t="s">
        <v>33</v>
      </c>
      <c r="R52" s="1097">
        <v>200</v>
      </c>
      <c r="S52" s="1098"/>
      <c r="T52" s="1098"/>
      <c r="U52" s="1099"/>
      <c r="V52" s="148" t="s">
        <v>208</v>
      </c>
      <c r="W52" s="150"/>
      <c r="X52" s="150"/>
      <c r="Y52" s="99" t="s">
        <v>33</v>
      </c>
      <c r="Z52" s="1086">
        <v>11230.49</v>
      </c>
      <c r="AA52" s="1095"/>
      <c r="AB52" s="1095"/>
      <c r="AC52" s="1095"/>
      <c r="AD52" s="1096"/>
      <c r="AE52" s="1086">
        <v>15161.17</v>
      </c>
      <c r="AF52" s="1095"/>
      <c r="AG52" s="1095"/>
      <c r="AH52" s="1095"/>
      <c r="AI52" s="1096"/>
      <c r="AJ52" s="148" t="s">
        <v>149</v>
      </c>
      <c r="AK52" s="150"/>
      <c r="AL52" s="150"/>
      <c r="AM52" s="99" t="s">
        <v>33</v>
      </c>
      <c r="AN52" s="1111">
        <v>177.12389999999999</v>
      </c>
      <c r="AO52" s="1112"/>
      <c r="AP52" s="1112"/>
      <c r="AQ52" s="1113"/>
      <c r="AR52" s="1111">
        <v>180</v>
      </c>
      <c r="AS52" s="1112"/>
      <c r="AT52" s="1112"/>
      <c r="AU52" s="1113"/>
      <c r="AV52" s="1114">
        <v>4.4999999999999998E-2</v>
      </c>
      <c r="AW52" s="1115"/>
      <c r="AX52" s="1115"/>
      <c r="AY52" s="1116"/>
      <c r="AZ52" s="1111">
        <v>218.2</v>
      </c>
      <c r="BA52" s="1112"/>
      <c r="BB52" s="1112"/>
      <c r="BC52" s="1113"/>
      <c r="BD52" s="1111"/>
      <c r="BE52" s="1112"/>
      <c r="BF52" s="1112"/>
      <c r="BG52" s="1113"/>
      <c r="BH52" s="1111"/>
      <c r="BI52" s="1112"/>
      <c r="BJ52" s="1112"/>
      <c r="BK52" s="1113"/>
      <c r="BL52" s="1127"/>
      <c r="BM52" s="1128"/>
      <c r="BN52" s="1129"/>
      <c r="BO52" s="242"/>
      <c r="BP52" s="150"/>
      <c r="BQ52" s="150"/>
      <c r="BR52" s="152"/>
      <c r="BS52" s="149" t="s">
        <v>30</v>
      </c>
      <c r="BT52" s="150"/>
      <c r="BU52" s="150"/>
      <c r="BV52" s="152"/>
      <c r="BW52" s="28"/>
      <c r="BX52" s="28"/>
      <c r="BY52" s="28"/>
      <c r="BZ52" s="28"/>
      <c r="CA52" s="28"/>
    </row>
    <row r="53" spans="1:91" ht="13.5" customHeight="1">
      <c r="A53" s="22"/>
      <c r="B53" s="202">
        <v>10</v>
      </c>
      <c r="C53" s="310"/>
      <c r="D53" s="65"/>
      <c r="E53" s="65"/>
      <c r="F53" s="65"/>
      <c r="G53" s="65"/>
      <c r="H53" s="65"/>
      <c r="I53" s="65"/>
      <c r="J53" s="65"/>
      <c r="K53" s="65"/>
      <c r="L53" s="65"/>
      <c r="M53" s="62"/>
      <c r="N53" s="63"/>
      <c r="O53" s="65"/>
      <c r="P53" s="65"/>
      <c r="Q53" s="64"/>
      <c r="R53" s="63"/>
      <c r="S53" s="190"/>
      <c r="T53" s="190"/>
      <c r="U53" s="191"/>
      <c r="V53" s="192"/>
      <c r="W53" s="190"/>
      <c r="X53" s="65"/>
      <c r="Y53" s="65"/>
      <c r="Z53" s="65"/>
      <c r="AA53" s="65"/>
      <c r="AB53" s="65"/>
      <c r="AC53" s="65"/>
      <c r="AD53" s="65"/>
      <c r="AE53" s="65"/>
      <c r="AF53" s="65"/>
      <c r="AG53" s="65"/>
      <c r="AH53" s="65"/>
      <c r="AI53" s="65"/>
      <c r="AJ53" s="65"/>
      <c r="AK53" s="65"/>
      <c r="AL53" s="65"/>
      <c r="AM53" s="63"/>
      <c r="AN53" s="63"/>
      <c r="AO53" s="63"/>
      <c r="AP53" s="63"/>
      <c r="AQ53" s="63"/>
      <c r="AR53" s="63"/>
      <c r="AS53" s="63"/>
      <c r="AT53" s="63"/>
      <c r="AU53" s="63"/>
      <c r="AV53" s="63"/>
      <c r="AW53" s="63"/>
      <c r="AX53" s="63"/>
      <c r="AY53" s="63"/>
      <c r="AZ53" s="31"/>
      <c r="BA53" s="35"/>
      <c r="BB53" s="35"/>
      <c r="BC53" s="311"/>
      <c r="BD53" s="28"/>
    </row>
    <row r="54" spans="1:91" ht="13.5" customHeight="1">
      <c r="A54" s="22"/>
      <c r="B54" s="202">
        <v>14</v>
      </c>
      <c r="C54" s="312"/>
      <c r="D54" s="65"/>
      <c r="E54" s="65"/>
      <c r="F54" s="65"/>
      <c r="G54" s="65"/>
      <c r="H54" s="65"/>
      <c r="I54" s="65"/>
      <c r="J54" s="65"/>
      <c r="K54" s="198"/>
      <c r="L54" s="65"/>
      <c r="M54" s="65"/>
      <c r="N54" s="65"/>
      <c r="O54" s="65"/>
      <c r="P54" s="65"/>
      <c r="Q54" s="198"/>
      <c r="R54" s="65"/>
      <c r="S54" s="65"/>
      <c r="T54" s="65"/>
      <c r="U54" s="198"/>
      <c r="V54" s="65"/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125"/>
      <c r="AK54" s="112"/>
      <c r="AL54" s="62"/>
      <c r="AM54" s="63"/>
      <c r="AN54" s="63"/>
      <c r="AO54" s="63"/>
      <c r="AP54" s="63"/>
      <c r="AQ54" s="64"/>
      <c r="AR54" s="63"/>
      <c r="AS54" s="65"/>
      <c r="AT54" s="65"/>
      <c r="AU54" s="65"/>
      <c r="AV54" s="65"/>
      <c r="AW54" s="65"/>
      <c r="AX54" s="65"/>
      <c r="AY54" s="63"/>
      <c r="AZ54" s="31"/>
      <c r="BA54" s="35"/>
      <c r="BB54" s="35"/>
      <c r="BC54" s="311"/>
      <c r="BD54" s="28"/>
    </row>
    <row r="55" spans="1:91" ht="13.5" customHeight="1">
      <c r="A55" s="22"/>
      <c r="B55" s="202">
        <v>15</v>
      </c>
      <c r="C55" s="313" t="s">
        <v>72</v>
      </c>
      <c r="D55" s="223"/>
      <c r="E55" s="224"/>
      <c r="F55" s="223"/>
      <c r="G55" s="224"/>
      <c r="H55" s="225"/>
      <c r="I55" s="226"/>
      <c r="J55" s="227"/>
      <c r="K55" s="227"/>
      <c r="L55" s="227"/>
      <c r="M55" s="228"/>
      <c r="N55" s="227"/>
      <c r="O55" s="227"/>
      <c r="P55" s="227"/>
      <c r="Q55" s="229"/>
      <c r="R55" s="227"/>
      <c r="S55" s="227"/>
      <c r="T55" s="227"/>
      <c r="U55" s="227"/>
      <c r="V55" s="227"/>
      <c r="W55" s="229"/>
      <c r="X55" s="227"/>
      <c r="Y55" s="227"/>
      <c r="Z55" s="227"/>
      <c r="AA55" s="229"/>
      <c r="AB55" s="227"/>
      <c r="AC55" s="227"/>
      <c r="AD55" s="227"/>
      <c r="AE55" s="227"/>
      <c r="AF55" s="227"/>
      <c r="AG55" s="232"/>
      <c r="AH55" s="227"/>
      <c r="AI55" s="227"/>
      <c r="AJ55" s="227"/>
      <c r="AK55" s="227"/>
      <c r="AL55" s="227"/>
      <c r="AM55" s="227"/>
      <c r="AN55" s="227"/>
      <c r="AO55" s="227"/>
      <c r="AP55" s="227"/>
      <c r="AQ55" s="230"/>
      <c r="AR55" s="227"/>
      <c r="AS55" s="230"/>
      <c r="AT55" s="227"/>
      <c r="AU55" s="227"/>
      <c r="AV55" s="227"/>
      <c r="AW55" s="227"/>
      <c r="AX55" s="227"/>
      <c r="AY55" s="224"/>
      <c r="AZ55" s="224"/>
      <c r="BA55" s="231"/>
      <c r="BB55" s="231"/>
      <c r="BC55" s="314"/>
      <c r="BD55" s="28"/>
    </row>
    <row r="56" spans="1:91" ht="13.5" customHeight="1">
      <c r="A56" s="22"/>
      <c r="B56" s="202"/>
      <c r="C56" s="394"/>
      <c r="D56" s="62"/>
      <c r="E56" s="63"/>
      <c r="F56" s="62"/>
      <c r="G56" s="63"/>
      <c r="H56" s="398"/>
      <c r="I56" s="399"/>
      <c r="J56" s="74"/>
      <c r="K56" s="74"/>
      <c r="L56" s="74"/>
      <c r="M56" s="400"/>
      <c r="N56" s="74"/>
      <c r="O56" s="74"/>
      <c r="P56" s="74"/>
      <c r="Q56" s="401"/>
      <c r="R56" s="74"/>
      <c r="S56" s="74"/>
      <c r="T56" s="74"/>
      <c r="U56" s="74"/>
      <c r="V56" s="74"/>
      <c r="W56" s="401"/>
      <c r="X56" s="65"/>
      <c r="Y56" s="65"/>
      <c r="Z56" s="65"/>
      <c r="AA56" s="198"/>
      <c r="AB56" s="65"/>
      <c r="AC56" s="65"/>
      <c r="AD56" s="65"/>
      <c r="AE56" s="65"/>
      <c r="AF56" s="65"/>
      <c r="AG56" s="158"/>
      <c r="AH56" s="65"/>
      <c r="AI56" s="65"/>
      <c r="AJ56" s="65"/>
      <c r="AK56" s="65"/>
      <c r="AL56" s="65"/>
      <c r="AM56" s="65"/>
      <c r="AN56" s="65"/>
      <c r="AO56" s="65"/>
      <c r="AP56" s="65"/>
      <c r="AQ56" s="125"/>
      <c r="AR56" s="65"/>
      <c r="AS56" s="125"/>
      <c r="AT56" s="65"/>
      <c r="AU56" s="65"/>
      <c r="AV56" s="65"/>
      <c r="AW56" s="65"/>
      <c r="AX56" s="65"/>
      <c r="AY56" s="63"/>
      <c r="AZ56" s="103"/>
      <c r="BA56" s="396"/>
      <c r="BB56" s="396"/>
      <c r="BC56" s="397"/>
      <c r="BD56" s="28"/>
    </row>
    <row r="57" spans="1:91" ht="13.5" customHeight="1">
      <c r="A57" s="22"/>
      <c r="B57" s="202">
        <v>16</v>
      </c>
      <c r="C57" s="310"/>
      <c r="D57" s="65"/>
      <c r="E57" s="65"/>
      <c r="F57" s="65"/>
      <c r="G57" s="65"/>
      <c r="H57" s="65"/>
      <c r="I57" s="65"/>
      <c r="J57" s="65"/>
      <c r="K57" s="65"/>
      <c r="L57" s="65"/>
      <c r="M57" s="62"/>
      <c r="N57" s="65"/>
      <c r="O57" s="65"/>
      <c r="P57" s="63"/>
      <c r="Q57" s="64"/>
      <c r="R57" s="63"/>
      <c r="S57" s="111"/>
      <c r="T57" s="112"/>
      <c r="U57" s="111"/>
      <c r="V57" s="112"/>
      <c r="W57" s="111"/>
      <c r="X57" s="111"/>
      <c r="Y57" s="111"/>
      <c r="Z57" s="111"/>
      <c r="AA57" s="65"/>
      <c r="AB57" s="65"/>
      <c r="AC57" s="65"/>
      <c r="AD57" s="65"/>
      <c r="AE57" s="65"/>
      <c r="AF57" s="65"/>
      <c r="AG57" s="65"/>
      <c r="AH57" s="65"/>
      <c r="AI57" s="65"/>
      <c r="AJ57" s="65"/>
      <c r="AK57" s="65"/>
      <c r="AL57" s="65"/>
      <c r="AM57" s="65"/>
      <c r="AN57" s="65"/>
      <c r="AO57" s="65"/>
      <c r="AP57" s="65"/>
      <c r="AQ57" s="65"/>
      <c r="AR57" s="65"/>
      <c r="AS57" s="65"/>
      <c r="AT57" s="65"/>
      <c r="AU57" s="65"/>
      <c r="AV57" s="65"/>
      <c r="AW57" s="65"/>
      <c r="AX57" s="65"/>
      <c r="AY57" s="63"/>
      <c r="AZ57" s="31"/>
      <c r="BA57" s="30"/>
      <c r="BB57" s="175"/>
      <c r="BC57" s="326"/>
    </row>
    <row r="58" spans="1:91" ht="13.5" customHeight="1">
      <c r="A58" s="22"/>
      <c r="B58" s="202">
        <v>17</v>
      </c>
      <c r="C58" s="310"/>
      <c r="D58" s="65"/>
      <c r="E58" s="65"/>
      <c r="F58" s="65"/>
      <c r="G58" s="65"/>
      <c r="H58" s="126"/>
      <c r="I58" s="65"/>
      <c r="J58" s="65"/>
      <c r="K58" s="65"/>
      <c r="L58" s="198"/>
      <c r="M58" s="65"/>
      <c r="N58" s="65"/>
      <c r="O58" s="65"/>
      <c r="P58" s="198"/>
      <c r="Q58" s="65"/>
      <c r="R58" s="65"/>
      <c r="S58" s="65"/>
      <c r="T58" s="198"/>
      <c r="U58" s="65"/>
      <c r="V58" s="65"/>
      <c r="W58" s="65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12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3"/>
      <c r="AZ58" s="31"/>
      <c r="BA58" s="30"/>
      <c r="BB58" s="175"/>
      <c r="BC58" s="326"/>
      <c r="BD58" s="28"/>
    </row>
    <row r="59" spans="1:91" ht="5.0999999999999996" customHeight="1">
      <c r="A59" s="22"/>
      <c r="B59" s="202"/>
      <c r="C59" s="315"/>
      <c r="D59" s="73"/>
      <c r="E59" s="73"/>
      <c r="F59" s="73"/>
      <c r="G59" s="73"/>
      <c r="H59" s="316"/>
      <c r="I59" s="275"/>
      <c r="J59" s="273"/>
      <c r="K59" s="275"/>
      <c r="L59" s="273"/>
      <c r="M59" s="317"/>
      <c r="N59" s="317"/>
      <c r="O59" s="270"/>
      <c r="P59" s="317"/>
      <c r="Q59" s="270"/>
      <c r="R59" s="317"/>
      <c r="S59" s="73"/>
      <c r="T59" s="73"/>
      <c r="U59" s="73"/>
      <c r="V59" s="73"/>
      <c r="W59" s="73"/>
      <c r="X59" s="316"/>
      <c r="Y59" s="275"/>
      <c r="Z59" s="273"/>
      <c r="AA59" s="275"/>
      <c r="AB59" s="273"/>
      <c r="AC59" s="317"/>
      <c r="AD59" s="317"/>
      <c r="AE59" s="270"/>
      <c r="AF59" s="317"/>
      <c r="AG59" s="270"/>
      <c r="AH59" s="317"/>
      <c r="AI59" s="276"/>
      <c r="AJ59" s="317"/>
      <c r="AK59" s="270"/>
      <c r="AL59" s="73"/>
      <c r="AM59" s="73"/>
      <c r="AN59" s="73"/>
      <c r="AO59" s="73"/>
      <c r="AP59" s="73"/>
      <c r="AQ59" s="73"/>
      <c r="AR59" s="73"/>
      <c r="AS59" s="73"/>
      <c r="AT59" s="73"/>
      <c r="AU59" s="73"/>
      <c r="AV59" s="318"/>
      <c r="AW59" s="73"/>
      <c r="AX59" s="73"/>
      <c r="AY59" s="269"/>
      <c r="AZ59" s="269"/>
      <c r="BA59" s="319"/>
      <c r="BB59" s="320"/>
      <c r="BC59" s="321"/>
      <c r="BD59" s="28"/>
    </row>
    <row r="60" spans="1:91" ht="13.5" customHeight="1">
      <c r="A60" s="22"/>
      <c r="B60" s="202">
        <v>18</v>
      </c>
      <c r="C60" s="75"/>
      <c r="D60" s="63"/>
      <c r="E60" s="63"/>
      <c r="F60" s="63"/>
      <c r="G60" s="63"/>
      <c r="H60" s="69"/>
      <c r="I60" s="69"/>
      <c r="J60" s="65"/>
      <c r="K60" s="69"/>
      <c r="L60" s="65"/>
      <c r="M60" s="69"/>
      <c r="N60" s="64"/>
      <c r="O60" s="69"/>
      <c r="P60" s="65"/>
      <c r="Q60" s="65"/>
      <c r="R60" s="65"/>
      <c r="S60" s="63"/>
      <c r="T60" s="63"/>
      <c r="U60" s="63"/>
      <c r="V60" s="63"/>
      <c r="W60" s="63"/>
      <c r="X60" s="64"/>
      <c r="Y60" s="63"/>
      <c r="Z60" s="65"/>
      <c r="AA60" s="64"/>
      <c r="AB60" s="63"/>
      <c r="AC60" s="65"/>
      <c r="AD60" s="64"/>
      <c r="AE60" s="65"/>
      <c r="AF60" s="65"/>
      <c r="AG60" s="64"/>
      <c r="AH60" s="65"/>
      <c r="AI60" s="65"/>
      <c r="AJ60" s="126"/>
      <c r="AK60" s="65"/>
      <c r="AL60" s="65"/>
      <c r="AM60" s="65"/>
      <c r="AN60" s="65"/>
      <c r="AO60" s="65"/>
      <c r="AP60" s="65"/>
      <c r="AQ60" s="65"/>
      <c r="AR60" s="65"/>
      <c r="AS60" s="65"/>
      <c r="AT60" s="65"/>
      <c r="AU60" s="65"/>
      <c r="AV60" s="65"/>
      <c r="AW60" s="65"/>
      <c r="AX60" s="65"/>
      <c r="AY60" s="63"/>
      <c r="AZ60" s="264"/>
      <c r="BA60" s="301"/>
      <c r="BB60" s="302"/>
      <c r="BC60" s="343"/>
      <c r="BD60" s="28"/>
    </row>
    <row r="61" spans="1:91" ht="13.5" customHeight="1">
      <c r="A61" s="22"/>
      <c r="B61" s="202">
        <v>20</v>
      </c>
      <c r="C61" s="204" t="s">
        <v>79</v>
      </c>
      <c r="D61" s="28"/>
      <c r="E61" s="28"/>
      <c r="F61" s="28"/>
      <c r="G61" s="28"/>
      <c r="H61" s="121"/>
      <c r="I61" s="62"/>
      <c r="J61" s="63"/>
      <c r="K61" s="62"/>
      <c r="L61" s="63"/>
      <c r="M61" s="69"/>
      <c r="N61" s="69"/>
      <c r="O61" s="65"/>
      <c r="P61" s="69"/>
      <c r="Q61" s="65"/>
      <c r="R61" s="69"/>
      <c r="S61" s="28"/>
      <c r="T61" s="28"/>
      <c r="U61" s="28"/>
      <c r="V61" s="28"/>
      <c r="W61" s="28"/>
      <c r="X61" s="121"/>
      <c r="Y61" s="62"/>
      <c r="Z61" s="63"/>
      <c r="AA61" s="62"/>
      <c r="AB61" s="63"/>
      <c r="AC61" s="69"/>
      <c r="AD61" s="69"/>
      <c r="AE61" s="65"/>
      <c r="AF61" s="69"/>
      <c r="AG61" s="65"/>
      <c r="AH61" s="69"/>
      <c r="AI61" s="64"/>
      <c r="AJ61" s="69"/>
      <c r="AK61" s="65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33"/>
      <c r="AW61" s="28"/>
      <c r="AX61" s="28"/>
      <c r="AY61" s="31"/>
      <c r="AZ61" s="269"/>
      <c r="BA61" s="319"/>
      <c r="BB61" s="320"/>
      <c r="BC61" s="344"/>
      <c r="BD61" s="28"/>
    </row>
    <row r="62" spans="1:91" ht="5.0999999999999996" customHeight="1">
      <c r="A62" s="22"/>
      <c r="B62" s="202"/>
      <c r="C62" s="296"/>
      <c r="D62" s="72"/>
      <c r="E62" s="72"/>
      <c r="F62" s="72"/>
      <c r="G62" s="72"/>
      <c r="H62" s="297"/>
      <c r="I62" s="278"/>
      <c r="J62" s="279"/>
      <c r="K62" s="278"/>
      <c r="L62" s="279"/>
      <c r="M62" s="298"/>
      <c r="N62" s="298"/>
      <c r="O62" s="263"/>
      <c r="P62" s="298"/>
      <c r="Q62" s="263"/>
      <c r="R62" s="298"/>
      <c r="S62" s="72"/>
      <c r="T62" s="72"/>
      <c r="U62" s="72"/>
      <c r="V62" s="72"/>
      <c r="W62" s="72"/>
      <c r="X62" s="297"/>
      <c r="Y62" s="278"/>
      <c r="Z62" s="279"/>
      <c r="AA62" s="278"/>
      <c r="AB62" s="279"/>
      <c r="AC62" s="298"/>
      <c r="AD62" s="298"/>
      <c r="AE62" s="263"/>
      <c r="AF62" s="298"/>
      <c r="AG62" s="263"/>
      <c r="AH62" s="298"/>
      <c r="AI62" s="280"/>
      <c r="AJ62" s="298"/>
      <c r="AK62" s="263"/>
      <c r="AL62" s="72"/>
      <c r="AM62" s="72"/>
      <c r="AN62" s="72"/>
      <c r="AO62" s="72"/>
      <c r="AP62" s="72"/>
      <c r="AQ62" s="72"/>
      <c r="AR62" s="72"/>
      <c r="AS62" s="72"/>
      <c r="AT62" s="72"/>
      <c r="AU62" s="72"/>
      <c r="AV62" s="300"/>
      <c r="AW62" s="72"/>
      <c r="AX62" s="72"/>
      <c r="AY62" s="264"/>
      <c r="AZ62" s="264"/>
      <c r="BA62" s="301"/>
      <c r="BB62" s="302"/>
      <c r="BC62" s="303"/>
      <c r="BD62" s="28"/>
    </row>
    <row r="63" spans="1:91" ht="13.5" customHeight="1">
      <c r="A63" s="22"/>
      <c r="B63" s="202">
        <v>21</v>
      </c>
      <c r="C63" s="304" t="s">
        <v>32</v>
      </c>
      <c r="D63" s="234" t="s">
        <v>262</v>
      </c>
      <c r="E63" s="235"/>
      <c r="F63" s="234" t="s">
        <v>65</v>
      </c>
      <c r="G63" s="235"/>
      <c r="H63" s="235"/>
      <c r="I63" s="236"/>
      <c r="J63" s="237" t="s">
        <v>34</v>
      </c>
      <c r="K63" s="238"/>
      <c r="L63" s="238"/>
      <c r="M63" s="238"/>
      <c r="N63" s="235"/>
      <c r="O63" s="236"/>
      <c r="P63" s="239" t="s">
        <v>68</v>
      </c>
      <c r="Q63" s="240"/>
      <c r="R63" s="240"/>
      <c r="S63" s="241"/>
      <c r="T63" s="239" t="s">
        <v>152</v>
      </c>
      <c r="U63" s="240"/>
      <c r="V63" s="240"/>
      <c r="W63" s="241"/>
      <c r="X63" s="234" t="s">
        <v>80</v>
      </c>
      <c r="Y63" s="235"/>
      <c r="Z63" s="235"/>
      <c r="AA63" s="236"/>
      <c r="AB63" s="234" t="s">
        <v>81</v>
      </c>
      <c r="AC63" s="235"/>
      <c r="AD63" s="235"/>
      <c r="AE63" s="235"/>
      <c r="AF63" s="239" t="s">
        <v>66</v>
      </c>
      <c r="AG63" s="240"/>
      <c r="AH63" s="240"/>
      <c r="AI63" s="240"/>
      <c r="AJ63" s="241"/>
      <c r="AK63" s="240" t="s">
        <v>211</v>
      </c>
      <c r="AL63" s="240"/>
      <c r="AM63" s="240"/>
      <c r="AN63" s="241"/>
      <c r="AO63" s="240" t="s">
        <v>163</v>
      </c>
      <c r="AP63" s="240"/>
      <c r="AQ63" s="240"/>
      <c r="AR63" s="241"/>
      <c r="AS63" s="240" t="s">
        <v>212</v>
      </c>
      <c r="AT63" s="240"/>
      <c r="AU63" s="240"/>
      <c r="AV63" s="241"/>
      <c r="AW63" s="240" t="s">
        <v>67</v>
      </c>
      <c r="AX63" s="240"/>
      <c r="AY63" s="240"/>
      <c r="AZ63" s="241"/>
      <c r="BA63" s="239" t="s">
        <v>213</v>
      </c>
      <c r="BB63" s="240"/>
      <c r="BC63" s="240"/>
      <c r="BD63" s="241"/>
      <c r="BE63" s="239" t="s">
        <v>214</v>
      </c>
      <c r="BF63" s="240"/>
      <c r="BG63" s="240"/>
      <c r="BH63" s="240"/>
      <c r="BI63" s="239" t="s">
        <v>200</v>
      </c>
      <c r="BJ63" s="240"/>
      <c r="BK63" s="240"/>
      <c r="BL63" s="241"/>
      <c r="BM63" s="239" t="s">
        <v>215</v>
      </c>
      <c r="BN63" s="240"/>
      <c r="BO63" s="240"/>
      <c r="BP63" s="241"/>
      <c r="BQ63" s="239" t="s">
        <v>216</v>
      </c>
      <c r="BR63" s="240"/>
      <c r="BS63" s="240"/>
      <c r="BT63" s="241"/>
      <c r="BU63" s="239" t="s">
        <v>84</v>
      </c>
      <c r="BV63" s="240"/>
      <c r="BW63" s="240"/>
      <c r="BX63" s="241"/>
      <c r="BY63" s="239" t="s">
        <v>85</v>
      </c>
      <c r="BZ63" s="240"/>
      <c r="CA63" s="240"/>
      <c r="CB63" s="241"/>
      <c r="CC63" s="240" t="s">
        <v>86</v>
      </c>
      <c r="CD63" s="240"/>
      <c r="CE63" s="241"/>
      <c r="CF63" s="240" t="s">
        <v>87</v>
      </c>
      <c r="CG63" s="240"/>
      <c r="CH63" s="240"/>
      <c r="CI63" s="241"/>
      <c r="CJ63" s="240" t="s">
        <v>70</v>
      </c>
      <c r="CK63" s="240"/>
      <c r="CL63" s="240"/>
      <c r="CM63" s="241"/>
    </row>
    <row r="64" spans="1:91" ht="13.5" customHeight="1">
      <c r="A64" s="22"/>
      <c r="B64" s="202">
        <v>22</v>
      </c>
      <c r="C64" s="308">
        <v>1</v>
      </c>
      <c r="D64" s="148" t="str">
        <f>N51</f>
        <v>OPT</v>
      </c>
      <c r="E64" s="149"/>
      <c r="F64" s="148" t="str">
        <f>D51</f>
        <v>8311308000</v>
      </c>
      <c r="G64" s="149"/>
      <c r="H64" s="149"/>
      <c r="I64" s="151"/>
      <c r="J64" s="242" t="str">
        <f>H51</f>
        <v>BF4MC-(375161-01)</v>
      </c>
      <c r="K64" s="150"/>
      <c r="L64" s="150"/>
      <c r="M64" s="150"/>
      <c r="N64" s="161"/>
      <c r="O64" s="162"/>
      <c r="P64" s="148" t="s">
        <v>277</v>
      </c>
      <c r="Q64" s="150"/>
      <c r="R64" s="150"/>
      <c r="S64" s="162"/>
      <c r="T64" s="148" t="str">
        <f>AJ51</f>
        <v>USD</v>
      </c>
      <c r="U64" s="150"/>
      <c r="V64" s="150"/>
      <c r="W64" s="162"/>
      <c r="X64" s="1097">
        <f>R51</f>
        <v>200</v>
      </c>
      <c r="Y64" s="1098"/>
      <c r="Z64" s="1098"/>
      <c r="AA64" s="1099"/>
      <c r="AB64" s="1111">
        <f>Z51/H42</f>
        <v>315.36654545454547</v>
      </c>
      <c r="AC64" s="1112"/>
      <c r="AD64" s="1112"/>
      <c r="AE64" s="1113"/>
      <c r="AF64" s="1111">
        <f>BH51</f>
        <v>0</v>
      </c>
      <c r="AG64" s="1112"/>
      <c r="AH64" s="1112"/>
      <c r="AI64" s="1112"/>
      <c r="AJ64" s="1113"/>
      <c r="AK64" s="1111">
        <f>AR51</f>
        <v>560</v>
      </c>
      <c r="AL64" s="1112"/>
      <c r="AM64" s="1112"/>
      <c r="AN64" s="1113"/>
      <c r="AO64" s="1111">
        <f>AN51</f>
        <v>547.11950000000002</v>
      </c>
      <c r="AP64" s="1112"/>
      <c r="AQ64" s="1112"/>
      <c r="AR64" s="1113"/>
      <c r="AS64" s="1111">
        <f>AN51/(1-AV51)</f>
        <v>572.90000000000009</v>
      </c>
      <c r="AT64" s="1112"/>
      <c r="AU64" s="1112"/>
      <c r="AV64" s="1113"/>
      <c r="AW64" s="1111">
        <f>AN51-(AS64*$K$20)</f>
        <v>518.47450000000003</v>
      </c>
      <c r="AX64" s="1112"/>
      <c r="AY64" s="1112"/>
      <c r="AZ64" s="1113"/>
      <c r="BA64" s="1077">
        <f>(AO64-AS64*$K$20-AE51/H42)/(AE51/H42)</f>
        <v>0.21780551905387649</v>
      </c>
      <c r="BB64" s="1078"/>
      <c r="BC64" s="1078"/>
      <c r="BD64" s="1079"/>
      <c r="BE64" s="1089">
        <f>(AN51-AR51)/AR51</f>
        <v>-2.3000892857142827E-2</v>
      </c>
      <c r="BF64" s="1090"/>
      <c r="BG64" s="1090"/>
      <c r="BH64" s="1091"/>
      <c r="BI64" s="1139">
        <f>AZ51</f>
        <v>674</v>
      </c>
      <c r="BJ64" s="1140"/>
      <c r="BK64" s="1140"/>
      <c r="BL64" s="1141"/>
      <c r="BM64" s="1092">
        <f>1-AN51/(1-AV51)/AZ51</f>
        <v>0.14999999999999991</v>
      </c>
      <c r="BN64" s="1093"/>
      <c r="BO64" s="1093"/>
      <c r="BP64" s="1094"/>
      <c r="BQ64" s="1092">
        <f>1-(Z51/H42+AN51*AV51+AS64*$K$20)/AZ51</f>
        <v>0.45306836356892366</v>
      </c>
      <c r="BR64" s="1093"/>
      <c r="BS64" s="1093"/>
      <c r="BT64" s="1094"/>
      <c r="BU64" s="1127">
        <f>BD51</f>
        <v>0</v>
      </c>
      <c r="BV64" s="1128"/>
      <c r="BW64" s="1128"/>
      <c r="BX64" s="1129"/>
      <c r="BY64" s="1092" t="str">
        <f>IFERROR(1-AZ51/BD51,"")</f>
        <v/>
      </c>
      <c r="BZ64" s="1093"/>
      <c r="CA64" s="1093"/>
      <c r="CB64" s="1094"/>
      <c r="CC64" s="1083">
        <f>BL51</f>
        <v>0</v>
      </c>
      <c r="CD64" s="1084"/>
      <c r="CE64" s="1085"/>
      <c r="CF64" s="150"/>
      <c r="CG64" s="150"/>
      <c r="CH64" s="150"/>
      <c r="CI64" s="152"/>
      <c r="CJ64" s="149" t="s">
        <v>30</v>
      </c>
      <c r="CK64" s="150"/>
      <c r="CL64" s="150"/>
      <c r="CM64" s="152"/>
    </row>
    <row r="65" spans="1:91" ht="13.5" customHeight="1">
      <c r="A65" s="22"/>
      <c r="B65" s="202">
        <v>23</v>
      </c>
      <c r="C65" s="308">
        <v>2</v>
      </c>
      <c r="D65" s="148" t="str">
        <f>N52</f>
        <v>OPT</v>
      </c>
      <c r="E65" s="149"/>
      <c r="F65" s="148" t="str">
        <f>D52</f>
        <v>8311309000</v>
      </c>
      <c r="G65" s="149"/>
      <c r="H65" s="149"/>
      <c r="I65" s="151"/>
      <c r="J65" s="242" t="str">
        <f>H52</f>
        <v>BF4MC-(375168-01)</v>
      </c>
      <c r="K65" s="150"/>
      <c r="L65" s="150"/>
      <c r="M65" s="150"/>
      <c r="N65" s="161"/>
      <c r="O65" s="162"/>
      <c r="P65" s="148" t="s">
        <v>277</v>
      </c>
      <c r="Q65" s="150"/>
      <c r="R65" s="150"/>
      <c r="S65" s="162"/>
      <c r="T65" s="148" t="str">
        <f>AJ52</f>
        <v>USD</v>
      </c>
      <c r="U65" s="150"/>
      <c r="V65" s="150"/>
      <c r="W65" s="162"/>
      <c r="X65" s="1097">
        <f>R52</f>
        <v>200</v>
      </c>
      <c r="Y65" s="1098"/>
      <c r="Z65" s="1098"/>
      <c r="AA65" s="1099"/>
      <c r="AB65" s="1111">
        <f>Z52/H42</f>
        <v>102.09536363636363</v>
      </c>
      <c r="AC65" s="1112"/>
      <c r="AD65" s="1112"/>
      <c r="AE65" s="1113"/>
      <c r="AF65" s="1111">
        <f>BH52</f>
        <v>0</v>
      </c>
      <c r="AG65" s="1112"/>
      <c r="AH65" s="1112"/>
      <c r="AI65" s="1112"/>
      <c r="AJ65" s="1113"/>
      <c r="AK65" s="1111">
        <f>AR52</f>
        <v>180</v>
      </c>
      <c r="AL65" s="1112"/>
      <c r="AM65" s="1112"/>
      <c r="AN65" s="1113"/>
      <c r="AO65" s="1111">
        <f>AN52</f>
        <v>177.12389999999999</v>
      </c>
      <c r="AP65" s="1112"/>
      <c r="AQ65" s="1112"/>
      <c r="AR65" s="1113"/>
      <c r="AS65" s="1111">
        <f>AN52/(1-AV52)</f>
        <v>185.47005235602094</v>
      </c>
      <c r="AT65" s="1112"/>
      <c r="AU65" s="1112"/>
      <c r="AV65" s="1113"/>
      <c r="AW65" s="1111">
        <f>AN52-(AS65*$K$20)</f>
        <v>167.85039738219893</v>
      </c>
      <c r="AX65" s="1112"/>
      <c r="AY65" s="1112"/>
      <c r="AZ65" s="1113"/>
      <c r="BA65" s="1077">
        <f>(AO65-AS65*$K$20-AE52/H42)/(AE52/H42)</f>
        <v>0.21781786709349499</v>
      </c>
      <c r="BB65" s="1078"/>
      <c r="BC65" s="1078"/>
      <c r="BD65" s="1079"/>
      <c r="BE65" s="1089">
        <f>(AN52-AR52)/AR52</f>
        <v>-1.5978333333333379E-2</v>
      </c>
      <c r="BF65" s="1090"/>
      <c r="BG65" s="1090"/>
      <c r="BH65" s="1091"/>
      <c r="BI65" s="1139">
        <f>AZ52</f>
        <v>218.2</v>
      </c>
      <c r="BJ65" s="1140"/>
      <c r="BK65" s="1140"/>
      <c r="BL65" s="1141"/>
      <c r="BM65" s="1092">
        <f>1-AN52/(1-AV52)/AZ52</f>
        <v>0.14999976005489934</v>
      </c>
      <c r="BN65" s="1093"/>
      <c r="BO65" s="1093"/>
      <c r="BP65" s="1094"/>
      <c r="BQ65" s="1092">
        <f>1-(Z52/H42+AN52*AV52+AS65*$K$20)/AZ52</f>
        <v>0.45307313586542308</v>
      </c>
      <c r="BR65" s="1093"/>
      <c r="BS65" s="1093"/>
      <c r="BT65" s="1094"/>
      <c r="BU65" s="1127">
        <f>BD52</f>
        <v>0</v>
      </c>
      <c r="BV65" s="1128"/>
      <c r="BW65" s="1128"/>
      <c r="BX65" s="1129"/>
      <c r="BY65" s="1092" t="str">
        <f>IFERROR(1-AZ52/BD52,"")</f>
        <v/>
      </c>
      <c r="BZ65" s="1093"/>
      <c r="CA65" s="1093"/>
      <c r="CB65" s="1094"/>
      <c r="CC65" s="1083">
        <f>BL52</f>
        <v>0</v>
      </c>
      <c r="CD65" s="1084"/>
      <c r="CE65" s="1085"/>
      <c r="CF65" s="150"/>
      <c r="CG65" s="150"/>
      <c r="CH65" s="150"/>
      <c r="CI65" s="152"/>
      <c r="CJ65" s="149" t="s">
        <v>30</v>
      </c>
      <c r="CK65" s="150"/>
      <c r="CL65" s="150"/>
      <c r="CM65" s="152"/>
    </row>
    <row r="66" spans="1:91" ht="13.5" customHeight="1">
      <c r="A66" s="22"/>
      <c r="B66" s="202">
        <v>20</v>
      </c>
      <c r="C66" s="337" t="s">
        <v>283</v>
      </c>
      <c r="D66" s="28"/>
      <c r="E66" s="28"/>
      <c r="F66" s="28"/>
      <c r="G66" s="28"/>
      <c r="H66" s="121"/>
      <c r="I66" s="62"/>
      <c r="J66" s="63"/>
      <c r="K66" s="62"/>
      <c r="L66" s="63"/>
      <c r="M66" s="69"/>
      <c r="N66" s="69"/>
      <c r="O66" s="65"/>
      <c r="P66" s="69"/>
      <c r="Q66" s="65"/>
      <c r="R66" s="69"/>
      <c r="S66" s="28"/>
      <c r="T66" s="28"/>
      <c r="U66" s="28"/>
      <c r="V66" s="28"/>
      <c r="W66" s="28"/>
      <c r="X66" s="121"/>
      <c r="Y66" s="62"/>
      <c r="Z66" s="63"/>
      <c r="AA66" s="62"/>
      <c r="AB66" s="63"/>
      <c r="AC66" s="69"/>
      <c r="AD66" s="69"/>
      <c r="AE66" s="65"/>
      <c r="AF66" s="69"/>
      <c r="AG66" s="65"/>
      <c r="AH66" s="69"/>
      <c r="AI66" s="64"/>
      <c r="AJ66" s="69"/>
      <c r="AK66" s="65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33"/>
      <c r="AW66" s="28"/>
      <c r="AX66" s="28"/>
      <c r="AY66" s="31"/>
      <c r="AZ66" s="95"/>
      <c r="BA66" s="92"/>
      <c r="BB66" s="329"/>
      <c r="BC66" s="338"/>
      <c r="BD66" s="37"/>
      <c r="BE66" s="37"/>
    </row>
    <row r="67" spans="1:91" ht="13.5" customHeight="1">
      <c r="A67" s="22"/>
      <c r="B67" s="202">
        <v>24</v>
      </c>
      <c r="C67" s="304"/>
      <c r="D67" s="502" t="s">
        <v>282</v>
      </c>
      <c r="E67" s="503"/>
      <c r="F67" s="504" t="s">
        <v>296</v>
      </c>
      <c r="G67" s="503"/>
      <c r="H67" s="503"/>
      <c r="I67" s="505"/>
      <c r="J67" s="504" t="s">
        <v>30</v>
      </c>
      <c r="K67" s="506"/>
      <c r="L67" s="506"/>
      <c r="M67" s="506"/>
      <c r="N67" s="503"/>
      <c r="O67" s="505"/>
      <c r="P67" s="511" t="s">
        <v>30</v>
      </c>
      <c r="Q67" s="508"/>
      <c r="R67" s="508"/>
      <c r="S67" s="509"/>
      <c r="T67" s="504" t="s">
        <v>30</v>
      </c>
      <c r="U67" s="503"/>
      <c r="V67" s="503"/>
      <c r="W67" s="505"/>
      <c r="X67" s="508" t="s">
        <v>217</v>
      </c>
      <c r="Y67" s="503"/>
      <c r="Z67" s="503"/>
      <c r="AA67" s="503"/>
      <c r="AB67" s="507" t="s">
        <v>146</v>
      </c>
      <c r="AC67" s="503"/>
      <c r="AD67" s="503"/>
      <c r="AE67" s="503"/>
      <c r="AF67" s="507" t="s">
        <v>231</v>
      </c>
      <c r="AG67" s="508"/>
      <c r="AH67" s="508"/>
      <c r="AI67" s="508"/>
      <c r="AJ67" s="509"/>
      <c r="AK67" s="507" t="s">
        <v>220</v>
      </c>
      <c r="AL67" s="508"/>
      <c r="AM67" s="508"/>
      <c r="AN67" s="509"/>
      <c r="AO67" s="507" t="s">
        <v>221</v>
      </c>
      <c r="AP67" s="508"/>
      <c r="AQ67" s="508"/>
      <c r="AR67" s="509"/>
      <c r="AS67" s="507" t="s">
        <v>222</v>
      </c>
      <c r="AT67" s="508"/>
      <c r="AU67" s="508"/>
      <c r="AV67" s="508"/>
      <c r="AW67" s="507" t="s">
        <v>102</v>
      </c>
      <c r="AX67" s="508"/>
      <c r="AY67" s="508"/>
      <c r="AZ67" s="509"/>
      <c r="BA67" s="511" t="s">
        <v>223</v>
      </c>
      <c r="BB67" s="508"/>
      <c r="BC67" s="508"/>
      <c r="BD67" s="509"/>
      <c r="BE67" s="513" t="s">
        <v>224</v>
      </c>
      <c r="BF67" s="508"/>
      <c r="BG67" s="508"/>
      <c r="BH67" s="509"/>
      <c r="BI67" s="511" t="s">
        <v>30</v>
      </c>
      <c r="BJ67" s="508"/>
      <c r="BK67" s="508"/>
      <c r="BL67" s="509"/>
      <c r="BM67" s="513" t="s">
        <v>30</v>
      </c>
      <c r="BN67" s="508"/>
      <c r="BO67" s="508"/>
      <c r="BP67" s="509"/>
      <c r="BQ67" s="508"/>
      <c r="BR67" s="508"/>
      <c r="BS67" s="508"/>
      <c r="BT67" s="509"/>
      <c r="BU67" s="508"/>
      <c r="BV67" s="508"/>
      <c r="BW67" s="508"/>
      <c r="BX67" s="509"/>
      <c r="BY67" s="508"/>
      <c r="BZ67" s="508"/>
      <c r="CA67" s="508"/>
      <c r="CB67" s="509"/>
      <c r="CC67" s="513" t="s">
        <v>30</v>
      </c>
      <c r="CD67" s="508"/>
      <c r="CE67" s="509"/>
      <c r="CF67" s="508"/>
      <c r="CG67" s="508"/>
      <c r="CH67" s="508"/>
      <c r="CI67" s="509"/>
      <c r="CJ67" s="508"/>
      <c r="CK67" s="508"/>
      <c r="CL67" s="508"/>
      <c r="CM67" s="509"/>
    </row>
    <row r="68" spans="1:91" ht="13.5" customHeight="1">
      <c r="A68" s="22"/>
      <c r="B68" s="202">
        <v>24</v>
      </c>
      <c r="C68" s="461"/>
      <c r="D68" s="517"/>
      <c r="E68" s="518"/>
      <c r="F68" s="517"/>
      <c r="G68" s="518"/>
      <c r="H68" s="518"/>
      <c r="I68" s="519"/>
      <c r="J68" s="520"/>
      <c r="K68" s="521"/>
      <c r="L68" s="521"/>
      <c r="M68" s="521"/>
      <c r="N68" s="518"/>
      <c r="O68" s="519"/>
      <c r="P68" s="522"/>
      <c r="Q68" s="523"/>
      <c r="R68" s="523"/>
      <c r="S68" s="524"/>
      <c r="T68" s="517"/>
      <c r="U68" s="518"/>
      <c r="V68" s="518"/>
      <c r="W68" s="519"/>
      <c r="X68" s="523"/>
      <c r="Y68" s="518"/>
      <c r="Z68" s="518"/>
      <c r="AA68" s="518"/>
      <c r="AB68" s="522"/>
      <c r="AC68" s="518"/>
      <c r="AD68" s="518"/>
      <c r="AE68" s="518"/>
      <c r="AF68" s="522"/>
      <c r="AG68" s="523"/>
      <c r="AH68" s="523"/>
      <c r="AI68" s="523"/>
      <c r="AJ68" s="524"/>
      <c r="AK68" s="522"/>
      <c r="AL68" s="523"/>
      <c r="AM68" s="523"/>
      <c r="AN68" s="524"/>
      <c r="AO68" s="522"/>
      <c r="AP68" s="523"/>
      <c r="AQ68" s="523"/>
      <c r="AR68" s="524"/>
      <c r="AS68" s="522"/>
      <c r="AT68" s="523"/>
      <c r="AU68" s="523"/>
      <c r="AV68" s="523"/>
      <c r="AW68" s="522" t="s">
        <v>232</v>
      </c>
      <c r="AX68" s="523"/>
      <c r="AY68" s="523"/>
      <c r="AZ68" s="524"/>
      <c r="BA68" s="525" t="s">
        <v>30</v>
      </c>
      <c r="BB68" s="523"/>
      <c r="BC68" s="523"/>
      <c r="BD68" s="524"/>
      <c r="BE68" s="526" t="s">
        <v>233</v>
      </c>
      <c r="BF68" s="523"/>
      <c r="BG68" s="523"/>
      <c r="BH68" s="524"/>
      <c r="BI68" s="525" t="s">
        <v>30</v>
      </c>
      <c r="BJ68" s="523"/>
      <c r="BK68" s="523"/>
      <c r="BL68" s="524"/>
      <c r="BM68" s="526" t="s">
        <v>30</v>
      </c>
      <c r="BN68" s="523"/>
      <c r="BO68" s="523"/>
      <c r="BP68" s="524"/>
      <c r="BQ68" s="523"/>
      <c r="BR68" s="523"/>
      <c r="BS68" s="523"/>
      <c r="BT68" s="524"/>
      <c r="BU68" s="523"/>
      <c r="BV68" s="523"/>
      <c r="BW68" s="523"/>
      <c r="BX68" s="524"/>
      <c r="BY68" s="523"/>
      <c r="BZ68" s="523"/>
      <c r="CA68" s="523"/>
      <c r="CB68" s="524"/>
      <c r="CC68" s="526" t="s">
        <v>30</v>
      </c>
      <c r="CD68" s="523"/>
      <c r="CE68" s="524"/>
      <c r="CF68" s="523"/>
      <c r="CG68" s="523"/>
      <c r="CH68" s="523"/>
      <c r="CI68" s="524"/>
      <c r="CJ68" s="523"/>
      <c r="CK68" s="523"/>
      <c r="CL68" s="523"/>
      <c r="CM68" s="524"/>
    </row>
    <row r="69" spans="1:91" ht="13.5" customHeight="1">
      <c r="A69" s="22"/>
      <c r="B69" s="202">
        <v>25</v>
      </c>
      <c r="C69" s="308">
        <v>1</v>
      </c>
      <c r="D69" s="148" t="s">
        <v>230</v>
      </c>
      <c r="E69" s="149"/>
      <c r="F69" s="148" t="s">
        <v>149</v>
      </c>
      <c r="G69" s="149"/>
      <c r="H69" s="149"/>
      <c r="I69" s="151"/>
      <c r="J69" s="221"/>
      <c r="K69" s="222"/>
      <c r="L69" s="222"/>
      <c r="M69" s="222"/>
      <c r="N69" s="161"/>
      <c r="O69" s="162"/>
      <c r="P69" s="148"/>
      <c r="Q69" s="150"/>
      <c r="R69" s="150"/>
      <c r="S69" s="162"/>
      <c r="T69" s="119"/>
      <c r="U69" s="120"/>
      <c r="V69" s="120"/>
      <c r="W69" s="162"/>
      <c r="X69" s="1086">
        <f>SUMPRODUCT(X$64:AA$65,AO$64:AR$65)</f>
        <v>144848.68</v>
      </c>
      <c r="Y69" s="1095"/>
      <c r="Z69" s="1095"/>
      <c r="AA69" s="1096"/>
      <c r="AB69" s="1086">
        <f>SUMPRODUCT(R$51:R$52,AE$51:AE$52)/H42</f>
        <v>112714.74545454545</v>
      </c>
      <c r="AC69" s="1095"/>
      <c r="AD69" s="1095"/>
      <c r="AE69" s="1096"/>
      <c r="AF69" s="1103">
        <f>X69-AB69</f>
        <v>32133.93454545454</v>
      </c>
      <c r="AG69" s="1104"/>
      <c r="AH69" s="1104"/>
      <c r="AI69" s="1104"/>
      <c r="AJ69" s="1105"/>
      <c r="AK69" s="1156">
        <f>AF69/AB69</f>
        <v>0.2850907786365291</v>
      </c>
      <c r="AL69" s="1157"/>
      <c r="AM69" s="1157"/>
      <c r="AN69" s="1158"/>
      <c r="AO69" s="1077">
        <f>AS69/(X69-AS69)</f>
        <v>-2.1292702702702691E-2</v>
      </c>
      <c r="AP69" s="1078"/>
      <c r="AQ69" s="1078"/>
      <c r="AR69" s="1079"/>
      <c r="AS69" s="1159">
        <f>X$64*(AO$64-AK$64)+X$65*(AO$65-AK$65)</f>
        <v>-3151.3199999999983</v>
      </c>
      <c r="AT69" s="1160"/>
      <c r="AU69" s="1160"/>
      <c r="AV69" s="1161"/>
      <c r="AW69" s="1162">
        <f>SUMPRODUCT(X$64:AA$65,AK$64:AN$65)</f>
        <v>148000</v>
      </c>
      <c r="AX69" s="1163"/>
      <c r="AY69" s="1163"/>
      <c r="AZ69" s="1164"/>
      <c r="BA69" s="1086">
        <f>SUMPRODUCT(X$64:AA$65,BI$64:BL$65)</f>
        <v>178440</v>
      </c>
      <c r="BB69" s="1095"/>
      <c r="BC69" s="1095"/>
      <c r="BD69" s="1096"/>
      <c r="BE69" s="1092">
        <f>1-(SUMPRODUCT(R$51:R$52,Z$51:Z$52)/107+(AN$51*AV$51+AN$51/(1-AV$51)*$K$20)*R$51+(AN$52*AV$52+AN$52/(1-AV$52)*$K$20)*R$52)/BA$75</f>
        <v>0.43995079106037671</v>
      </c>
      <c r="BF69" s="1093"/>
      <c r="BG69" s="1093"/>
      <c r="BH69" s="1094"/>
      <c r="BI69" s="149" t="s">
        <v>30</v>
      </c>
      <c r="BJ69" s="150"/>
      <c r="BK69" s="150"/>
      <c r="BL69" s="152"/>
      <c r="BM69" s="149" t="s">
        <v>30</v>
      </c>
      <c r="BN69" s="150"/>
      <c r="BO69" s="150"/>
      <c r="BP69" s="152"/>
      <c r="BQ69" s="149" t="s">
        <v>30</v>
      </c>
      <c r="BR69" s="150"/>
      <c r="BS69" s="150"/>
      <c r="BT69" s="152"/>
      <c r="BU69" s="149" t="s">
        <v>30</v>
      </c>
      <c r="BV69" s="150"/>
      <c r="BW69" s="150"/>
      <c r="BX69" s="152"/>
      <c r="BY69" s="149" t="s">
        <v>30</v>
      </c>
      <c r="BZ69" s="150"/>
      <c r="CA69" s="150"/>
      <c r="CB69" s="152"/>
      <c r="CC69" s="149" t="s">
        <v>30</v>
      </c>
      <c r="CD69" s="150"/>
      <c r="CE69" s="152"/>
      <c r="CF69" s="149" t="s">
        <v>30</v>
      </c>
      <c r="CG69" s="150"/>
      <c r="CH69" s="150"/>
      <c r="CI69" s="152"/>
      <c r="CJ69" s="149" t="s">
        <v>30</v>
      </c>
      <c r="CK69" s="150"/>
      <c r="CL69" s="150"/>
      <c r="CM69" s="152"/>
    </row>
    <row r="70" spans="1:91" ht="13.5" customHeight="1">
      <c r="A70" s="22"/>
      <c r="B70" s="202">
        <v>25</v>
      </c>
      <c r="C70" s="308">
        <v>2</v>
      </c>
      <c r="D70" s="148" t="s">
        <v>230</v>
      </c>
      <c r="E70" s="149"/>
      <c r="F70" s="148" t="s">
        <v>208</v>
      </c>
      <c r="G70" s="149"/>
      <c r="H70" s="149"/>
      <c r="I70" s="151"/>
      <c r="J70" s="221"/>
      <c r="K70" s="222"/>
      <c r="L70" s="222"/>
      <c r="M70" s="222"/>
      <c r="N70" s="161"/>
      <c r="O70" s="162"/>
      <c r="P70" s="148"/>
      <c r="Q70" s="150"/>
      <c r="R70" s="150"/>
      <c r="S70" s="162"/>
      <c r="T70" s="119"/>
      <c r="U70" s="120"/>
      <c r="V70" s="120"/>
      <c r="W70" s="162"/>
      <c r="X70" s="1074">
        <f>SUMPRODUCT(X$64:AA$65,AO$64:AR$65)*H42</f>
        <v>15933354.799999999</v>
      </c>
      <c r="Y70" s="1075"/>
      <c r="Z70" s="1075"/>
      <c r="AA70" s="1076"/>
      <c r="AB70" s="1074">
        <f>SUMPRODUCT(R$51:R$52,AE$51:AE$52)</f>
        <v>12398622</v>
      </c>
      <c r="AC70" s="1075"/>
      <c r="AD70" s="1075"/>
      <c r="AE70" s="1076"/>
      <c r="AF70" s="1103">
        <f>X70-AB70</f>
        <v>3534732.7999999989</v>
      </c>
      <c r="AG70" s="1104"/>
      <c r="AH70" s="1104"/>
      <c r="AI70" s="1104"/>
      <c r="AJ70" s="1105"/>
      <c r="AK70" s="1156">
        <f>AF70/AB70</f>
        <v>0.28509077863652904</v>
      </c>
      <c r="AL70" s="1157"/>
      <c r="AM70" s="1157"/>
      <c r="AN70" s="1158"/>
      <c r="AO70" s="1077">
        <f>AS70/(X70-AS70)</f>
        <v>-1.9774221377452075E-4</v>
      </c>
      <c r="AP70" s="1078"/>
      <c r="AQ70" s="1078"/>
      <c r="AR70" s="1079"/>
      <c r="AS70" s="1133">
        <f>X$64*(AO$64-AK$64)+X$65*(AO$65-AK$65)</f>
        <v>-3151.3199999999983</v>
      </c>
      <c r="AT70" s="1134"/>
      <c r="AU70" s="1134"/>
      <c r="AV70" s="1135"/>
      <c r="AW70" s="1136">
        <f>SUMPRODUCT(X$64:AA$65,AK$64:AN$65)</f>
        <v>148000</v>
      </c>
      <c r="AX70" s="1137"/>
      <c r="AY70" s="1137"/>
      <c r="AZ70" s="1138"/>
      <c r="BA70" s="1074">
        <f>SUMPRODUCT(X$64:AA$65,BI$64:BL$65)</f>
        <v>178440</v>
      </c>
      <c r="BB70" s="1075"/>
      <c r="BC70" s="1075"/>
      <c r="BD70" s="1076"/>
      <c r="BE70" s="1092">
        <f>1-(SUMPRODUCT(R$51:R$52,Z$51:Z$52)/107+(AN$51*AV$51+AN$51/(1-AV$51)*$K$20)*R$51+(AN$52*AV$52+AN$52/(1-AV$52)*$K$20)*R$52)/BA$75</f>
        <v>0.43995079106037671</v>
      </c>
      <c r="BF70" s="1093"/>
      <c r="BG70" s="1093"/>
      <c r="BH70" s="1094"/>
      <c r="BI70" s="149" t="s">
        <v>30</v>
      </c>
      <c r="BJ70" s="150"/>
      <c r="BK70" s="150"/>
      <c r="BL70" s="152"/>
      <c r="BM70" s="149" t="s">
        <v>30</v>
      </c>
      <c r="BN70" s="150"/>
      <c r="BO70" s="150"/>
      <c r="BP70" s="152"/>
      <c r="BQ70" s="149" t="s">
        <v>30</v>
      </c>
      <c r="BR70" s="150"/>
      <c r="BS70" s="150"/>
      <c r="BT70" s="152"/>
      <c r="BU70" s="149" t="s">
        <v>30</v>
      </c>
      <c r="BV70" s="150"/>
      <c r="BW70" s="150"/>
      <c r="BX70" s="152"/>
      <c r="BY70" s="149" t="s">
        <v>30</v>
      </c>
      <c r="BZ70" s="150"/>
      <c r="CA70" s="150"/>
      <c r="CB70" s="152"/>
      <c r="CC70" s="149" t="s">
        <v>30</v>
      </c>
      <c r="CD70" s="150"/>
      <c r="CE70" s="152"/>
      <c r="CF70" s="149" t="s">
        <v>30</v>
      </c>
      <c r="CG70" s="150"/>
      <c r="CH70" s="150"/>
      <c r="CI70" s="152"/>
      <c r="CJ70" s="149" t="s">
        <v>30</v>
      </c>
      <c r="CK70" s="150"/>
      <c r="CL70" s="150"/>
      <c r="CM70" s="152"/>
    </row>
    <row r="71" spans="1:91" ht="13.5" customHeight="1">
      <c r="A71" s="22"/>
      <c r="B71" s="202">
        <v>20</v>
      </c>
      <c r="C71" s="337" t="s">
        <v>281</v>
      </c>
      <c r="D71" s="28"/>
      <c r="E71" s="28"/>
      <c r="F71" s="28"/>
      <c r="G71" s="28"/>
      <c r="H71" s="121"/>
      <c r="I71" s="62"/>
      <c r="J71" s="63"/>
      <c r="K71" s="62"/>
      <c r="L71" s="63"/>
      <c r="M71" s="69"/>
      <c r="N71" s="69"/>
      <c r="O71" s="65"/>
      <c r="P71" s="69"/>
      <c r="Q71" s="65"/>
      <c r="R71" s="69"/>
      <c r="S71" s="28"/>
      <c r="T71" s="28"/>
      <c r="U71" s="28"/>
      <c r="V71" s="28"/>
      <c r="W71" s="28"/>
      <c r="X71" s="121"/>
      <c r="Y71" s="62"/>
      <c r="Z71" s="63"/>
      <c r="AA71" s="62"/>
      <c r="AB71" s="63"/>
      <c r="AC71" s="69"/>
      <c r="AD71" s="69"/>
      <c r="AE71" s="65"/>
      <c r="AF71" s="69"/>
      <c r="AG71" s="65"/>
      <c r="AH71" s="69"/>
      <c r="AI71" s="64"/>
      <c r="AJ71" s="69"/>
      <c r="AK71" s="65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33"/>
      <c r="AW71" s="28"/>
      <c r="AX71" s="28"/>
      <c r="AY71" s="31"/>
      <c r="AZ71" s="95"/>
      <c r="BA71" s="92"/>
      <c r="BB71" s="329"/>
      <c r="BC71" s="338"/>
      <c r="BD71" s="37"/>
      <c r="BE71" s="37"/>
    </row>
    <row r="72" spans="1:91" ht="13.5" customHeight="1">
      <c r="A72" s="22"/>
      <c r="B72" s="202">
        <v>24</v>
      </c>
      <c r="C72" s="304"/>
      <c r="D72" s="243"/>
      <c r="E72" s="244"/>
      <c r="F72" s="243" t="s">
        <v>297</v>
      </c>
      <c r="G72" s="244"/>
      <c r="H72" s="244"/>
      <c r="I72" s="245"/>
      <c r="J72" s="246" t="s">
        <v>30</v>
      </c>
      <c r="K72" s="247"/>
      <c r="L72" s="247"/>
      <c r="M72" s="247"/>
      <c r="N72" s="244"/>
      <c r="O72" s="245"/>
      <c r="P72" s="253" t="s">
        <v>30</v>
      </c>
      <c r="Q72" s="249"/>
      <c r="R72" s="249"/>
      <c r="S72" s="250"/>
      <c r="T72" s="246" t="s">
        <v>30</v>
      </c>
      <c r="U72" s="244"/>
      <c r="V72" s="244"/>
      <c r="W72" s="245"/>
      <c r="X72" s="249" t="s">
        <v>217</v>
      </c>
      <c r="Y72" s="244"/>
      <c r="Z72" s="244"/>
      <c r="AA72" s="244"/>
      <c r="AB72" s="248" t="s">
        <v>146</v>
      </c>
      <c r="AC72" s="244"/>
      <c r="AD72" s="244"/>
      <c r="AE72" s="244"/>
      <c r="AF72" s="248" t="s">
        <v>231</v>
      </c>
      <c r="AG72" s="249"/>
      <c r="AH72" s="249"/>
      <c r="AI72" s="249"/>
      <c r="AJ72" s="250"/>
      <c r="AK72" s="248" t="s">
        <v>220</v>
      </c>
      <c r="AL72" s="249"/>
      <c r="AM72" s="249"/>
      <c r="AN72" s="250"/>
      <c r="AO72" s="248" t="s">
        <v>221</v>
      </c>
      <c r="AP72" s="249"/>
      <c r="AQ72" s="249"/>
      <c r="AR72" s="250"/>
      <c r="AS72" s="248" t="s">
        <v>222</v>
      </c>
      <c r="AT72" s="249"/>
      <c r="AU72" s="249"/>
      <c r="AV72" s="249"/>
      <c r="AW72" s="248" t="s">
        <v>102</v>
      </c>
      <c r="AX72" s="249"/>
      <c r="AY72" s="249"/>
      <c r="AZ72" s="250"/>
      <c r="BA72" s="253" t="s">
        <v>223</v>
      </c>
      <c r="BB72" s="249"/>
      <c r="BC72" s="249"/>
      <c r="BD72" s="250"/>
      <c r="BE72" s="251" t="s">
        <v>224</v>
      </c>
      <c r="BF72" s="249"/>
      <c r="BG72" s="249"/>
      <c r="BH72" s="250"/>
      <c r="BI72" s="253" t="s">
        <v>30</v>
      </c>
      <c r="BJ72" s="249"/>
      <c r="BK72" s="249"/>
      <c r="BL72" s="250"/>
      <c r="BM72" s="251" t="s">
        <v>30</v>
      </c>
      <c r="BN72" s="249"/>
      <c r="BO72" s="249"/>
      <c r="BP72" s="250"/>
      <c r="BQ72" s="249"/>
      <c r="BR72" s="249"/>
      <c r="BS72" s="249"/>
      <c r="BT72" s="250"/>
      <c r="BU72" s="249"/>
      <c r="BV72" s="249"/>
      <c r="BW72" s="249"/>
      <c r="BX72" s="250"/>
      <c r="BY72" s="249"/>
      <c r="BZ72" s="249"/>
      <c r="CA72" s="249"/>
      <c r="CB72" s="250"/>
      <c r="CC72" s="251" t="s">
        <v>30</v>
      </c>
      <c r="CD72" s="249"/>
      <c r="CE72" s="250"/>
      <c r="CF72" s="249"/>
      <c r="CG72" s="249"/>
      <c r="CH72" s="249"/>
      <c r="CI72" s="250"/>
      <c r="CJ72" s="249"/>
      <c r="CK72" s="249"/>
      <c r="CL72" s="249"/>
      <c r="CM72" s="250"/>
    </row>
    <row r="73" spans="1:91" ht="13.5" customHeight="1">
      <c r="A73" s="22"/>
      <c r="B73" s="202">
        <v>24</v>
      </c>
      <c r="C73" s="461"/>
      <c r="D73" s="462"/>
      <c r="E73" s="463"/>
      <c r="F73" s="462"/>
      <c r="G73" s="463"/>
      <c r="H73" s="463"/>
      <c r="I73" s="464"/>
      <c r="J73" s="465"/>
      <c r="K73" s="466"/>
      <c r="L73" s="466"/>
      <c r="M73" s="466"/>
      <c r="N73" s="463"/>
      <c r="O73" s="464"/>
      <c r="P73" s="467"/>
      <c r="Q73" s="458"/>
      <c r="R73" s="458"/>
      <c r="S73" s="459"/>
      <c r="T73" s="462"/>
      <c r="U73" s="463"/>
      <c r="V73" s="463"/>
      <c r="W73" s="464"/>
      <c r="X73" s="458"/>
      <c r="Y73" s="463"/>
      <c r="Z73" s="463"/>
      <c r="AA73" s="463"/>
      <c r="AB73" s="467"/>
      <c r="AC73" s="463"/>
      <c r="AD73" s="463"/>
      <c r="AE73" s="463"/>
      <c r="AF73" s="467"/>
      <c r="AG73" s="458"/>
      <c r="AH73" s="458"/>
      <c r="AI73" s="458"/>
      <c r="AJ73" s="459"/>
      <c r="AK73" s="467"/>
      <c r="AL73" s="458"/>
      <c r="AM73" s="458"/>
      <c r="AN73" s="459"/>
      <c r="AO73" s="467"/>
      <c r="AP73" s="458"/>
      <c r="AQ73" s="458"/>
      <c r="AR73" s="459"/>
      <c r="AS73" s="467"/>
      <c r="AT73" s="458"/>
      <c r="AU73" s="458"/>
      <c r="AV73" s="458"/>
      <c r="AW73" s="467" t="s">
        <v>232</v>
      </c>
      <c r="AX73" s="458"/>
      <c r="AY73" s="458"/>
      <c r="AZ73" s="459"/>
      <c r="BA73" s="457" t="s">
        <v>30</v>
      </c>
      <c r="BB73" s="458"/>
      <c r="BC73" s="458"/>
      <c r="BD73" s="459"/>
      <c r="BE73" s="460" t="s">
        <v>233</v>
      </c>
      <c r="BF73" s="458"/>
      <c r="BG73" s="458"/>
      <c r="BH73" s="459"/>
      <c r="BI73" s="457" t="s">
        <v>30</v>
      </c>
      <c r="BJ73" s="458"/>
      <c r="BK73" s="458"/>
      <c r="BL73" s="459"/>
      <c r="BM73" s="460" t="s">
        <v>30</v>
      </c>
      <c r="BN73" s="458"/>
      <c r="BO73" s="458"/>
      <c r="BP73" s="459"/>
      <c r="BQ73" s="458"/>
      <c r="BR73" s="458"/>
      <c r="BS73" s="458"/>
      <c r="BT73" s="459"/>
      <c r="BU73" s="458"/>
      <c r="BV73" s="458"/>
      <c r="BW73" s="458"/>
      <c r="BX73" s="459"/>
      <c r="BY73" s="458"/>
      <c r="BZ73" s="458"/>
      <c r="CA73" s="458"/>
      <c r="CB73" s="459"/>
      <c r="CC73" s="460" t="s">
        <v>30</v>
      </c>
      <c r="CD73" s="458"/>
      <c r="CE73" s="459"/>
      <c r="CF73" s="458"/>
      <c r="CG73" s="458"/>
      <c r="CH73" s="458"/>
      <c r="CI73" s="459"/>
      <c r="CJ73" s="458"/>
      <c r="CK73" s="458"/>
      <c r="CL73" s="458"/>
      <c r="CM73" s="459"/>
    </row>
    <row r="74" spans="1:91" ht="13.5" customHeight="1">
      <c r="A74" s="22"/>
      <c r="B74" s="202">
        <v>25</v>
      </c>
      <c r="C74" s="308"/>
      <c r="D74" s="148"/>
      <c r="E74" s="149"/>
      <c r="F74" s="148" t="s">
        <v>149</v>
      </c>
      <c r="G74" s="149"/>
      <c r="H74" s="149"/>
      <c r="I74" s="151"/>
      <c r="J74" s="221"/>
      <c r="K74" s="222"/>
      <c r="L74" s="222"/>
      <c r="M74" s="222"/>
      <c r="N74" s="161"/>
      <c r="O74" s="162"/>
      <c r="P74" s="148"/>
      <c r="Q74" s="150"/>
      <c r="R74" s="150"/>
      <c r="S74" s="162"/>
      <c r="T74" s="119"/>
      <c r="U74" s="120"/>
      <c r="V74" s="120"/>
      <c r="W74" s="162"/>
      <c r="X74" s="1086">
        <f>SUMPRODUCT(X$64:AA$65,AO$64:AR$65)</f>
        <v>144848.68</v>
      </c>
      <c r="Y74" s="1095"/>
      <c r="Z74" s="1095"/>
      <c r="AA74" s="1096"/>
      <c r="AB74" s="1086">
        <f>SUMPRODUCT(R$51:R$52,AE$51:AE$52)/107</f>
        <v>115874.97196261682</v>
      </c>
      <c r="AC74" s="1095"/>
      <c r="AD74" s="1095"/>
      <c r="AE74" s="1096"/>
      <c r="AF74" s="1103">
        <f>X74-AB74</f>
        <v>28973.70803738317</v>
      </c>
      <c r="AG74" s="1104"/>
      <c r="AH74" s="1104"/>
      <c r="AI74" s="1104"/>
      <c r="AJ74" s="1105"/>
      <c r="AK74" s="1156">
        <f>AF74/AB74</f>
        <v>0.25004284831007828</v>
      </c>
      <c r="AL74" s="1157"/>
      <c r="AM74" s="1157"/>
      <c r="AN74" s="1158"/>
      <c r="AO74" s="1077">
        <f>AS74/(X74-AS74)</f>
        <v>-2.1292702702702691E-2</v>
      </c>
      <c r="AP74" s="1078"/>
      <c r="AQ74" s="1078"/>
      <c r="AR74" s="1079"/>
      <c r="AS74" s="1159">
        <f>X$64*(AO$64-AK$64)+X$65*(AO$65-AK$65)</f>
        <v>-3151.3199999999983</v>
      </c>
      <c r="AT74" s="1160"/>
      <c r="AU74" s="1160"/>
      <c r="AV74" s="1161"/>
      <c r="AW74" s="1162">
        <f>SUMPRODUCT(X$64:AA$65,AK$64:AN$65)</f>
        <v>148000</v>
      </c>
      <c r="AX74" s="1163"/>
      <c r="AY74" s="1163"/>
      <c r="AZ74" s="1164"/>
      <c r="BA74" s="1086">
        <f>SUMPRODUCT(X$64:AA$65,BI$64:BL$65)</f>
        <v>178440</v>
      </c>
      <c r="BB74" s="1095"/>
      <c r="BC74" s="1095"/>
      <c r="BD74" s="1096"/>
      <c r="BE74" s="1092">
        <f>1-(SUMPRODUCT(R$51:R$52,Z$51:Z$52)/107+(AN$51*AV$51+AN$51/(1-AV$51)*$K$20)*R$51+(AN$52*AV$52+AN$52/(1-AV$52)*$K$20)*R$52)/BA$75</f>
        <v>0.43995079106037671</v>
      </c>
      <c r="BF74" s="1093"/>
      <c r="BG74" s="1093"/>
      <c r="BH74" s="1094"/>
      <c r="BI74" s="149" t="s">
        <v>30</v>
      </c>
      <c r="BJ74" s="150"/>
      <c r="BK74" s="150"/>
      <c r="BL74" s="152"/>
      <c r="BM74" s="149" t="s">
        <v>30</v>
      </c>
      <c r="BN74" s="150"/>
      <c r="BO74" s="150"/>
      <c r="BP74" s="152"/>
      <c r="BQ74" s="149" t="s">
        <v>30</v>
      </c>
      <c r="BR74" s="150"/>
      <c r="BS74" s="150"/>
      <c r="BT74" s="152"/>
      <c r="BU74" s="149" t="s">
        <v>30</v>
      </c>
      <c r="BV74" s="150"/>
      <c r="BW74" s="150"/>
      <c r="BX74" s="152"/>
      <c r="BY74" s="149" t="s">
        <v>30</v>
      </c>
      <c r="BZ74" s="150"/>
      <c r="CA74" s="150"/>
      <c r="CB74" s="152"/>
      <c r="CC74" s="149" t="s">
        <v>30</v>
      </c>
      <c r="CD74" s="150"/>
      <c r="CE74" s="152"/>
      <c r="CF74" s="149" t="s">
        <v>30</v>
      </c>
      <c r="CG74" s="150"/>
      <c r="CH74" s="150"/>
      <c r="CI74" s="152"/>
      <c r="CJ74" s="149" t="s">
        <v>30</v>
      </c>
      <c r="CK74" s="150"/>
      <c r="CL74" s="150"/>
      <c r="CM74" s="152"/>
    </row>
    <row r="75" spans="1:91" ht="13.5" customHeight="1">
      <c r="A75" s="22"/>
      <c r="B75" s="202">
        <v>25</v>
      </c>
      <c r="C75" s="308"/>
      <c r="D75" s="148"/>
      <c r="E75" s="149"/>
      <c r="F75" s="148" t="s">
        <v>208</v>
      </c>
      <c r="G75" s="149"/>
      <c r="H75" s="149"/>
      <c r="I75" s="151"/>
      <c r="J75" s="221"/>
      <c r="K75" s="222"/>
      <c r="L75" s="222"/>
      <c r="M75" s="222"/>
      <c r="N75" s="161"/>
      <c r="O75" s="162"/>
      <c r="P75" s="148"/>
      <c r="Q75" s="150"/>
      <c r="R75" s="150"/>
      <c r="S75" s="162"/>
      <c r="T75" s="119"/>
      <c r="U75" s="120"/>
      <c r="V75" s="120"/>
      <c r="W75" s="162"/>
      <c r="X75" s="1074">
        <f>SUMPRODUCT(X$64:AA$65,AO$64:AR$65)</f>
        <v>144848.68</v>
      </c>
      <c r="Y75" s="1075"/>
      <c r="Z75" s="1075"/>
      <c r="AA75" s="1076"/>
      <c r="AB75" s="1074">
        <f>SUMPRODUCT(R$51:R$52,AE$51:AE$52)/107</f>
        <v>115874.97196261682</v>
      </c>
      <c r="AC75" s="1075"/>
      <c r="AD75" s="1075"/>
      <c r="AE75" s="1076"/>
      <c r="AF75" s="1103">
        <f>X75-AB75</f>
        <v>28973.70803738317</v>
      </c>
      <c r="AG75" s="1104"/>
      <c r="AH75" s="1104"/>
      <c r="AI75" s="1104"/>
      <c r="AJ75" s="1105"/>
      <c r="AK75" s="1156">
        <f>AF75/AB75</f>
        <v>0.25004284831007828</v>
      </c>
      <c r="AL75" s="1157"/>
      <c r="AM75" s="1157"/>
      <c r="AN75" s="1158"/>
      <c r="AO75" s="1077">
        <f>AS75/(X75-AS75)</f>
        <v>-2.1292702702702691E-2</v>
      </c>
      <c r="AP75" s="1078"/>
      <c r="AQ75" s="1078"/>
      <c r="AR75" s="1079"/>
      <c r="AS75" s="1133">
        <f>X$64*(AO$64-AK$64)+X$65*(AO$65-AK$65)</f>
        <v>-3151.3199999999983</v>
      </c>
      <c r="AT75" s="1134"/>
      <c r="AU75" s="1134"/>
      <c r="AV75" s="1135"/>
      <c r="AW75" s="1136">
        <f>SUMPRODUCT(X$64:AA$65,AK$64:AN$65)</f>
        <v>148000</v>
      </c>
      <c r="AX75" s="1137"/>
      <c r="AY75" s="1137"/>
      <c r="AZ75" s="1138"/>
      <c r="BA75" s="1074">
        <f>SUMPRODUCT(X$64:AA$65,BI$64:BL$65)</f>
        <v>178440</v>
      </c>
      <c r="BB75" s="1075"/>
      <c r="BC75" s="1075"/>
      <c r="BD75" s="1076"/>
      <c r="BE75" s="1092">
        <f>1-(SUMPRODUCT(R$51:R$52,Z$51:Z$52)/107+(AN$51*AV$51+AN$51/(1-AV$51)*$K$20)*R$51+(AN$52*AV$52+AN$52/(1-AV$52)*$K$20)*R$52)/BA$75</f>
        <v>0.43995079106037671</v>
      </c>
      <c r="BF75" s="1093"/>
      <c r="BG75" s="1093"/>
      <c r="BH75" s="1094"/>
      <c r="BI75" s="149" t="s">
        <v>30</v>
      </c>
      <c r="BJ75" s="150"/>
      <c r="BK75" s="150"/>
      <c r="BL75" s="152"/>
      <c r="BM75" s="149" t="s">
        <v>30</v>
      </c>
      <c r="BN75" s="150"/>
      <c r="BO75" s="150"/>
      <c r="BP75" s="152"/>
      <c r="BQ75" s="149" t="s">
        <v>30</v>
      </c>
      <c r="BR75" s="150"/>
      <c r="BS75" s="150"/>
      <c r="BT75" s="152"/>
      <c r="BU75" s="149" t="s">
        <v>30</v>
      </c>
      <c r="BV75" s="150"/>
      <c r="BW75" s="150"/>
      <c r="BX75" s="152"/>
      <c r="BY75" s="149" t="s">
        <v>30</v>
      </c>
      <c r="BZ75" s="150"/>
      <c r="CA75" s="150"/>
      <c r="CB75" s="152"/>
      <c r="CC75" s="149" t="s">
        <v>30</v>
      </c>
      <c r="CD75" s="150"/>
      <c r="CE75" s="152"/>
      <c r="CF75" s="149" t="s">
        <v>30</v>
      </c>
      <c r="CG75" s="150"/>
      <c r="CH75" s="150"/>
      <c r="CI75" s="152"/>
      <c r="CJ75" s="149" t="s">
        <v>30</v>
      </c>
      <c r="CK75" s="150"/>
      <c r="CL75" s="150"/>
      <c r="CM75" s="152"/>
    </row>
    <row r="76" spans="1:91" ht="13.5" customHeight="1">
      <c r="A76" s="22"/>
      <c r="B76" s="202">
        <v>26</v>
      </c>
      <c r="C76" s="339"/>
      <c r="D76" s="75"/>
      <c r="E76" s="75"/>
      <c r="F76" s="75"/>
      <c r="G76" s="75"/>
      <c r="H76" s="199"/>
      <c r="I76" s="199"/>
      <c r="J76" s="200"/>
      <c r="K76" s="199"/>
      <c r="L76" s="200"/>
      <c r="M76" s="199"/>
      <c r="N76" s="199"/>
      <c r="O76" s="83"/>
      <c r="P76" s="84"/>
      <c r="Q76" s="84"/>
      <c r="R76" s="84"/>
      <c r="S76" s="75"/>
      <c r="T76" s="75"/>
      <c r="U76" s="75"/>
      <c r="V76" s="75"/>
      <c r="W76" s="75"/>
      <c r="X76" s="85"/>
      <c r="Y76" s="75"/>
      <c r="Z76" s="84"/>
      <c r="AA76" s="85"/>
      <c r="AB76" s="75"/>
      <c r="AC76" s="84"/>
      <c r="AD76" s="85"/>
      <c r="AE76" s="84"/>
      <c r="AF76" s="84"/>
      <c r="AG76" s="85"/>
      <c r="AH76" s="84"/>
      <c r="AI76" s="84"/>
      <c r="AJ76" s="90"/>
      <c r="AK76" s="84"/>
      <c r="AL76" s="84"/>
      <c r="AM76" s="84"/>
      <c r="AN76" s="84"/>
      <c r="AO76" s="84"/>
      <c r="AP76" s="84"/>
      <c r="AQ76" s="84"/>
      <c r="AR76" s="84"/>
      <c r="AS76" s="65"/>
      <c r="AT76" s="65"/>
      <c r="AU76" s="65"/>
      <c r="AV76" s="65"/>
      <c r="AW76" s="65"/>
      <c r="AX76" s="65"/>
      <c r="AY76" s="63"/>
      <c r="AZ76" s="31"/>
      <c r="BA76" s="30"/>
      <c r="BB76" s="175"/>
      <c r="BC76" s="343"/>
      <c r="BD76" s="1166"/>
      <c r="BE76" s="1167"/>
      <c r="BF76" s="1167"/>
    </row>
    <row r="77" spans="1:91" ht="13.5" customHeight="1">
      <c r="A77" s="22"/>
      <c r="B77" s="202">
        <v>29</v>
      </c>
      <c r="C77" s="342"/>
      <c r="D77" s="332"/>
      <c r="E77" s="65"/>
      <c r="F77" s="65"/>
      <c r="G77" s="65"/>
      <c r="H77" s="65"/>
      <c r="I77" s="65"/>
      <c r="J77" s="1100"/>
      <c r="K77" s="1101"/>
      <c r="L77" s="1101"/>
      <c r="M77" s="1101"/>
      <c r="N77"/>
      <c r="O77"/>
      <c r="P77"/>
      <c r="Q77"/>
      <c r="R77"/>
      <c r="S77"/>
      <c r="T77"/>
      <c r="U77"/>
      <c r="V77"/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198"/>
      <c r="AN77" s="198"/>
      <c r="AO77" s="198"/>
      <c r="AP77" s="198"/>
      <c r="AQ77" s="198"/>
      <c r="AR77" s="198"/>
      <c r="AS77" s="254"/>
      <c r="AT77" s="35"/>
      <c r="AU77" s="35"/>
      <c r="AV77" s="254"/>
      <c r="AW77" s="198"/>
      <c r="AX77" s="198"/>
      <c r="AY77" s="198"/>
      <c r="AZ77" s="31"/>
      <c r="BA77" s="30"/>
      <c r="BB77" s="175"/>
      <c r="BC77" s="345"/>
      <c r="BD77" s="28"/>
      <c r="BG77" s="24"/>
      <c r="BH77" s="28"/>
    </row>
    <row r="78" spans="1:91" ht="13.5" customHeight="1">
      <c r="A78" s="22"/>
      <c r="B78" s="202"/>
      <c r="C78" s="342"/>
      <c r="D78" s="332"/>
      <c r="E78" s="65"/>
      <c r="F78" s="65"/>
      <c r="G78" s="65"/>
      <c r="H78" s="65"/>
      <c r="I78" s="65"/>
      <c r="J78" s="333"/>
      <c r="K78" s="334"/>
      <c r="L78" s="334"/>
      <c r="M78" s="334"/>
      <c r="N78"/>
      <c r="O78"/>
      <c r="P78"/>
      <c r="Q78"/>
      <c r="R78"/>
      <c r="S78"/>
      <c r="T78"/>
      <c r="U78"/>
      <c r="V78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198"/>
      <c r="AN78" s="198"/>
      <c r="AO78" s="198"/>
      <c r="AP78" s="198"/>
      <c r="AQ78" s="198"/>
      <c r="AR78" s="198"/>
      <c r="AS78" s="254"/>
      <c r="AT78" s="35"/>
      <c r="AU78" s="35"/>
      <c r="AV78" s="254"/>
      <c r="AW78" s="198"/>
      <c r="AX78" s="198"/>
      <c r="AY78" s="198"/>
      <c r="AZ78" s="31"/>
      <c r="BA78" s="30"/>
      <c r="BB78" s="175"/>
      <c r="BC78" s="345"/>
      <c r="BD78" s="28"/>
      <c r="BG78" s="24"/>
      <c r="BH78" s="28"/>
    </row>
    <row r="79" spans="1:91" ht="13.5" customHeight="1">
      <c r="A79" s="22"/>
      <c r="B79" s="202"/>
      <c r="C79" s="342"/>
      <c r="D79" s="332"/>
      <c r="E79" s="65"/>
      <c r="F79" s="65"/>
      <c r="G79" s="65"/>
      <c r="H79" s="65"/>
      <c r="I79" s="65"/>
      <c r="J79" s="333"/>
      <c r="K79" s="334"/>
      <c r="L79" s="334"/>
      <c r="M79" s="334"/>
      <c r="N79"/>
      <c r="O79"/>
      <c r="P79"/>
      <c r="Q79"/>
      <c r="R79"/>
      <c r="S79"/>
      <c r="T79"/>
      <c r="U79"/>
      <c r="V79"/>
      <c r="W79" s="65"/>
      <c r="X79" s="65"/>
      <c r="Y79" s="65"/>
      <c r="Z79" s="65"/>
      <c r="AA79" s="65"/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198"/>
      <c r="AN79" s="198"/>
      <c r="AO79" s="198"/>
      <c r="AP79" s="198"/>
      <c r="AQ79" s="198"/>
      <c r="AR79" s="198"/>
      <c r="AS79" s="254"/>
      <c r="AT79" s="35"/>
      <c r="AU79" s="35"/>
      <c r="AV79" s="254"/>
      <c r="AW79" s="198"/>
      <c r="AX79" s="198"/>
      <c r="AY79" s="198"/>
      <c r="AZ79" s="31"/>
      <c r="BA79" s="30"/>
      <c r="BB79" s="175"/>
      <c r="BC79" s="345"/>
      <c r="BD79" s="28"/>
      <c r="BG79" s="24"/>
      <c r="BH79" s="28"/>
    </row>
    <row r="80" spans="1:91" ht="5.0999999999999996" customHeight="1">
      <c r="A80" s="22"/>
      <c r="B80" s="202"/>
      <c r="C80" s="315"/>
      <c r="D80" s="73"/>
      <c r="E80" s="73"/>
      <c r="F80" s="73"/>
      <c r="G80" s="73"/>
      <c r="H80" s="316"/>
      <c r="I80" s="275"/>
      <c r="J80" s="273"/>
      <c r="K80" s="275"/>
      <c r="L80" s="273"/>
      <c r="M80" s="317"/>
      <c r="N80" s="317"/>
      <c r="O80" s="270"/>
      <c r="P80" s="317"/>
      <c r="Q80" s="270"/>
      <c r="R80" s="317"/>
      <c r="S80" s="73"/>
      <c r="T80" s="73"/>
      <c r="U80" s="73"/>
      <c r="V80" s="73"/>
      <c r="W80" s="73"/>
      <c r="X80" s="316"/>
      <c r="Y80" s="275"/>
      <c r="Z80" s="273"/>
      <c r="AA80" s="275"/>
      <c r="AB80" s="273"/>
      <c r="AC80" s="317"/>
      <c r="AD80" s="317"/>
      <c r="AE80" s="270"/>
      <c r="AF80" s="317"/>
      <c r="AG80" s="270"/>
      <c r="AH80" s="317"/>
      <c r="AI80" s="276"/>
      <c r="AJ80" s="317"/>
      <c r="AK80" s="270"/>
      <c r="AL80" s="73"/>
      <c r="AM80" s="73"/>
      <c r="AN80" s="73"/>
      <c r="AO80" s="73"/>
      <c r="AP80" s="73"/>
      <c r="AQ80" s="73"/>
      <c r="AR80" s="73"/>
      <c r="AS80" s="73"/>
      <c r="AT80" s="73"/>
      <c r="AU80" s="73"/>
      <c r="AV80" s="318"/>
      <c r="AW80" s="73"/>
      <c r="AX80" s="73"/>
      <c r="AY80" s="269"/>
      <c r="AZ80" s="269"/>
      <c r="BA80" s="319"/>
      <c r="BB80" s="320"/>
      <c r="BC80" s="344"/>
      <c r="BD80" s="28"/>
    </row>
    <row r="81" spans="1:67" ht="13.5" customHeight="1">
      <c r="A81" s="22"/>
      <c r="B81" s="202">
        <v>31</v>
      </c>
      <c r="C81" s="331"/>
      <c r="D81" s="332"/>
      <c r="E81" s="65"/>
      <c r="F81" s="65"/>
      <c r="G81" s="65"/>
      <c r="H81" s="65"/>
      <c r="I81" s="65"/>
      <c r="J81" s="1102"/>
      <c r="K81" s="1102"/>
      <c r="L81" s="1102"/>
      <c r="M81" s="1102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  <c r="AA81" s="65"/>
      <c r="AB81" s="65"/>
      <c r="AC81" s="65"/>
      <c r="AD81" s="65"/>
      <c r="AE81" s="65"/>
      <c r="AF81" s="65"/>
      <c r="AG81" s="65"/>
      <c r="AH81" s="65"/>
      <c r="AI81" s="65"/>
      <c r="AJ81" s="65"/>
      <c r="AK81" s="65"/>
      <c r="AL81" s="65"/>
      <c r="AM81" s="198"/>
      <c r="AN81" s="198"/>
      <c r="AO81" s="198"/>
      <c r="AP81" s="198"/>
      <c r="AQ81" s="198"/>
      <c r="AR81" s="198"/>
      <c r="AS81" s="198"/>
      <c r="AT81" s="198"/>
      <c r="AU81" s="198"/>
      <c r="AV81" s="198"/>
      <c r="AW81" s="198"/>
      <c r="AX81" s="198"/>
      <c r="AY81" s="198"/>
      <c r="AZ81" s="33"/>
      <c r="BA81" s="46"/>
      <c r="BB81" s="78"/>
      <c r="BC81" s="34"/>
      <c r="BD81" s="28"/>
      <c r="BK81" s="1165"/>
      <c r="BL81" s="1165"/>
      <c r="BM81" s="1165"/>
      <c r="BN81" s="1165"/>
      <c r="BO81" s="1165"/>
    </row>
    <row r="82" spans="1:67" ht="14.1" customHeight="1">
      <c r="A82" s="22"/>
      <c r="B82" s="129"/>
      <c r="C82" s="346" t="s">
        <v>132</v>
      </c>
      <c r="D82" s="28"/>
      <c r="E82" s="28"/>
      <c r="F82" s="28"/>
      <c r="G82" s="28"/>
      <c r="S82" s="35"/>
      <c r="T82" s="35"/>
      <c r="U82" s="35"/>
      <c r="V82" s="35"/>
      <c r="Y82" s="35"/>
      <c r="Z82" s="35"/>
      <c r="AD82" s="35"/>
      <c r="AE82" s="35"/>
      <c r="AF82" s="35"/>
      <c r="AG82" s="35"/>
      <c r="AH82" s="35"/>
      <c r="AI82" s="35"/>
      <c r="AJ82" s="28"/>
      <c r="AK82" s="28"/>
      <c r="AL82" s="28"/>
      <c r="AM82" s="130"/>
      <c r="AN82" s="130"/>
      <c r="AO82" s="35"/>
      <c r="AP82" s="35"/>
      <c r="AQ82" s="35"/>
      <c r="AR82" s="35"/>
      <c r="AS82" s="35"/>
      <c r="AT82" s="35"/>
      <c r="AU82" s="35"/>
      <c r="AV82" s="35"/>
      <c r="AW82" s="35"/>
      <c r="AX82" s="65"/>
      <c r="AY82" s="65"/>
      <c r="AZ82" s="33"/>
      <c r="BA82" s="46"/>
      <c r="BB82" s="78"/>
      <c r="BC82" s="34"/>
      <c r="BD82" s="28"/>
      <c r="BE82" s="1155"/>
      <c r="BF82" s="1155"/>
      <c r="BG82" s="1155"/>
      <c r="BH82" s="1155"/>
    </row>
    <row r="83" spans="1:67" ht="5.0999999999999996" customHeight="1">
      <c r="A83" s="22"/>
      <c r="B83" s="202"/>
      <c r="C83" s="296"/>
      <c r="D83" s="72"/>
      <c r="E83" s="72"/>
      <c r="F83" s="72"/>
      <c r="G83" s="72"/>
      <c r="H83" s="297"/>
      <c r="I83" s="278"/>
      <c r="J83" s="279"/>
      <c r="K83" s="278"/>
      <c r="L83" s="279"/>
      <c r="M83" s="298"/>
      <c r="N83" s="298"/>
      <c r="O83" s="263"/>
      <c r="P83" s="298"/>
      <c r="Q83" s="263"/>
      <c r="R83" s="298"/>
      <c r="S83" s="72"/>
      <c r="T83" s="72"/>
      <c r="U83" s="72"/>
      <c r="V83" s="72"/>
      <c r="W83" s="72"/>
      <c r="X83" s="297"/>
      <c r="Y83" s="278"/>
      <c r="Z83" s="279"/>
      <c r="AA83" s="278"/>
      <c r="AB83" s="279"/>
      <c r="AC83" s="298"/>
      <c r="AD83" s="298"/>
      <c r="AE83" s="263"/>
      <c r="AF83" s="298"/>
      <c r="AG83" s="263"/>
      <c r="AH83" s="298"/>
      <c r="AI83" s="280"/>
      <c r="AJ83" s="298"/>
      <c r="AK83" s="263"/>
      <c r="AL83" s="72"/>
      <c r="AM83" s="72"/>
      <c r="AN83" s="72"/>
      <c r="AO83" s="72"/>
      <c r="AP83" s="72"/>
      <c r="AQ83" s="72"/>
      <c r="AR83" s="72"/>
      <c r="AS83" s="72"/>
      <c r="AT83" s="72"/>
      <c r="AU83" s="72"/>
      <c r="AV83" s="300"/>
      <c r="AW83" s="72"/>
      <c r="AX83" s="72"/>
      <c r="AY83" s="265"/>
      <c r="AZ83" s="33"/>
      <c r="BA83" s="46"/>
      <c r="BB83" s="78"/>
      <c r="BC83" s="34"/>
      <c r="BD83" s="28"/>
    </row>
    <row r="84" spans="1:67" ht="14.1" customHeight="1">
      <c r="A84" s="23"/>
      <c r="B84" s="351"/>
      <c r="C84" s="282"/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5"/>
      <c r="S84" s="35"/>
      <c r="T84" s="28"/>
      <c r="U84" s="28"/>
      <c r="V84" s="28"/>
      <c r="W84" s="28"/>
      <c r="X84" s="28"/>
      <c r="Y84" s="28"/>
      <c r="Z84" s="28"/>
      <c r="AC84" s="28"/>
      <c r="AD84" s="28"/>
      <c r="AE84" s="35"/>
      <c r="AF84" s="35"/>
      <c r="AG84" s="35"/>
      <c r="AH84" s="35"/>
      <c r="AI84" s="35"/>
      <c r="AJ84" s="28"/>
      <c r="AK84" s="28"/>
      <c r="AL84" s="28"/>
      <c r="AM84" s="35"/>
      <c r="AN84" s="35"/>
      <c r="AO84" s="135"/>
      <c r="AP84" s="136"/>
      <c r="AQ84" s="130"/>
      <c r="AR84" s="130"/>
      <c r="AS84" s="130"/>
      <c r="AT84" s="130"/>
      <c r="AU84" s="81"/>
      <c r="AV84" s="35"/>
      <c r="AW84" s="35"/>
      <c r="AX84" s="65"/>
      <c r="AY84" s="347"/>
      <c r="AZ84" s="33"/>
      <c r="BA84" s="46"/>
      <c r="BB84" s="78"/>
      <c r="BC84" s="34"/>
      <c r="BD84" s="28"/>
      <c r="BG84" s="35"/>
    </row>
    <row r="85" spans="1:67" ht="14.1" customHeight="1">
      <c r="A85" s="23"/>
      <c r="B85" s="351"/>
      <c r="C85" s="352"/>
      <c r="D85" s="348" t="s">
        <v>38</v>
      </c>
      <c r="E85" s="131"/>
      <c r="F85" s="131"/>
      <c r="G85" s="131"/>
      <c r="H85" s="132"/>
      <c r="I85" s="132"/>
      <c r="J85" s="106"/>
      <c r="K85" s="133"/>
      <c r="L85" s="134"/>
      <c r="M85" s="144"/>
      <c r="N85" s="144"/>
      <c r="O85" s="131"/>
      <c r="P85" s="134"/>
      <c r="Q85" s="107"/>
      <c r="R85" s="133" t="s">
        <v>40</v>
      </c>
      <c r="S85" s="134"/>
      <c r="T85" s="107"/>
      <c r="U85" s="107"/>
      <c r="V85" s="133" t="s">
        <v>45</v>
      </c>
      <c r="W85" s="134"/>
      <c r="X85" s="107"/>
      <c r="Y85" s="35"/>
      <c r="Z85" s="35"/>
      <c r="AC85" s="28"/>
      <c r="AD85" s="28"/>
      <c r="AE85" s="28"/>
      <c r="AF85" s="35"/>
      <c r="AG85" s="35"/>
      <c r="AH85" s="28"/>
      <c r="AI85" s="28"/>
      <c r="AJ85" s="28"/>
      <c r="AK85" s="81"/>
      <c r="AL85" s="28"/>
      <c r="AM85" s="28"/>
      <c r="AN85" s="28"/>
      <c r="AO85" s="28"/>
      <c r="AP85" s="28"/>
      <c r="AQ85" s="65"/>
      <c r="AR85" s="65"/>
      <c r="AS85" s="65"/>
      <c r="AT85" s="125"/>
      <c r="AU85" s="65"/>
      <c r="AV85" s="65"/>
      <c r="AW85" s="65"/>
      <c r="AX85" s="65"/>
      <c r="AY85" s="347"/>
      <c r="AZ85" s="33"/>
      <c r="BA85" s="46"/>
      <c r="BB85" s="78"/>
      <c r="BC85" s="34"/>
      <c r="BD85" s="28"/>
      <c r="BE85" s="35"/>
      <c r="BF85" s="35"/>
      <c r="BG85" s="35"/>
    </row>
    <row r="86" spans="1:67" ht="13.5" customHeight="1">
      <c r="A86" s="22"/>
      <c r="B86" s="353"/>
      <c r="C86" s="352"/>
      <c r="D86" s="349" t="s">
        <v>46</v>
      </c>
      <c r="E86" s="137"/>
      <c r="F86" s="137"/>
      <c r="G86" s="137"/>
      <c r="H86" s="137"/>
      <c r="I86" s="137"/>
      <c r="J86" s="137"/>
      <c r="K86" s="350"/>
      <c r="L86" s="139"/>
      <c r="M86" s="108"/>
      <c r="N86" s="108"/>
      <c r="O86" s="145"/>
      <c r="P86" s="139"/>
      <c r="Q86" s="109"/>
      <c r="R86" s="138" t="s">
        <v>41</v>
      </c>
      <c r="S86" s="139"/>
      <c r="T86" s="108"/>
      <c r="U86" s="109"/>
      <c r="V86" s="140"/>
      <c r="W86" s="141"/>
      <c r="X86" s="142"/>
      <c r="Y86" s="116"/>
      <c r="Z86" s="41"/>
      <c r="AA86" s="116"/>
      <c r="AB86" s="116"/>
      <c r="AC86" s="116"/>
      <c r="AD86" s="116"/>
      <c r="AE86" s="116"/>
      <c r="AF86" s="116"/>
      <c r="AG86" s="116"/>
      <c r="AH86" s="116"/>
      <c r="AI86" s="116"/>
      <c r="AJ86" s="116"/>
      <c r="AK86" s="116"/>
      <c r="AL86" s="116"/>
      <c r="AM86" s="116"/>
      <c r="AN86" s="116"/>
      <c r="AO86" s="116"/>
      <c r="AP86" s="116"/>
      <c r="AQ86" s="65"/>
      <c r="AR86" s="65"/>
      <c r="AS86" s="65"/>
      <c r="AT86" s="125"/>
      <c r="AU86" s="65"/>
      <c r="AV86" s="65"/>
      <c r="AW86" s="65"/>
      <c r="AX86" s="65"/>
      <c r="AY86" s="347"/>
      <c r="AZ86" s="33"/>
      <c r="BA86" s="46"/>
      <c r="BB86" s="78"/>
      <c r="BC86" s="34"/>
      <c r="BD86" s="28"/>
      <c r="BE86" s="35"/>
      <c r="BF86" s="35"/>
      <c r="BG86" s="35"/>
    </row>
    <row r="87" spans="1:67" ht="5.0999999999999996" customHeight="1">
      <c r="A87" s="22"/>
      <c r="B87" s="202"/>
      <c r="C87" s="315"/>
      <c r="D87" s="73"/>
      <c r="E87" s="73"/>
      <c r="F87" s="73"/>
      <c r="G87" s="73"/>
      <c r="H87" s="316"/>
      <c r="I87" s="275"/>
      <c r="J87" s="273"/>
      <c r="K87" s="275"/>
      <c r="L87" s="273"/>
      <c r="M87" s="317"/>
      <c r="N87" s="317"/>
      <c r="O87" s="270"/>
      <c r="P87" s="317"/>
      <c r="Q87" s="270"/>
      <c r="R87" s="317"/>
      <c r="S87" s="73"/>
      <c r="T87" s="73"/>
      <c r="U87" s="73"/>
      <c r="V87" s="73"/>
      <c r="W87" s="73"/>
      <c r="X87" s="316"/>
      <c r="Y87" s="275"/>
      <c r="Z87" s="273"/>
      <c r="AA87" s="275"/>
      <c r="AB87" s="273"/>
      <c r="AC87" s="317"/>
      <c r="AD87" s="317"/>
      <c r="AE87" s="270"/>
      <c r="AF87" s="317"/>
      <c r="AG87" s="270"/>
      <c r="AH87" s="317"/>
      <c r="AI87" s="276"/>
      <c r="AJ87" s="317"/>
      <c r="AK87" s="270"/>
      <c r="AL87" s="73"/>
      <c r="AM87" s="73"/>
      <c r="AN87" s="73"/>
      <c r="AO87" s="73"/>
      <c r="AP87" s="73"/>
      <c r="AQ87" s="73"/>
      <c r="AR87" s="73"/>
      <c r="AS87" s="73"/>
      <c r="AT87" s="73"/>
      <c r="AU87" s="73"/>
      <c r="AV87" s="318"/>
      <c r="AW87" s="73"/>
      <c r="AX87" s="73"/>
      <c r="AY87" s="277"/>
      <c r="AZ87" s="33"/>
      <c r="BA87" s="46"/>
      <c r="BB87" s="78"/>
      <c r="BC87" s="34"/>
      <c r="BD87" s="28"/>
    </row>
    <row r="88" spans="1:67" ht="14.1" customHeight="1">
      <c r="A88" s="22"/>
      <c r="B88" s="202">
        <v>35</v>
      </c>
      <c r="C88" s="331"/>
      <c r="D88" s="332"/>
      <c r="E88" s="65"/>
      <c r="F88" s="65"/>
      <c r="G88" s="65"/>
      <c r="H88" s="65"/>
      <c r="I88" s="65"/>
      <c r="J88" s="1067"/>
      <c r="K88" s="1067"/>
      <c r="L88" s="1067"/>
      <c r="M88" s="1067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  <c r="AA88" s="65"/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  <c r="AP88" s="65"/>
      <c r="AQ88" s="65"/>
      <c r="AR88" s="65"/>
      <c r="AS88" s="65"/>
      <c r="AT88" s="125"/>
      <c r="AU88" s="65"/>
      <c r="AV88" s="65"/>
      <c r="AW88" s="65"/>
      <c r="AX88" s="65"/>
      <c r="AY88" s="65"/>
      <c r="AZ88" s="33"/>
      <c r="BA88" s="46"/>
      <c r="BB88" s="335"/>
      <c r="BC88" s="336"/>
      <c r="BD88" s="28"/>
      <c r="BG88" s="24"/>
      <c r="BH88" s="28"/>
    </row>
    <row r="89" spans="1:67" ht="14.1" customHeight="1">
      <c r="A89" s="22"/>
      <c r="B89" s="202">
        <v>35</v>
      </c>
      <c r="C89" s="346" t="s">
        <v>248</v>
      </c>
      <c r="D89" s="332"/>
      <c r="E89" s="65"/>
      <c r="F89" s="65"/>
      <c r="G89" s="65"/>
      <c r="H89" s="65"/>
      <c r="I89" s="65"/>
      <c r="J89" s="1067"/>
      <c r="K89" s="1067"/>
      <c r="L89" s="1067"/>
      <c r="M89" s="1067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  <c r="AA89" s="65"/>
      <c r="AB89" s="65"/>
      <c r="AC89" s="65"/>
      <c r="AD89" s="65"/>
      <c r="AE89" s="65"/>
      <c r="AF89" s="65"/>
      <c r="AG89" s="65"/>
      <c r="AH89" s="65"/>
      <c r="AI89" s="65"/>
      <c r="AJ89" s="65"/>
      <c r="AK89" s="65"/>
      <c r="AL89" s="65"/>
      <c r="AM89" s="65"/>
      <c r="AN89" s="65"/>
      <c r="AO89" s="65"/>
      <c r="AP89" s="65"/>
      <c r="AQ89" s="65"/>
      <c r="AR89" s="65"/>
      <c r="AS89" s="65"/>
      <c r="AT89" s="125"/>
      <c r="AU89" s="65"/>
      <c r="AV89" s="65"/>
      <c r="AW89" s="65"/>
      <c r="AX89" s="65"/>
      <c r="AY89" s="65"/>
      <c r="AZ89" s="33"/>
      <c r="BA89" s="46"/>
      <c r="BB89" s="335"/>
      <c r="BC89" s="336"/>
      <c r="BD89" s="28"/>
      <c r="BG89" s="24"/>
      <c r="BH89" s="28"/>
    </row>
    <row r="90" spans="1:67" ht="14.1" customHeight="1">
      <c r="A90" s="22"/>
      <c r="B90" s="202">
        <v>35</v>
      </c>
      <c r="C90" s="331"/>
      <c r="D90" s="478" t="s">
        <v>249</v>
      </c>
      <c r="E90" s="65"/>
      <c r="F90" s="65"/>
      <c r="G90" s="65"/>
      <c r="H90" s="65"/>
      <c r="I90" s="65"/>
      <c r="J90" s="477"/>
      <c r="K90" s="477"/>
      <c r="L90" s="477"/>
      <c r="M90" s="477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  <c r="AA90" s="65"/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  <c r="AP90" s="65"/>
      <c r="AQ90" s="65"/>
      <c r="AR90" s="65"/>
      <c r="AS90" s="65"/>
      <c r="AT90" s="125"/>
      <c r="AU90" s="65"/>
      <c r="AV90" s="65"/>
      <c r="AW90" s="65"/>
      <c r="AX90" s="65"/>
      <c r="AY90" s="65"/>
      <c r="AZ90" s="33"/>
      <c r="BA90" s="46"/>
      <c r="BB90" s="335"/>
      <c r="BC90" s="336"/>
      <c r="BD90" s="28"/>
      <c r="BG90" s="24"/>
      <c r="BH90" s="28"/>
    </row>
    <row r="91" spans="1:67" ht="14.1" customHeight="1">
      <c r="A91" s="22"/>
      <c r="B91" s="202">
        <v>35</v>
      </c>
      <c r="C91" s="331"/>
      <c r="D91" s="332"/>
      <c r="E91" s="65"/>
      <c r="F91" s="65"/>
      <c r="G91" s="65"/>
      <c r="H91" s="65"/>
      <c r="I91" s="65"/>
      <c r="J91" s="1106"/>
      <c r="K91" s="1106"/>
      <c r="L91" s="1106"/>
      <c r="M91" s="1106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  <c r="AA91" s="65"/>
      <c r="AB91" s="65"/>
      <c r="AC91" s="65"/>
      <c r="AD91" s="65"/>
      <c r="AE91" s="65"/>
      <c r="AF91" s="65"/>
      <c r="AG91" s="65"/>
      <c r="AH91" s="65"/>
      <c r="AI91" s="65"/>
      <c r="AJ91" s="65"/>
      <c r="AK91" s="65"/>
      <c r="AL91" s="65"/>
      <c r="AM91" s="65"/>
      <c r="AN91" s="65"/>
      <c r="AO91" s="65"/>
      <c r="AP91" s="65"/>
      <c r="AQ91" s="65"/>
      <c r="AR91" s="65"/>
      <c r="AS91" s="65"/>
      <c r="AT91" s="125"/>
      <c r="AU91" s="65"/>
      <c r="AV91" s="65"/>
      <c r="AW91" s="65"/>
      <c r="AX91" s="65"/>
      <c r="AY91" s="65"/>
      <c r="AZ91" s="33"/>
      <c r="BA91" s="46"/>
      <c r="BB91" s="335"/>
      <c r="BC91" s="336"/>
      <c r="BD91" s="28"/>
      <c r="BG91" s="24"/>
      <c r="BH91" s="28"/>
    </row>
    <row r="92" spans="1:67" ht="5.0999999999999996" customHeight="1">
      <c r="A92" s="22"/>
      <c r="B92" s="202"/>
      <c r="C92" s="296"/>
      <c r="D92" s="72"/>
      <c r="E92" s="72"/>
      <c r="F92" s="72"/>
      <c r="G92" s="72"/>
      <c r="H92" s="297"/>
      <c r="I92" s="278"/>
      <c r="J92" s="279"/>
      <c r="K92" s="278"/>
      <c r="L92" s="279"/>
      <c r="M92" s="298"/>
      <c r="N92" s="298"/>
      <c r="O92" s="263"/>
      <c r="P92" s="298"/>
      <c r="Q92" s="263"/>
      <c r="R92" s="298"/>
      <c r="S92" s="72"/>
      <c r="T92" s="72"/>
      <c r="U92" s="72"/>
      <c r="V92" s="72"/>
      <c r="W92" s="72"/>
      <c r="X92" s="297"/>
      <c r="Y92" s="278"/>
      <c r="Z92" s="279"/>
      <c r="AA92" s="278"/>
      <c r="AB92" s="279"/>
      <c r="AC92" s="298"/>
      <c r="AD92" s="298"/>
      <c r="AE92" s="263"/>
      <c r="AF92" s="298"/>
      <c r="AG92" s="263"/>
      <c r="AH92" s="298"/>
      <c r="AI92" s="280"/>
      <c r="AJ92" s="298"/>
      <c r="AK92" s="263"/>
      <c r="AL92" s="72"/>
      <c r="AM92" s="72"/>
      <c r="AN92" s="72"/>
      <c r="AO92" s="72"/>
      <c r="AP92" s="72"/>
      <c r="AQ92" s="72"/>
      <c r="AR92" s="72"/>
      <c r="AS92" s="72"/>
      <c r="AT92" s="72"/>
      <c r="AU92" s="72"/>
      <c r="AV92" s="300"/>
      <c r="AW92" s="72"/>
      <c r="AX92" s="72"/>
      <c r="AY92" s="265"/>
      <c r="AZ92" s="33"/>
      <c r="BA92" s="46"/>
      <c r="BB92" s="78"/>
      <c r="BC92" s="34"/>
      <c r="BD92" s="28"/>
    </row>
    <row r="93" spans="1:67" ht="14.1" customHeight="1">
      <c r="A93" s="23"/>
      <c r="B93" s="351"/>
      <c r="C93" s="282"/>
      <c r="D93" s="28" t="s">
        <v>241</v>
      </c>
      <c r="E93" s="28"/>
      <c r="F93" s="28"/>
      <c r="G93" s="28"/>
      <c r="H93" s="468" t="s">
        <v>246</v>
      </c>
      <c r="I93" s="257"/>
      <c r="J93" s="258"/>
      <c r="K93" s="258"/>
      <c r="L93" s="258"/>
      <c r="M93" s="259"/>
      <c r="N93" s="258"/>
      <c r="O93" s="110"/>
      <c r="P93" s="261" t="s">
        <v>33</v>
      </c>
      <c r="Q93" s="25"/>
      <c r="R93" s="469" t="s">
        <v>247</v>
      </c>
      <c r="S93" s="470"/>
      <c r="T93" s="471"/>
      <c r="U93" s="471"/>
      <c r="V93" s="483"/>
      <c r="W93" s="472"/>
      <c r="X93" s="471"/>
      <c r="Y93" s="473"/>
      <c r="Z93" s="474"/>
      <c r="AB93" s="469" t="s">
        <v>291</v>
      </c>
      <c r="AC93" s="470"/>
      <c r="AD93" s="471"/>
      <c r="AE93" s="471"/>
      <c r="AF93" s="471"/>
      <c r="AG93" s="472"/>
      <c r="AH93" s="471"/>
      <c r="AI93" s="473"/>
      <c r="AJ93" s="472"/>
      <c r="AK93" s="479"/>
      <c r="AL93" s="479"/>
      <c r="AM93" s="473"/>
      <c r="AN93" s="473"/>
      <c r="AO93" s="471"/>
      <c r="AP93" s="480"/>
      <c r="AQ93" s="471"/>
      <c r="AR93" s="471"/>
      <c r="AS93" s="471"/>
      <c r="AT93" s="471"/>
      <c r="AU93" s="481"/>
      <c r="AV93" s="473"/>
      <c r="AW93" s="473"/>
      <c r="AX93" s="482"/>
      <c r="AY93" s="347"/>
      <c r="AZ93" s="33"/>
      <c r="BA93" s="46"/>
      <c r="BB93" s="78"/>
      <c r="BC93" s="34"/>
      <c r="BD93" s="28"/>
      <c r="BG93" s="35"/>
    </row>
    <row r="94" spans="1:67" ht="14.1" customHeight="1">
      <c r="A94" s="23"/>
      <c r="B94" s="351"/>
      <c r="C94" s="282"/>
      <c r="D94" s="28"/>
      <c r="E94" s="28"/>
      <c r="F94" s="28"/>
      <c r="G94" s="28"/>
      <c r="H94" s="469" t="s">
        <v>55</v>
      </c>
      <c r="I94" s="470"/>
      <c r="J94" s="471"/>
      <c r="K94" s="471"/>
      <c r="L94" s="471"/>
      <c r="M94" s="472"/>
      <c r="N94" s="471"/>
      <c r="O94" s="473"/>
      <c r="P94" s="472"/>
      <c r="Q94" s="479"/>
      <c r="R94" s="479"/>
      <c r="S94" s="473"/>
      <c r="T94" s="473"/>
      <c r="U94" s="471"/>
      <c r="V94" s="480"/>
      <c r="W94" s="471"/>
      <c r="X94" s="471"/>
      <c r="Y94" s="471"/>
      <c r="Z94" s="471"/>
      <c r="AA94" s="481"/>
      <c r="AB94" s="473"/>
      <c r="AC94" s="473"/>
      <c r="AD94" s="479"/>
      <c r="AE94" s="471"/>
      <c r="AF94" s="471"/>
      <c r="AG94" s="472"/>
      <c r="AH94" s="471"/>
      <c r="AI94" s="473"/>
      <c r="AJ94" s="472"/>
      <c r="AK94" s="479"/>
      <c r="AL94" s="479"/>
      <c r="AM94" s="473"/>
      <c r="AN94" s="473"/>
      <c r="AO94" s="471"/>
      <c r="AP94" s="480"/>
      <c r="AQ94" s="471"/>
      <c r="AR94" s="471"/>
      <c r="AS94" s="471"/>
      <c r="AT94" s="471"/>
      <c r="AU94" s="481"/>
      <c r="AV94" s="473"/>
      <c r="AW94" s="473"/>
      <c r="AX94" s="482"/>
      <c r="AY94" s="347"/>
      <c r="AZ94" s="33"/>
      <c r="BA94" s="46"/>
      <c r="BB94" s="78"/>
      <c r="BC94" s="34"/>
      <c r="BD94" s="28"/>
      <c r="BG94" s="35"/>
    </row>
    <row r="95" spans="1:67" ht="5.0999999999999996" customHeight="1">
      <c r="A95" s="22"/>
      <c r="B95" s="202"/>
      <c r="C95" s="315"/>
      <c r="D95" s="73"/>
      <c r="E95" s="73"/>
      <c r="F95" s="73"/>
      <c r="G95" s="73"/>
      <c r="H95" s="316"/>
      <c r="I95" s="275"/>
      <c r="J95" s="273"/>
      <c r="K95" s="275"/>
      <c r="L95" s="273"/>
      <c r="M95" s="317"/>
      <c r="N95" s="317"/>
      <c r="O95" s="270"/>
      <c r="P95" s="317"/>
      <c r="Q95" s="270"/>
      <c r="R95" s="317"/>
      <c r="S95" s="73"/>
      <c r="T95" s="73"/>
      <c r="U95" s="73"/>
      <c r="V95" s="73"/>
      <c r="W95" s="73"/>
      <c r="X95" s="316"/>
      <c r="Y95" s="275"/>
      <c r="Z95" s="273"/>
      <c r="AA95" s="275"/>
      <c r="AB95" s="273"/>
      <c r="AC95" s="317"/>
      <c r="AD95" s="317"/>
      <c r="AE95" s="270"/>
      <c r="AF95" s="317"/>
      <c r="AG95" s="270"/>
      <c r="AH95" s="317"/>
      <c r="AI95" s="276"/>
      <c r="AJ95" s="317"/>
      <c r="AK95" s="270"/>
      <c r="AL95" s="73"/>
      <c r="AM95" s="73"/>
      <c r="AN95" s="73"/>
      <c r="AO95" s="73"/>
      <c r="AP95" s="73"/>
      <c r="AQ95" s="73"/>
      <c r="AR95" s="73"/>
      <c r="AS95" s="73"/>
      <c r="AT95" s="73"/>
      <c r="AU95" s="73"/>
      <c r="AV95" s="318"/>
      <c r="AW95" s="73"/>
      <c r="AX95" s="73"/>
      <c r="AY95" s="277"/>
      <c r="AZ95" s="33"/>
      <c r="BA95" s="46"/>
      <c r="BB95" s="78"/>
      <c r="BC95" s="34"/>
      <c r="BD95" s="28"/>
    </row>
    <row r="96" spans="1:67" ht="5.0999999999999996" customHeight="1">
      <c r="A96" s="22"/>
      <c r="B96" s="202"/>
      <c r="C96" s="476"/>
      <c r="D96" s="72"/>
      <c r="E96" s="72"/>
      <c r="F96" s="72"/>
      <c r="G96" s="72"/>
      <c r="H96" s="297"/>
      <c r="I96" s="278"/>
      <c r="J96" s="279"/>
      <c r="K96" s="278"/>
      <c r="L96" s="279"/>
      <c r="M96" s="298"/>
      <c r="N96" s="298"/>
      <c r="O96" s="263"/>
      <c r="P96" s="298"/>
      <c r="Q96" s="263"/>
      <c r="R96" s="298"/>
      <c r="S96" s="72"/>
      <c r="T96" s="72"/>
      <c r="U96" s="72"/>
      <c r="V96" s="72"/>
      <c r="W96" s="72"/>
      <c r="X96" s="297"/>
      <c r="Y96" s="278"/>
      <c r="Z96" s="279"/>
      <c r="AA96" s="278"/>
      <c r="AB96" s="279"/>
      <c r="AC96" s="298"/>
      <c r="AD96" s="298"/>
      <c r="AE96" s="263"/>
      <c r="AF96" s="298"/>
      <c r="AG96" s="263"/>
      <c r="AH96" s="298"/>
      <c r="AI96" s="280"/>
      <c r="AJ96" s="298"/>
      <c r="AK96" s="263"/>
      <c r="AL96" s="72"/>
      <c r="AM96" s="72"/>
      <c r="AN96" s="72"/>
      <c r="AO96" s="72"/>
      <c r="AP96" s="72"/>
      <c r="AQ96" s="72"/>
      <c r="AR96" s="72"/>
      <c r="AS96" s="72"/>
      <c r="AT96" s="72"/>
      <c r="AU96" s="72"/>
      <c r="AV96" s="300"/>
      <c r="AW96" s="72"/>
      <c r="AX96" s="72"/>
      <c r="AY96" s="264"/>
      <c r="AZ96" s="33"/>
      <c r="BA96" s="46"/>
      <c r="BB96" s="78"/>
      <c r="BC96" s="34"/>
      <c r="BD96" s="28"/>
    </row>
    <row r="97" spans="1:60" ht="14.1" customHeight="1">
      <c r="A97" s="22"/>
      <c r="B97" s="202">
        <v>35</v>
      </c>
      <c r="C97" s="62" t="s">
        <v>244</v>
      </c>
      <c r="D97" s="332"/>
      <c r="E97" s="65"/>
      <c r="F97" s="65"/>
      <c r="G97" s="65"/>
      <c r="H97" s="65"/>
      <c r="I97" s="65"/>
      <c r="J97" s="1067"/>
      <c r="K97" s="1067"/>
      <c r="L97" s="1067"/>
      <c r="M97" s="1067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  <c r="AA97" s="65"/>
      <c r="AB97" s="65"/>
      <c r="AC97" s="65"/>
      <c r="AD97" s="65"/>
      <c r="AE97" s="65"/>
      <c r="AF97" s="65"/>
      <c r="AG97" s="65"/>
      <c r="AH97" s="65"/>
      <c r="AI97" s="65"/>
      <c r="AJ97" s="65"/>
      <c r="AK97" s="65"/>
      <c r="AL97" s="65"/>
      <c r="AM97" s="65"/>
      <c r="AN97" s="65"/>
      <c r="AO97" s="65"/>
      <c r="AP97" s="65"/>
      <c r="AQ97" s="65"/>
      <c r="AR97" s="65"/>
      <c r="AS97" s="65"/>
      <c r="AT97" s="125"/>
      <c r="AU97" s="65"/>
      <c r="AV97" s="65"/>
      <c r="AW97" s="65"/>
      <c r="AX97" s="65"/>
      <c r="AY97" s="65"/>
      <c r="AZ97" s="33"/>
      <c r="BA97" s="46"/>
      <c r="BB97" s="335"/>
      <c r="BC97" s="336"/>
      <c r="BD97" s="28"/>
      <c r="BG97" s="24"/>
      <c r="BH97" s="28"/>
    </row>
    <row r="98" spans="1:60" ht="5.0999999999999996" customHeight="1">
      <c r="A98" s="22"/>
      <c r="B98" s="202"/>
      <c r="C98" s="296"/>
      <c r="D98" s="72"/>
      <c r="E98" s="72"/>
      <c r="F98" s="72"/>
      <c r="G98" s="72"/>
      <c r="H98" s="297"/>
      <c r="I98" s="278"/>
      <c r="J98" s="279"/>
      <c r="K98" s="278"/>
      <c r="L98" s="279"/>
      <c r="M98" s="298"/>
      <c r="N98" s="298"/>
      <c r="O98" s="263"/>
      <c r="P98" s="298"/>
      <c r="Q98" s="263"/>
      <c r="R98" s="298"/>
      <c r="S98" s="72"/>
      <c r="T98" s="72"/>
      <c r="U98" s="72"/>
      <c r="V98" s="72"/>
      <c r="W98" s="72"/>
      <c r="X98" s="297"/>
      <c r="Y98" s="278"/>
      <c r="Z98" s="279"/>
      <c r="AA98" s="278"/>
      <c r="AB98" s="279"/>
      <c r="AC98" s="298"/>
      <c r="AD98" s="298"/>
      <c r="AE98" s="263"/>
      <c r="AF98" s="298"/>
      <c r="AG98" s="263"/>
      <c r="AH98" s="298"/>
      <c r="AI98" s="280"/>
      <c r="AJ98" s="298"/>
      <c r="AK98" s="263"/>
      <c r="AL98" s="72"/>
      <c r="AM98" s="72"/>
      <c r="AN98" s="72"/>
      <c r="AO98" s="72"/>
      <c r="AP98" s="72"/>
      <c r="AQ98" s="72"/>
      <c r="AR98" s="72"/>
      <c r="AS98" s="72"/>
      <c r="AT98" s="72"/>
      <c r="AU98" s="72"/>
      <c r="AV98" s="300"/>
      <c r="AW98" s="72"/>
      <c r="AX98" s="72"/>
      <c r="AY98" s="265"/>
      <c r="AZ98" s="33"/>
      <c r="BA98" s="46"/>
      <c r="BB98" s="78"/>
      <c r="BC98" s="34"/>
      <c r="BD98" s="28"/>
    </row>
    <row r="99" spans="1:60" ht="14.1" customHeight="1">
      <c r="A99" s="23"/>
      <c r="B99" s="351"/>
      <c r="C99" s="282"/>
      <c r="D99" s="28" t="s">
        <v>241</v>
      </c>
      <c r="E99" s="28"/>
      <c r="F99" s="28"/>
      <c r="G99" s="28"/>
      <c r="H99" s="468" t="s">
        <v>242</v>
      </c>
      <c r="I99" s="257"/>
      <c r="J99" s="258"/>
      <c r="K99" s="258"/>
      <c r="L99" s="258"/>
      <c r="M99" s="259"/>
      <c r="N99" s="258"/>
      <c r="O99" s="110"/>
      <c r="P99" s="261" t="s">
        <v>33</v>
      </c>
      <c r="Q99" s="25"/>
      <c r="R99" s="469" t="s">
        <v>243</v>
      </c>
      <c r="S99" s="470"/>
      <c r="T99" s="471"/>
      <c r="U99" s="471"/>
      <c r="V99" s="483"/>
      <c r="W99" s="484" t="s">
        <v>255</v>
      </c>
      <c r="X99" s="471"/>
      <c r="Y99" s="473"/>
      <c r="Z99" s="474"/>
      <c r="AB99" s="529" t="s">
        <v>292</v>
      </c>
      <c r="AC99" s="530"/>
      <c r="AD99" s="531"/>
      <c r="AE99" s="531"/>
      <c r="AF99" s="531"/>
      <c r="AG99" s="532"/>
      <c r="AH99" s="531"/>
      <c r="AI99" s="533"/>
      <c r="AJ99" s="532"/>
      <c r="AK99" s="61"/>
      <c r="AL99" s="61"/>
      <c r="AM99" s="533"/>
      <c r="AN99" s="533"/>
      <c r="AO99" s="531"/>
      <c r="AP99" s="534"/>
      <c r="AQ99" s="531"/>
      <c r="AR99" s="531"/>
      <c r="AS99" s="531"/>
      <c r="AT99" s="531"/>
      <c r="AU99" s="535"/>
      <c r="AV99" s="533"/>
      <c r="AW99" s="533"/>
      <c r="AX99" s="70"/>
      <c r="AY99" s="347"/>
      <c r="AZ99" s="33"/>
      <c r="BA99" s="46"/>
      <c r="BB99" s="78"/>
      <c r="BC99" s="34"/>
      <c r="BD99" s="28"/>
      <c r="BG99" s="35"/>
    </row>
    <row r="100" spans="1:60" ht="14.1" customHeight="1">
      <c r="A100" s="23"/>
      <c r="B100" s="351"/>
      <c r="C100" s="282"/>
      <c r="D100" s="28"/>
      <c r="E100" s="28"/>
      <c r="F100" s="28"/>
      <c r="G100" s="28"/>
      <c r="H100" s="469" t="s">
        <v>254</v>
      </c>
      <c r="I100" s="470"/>
      <c r="J100" s="471"/>
      <c r="K100" s="471"/>
      <c r="L100" s="471"/>
      <c r="M100" s="472"/>
      <c r="N100" s="471"/>
      <c r="O100" s="473"/>
      <c r="P100" s="472"/>
      <c r="Q100" s="479"/>
      <c r="R100" s="479"/>
      <c r="S100" s="473"/>
      <c r="T100" s="473"/>
      <c r="U100" s="471"/>
      <c r="V100" s="480"/>
      <c r="W100" s="471"/>
      <c r="X100" s="471"/>
      <c r="Y100" s="471"/>
      <c r="Z100" s="471"/>
      <c r="AA100" s="481"/>
      <c r="AB100" s="473"/>
      <c r="AC100" s="473"/>
      <c r="AD100" s="479"/>
      <c r="AE100" s="471"/>
      <c r="AF100" s="471"/>
      <c r="AG100" s="472"/>
      <c r="AH100" s="471"/>
      <c r="AI100" s="473"/>
      <c r="AJ100" s="472"/>
      <c r="AK100" s="479"/>
      <c r="AL100" s="479"/>
      <c r="AM100" s="473"/>
      <c r="AN100" s="473"/>
      <c r="AO100" s="471"/>
      <c r="AP100" s="480"/>
      <c r="AQ100" s="471"/>
      <c r="AR100" s="471"/>
      <c r="AS100" s="471"/>
      <c r="AT100" s="471"/>
      <c r="AU100" s="481"/>
      <c r="AV100" s="473"/>
      <c r="AW100" s="473"/>
      <c r="AX100" s="482"/>
      <c r="AY100" s="347"/>
      <c r="AZ100" s="33"/>
      <c r="BA100" s="46"/>
      <c r="BB100" s="78"/>
      <c r="BC100" s="34"/>
      <c r="BD100" s="28"/>
      <c r="BG100" s="35"/>
    </row>
    <row r="101" spans="1:60" ht="5.0999999999999996" customHeight="1">
      <c r="A101" s="22"/>
      <c r="B101" s="202"/>
      <c r="C101" s="315"/>
      <c r="D101" s="73"/>
      <c r="E101" s="73"/>
      <c r="F101" s="73"/>
      <c r="G101" s="73"/>
      <c r="H101" s="316"/>
      <c r="I101" s="275"/>
      <c r="J101" s="273"/>
      <c r="K101" s="275"/>
      <c r="L101" s="273"/>
      <c r="M101" s="317"/>
      <c r="N101" s="317"/>
      <c r="O101" s="270"/>
      <c r="P101" s="317"/>
      <c r="Q101" s="270"/>
      <c r="R101" s="317"/>
      <c r="S101" s="73"/>
      <c r="T101" s="73"/>
      <c r="U101" s="73"/>
      <c r="V101" s="73"/>
      <c r="W101" s="73"/>
      <c r="X101" s="316"/>
      <c r="Y101" s="275"/>
      <c r="Z101" s="273"/>
      <c r="AA101" s="275"/>
      <c r="AB101" s="273"/>
      <c r="AC101" s="317"/>
      <c r="AD101" s="317"/>
      <c r="AE101" s="270"/>
      <c r="AF101" s="317"/>
      <c r="AG101" s="270"/>
      <c r="AH101" s="317"/>
      <c r="AI101" s="276"/>
      <c r="AJ101" s="317"/>
      <c r="AK101" s="270"/>
      <c r="AL101" s="73"/>
      <c r="AM101" s="73"/>
      <c r="AN101" s="73"/>
      <c r="AO101" s="73"/>
      <c r="AP101" s="73"/>
      <c r="AQ101" s="73"/>
      <c r="AR101" s="73"/>
      <c r="AS101" s="73"/>
      <c r="AT101" s="73"/>
      <c r="AU101" s="73"/>
      <c r="AV101" s="318"/>
      <c r="AW101" s="73"/>
      <c r="AX101" s="73"/>
      <c r="AY101" s="277"/>
      <c r="AZ101" s="33"/>
      <c r="BA101" s="46"/>
      <c r="BB101" s="78"/>
      <c r="BC101" s="34"/>
      <c r="BD101" s="28"/>
    </row>
    <row r="102" spans="1:60" ht="5.0999999999999996" customHeight="1">
      <c r="A102" s="22"/>
      <c r="B102" s="202"/>
      <c r="C102" s="476"/>
      <c r="D102" s="72"/>
      <c r="E102" s="72"/>
      <c r="F102" s="72"/>
      <c r="G102" s="72"/>
      <c r="H102" s="297"/>
      <c r="I102" s="278"/>
      <c r="J102" s="279"/>
      <c r="K102" s="278"/>
      <c r="L102" s="279"/>
      <c r="M102" s="298"/>
      <c r="N102" s="298"/>
      <c r="O102" s="263"/>
      <c r="P102" s="298"/>
      <c r="Q102" s="263"/>
      <c r="R102" s="298"/>
      <c r="S102" s="72"/>
      <c r="T102" s="72"/>
      <c r="U102" s="72"/>
      <c r="V102" s="72"/>
      <c r="W102" s="72"/>
      <c r="X102" s="297"/>
      <c r="Y102" s="278"/>
      <c r="Z102" s="279"/>
      <c r="AA102" s="278"/>
      <c r="AB102" s="279"/>
      <c r="AC102" s="298"/>
      <c r="AD102" s="298"/>
      <c r="AE102" s="263"/>
      <c r="AF102" s="298"/>
      <c r="AG102" s="263"/>
      <c r="AH102" s="298"/>
      <c r="AI102" s="280"/>
      <c r="AJ102" s="298"/>
      <c r="AK102" s="263"/>
      <c r="AL102" s="72"/>
      <c r="AM102" s="72"/>
      <c r="AN102" s="72"/>
      <c r="AO102" s="72"/>
      <c r="AP102" s="72"/>
      <c r="AQ102" s="72"/>
      <c r="AR102" s="72"/>
      <c r="AS102" s="72"/>
      <c r="AT102" s="72"/>
      <c r="AU102" s="72"/>
      <c r="AV102" s="300"/>
      <c r="AW102" s="72"/>
      <c r="AX102" s="72"/>
      <c r="AY102" s="264"/>
      <c r="AZ102" s="33"/>
      <c r="BA102" s="46"/>
      <c r="BB102" s="78"/>
      <c r="BC102" s="34"/>
      <c r="BD102" s="28"/>
    </row>
    <row r="103" spans="1:60" ht="14.1" customHeight="1">
      <c r="A103" s="22"/>
      <c r="B103" s="202">
        <v>35</v>
      </c>
      <c r="C103" s="62" t="s">
        <v>244</v>
      </c>
      <c r="D103" s="332"/>
      <c r="E103" s="65"/>
      <c r="F103" s="65"/>
      <c r="G103" s="65"/>
      <c r="H103" s="65"/>
      <c r="I103" s="65"/>
      <c r="J103" s="477"/>
      <c r="K103" s="477"/>
      <c r="L103" s="477"/>
      <c r="M103" s="477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M103" s="65"/>
      <c r="AN103" s="65"/>
      <c r="AO103" s="65"/>
      <c r="AP103" s="65"/>
      <c r="AQ103" s="65"/>
      <c r="AR103" s="65"/>
      <c r="AS103" s="65"/>
      <c r="AT103" s="125"/>
      <c r="AU103" s="65"/>
      <c r="AV103" s="65"/>
      <c r="AW103" s="65"/>
      <c r="AX103" s="65"/>
      <c r="AY103" s="65"/>
      <c r="AZ103" s="33"/>
      <c r="BA103" s="46"/>
      <c r="BB103" s="335"/>
      <c r="BC103" s="336"/>
      <c r="BD103" s="28"/>
      <c r="BG103" s="24"/>
      <c r="BH103" s="28"/>
    </row>
    <row r="104" spans="1:60" ht="14.1" customHeight="1">
      <c r="A104" s="22"/>
      <c r="B104" s="202">
        <v>35</v>
      </c>
      <c r="C104" s="331"/>
      <c r="D104" s="332"/>
      <c r="E104" s="65"/>
      <c r="F104" s="65"/>
      <c r="G104" s="65"/>
      <c r="H104" s="65"/>
      <c r="I104" s="65"/>
      <c r="J104" s="477"/>
      <c r="K104" s="477"/>
      <c r="L104" s="477"/>
      <c r="M104" s="477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  <c r="AP104" s="65"/>
      <c r="AQ104" s="65"/>
      <c r="AR104" s="65"/>
      <c r="AS104" s="65"/>
      <c r="AT104" s="125"/>
      <c r="AU104" s="65"/>
      <c r="AV104" s="65"/>
      <c r="AW104" s="65"/>
      <c r="AX104" s="65"/>
      <c r="AY104" s="65"/>
      <c r="AZ104" s="33"/>
      <c r="BA104" s="46"/>
      <c r="BB104" s="335"/>
      <c r="BC104" s="336"/>
      <c r="BD104" s="28"/>
      <c r="BG104" s="24"/>
      <c r="BH104" s="28"/>
    </row>
    <row r="105" spans="1:60" ht="14.1" customHeight="1">
      <c r="A105" s="22"/>
      <c r="B105" s="202">
        <v>35</v>
      </c>
      <c r="C105" s="346" t="s">
        <v>250</v>
      </c>
      <c r="D105" s="332"/>
      <c r="E105" s="65"/>
      <c r="F105" s="65"/>
      <c r="G105" s="65"/>
      <c r="H105" s="65"/>
      <c r="I105" s="65"/>
      <c r="J105" s="1067"/>
      <c r="K105" s="1067"/>
      <c r="L105" s="1067"/>
      <c r="M105" s="1067"/>
      <c r="N105" s="65"/>
      <c r="O105" s="65"/>
      <c r="P105" s="65"/>
      <c r="Q105" s="65"/>
      <c r="R105" s="65"/>
      <c r="S105" s="65"/>
      <c r="T105" s="65"/>
      <c r="U105" s="65"/>
      <c r="V105" s="65"/>
      <c r="W105" s="65"/>
      <c r="X105" s="65"/>
      <c r="Y105" s="65"/>
      <c r="Z105" s="65"/>
      <c r="AA105" s="65"/>
      <c r="AB105" s="65"/>
      <c r="AC105" s="65"/>
      <c r="AD105" s="65"/>
      <c r="AE105" s="65"/>
      <c r="AF105" s="65"/>
      <c r="AG105" s="65"/>
      <c r="AH105" s="65"/>
      <c r="AI105" s="65"/>
      <c r="AJ105" s="65"/>
      <c r="AK105" s="65"/>
      <c r="AL105" s="65"/>
      <c r="AM105" s="65"/>
      <c r="AN105" s="65"/>
      <c r="AO105" s="65"/>
      <c r="AP105" s="65"/>
      <c r="AQ105" s="65"/>
      <c r="AR105" s="65"/>
      <c r="AS105" s="65"/>
      <c r="AT105" s="125"/>
      <c r="AU105" s="65"/>
      <c r="AV105" s="65"/>
      <c r="AW105" s="65"/>
      <c r="AX105" s="65"/>
      <c r="AY105" s="65"/>
      <c r="AZ105" s="33"/>
      <c r="BA105" s="46"/>
      <c r="BB105" s="335"/>
      <c r="BC105" s="336"/>
      <c r="BD105" s="28"/>
      <c r="BG105" s="24"/>
      <c r="BH105" s="28"/>
    </row>
    <row r="106" spans="1:60" ht="5.0999999999999996" customHeight="1">
      <c r="A106" s="22"/>
      <c r="B106" s="202"/>
      <c r="C106" s="296"/>
      <c r="D106" s="72"/>
      <c r="E106" s="72"/>
      <c r="F106" s="72"/>
      <c r="G106" s="72"/>
      <c r="H106" s="297"/>
      <c r="I106" s="278"/>
      <c r="J106" s="279"/>
      <c r="K106" s="278"/>
      <c r="L106" s="279"/>
      <c r="M106" s="298"/>
      <c r="N106" s="298"/>
      <c r="O106" s="263"/>
      <c r="P106" s="298"/>
      <c r="Q106" s="263"/>
      <c r="R106" s="298"/>
      <c r="S106" s="72"/>
      <c r="T106" s="72"/>
      <c r="U106" s="72"/>
      <c r="V106" s="72"/>
      <c r="W106" s="72"/>
      <c r="X106" s="297"/>
      <c r="Y106" s="278"/>
      <c r="Z106" s="279"/>
      <c r="AA106" s="278"/>
      <c r="AB106" s="279"/>
      <c r="AC106" s="298"/>
      <c r="AD106" s="298"/>
      <c r="AE106" s="263"/>
      <c r="AF106" s="298"/>
      <c r="AG106" s="263"/>
      <c r="AH106" s="298"/>
      <c r="AI106" s="280"/>
      <c r="AJ106" s="298"/>
      <c r="AK106" s="263"/>
      <c r="AL106" s="72"/>
      <c r="AM106" s="72"/>
      <c r="AN106" s="72"/>
      <c r="AO106" s="72"/>
      <c r="AP106" s="72"/>
      <c r="AQ106" s="72"/>
      <c r="AR106" s="72"/>
      <c r="AS106" s="72"/>
      <c r="AT106" s="72"/>
      <c r="AU106" s="72"/>
      <c r="AV106" s="300"/>
      <c r="AW106" s="72"/>
      <c r="AX106" s="72"/>
      <c r="AY106" s="265"/>
      <c r="AZ106" s="33"/>
      <c r="BA106" s="46"/>
      <c r="BB106" s="335"/>
      <c r="BC106" s="336"/>
      <c r="BD106" s="28"/>
    </row>
    <row r="107" spans="1:60" ht="13.5" customHeight="1">
      <c r="A107" s="22"/>
      <c r="B107" s="45"/>
      <c r="C107" s="266"/>
      <c r="D107" s="28" t="s">
        <v>251</v>
      </c>
      <c r="E107" s="28"/>
      <c r="F107" s="28"/>
      <c r="G107" s="28"/>
      <c r="H107" s="24"/>
      <c r="I107" s="24"/>
      <c r="J107" s="24"/>
      <c r="K107" s="24"/>
      <c r="L107" s="24"/>
      <c r="M107" s="127"/>
      <c r="N107" s="75"/>
      <c r="O107" s="84"/>
      <c r="P107" s="84"/>
      <c r="Q107" s="85"/>
      <c r="R107" s="75"/>
      <c r="S107" s="75"/>
      <c r="T107" s="75"/>
      <c r="U107" s="84"/>
      <c r="V107" s="85"/>
      <c r="W107" s="75"/>
      <c r="X107" s="65"/>
      <c r="Y107" s="28"/>
      <c r="Z107" s="28"/>
      <c r="AA107" s="28"/>
      <c r="AB107" s="28"/>
      <c r="AC107" s="28"/>
      <c r="AD107" s="28"/>
      <c r="AE107" s="28"/>
      <c r="AF107" s="28"/>
      <c r="AG107" s="28"/>
      <c r="AH107" s="28"/>
      <c r="AI107" s="28"/>
      <c r="AJ107" s="28"/>
      <c r="AK107" s="28"/>
      <c r="AL107" s="28"/>
      <c r="AM107" s="31"/>
      <c r="AN107" s="31"/>
      <c r="AO107" s="31"/>
      <c r="AP107" s="31"/>
      <c r="AQ107" s="31"/>
      <c r="AR107" s="31"/>
      <c r="AS107" s="31"/>
      <c r="AT107" s="31"/>
      <c r="AU107" s="31"/>
      <c r="AV107" s="31"/>
      <c r="AW107" s="31"/>
      <c r="AX107" s="65"/>
      <c r="AY107" s="267"/>
      <c r="AZ107" s="33"/>
      <c r="BA107" s="46"/>
      <c r="BB107" s="335"/>
      <c r="BC107" s="336"/>
      <c r="BD107" s="28"/>
      <c r="BE107" s="35"/>
      <c r="BF107" s="35"/>
      <c r="BG107" s="35"/>
    </row>
    <row r="108" spans="1:60" ht="13.5" customHeight="1">
      <c r="A108" s="22"/>
      <c r="B108" s="45"/>
      <c r="C108" s="266"/>
      <c r="D108" s="28"/>
      <c r="E108" s="28"/>
      <c r="F108" s="28"/>
      <c r="G108" s="28"/>
      <c r="H108" s="348" t="s">
        <v>253</v>
      </c>
      <c r="I108" s="131"/>
      <c r="J108" s="131"/>
      <c r="K108" s="131"/>
      <c r="L108" s="132"/>
      <c r="M108" s="132"/>
      <c r="N108" s="106"/>
      <c r="O108" s="133"/>
      <c r="P108" s="134"/>
      <c r="Q108" s="133" t="s">
        <v>252</v>
      </c>
      <c r="R108" s="134"/>
      <c r="S108" s="107"/>
      <c r="T108" s="107"/>
      <c r="U108" s="107"/>
      <c r="V108" s="107"/>
      <c r="W108" s="107"/>
      <c r="X108" s="107"/>
      <c r="Y108" s="107"/>
      <c r="Z108" s="107"/>
      <c r="AA108" s="107"/>
      <c r="AB108" s="107"/>
      <c r="AC108" s="107"/>
      <c r="AD108" s="107"/>
      <c r="AE108" s="107"/>
      <c r="AF108" s="107"/>
      <c r="AG108" s="107"/>
      <c r="AH108" s="107"/>
      <c r="AI108" s="107"/>
      <c r="AJ108" s="107"/>
      <c r="AK108" s="107"/>
      <c r="AL108" s="133" t="s">
        <v>45</v>
      </c>
      <c r="AM108" s="134"/>
      <c r="AN108" s="107"/>
      <c r="AO108" s="31"/>
      <c r="AP108" s="31"/>
      <c r="AQ108" s="31"/>
      <c r="AR108" s="31"/>
      <c r="AS108" s="31"/>
      <c r="AT108" s="31"/>
      <c r="AU108" s="31"/>
      <c r="AV108" s="31"/>
      <c r="AW108" s="31"/>
      <c r="AX108" s="65"/>
      <c r="AY108" s="267"/>
      <c r="AZ108" s="33"/>
      <c r="BA108" s="46"/>
      <c r="BB108" s="335"/>
      <c r="BC108" s="336"/>
      <c r="BD108" s="28"/>
      <c r="BE108" s="35"/>
      <c r="BF108" s="35"/>
      <c r="BG108" s="35"/>
    </row>
    <row r="109" spans="1:60" ht="13.5" customHeight="1">
      <c r="A109" s="22"/>
      <c r="B109" s="45"/>
      <c r="C109" s="266"/>
      <c r="D109" s="28"/>
      <c r="E109" s="28"/>
      <c r="F109" s="28"/>
      <c r="G109" s="28"/>
      <c r="H109" s="485" t="s">
        <v>256</v>
      </c>
      <c r="I109" s="137"/>
      <c r="J109" s="137"/>
      <c r="K109" s="137"/>
      <c r="L109" s="137"/>
      <c r="M109" s="137"/>
      <c r="N109" s="137"/>
      <c r="O109" s="350"/>
      <c r="P109" s="139"/>
      <c r="Q109" s="486" t="s">
        <v>55</v>
      </c>
      <c r="R109" s="139"/>
      <c r="S109" s="108"/>
      <c r="T109" s="108"/>
      <c r="U109" s="108"/>
      <c r="V109" s="156"/>
      <c r="W109" s="110"/>
      <c r="X109" s="110"/>
      <c r="Y109" s="156"/>
      <c r="Z109" s="156"/>
      <c r="AA109" s="110"/>
      <c r="AB109" s="110"/>
      <c r="AC109" s="37"/>
      <c r="AD109" s="37"/>
      <c r="AE109" s="37"/>
      <c r="AF109" s="37"/>
      <c r="AG109" s="37"/>
      <c r="AH109" s="37"/>
      <c r="AI109" s="37"/>
      <c r="AJ109" s="37"/>
      <c r="AK109" s="97"/>
      <c r="AL109" s="140"/>
      <c r="AM109" s="141"/>
      <c r="AN109" s="142"/>
      <c r="AO109" s="31"/>
      <c r="AP109" s="31"/>
      <c r="AQ109" s="31"/>
      <c r="AR109" s="31"/>
      <c r="AS109" s="31"/>
      <c r="AT109" s="31"/>
      <c r="AU109" s="31"/>
      <c r="AV109" s="31"/>
      <c r="AW109" s="31"/>
      <c r="AX109" s="65"/>
      <c r="AY109" s="267"/>
      <c r="AZ109" s="33"/>
      <c r="BA109" s="46"/>
      <c r="BB109" s="335"/>
      <c r="BC109" s="336"/>
      <c r="BD109" s="28"/>
      <c r="BE109" s="35"/>
      <c r="BF109" s="35"/>
      <c r="BG109" s="35"/>
    </row>
    <row r="110" spans="1:60" ht="13.5" customHeight="1">
      <c r="A110" s="22"/>
      <c r="B110" s="45"/>
      <c r="C110" s="266"/>
      <c r="D110" s="28"/>
      <c r="E110" s="28"/>
      <c r="F110" s="28"/>
      <c r="G110" s="28"/>
      <c r="H110" s="485" t="s">
        <v>257</v>
      </c>
      <c r="I110" s="137"/>
      <c r="J110" s="137"/>
      <c r="K110" s="137"/>
      <c r="L110" s="137"/>
      <c r="M110" s="137"/>
      <c r="N110" s="137"/>
      <c r="O110" s="350"/>
      <c r="P110" s="139"/>
      <c r="Q110" s="486" t="s">
        <v>55</v>
      </c>
      <c r="R110" s="139"/>
      <c r="S110" s="108"/>
      <c r="T110" s="108"/>
      <c r="U110" s="108"/>
      <c r="V110" s="156"/>
      <c r="W110" s="110"/>
      <c r="X110" s="110"/>
      <c r="Y110" s="156"/>
      <c r="Z110" s="156"/>
      <c r="AA110" s="110"/>
      <c r="AB110" s="110"/>
      <c r="AC110" s="37"/>
      <c r="AD110" s="37"/>
      <c r="AE110" s="37"/>
      <c r="AF110" s="37"/>
      <c r="AG110" s="37"/>
      <c r="AH110" s="37"/>
      <c r="AI110" s="37"/>
      <c r="AJ110" s="37"/>
      <c r="AK110" s="97"/>
      <c r="AL110" s="140"/>
      <c r="AM110" s="141"/>
      <c r="AN110" s="142"/>
      <c r="AO110" s="31"/>
      <c r="AP110" s="31"/>
      <c r="AQ110" s="31"/>
      <c r="AR110" s="31"/>
      <c r="AS110" s="31"/>
      <c r="AT110" s="31"/>
      <c r="AU110" s="31"/>
      <c r="AV110" s="31"/>
      <c r="AW110" s="31"/>
      <c r="AX110" s="65"/>
      <c r="AY110" s="267"/>
      <c r="AZ110" s="33"/>
      <c r="BA110" s="46"/>
      <c r="BB110" s="335"/>
      <c r="BC110" s="336"/>
      <c r="BD110" s="28"/>
      <c r="BE110" s="35"/>
      <c r="BF110" s="35"/>
      <c r="BG110" s="35"/>
    </row>
    <row r="111" spans="1:60" ht="13.5" customHeight="1">
      <c r="A111" s="22"/>
      <c r="B111" s="45"/>
      <c r="C111" s="266"/>
      <c r="D111" s="28"/>
      <c r="E111" s="28"/>
      <c r="F111" s="28"/>
      <c r="G111" s="28"/>
      <c r="H111" s="485" t="s">
        <v>258</v>
      </c>
      <c r="I111" s="137"/>
      <c r="J111" s="137"/>
      <c r="K111" s="137"/>
      <c r="L111" s="137"/>
      <c r="M111" s="137"/>
      <c r="N111" s="137"/>
      <c r="O111" s="350"/>
      <c r="P111" s="139"/>
      <c r="Q111" s="486" t="s">
        <v>55</v>
      </c>
      <c r="R111" s="139"/>
      <c r="S111" s="108"/>
      <c r="T111" s="108"/>
      <c r="U111" s="108"/>
      <c r="V111" s="156"/>
      <c r="W111" s="110"/>
      <c r="X111" s="110"/>
      <c r="Y111" s="156"/>
      <c r="Z111" s="156"/>
      <c r="AA111" s="110"/>
      <c r="AB111" s="110"/>
      <c r="AC111" s="37"/>
      <c r="AD111" s="37"/>
      <c r="AE111" s="37"/>
      <c r="AF111" s="37"/>
      <c r="AG111" s="37"/>
      <c r="AH111" s="37"/>
      <c r="AI111" s="37"/>
      <c r="AJ111" s="37"/>
      <c r="AK111" s="97"/>
      <c r="AL111" s="140"/>
      <c r="AM111" s="141"/>
      <c r="AN111" s="142"/>
      <c r="AO111" s="31"/>
      <c r="AP111" s="31"/>
      <c r="AQ111" s="31"/>
      <c r="AR111" s="31"/>
      <c r="AS111" s="31"/>
      <c r="AT111" s="31"/>
      <c r="AU111" s="31"/>
      <c r="AV111" s="31"/>
      <c r="AW111" s="31"/>
      <c r="AX111" s="65"/>
      <c r="AY111" s="267"/>
      <c r="AZ111" s="33"/>
      <c r="BA111" s="46"/>
      <c r="BB111" s="335"/>
      <c r="BC111" s="336"/>
      <c r="BD111" s="28"/>
      <c r="BE111" s="35"/>
      <c r="BF111" s="35"/>
      <c r="BG111" s="35"/>
    </row>
    <row r="112" spans="1:60" ht="5.0999999999999996" customHeight="1">
      <c r="A112" s="22"/>
      <c r="B112" s="202"/>
      <c r="C112" s="315"/>
      <c r="D112" s="73"/>
      <c r="E112" s="73"/>
      <c r="F112" s="73"/>
      <c r="G112" s="73"/>
      <c r="H112" s="316"/>
      <c r="I112" s="275"/>
      <c r="J112" s="273"/>
      <c r="K112" s="275"/>
      <c r="L112" s="273"/>
      <c r="M112" s="317"/>
      <c r="N112" s="317"/>
      <c r="O112" s="270"/>
      <c r="P112" s="317"/>
      <c r="Q112" s="270"/>
      <c r="R112" s="317"/>
      <c r="S112" s="73"/>
      <c r="T112" s="73"/>
      <c r="U112" s="73"/>
      <c r="V112" s="73"/>
      <c r="W112" s="73"/>
      <c r="X112" s="316"/>
      <c r="Y112" s="275"/>
      <c r="Z112" s="273"/>
      <c r="AA112" s="275"/>
      <c r="AB112" s="273"/>
      <c r="AC112" s="317"/>
      <c r="AD112" s="317"/>
      <c r="AE112" s="270"/>
      <c r="AF112" s="317"/>
      <c r="AG112" s="270"/>
      <c r="AH112" s="317"/>
      <c r="AI112" s="276"/>
      <c r="AJ112" s="317"/>
      <c r="AK112" s="270"/>
      <c r="AL112" s="73"/>
      <c r="AM112" s="73"/>
      <c r="AN112" s="73"/>
      <c r="AO112" s="73"/>
      <c r="AP112" s="73"/>
      <c r="AQ112" s="73"/>
      <c r="AR112" s="73"/>
      <c r="AS112" s="73"/>
      <c r="AT112" s="73"/>
      <c r="AU112" s="73"/>
      <c r="AV112" s="318"/>
      <c r="AW112" s="73"/>
      <c r="AX112" s="73"/>
      <c r="AY112" s="277"/>
      <c r="AZ112" s="33"/>
      <c r="BA112" s="46"/>
      <c r="BB112" s="335"/>
      <c r="BC112" s="336"/>
      <c r="BD112" s="28"/>
    </row>
    <row r="113" spans="1:60" ht="14.1" customHeight="1">
      <c r="A113" s="22"/>
      <c r="B113" s="202"/>
      <c r="C113" s="331"/>
      <c r="D113" s="332"/>
      <c r="E113" s="65"/>
      <c r="F113" s="65"/>
      <c r="G113" s="65"/>
      <c r="H113" s="65"/>
      <c r="I113" s="65"/>
      <c r="J113" s="354"/>
      <c r="K113" s="354"/>
      <c r="L113" s="354"/>
      <c r="M113" s="354"/>
      <c r="N113" s="65"/>
      <c r="O113" s="65"/>
      <c r="P113" s="65"/>
      <c r="Q113" s="65"/>
      <c r="R113" s="65"/>
      <c r="S113" s="65"/>
      <c r="T113" s="65"/>
      <c r="U113" s="65"/>
      <c r="V113" s="65"/>
      <c r="W113" s="65"/>
      <c r="X113" s="65"/>
      <c r="Y113" s="65"/>
      <c r="Z113" s="65"/>
      <c r="AA113" s="65"/>
      <c r="AB113" s="65"/>
      <c r="AC113" s="65"/>
      <c r="AD113" s="65"/>
      <c r="AE113" s="65"/>
      <c r="AF113" s="65"/>
      <c r="AG113" s="65"/>
      <c r="AH113" s="65"/>
      <c r="AI113" s="65"/>
      <c r="AJ113" s="65"/>
      <c r="AK113" s="65"/>
      <c r="AL113" s="65"/>
      <c r="AM113" s="65"/>
      <c r="AN113" s="65"/>
      <c r="AO113" s="65"/>
      <c r="AP113" s="65"/>
      <c r="AQ113" s="65"/>
      <c r="AR113" s="65"/>
      <c r="AS113" s="65"/>
      <c r="AT113" s="125"/>
      <c r="AU113" s="65"/>
      <c r="AV113" s="65"/>
      <c r="AW113" s="65"/>
      <c r="AX113" s="65"/>
      <c r="AY113" s="65"/>
      <c r="AZ113" s="33"/>
      <c r="BA113" s="46"/>
      <c r="BB113" s="335"/>
      <c r="BC113" s="336"/>
      <c r="BD113" s="28"/>
      <c r="BG113" s="24"/>
      <c r="BH113" s="28"/>
    </row>
    <row r="114" spans="1:60" ht="13.5" customHeight="1">
      <c r="A114" s="22"/>
      <c r="B114" s="202">
        <v>36</v>
      </c>
      <c r="C114" s="331"/>
      <c r="D114" s="332"/>
      <c r="E114" s="65"/>
      <c r="F114" s="65"/>
      <c r="G114" s="65"/>
      <c r="H114" s="65"/>
      <c r="I114" s="65"/>
      <c r="J114" s="1067"/>
      <c r="K114" s="1067"/>
      <c r="L114" s="1067"/>
      <c r="M114" s="1067"/>
      <c r="N114" s="63"/>
      <c r="O114" s="65"/>
      <c r="P114" s="65"/>
      <c r="Q114" s="65"/>
      <c r="R114" s="28"/>
      <c r="S114" s="28"/>
      <c r="T114" s="31"/>
      <c r="U114" s="31"/>
      <c r="V114" s="31"/>
      <c r="W114" s="31"/>
      <c r="X114" s="31"/>
      <c r="Y114" s="44"/>
      <c r="Z114" s="31"/>
      <c r="AA114" s="28"/>
      <c r="AB114" s="44"/>
      <c r="AC114" s="31"/>
      <c r="AD114" s="28"/>
      <c r="AE114" s="44"/>
      <c r="AF114" s="28"/>
      <c r="AG114" s="116"/>
      <c r="AH114" s="41"/>
      <c r="AI114" s="116"/>
      <c r="AJ114" s="116"/>
      <c r="AK114" s="116"/>
      <c r="AL114" s="116"/>
      <c r="AM114" s="116"/>
      <c r="AN114" s="116"/>
      <c r="AO114" s="116"/>
      <c r="AP114" s="116"/>
      <c r="AQ114" s="116"/>
      <c r="AR114" s="116"/>
      <c r="AS114" s="116"/>
      <c r="AT114" s="116"/>
      <c r="AU114" s="116"/>
      <c r="AV114" s="116"/>
      <c r="AW114" s="116"/>
      <c r="AX114" s="116"/>
      <c r="AY114" s="116"/>
      <c r="AZ114" s="33"/>
      <c r="BA114" s="46"/>
      <c r="BB114" s="335"/>
      <c r="BC114" s="336"/>
      <c r="BD114" s="28"/>
      <c r="BG114" s="24"/>
      <c r="BH114" s="28"/>
    </row>
    <row r="115" spans="1:60" ht="13.5" customHeight="1">
      <c r="A115" s="22"/>
      <c r="B115" s="202">
        <v>37</v>
      </c>
      <c r="C115" s="331"/>
      <c r="D115" s="332"/>
      <c r="E115" s="65"/>
      <c r="F115" s="65"/>
      <c r="G115" s="65"/>
      <c r="H115" s="65"/>
      <c r="I115" s="65"/>
      <c r="J115" s="1067"/>
      <c r="K115" s="1067"/>
      <c r="L115" s="1067"/>
      <c r="M115" s="1067"/>
      <c r="N115" s="193"/>
      <c r="O115" s="195"/>
      <c r="P115" s="193"/>
      <c r="Q115" s="194"/>
      <c r="R115" s="194"/>
      <c r="S115" s="194"/>
      <c r="T115" s="196"/>
      <c r="U115" s="196"/>
      <c r="V115" s="196"/>
      <c r="W115" s="196"/>
      <c r="X115" s="196"/>
      <c r="Y115" s="195"/>
      <c r="Z115" s="196"/>
      <c r="AA115" s="194"/>
      <c r="AB115" s="195"/>
      <c r="AC115" s="196"/>
      <c r="AD115" s="194"/>
      <c r="AE115" s="195"/>
      <c r="AF115" s="194"/>
      <c r="AG115" s="194"/>
      <c r="AH115" s="195"/>
      <c r="AI115" s="194"/>
      <c r="AJ115" s="194"/>
      <c r="AK115" s="197"/>
      <c r="AL115" s="194"/>
      <c r="AM115" s="194"/>
      <c r="AN115" s="194"/>
      <c r="AO115" s="194"/>
      <c r="AP115" s="194"/>
      <c r="AQ115" s="194"/>
      <c r="AR115" s="194"/>
      <c r="AS115" s="194"/>
      <c r="AT115" s="194"/>
      <c r="AU115" s="194"/>
      <c r="AV115" s="194"/>
      <c r="AW115" s="194"/>
      <c r="AX115" s="194"/>
      <c r="AY115" s="194"/>
      <c r="AZ115" s="33"/>
      <c r="BA115" s="46"/>
      <c r="BB115" s="335"/>
      <c r="BC115" s="336"/>
      <c r="BD115" s="28"/>
      <c r="BG115" s="24"/>
      <c r="BH115" s="28"/>
    </row>
    <row r="116" spans="1:60">
      <c r="A116" s="22"/>
      <c r="B116" s="32"/>
      <c r="C116" s="28"/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81"/>
      <c r="T116" s="81"/>
      <c r="U116" s="81"/>
      <c r="V116" s="81"/>
      <c r="W116" s="28"/>
      <c r="X116" s="28"/>
      <c r="Y116" s="81"/>
      <c r="Z116" s="81"/>
      <c r="AA116" s="28"/>
      <c r="AB116" s="28"/>
      <c r="AC116" s="28"/>
      <c r="AD116" s="81"/>
      <c r="AE116" s="81"/>
      <c r="AF116" s="81"/>
      <c r="AG116" s="81"/>
      <c r="AH116" s="81"/>
      <c r="AI116" s="81"/>
      <c r="AJ116" s="81"/>
      <c r="AK116" s="81"/>
      <c r="AL116" s="81"/>
      <c r="AM116" s="81"/>
      <c r="AN116" s="81"/>
      <c r="AO116" s="81"/>
      <c r="AP116" s="81"/>
      <c r="AQ116" s="81"/>
      <c r="AR116" s="81"/>
      <c r="AS116" s="81"/>
      <c r="AT116" s="81"/>
      <c r="AU116" s="81"/>
      <c r="AV116" s="81"/>
      <c r="AW116" s="81"/>
      <c r="AX116" s="81"/>
      <c r="AY116" s="31"/>
      <c r="AZ116" s="33"/>
      <c r="BA116" s="46"/>
      <c r="BB116" s="335"/>
      <c r="BC116" s="336"/>
    </row>
    <row r="117" spans="1:60">
      <c r="A117" s="155"/>
      <c r="B117" s="95"/>
      <c r="C117" s="110"/>
      <c r="D117" s="110"/>
      <c r="E117" s="110"/>
      <c r="F117" s="110"/>
      <c r="G117" s="110"/>
      <c r="H117" s="110"/>
      <c r="I117" s="110"/>
      <c r="J117" s="110"/>
      <c r="K117" s="110"/>
      <c r="L117" s="110"/>
      <c r="M117" s="110"/>
      <c r="N117" s="110"/>
      <c r="O117" s="110"/>
      <c r="P117" s="110"/>
      <c r="Q117" s="110"/>
      <c r="R117" s="110"/>
      <c r="S117" s="156"/>
      <c r="T117" s="156"/>
      <c r="U117" s="156"/>
      <c r="V117" s="156"/>
      <c r="W117" s="110"/>
      <c r="X117" s="110"/>
      <c r="Y117" s="156"/>
      <c r="Z117" s="156"/>
      <c r="AA117" s="110"/>
      <c r="AB117" s="110"/>
      <c r="AC117" s="110"/>
      <c r="AD117" s="156"/>
      <c r="AE117" s="156"/>
      <c r="AF117" s="156"/>
      <c r="AG117" s="156"/>
      <c r="AH117" s="156"/>
      <c r="AI117" s="156"/>
      <c r="AJ117" s="156"/>
      <c r="AK117" s="156"/>
      <c r="AL117" s="156"/>
      <c r="AM117" s="156"/>
      <c r="AN117" s="156"/>
      <c r="AO117" s="156"/>
      <c r="AP117" s="156"/>
      <c r="AQ117" s="156"/>
      <c r="AR117" s="156"/>
      <c r="AS117" s="156"/>
      <c r="AT117" s="156"/>
      <c r="AU117" s="156"/>
      <c r="AV117" s="156"/>
      <c r="AW117" s="156"/>
      <c r="AX117" s="156"/>
      <c r="AY117" s="95"/>
      <c r="AZ117" s="95"/>
      <c r="BA117" s="157"/>
      <c r="BB117" s="355"/>
      <c r="BC117" s="356"/>
    </row>
  </sheetData>
  <mergeCells count="127">
    <mergeCell ref="BK81:BO81"/>
    <mergeCell ref="I3:L3"/>
    <mergeCell ref="BB5:BC5"/>
    <mergeCell ref="R51:U51"/>
    <mergeCell ref="Z51:AD51"/>
    <mergeCell ref="AN51:AQ51"/>
    <mergeCell ref="AR51:AU51"/>
    <mergeCell ref="AV51:AY51"/>
    <mergeCell ref="AZ51:BC51"/>
    <mergeCell ref="BD51:BG51"/>
    <mergeCell ref="A5:BA5"/>
    <mergeCell ref="A3:H3"/>
    <mergeCell ref="BL52:BN52"/>
    <mergeCell ref="BH51:BK51"/>
    <mergeCell ref="BL51:BN51"/>
    <mergeCell ref="R52:U52"/>
    <mergeCell ref="Z52:AD52"/>
    <mergeCell ref="AN52:AQ52"/>
    <mergeCell ref="AR52:AU52"/>
    <mergeCell ref="AV52:AY52"/>
    <mergeCell ref="AZ52:BC52"/>
    <mergeCell ref="BD52:BG52"/>
    <mergeCell ref="BH52:BK52"/>
    <mergeCell ref="BD76:BF76"/>
    <mergeCell ref="AV2:AY2"/>
    <mergeCell ref="AZ2:BC3"/>
    <mergeCell ref="M3:W3"/>
    <mergeCell ref="X3:Z3"/>
    <mergeCell ref="AA3:AR3"/>
    <mergeCell ref="AS3:AU3"/>
    <mergeCell ref="AV3:AY3"/>
    <mergeCell ref="AN2:AR2"/>
    <mergeCell ref="AN1:AR1"/>
    <mergeCell ref="AS1:AU1"/>
    <mergeCell ref="AV1:AY1"/>
    <mergeCell ref="AZ1:BC1"/>
    <mergeCell ref="AS2:AU2"/>
    <mergeCell ref="A1:H1"/>
    <mergeCell ref="I1:L1"/>
    <mergeCell ref="M1:W1"/>
    <mergeCell ref="X1:Z2"/>
    <mergeCell ref="AA1:AJ2"/>
    <mergeCell ref="A2:H2"/>
    <mergeCell ref="I2:L2"/>
    <mergeCell ref="M2:W2"/>
    <mergeCell ref="AK2:AM2"/>
    <mergeCell ref="AK1:AM1"/>
    <mergeCell ref="BU64:BX64"/>
    <mergeCell ref="BY64:CB64"/>
    <mergeCell ref="CC64:CE64"/>
    <mergeCell ref="X65:AA65"/>
    <mergeCell ref="AB65:AE65"/>
    <mergeCell ref="AF65:AJ65"/>
    <mergeCell ref="AK65:AN65"/>
    <mergeCell ref="AO65:AR65"/>
    <mergeCell ref="AS65:AV65"/>
    <mergeCell ref="AW65:AZ65"/>
    <mergeCell ref="AW64:AZ64"/>
    <mergeCell ref="BA64:BD64"/>
    <mergeCell ref="BE64:BH64"/>
    <mergeCell ref="BI64:BL64"/>
    <mergeCell ref="BM64:BP64"/>
    <mergeCell ref="BQ64:BT64"/>
    <mergeCell ref="X64:AA64"/>
    <mergeCell ref="AB64:AE64"/>
    <mergeCell ref="CC65:CE65"/>
    <mergeCell ref="BI65:BL65"/>
    <mergeCell ref="BM65:BP65"/>
    <mergeCell ref="BQ65:BT65"/>
    <mergeCell ref="BU65:BX65"/>
    <mergeCell ref="BY65:CB65"/>
    <mergeCell ref="J115:M115"/>
    <mergeCell ref="AE51:AI51"/>
    <mergeCell ref="AE52:AI52"/>
    <mergeCell ref="AW75:AZ75"/>
    <mergeCell ref="J81:M81"/>
    <mergeCell ref="J88:M88"/>
    <mergeCell ref="J89:M89"/>
    <mergeCell ref="J91:M91"/>
    <mergeCell ref="J97:M97"/>
    <mergeCell ref="J105:M105"/>
    <mergeCell ref="AF64:AJ64"/>
    <mergeCell ref="AK64:AN64"/>
    <mergeCell ref="AO64:AR64"/>
    <mergeCell ref="AS64:AV64"/>
    <mergeCell ref="X75:AA75"/>
    <mergeCell ref="AB75:AE75"/>
    <mergeCell ref="AF75:AJ75"/>
    <mergeCell ref="AK75:AN75"/>
    <mergeCell ref="AO75:AR75"/>
    <mergeCell ref="AS75:AV75"/>
    <mergeCell ref="AS69:AV69"/>
    <mergeCell ref="AW69:AZ69"/>
    <mergeCell ref="J77:M77"/>
    <mergeCell ref="AW70:AZ70"/>
    <mergeCell ref="H42:L42"/>
    <mergeCell ref="H43:L43"/>
    <mergeCell ref="J114:M114"/>
    <mergeCell ref="X70:AA70"/>
    <mergeCell ref="AB70:AE70"/>
    <mergeCell ref="AF70:AJ70"/>
    <mergeCell ref="AK70:AN70"/>
    <mergeCell ref="AO70:AR70"/>
    <mergeCell ref="AS70:AV70"/>
    <mergeCell ref="BA70:BD70"/>
    <mergeCell ref="BE70:BH70"/>
    <mergeCell ref="BE82:BH82"/>
    <mergeCell ref="BA75:BD75"/>
    <mergeCell ref="BA65:BD65"/>
    <mergeCell ref="BE65:BH65"/>
    <mergeCell ref="BE75:BH75"/>
    <mergeCell ref="X69:AA69"/>
    <mergeCell ref="AB69:AE69"/>
    <mergeCell ref="AF69:AJ69"/>
    <mergeCell ref="AK69:AN69"/>
    <mergeCell ref="AO69:AR69"/>
    <mergeCell ref="BA69:BD69"/>
    <mergeCell ref="BE69:BH69"/>
    <mergeCell ref="X74:AA74"/>
    <mergeCell ref="AB74:AE74"/>
    <mergeCell ref="AF74:AJ74"/>
    <mergeCell ref="AK74:AN74"/>
    <mergeCell ref="AO74:AR74"/>
    <mergeCell ref="AS74:AV74"/>
    <mergeCell ref="AW74:AZ74"/>
    <mergeCell ref="BA74:BD74"/>
    <mergeCell ref="BE74:BH74"/>
  </mergeCells>
  <phoneticPr fontId="54"/>
  <conditionalFormatting sqref="AK69:AV70">
    <cfRule type="cellIs" dxfId="12" priority="4" operator="lessThan">
      <formula>0</formula>
    </cfRule>
  </conditionalFormatting>
  <conditionalFormatting sqref="AK74:AV75">
    <cfRule type="cellIs" dxfId="11" priority="2" operator="lessThan">
      <formula>0</formula>
    </cfRule>
  </conditionalFormatting>
  <conditionalFormatting sqref="BA64:BD65">
    <cfRule type="cellIs" dxfId="10" priority="10" operator="lessThan">
      <formula>0.3</formula>
    </cfRule>
  </conditionalFormatting>
  <conditionalFormatting sqref="BE64:BH65">
    <cfRule type="cellIs" dxfId="9" priority="14" operator="lessThan">
      <formula>0</formula>
    </cfRule>
  </conditionalFormatting>
  <conditionalFormatting sqref="BE69:BH70">
    <cfRule type="cellIs" dxfId="8" priority="3" operator="lessThan">
      <formula>0.3</formula>
    </cfRule>
  </conditionalFormatting>
  <conditionalFormatting sqref="BE74:BH75">
    <cfRule type="cellIs" dxfId="7" priority="1" operator="lessThan">
      <formula>0.3</formula>
    </cfRule>
  </conditionalFormatting>
  <conditionalFormatting sqref="BQ64:BT65">
    <cfRule type="cellIs" dxfId="6" priority="12" operator="lessThan">
      <formula>0.3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8F4CE-E231-4DB9-9A50-8A11224C626C}">
  <dimension ref="A1:CI113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.5"/>
  <cols>
    <col min="1" max="18" width="2.625" style="35" customWidth="1"/>
    <col min="19" max="22" width="2.625" style="25" customWidth="1"/>
    <col min="23" max="24" width="2.625" style="35" customWidth="1"/>
    <col min="25" max="26" width="2.625" style="25" customWidth="1"/>
    <col min="27" max="29" width="2.625" style="35" customWidth="1"/>
    <col min="30" max="55" width="2.625" style="25" customWidth="1"/>
    <col min="56" max="56" width="2.625" style="81" customWidth="1"/>
    <col min="57" max="59" width="2.625" style="28" customWidth="1"/>
    <col min="60" max="128" width="2.625" style="35" customWidth="1"/>
    <col min="129" max="16384" width="9" style="35"/>
  </cols>
  <sheetData>
    <row r="1" spans="1:59" ht="12" customHeight="1">
      <c r="A1" s="846" t="s">
        <v>4</v>
      </c>
      <c r="B1" s="846"/>
      <c r="C1" s="846"/>
      <c r="D1" s="846"/>
      <c r="E1" s="846"/>
      <c r="F1" s="846"/>
      <c r="G1" s="846"/>
      <c r="H1" s="846"/>
      <c r="I1" s="829" t="s">
        <v>5</v>
      </c>
      <c r="J1" s="829"/>
      <c r="K1" s="829"/>
      <c r="L1" s="829"/>
      <c r="M1" s="844" t="str">
        <f>変更来歴!M1</f>
        <v>ヒロセ電機株式会社</v>
      </c>
      <c r="N1" s="844"/>
      <c r="O1" s="844"/>
      <c r="P1" s="844"/>
      <c r="Q1" s="844"/>
      <c r="R1" s="844"/>
      <c r="S1" s="844"/>
      <c r="T1" s="844"/>
      <c r="U1" s="844"/>
      <c r="V1" s="844"/>
      <c r="W1" s="844"/>
      <c r="X1" s="829" t="s">
        <v>7</v>
      </c>
      <c r="Y1" s="829"/>
      <c r="Z1" s="829"/>
      <c r="AA1" s="848" t="str">
        <f>変更来歴!AA1</f>
        <v>契約書DB</v>
      </c>
      <c r="AB1" s="848"/>
      <c r="AC1" s="848"/>
      <c r="AD1" s="848"/>
      <c r="AE1" s="848"/>
      <c r="AF1" s="848"/>
      <c r="AG1" s="848"/>
      <c r="AH1" s="848"/>
      <c r="AI1" s="848"/>
      <c r="AJ1" s="848"/>
      <c r="AK1" s="833" t="s">
        <v>8</v>
      </c>
      <c r="AL1" s="833"/>
      <c r="AM1" s="833"/>
      <c r="AN1" s="834" t="str">
        <f>変更来歴!AP7</f>
        <v>古竹</v>
      </c>
      <c r="AO1" s="834"/>
      <c r="AP1" s="834"/>
      <c r="AQ1" s="834"/>
      <c r="AR1" s="834"/>
      <c r="AS1" s="833" t="s">
        <v>9</v>
      </c>
      <c r="AT1" s="833"/>
      <c r="AU1" s="833"/>
      <c r="AV1" s="836">
        <f>変更来歴!AL7</f>
        <v>46125</v>
      </c>
      <c r="AW1" s="849"/>
      <c r="AX1" s="849"/>
      <c r="AY1" s="849"/>
      <c r="AZ1" s="825" t="s">
        <v>10</v>
      </c>
      <c r="BA1" s="826"/>
      <c r="BB1" s="826"/>
      <c r="BC1" s="827"/>
    </row>
    <row r="2" spans="1:59">
      <c r="A2" s="828" t="s">
        <v>16</v>
      </c>
      <c r="B2" s="828"/>
      <c r="C2" s="828"/>
      <c r="D2" s="828"/>
      <c r="E2" s="828"/>
      <c r="F2" s="828"/>
      <c r="G2" s="828"/>
      <c r="H2" s="828"/>
      <c r="I2" s="829" t="s">
        <v>11</v>
      </c>
      <c r="J2" s="829"/>
      <c r="K2" s="829"/>
      <c r="L2" s="829"/>
      <c r="M2" s="862" t="str">
        <f>変更来歴!M2</f>
        <v>　</v>
      </c>
      <c r="N2" s="862"/>
      <c r="O2" s="862"/>
      <c r="P2" s="862"/>
      <c r="Q2" s="862"/>
      <c r="R2" s="862"/>
      <c r="S2" s="862"/>
      <c r="T2" s="862"/>
      <c r="U2" s="862"/>
      <c r="V2" s="862"/>
      <c r="W2" s="862"/>
      <c r="X2" s="829"/>
      <c r="Y2" s="829"/>
      <c r="Z2" s="829"/>
      <c r="AA2" s="848"/>
      <c r="AB2" s="848"/>
      <c r="AC2" s="848"/>
      <c r="AD2" s="848"/>
      <c r="AE2" s="848"/>
      <c r="AF2" s="848"/>
      <c r="AG2" s="848"/>
      <c r="AH2" s="848"/>
      <c r="AI2" s="848"/>
      <c r="AJ2" s="848"/>
      <c r="AK2" s="833" t="s">
        <v>12</v>
      </c>
      <c r="AL2" s="833"/>
      <c r="AM2" s="833"/>
      <c r="AN2" s="834" t="str">
        <f ca="1">INDIRECT("変更来歴!AP" &amp; COUNTA(変更来歴!AP7:'変更来歴'!AP39) + 6)</f>
        <v>古竹</v>
      </c>
      <c r="AO2" s="834"/>
      <c r="AP2" s="834"/>
      <c r="AQ2" s="834"/>
      <c r="AR2" s="834"/>
      <c r="AS2" s="833" t="s">
        <v>13</v>
      </c>
      <c r="AT2" s="833"/>
      <c r="AU2" s="833"/>
      <c r="AV2" s="836">
        <f ca="1">INDIRECT("変更来歴!AL" &amp; COUNTA(変更来歴!AL7:'変更来歴'!AL39) + 6)</f>
        <v>46134</v>
      </c>
      <c r="AW2" s="849"/>
      <c r="AX2" s="849"/>
      <c r="AY2" s="849"/>
      <c r="AZ2" s="837" t="str">
        <f>変更来歴!AX2</f>
        <v>IMWF-53</v>
      </c>
      <c r="BA2" s="838"/>
      <c r="BB2" s="838"/>
      <c r="BC2" s="839"/>
    </row>
    <row r="3" spans="1:59" ht="12" customHeight="1">
      <c r="A3" s="843" t="str">
        <f>変更来歴!A3</f>
        <v>画面設計書</v>
      </c>
      <c r="B3" s="843"/>
      <c r="C3" s="843"/>
      <c r="D3" s="843"/>
      <c r="E3" s="843"/>
      <c r="F3" s="843"/>
      <c r="G3" s="843"/>
      <c r="H3" s="843"/>
      <c r="I3" s="829" t="s">
        <v>14</v>
      </c>
      <c r="J3" s="829"/>
      <c r="K3" s="829"/>
      <c r="L3" s="829"/>
      <c r="M3" s="844" t="str">
        <f ca="1">RIGHT(CELL("filename",A1),LEN(CELL("filename",A1))-FIND("]",CELL("filename",A1)))</f>
        <v>外貨(コリア原計)</v>
      </c>
      <c r="N3" s="844"/>
      <c r="O3" s="844"/>
      <c r="P3" s="844"/>
      <c r="Q3" s="844"/>
      <c r="R3" s="844"/>
      <c r="S3" s="844"/>
      <c r="T3" s="844"/>
      <c r="U3" s="844"/>
      <c r="V3" s="844"/>
      <c r="W3" s="844"/>
      <c r="X3" s="829" t="s">
        <v>27</v>
      </c>
      <c r="Y3" s="829"/>
      <c r="Z3" s="829"/>
      <c r="AA3" s="845" t="str">
        <f ca="1">MID(CELL("filename"),FIND("]",CELL("filename"))+1,LEN(CELL("filename"))) &amp; "画面"</f>
        <v>化学物質データ画面(日英併記)画面</v>
      </c>
      <c r="AB3" s="845"/>
      <c r="AC3" s="845"/>
      <c r="AD3" s="845"/>
      <c r="AE3" s="845"/>
      <c r="AF3" s="845"/>
      <c r="AG3" s="845"/>
      <c r="AH3" s="845"/>
      <c r="AI3" s="845"/>
      <c r="AJ3" s="845"/>
      <c r="AK3" s="845"/>
      <c r="AL3" s="845"/>
      <c r="AM3" s="845"/>
      <c r="AN3" s="845"/>
      <c r="AO3" s="845"/>
      <c r="AP3" s="845"/>
      <c r="AQ3" s="845"/>
      <c r="AR3" s="845"/>
      <c r="AS3" s="833" t="s">
        <v>15</v>
      </c>
      <c r="AT3" s="833"/>
      <c r="AU3" s="833"/>
      <c r="AV3" s="849" t="str">
        <f ca="1">INDIRECT("変更来歴!A" &amp; COUNTA(変更来歴!A7:'変更来歴'!A39) + 6)</f>
        <v>r1.1</v>
      </c>
      <c r="AW3" s="849"/>
      <c r="AX3" s="849"/>
      <c r="AY3" s="849"/>
      <c r="AZ3" s="840"/>
      <c r="BA3" s="841"/>
      <c r="BB3" s="841"/>
      <c r="BC3" s="842"/>
    </row>
    <row r="4" spans="1:59" ht="5.85" customHeight="1"/>
    <row r="5" spans="1:59" ht="13.5" customHeight="1">
      <c r="A5" s="864" t="str">
        <f ca="1">"画面レイアウト"&amp;"("&amp;MID(CELL("filename"),FIND("]",CELL("filename"))+1,LEN(CELL("filename")))&amp;")"</f>
        <v>画面レイアウト(化学物質データ画面(日英併記))</v>
      </c>
      <c r="B5" s="865"/>
      <c r="C5" s="865"/>
      <c r="D5" s="865"/>
      <c r="E5" s="865"/>
      <c r="F5" s="865"/>
      <c r="G5" s="865"/>
      <c r="H5" s="865"/>
      <c r="I5" s="865"/>
      <c r="J5" s="865"/>
      <c r="K5" s="865"/>
      <c r="L5" s="865"/>
      <c r="M5" s="865"/>
      <c r="N5" s="865"/>
      <c r="O5" s="865"/>
      <c r="P5" s="865"/>
      <c r="Q5" s="865"/>
      <c r="R5" s="865"/>
      <c r="S5" s="865"/>
      <c r="T5" s="865"/>
      <c r="U5" s="865"/>
      <c r="V5" s="865"/>
      <c r="W5" s="865"/>
      <c r="X5" s="865"/>
      <c r="Y5" s="865"/>
      <c r="Z5" s="865"/>
      <c r="AA5" s="865"/>
      <c r="AB5" s="865"/>
      <c r="AC5" s="865"/>
      <c r="AD5" s="865"/>
      <c r="AE5" s="865"/>
      <c r="AF5" s="865"/>
      <c r="AG5" s="865"/>
      <c r="AH5" s="865"/>
      <c r="AI5" s="865"/>
      <c r="AJ5" s="865"/>
      <c r="AK5" s="865"/>
      <c r="AL5" s="865"/>
      <c r="AM5" s="865"/>
      <c r="AN5" s="865"/>
      <c r="AO5" s="865"/>
      <c r="AP5" s="865"/>
      <c r="AQ5" s="865"/>
      <c r="AR5" s="865"/>
      <c r="AS5" s="865"/>
      <c r="AT5" s="865"/>
      <c r="AU5" s="865"/>
      <c r="AV5" s="865"/>
      <c r="AW5" s="865"/>
      <c r="AX5" s="865"/>
      <c r="AY5" s="865"/>
      <c r="AZ5" s="865"/>
      <c r="BA5" s="866"/>
      <c r="BB5" s="867" t="s">
        <v>24</v>
      </c>
      <c r="BC5" s="868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48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289</v>
      </c>
      <c r="O7" s="36"/>
      <c r="P7" s="36"/>
      <c r="Q7" s="36"/>
      <c r="R7" s="49" t="s">
        <v>288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49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50</v>
      </c>
      <c r="D10" s="31"/>
      <c r="E10" s="31"/>
      <c r="F10" s="31" t="s">
        <v>54</v>
      </c>
      <c r="G10" s="31"/>
      <c r="H10" s="127" t="s">
        <v>53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51</v>
      </c>
      <c r="D11" s="31"/>
      <c r="E11" s="31"/>
      <c r="F11" s="31" t="s">
        <v>54</v>
      </c>
      <c r="G11" s="31"/>
      <c r="H11" s="75" t="s">
        <v>55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52</v>
      </c>
      <c r="D12" s="31"/>
      <c r="E12" s="31"/>
      <c r="F12" s="31" t="s">
        <v>54</v>
      </c>
      <c r="G12" s="31"/>
      <c r="H12" s="75" t="s">
        <v>56</v>
      </c>
      <c r="I12" s="75"/>
      <c r="J12" s="75"/>
      <c r="K12" s="75"/>
      <c r="L12" s="75" t="s">
        <v>57</v>
      </c>
      <c r="M12" s="75"/>
      <c r="N12" s="75"/>
      <c r="O12" s="75" t="s">
        <v>58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104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0999999999999996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105</v>
      </c>
      <c r="D16" s="28"/>
      <c r="E16" s="28"/>
      <c r="F16" s="28"/>
      <c r="G16" s="28"/>
      <c r="H16" s="255" t="s">
        <v>171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59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60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61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62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63</v>
      </c>
      <c r="U19" s="63"/>
      <c r="V19" s="63"/>
      <c r="W19" s="63"/>
      <c r="X19" s="63"/>
      <c r="Y19" s="124" t="s">
        <v>71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107</v>
      </c>
      <c r="D20" s="31"/>
      <c r="E20" s="31"/>
      <c r="F20" s="31"/>
      <c r="G20" s="31"/>
      <c r="H20" s="58"/>
      <c r="I20" s="59"/>
      <c r="J20" s="59"/>
      <c r="K20" s="456">
        <v>0.05</v>
      </c>
      <c r="L20" s="299" t="s">
        <v>108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0999999999999996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109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0999999999999996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110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111</v>
      </c>
      <c r="Q25" s="64"/>
      <c r="R25" s="63"/>
      <c r="S25" s="35"/>
      <c r="T25" s="28" t="s">
        <v>120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113</v>
      </c>
      <c r="AH25" s="28"/>
      <c r="AI25" s="28"/>
      <c r="AJ25" s="28"/>
      <c r="AK25" s="28" t="s">
        <v>114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115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269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/>
      <c r="S26" s="35"/>
      <c r="T26" s="28" t="s">
        <v>267</v>
      </c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28"/>
      <c r="AL26" s="28"/>
      <c r="AM26" s="28"/>
      <c r="AN26" s="28"/>
      <c r="AO26" s="35"/>
      <c r="AP26" s="62"/>
      <c r="AQ26" s="63"/>
      <c r="AR26" s="63"/>
      <c r="AS26" s="63"/>
      <c r="AT26" s="64"/>
      <c r="AU26" s="63"/>
      <c r="AV26" s="65"/>
      <c r="AW26" s="65"/>
      <c r="AX26" s="65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" customHeight="1">
      <c r="A27" s="22"/>
      <c r="B27" s="256"/>
      <c r="C27" s="497" t="s">
        <v>275</v>
      </c>
      <c r="F27" s="285"/>
      <c r="G27" s="285"/>
      <c r="H27" s="98" t="s">
        <v>123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276</v>
      </c>
      <c r="U27" s="35"/>
      <c r="V27" s="285"/>
      <c r="W27" s="285"/>
      <c r="X27" s="285"/>
      <c r="Y27" s="98" t="s">
        <v>124</v>
      </c>
      <c r="Z27" s="257"/>
      <c r="AA27" s="258"/>
      <c r="AB27" s="258"/>
      <c r="AC27" s="258"/>
      <c r="AD27" s="259"/>
      <c r="AE27" s="258"/>
      <c r="AF27" s="142"/>
      <c r="AG27" s="496" t="s">
        <v>33</v>
      </c>
      <c r="AH27" s="35"/>
      <c r="AI27" s="35"/>
      <c r="AJ27" s="285"/>
      <c r="AL27" s="35"/>
      <c r="AM27" s="285"/>
      <c r="AN27" s="35"/>
      <c r="AO27" s="35"/>
      <c r="AP27" s="26"/>
      <c r="AQ27" s="493"/>
      <c r="AR27" s="494"/>
      <c r="AS27" s="494"/>
      <c r="AT27" s="494"/>
      <c r="AU27" s="495"/>
      <c r="AV27" s="38"/>
      <c r="AW27" s="26"/>
      <c r="AX27" s="499"/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270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271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70"/>
      <c r="AH28" s="28"/>
      <c r="AI28" s="28"/>
      <c r="AJ28" s="28" t="s">
        <v>272</v>
      </c>
      <c r="AK28" s="28"/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498"/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45"/>
      <c r="C29" s="282" t="s">
        <v>119</v>
      </c>
      <c r="D29" s="28"/>
      <c r="E29" s="28"/>
      <c r="F29" s="28"/>
      <c r="H29" s="58"/>
      <c r="I29" s="59"/>
      <c r="J29" s="59"/>
      <c r="K29" s="59"/>
      <c r="L29" s="60"/>
      <c r="M29" s="59"/>
      <c r="N29" s="61"/>
      <c r="O29" s="61"/>
      <c r="P29" s="260" t="s">
        <v>33</v>
      </c>
      <c r="Q29" s="64"/>
      <c r="R29" s="28"/>
      <c r="S29" s="35"/>
      <c r="T29" s="26" t="s">
        <v>273</v>
      </c>
      <c r="U29" s="28"/>
      <c r="V29" s="28"/>
      <c r="W29" s="28"/>
      <c r="Y29" s="58"/>
      <c r="Z29" s="59"/>
      <c r="AA29" s="59"/>
      <c r="AB29" s="59"/>
      <c r="AC29" s="60"/>
      <c r="AD29" s="59"/>
      <c r="AE29" s="61"/>
      <c r="AF29" s="61"/>
      <c r="AG29" s="70"/>
      <c r="AH29" s="28"/>
      <c r="AI29" s="28"/>
      <c r="AJ29" s="28" t="s">
        <v>274</v>
      </c>
      <c r="AK29" s="28"/>
      <c r="AL29" s="28"/>
      <c r="AM29" s="28"/>
      <c r="AN29" s="28"/>
      <c r="AO29" s="35"/>
      <c r="AP29" s="58"/>
      <c r="AQ29" s="59"/>
      <c r="AR29" s="59"/>
      <c r="AS29" s="59"/>
      <c r="AT29" s="60"/>
      <c r="AU29" s="59"/>
      <c r="AV29" s="70"/>
      <c r="AW29" s="94" t="s">
        <v>268</v>
      </c>
      <c r="AX29" s="35"/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 t="s">
        <v>125</v>
      </c>
      <c r="D30" s="41"/>
      <c r="E30" s="41"/>
      <c r="F30" s="41"/>
      <c r="G30" s="41"/>
      <c r="H30" s="163"/>
      <c r="I30" s="164"/>
      <c r="J30" s="165"/>
      <c r="K30" s="164"/>
      <c r="L30" s="165"/>
      <c r="M30" s="164"/>
      <c r="N30" s="166"/>
      <c r="O30" s="164"/>
      <c r="P30" s="165"/>
      <c r="Q30" s="165"/>
      <c r="R30" s="165"/>
      <c r="S30" s="167"/>
      <c r="T30" s="167"/>
      <c r="U30" s="167"/>
      <c r="V30" s="167"/>
      <c r="W30" s="167"/>
      <c r="X30" s="166"/>
      <c r="Y30" s="167"/>
      <c r="Z30" s="165"/>
      <c r="AA30" s="166"/>
      <c r="AB30" s="167"/>
      <c r="AC30" s="165"/>
      <c r="AD30" s="166"/>
      <c r="AE30" s="165"/>
      <c r="AF30" s="165"/>
      <c r="AG30" s="166"/>
      <c r="AH30" s="165"/>
      <c r="AI30" s="165"/>
      <c r="AJ30" s="168"/>
      <c r="AK30" s="165"/>
      <c r="AL30" s="165"/>
      <c r="AM30" s="165"/>
      <c r="AN30" s="165"/>
      <c r="AO30" s="165"/>
      <c r="AP30" s="165"/>
      <c r="AQ30" s="165"/>
      <c r="AR30" s="165"/>
      <c r="AS30" s="165"/>
      <c r="AT30" s="165"/>
      <c r="AU30" s="165"/>
      <c r="AV30" s="165"/>
      <c r="AW30" s="165"/>
      <c r="AX30" s="160" t="s">
        <v>37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/>
      <c r="D31" s="41"/>
      <c r="E31" s="41"/>
      <c r="F31" s="41"/>
      <c r="G31" s="41"/>
      <c r="H31" s="169"/>
      <c r="I31" s="170"/>
      <c r="J31" s="171"/>
      <c r="K31" s="170"/>
      <c r="L31" s="171"/>
      <c r="M31" s="170"/>
      <c r="N31" s="172"/>
      <c r="O31" s="170"/>
      <c r="P31" s="171"/>
      <c r="Q31" s="171"/>
      <c r="R31" s="171"/>
      <c r="S31" s="173"/>
      <c r="T31" s="173"/>
      <c r="U31" s="173"/>
      <c r="V31" s="173"/>
      <c r="W31" s="173"/>
      <c r="X31" s="172"/>
      <c r="Y31" s="173"/>
      <c r="Z31" s="171"/>
      <c r="AA31" s="172"/>
      <c r="AB31" s="173"/>
      <c r="AC31" s="171"/>
      <c r="AD31" s="172"/>
      <c r="AE31" s="171"/>
      <c r="AF31" s="171"/>
      <c r="AG31" s="172"/>
      <c r="AH31" s="171"/>
      <c r="AI31" s="171"/>
      <c r="AJ31" s="174"/>
      <c r="AK31" s="171"/>
      <c r="AL31" s="171"/>
      <c r="AM31" s="171"/>
      <c r="AN31" s="171"/>
      <c r="AO31" s="171"/>
      <c r="AP31" s="171"/>
      <c r="AQ31" s="171"/>
      <c r="AR31" s="171"/>
      <c r="AS31" s="171"/>
      <c r="AT31" s="171"/>
      <c r="AU31" s="171"/>
      <c r="AV31" s="171"/>
      <c r="AW31" s="171"/>
      <c r="AX31" s="122" t="s">
        <v>33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 t="s">
        <v>127</v>
      </c>
      <c r="D32" s="41"/>
      <c r="E32" s="41"/>
      <c r="F32" s="41"/>
      <c r="G32" s="41"/>
      <c r="H32" s="163" t="s">
        <v>172</v>
      </c>
      <c r="I32" s="164"/>
      <c r="J32" s="165"/>
      <c r="K32" s="164"/>
      <c r="L32" s="165"/>
      <c r="M32" s="164"/>
      <c r="N32" s="166"/>
      <c r="O32" s="164"/>
      <c r="P32" s="165"/>
      <c r="Q32" s="165"/>
      <c r="R32" s="165"/>
      <c r="S32" s="167"/>
      <c r="T32" s="167"/>
      <c r="U32" s="167"/>
      <c r="V32" s="167"/>
      <c r="W32" s="167"/>
      <c r="X32" s="166"/>
      <c r="Y32" s="167"/>
      <c r="Z32" s="165"/>
      <c r="AA32" s="166"/>
      <c r="AB32" s="167"/>
      <c r="AC32" s="165"/>
      <c r="AD32" s="166"/>
      <c r="AE32" s="165"/>
      <c r="AF32" s="165"/>
      <c r="AG32" s="166"/>
      <c r="AH32" s="165"/>
      <c r="AI32" s="165"/>
      <c r="AJ32" s="168"/>
      <c r="AK32" s="165"/>
      <c r="AL32" s="165"/>
      <c r="AM32" s="165"/>
      <c r="AN32" s="165"/>
      <c r="AO32" s="165"/>
      <c r="AP32" s="165"/>
      <c r="AQ32" s="165"/>
      <c r="AR32" s="165"/>
      <c r="AS32" s="165"/>
      <c r="AT32" s="165"/>
      <c r="AU32" s="165"/>
      <c r="AV32" s="165"/>
      <c r="AW32" s="165"/>
      <c r="AX32" s="160" t="s">
        <v>37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87"/>
      <c r="D33" s="41"/>
      <c r="E33" s="41"/>
      <c r="F33" s="41"/>
      <c r="G33" s="41"/>
      <c r="H33" s="169"/>
      <c r="I33" s="170"/>
      <c r="J33" s="171"/>
      <c r="K33" s="170"/>
      <c r="L33" s="171"/>
      <c r="M33" s="170"/>
      <c r="N33" s="172"/>
      <c r="O33" s="170"/>
      <c r="P33" s="171"/>
      <c r="Q33" s="171"/>
      <c r="R33" s="171"/>
      <c r="S33" s="173"/>
      <c r="T33" s="173"/>
      <c r="U33" s="173"/>
      <c r="V33" s="173"/>
      <c r="W33" s="173"/>
      <c r="X33" s="172"/>
      <c r="Y33" s="173"/>
      <c r="Z33" s="171"/>
      <c r="AA33" s="172"/>
      <c r="AB33" s="173"/>
      <c r="AC33" s="171"/>
      <c r="AD33" s="172"/>
      <c r="AE33" s="171"/>
      <c r="AF33" s="171"/>
      <c r="AG33" s="172"/>
      <c r="AH33" s="171"/>
      <c r="AI33" s="171"/>
      <c r="AJ33" s="174"/>
      <c r="AK33" s="171"/>
      <c r="AL33" s="171"/>
      <c r="AM33" s="171"/>
      <c r="AN33" s="171"/>
      <c r="AO33" s="171"/>
      <c r="AP33" s="171"/>
      <c r="AQ33" s="171"/>
      <c r="AR33" s="171"/>
      <c r="AS33" s="171"/>
      <c r="AT33" s="171"/>
      <c r="AU33" s="171"/>
      <c r="AV33" s="171"/>
      <c r="AW33" s="171"/>
      <c r="AX33" s="122" t="s">
        <v>33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87" t="s">
        <v>128</v>
      </c>
      <c r="D34" s="41"/>
      <c r="E34" s="41"/>
      <c r="F34" s="41"/>
      <c r="G34" s="41"/>
      <c r="H34" s="163"/>
      <c r="I34" s="164"/>
      <c r="J34" s="165"/>
      <c r="K34" s="164"/>
      <c r="L34" s="165"/>
      <c r="M34" s="164"/>
      <c r="N34" s="166"/>
      <c r="O34" s="164"/>
      <c r="P34" s="165"/>
      <c r="Q34" s="165"/>
      <c r="R34" s="165"/>
      <c r="S34" s="167"/>
      <c r="T34" s="167"/>
      <c r="U34" s="167"/>
      <c r="V34" s="167"/>
      <c r="W34" s="167"/>
      <c r="X34" s="166"/>
      <c r="Y34" s="167"/>
      <c r="Z34" s="165"/>
      <c r="AA34" s="166"/>
      <c r="AB34" s="167"/>
      <c r="AC34" s="165"/>
      <c r="AD34" s="166"/>
      <c r="AE34" s="165"/>
      <c r="AF34" s="165"/>
      <c r="AG34" s="166"/>
      <c r="AH34" s="165"/>
      <c r="AI34" s="165"/>
      <c r="AJ34" s="168"/>
      <c r="AK34" s="165"/>
      <c r="AL34" s="165"/>
      <c r="AM34" s="165"/>
      <c r="AN34" s="165"/>
      <c r="AO34" s="165"/>
      <c r="AP34" s="165"/>
      <c r="AQ34" s="165"/>
      <c r="AR34" s="165"/>
      <c r="AS34" s="165"/>
      <c r="AT34" s="165"/>
      <c r="AU34" s="165"/>
      <c r="AV34" s="165"/>
      <c r="AW34" s="165"/>
      <c r="AX34" s="160" t="s">
        <v>37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59" ht="13.5" customHeight="1">
      <c r="A35" s="22"/>
      <c r="B35" s="32"/>
      <c r="C35" s="287"/>
      <c r="D35" s="41"/>
      <c r="E35" s="41"/>
      <c r="F35" s="41"/>
      <c r="G35" s="41"/>
      <c r="H35" s="169"/>
      <c r="I35" s="170"/>
      <c r="J35" s="171"/>
      <c r="K35" s="170"/>
      <c r="L35" s="171"/>
      <c r="M35" s="170"/>
      <c r="N35" s="172"/>
      <c r="O35" s="170"/>
      <c r="P35" s="171"/>
      <c r="Q35" s="171"/>
      <c r="R35" s="171"/>
      <c r="S35" s="173"/>
      <c r="T35" s="173"/>
      <c r="U35" s="173"/>
      <c r="V35" s="173"/>
      <c r="W35" s="173"/>
      <c r="X35" s="172"/>
      <c r="Y35" s="173"/>
      <c r="Z35" s="171"/>
      <c r="AA35" s="172"/>
      <c r="AB35" s="173"/>
      <c r="AC35" s="171"/>
      <c r="AD35" s="172"/>
      <c r="AE35" s="171"/>
      <c r="AF35" s="171"/>
      <c r="AG35" s="172"/>
      <c r="AH35" s="171"/>
      <c r="AI35" s="171"/>
      <c r="AJ35" s="174"/>
      <c r="AK35" s="171"/>
      <c r="AL35" s="171"/>
      <c r="AM35" s="171"/>
      <c r="AN35" s="171"/>
      <c r="AO35" s="171"/>
      <c r="AP35" s="171"/>
      <c r="AQ35" s="171"/>
      <c r="AR35" s="171"/>
      <c r="AS35" s="171"/>
      <c r="AT35" s="171"/>
      <c r="AU35" s="171"/>
      <c r="AV35" s="171"/>
      <c r="AW35" s="171"/>
      <c r="AX35" s="122" t="s">
        <v>33</v>
      </c>
      <c r="AY35" s="283"/>
      <c r="AZ35" s="33"/>
      <c r="BA35" s="46"/>
      <c r="BB35" s="78"/>
      <c r="BC35" s="34"/>
      <c r="BD35" s="28"/>
      <c r="BE35" s="35"/>
      <c r="BF35" s="35"/>
      <c r="BG35" s="35"/>
    </row>
    <row r="36" spans="1:59" ht="5.0999999999999996" customHeight="1">
      <c r="A36" s="22"/>
      <c r="B36" s="32"/>
      <c r="C36" s="288"/>
      <c r="D36" s="289"/>
      <c r="E36" s="289"/>
      <c r="F36" s="289"/>
      <c r="G36" s="289"/>
      <c r="H36" s="290"/>
      <c r="I36" s="290"/>
      <c r="J36" s="291"/>
      <c r="K36" s="290"/>
      <c r="L36" s="291"/>
      <c r="M36" s="290"/>
      <c r="N36" s="292"/>
      <c r="O36" s="290"/>
      <c r="P36" s="291"/>
      <c r="Q36" s="291"/>
      <c r="R36" s="291"/>
      <c r="S36" s="293"/>
      <c r="T36" s="293"/>
      <c r="U36" s="293"/>
      <c r="V36" s="293"/>
      <c r="W36" s="293"/>
      <c r="X36" s="292"/>
      <c r="Y36" s="293"/>
      <c r="Z36" s="291"/>
      <c r="AA36" s="292"/>
      <c r="AB36" s="293"/>
      <c r="AC36" s="291"/>
      <c r="AD36" s="292"/>
      <c r="AE36" s="291"/>
      <c r="AF36" s="291"/>
      <c r="AG36" s="292"/>
      <c r="AH36" s="291"/>
      <c r="AI36" s="291"/>
      <c r="AJ36" s="294"/>
      <c r="AK36" s="291"/>
      <c r="AL36" s="291"/>
      <c r="AM36" s="291"/>
      <c r="AN36" s="291"/>
      <c r="AO36" s="291"/>
      <c r="AP36" s="291"/>
      <c r="AQ36" s="291"/>
      <c r="AR36" s="291"/>
      <c r="AS36" s="291"/>
      <c r="AT36" s="291"/>
      <c r="AU36" s="291"/>
      <c r="AV36" s="291"/>
      <c r="AW36" s="291"/>
      <c r="AX36" s="276"/>
      <c r="AY36" s="295"/>
      <c r="AZ36" s="33"/>
      <c r="BA36" s="46"/>
      <c r="BB36" s="78"/>
      <c r="BC36" s="34"/>
      <c r="BD36" s="28"/>
      <c r="BE36" s="35"/>
      <c r="BF36" s="35"/>
      <c r="BG36" s="35"/>
    </row>
    <row r="37" spans="1:59" ht="13.5" customHeight="1">
      <c r="A37" s="22"/>
      <c r="B37" s="32"/>
      <c r="C37" s="41"/>
      <c r="D37" s="41"/>
      <c r="E37" s="41"/>
      <c r="F37" s="41"/>
      <c r="G37" s="41"/>
      <c r="H37" s="364"/>
      <c r="I37" s="364"/>
      <c r="J37" s="365"/>
      <c r="K37" s="364"/>
      <c r="L37" s="365"/>
      <c r="M37" s="364"/>
      <c r="N37" s="366"/>
      <c r="O37" s="364"/>
      <c r="P37" s="365"/>
      <c r="Q37" s="365"/>
      <c r="R37" s="365"/>
      <c r="S37" s="367"/>
      <c r="T37" s="367"/>
      <c r="U37" s="367"/>
      <c r="V37" s="367"/>
      <c r="W37" s="367"/>
      <c r="X37" s="366"/>
      <c r="Y37" s="367"/>
      <c r="Z37" s="365"/>
      <c r="AA37" s="366"/>
      <c r="AB37" s="367"/>
      <c r="AC37" s="365"/>
      <c r="AD37" s="366"/>
      <c r="AE37" s="365"/>
      <c r="AF37" s="365"/>
      <c r="AG37" s="366"/>
      <c r="AH37" s="365"/>
      <c r="AI37" s="365"/>
      <c r="AJ37" s="368"/>
      <c r="AK37" s="365"/>
      <c r="AL37" s="365"/>
      <c r="AM37" s="365"/>
      <c r="AN37" s="365"/>
      <c r="AO37" s="365"/>
      <c r="AP37" s="365"/>
      <c r="AQ37" s="365"/>
      <c r="AR37" s="365"/>
      <c r="AS37" s="365"/>
      <c r="AT37" s="365"/>
      <c r="AU37" s="365"/>
      <c r="AV37" s="365"/>
      <c r="AW37" s="365"/>
      <c r="AX37" s="280"/>
      <c r="AY37" s="279"/>
      <c r="AZ37" s="33"/>
      <c r="BA37" s="46"/>
      <c r="BB37" s="78"/>
      <c r="BC37" s="34"/>
      <c r="BD37" s="28"/>
      <c r="BE37" s="35"/>
      <c r="BF37" s="35"/>
      <c r="BG37" s="35"/>
    </row>
    <row r="38" spans="1:59" ht="13.5" customHeight="1">
      <c r="A38" s="22"/>
      <c r="B38" s="202">
        <v>5</v>
      </c>
      <c r="C38" s="204" t="s">
        <v>266</v>
      </c>
      <c r="D38" s="28"/>
      <c r="E38" s="28"/>
      <c r="F38" s="28"/>
      <c r="G38" s="28"/>
      <c r="H38" s="121"/>
      <c r="I38" s="62"/>
      <c r="J38" s="62"/>
      <c r="K38" s="63"/>
      <c r="L38" s="69"/>
      <c r="M38" s="69"/>
      <c r="N38" s="65"/>
      <c r="O38" s="69"/>
      <c r="P38" s="65"/>
      <c r="Q38" s="65"/>
      <c r="R38" s="69"/>
      <c r="S38" s="28"/>
      <c r="T38" s="28"/>
      <c r="U38" s="28"/>
      <c r="V38" s="28"/>
      <c r="W38" s="28"/>
      <c r="X38" s="121"/>
      <c r="Y38" s="62"/>
      <c r="Z38" s="63"/>
      <c r="AA38" s="62"/>
      <c r="AB38" s="63"/>
      <c r="AC38" s="69"/>
      <c r="AD38" s="69"/>
      <c r="AE38" s="65"/>
      <c r="AF38" s="69"/>
      <c r="AG38" s="65"/>
      <c r="AH38" s="69"/>
      <c r="AI38" s="64"/>
      <c r="AJ38" s="69"/>
      <c r="AK38" s="65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33"/>
      <c r="AW38" s="28"/>
      <c r="AX38" s="28"/>
      <c r="AY38" s="31"/>
      <c r="AZ38" s="33"/>
      <c r="BA38" s="46"/>
      <c r="BB38" s="159"/>
      <c r="BC38" s="115"/>
      <c r="BD38" s="28"/>
    </row>
    <row r="39" spans="1:59" ht="5.0999999999999996" customHeight="1">
      <c r="A39" s="22"/>
      <c r="B39" s="202"/>
      <c r="C39" s="296"/>
      <c r="D39" s="72"/>
      <c r="E39" s="72"/>
      <c r="F39" s="72"/>
      <c r="G39" s="72"/>
      <c r="H39" s="297"/>
      <c r="I39" s="278"/>
      <c r="J39" s="278"/>
      <c r="K39" s="279"/>
      <c r="L39" s="298"/>
      <c r="M39" s="298"/>
      <c r="N39" s="263"/>
      <c r="O39" s="298"/>
      <c r="P39" s="263"/>
      <c r="Q39" s="263"/>
      <c r="R39" s="298"/>
      <c r="S39" s="72"/>
      <c r="T39" s="72"/>
      <c r="U39" s="72"/>
      <c r="V39" s="72"/>
      <c r="W39" s="72"/>
      <c r="X39" s="297"/>
      <c r="Y39" s="278"/>
      <c r="Z39" s="279"/>
      <c r="AA39" s="278"/>
      <c r="AB39" s="279"/>
      <c r="AC39" s="298"/>
      <c r="AD39" s="298"/>
      <c r="AE39" s="263"/>
      <c r="AF39" s="298"/>
      <c r="AG39" s="263"/>
      <c r="AH39" s="298"/>
      <c r="AI39" s="280"/>
      <c r="AJ39" s="298"/>
      <c r="AK39" s="263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300"/>
      <c r="AW39" s="72"/>
      <c r="AX39" s="72"/>
      <c r="AY39" s="265"/>
      <c r="AZ39" s="33"/>
      <c r="BA39" s="46"/>
      <c r="BB39" s="159"/>
      <c r="BC39" s="115"/>
      <c r="BD39" s="28"/>
    </row>
    <row r="40" spans="1:59" ht="13.9" customHeight="1">
      <c r="A40" s="22"/>
      <c r="B40" s="202"/>
      <c r="C40" s="501" t="s">
        <v>284</v>
      </c>
      <c r="D40" s="28"/>
      <c r="E40" s="28"/>
      <c r="F40" s="28"/>
      <c r="G40" s="86" t="s">
        <v>279</v>
      </c>
      <c r="H40" s="86"/>
      <c r="I40" s="86"/>
      <c r="J40" s="86"/>
      <c r="K40" s="86"/>
      <c r="L40" s="322"/>
      <c r="M40" s="75"/>
      <c r="N40" s="65"/>
      <c r="O40" s="69"/>
      <c r="P40" s="65"/>
      <c r="Q40" s="65"/>
      <c r="R40" s="69"/>
      <c r="S40" s="28"/>
      <c r="T40" s="28"/>
      <c r="U40" s="28"/>
      <c r="V40" s="28"/>
      <c r="W40" s="28"/>
      <c r="X40" s="121"/>
      <c r="Y40" s="62"/>
      <c r="Z40" s="63"/>
      <c r="AA40" s="62"/>
      <c r="AB40" s="63"/>
      <c r="AC40" s="69"/>
      <c r="AD40" s="69"/>
      <c r="AE40" s="65"/>
      <c r="AF40" s="69"/>
      <c r="AG40" s="65"/>
      <c r="AH40" s="69"/>
      <c r="AI40" s="64"/>
      <c r="AJ40" s="69"/>
      <c r="AK40" s="65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33"/>
      <c r="AW40" s="28"/>
      <c r="AX40" s="28"/>
      <c r="AY40" s="267"/>
      <c r="AZ40" s="33"/>
      <c r="BA40" s="46"/>
      <c r="BB40" s="159"/>
      <c r="BC40" s="115"/>
      <c r="BD40" s="28"/>
    </row>
    <row r="41" spans="1:59" ht="13.5" customHeight="1">
      <c r="A41" s="22"/>
      <c r="B41" s="202">
        <v>6</v>
      </c>
      <c r="C41" s="304" t="s">
        <v>32</v>
      </c>
      <c r="D41" s="205" t="s">
        <v>264</v>
      </c>
      <c r="E41" s="206"/>
      <c r="F41" s="206"/>
      <c r="G41" s="207"/>
      <c r="H41" s="208" t="s">
        <v>278</v>
      </c>
      <c r="I41" s="209"/>
      <c r="J41" s="209"/>
      <c r="K41" s="206"/>
      <c r="L41" s="207"/>
      <c r="M41" s="28"/>
      <c r="N41" s="28"/>
      <c r="O41" s="28"/>
      <c r="P41" s="28"/>
      <c r="Q41" s="28"/>
      <c r="R41" s="28"/>
      <c r="S41" s="35"/>
      <c r="T41" s="35"/>
      <c r="U41" s="35"/>
      <c r="V41" s="35"/>
      <c r="Y41" s="35"/>
      <c r="Z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11"/>
      <c r="AZ41" s="33"/>
      <c r="BA41" s="46"/>
      <c r="BB41" s="159"/>
      <c r="BC41" s="115"/>
      <c r="BD41" s="35"/>
      <c r="BE41" s="35"/>
      <c r="BF41" s="35"/>
      <c r="BG41" s="35"/>
    </row>
    <row r="42" spans="1:59" ht="13.5" customHeight="1">
      <c r="A42" s="22"/>
      <c r="B42" s="202">
        <v>8</v>
      </c>
      <c r="C42" s="308">
        <v>1</v>
      </c>
      <c r="D42" s="148" t="s">
        <v>149</v>
      </c>
      <c r="E42" s="149"/>
      <c r="F42" s="149"/>
      <c r="G42" s="151"/>
      <c r="H42" s="1117">
        <v>110</v>
      </c>
      <c r="I42" s="1087"/>
      <c r="J42" s="1087"/>
      <c r="K42" s="1087"/>
      <c r="L42" s="1088"/>
      <c r="M42" s="28"/>
      <c r="N42" s="28"/>
      <c r="O42" s="28"/>
      <c r="P42" s="28"/>
      <c r="Q42" s="28"/>
      <c r="R42" s="28"/>
      <c r="S42" s="35"/>
      <c r="T42" s="35"/>
      <c r="U42" s="35"/>
      <c r="V42" s="35"/>
      <c r="Y42" s="35"/>
      <c r="Z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11"/>
      <c r="AZ42" s="33"/>
      <c r="BA42" s="46"/>
      <c r="BB42" s="159"/>
      <c r="BC42" s="115"/>
      <c r="BD42" s="35"/>
      <c r="BE42" s="35"/>
      <c r="BF42" s="35"/>
      <c r="BG42" s="35"/>
    </row>
    <row r="43" spans="1:59" ht="13.5" customHeight="1">
      <c r="A43" s="22"/>
      <c r="B43" s="202">
        <v>9</v>
      </c>
      <c r="C43" s="308">
        <v>2</v>
      </c>
      <c r="D43" s="148" t="s">
        <v>265</v>
      </c>
      <c r="E43" s="149"/>
      <c r="F43" s="149"/>
      <c r="G43" s="151"/>
      <c r="H43" s="1117">
        <v>125</v>
      </c>
      <c r="I43" s="1087"/>
      <c r="J43" s="1087"/>
      <c r="K43" s="1087"/>
      <c r="L43" s="1088"/>
      <c r="M43" s="28"/>
      <c r="N43" s="28"/>
      <c r="O43" s="28"/>
      <c r="P43" s="28"/>
      <c r="Q43" s="28"/>
      <c r="R43" s="28"/>
      <c r="S43" s="35"/>
      <c r="T43" s="35"/>
      <c r="U43" s="35"/>
      <c r="V43" s="35"/>
      <c r="Y43" s="35"/>
      <c r="Z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311"/>
      <c r="AZ43" s="33"/>
      <c r="BA43" s="46"/>
      <c r="BB43" s="159"/>
      <c r="BC43" s="115"/>
      <c r="BD43" s="35"/>
      <c r="BE43" s="35"/>
      <c r="BF43" s="35"/>
      <c r="BG43" s="35"/>
    </row>
    <row r="44" spans="1:59" ht="5.0999999999999996" customHeight="1">
      <c r="A44" s="22"/>
      <c r="B44" s="202"/>
      <c r="C44" s="315"/>
      <c r="D44" s="73"/>
      <c r="E44" s="73"/>
      <c r="F44" s="73"/>
      <c r="G44" s="73"/>
      <c r="H44" s="316"/>
      <c r="I44" s="275"/>
      <c r="J44" s="275"/>
      <c r="K44" s="273"/>
      <c r="L44" s="317"/>
      <c r="M44" s="317"/>
      <c r="N44" s="270"/>
      <c r="O44" s="317"/>
      <c r="P44" s="270"/>
      <c r="Q44" s="270"/>
      <c r="R44" s="317"/>
      <c r="S44" s="73"/>
      <c r="T44" s="73"/>
      <c r="U44" s="73"/>
      <c r="V44" s="73"/>
      <c r="W44" s="73"/>
      <c r="X44" s="316"/>
      <c r="Y44" s="275"/>
      <c r="Z44" s="273"/>
      <c r="AA44" s="275"/>
      <c r="AB44" s="273"/>
      <c r="AC44" s="317"/>
      <c r="AD44" s="317"/>
      <c r="AE44" s="270"/>
      <c r="AF44" s="317"/>
      <c r="AG44" s="270"/>
      <c r="AH44" s="317"/>
      <c r="AI44" s="276"/>
      <c r="AJ44" s="317"/>
      <c r="AK44" s="270"/>
      <c r="AL44" s="73"/>
      <c r="AM44" s="73"/>
      <c r="AN44" s="73"/>
      <c r="AO44" s="73"/>
      <c r="AP44" s="73"/>
      <c r="AQ44" s="73"/>
      <c r="AR44" s="73"/>
      <c r="AS44" s="73"/>
      <c r="AT44" s="73"/>
      <c r="AU44" s="73"/>
      <c r="AV44" s="318"/>
      <c r="AW44" s="73"/>
      <c r="AX44" s="73"/>
      <c r="AY44" s="277"/>
      <c r="AZ44" s="33"/>
      <c r="BA44" s="46"/>
      <c r="BB44" s="159"/>
      <c r="BC44" s="115"/>
      <c r="BD44" s="28"/>
    </row>
    <row r="45" spans="1:59" ht="13.5" customHeight="1">
      <c r="A45" s="22"/>
      <c r="B45" s="202">
        <v>10</v>
      </c>
      <c r="C45" s="492"/>
      <c r="D45" s="65"/>
      <c r="E45" s="65"/>
      <c r="F45" s="65"/>
      <c r="G45" s="65"/>
      <c r="H45" s="65"/>
      <c r="I45" s="65"/>
      <c r="J45" s="65"/>
      <c r="K45" s="65"/>
      <c r="L45" s="65"/>
      <c r="M45" s="62"/>
      <c r="N45" s="63"/>
      <c r="O45" s="65"/>
      <c r="P45" s="65"/>
      <c r="Q45" s="64"/>
      <c r="R45" s="63"/>
      <c r="S45" s="190"/>
      <c r="T45" s="190"/>
      <c r="U45" s="191"/>
      <c r="V45" s="192"/>
      <c r="W45" s="190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3"/>
      <c r="AN45" s="63"/>
      <c r="AO45" s="63"/>
      <c r="AP45" s="63"/>
      <c r="AQ45" s="63"/>
      <c r="AR45" s="63"/>
      <c r="AS45" s="63"/>
      <c r="AT45" s="63"/>
      <c r="AU45" s="63"/>
      <c r="AV45" s="63"/>
      <c r="AW45" s="63"/>
      <c r="AX45" s="63"/>
      <c r="AY45" s="63"/>
      <c r="AZ45" s="33"/>
      <c r="BA45" s="46"/>
      <c r="BB45" s="159"/>
      <c r="BC45" s="115"/>
      <c r="BD45" s="28"/>
    </row>
    <row r="46" spans="1:59" ht="13.5" customHeight="1">
      <c r="A46" s="22"/>
      <c r="B46" s="202">
        <v>5</v>
      </c>
      <c r="C46" s="204" t="s">
        <v>64</v>
      </c>
      <c r="D46" s="28"/>
      <c r="E46" s="28"/>
      <c r="F46" s="28"/>
      <c r="G46" s="28"/>
      <c r="H46" s="121"/>
      <c r="I46" s="62"/>
      <c r="J46" s="63"/>
      <c r="K46" s="62"/>
      <c r="L46" s="63"/>
      <c r="M46" s="69"/>
      <c r="N46" s="69"/>
      <c r="O46" s="65"/>
      <c r="P46" s="69"/>
      <c r="Q46" s="65"/>
      <c r="R46" s="69"/>
      <c r="S46" s="28"/>
      <c r="T46" s="28"/>
      <c r="U46" s="28"/>
      <c r="V46" s="28"/>
      <c r="W46" s="28"/>
      <c r="X46" s="121"/>
      <c r="Y46" s="62"/>
      <c r="Z46" s="63"/>
      <c r="AA46" s="62"/>
      <c r="AB46" s="63"/>
      <c r="AC46" s="69"/>
      <c r="AD46" s="69"/>
      <c r="AE46" s="65"/>
      <c r="AF46" s="69"/>
      <c r="AG46" s="65"/>
      <c r="AH46" s="69"/>
      <c r="AI46" s="64"/>
      <c r="AJ46" s="69"/>
      <c r="AK46" s="65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33"/>
      <c r="AW46" s="28"/>
      <c r="AX46" s="28"/>
      <c r="AY46" s="31"/>
      <c r="AZ46" s="33"/>
      <c r="BA46" s="46"/>
      <c r="BB46" s="159"/>
      <c r="BC46" s="115"/>
      <c r="BD46" s="28"/>
    </row>
    <row r="47" spans="1:59" ht="5.0999999999999996" customHeight="1">
      <c r="A47" s="22"/>
      <c r="B47" s="202"/>
      <c r="C47" s="296"/>
      <c r="D47" s="72"/>
      <c r="E47" s="72"/>
      <c r="F47" s="72"/>
      <c r="G47" s="72"/>
      <c r="H47" s="297"/>
      <c r="I47" s="278"/>
      <c r="J47" s="279"/>
      <c r="K47" s="278"/>
      <c r="L47" s="279"/>
      <c r="M47" s="298"/>
      <c r="N47" s="298"/>
      <c r="O47" s="263"/>
      <c r="P47" s="298"/>
      <c r="Q47" s="263"/>
      <c r="R47" s="298"/>
      <c r="S47" s="72"/>
      <c r="T47" s="72"/>
      <c r="U47" s="72"/>
      <c r="V47" s="72"/>
      <c r="W47" s="72"/>
      <c r="X47" s="297"/>
      <c r="Y47" s="278"/>
      <c r="Z47" s="279"/>
      <c r="AA47" s="278"/>
      <c r="AB47" s="279"/>
      <c r="AC47" s="298"/>
      <c r="AD47" s="298"/>
      <c r="AE47" s="263"/>
      <c r="AF47" s="298"/>
      <c r="AG47" s="263"/>
      <c r="AH47" s="298"/>
      <c r="AI47" s="280"/>
      <c r="AJ47" s="298"/>
      <c r="AK47" s="263"/>
      <c r="AL47" s="72"/>
      <c r="AM47" s="72"/>
      <c r="AN47" s="72"/>
      <c r="AO47" s="72"/>
      <c r="AP47" s="72"/>
      <c r="AQ47" s="72"/>
      <c r="AR47" s="72"/>
      <c r="AS47" s="72"/>
      <c r="AT47" s="72"/>
      <c r="AU47" s="72"/>
      <c r="AV47" s="300"/>
      <c r="AW47" s="72"/>
      <c r="AX47" s="72"/>
      <c r="AY47" s="264"/>
      <c r="AZ47" s="264"/>
      <c r="BA47" s="301"/>
      <c r="BB47" s="302"/>
      <c r="BC47" s="303"/>
      <c r="BD47" s="28"/>
    </row>
    <row r="48" spans="1:59" ht="13.5" customHeight="1">
      <c r="A48" s="22"/>
      <c r="B48" s="45"/>
      <c r="C48" s="266"/>
      <c r="D48" s="28" t="s">
        <v>290</v>
      </c>
      <c r="E48" s="28"/>
      <c r="F48" s="28"/>
      <c r="G48" s="28"/>
      <c r="H48" s="86" t="s">
        <v>147</v>
      </c>
      <c r="I48" s="86"/>
      <c r="J48" s="86"/>
      <c r="K48" s="86"/>
      <c r="L48" s="86"/>
      <c r="M48" s="322"/>
      <c r="N48" s="87"/>
      <c r="O48" s="88"/>
      <c r="P48" s="88"/>
      <c r="Q48" s="89"/>
      <c r="R48" s="87"/>
      <c r="S48" s="87"/>
      <c r="T48" s="87"/>
      <c r="U48" s="88"/>
      <c r="V48" s="89"/>
      <c r="W48" s="87"/>
      <c r="X48" s="65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65"/>
      <c r="AY48" s="31"/>
      <c r="AZ48" s="52"/>
      <c r="BA48" s="93"/>
      <c r="BB48" s="327"/>
      <c r="BC48" s="328"/>
      <c r="BD48" s="28"/>
      <c r="BE48" s="35"/>
      <c r="BF48" s="35"/>
      <c r="BG48" s="35"/>
    </row>
    <row r="49" spans="1:87" ht="13.5" customHeight="1">
      <c r="A49" s="22"/>
      <c r="B49" s="202">
        <v>6</v>
      </c>
      <c r="C49" s="304" t="s">
        <v>32</v>
      </c>
      <c r="D49" s="205" t="s">
        <v>65</v>
      </c>
      <c r="E49" s="206"/>
      <c r="F49" s="206"/>
      <c r="G49" s="207"/>
      <c r="H49" s="208" t="s">
        <v>74</v>
      </c>
      <c r="I49" s="209"/>
      <c r="J49" s="209"/>
      <c r="K49" s="209"/>
      <c r="L49" s="206"/>
      <c r="M49" s="207"/>
      <c r="N49" s="205" t="s">
        <v>75</v>
      </c>
      <c r="O49" s="206"/>
      <c r="P49" s="206"/>
      <c r="Q49" s="207"/>
      <c r="R49" s="205" t="s">
        <v>76</v>
      </c>
      <c r="S49" s="206"/>
      <c r="T49" s="206"/>
      <c r="U49" s="206"/>
      <c r="V49" s="210" t="s">
        <v>294</v>
      </c>
      <c r="W49" s="211"/>
      <c r="X49" s="211"/>
      <c r="Y49" s="212"/>
      <c r="Z49" s="210" t="s">
        <v>151</v>
      </c>
      <c r="AA49" s="211"/>
      <c r="AB49" s="211"/>
      <c r="AC49" s="211"/>
      <c r="AD49" s="212"/>
      <c r="AE49" s="210" t="s">
        <v>295</v>
      </c>
      <c r="AF49" s="211"/>
      <c r="AG49" s="211"/>
      <c r="AH49" s="212"/>
      <c r="AI49" s="210" t="s">
        <v>163</v>
      </c>
      <c r="AJ49" s="211"/>
      <c r="AK49" s="211"/>
      <c r="AL49" s="212"/>
      <c r="AM49" s="211" t="s">
        <v>153</v>
      </c>
      <c r="AN49" s="211"/>
      <c r="AO49" s="211"/>
      <c r="AP49" s="212"/>
      <c r="AQ49" s="211" t="s">
        <v>198</v>
      </c>
      <c r="AR49" s="211"/>
      <c r="AS49" s="211"/>
      <c r="AT49" s="212"/>
      <c r="AU49" s="210" t="s">
        <v>200</v>
      </c>
      <c r="AV49" s="211"/>
      <c r="AW49" s="211"/>
      <c r="AX49" s="212"/>
      <c r="AY49" s="210" t="s">
        <v>84</v>
      </c>
      <c r="AZ49" s="211"/>
      <c r="BA49" s="211"/>
      <c r="BB49" s="212"/>
      <c r="BC49" s="210" t="s">
        <v>42</v>
      </c>
      <c r="BD49" s="211"/>
      <c r="BE49" s="211"/>
      <c r="BF49" s="212"/>
      <c r="BG49" s="211" t="s">
        <v>157</v>
      </c>
      <c r="BH49" s="211"/>
      <c r="BI49" s="212"/>
      <c r="BJ49" s="305" t="s">
        <v>87</v>
      </c>
      <c r="BK49" s="211"/>
      <c r="BL49" s="211"/>
      <c r="BM49" s="212"/>
      <c r="BN49" s="211" t="s">
        <v>70</v>
      </c>
      <c r="BO49" s="211"/>
      <c r="BP49" s="211"/>
      <c r="BQ49" s="212"/>
      <c r="BR49" s="28"/>
      <c r="BS49" s="28"/>
      <c r="BT49" s="28"/>
      <c r="BU49" s="28"/>
      <c r="BV49" s="28"/>
    </row>
    <row r="50" spans="1:87" ht="13.5" customHeight="1">
      <c r="A50" s="22"/>
      <c r="B50" s="202">
        <v>7</v>
      </c>
      <c r="C50" s="306"/>
      <c r="D50" s="213" t="s">
        <v>30</v>
      </c>
      <c r="E50" s="216"/>
      <c r="F50" s="214"/>
      <c r="G50" s="215"/>
      <c r="H50" s="213" t="s">
        <v>30</v>
      </c>
      <c r="I50" s="216"/>
      <c r="J50" s="216"/>
      <c r="K50" s="216"/>
      <c r="L50" s="214"/>
      <c r="M50" s="215"/>
      <c r="N50" s="213" t="s">
        <v>30</v>
      </c>
      <c r="O50" s="214"/>
      <c r="P50" s="214"/>
      <c r="Q50" s="215"/>
      <c r="R50" s="213" t="s">
        <v>30</v>
      </c>
      <c r="S50" s="216"/>
      <c r="T50" s="214"/>
      <c r="U50" s="214"/>
      <c r="V50" s="217" t="s">
        <v>43</v>
      </c>
      <c r="W50" s="218"/>
      <c r="X50" s="219"/>
      <c r="Y50" s="220"/>
      <c r="Z50" s="217" t="s">
        <v>30</v>
      </c>
      <c r="AA50" s="218"/>
      <c r="AB50" s="218"/>
      <c r="AC50" s="219"/>
      <c r="AD50" s="220"/>
      <c r="AE50" s="217" t="s">
        <v>43</v>
      </c>
      <c r="AF50" s="218"/>
      <c r="AG50" s="219"/>
      <c r="AH50" s="220"/>
      <c r="AI50" s="217" t="s">
        <v>30</v>
      </c>
      <c r="AJ50" s="218"/>
      <c r="AK50" s="219"/>
      <c r="AL50" s="220"/>
      <c r="AM50" s="218" t="s">
        <v>43</v>
      </c>
      <c r="AN50" s="218"/>
      <c r="AO50" s="219"/>
      <c r="AP50" s="220"/>
      <c r="AQ50" s="218" t="s">
        <v>199</v>
      </c>
      <c r="AR50" s="218"/>
      <c r="AS50" s="219"/>
      <c r="AT50" s="220"/>
      <c r="AU50" s="217" t="s">
        <v>156</v>
      </c>
      <c r="AV50" s="218"/>
      <c r="AW50" s="219"/>
      <c r="AX50" s="220"/>
      <c r="AY50" s="217" t="s">
        <v>156</v>
      </c>
      <c r="AZ50" s="218"/>
      <c r="BA50" s="219"/>
      <c r="BB50" s="220"/>
      <c r="BC50" s="217" t="s">
        <v>201</v>
      </c>
      <c r="BD50" s="218"/>
      <c r="BE50" s="219"/>
      <c r="BF50" s="220"/>
      <c r="BG50" s="218" t="s">
        <v>202</v>
      </c>
      <c r="BH50" s="218"/>
      <c r="BI50" s="220"/>
      <c r="BJ50" s="307" t="s">
        <v>43</v>
      </c>
      <c r="BK50" s="218"/>
      <c r="BL50" s="219"/>
      <c r="BM50" s="220"/>
      <c r="BN50" s="218" t="s">
        <v>43</v>
      </c>
      <c r="BO50" s="218"/>
      <c r="BP50" s="219"/>
      <c r="BQ50" s="220"/>
      <c r="BR50" s="28"/>
      <c r="BS50" s="28"/>
      <c r="BT50" s="28"/>
      <c r="BU50" s="28"/>
      <c r="BV50" s="28"/>
    </row>
    <row r="51" spans="1:87" ht="13.5" customHeight="1">
      <c r="A51" s="22"/>
      <c r="B51" s="202">
        <v>8</v>
      </c>
      <c r="C51" s="308">
        <v>1</v>
      </c>
      <c r="D51" s="148" t="s">
        <v>159</v>
      </c>
      <c r="E51" s="149"/>
      <c r="F51" s="149"/>
      <c r="G51" s="151"/>
      <c r="H51" s="242" t="s">
        <v>160</v>
      </c>
      <c r="I51" s="150"/>
      <c r="J51" s="150"/>
      <c r="K51" s="150"/>
      <c r="L51" s="161"/>
      <c r="M51" s="162"/>
      <c r="N51" s="242" t="s">
        <v>161</v>
      </c>
      <c r="O51" s="150"/>
      <c r="P51" s="150"/>
      <c r="Q51" s="99" t="s">
        <v>33</v>
      </c>
      <c r="R51" s="1097">
        <v>70000</v>
      </c>
      <c r="S51" s="1098"/>
      <c r="T51" s="1098"/>
      <c r="U51" s="1099"/>
      <c r="V51" s="148" t="s">
        <v>149</v>
      </c>
      <c r="W51" s="150"/>
      <c r="X51" s="150"/>
      <c r="Y51" s="99" t="s">
        <v>33</v>
      </c>
      <c r="Z51" s="1111">
        <v>6.7299999999999999E-2</v>
      </c>
      <c r="AA51" s="1112"/>
      <c r="AB51" s="1112"/>
      <c r="AC51" s="1112"/>
      <c r="AD51" s="1113"/>
      <c r="AE51" s="148" t="s">
        <v>149</v>
      </c>
      <c r="AF51" s="150"/>
      <c r="AG51" s="150"/>
      <c r="AH51" s="99" t="s">
        <v>33</v>
      </c>
      <c r="AI51" s="1111">
        <v>0.1211</v>
      </c>
      <c r="AJ51" s="1112"/>
      <c r="AK51" s="1112"/>
      <c r="AL51" s="1113"/>
      <c r="AM51" s="1111">
        <v>0.12</v>
      </c>
      <c r="AN51" s="1112"/>
      <c r="AO51" s="1112"/>
      <c r="AP51" s="1113"/>
      <c r="AQ51" s="1114">
        <v>0.01</v>
      </c>
      <c r="AR51" s="1115"/>
      <c r="AS51" s="1115"/>
      <c r="AT51" s="1116"/>
      <c r="AU51" s="1111">
        <v>0.13589999999999999</v>
      </c>
      <c r="AV51" s="1112"/>
      <c r="AW51" s="1112"/>
      <c r="AX51" s="1113"/>
      <c r="AY51" s="1111">
        <v>0.151</v>
      </c>
      <c r="AZ51" s="1112"/>
      <c r="BA51" s="1112"/>
      <c r="BB51" s="1113"/>
      <c r="BC51" s="1111">
        <v>0.151</v>
      </c>
      <c r="BD51" s="1112"/>
      <c r="BE51" s="1112"/>
      <c r="BF51" s="1113"/>
      <c r="BG51" s="1127">
        <v>6.1000000000000004E-3</v>
      </c>
      <c r="BH51" s="1128"/>
      <c r="BI51" s="1129"/>
      <c r="BJ51" s="309" t="s">
        <v>209</v>
      </c>
      <c r="BK51" s="150"/>
      <c r="BL51" s="150"/>
      <c r="BM51" s="152"/>
      <c r="BN51" s="149" t="s">
        <v>30</v>
      </c>
      <c r="BO51" s="150"/>
      <c r="BP51" s="150"/>
      <c r="BQ51" s="152"/>
      <c r="BR51" s="28"/>
      <c r="BS51" s="28"/>
      <c r="BT51" s="28"/>
      <c r="BU51" s="28"/>
      <c r="BV51" s="28"/>
    </row>
    <row r="52" spans="1:87" ht="13.5" customHeight="1">
      <c r="A52" s="22"/>
      <c r="B52" s="202">
        <v>9</v>
      </c>
      <c r="C52" s="308">
        <v>2</v>
      </c>
      <c r="D52" s="148"/>
      <c r="E52" s="149"/>
      <c r="F52" s="149"/>
      <c r="G52" s="151"/>
      <c r="H52" s="242"/>
      <c r="I52" s="150"/>
      <c r="J52" s="150"/>
      <c r="K52" s="150"/>
      <c r="L52" s="161"/>
      <c r="M52" s="162"/>
      <c r="N52" s="242"/>
      <c r="O52" s="150"/>
      <c r="P52" s="150"/>
      <c r="Q52" s="99" t="s">
        <v>33</v>
      </c>
      <c r="R52" s="1097"/>
      <c r="S52" s="1098"/>
      <c r="T52" s="1098"/>
      <c r="U52" s="1099"/>
      <c r="V52" s="148"/>
      <c r="W52" s="150"/>
      <c r="X52" s="150"/>
      <c r="Y52" s="99" t="s">
        <v>33</v>
      </c>
      <c r="Z52" s="1086"/>
      <c r="AA52" s="1095"/>
      <c r="AB52" s="1095"/>
      <c r="AC52" s="1095"/>
      <c r="AD52" s="1096"/>
      <c r="AE52" s="148"/>
      <c r="AF52" s="150"/>
      <c r="AG52" s="150"/>
      <c r="AH52" s="99" t="s">
        <v>33</v>
      </c>
      <c r="AI52" s="1111"/>
      <c r="AJ52" s="1112"/>
      <c r="AK52" s="1112"/>
      <c r="AL52" s="1113"/>
      <c r="AM52" s="1111"/>
      <c r="AN52" s="1112"/>
      <c r="AO52" s="1112"/>
      <c r="AP52" s="1113"/>
      <c r="AQ52" s="1114"/>
      <c r="AR52" s="1115"/>
      <c r="AS52" s="1115"/>
      <c r="AT52" s="1116"/>
      <c r="AU52" s="1111"/>
      <c r="AV52" s="1112"/>
      <c r="AW52" s="1112"/>
      <c r="AX52" s="1113"/>
      <c r="AY52" s="1111"/>
      <c r="AZ52" s="1112"/>
      <c r="BA52" s="1112"/>
      <c r="BB52" s="1113"/>
      <c r="BC52" s="1111"/>
      <c r="BD52" s="1112"/>
      <c r="BE52" s="1112"/>
      <c r="BF52" s="1113"/>
      <c r="BG52" s="1127"/>
      <c r="BH52" s="1128"/>
      <c r="BI52" s="1129"/>
      <c r="BJ52" s="148"/>
      <c r="BK52" s="150"/>
      <c r="BL52" s="150"/>
      <c r="BM52" s="152"/>
      <c r="BN52" s="149"/>
      <c r="BO52" s="150"/>
      <c r="BP52" s="150"/>
      <c r="BQ52" s="152"/>
      <c r="BR52" s="28"/>
      <c r="BS52" s="28"/>
      <c r="BT52" s="28"/>
      <c r="BU52" s="28"/>
      <c r="BV52" s="28"/>
    </row>
    <row r="53" spans="1:87" ht="13.5" customHeight="1">
      <c r="A53" s="22"/>
      <c r="B53" s="202">
        <v>10</v>
      </c>
      <c r="C53" s="310"/>
      <c r="D53" s="65"/>
      <c r="E53" s="65"/>
      <c r="F53" s="65"/>
      <c r="G53" s="65"/>
      <c r="H53" s="65"/>
      <c r="I53" s="65"/>
      <c r="J53" s="65"/>
      <c r="K53" s="65"/>
      <c r="L53" s="65"/>
      <c r="M53" s="62"/>
      <c r="N53" s="63"/>
      <c r="O53" s="65"/>
      <c r="P53" s="65"/>
      <c r="Q53" s="64"/>
      <c r="R53" s="63"/>
      <c r="S53" s="190"/>
      <c r="T53" s="190"/>
      <c r="U53" s="191"/>
      <c r="V53" s="192"/>
      <c r="W53" s="190"/>
      <c r="X53" s="65"/>
      <c r="Y53" s="65"/>
      <c r="Z53" s="65"/>
      <c r="AA53" s="65"/>
      <c r="AB53" s="65"/>
      <c r="AC53" s="65"/>
      <c r="AD53" s="65"/>
      <c r="AE53" s="65"/>
      <c r="AF53" s="65"/>
      <c r="AG53" s="65"/>
      <c r="AH53" s="65"/>
      <c r="AI53" s="65"/>
      <c r="AJ53" s="65"/>
      <c r="AK53" s="65"/>
      <c r="AL53" s="65"/>
      <c r="AM53" s="63"/>
      <c r="AN53" s="63"/>
      <c r="AO53" s="63"/>
      <c r="AP53" s="63"/>
      <c r="AQ53" s="63"/>
      <c r="AR53" s="63"/>
      <c r="AS53" s="63"/>
      <c r="AT53" s="63"/>
      <c r="AU53" s="63"/>
      <c r="AV53" s="63"/>
      <c r="AW53" s="63"/>
      <c r="AX53" s="63"/>
      <c r="AY53" s="63"/>
      <c r="AZ53" s="31"/>
      <c r="BA53" s="35"/>
      <c r="BB53" s="35"/>
      <c r="BC53" s="311"/>
      <c r="BD53" s="28"/>
    </row>
    <row r="54" spans="1:87" ht="13.5" customHeight="1">
      <c r="A54" s="22"/>
      <c r="B54" s="202">
        <v>14</v>
      </c>
      <c r="C54" s="312"/>
      <c r="D54" s="65"/>
      <c r="E54" s="65"/>
      <c r="F54" s="65"/>
      <c r="G54" s="65"/>
      <c r="H54" s="65"/>
      <c r="I54" s="65"/>
      <c r="J54" s="65"/>
      <c r="K54" s="198"/>
      <c r="L54" s="65"/>
      <c r="M54" s="65"/>
      <c r="N54" s="65"/>
      <c r="O54" s="65"/>
      <c r="P54" s="65"/>
      <c r="Q54" s="198"/>
      <c r="R54" s="65"/>
      <c r="S54" s="65"/>
      <c r="T54" s="65"/>
      <c r="U54" s="198"/>
      <c r="V54" s="65"/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125"/>
      <c r="AK54" s="112"/>
      <c r="AL54" s="62"/>
      <c r="AM54" s="63"/>
      <c r="AN54" s="63"/>
      <c r="AO54" s="63"/>
      <c r="AP54" s="63"/>
      <c r="AQ54" s="64"/>
      <c r="AR54" s="63"/>
      <c r="AS54" s="65"/>
      <c r="AT54" s="65"/>
      <c r="AU54" s="65"/>
      <c r="AV54" s="65"/>
      <c r="AW54" s="65"/>
      <c r="AX54" s="65"/>
      <c r="AY54" s="63"/>
      <c r="AZ54" s="31"/>
      <c r="BA54" s="35"/>
      <c r="BB54" s="35"/>
      <c r="BC54" s="311"/>
      <c r="BD54" s="28"/>
    </row>
    <row r="55" spans="1:87" ht="13.5" customHeight="1">
      <c r="A55" s="22"/>
      <c r="B55" s="202">
        <v>15</v>
      </c>
      <c r="C55" s="313" t="s">
        <v>72</v>
      </c>
      <c r="D55" s="223"/>
      <c r="E55" s="224"/>
      <c r="F55" s="223"/>
      <c r="G55" s="224"/>
      <c r="H55" s="225"/>
      <c r="I55" s="226"/>
      <c r="J55" s="227"/>
      <c r="K55" s="227"/>
      <c r="L55" s="227"/>
      <c r="M55" s="228"/>
      <c r="N55" s="227"/>
      <c r="O55" s="227"/>
      <c r="P55" s="227"/>
      <c r="Q55" s="229"/>
      <c r="R55" s="227"/>
      <c r="S55" s="227"/>
      <c r="T55" s="227"/>
      <c r="U55" s="227"/>
      <c r="V55" s="227"/>
      <c r="W55" s="229"/>
      <c r="X55" s="227"/>
      <c r="Y55" s="227"/>
      <c r="Z55" s="227"/>
      <c r="AA55" s="229"/>
      <c r="AB55" s="227"/>
      <c r="AC55" s="227"/>
      <c r="AD55" s="227"/>
      <c r="AE55" s="227"/>
      <c r="AF55" s="227"/>
      <c r="AG55" s="232"/>
      <c r="AH55" s="227"/>
      <c r="AI55" s="227"/>
      <c r="AJ55" s="227"/>
      <c r="AK55" s="227"/>
      <c r="AL55" s="227"/>
      <c r="AM55" s="227"/>
      <c r="AN55" s="227"/>
      <c r="AO55" s="227"/>
      <c r="AP55" s="227"/>
      <c r="AQ55" s="230"/>
      <c r="AR55" s="227"/>
      <c r="AS55" s="230"/>
      <c r="AT55" s="227"/>
      <c r="AU55" s="227"/>
      <c r="AV55" s="227"/>
      <c r="AW55" s="227"/>
      <c r="AX55" s="227"/>
      <c r="AY55" s="224"/>
      <c r="AZ55" s="224"/>
      <c r="BA55" s="231"/>
      <c r="BB55" s="231"/>
      <c r="BC55" s="314"/>
      <c r="BD55" s="28"/>
    </row>
    <row r="56" spans="1:87" ht="13.5" customHeight="1">
      <c r="A56" s="22"/>
      <c r="B56" s="202"/>
      <c r="C56" s="394"/>
      <c r="D56" s="62"/>
      <c r="E56" s="63"/>
      <c r="F56" s="62"/>
      <c r="G56" s="63"/>
      <c r="H56" s="398"/>
      <c r="I56" s="399"/>
      <c r="J56" s="74"/>
      <c r="K56" s="74"/>
      <c r="L56" s="74"/>
      <c r="M56" s="400"/>
      <c r="N56" s="74"/>
      <c r="O56" s="74"/>
      <c r="P56" s="74"/>
      <c r="Q56" s="401"/>
      <c r="R56" s="74"/>
      <c r="S56" s="74"/>
      <c r="T56" s="74"/>
      <c r="U56" s="74"/>
      <c r="V56" s="74"/>
      <c r="W56" s="401"/>
      <c r="X56" s="65"/>
      <c r="Y56" s="65"/>
      <c r="Z56" s="65"/>
      <c r="AA56" s="198"/>
      <c r="AB56" s="65"/>
      <c r="AC56" s="65"/>
      <c r="AD56" s="65"/>
      <c r="AE56" s="65"/>
      <c r="AF56" s="65"/>
      <c r="AG56" s="158"/>
      <c r="AH56" s="65"/>
      <c r="AI56" s="65"/>
      <c r="AJ56" s="65"/>
      <c r="AK56" s="65"/>
      <c r="AL56" s="65"/>
      <c r="AM56" s="65"/>
      <c r="AN56" s="65"/>
      <c r="AO56" s="65"/>
      <c r="AP56" s="65"/>
      <c r="AQ56" s="125"/>
      <c r="AR56" s="65"/>
      <c r="AS56" s="125"/>
      <c r="AT56" s="65"/>
      <c r="AU56" s="65"/>
      <c r="AV56" s="65"/>
      <c r="AW56" s="65"/>
      <c r="AX56" s="65"/>
      <c r="AY56" s="63"/>
      <c r="AZ56" s="103"/>
      <c r="BA56" s="396"/>
      <c r="BB56"/>
      <c r="BC56" s="397"/>
      <c r="BD56" s="28"/>
    </row>
    <row r="57" spans="1:87" ht="13.5" customHeight="1">
      <c r="A57" s="22"/>
      <c r="B57" s="202">
        <v>16</v>
      </c>
      <c r="C57" s="310"/>
      <c r="D57" s="65"/>
      <c r="E57" s="65"/>
      <c r="F57" s="65"/>
      <c r="G57" s="65"/>
      <c r="H57" s="65"/>
      <c r="I57" s="65"/>
      <c r="J57" s="65"/>
      <c r="K57" s="65"/>
      <c r="L57" s="65"/>
      <c r="M57" s="62"/>
      <c r="N57" s="65"/>
      <c r="O57" s="65"/>
      <c r="P57" s="63"/>
      <c r="Q57" s="64"/>
      <c r="R57" s="63"/>
      <c r="S57" s="111"/>
      <c r="T57" s="112"/>
      <c r="U57" s="111"/>
      <c r="V57" s="112"/>
      <c r="W57" s="111"/>
      <c r="X57" s="111"/>
      <c r="Y57" s="111"/>
      <c r="Z57" s="111"/>
      <c r="AA57" s="65"/>
      <c r="AB57" s="65"/>
      <c r="AC57" s="65"/>
      <c r="AD57" s="65"/>
      <c r="AE57" s="65"/>
      <c r="AF57" s="65"/>
      <c r="AG57" s="65"/>
      <c r="AH57" s="65"/>
      <c r="AI57" s="65"/>
      <c r="AJ57" s="65"/>
      <c r="AK57" s="65"/>
      <c r="AL57" s="65"/>
      <c r="AM57" s="65"/>
      <c r="AN57" s="65"/>
      <c r="AO57" s="65"/>
      <c r="AP57" s="65"/>
      <c r="AQ57" s="65"/>
      <c r="AR57" s="65"/>
      <c r="AS57" s="65"/>
      <c r="AT57" s="65"/>
      <c r="AU57" s="65"/>
      <c r="AV57" s="65"/>
      <c r="AW57" s="65"/>
      <c r="AX57" s="65"/>
      <c r="AY57" s="63"/>
      <c r="AZ57" s="53"/>
      <c r="BA57" s="323"/>
      <c r="BB57" s="324"/>
      <c r="BC57" s="326"/>
      <c r="BD57" s="28"/>
    </row>
    <row r="58" spans="1:87" ht="13.5" customHeight="1">
      <c r="A58" s="22"/>
      <c r="B58" s="202">
        <v>17</v>
      </c>
      <c r="C58" s="310"/>
      <c r="D58" s="65"/>
      <c r="E58" s="65"/>
      <c r="F58" s="65"/>
      <c r="G58" s="65"/>
      <c r="H58" s="126"/>
      <c r="I58" s="65"/>
      <c r="J58" s="65"/>
      <c r="K58" s="65"/>
      <c r="L58" s="198"/>
      <c r="M58" s="65"/>
      <c r="N58" s="65"/>
      <c r="O58" s="65"/>
      <c r="P58" s="198"/>
      <c r="Q58" s="65"/>
      <c r="R58" s="65"/>
      <c r="S58" s="65"/>
      <c r="T58" s="198"/>
      <c r="U58" s="65"/>
      <c r="V58" s="65"/>
      <c r="W58" s="65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12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3"/>
      <c r="AZ58" s="31"/>
      <c r="BA58" s="30"/>
      <c r="BB58" s="175"/>
      <c r="BC58" s="326"/>
      <c r="BD58" s="28"/>
      <c r="BM58" s="1171">
        <f>1-(0.0673/0.1359)</f>
        <v>0.50478292862398821</v>
      </c>
      <c r="BN58" s="1171"/>
      <c r="BO58" s="1171"/>
      <c r="BP58" s="1171"/>
    </row>
    <row r="59" spans="1:87" ht="5.0999999999999996" customHeight="1">
      <c r="A59" s="22"/>
      <c r="B59" s="202"/>
      <c r="C59" s="315"/>
      <c r="D59" s="73"/>
      <c r="E59" s="73"/>
      <c r="F59" s="73"/>
      <c r="G59" s="73"/>
      <c r="H59" s="316"/>
      <c r="I59" s="275"/>
      <c r="J59" s="273"/>
      <c r="K59" s="275"/>
      <c r="L59" s="273"/>
      <c r="M59" s="317"/>
      <c r="N59" s="317"/>
      <c r="O59" s="270"/>
      <c r="P59" s="317"/>
      <c r="Q59" s="270"/>
      <c r="R59" s="317"/>
      <c r="S59" s="73"/>
      <c r="T59" s="73"/>
      <c r="U59" s="73"/>
      <c r="V59" s="73"/>
      <c r="W59" s="73"/>
      <c r="X59" s="316"/>
      <c r="Y59" s="275"/>
      <c r="Z59" s="273"/>
      <c r="AA59" s="275"/>
      <c r="AB59" s="273"/>
      <c r="AC59" s="317"/>
      <c r="AD59" s="317"/>
      <c r="AE59" s="270"/>
      <c r="AF59" s="317"/>
      <c r="AG59" s="270"/>
      <c r="AH59" s="317"/>
      <c r="AI59" s="276"/>
      <c r="AJ59" s="317"/>
      <c r="AK59" s="270"/>
      <c r="AL59" s="73"/>
      <c r="AM59" s="73"/>
      <c r="AN59" s="73"/>
      <c r="AO59" s="73"/>
      <c r="AP59" s="73"/>
      <c r="AQ59" s="73"/>
      <c r="AR59" s="73"/>
      <c r="AS59" s="73"/>
      <c r="AT59" s="73"/>
      <c r="AU59" s="73"/>
      <c r="AV59" s="318"/>
      <c r="AW59" s="73"/>
      <c r="AX59" s="73"/>
      <c r="AY59" s="269"/>
      <c r="AZ59" s="269"/>
      <c r="BA59" s="319"/>
      <c r="BB59" s="320"/>
      <c r="BC59" s="321"/>
      <c r="BD59" s="28"/>
    </row>
    <row r="60" spans="1:87" ht="13.5" customHeight="1">
      <c r="A60" s="22"/>
      <c r="B60" s="202">
        <v>18</v>
      </c>
      <c r="C60" s="75"/>
      <c r="D60" s="63"/>
      <c r="E60" s="63"/>
      <c r="F60" s="63"/>
      <c r="G60" s="63"/>
      <c r="H60" s="69"/>
      <c r="I60" s="69"/>
      <c r="J60" s="65"/>
      <c r="K60" s="69"/>
      <c r="L60" s="65"/>
      <c r="M60" s="69"/>
      <c r="N60" s="64"/>
      <c r="O60" s="69"/>
      <c r="P60" s="65"/>
      <c r="Q60" s="65"/>
      <c r="R60" s="65"/>
      <c r="S60" s="63"/>
      <c r="T60" s="63"/>
      <c r="U60" s="63"/>
      <c r="V60" s="63"/>
      <c r="W60" s="63"/>
      <c r="X60" s="64"/>
      <c r="Y60" s="63"/>
      <c r="Z60" s="65"/>
      <c r="AA60" s="64"/>
      <c r="AB60" s="63"/>
      <c r="AC60" s="65"/>
      <c r="AD60" s="64"/>
      <c r="AE60" s="65"/>
      <c r="AF60" s="65"/>
      <c r="AG60" s="64"/>
      <c r="AH60" s="65"/>
      <c r="AI60" s="65"/>
      <c r="AJ60" s="126"/>
      <c r="AK60" s="65"/>
      <c r="AL60" s="65"/>
      <c r="AM60" s="65"/>
      <c r="AN60" s="65"/>
      <c r="AO60" s="65"/>
      <c r="AP60" s="65"/>
      <c r="AQ60" s="65"/>
      <c r="AR60" s="65"/>
      <c r="AS60" s="65"/>
      <c r="AT60" s="65"/>
      <c r="AU60" s="65"/>
      <c r="AV60" s="65"/>
      <c r="AW60" s="65"/>
      <c r="AX60" s="65"/>
      <c r="AY60" s="63"/>
      <c r="AZ60" s="264"/>
      <c r="BA60" s="301"/>
      <c r="BB60" s="302"/>
      <c r="BC60" s="343"/>
      <c r="BD60" s="28"/>
    </row>
    <row r="61" spans="1:87" ht="13.5" customHeight="1">
      <c r="A61" s="22"/>
      <c r="B61" s="202">
        <v>20</v>
      </c>
      <c r="C61" s="204" t="s">
        <v>79</v>
      </c>
      <c r="D61" s="28"/>
      <c r="E61" s="28"/>
      <c r="F61" s="28"/>
      <c r="G61" s="28"/>
      <c r="H61" s="121"/>
      <c r="I61" s="62"/>
      <c r="J61" s="63"/>
      <c r="K61" s="62"/>
      <c r="L61" s="63"/>
      <c r="M61" s="69"/>
      <c r="N61" s="69"/>
      <c r="O61" s="65"/>
      <c r="P61" s="69"/>
      <c r="Q61" s="65"/>
      <c r="R61" s="69"/>
      <c r="S61" s="28"/>
      <c r="T61" s="28"/>
      <c r="U61" s="28"/>
      <c r="V61" s="28"/>
      <c r="W61" s="28"/>
      <c r="X61" s="121"/>
      <c r="Y61" s="62"/>
      <c r="Z61" s="63"/>
      <c r="AA61" s="62"/>
      <c r="AB61" s="63"/>
      <c r="AC61" s="69"/>
      <c r="AD61" s="69"/>
      <c r="AE61" s="65"/>
      <c r="AF61" s="69"/>
      <c r="AG61" s="65"/>
      <c r="AH61" s="69"/>
      <c r="AI61" s="64"/>
      <c r="AJ61" s="69"/>
      <c r="AK61" s="65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33"/>
      <c r="AW61" s="28"/>
      <c r="AX61" s="28"/>
      <c r="AY61" s="31"/>
      <c r="AZ61" s="269"/>
      <c r="BA61" s="319"/>
      <c r="BB61" s="320"/>
      <c r="BC61" s="344"/>
      <c r="BD61" s="28"/>
    </row>
    <row r="62" spans="1:87" ht="5.0999999999999996" customHeight="1">
      <c r="A62" s="22"/>
      <c r="B62" s="202"/>
      <c r="C62" s="296"/>
      <c r="D62" s="72"/>
      <c r="E62" s="72"/>
      <c r="F62" s="72"/>
      <c r="G62" s="72"/>
      <c r="H62" s="297"/>
      <c r="I62" s="278"/>
      <c r="J62" s="279"/>
      <c r="K62" s="278"/>
      <c r="L62" s="279"/>
      <c r="M62" s="298"/>
      <c r="N62" s="298"/>
      <c r="O62" s="263"/>
      <c r="P62" s="298"/>
      <c r="Q62" s="263"/>
      <c r="R62" s="298"/>
      <c r="S62" s="72"/>
      <c r="T62" s="72"/>
      <c r="U62" s="72"/>
      <c r="V62" s="72"/>
      <c r="W62" s="72"/>
      <c r="X62" s="297"/>
      <c r="Y62" s="278"/>
      <c r="Z62" s="279"/>
      <c r="AA62" s="278"/>
      <c r="AB62" s="279"/>
      <c r="AC62" s="298"/>
      <c r="AD62" s="298"/>
      <c r="AE62" s="263"/>
      <c r="AF62" s="298"/>
      <c r="AG62" s="263"/>
      <c r="AH62" s="298"/>
      <c r="AI62" s="280"/>
      <c r="AJ62" s="298"/>
      <c r="AK62" s="263"/>
      <c r="AL62" s="72"/>
      <c r="AM62" s="72"/>
      <c r="AN62" s="72"/>
      <c r="AO62" s="72"/>
      <c r="AP62" s="72"/>
      <c r="AQ62" s="72"/>
      <c r="AR62" s="72"/>
      <c r="AS62" s="72"/>
      <c r="AT62" s="72"/>
      <c r="AU62" s="72"/>
      <c r="AV62" s="300"/>
      <c r="AW62" s="72"/>
      <c r="AX62" s="72"/>
      <c r="AY62" s="264"/>
      <c r="AZ62" s="264"/>
      <c r="BA62" s="301"/>
      <c r="BB62" s="302"/>
      <c r="BC62" s="303"/>
      <c r="BD62" s="28"/>
    </row>
    <row r="63" spans="1:87" ht="13.5" customHeight="1">
      <c r="A63" s="22"/>
      <c r="B63" s="202">
        <v>21</v>
      </c>
      <c r="C63" s="304" t="s">
        <v>32</v>
      </c>
      <c r="D63" s="234" t="s">
        <v>262</v>
      </c>
      <c r="E63" s="235"/>
      <c r="F63" s="234" t="s">
        <v>65</v>
      </c>
      <c r="G63" s="235"/>
      <c r="H63" s="235"/>
      <c r="I63" s="236"/>
      <c r="J63" s="237" t="s">
        <v>34</v>
      </c>
      <c r="K63" s="238"/>
      <c r="L63" s="238"/>
      <c r="M63" s="238"/>
      <c r="N63" s="235"/>
      <c r="O63" s="236"/>
      <c r="P63" s="239" t="s">
        <v>68</v>
      </c>
      <c r="Q63" s="240"/>
      <c r="R63" s="240"/>
      <c r="S63" s="241"/>
      <c r="T63" s="239" t="s">
        <v>152</v>
      </c>
      <c r="U63" s="240"/>
      <c r="V63" s="240"/>
      <c r="W63" s="241"/>
      <c r="X63" s="234" t="s">
        <v>80</v>
      </c>
      <c r="Y63" s="235"/>
      <c r="Z63" s="235"/>
      <c r="AA63" s="236"/>
      <c r="AB63" s="234" t="s">
        <v>151</v>
      </c>
      <c r="AC63" s="235"/>
      <c r="AD63" s="235"/>
      <c r="AE63" s="235"/>
      <c r="AF63" s="239" t="s">
        <v>66</v>
      </c>
      <c r="AG63" s="240"/>
      <c r="AH63" s="240"/>
      <c r="AI63" s="240"/>
      <c r="AJ63" s="241"/>
      <c r="AK63" s="240" t="s">
        <v>211</v>
      </c>
      <c r="AL63" s="240"/>
      <c r="AM63" s="240"/>
      <c r="AN63" s="241"/>
      <c r="AO63" s="240" t="s">
        <v>163</v>
      </c>
      <c r="AP63" s="240"/>
      <c r="AQ63" s="240"/>
      <c r="AR63" s="241"/>
      <c r="AS63" s="240" t="s">
        <v>212</v>
      </c>
      <c r="AT63" s="240"/>
      <c r="AU63" s="240"/>
      <c r="AV63" s="241"/>
      <c r="AW63" s="240" t="s">
        <v>67</v>
      </c>
      <c r="AX63" s="240"/>
      <c r="AY63" s="240"/>
      <c r="AZ63" s="241"/>
      <c r="BA63" s="239" t="s">
        <v>214</v>
      </c>
      <c r="BB63" s="240"/>
      <c r="BC63" s="240"/>
      <c r="BD63" s="240"/>
      <c r="BE63" s="239" t="s">
        <v>200</v>
      </c>
      <c r="BF63" s="240"/>
      <c r="BG63" s="240"/>
      <c r="BH63" s="241"/>
      <c r="BI63" s="239" t="s">
        <v>215</v>
      </c>
      <c r="BJ63" s="240"/>
      <c r="BK63" s="240"/>
      <c r="BL63" s="241"/>
      <c r="BM63" s="239" t="s">
        <v>237</v>
      </c>
      <c r="BN63" s="240"/>
      <c r="BO63" s="240"/>
      <c r="BP63" s="241"/>
      <c r="BQ63" s="239" t="s">
        <v>84</v>
      </c>
      <c r="BR63" s="240"/>
      <c r="BS63" s="240"/>
      <c r="BT63" s="241"/>
      <c r="BU63" s="239" t="s">
        <v>85</v>
      </c>
      <c r="BV63" s="240"/>
      <c r="BW63" s="240"/>
      <c r="BX63" s="241"/>
      <c r="BY63" s="240" t="s">
        <v>86</v>
      </c>
      <c r="BZ63" s="240"/>
      <c r="CA63" s="241"/>
      <c r="CB63" s="240" t="s">
        <v>87</v>
      </c>
      <c r="CC63" s="240"/>
      <c r="CD63" s="240"/>
      <c r="CE63" s="241"/>
      <c r="CF63" s="240" t="s">
        <v>70</v>
      </c>
      <c r="CG63" s="240"/>
      <c r="CH63" s="240"/>
      <c r="CI63" s="241"/>
    </row>
    <row r="64" spans="1:87" ht="13.5" customHeight="1">
      <c r="A64" s="22"/>
      <c r="B64" s="202">
        <v>22</v>
      </c>
      <c r="C64" s="308">
        <v>1</v>
      </c>
      <c r="D64" s="148" t="str">
        <f>N51</f>
        <v>KFH</v>
      </c>
      <c r="E64" s="149"/>
      <c r="F64" s="148" t="str">
        <f>D51</f>
        <v>4800215830</v>
      </c>
      <c r="G64" s="149"/>
      <c r="H64" s="149"/>
      <c r="I64" s="151"/>
      <c r="J64" s="242" t="str">
        <f>H51</f>
        <v>TF38-20S-0.5SV(830)</v>
      </c>
      <c r="K64" s="150"/>
      <c r="L64" s="150"/>
      <c r="M64" s="150"/>
      <c r="N64" s="161"/>
      <c r="O64" s="162"/>
      <c r="P64" s="148" t="s">
        <v>150</v>
      </c>
      <c r="Q64" s="150"/>
      <c r="R64" s="150"/>
      <c r="S64" s="162"/>
      <c r="T64" s="148" t="str">
        <f>AE51</f>
        <v>USD</v>
      </c>
      <c r="U64" s="150"/>
      <c r="V64" s="150"/>
      <c r="W64" s="162"/>
      <c r="X64" s="1097">
        <f>R51</f>
        <v>70000</v>
      </c>
      <c r="Y64" s="1098"/>
      <c r="Z64" s="1098"/>
      <c r="AA64" s="1099"/>
      <c r="AB64" s="1111">
        <f>Z51</f>
        <v>6.7299999999999999E-2</v>
      </c>
      <c r="AC64" s="1112"/>
      <c r="AD64" s="1112"/>
      <c r="AE64" s="1113"/>
      <c r="AF64" s="1111">
        <f>BC51</f>
        <v>0.151</v>
      </c>
      <c r="AG64" s="1112"/>
      <c r="AH64" s="1112"/>
      <c r="AI64" s="1112"/>
      <c r="AJ64" s="1113"/>
      <c r="AK64" s="1111">
        <f>AM51</f>
        <v>0.12</v>
      </c>
      <c r="AL64" s="1112"/>
      <c r="AM64" s="1112"/>
      <c r="AN64" s="1113"/>
      <c r="AO64" s="1111">
        <f>AI51</f>
        <v>0.1211</v>
      </c>
      <c r="AP64" s="1112"/>
      <c r="AQ64" s="1112"/>
      <c r="AR64" s="1113"/>
      <c r="AS64" s="1111">
        <f>AI51/(1-AQ51)</f>
        <v>0.12232323232323232</v>
      </c>
      <c r="AT64" s="1112"/>
      <c r="AU64" s="1112"/>
      <c r="AV64" s="1113"/>
      <c r="AW64" s="1111">
        <f>AO64-(AS64*$K$20)</f>
        <v>0.11498383838383838</v>
      </c>
      <c r="AX64" s="1112"/>
      <c r="AY64" s="1112"/>
      <c r="AZ64" s="1113"/>
      <c r="BA64" s="1089">
        <f>IFERROR((AI51-AM51)/AM51,"")</f>
        <v>9.1666666666666979E-3</v>
      </c>
      <c r="BB64" s="1090"/>
      <c r="BC64" s="1090"/>
      <c r="BD64" s="1091"/>
      <c r="BE64" s="1139">
        <f>AU51</f>
        <v>0.13589999999999999</v>
      </c>
      <c r="BF64" s="1140"/>
      <c r="BG64" s="1140"/>
      <c r="BH64" s="1141"/>
      <c r="BI64" s="1092">
        <f>1-AI51/(1-AQ51)/AU51</f>
        <v>9.990263191146187E-2</v>
      </c>
      <c r="BJ64" s="1093"/>
      <c r="BK64" s="1093"/>
      <c r="BL64" s="1094"/>
      <c r="BM64" s="1092">
        <f>1-AB64/BE64</f>
        <v>0.50478292862398821</v>
      </c>
      <c r="BN64" s="1093"/>
      <c r="BO64" s="1093"/>
      <c r="BP64" s="1094"/>
      <c r="BQ64" s="1127">
        <f>AY51</f>
        <v>0.151</v>
      </c>
      <c r="BR64" s="1128"/>
      <c r="BS64" s="1128"/>
      <c r="BT64" s="1129"/>
      <c r="BU64" s="1092">
        <f>1-AU51/AY51</f>
        <v>9.9999999999999978E-2</v>
      </c>
      <c r="BV64" s="1093"/>
      <c r="BW64" s="1093"/>
      <c r="BX64" s="1094"/>
      <c r="BY64" s="1111">
        <f>BG51</f>
        <v>6.1000000000000004E-3</v>
      </c>
      <c r="BZ64" s="1112"/>
      <c r="CA64" s="1113"/>
      <c r="CB64" s="149" t="str">
        <f>BJ51</f>
        <v>JAE</v>
      </c>
      <c r="CC64" s="150"/>
      <c r="CD64" s="150"/>
      <c r="CE64" s="152"/>
      <c r="CF64" s="149" t="s">
        <v>30</v>
      </c>
      <c r="CG64" s="150"/>
      <c r="CH64" s="150"/>
      <c r="CI64" s="152"/>
    </row>
    <row r="65" spans="1:87" ht="13.5" customHeight="1">
      <c r="A65" s="22"/>
      <c r="B65" s="489">
        <v>20</v>
      </c>
      <c r="C65" s="204" t="s">
        <v>283</v>
      </c>
      <c r="D65" s="28"/>
      <c r="E65" s="28"/>
      <c r="F65" s="28"/>
      <c r="G65" s="28"/>
      <c r="H65" s="121"/>
      <c r="I65" s="62"/>
      <c r="J65" s="63"/>
      <c r="K65" s="62"/>
      <c r="L65" s="63"/>
      <c r="M65" s="69"/>
      <c r="N65" s="69"/>
      <c r="O65" s="65"/>
      <c r="P65" s="69"/>
      <c r="Q65" s="65"/>
      <c r="R65" s="69"/>
      <c r="S65" s="28"/>
      <c r="T65" s="28"/>
      <c r="U65" s="28"/>
      <c r="V65" s="28"/>
      <c r="W65" s="28"/>
      <c r="X65" s="121"/>
      <c r="Y65" s="62"/>
      <c r="Z65" s="63"/>
      <c r="AA65" s="62"/>
      <c r="AB65" s="63"/>
      <c r="AC65" s="69"/>
      <c r="AD65" s="69"/>
      <c r="AE65" s="65"/>
      <c r="AF65" s="69"/>
      <c r="AG65" s="65"/>
      <c r="AH65" s="69"/>
      <c r="AI65" s="64"/>
      <c r="AJ65" s="69"/>
      <c r="AK65" s="65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33"/>
      <c r="AW65" s="28"/>
      <c r="AX65" s="28"/>
      <c r="AY65" s="31"/>
      <c r="AZ65" s="52"/>
      <c r="BA65" s="93"/>
      <c r="BB65" s="327"/>
      <c r="BC65" s="328"/>
      <c r="BD65" s="26"/>
      <c r="BE65" s="26"/>
      <c r="BF65" s="26"/>
    </row>
    <row r="66" spans="1:87" ht="13.5" customHeight="1">
      <c r="A66" s="22"/>
      <c r="B66" s="202">
        <v>24</v>
      </c>
      <c r="C66" s="304"/>
      <c r="D66" s="502" t="s">
        <v>282</v>
      </c>
      <c r="E66" s="503"/>
      <c r="F66" s="504" t="s">
        <v>296</v>
      </c>
      <c r="G66" s="503"/>
      <c r="H66" s="503"/>
      <c r="I66" s="505"/>
      <c r="J66" s="504" t="s">
        <v>30</v>
      </c>
      <c r="K66" s="506"/>
      <c r="L66" s="506"/>
      <c r="M66" s="506"/>
      <c r="N66" s="503"/>
      <c r="O66" s="505"/>
      <c r="P66" s="511" t="s">
        <v>30</v>
      </c>
      <c r="Q66" s="508"/>
      <c r="R66" s="508"/>
      <c r="S66" s="509"/>
      <c r="T66" s="502"/>
      <c r="U66" s="503"/>
      <c r="V66" s="503"/>
      <c r="W66" s="505"/>
      <c r="X66" s="508" t="s">
        <v>240</v>
      </c>
      <c r="Y66" s="503"/>
      <c r="Z66" s="503"/>
      <c r="AA66" s="503"/>
      <c r="AB66" s="507" t="s">
        <v>235</v>
      </c>
      <c r="AC66" s="503"/>
      <c r="AD66" s="503"/>
      <c r="AE66" s="503"/>
      <c r="AF66" s="507" t="s">
        <v>236</v>
      </c>
      <c r="AG66" s="508"/>
      <c r="AH66" s="508"/>
      <c r="AI66" s="508"/>
      <c r="AJ66" s="509"/>
      <c r="AK66" s="507" t="s">
        <v>237</v>
      </c>
      <c r="AL66" s="508"/>
      <c r="AM66" s="508"/>
      <c r="AN66" s="509"/>
      <c r="AO66" s="507" t="s">
        <v>238</v>
      </c>
      <c r="AP66" s="508"/>
      <c r="AQ66" s="508"/>
      <c r="AR66" s="509"/>
      <c r="AS66" s="507" t="s">
        <v>239</v>
      </c>
      <c r="AT66" s="508"/>
      <c r="AU66" s="508"/>
      <c r="AV66" s="508"/>
      <c r="AW66" s="511" t="s">
        <v>30</v>
      </c>
      <c r="AX66" s="508"/>
      <c r="AY66" s="508"/>
      <c r="AZ66" s="509"/>
      <c r="BA66" s="511"/>
      <c r="BB66" s="508"/>
      <c r="BC66" s="508"/>
      <c r="BD66" s="509"/>
      <c r="BE66" s="513"/>
      <c r="BF66" s="508"/>
      <c r="BG66" s="508"/>
      <c r="BH66" s="509"/>
      <c r="BI66" s="513" t="s">
        <v>30</v>
      </c>
      <c r="BJ66" s="508"/>
      <c r="BK66" s="508"/>
      <c r="BL66" s="509"/>
      <c r="BM66" s="513" t="s">
        <v>30</v>
      </c>
      <c r="BN66" s="508"/>
      <c r="BO66" s="508"/>
      <c r="BP66" s="509"/>
      <c r="BQ66" s="513" t="s">
        <v>30</v>
      </c>
      <c r="BR66" s="508"/>
      <c r="BS66" s="508"/>
      <c r="BT66" s="509"/>
      <c r="BU66" s="508"/>
      <c r="BV66" s="508"/>
      <c r="BW66" s="508"/>
      <c r="BX66" s="509"/>
      <c r="BY66" s="513" t="s">
        <v>30</v>
      </c>
      <c r="BZ66" s="508"/>
      <c r="CA66" s="509"/>
      <c r="CB66" s="508"/>
      <c r="CC66" s="508"/>
      <c r="CD66" s="508"/>
      <c r="CE66" s="509"/>
      <c r="CF66" s="508"/>
      <c r="CG66" s="508"/>
      <c r="CH66" s="508"/>
      <c r="CI66" s="509"/>
    </row>
    <row r="67" spans="1:87" ht="13.5" customHeight="1">
      <c r="A67" s="22"/>
      <c r="B67" s="202">
        <v>25</v>
      </c>
      <c r="C67" s="308">
        <v>1</v>
      </c>
      <c r="D67" s="148" t="s">
        <v>161</v>
      </c>
      <c r="E67" s="149"/>
      <c r="F67" s="148" t="s">
        <v>149</v>
      </c>
      <c r="G67" s="149"/>
      <c r="H67" s="149"/>
      <c r="I67" s="151"/>
      <c r="J67" s="221"/>
      <c r="K67" s="222"/>
      <c r="L67" s="222"/>
      <c r="M67" s="222"/>
      <c r="N67" s="161"/>
      <c r="O67" s="162"/>
      <c r="P67" s="148"/>
      <c r="Q67" s="150"/>
      <c r="R67" s="150"/>
      <c r="S67" s="162"/>
      <c r="T67" s="119"/>
      <c r="U67" s="120"/>
      <c r="V67" s="120"/>
      <c r="W67" s="162"/>
      <c r="X67" s="1086">
        <f>SUMPRODUCT(X$64:AA$64,BE$64:BH$64)</f>
        <v>9513</v>
      </c>
      <c r="Y67" s="1095"/>
      <c r="Z67" s="1095"/>
      <c r="AA67" s="1096"/>
      <c r="AB67" s="1086">
        <f>SUMPRODUCT(X$64:AA$64,AB$64:AE$64)</f>
        <v>4711</v>
      </c>
      <c r="AC67" s="1095"/>
      <c r="AD67" s="1095"/>
      <c r="AE67" s="1096"/>
      <c r="AF67" s="1086">
        <f>X67-AB67</f>
        <v>4802</v>
      </c>
      <c r="AG67" s="1095"/>
      <c r="AH67" s="1095"/>
      <c r="AI67" s="1095"/>
      <c r="AJ67" s="1096"/>
      <c r="AK67" s="1077">
        <f>AF67/X67</f>
        <v>0.50478292862398821</v>
      </c>
      <c r="AL67" s="1078"/>
      <c r="AM67" s="1078"/>
      <c r="AN67" s="1079"/>
      <c r="AO67" s="1077">
        <f>IFERROR(AS67/(X67-AS67),"")</f>
        <v>0.13249999999999998</v>
      </c>
      <c r="AP67" s="1078"/>
      <c r="AQ67" s="1078"/>
      <c r="AR67" s="1079"/>
      <c r="AS67" s="1168">
        <f>X$64*(BE$64-AK$64)</f>
        <v>1112.9999999999998</v>
      </c>
      <c r="AT67" s="1169"/>
      <c r="AU67" s="1169"/>
      <c r="AV67" s="1170"/>
      <c r="AW67" s="1136"/>
      <c r="AX67" s="1137"/>
      <c r="AY67" s="1137"/>
      <c r="AZ67" s="1138"/>
      <c r="BA67" s="1074"/>
      <c r="BB67" s="1075"/>
      <c r="BC67" s="1075"/>
      <c r="BD67" s="1076"/>
      <c r="BE67" s="1092"/>
      <c r="BF67" s="1093"/>
      <c r="BG67" s="1093"/>
      <c r="BH67" s="1094"/>
      <c r="BI67" s="149" t="s">
        <v>30</v>
      </c>
      <c r="BJ67" s="150"/>
      <c r="BK67" s="150"/>
      <c r="BL67" s="152"/>
      <c r="BM67" s="149" t="s">
        <v>30</v>
      </c>
      <c r="BN67" s="150"/>
      <c r="BO67" s="150"/>
      <c r="BP67" s="152"/>
      <c r="BQ67" s="149" t="s">
        <v>30</v>
      </c>
      <c r="BR67" s="150"/>
      <c r="BS67" s="150"/>
      <c r="BT67" s="152"/>
      <c r="BU67" s="149" t="s">
        <v>30</v>
      </c>
      <c r="BV67" s="150"/>
      <c r="BW67" s="150"/>
      <c r="BX67" s="152"/>
      <c r="BY67" s="149" t="s">
        <v>30</v>
      </c>
      <c r="BZ67" s="150"/>
      <c r="CA67" s="152"/>
      <c r="CB67" s="149" t="s">
        <v>30</v>
      </c>
      <c r="CC67" s="150"/>
      <c r="CD67" s="150"/>
      <c r="CE67" s="152"/>
      <c r="CF67" s="149" t="s">
        <v>30</v>
      </c>
      <c r="CG67" s="150"/>
      <c r="CH67" s="150"/>
      <c r="CI67" s="152"/>
    </row>
    <row r="68" spans="1:87" ht="13.5" customHeight="1">
      <c r="A68" s="22"/>
      <c r="B68" s="202">
        <v>25</v>
      </c>
      <c r="C68" s="308">
        <v>2</v>
      </c>
      <c r="D68" s="148" t="s">
        <v>161</v>
      </c>
      <c r="E68" s="149"/>
      <c r="F68" s="148" t="s">
        <v>208</v>
      </c>
      <c r="G68" s="149"/>
      <c r="H68" s="149"/>
      <c r="I68" s="151"/>
      <c r="J68" s="221"/>
      <c r="K68" s="222"/>
      <c r="L68" s="222"/>
      <c r="M68" s="222"/>
      <c r="N68" s="161"/>
      <c r="O68" s="162"/>
      <c r="P68" s="148"/>
      <c r="Q68" s="150"/>
      <c r="R68" s="150"/>
      <c r="S68" s="162"/>
      <c r="T68" s="119"/>
      <c r="U68" s="120"/>
      <c r="V68" s="120"/>
      <c r="W68" s="162"/>
      <c r="X68" s="1074">
        <f>SUMPRODUCT(X$64:AA$64,BE$64:BH$64)</f>
        <v>9513</v>
      </c>
      <c r="Y68" s="1075"/>
      <c r="Z68" s="1075"/>
      <c r="AA68" s="1076"/>
      <c r="AB68" s="1074">
        <f>SUMPRODUCT(X$64:AA$64,AB$64:AE$64)</f>
        <v>4711</v>
      </c>
      <c r="AC68" s="1075"/>
      <c r="AD68" s="1075"/>
      <c r="AE68" s="1076"/>
      <c r="AF68" s="1074">
        <f>X68-AB68</f>
        <v>4802</v>
      </c>
      <c r="AG68" s="1075"/>
      <c r="AH68" s="1075"/>
      <c r="AI68" s="1075"/>
      <c r="AJ68" s="1076"/>
      <c r="AK68" s="1077">
        <f>AF68/X68</f>
        <v>0.50478292862398821</v>
      </c>
      <c r="AL68" s="1078"/>
      <c r="AM68" s="1078"/>
      <c r="AN68" s="1079"/>
      <c r="AO68" s="1077">
        <f>IFERROR(AS68/(X68-AS68),"")</f>
        <v>0.13249999999999998</v>
      </c>
      <c r="AP68" s="1078"/>
      <c r="AQ68" s="1078"/>
      <c r="AR68" s="1079"/>
      <c r="AS68" s="1133">
        <f>X$64*(BE$64-AK$64)</f>
        <v>1112.9999999999998</v>
      </c>
      <c r="AT68" s="1134"/>
      <c r="AU68" s="1134"/>
      <c r="AV68" s="1135"/>
      <c r="AW68" s="1136"/>
      <c r="AX68" s="1137"/>
      <c r="AY68" s="1137"/>
      <c r="AZ68" s="1138"/>
      <c r="BA68" s="1074"/>
      <c r="BB68" s="1075"/>
      <c r="BC68" s="1075"/>
      <c r="BD68" s="1076"/>
      <c r="BE68" s="1092"/>
      <c r="BF68" s="1093"/>
      <c r="BG68" s="1093"/>
      <c r="BH68" s="1094"/>
      <c r="BI68" s="149" t="s">
        <v>30</v>
      </c>
      <c r="BJ68" s="150"/>
      <c r="BK68" s="150"/>
      <c r="BL68" s="152"/>
      <c r="BM68" s="149" t="s">
        <v>30</v>
      </c>
      <c r="BN68" s="150"/>
      <c r="BO68" s="150"/>
      <c r="BP68" s="152"/>
      <c r="BQ68" s="149" t="s">
        <v>30</v>
      </c>
      <c r="BR68" s="150"/>
      <c r="BS68" s="150"/>
      <c r="BT68" s="152"/>
      <c r="BU68" s="149" t="s">
        <v>30</v>
      </c>
      <c r="BV68" s="150"/>
      <c r="BW68" s="150"/>
      <c r="BX68" s="152"/>
      <c r="BY68" s="149" t="s">
        <v>30</v>
      </c>
      <c r="BZ68" s="150"/>
      <c r="CA68" s="152"/>
      <c r="CB68" s="149" t="s">
        <v>30</v>
      </c>
      <c r="CC68" s="150"/>
      <c r="CD68" s="150"/>
      <c r="CE68" s="152"/>
      <c r="CF68" s="149" t="s">
        <v>30</v>
      </c>
      <c r="CG68" s="150"/>
      <c r="CH68" s="150"/>
      <c r="CI68" s="152"/>
    </row>
    <row r="69" spans="1:87" ht="13.5" customHeight="1">
      <c r="A69" s="22"/>
      <c r="B69" s="489">
        <v>20</v>
      </c>
      <c r="C69" s="204" t="s">
        <v>281</v>
      </c>
      <c r="D69" s="28"/>
      <c r="E69" s="28"/>
      <c r="F69" s="28"/>
      <c r="G69" s="28"/>
      <c r="H69" s="121"/>
      <c r="I69" s="62"/>
      <c r="J69" s="63"/>
      <c r="K69" s="62"/>
      <c r="L69" s="63"/>
      <c r="M69" s="69"/>
      <c r="N69" s="69"/>
      <c r="O69" s="65"/>
      <c r="P69" s="69"/>
      <c r="Q69" s="65"/>
      <c r="R69" s="69"/>
      <c r="S69" s="28"/>
      <c r="T69" s="28"/>
      <c r="U69" s="28"/>
      <c r="V69" s="28"/>
      <c r="W69" s="28"/>
      <c r="X69" s="121"/>
      <c r="Y69" s="62"/>
      <c r="Z69" s="63"/>
      <c r="AA69" s="62"/>
      <c r="AB69" s="63"/>
      <c r="AC69" s="69"/>
      <c r="AD69" s="69"/>
      <c r="AE69" s="65"/>
      <c r="AF69" s="69"/>
      <c r="AG69" s="65"/>
      <c r="AH69" s="69"/>
      <c r="AI69" s="64"/>
      <c r="AJ69" s="69"/>
      <c r="AK69" s="65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33"/>
      <c r="AW69" s="28"/>
      <c r="AX69" s="28"/>
      <c r="AY69" s="31"/>
      <c r="AZ69" s="52"/>
      <c r="BA69" s="93"/>
      <c r="BB69" s="327"/>
      <c r="BC69" s="328"/>
      <c r="BD69" s="26"/>
      <c r="BE69" s="26"/>
      <c r="BF69" s="26"/>
    </row>
    <row r="70" spans="1:87" ht="13.5" customHeight="1">
      <c r="A70" s="22"/>
      <c r="B70" s="202">
        <v>24</v>
      </c>
      <c r="C70" s="304"/>
      <c r="D70" s="243"/>
      <c r="E70" s="244"/>
      <c r="F70" s="243" t="s">
        <v>297</v>
      </c>
      <c r="G70" s="244"/>
      <c r="H70" s="244"/>
      <c r="I70" s="245"/>
      <c r="J70" s="246" t="s">
        <v>30</v>
      </c>
      <c r="K70" s="247"/>
      <c r="L70" s="247"/>
      <c r="M70" s="247"/>
      <c r="N70" s="244"/>
      <c r="O70" s="245"/>
      <c r="P70" s="248"/>
      <c r="Q70" s="249"/>
      <c r="R70" s="249"/>
      <c r="S70" s="250"/>
      <c r="T70" s="243"/>
      <c r="U70" s="244"/>
      <c r="V70" s="244"/>
      <c r="W70" s="245"/>
      <c r="X70" s="249" t="s">
        <v>240</v>
      </c>
      <c r="Y70" s="244"/>
      <c r="Z70" s="244"/>
      <c r="AA70" s="244"/>
      <c r="AB70" s="248" t="s">
        <v>235</v>
      </c>
      <c r="AC70" s="244"/>
      <c r="AD70" s="244"/>
      <c r="AE70" s="244"/>
      <c r="AF70" s="248" t="s">
        <v>236</v>
      </c>
      <c r="AG70" s="249"/>
      <c r="AH70" s="249"/>
      <c r="AI70" s="249"/>
      <c r="AJ70" s="250"/>
      <c r="AK70" s="248" t="s">
        <v>237</v>
      </c>
      <c r="AL70" s="249"/>
      <c r="AM70" s="249"/>
      <c r="AN70" s="250"/>
      <c r="AO70" s="248" t="s">
        <v>238</v>
      </c>
      <c r="AP70" s="249"/>
      <c r="AQ70" s="249"/>
      <c r="AR70" s="250"/>
      <c r="AS70" s="248" t="s">
        <v>239</v>
      </c>
      <c r="AT70" s="249"/>
      <c r="AU70" s="249"/>
      <c r="AV70" s="249"/>
      <c r="AW70" s="253" t="s">
        <v>30</v>
      </c>
      <c r="AX70" s="249"/>
      <c r="AY70" s="249"/>
      <c r="AZ70" s="250"/>
      <c r="BA70" s="253"/>
      <c r="BB70" s="249"/>
      <c r="BC70" s="249"/>
      <c r="BD70" s="250"/>
      <c r="BE70" s="251"/>
      <c r="BF70" s="249"/>
      <c r="BG70" s="249"/>
      <c r="BH70" s="250"/>
      <c r="BI70" s="251" t="s">
        <v>30</v>
      </c>
      <c r="BJ70" s="249"/>
      <c r="BK70" s="249"/>
      <c r="BL70" s="250"/>
      <c r="BM70" s="251" t="s">
        <v>30</v>
      </c>
      <c r="BN70" s="249"/>
      <c r="BO70" s="249"/>
      <c r="BP70" s="250"/>
      <c r="BQ70" s="251" t="s">
        <v>30</v>
      </c>
      <c r="BR70" s="249"/>
      <c r="BS70" s="249"/>
      <c r="BT70" s="250"/>
      <c r="BU70" s="249"/>
      <c r="BV70" s="249"/>
      <c r="BW70" s="249"/>
      <c r="BX70" s="250"/>
      <c r="BY70" s="251" t="s">
        <v>30</v>
      </c>
      <c r="BZ70" s="249"/>
      <c r="CA70" s="250"/>
      <c r="CB70" s="249"/>
      <c r="CC70" s="249"/>
      <c r="CD70" s="249"/>
      <c r="CE70" s="250"/>
      <c r="CF70" s="249"/>
      <c r="CG70" s="249"/>
      <c r="CH70" s="249"/>
      <c r="CI70" s="250"/>
    </row>
    <row r="71" spans="1:87" ht="13.5" customHeight="1">
      <c r="A71" s="22"/>
      <c r="B71" s="202">
        <v>25</v>
      </c>
      <c r="C71" s="308"/>
      <c r="D71" s="148"/>
      <c r="E71" s="149"/>
      <c r="F71" s="148" t="s">
        <v>149</v>
      </c>
      <c r="G71" s="149"/>
      <c r="H71" s="149"/>
      <c r="I71" s="151"/>
      <c r="J71" s="221"/>
      <c r="K71" s="222"/>
      <c r="L71" s="222"/>
      <c r="M71" s="222"/>
      <c r="N71" s="161"/>
      <c r="O71" s="162"/>
      <c r="P71" s="148"/>
      <c r="Q71" s="150"/>
      <c r="R71" s="150"/>
      <c r="S71" s="162"/>
      <c r="T71" s="119"/>
      <c r="U71" s="120"/>
      <c r="V71" s="120"/>
      <c r="W71" s="162"/>
      <c r="X71" s="1086">
        <f>SUMPRODUCT(X$64:AA$64,BE$64:BH$64)</f>
        <v>9513</v>
      </c>
      <c r="Y71" s="1095"/>
      <c r="Z71" s="1095"/>
      <c r="AA71" s="1096"/>
      <c r="AB71" s="1086">
        <f>SUMPRODUCT(X$64:AA$64,AB$64:AE$64)</f>
        <v>4711</v>
      </c>
      <c r="AC71" s="1095"/>
      <c r="AD71" s="1095"/>
      <c r="AE71" s="1096"/>
      <c r="AF71" s="1086">
        <f>X71-AB71</f>
        <v>4802</v>
      </c>
      <c r="AG71" s="1095"/>
      <c r="AH71" s="1095"/>
      <c r="AI71" s="1095"/>
      <c r="AJ71" s="1096"/>
      <c r="AK71" s="1077">
        <f>AF71/X71</f>
        <v>0.50478292862398821</v>
      </c>
      <c r="AL71" s="1078"/>
      <c r="AM71" s="1078"/>
      <c r="AN71" s="1079"/>
      <c r="AO71" s="1077">
        <f>IFERROR(AS71/(X71-AS71),"")</f>
        <v>0.13249999999999998</v>
      </c>
      <c r="AP71" s="1078"/>
      <c r="AQ71" s="1078"/>
      <c r="AR71" s="1079"/>
      <c r="AS71" s="1168">
        <f>X$64*(BE$64-AK$64)</f>
        <v>1112.9999999999998</v>
      </c>
      <c r="AT71" s="1169"/>
      <c r="AU71" s="1169"/>
      <c r="AV71" s="1170"/>
      <c r="AW71" s="1136"/>
      <c r="AX71" s="1137"/>
      <c r="AY71" s="1137"/>
      <c r="AZ71" s="1138"/>
      <c r="BA71" s="1074"/>
      <c r="BB71" s="1075"/>
      <c r="BC71" s="1075"/>
      <c r="BD71" s="1076"/>
      <c r="BE71" s="1092"/>
      <c r="BF71" s="1093"/>
      <c r="BG71" s="1093"/>
      <c r="BH71" s="1094"/>
      <c r="BI71" s="149" t="s">
        <v>30</v>
      </c>
      <c r="BJ71" s="150"/>
      <c r="BK71" s="150"/>
      <c r="BL71" s="152"/>
      <c r="BM71" s="149" t="s">
        <v>30</v>
      </c>
      <c r="BN71" s="150"/>
      <c r="BO71" s="150"/>
      <c r="BP71" s="152"/>
      <c r="BQ71" s="149" t="s">
        <v>30</v>
      </c>
      <c r="BR71" s="150"/>
      <c r="BS71" s="150"/>
      <c r="BT71" s="152"/>
      <c r="BU71" s="149" t="s">
        <v>30</v>
      </c>
      <c r="BV71" s="150"/>
      <c r="BW71" s="150"/>
      <c r="BX71" s="152"/>
      <c r="BY71" s="149" t="s">
        <v>30</v>
      </c>
      <c r="BZ71" s="150"/>
      <c r="CA71" s="152"/>
      <c r="CB71" s="149" t="s">
        <v>30</v>
      </c>
      <c r="CC71" s="150"/>
      <c r="CD71" s="150"/>
      <c r="CE71" s="152"/>
      <c r="CF71" s="149" t="s">
        <v>30</v>
      </c>
      <c r="CG71" s="150"/>
      <c r="CH71" s="150"/>
      <c r="CI71" s="152"/>
    </row>
    <row r="72" spans="1:87" ht="13.5" customHeight="1">
      <c r="A72" s="22"/>
      <c r="B72" s="202">
        <v>25</v>
      </c>
      <c r="C72" s="308"/>
      <c r="D72" s="148"/>
      <c r="E72" s="149"/>
      <c r="F72" s="148" t="s">
        <v>208</v>
      </c>
      <c r="G72" s="149"/>
      <c r="H72" s="149"/>
      <c r="I72" s="151"/>
      <c r="J72" s="221"/>
      <c r="K72" s="222"/>
      <c r="L72" s="222"/>
      <c r="M72" s="222"/>
      <c r="N72" s="161"/>
      <c r="O72" s="162"/>
      <c r="P72" s="148"/>
      <c r="Q72" s="150"/>
      <c r="R72" s="150"/>
      <c r="S72" s="162"/>
      <c r="T72" s="119"/>
      <c r="U72" s="120"/>
      <c r="V72" s="120"/>
      <c r="W72" s="162"/>
      <c r="X72" s="1074">
        <f>SUMPRODUCT(X$64:AA$64,BE$64:BH$64)</f>
        <v>9513</v>
      </c>
      <c r="Y72" s="1075"/>
      <c r="Z72" s="1075"/>
      <c r="AA72" s="1076"/>
      <c r="AB72" s="1074">
        <f>SUMPRODUCT(X$64:AA$64,AB$64:AE$64)</f>
        <v>4711</v>
      </c>
      <c r="AC72" s="1075"/>
      <c r="AD72" s="1075"/>
      <c r="AE72" s="1076"/>
      <c r="AF72" s="1074">
        <f>X72-AB72</f>
        <v>4802</v>
      </c>
      <c r="AG72" s="1075"/>
      <c r="AH72" s="1075"/>
      <c r="AI72" s="1075"/>
      <c r="AJ72" s="1076"/>
      <c r="AK72" s="1077">
        <f>AF72/X72</f>
        <v>0.50478292862398821</v>
      </c>
      <c r="AL72" s="1078"/>
      <c r="AM72" s="1078"/>
      <c r="AN72" s="1079"/>
      <c r="AO72" s="1077">
        <f>IFERROR(AS72/(X72-AS72),"")</f>
        <v>0.13249999999999998</v>
      </c>
      <c r="AP72" s="1078"/>
      <c r="AQ72" s="1078"/>
      <c r="AR72" s="1079"/>
      <c r="AS72" s="1133">
        <f>X$64*(BE$64-AK$64)</f>
        <v>1112.9999999999998</v>
      </c>
      <c r="AT72" s="1134"/>
      <c r="AU72" s="1134"/>
      <c r="AV72" s="1135"/>
      <c r="AW72" s="1136"/>
      <c r="AX72" s="1137"/>
      <c r="AY72" s="1137"/>
      <c r="AZ72" s="1138"/>
      <c r="BA72" s="1074"/>
      <c r="BB72" s="1075"/>
      <c r="BC72" s="1075"/>
      <c r="BD72" s="1076"/>
      <c r="BE72" s="1092"/>
      <c r="BF72" s="1093"/>
      <c r="BG72" s="1093"/>
      <c r="BH72" s="1094"/>
      <c r="BI72" s="149" t="s">
        <v>30</v>
      </c>
      <c r="BJ72" s="150"/>
      <c r="BK72" s="150"/>
      <c r="BL72" s="152"/>
      <c r="BM72" s="149" t="s">
        <v>30</v>
      </c>
      <c r="BN72" s="150"/>
      <c r="BO72" s="150"/>
      <c r="BP72" s="152"/>
      <c r="BQ72" s="149" t="s">
        <v>30</v>
      </c>
      <c r="BR72" s="150"/>
      <c r="BS72" s="150"/>
      <c r="BT72" s="152"/>
      <c r="BU72" s="149" t="s">
        <v>30</v>
      </c>
      <c r="BV72" s="150"/>
      <c r="BW72" s="150"/>
      <c r="BX72" s="152"/>
      <c r="BY72" s="149" t="s">
        <v>30</v>
      </c>
      <c r="BZ72" s="150"/>
      <c r="CA72" s="152"/>
      <c r="CB72" s="149" t="s">
        <v>30</v>
      </c>
      <c r="CC72" s="150"/>
      <c r="CD72" s="150"/>
      <c r="CE72" s="152"/>
      <c r="CF72" s="149" t="s">
        <v>30</v>
      </c>
      <c r="CG72" s="150"/>
      <c r="CH72" s="150"/>
      <c r="CI72" s="152"/>
    </row>
    <row r="73" spans="1:87" ht="13.5" customHeight="1">
      <c r="A73" s="22"/>
      <c r="B73" s="202">
        <v>26</v>
      </c>
      <c r="C73" s="339"/>
      <c r="D73" s="75"/>
      <c r="E73" s="75"/>
      <c r="F73" s="75"/>
      <c r="G73" s="75"/>
      <c r="H73" s="199"/>
      <c r="I73" s="199"/>
      <c r="J73" s="200"/>
      <c r="K73" s="199"/>
      <c r="L73" s="200"/>
      <c r="M73" s="199"/>
      <c r="N73" s="199"/>
      <c r="O73" s="83"/>
      <c r="P73" s="84"/>
      <c r="Q73" s="84"/>
      <c r="R73" s="84"/>
      <c r="S73" s="75"/>
      <c r="T73" s="75"/>
      <c r="U73" s="75"/>
      <c r="V73" s="75"/>
      <c r="W73" s="75"/>
      <c r="X73" s="85"/>
      <c r="Y73" s="75"/>
      <c r="Z73" s="84"/>
      <c r="AA73" s="85"/>
      <c r="AB73" s="75"/>
      <c r="AC73" s="84"/>
      <c r="AD73" s="85"/>
      <c r="AE73" s="84"/>
      <c r="AF73" s="84"/>
      <c r="AG73" s="85"/>
      <c r="AH73" s="84"/>
      <c r="AI73" s="84"/>
      <c r="AJ73" s="90"/>
      <c r="AK73" s="84"/>
      <c r="AL73" s="84"/>
      <c r="AM73" s="84"/>
      <c r="AN73" s="84"/>
      <c r="AO73" s="84"/>
      <c r="AP73" s="84"/>
      <c r="AQ73" s="84"/>
      <c r="AR73" s="84"/>
      <c r="AS73" s="65"/>
      <c r="AT73" s="65"/>
      <c r="AU73" s="65"/>
      <c r="AV73" s="65"/>
      <c r="AW73" s="65"/>
      <c r="AX73" s="65"/>
      <c r="AY73" s="63"/>
      <c r="AZ73" s="31"/>
      <c r="BA73" s="30"/>
      <c r="BB73" s="175"/>
      <c r="BC73" s="343"/>
      <c r="BD73" s="1166"/>
      <c r="BE73" s="1167"/>
      <c r="BF73" s="1167"/>
    </row>
    <row r="74" spans="1:87" ht="13.5" customHeight="1">
      <c r="A74" s="22"/>
      <c r="B74" s="202"/>
      <c r="C74" s="342"/>
      <c r="D74" s="332"/>
      <c r="E74" s="65"/>
      <c r="F74" s="65"/>
      <c r="G74" s="65"/>
      <c r="H74" s="65"/>
      <c r="I74" s="65"/>
      <c r="J74" s="333"/>
      <c r="K74" s="334"/>
      <c r="L74" s="334"/>
      <c r="M74" s="334"/>
      <c r="N74"/>
      <c r="O74"/>
      <c r="P74"/>
      <c r="Q74"/>
      <c r="R74"/>
      <c r="S74"/>
      <c r="T74"/>
      <c r="U74"/>
      <c r="V74"/>
      <c r="W74" s="65"/>
      <c r="X74" s="65"/>
      <c r="Y74" s="65"/>
      <c r="Z74" s="65"/>
      <c r="AA74" s="65"/>
      <c r="AB74" s="65"/>
      <c r="AC74" s="65"/>
      <c r="AD74" s="65"/>
      <c r="AE74" s="65"/>
      <c r="AF74" s="65"/>
      <c r="AG74" s="65"/>
      <c r="AH74" s="65"/>
      <c r="AI74" s="65"/>
      <c r="AJ74" s="65"/>
      <c r="AK74" s="65"/>
      <c r="AL74" s="65"/>
      <c r="AM74" s="198"/>
      <c r="AN74" s="198"/>
      <c r="AO74" s="198"/>
      <c r="AP74" s="198"/>
      <c r="AQ74" s="198"/>
      <c r="AR74" s="198"/>
      <c r="AS74" s="254"/>
      <c r="AT74" s="35"/>
      <c r="AU74" s="35"/>
      <c r="AV74" s="254"/>
      <c r="AW74" s="198"/>
      <c r="AX74" s="198"/>
      <c r="AY74" s="198"/>
      <c r="AZ74" s="31"/>
      <c r="BA74" s="30"/>
      <c r="BB74" s="175"/>
      <c r="BC74" s="345"/>
      <c r="BD74" s="28"/>
      <c r="BG74" s="24"/>
      <c r="BH74" s="28"/>
    </row>
    <row r="75" spans="1:87" ht="13.5" customHeight="1">
      <c r="A75" s="22"/>
      <c r="B75" s="202"/>
      <c r="C75" s="342"/>
      <c r="D75" s="332"/>
      <c r="E75" s="65"/>
      <c r="F75" s="65"/>
      <c r="G75" s="65"/>
      <c r="H75" s="65"/>
      <c r="I75" s="65"/>
      <c r="J75" s="333"/>
      <c r="K75" s="334"/>
      <c r="L75" s="334"/>
      <c r="M75" s="334"/>
      <c r="N75"/>
      <c r="O75"/>
      <c r="P75"/>
      <c r="Q75"/>
      <c r="R75"/>
      <c r="S75"/>
      <c r="T75"/>
      <c r="U75"/>
      <c r="V75"/>
      <c r="W75" s="65"/>
      <c r="X75" s="65"/>
      <c r="Y75" s="65"/>
      <c r="Z75" s="65"/>
      <c r="AA75" s="65"/>
      <c r="AB75" s="65"/>
      <c r="AC75" s="65"/>
      <c r="AD75" s="65"/>
      <c r="AE75" s="65"/>
      <c r="AF75" s="65"/>
      <c r="AG75" s="65"/>
      <c r="AH75" s="65"/>
      <c r="AI75" s="65"/>
      <c r="AJ75" s="65"/>
      <c r="AK75" s="65"/>
      <c r="AL75" s="65"/>
      <c r="AM75" s="198"/>
      <c r="AN75" s="198"/>
      <c r="AO75" s="198"/>
      <c r="AP75" s="198"/>
      <c r="AQ75" s="198"/>
      <c r="AR75" s="198"/>
      <c r="AS75" s="254"/>
      <c r="AT75" s="35"/>
      <c r="AU75" s="35"/>
      <c r="AV75" s="254"/>
      <c r="AW75" s="198"/>
      <c r="AX75" s="198"/>
      <c r="AY75" s="198"/>
      <c r="AZ75" s="31"/>
      <c r="BA75" s="30"/>
      <c r="BB75" s="175"/>
      <c r="BC75" s="345"/>
      <c r="BD75" s="28"/>
      <c r="BG75" s="24"/>
      <c r="BH75" s="28"/>
    </row>
    <row r="76" spans="1:87" ht="5.0999999999999996" customHeight="1">
      <c r="A76" s="22"/>
      <c r="B76" s="202"/>
      <c r="C76" s="315"/>
      <c r="D76" s="73"/>
      <c r="E76" s="73"/>
      <c r="F76" s="73"/>
      <c r="G76" s="73"/>
      <c r="H76" s="316"/>
      <c r="I76" s="275"/>
      <c r="J76" s="273"/>
      <c r="K76" s="275"/>
      <c r="L76" s="273"/>
      <c r="M76" s="317"/>
      <c r="N76" s="317"/>
      <c r="O76" s="270"/>
      <c r="P76" s="317"/>
      <c r="Q76" s="270"/>
      <c r="R76" s="317"/>
      <c r="S76" s="73"/>
      <c r="T76" s="73"/>
      <c r="U76" s="73"/>
      <c r="V76" s="73"/>
      <c r="W76" s="73"/>
      <c r="X76" s="316"/>
      <c r="Y76" s="275"/>
      <c r="Z76" s="273"/>
      <c r="AA76" s="275"/>
      <c r="AB76" s="273"/>
      <c r="AC76" s="317"/>
      <c r="AD76" s="317"/>
      <c r="AE76" s="270"/>
      <c r="AF76" s="317"/>
      <c r="AG76" s="270"/>
      <c r="AH76" s="317"/>
      <c r="AI76" s="276"/>
      <c r="AJ76" s="317"/>
      <c r="AK76" s="270"/>
      <c r="AL76" s="73"/>
      <c r="AM76" s="73"/>
      <c r="AN76" s="73"/>
      <c r="AO76" s="73"/>
      <c r="AP76" s="73"/>
      <c r="AQ76" s="73"/>
      <c r="AR76" s="73"/>
      <c r="AS76" s="73"/>
      <c r="AT76" s="73"/>
      <c r="AU76" s="73"/>
      <c r="AV76" s="318"/>
      <c r="AW76" s="73"/>
      <c r="AX76" s="73"/>
      <c r="AY76" s="269"/>
      <c r="AZ76" s="269"/>
      <c r="BA76" s="319"/>
      <c r="BB76" s="320"/>
      <c r="BC76" s="344"/>
      <c r="BD76" s="28"/>
    </row>
    <row r="77" spans="1:87" ht="13.5" customHeight="1">
      <c r="A77" s="22"/>
      <c r="B77" s="202">
        <v>31</v>
      </c>
      <c r="C77" s="331"/>
      <c r="D77" s="332"/>
      <c r="E77" s="65"/>
      <c r="F77" s="65"/>
      <c r="G77" s="65"/>
      <c r="H77" s="65"/>
      <c r="I77" s="65"/>
      <c r="J77" s="1102"/>
      <c r="K77" s="1102"/>
      <c r="L77" s="1102"/>
      <c r="M77" s="1102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198"/>
      <c r="AN77" s="198"/>
      <c r="AO77" s="198"/>
      <c r="AP77" s="198"/>
      <c r="AQ77" s="198"/>
      <c r="AR77" s="198"/>
      <c r="AS77" s="198"/>
      <c r="AT77" s="198"/>
      <c r="AU77" s="198"/>
      <c r="AV77" s="198"/>
      <c r="AW77" s="198"/>
      <c r="AX77" s="198"/>
      <c r="AY77" s="198"/>
      <c r="AZ77" s="33"/>
      <c r="BA77" s="46"/>
      <c r="BB77" s="78"/>
      <c r="BC77" s="34"/>
      <c r="BD77" s="28"/>
      <c r="BG77" s="24"/>
      <c r="BH77" s="28"/>
    </row>
    <row r="78" spans="1:87" ht="14.1" customHeight="1">
      <c r="A78" s="22"/>
      <c r="B78" s="129"/>
      <c r="C78" s="346" t="s">
        <v>132</v>
      </c>
      <c r="D78" s="28"/>
      <c r="E78" s="28"/>
      <c r="F78" s="28"/>
      <c r="G78" s="28"/>
      <c r="S78" s="35"/>
      <c r="T78" s="35"/>
      <c r="U78" s="35"/>
      <c r="V78" s="35"/>
      <c r="Y78" s="35"/>
      <c r="Z78" s="35"/>
      <c r="AD78" s="35"/>
      <c r="AE78" s="35"/>
      <c r="AF78" s="35"/>
      <c r="AG78" s="35"/>
      <c r="AH78" s="35"/>
      <c r="AI78" s="35"/>
      <c r="AJ78" s="28"/>
      <c r="AK78" s="28"/>
      <c r="AL78" s="28"/>
      <c r="AM78" s="130"/>
      <c r="AN78" s="130"/>
      <c r="AO78" s="35"/>
      <c r="AP78" s="35"/>
      <c r="AQ78" s="35"/>
      <c r="AR78" s="35"/>
      <c r="AS78" s="35"/>
      <c r="AT78" s="35"/>
      <c r="AU78" s="35"/>
      <c r="AV78" s="35"/>
      <c r="AW78" s="35"/>
      <c r="AX78" s="65"/>
      <c r="AY78" s="65"/>
      <c r="AZ78" s="33"/>
      <c r="BA78" s="46"/>
      <c r="BB78" s="78"/>
      <c r="BC78" s="34"/>
      <c r="BD78" s="28"/>
      <c r="BG78" s="35"/>
    </row>
    <row r="79" spans="1:87" ht="5.0999999999999996" customHeight="1">
      <c r="A79" s="22"/>
      <c r="B79" s="202"/>
      <c r="C79" s="296"/>
      <c r="D79" s="72"/>
      <c r="E79" s="72"/>
      <c r="F79" s="72"/>
      <c r="G79" s="72"/>
      <c r="H79" s="297"/>
      <c r="I79" s="278"/>
      <c r="J79" s="279"/>
      <c r="K79" s="278"/>
      <c r="L79" s="279"/>
      <c r="M79" s="298"/>
      <c r="N79" s="298"/>
      <c r="O79" s="263"/>
      <c r="P79" s="298"/>
      <c r="Q79" s="263"/>
      <c r="R79" s="298"/>
      <c r="S79" s="72"/>
      <c r="T79" s="72"/>
      <c r="U79" s="72"/>
      <c r="V79" s="72"/>
      <c r="W79" s="72"/>
      <c r="X79" s="297"/>
      <c r="Y79" s="278"/>
      <c r="Z79" s="279"/>
      <c r="AA79" s="278"/>
      <c r="AB79" s="279"/>
      <c r="AC79" s="298"/>
      <c r="AD79" s="298"/>
      <c r="AE79" s="263"/>
      <c r="AF79" s="298"/>
      <c r="AG79" s="263"/>
      <c r="AH79" s="298"/>
      <c r="AI79" s="280"/>
      <c r="AJ79" s="298"/>
      <c r="AK79" s="263"/>
      <c r="AL79" s="72"/>
      <c r="AM79" s="72"/>
      <c r="AN79" s="72"/>
      <c r="AO79" s="72"/>
      <c r="AP79" s="72"/>
      <c r="AQ79" s="72"/>
      <c r="AR79" s="72"/>
      <c r="AS79" s="72"/>
      <c r="AT79" s="72"/>
      <c r="AU79" s="72"/>
      <c r="AV79" s="300"/>
      <c r="AW79" s="72"/>
      <c r="AX79" s="72"/>
      <c r="AY79" s="265"/>
      <c r="AZ79" s="33"/>
      <c r="BA79" s="46"/>
      <c r="BB79" s="78"/>
      <c r="BC79" s="34"/>
      <c r="BD79" s="28"/>
    </row>
    <row r="80" spans="1:87" ht="14.1" customHeight="1">
      <c r="A80" s="23"/>
      <c r="B80" s="351"/>
      <c r="C80" s="282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5"/>
      <c r="S80" s="35"/>
      <c r="T80" s="28"/>
      <c r="U80" s="28"/>
      <c r="V80" s="28"/>
      <c r="W80" s="28"/>
      <c r="X80" s="28"/>
      <c r="Y80" s="28"/>
      <c r="Z80" s="28"/>
      <c r="AC80" s="28"/>
      <c r="AD80" s="28"/>
      <c r="AE80" s="35"/>
      <c r="AF80" s="35"/>
      <c r="AG80" s="35"/>
      <c r="AH80" s="35"/>
      <c r="AI80" s="35"/>
      <c r="AJ80" s="28"/>
      <c r="AK80" s="28"/>
      <c r="AL80" s="28"/>
      <c r="AM80" s="35"/>
      <c r="AN80" s="35"/>
      <c r="AO80" s="135"/>
      <c r="AP80" s="136"/>
      <c r="AQ80" s="130"/>
      <c r="AR80" s="130"/>
      <c r="AS80" s="130"/>
      <c r="AT80" s="130"/>
      <c r="AU80" s="81"/>
      <c r="AV80" s="35"/>
      <c r="AW80" s="35"/>
      <c r="AX80" s="65"/>
      <c r="AY80" s="347"/>
      <c r="AZ80" s="33"/>
      <c r="BA80" s="46"/>
      <c r="BB80" s="78"/>
      <c r="BC80" s="34"/>
      <c r="BD80" s="28"/>
      <c r="BG80" s="35"/>
    </row>
    <row r="81" spans="1:60" ht="14.1" customHeight="1">
      <c r="A81" s="23"/>
      <c r="B81" s="351"/>
      <c r="C81" s="352"/>
      <c r="D81" s="348" t="s">
        <v>38</v>
      </c>
      <c r="E81" s="131"/>
      <c r="F81" s="131"/>
      <c r="G81" s="131"/>
      <c r="H81" s="132"/>
      <c r="I81" s="132"/>
      <c r="J81" s="106"/>
      <c r="K81" s="133"/>
      <c r="L81" s="134"/>
      <c r="M81" s="144"/>
      <c r="N81" s="144"/>
      <c r="O81" s="131"/>
      <c r="P81" s="134"/>
      <c r="Q81" s="107"/>
      <c r="R81" s="133" t="s">
        <v>40</v>
      </c>
      <c r="S81" s="134"/>
      <c r="T81" s="107"/>
      <c r="U81" s="107"/>
      <c r="V81" s="133" t="s">
        <v>45</v>
      </c>
      <c r="W81" s="134"/>
      <c r="X81" s="107"/>
      <c r="Y81" s="35"/>
      <c r="Z81" s="35"/>
      <c r="AC81" s="28"/>
      <c r="AD81" s="28"/>
      <c r="AE81" s="28"/>
      <c r="AF81" s="35"/>
      <c r="AG81" s="35"/>
      <c r="AH81" s="28"/>
      <c r="AI81" s="28"/>
      <c r="AJ81" s="28"/>
      <c r="AK81" s="81"/>
      <c r="AL81" s="28"/>
      <c r="AM81" s="28"/>
      <c r="AN81" s="28"/>
      <c r="AO81" s="28"/>
      <c r="AP81" s="28"/>
      <c r="AQ81" s="65"/>
      <c r="AR81" s="65"/>
      <c r="AS81" s="65"/>
      <c r="AT81" s="125"/>
      <c r="AU81" s="65"/>
      <c r="AV81" s="65"/>
      <c r="AW81" s="65"/>
      <c r="AX81" s="65"/>
      <c r="AY81" s="347"/>
      <c r="AZ81" s="33"/>
      <c r="BA81" s="46"/>
      <c r="BB81" s="78"/>
      <c r="BC81" s="34"/>
      <c r="BD81" s="28"/>
      <c r="BE81" s="35"/>
      <c r="BF81" s="35"/>
      <c r="BG81" s="35"/>
    </row>
    <row r="82" spans="1:60" ht="13.5" customHeight="1">
      <c r="A82" s="22"/>
      <c r="B82" s="353"/>
      <c r="C82" s="352"/>
      <c r="D82" s="349" t="s">
        <v>46</v>
      </c>
      <c r="E82" s="137"/>
      <c r="F82" s="137"/>
      <c r="G82" s="137"/>
      <c r="H82" s="137"/>
      <c r="I82" s="137"/>
      <c r="J82" s="137"/>
      <c r="K82" s="350"/>
      <c r="L82" s="139"/>
      <c r="M82" s="108"/>
      <c r="N82" s="108"/>
      <c r="O82" s="145"/>
      <c r="P82" s="139"/>
      <c r="Q82" s="109"/>
      <c r="R82" s="138" t="s">
        <v>41</v>
      </c>
      <c r="S82" s="139"/>
      <c r="T82" s="108"/>
      <c r="U82" s="109"/>
      <c r="V82" s="140"/>
      <c r="W82" s="141"/>
      <c r="X82" s="142"/>
      <c r="Y82" s="116"/>
      <c r="Z82" s="41"/>
      <c r="AA82" s="116"/>
      <c r="AB82" s="116"/>
      <c r="AC82" s="116"/>
      <c r="AD82" s="116"/>
      <c r="AE82" s="116"/>
      <c r="AF82" s="116"/>
      <c r="AG82" s="116"/>
      <c r="AH82" s="116"/>
      <c r="AI82" s="116"/>
      <c r="AJ82" s="116"/>
      <c r="AK82" s="116"/>
      <c r="AL82" s="116"/>
      <c r="AM82" s="116"/>
      <c r="AN82" s="116"/>
      <c r="AO82" s="116"/>
      <c r="AP82" s="116"/>
      <c r="AQ82" s="65"/>
      <c r="AR82" s="65"/>
      <c r="AS82" s="65"/>
      <c r="AT82" s="125"/>
      <c r="AU82" s="65"/>
      <c r="AV82" s="65"/>
      <c r="AW82" s="65"/>
      <c r="AX82" s="65"/>
      <c r="AY82" s="347"/>
      <c r="AZ82" s="33"/>
      <c r="BA82" s="46"/>
      <c r="BB82" s="78"/>
      <c r="BC82" s="34"/>
      <c r="BD82" s="28"/>
      <c r="BE82" s="35"/>
      <c r="BF82" s="35"/>
      <c r="BG82" s="35"/>
    </row>
    <row r="83" spans="1:60" ht="5.0999999999999996" customHeight="1">
      <c r="A83" s="22"/>
      <c r="B83" s="202"/>
      <c r="C83" s="315"/>
      <c r="D83" s="73"/>
      <c r="E83" s="73"/>
      <c r="F83" s="73"/>
      <c r="G83" s="73"/>
      <c r="H83" s="316"/>
      <c r="I83" s="275"/>
      <c r="J83" s="273"/>
      <c r="K83" s="275"/>
      <c r="L83" s="273"/>
      <c r="M83" s="317"/>
      <c r="N83" s="317"/>
      <c r="O83" s="270"/>
      <c r="P83" s="317"/>
      <c r="Q83" s="270"/>
      <c r="R83" s="317"/>
      <c r="S83" s="73"/>
      <c r="T83" s="73"/>
      <c r="U83" s="73"/>
      <c r="V83" s="73"/>
      <c r="W83" s="73"/>
      <c r="X83" s="316"/>
      <c r="Y83" s="275"/>
      <c r="Z83" s="273"/>
      <c r="AA83" s="275"/>
      <c r="AB83" s="273"/>
      <c r="AC83" s="317"/>
      <c r="AD83" s="317"/>
      <c r="AE83" s="270"/>
      <c r="AF83" s="317"/>
      <c r="AG83" s="270"/>
      <c r="AH83" s="317"/>
      <c r="AI83" s="276"/>
      <c r="AJ83" s="317"/>
      <c r="AK83" s="270"/>
      <c r="AL83" s="73"/>
      <c r="AM83" s="73"/>
      <c r="AN83" s="73"/>
      <c r="AO83" s="73"/>
      <c r="AP83" s="73"/>
      <c r="AQ83" s="73"/>
      <c r="AR83" s="73"/>
      <c r="AS83" s="73"/>
      <c r="AT83" s="73"/>
      <c r="AU83" s="73"/>
      <c r="AV83" s="318"/>
      <c r="AW83" s="73"/>
      <c r="AX83" s="73"/>
      <c r="AY83" s="277"/>
      <c r="AZ83" s="33"/>
      <c r="BA83" s="46"/>
      <c r="BB83" s="78"/>
      <c r="BC83" s="34"/>
      <c r="BD83" s="28"/>
    </row>
    <row r="84" spans="1:60" ht="14.1" customHeight="1">
      <c r="A84" s="22"/>
      <c r="B84" s="202">
        <v>35</v>
      </c>
      <c r="C84" s="331"/>
      <c r="D84" s="332"/>
      <c r="E84" s="65"/>
      <c r="F84" s="65"/>
      <c r="G84" s="65"/>
      <c r="H84" s="65"/>
      <c r="I84" s="65"/>
      <c r="J84" s="1067"/>
      <c r="K84" s="1067"/>
      <c r="L84" s="1067"/>
      <c r="M84" s="1067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  <c r="AA84" s="65"/>
      <c r="AB84" s="65"/>
      <c r="AC84" s="65"/>
      <c r="AD84" s="65"/>
      <c r="AE84" s="65"/>
      <c r="AF84" s="65"/>
      <c r="AG84" s="65"/>
      <c r="AH84" s="65"/>
      <c r="AI84" s="65"/>
      <c r="AJ84" s="65"/>
      <c r="AK84" s="65"/>
      <c r="AL84" s="65"/>
      <c r="AM84" s="65"/>
      <c r="AN84" s="65"/>
      <c r="AO84" s="65"/>
      <c r="AP84" s="65"/>
      <c r="AQ84" s="65"/>
      <c r="AR84" s="65"/>
      <c r="AS84" s="65"/>
      <c r="AT84" s="125"/>
      <c r="AU84" s="65"/>
      <c r="AV84" s="65"/>
      <c r="AW84" s="65"/>
      <c r="AX84" s="65"/>
      <c r="AY84" s="65"/>
      <c r="AZ84" s="33"/>
      <c r="BA84" s="46"/>
      <c r="BB84" s="335"/>
      <c r="BC84" s="336"/>
      <c r="BD84" s="28"/>
      <c r="BG84" s="24"/>
      <c r="BH84" s="28"/>
    </row>
    <row r="85" spans="1:60" ht="14.1" customHeight="1">
      <c r="A85" s="22"/>
      <c r="B85" s="202">
        <v>35</v>
      </c>
      <c r="C85" s="346" t="s">
        <v>248</v>
      </c>
      <c r="D85" s="332"/>
      <c r="E85" s="65"/>
      <c r="F85" s="65"/>
      <c r="G85" s="65"/>
      <c r="H85" s="65"/>
      <c r="I85" s="65"/>
      <c r="J85" s="1067"/>
      <c r="K85" s="1067"/>
      <c r="L85" s="1067"/>
      <c r="M85" s="1067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  <c r="AA85" s="65"/>
      <c r="AB85" s="65"/>
      <c r="AC85" s="65"/>
      <c r="AD85" s="65"/>
      <c r="AE85" s="65"/>
      <c r="AF85" s="65"/>
      <c r="AG85" s="65"/>
      <c r="AH85" s="65"/>
      <c r="AI85" s="65"/>
      <c r="AJ85" s="65"/>
      <c r="AK85" s="65"/>
      <c r="AL85" s="65"/>
      <c r="AM85" s="65"/>
      <c r="AN85" s="65"/>
      <c r="AO85" s="65"/>
      <c r="AP85" s="65"/>
      <c r="AQ85" s="65"/>
      <c r="AR85" s="65"/>
      <c r="AS85" s="65"/>
      <c r="AT85" s="125"/>
      <c r="AU85" s="65"/>
      <c r="AV85" s="65"/>
      <c r="AW85" s="65"/>
      <c r="AX85" s="65"/>
      <c r="AY85" s="65"/>
      <c r="AZ85" s="33"/>
      <c r="BA85" s="46"/>
      <c r="BB85" s="335"/>
      <c r="BC85" s="336"/>
      <c r="BD85" s="28"/>
      <c r="BG85" s="24"/>
      <c r="BH85" s="28"/>
    </row>
    <row r="86" spans="1:60" ht="14.1" customHeight="1">
      <c r="A86" s="22"/>
      <c r="B86" s="202">
        <v>35</v>
      </c>
      <c r="C86" s="331"/>
      <c r="D86" s="478" t="s">
        <v>249</v>
      </c>
      <c r="E86" s="65"/>
      <c r="F86" s="65"/>
      <c r="G86" s="65"/>
      <c r="H86" s="65"/>
      <c r="I86" s="65"/>
      <c r="J86" s="477"/>
      <c r="K86" s="477"/>
      <c r="L86" s="477"/>
      <c r="M86" s="477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125"/>
      <c r="AU86" s="65"/>
      <c r="AV86" s="65"/>
      <c r="AW86" s="65"/>
      <c r="AX86" s="65"/>
      <c r="AY86" s="65"/>
      <c r="AZ86" s="33"/>
      <c r="BA86" s="46"/>
      <c r="BB86" s="335"/>
      <c r="BC86" s="336"/>
      <c r="BD86" s="28"/>
      <c r="BG86" s="24"/>
      <c r="BH86" s="28"/>
    </row>
    <row r="87" spans="1:60" ht="14.1" customHeight="1">
      <c r="A87" s="22"/>
      <c r="B87" s="202">
        <v>35</v>
      </c>
      <c r="C87" s="331"/>
      <c r="D87" s="332"/>
      <c r="E87" s="65"/>
      <c r="F87" s="65"/>
      <c r="G87" s="65"/>
      <c r="H87" s="65"/>
      <c r="I87" s="65"/>
      <c r="J87" s="1106"/>
      <c r="K87" s="1106"/>
      <c r="L87" s="1106"/>
      <c r="M87" s="1106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  <c r="AA87" s="65"/>
      <c r="AB87" s="65"/>
      <c r="AC87" s="65"/>
      <c r="AD87" s="65"/>
      <c r="AE87" s="65"/>
      <c r="AF87" s="65"/>
      <c r="AG87" s="65"/>
      <c r="AH87" s="65"/>
      <c r="AI87" s="65"/>
      <c r="AJ87" s="65"/>
      <c r="AK87" s="65"/>
      <c r="AL87" s="65"/>
      <c r="AM87" s="65"/>
      <c r="AN87" s="65"/>
      <c r="AO87" s="65"/>
      <c r="AP87" s="65"/>
      <c r="AQ87" s="65"/>
      <c r="AR87" s="65"/>
      <c r="AS87" s="65"/>
      <c r="AT87" s="125"/>
      <c r="AU87" s="65"/>
      <c r="AV87" s="65"/>
      <c r="AW87" s="65"/>
      <c r="AX87" s="65"/>
      <c r="AY87" s="65"/>
      <c r="AZ87" s="33"/>
      <c r="BA87" s="46"/>
      <c r="BB87" s="335"/>
      <c r="BC87" s="336"/>
      <c r="BD87" s="28"/>
      <c r="BG87" s="24"/>
      <c r="BH87" s="28"/>
    </row>
    <row r="88" spans="1:60" ht="5.0999999999999996" customHeight="1">
      <c r="A88" s="22"/>
      <c r="B88" s="202"/>
      <c r="C88" s="296"/>
      <c r="D88" s="72"/>
      <c r="E88" s="72"/>
      <c r="F88" s="72"/>
      <c r="G88" s="72"/>
      <c r="H88" s="297"/>
      <c r="I88" s="278"/>
      <c r="J88" s="279"/>
      <c r="K88" s="278"/>
      <c r="L88" s="279"/>
      <c r="M88" s="298"/>
      <c r="N88" s="298"/>
      <c r="O88" s="263"/>
      <c r="P88" s="298"/>
      <c r="Q88" s="263"/>
      <c r="R88" s="298"/>
      <c r="S88" s="72"/>
      <c r="T88" s="72"/>
      <c r="U88" s="72"/>
      <c r="V88" s="72"/>
      <c r="W88" s="72"/>
      <c r="X88" s="297"/>
      <c r="Y88" s="278"/>
      <c r="Z88" s="279"/>
      <c r="AA88" s="278"/>
      <c r="AB88" s="279"/>
      <c r="AC88" s="298"/>
      <c r="AD88" s="298"/>
      <c r="AE88" s="263"/>
      <c r="AF88" s="298"/>
      <c r="AG88" s="263"/>
      <c r="AH88" s="298"/>
      <c r="AI88" s="280"/>
      <c r="AJ88" s="298"/>
      <c r="AK88" s="263"/>
      <c r="AL88" s="72"/>
      <c r="AM88" s="72"/>
      <c r="AN88" s="72"/>
      <c r="AO88" s="72"/>
      <c r="AP88" s="72"/>
      <c r="AQ88" s="72"/>
      <c r="AR88" s="72"/>
      <c r="AS88" s="72"/>
      <c r="AT88" s="72"/>
      <c r="AU88" s="72"/>
      <c r="AV88" s="300"/>
      <c r="AW88" s="72"/>
      <c r="AX88" s="72"/>
      <c r="AY88" s="265"/>
      <c r="AZ88" s="33"/>
      <c r="BA88" s="46"/>
      <c r="BB88" s="78"/>
      <c r="BC88" s="34"/>
      <c r="BD88" s="28"/>
    </row>
    <row r="89" spans="1:60" ht="14.1" customHeight="1">
      <c r="A89" s="23"/>
      <c r="B89" s="351"/>
      <c r="C89" s="282"/>
      <c r="D89" s="28" t="s">
        <v>241</v>
      </c>
      <c r="E89" s="28"/>
      <c r="F89" s="28"/>
      <c r="G89" s="28"/>
      <c r="H89" s="468" t="s">
        <v>246</v>
      </c>
      <c r="I89" s="257"/>
      <c r="J89" s="258"/>
      <c r="K89" s="258"/>
      <c r="L89" s="258"/>
      <c r="M89" s="259"/>
      <c r="N89" s="258"/>
      <c r="O89" s="110"/>
      <c r="P89" s="261" t="s">
        <v>33</v>
      </c>
      <c r="Q89" s="25"/>
      <c r="R89" s="469" t="s">
        <v>247</v>
      </c>
      <c r="S89" s="470"/>
      <c r="T89" s="471"/>
      <c r="U89" s="471"/>
      <c r="V89" s="483"/>
      <c r="W89" s="472"/>
      <c r="X89" s="471"/>
      <c r="Y89" s="473"/>
      <c r="Z89" s="474"/>
      <c r="AB89" s="469" t="s">
        <v>291</v>
      </c>
      <c r="AC89" s="470"/>
      <c r="AD89" s="471"/>
      <c r="AE89" s="471"/>
      <c r="AF89" s="471"/>
      <c r="AG89" s="472"/>
      <c r="AH89" s="471"/>
      <c r="AI89" s="473"/>
      <c r="AJ89" s="472"/>
      <c r="AK89" s="479"/>
      <c r="AL89" s="479"/>
      <c r="AM89" s="473"/>
      <c r="AN89" s="473"/>
      <c r="AO89" s="471"/>
      <c r="AP89" s="480"/>
      <c r="AQ89" s="471"/>
      <c r="AR89" s="471"/>
      <c r="AS89" s="471"/>
      <c r="AT89" s="471"/>
      <c r="AU89" s="481"/>
      <c r="AV89" s="473"/>
      <c r="AW89" s="473"/>
      <c r="AX89" s="482"/>
      <c r="AY89" s="347"/>
      <c r="AZ89" s="33"/>
      <c r="BA89" s="46"/>
      <c r="BB89" s="78"/>
      <c r="BC89" s="34"/>
      <c r="BD89" s="28"/>
      <c r="BG89" s="35"/>
    </row>
    <row r="90" spans="1:60" ht="14.1" customHeight="1">
      <c r="A90" s="23"/>
      <c r="B90" s="351"/>
      <c r="C90" s="282"/>
      <c r="D90" s="28"/>
      <c r="E90" s="28"/>
      <c r="F90" s="28"/>
      <c r="G90" s="28"/>
      <c r="H90" s="469" t="s">
        <v>55</v>
      </c>
      <c r="I90" s="470"/>
      <c r="J90" s="471"/>
      <c r="K90" s="471"/>
      <c r="L90" s="471"/>
      <c r="M90" s="472"/>
      <c r="N90" s="471"/>
      <c r="O90" s="473"/>
      <c r="P90" s="472"/>
      <c r="Q90" s="479"/>
      <c r="R90" s="479"/>
      <c r="S90" s="473"/>
      <c r="T90" s="473"/>
      <c r="U90" s="471"/>
      <c r="V90" s="480"/>
      <c r="W90" s="471"/>
      <c r="X90" s="471"/>
      <c r="Y90" s="471"/>
      <c r="Z90" s="471"/>
      <c r="AA90" s="481"/>
      <c r="AB90" s="473"/>
      <c r="AC90" s="473"/>
      <c r="AD90" s="479"/>
      <c r="AE90" s="471"/>
      <c r="AF90" s="471"/>
      <c r="AG90" s="472"/>
      <c r="AH90" s="471"/>
      <c r="AI90" s="473"/>
      <c r="AJ90" s="472"/>
      <c r="AK90" s="479"/>
      <c r="AL90" s="479"/>
      <c r="AM90" s="473"/>
      <c r="AN90" s="473"/>
      <c r="AO90" s="471"/>
      <c r="AP90" s="480"/>
      <c r="AQ90" s="471"/>
      <c r="AR90" s="471"/>
      <c r="AS90" s="471"/>
      <c r="AT90" s="471"/>
      <c r="AU90" s="481"/>
      <c r="AV90" s="473"/>
      <c r="AW90" s="473"/>
      <c r="AX90" s="482"/>
      <c r="AY90" s="347"/>
      <c r="AZ90" s="33"/>
      <c r="BA90" s="46"/>
      <c r="BB90" s="78"/>
      <c r="BC90" s="34"/>
      <c r="BD90" s="28"/>
      <c r="BG90" s="35"/>
    </row>
    <row r="91" spans="1:60" ht="5.0999999999999996" customHeight="1">
      <c r="A91" s="22"/>
      <c r="B91" s="202"/>
      <c r="C91" s="315"/>
      <c r="D91" s="73"/>
      <c r="E91" s="73"/>
      <c r="F91" s="73"/>
      <c r="G91" s="73"/>
      <c r="H91" s="316"/>
      <c r="I91" s="275"/>
      <c r="J91" s="273"/>
      <c r="K91" s="275"/>
      <c r="L91" s="273"/>
      <c r="M91" s="317"/>
      <c r="N91" s="317"/>
      <c r="O91" s="270"/>
      <c r="P91" s="317"/>
      <c r="Q91" s="270"/>
      <c r="R91" s="317"/>
      <c r="S91" s="73"/>
      <c r="T91" s="73"/>
      <c r="U91" s="73"/>
      <c r="V91" s="73"/>
      <c r="W91" s="73"/>
      <c r="X91" s="316"/>
      <c r="Y91" s="275"/>
      <c r="Z91" s="273"/>
      <c r="AA91" s="275"/>
      <c r="AB91" s="273"/>
      <c r="AC91" s="317"/>
      <c r="AD91" s="317"/>
      <c r="AE91" s="270"/>
      <c r="AF91" s="317"/>
      <c r="AG91" s="270"/>
      <c r="AH91" s="317"/>
      <c r="AI91" s="276"/>
      <c r="AJ91" s="317"/>
      <c r="AK91" s="270"/>
      <c r="AL91" s="73"/>
      <c r="AM91" s="73"/>
      <c r="AN91" s="73"/>
      <c r="AO91" s="73"/>
      <c r="AP91" s="73"/>
      <c r="AQ91" s="73"/>
      <c r="AR91" s="73"/>
      <c r="AS91" s="73"/>
      <c r="AT91" s="73"/>
      <c r="AU91" s="73"/>
      <c r="AV91" s="318"/>
      <c r="AW91" s="73"/>
      <c r="AX91" s="73"/>
      <c r="AY91" s="277"/>
      <c r="AZ91" s="33"/>
      <c r="BA91" s="46"/>
      <c r="BB91" s="78"/>
      <c r="BC91" s="34"/>
      <c r="BD91" s="28"/>
    </row>
    <row r="92" spans="1:60" ht="5.0999999999999996" customHeight="1">
      <c r="A92" s="22"/>
      <c r="B92" s="202"/>
      <c r="C92" s="476"/>
      <c r="D92" s="72"/>
      <c r="E92" s="72"/>
      <c r="F92" s="72"/>
      <c r="G92" s="72"/>
      <c r="H92" s="297"/>
      <c r="I92" s="278"/>
      <c r="J92" s="279"/>
      <c r="K92" s="278"/>
      <c r="L92" s="279"/>
      <c r="M92" s="298"/>
      <c r="N92" s="298"/>
      <c r="O92" s="263"/>
      <c r="P92" s="298"/>
      <c r="Q92" s="263"/>
      <c r="R92" s="298"/>
      <c r="S92" s="72"/>
      <c r="T92" s="72"/>
      <c r="U92" s="72"/>
      <c r="V92" s="72"/>
      <c r="W92" s="72"/>
      <c r="X92" s="297"/>
      <c r="Y92" s="278"/>
      <c r="Z92" s="279"/>
      <c r="AA92" s="278"/>
      <c r="AB92" s="279"/>
      <c r="AC92" s="298"/>
      <c r="AD92" s="298"/>
      <c r="AE92" s="263"/>
      <c r="AF92" s="298"/>
      <c r="AG92" s="263"/>
      <c r="AH92" s="298"/>
      <c r="AI92" s="280"/>
      <c r="AJ92" s="298"/>
      <c r="AK92" s="263"/>
      <c r="AL92" s="72"/>
      <c r="AM92" s="72"/>
      <c r="AN92" s="72"/>
      <c r="AO92" s="72"/>
      <c r="AP92" s="72"/>
      <c r="AQ92" s="72"/>
      <c r="AR92" s="72"/>
      <c r="AS92" s="72"/>
      <c r="AT92" s="72"/>
      <c r="AU92" s="72"/>
      <c r="AV92" s="300"/>
      <c r="AW92" s="72"/>
      <c r="AX92" s="72"/>
      <c r="AY92" s="264"/>
      <c r="AZ92" s="33"/>
      <c r="BA92" s="46"/>
      <c r="BB92" s="78"/>
      <c r="BC92" s="34"/>
      <c r="BD92" s="28"/>
    </row>
    <row r="93" spans="1:60" ht="14.1" customHeight="1">
      <c r="A93" s="22"/>
      <c r="B93" s="202">
        <v>35</v>
      </c>
      <c r="C93" s="62" t="s">
        <v>244</v>
      </c>
      <c r="D93" s="332"/>
      <c r="E93" s="65"/>
      <c r="F93" s="65"/>
      <c r="G93" s="65"/>
      <c r="H93" s="65"/>
      <c r="I93" s="65"/>
      <c r="J93" s="1067"/>
      <c r="K93" s="1067"/>
      <c r="L93" s="1067"/>
      <c r="M93" s="1067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125"/>
      <c r="AU93" s="65"/>
      <c r="AV93" s="65"/>
      <c r="AW93" s="65"/>
      <c r="AX93" s="65"/>
      <c r="AY93" s="65"/>
      <c r="AZ93" s="33"/>
      <c r="BA93" s="46"/>
      <c r="BB93" s="335"/>
      <c r="BC93" s="336"/>
      <c r="BD93" s="28"/>
      <c r="BG93" s="24"/>
      <c r="BH93" s="28"/>
    </row>
    <row r="94" spans="1:60" ht="5.0999999999999996" customHeight="1">
      <c r="A94" s="22"/>
      <c r="B94" s="202"/>
      <c r="C94" s="296"/>
      <c r="D94" s="72"/>
      <c r="E94" s="72"/>
      <c r="F94" s="72"/>
      <c r="G94" s="72"/>
      <c r="H94" s="297"/>
      <c r="I94" s="278"/>
      <c r="J94" s="279"/>
      <c r="K94" s="278"/>
      <c r="L94" s="279"/>
      <c r="M94" s="298"/>
      <c r="N94" s="298"/>
      <c r="O94" s="263"/>
      <c r="P94" s="298"/>
      <c r="Q94" s="263"/>
      <c r="R94" s="298"/>
      <c r="S94" s="72"/>
      <c r="T94" s="72"/>
      <c r="U94" s="72"/>
      <c r="V94" s="72"/>
      <c r="W94" s="72"/>
      <c r="X94" s="297"/>
      <c r="Y94" s="278"/>
      <c r="Z94" s="279"/>
      <c r="AA94" s="278"/>
      <c r="AB94" s="279"/>
      <c r="AC94" s="298"/>
      <c r="AD94" s="298"/>
      <c r="AE94" s="263"/>
      <c r="AF94" s="298"/>
      <c r="AG94" s="263"/>
      <c r="AH94" s="298"/>
      <c r="AI94" s="280"/>
      <c r="AJ94" s="298"/>
      <c r="AK94" s="263"/>
      <c r="AL94" s="72"/>
      <c r="AM94" s="72"/>
      <c r="AN94" s="72"/>
      <c r="AO94" s="72"/>
      <c r="AP94" s="72"/>
      <c r="AQ94" s="72"/>
      <c r="AR94" s="72"/>
      <c r="AS94" s="72"/>
      <c r="AT94" s="72"/>
      <c r="AU94" s="72"/>
      <c r="AV94" s="300"/>
      <c r="AW94" s="72"/>
      <c r="AX94" s="72"/>
      <c r="AY94" s="265"/>
      <c r="AZ94" s="33"/>
      <c r="BA94" s="46"/>
      <c r="BB94" s="78"/>
      <c r="BC94" s="34"/>
      <c r="BD94" s="28"/>
    </row>
    <row r="95" spans="1:60" ht="14.1" customHeight="1">
      <c r="A95" s="23"/>
      <c r="B95" s="351"/>
      <c r="C95" s="282"/>
      <c r="D95" s="28" t="s">
        <v>241</v>
      </c>
      <c r="E95" s="28"/>
      <c r="F95" s="28"/>
      <c r="G95" s="28"/>
      <c r="H95" s="468" t="s">
        <v>242</v>
      </c>
      <c r="I95" s="257"/>
      <c r="J95" s="258"/>
      <c r="K95" s="258"/>
      <c r="L95" s="258"/>
      <c r="M95" s="259"/>
      <c r="N95" s="258"/>
      <c r="O95" s="110"/>
      <c r="P95" s="261" t="s">
        <v>33</v>
      </c>
      <c r="Q95" s="25"/>
      <c r="R95" s="469" t="s">
        <v>243</v>
      </c>
      <c r="S95" s="470"/>
      <c r="T95" s="471"/>
      <c r="U95" s="471"/>
      <c r="V95" s="483"/>
      <c r="W95" s="484" t="s">
        <v>255</v>
      </c>
      <c r="X95" s="471"/>
      <c r="Y95" s="473"/>
      <c r="Z95" s="474"/>
      <c r="AB95" s="529" t="s">
        <v>292</v>
      </c>
      <c r="AC95" s="530"/>
      <c r="AD95" s="531"/>
      <c r="AE95" s="531"/>
      <c r="AF95" s="531"/>
      <c r="AG95" s="532"/>
      <c r="AH95" s="531"/>
      <c r="AI95" s="533"/>
      <c r="AJ95" s="532"/>
      <c r="AK95" s="61"/>
      <c r="AL95" s="61"/>
      <c r="AM95" s="533"/>
      <c r="AN95" s="533"/>
      <c r="AO95" s="531"/>
      <c r="AP95" s="534"/>
      <c r="AQ95" s="531"/>
      <c r="AR95" s="531"/>
      <c r="AS95" s="531"/>
      <c r="AT95" s="531"/>
      <c r="AU95" s="535"/>
      <c r="AV95" s="533"/>
      <c r="AW95" s="533"/>
      <c r="AX95" s="70"/>
      <c r="AY95" s="347"/>
      <c r="AZ95" s="33"/>
      <c r="BA95" s="46"/>
      <c r="BB95" s="78"/>
      <c r="BC95" s="34"/>
      <c r="BD95" s="28"/>
      <c r="BG95" s="35"/>
    </row>
    <row r="96" spans="1:60" ht="14.1" customHeight="1">
      <c r="A96" s="23"/>
      <c r="B96" s="351"/>
      <c r="C96" s="282"/>
      <c r="D96" s="28"/>
      <c r="E96" s="28"/>
      <c r="F96" s="28"/>
      <c r="G96" s="28"/>
      <c r="H96" s="469" t="s">
        <v>254</v>
      </c>
      <c r="I96" s="470"/>
      <c r="J96" s="471"/>
      <c r="K96" s="471"/>
      <c r="L96" s="471"/>
      <c r="M96" s="472"/>
      <c r="N96" s="471"/>
      <c r="O96" s="473"/>
      <c r="P96" s="472"/>
      <c r="Q96" s="479"/>
      <c r="R96" s="479"/>
      <c r="S96" s="473"/>
      <c r="T96" s="473"/>
      <c r="U96" s="471"/>
      <c r="V96" s="480"/>
      <c r="W96" s="471"/>
      <c r="X96" s="471"/>
      <c r="Y96" s="471"/>
      <c r="Z96" s="471"/>
      <c r="AA96" s="481"/>
      <c r="AB96" s="473"/>
      <c r="AC96" s="473"/>
      <c r="AD96" s="479"/>
      <c r="AE96" s="471"/>
      <c r="AF96" s="471"/>
      <c r="AG96" s="472"/>
      <c r="AH96" s="471"/>
      <c r="AI96" s="473"/>
      <c r="AJ96" s="472"/>
      <c r="AK96" s="479"/>
      <c r="AL96" s="479"/>
      <c r="AM96" s="473"/>
      <c r="AN96" s="473"/>
      <c r="AO96" s="471"/>
      <c r="AP96" s="480"/>
      <c r="AQ96" s="471"/>
      <c r="AR96" s="471"/>
      <c r="AS96" s="471"/>
      <c r="AT96" s="471"/>
      <c r="AU96" s="481"/>
      <c r="AV96" s="473"/>
      <c r="AW96" s="473"/>
      <c r="AX96" s="482"/>
      <c r="AY96" s="347"/>
      <c r="AZ96" s="33"/>
      <c r="BA96" s="46"/>
      <c r="BB96" s="78"/>
      <c r="BC96" s="34"/>
      <c r="BD96" s="28"/>
      <c r="BG96" s="35"/>
    </row>
    <row r="97" spans="1:60" ht="5.0999999999999996" customHeight="1">
      <c r="A97" s="22"/>
      <c r="B97" s="202"/>
      <c r="C97" s="315"/>
      <c r="D97" s="73"/>
      <c r="E97" s="73"/>
      <c r="F97" s="73"/>
      <c r="G97" s="73"/>
      <c r="H97" s="316"/>
      <c r="I97" s="275"/>
      <c r="J97" s="273"/>
      <c r="K97" s="275"/>
      <c r="L97" s="273"/>
      <c r="M97" s="317"/>
      <c r="N97" s="317"/>
      <c r="O97" s="270"/>
      <c r="P97" s="317"/>
      <c r="Q97" s="270"/>
      <c r="R97" s="317"/>
      <c r="S97" s="73"/>
      <c r="T97" s="73"/>
      <c r="U97" s="73"/>
      <c r="V97" s="73"/>
      <c r="W97" s="73"/>
      <c r="X97" s="316"/>
      <c r="Y97" s="275"/>
      <c r="Z97" s="273"/>
      <c r="AA97" s="275"/>
      <c r="AB97" s="273"/>
      <c r="AC97" s="317"/>
      <c r="AD97" s="317"/>
      <c r="AE97" s="270"/>
      <c r="AF97" s="317"/>
      <c r="AG97" s="270"/>
      <c r="AH97" s="317"/>
      <c r="AI97" s="276"/>
      <c r="AJ97" s="317"/>
      <c r="AK97" s="270"/>
      <c r="AL97" s="73"/>
      <c r="AM97" s="73"/>
      <c r="AN97" s="73"/>
      <c r="AO97" s="73"/>
      <c r="AP97" s="73"/>
      <c r="AQ97" s="73"/>
      <c r="AR97" s="73"/>
      <c r="AS97" s="73"/>
      <c r="AT97" s="73"/>
      <c r="AU97" s="73"/>
      <c r="AV97" s="318"/>
      <c r="AW97" s="73"/>
      <c r="AX97" s="73"/>
      <c r="AY97" s="277"/>
      <c r="AZ97" s="33"/>
      <c r="BA97" s="46"/>
      <c r="BB97" s="78"/>
      <c r="BC97" s="34"/>
      <c r="BD97" s="28"/>
    </row>
    <row r="98" spans="1:60" ht="5.0999999999999996" customHeight="1">
      <c r="A98" s="22"/>
      <c r="B98" s="202"/>
      <c r="C98" s="476"/>
      <c r="D98" s="72"/>
      <c r="E98" s="72"/>
      <c r="F98" s="72"/>
      <c r="G98" s="72"/>
      <c r="H98" s="297"/>
      <c r="I98" s="278"/>
      <c r="J98" s="279"/>
      <c r="K98" s="278"/>
      <c r="L98" s="279"/>
      <c r="M98" s="298"/>
      <c r="N98" s="298"/>
      <c r="O98" s="263"/>
      <c r="P98" s="298"/>
      <c r="Q98" s="263"/>
      <c r="R98" s="298"/>
      <c r="S98" s="72"/>
      <c r="T98" s="72"/>
      <c r="U98" s="72"/>
      <c r="V98" s="72"/>
      <c r="W98" s="72"/>
      <c r="X98" s="297"/>
      <c r="Y98" s="278"/>
      <c r="Z98" s="279"/>
      <c r="AA98" s="278"/>
      <c r="AB98" s="279"/>
      <c r="AC98" s="298"/>
      <c r="AD98" s="298"/>
      <c r="AE98" s="263"/>
      <c r="AF98" s="298"/>
      <c r="AG98" s="263"/>
      <c r="AH98" s="298"/>
      <c r="AI98" s="280"/>
      <c r="AJ98" s="298"/>
      <c r="AK98" s="263"/>
      <c r="AL98" s="72"/>
      <c r="AM98" s="72"/>
      <c r="AN98" s="72"/>
      <c r="AO98" s="72"/>
      <c r="AP98" s="72"/>
      <c r="AQ98" s="72"/>
      <c r="AR98" s="72"/>
      <c r="AS98" s="72"/>
      <c r="AT98" s="72"/>
      <c r="AU98" s="72"/>
      <c r="AV98" s="300"/>
      <c r="AW98" s="72"/>
      <c r="AX98" s="72"/>
      <c r="AY98" s="264"/>
      <c r="AZ98" s="33"/>
      <c r="BA98" s="46"/>
      <c r="BB98" s="78"/>
      <c r="BC98" s="34"/>
      <c r="BD98" s="28"/>
    </row>
    <row r="99" spans="1:60" ht="14.1" customHeight="1">
      <c r="A99" s="22"/>
      <c r="B99" s="202">
        <v>35</v>
      </c>
      <c r="C99" s="62" t="s">
        <v>244</v>
      </c>
      <c r="D99" s="332"/>
      <c r="E99" s="65"/>
      <c r="F99" s="65"/>
      <c r="G99" s="65"/>
      <c r="H99" s="65"/>
      <c r="I99" s="65"/>
      <c r="J99" s="477"/>
      <c r="K99" s="477"/>
      <c r="L99" s="477"/>
      <c r="M99" s="477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  <c r="AA99" s="65"/>
      <c r="AB99" s="65"/>
      <c r="AC99" s="65"/>
      <c r="AD99" s="65"/>
      <c r="AE99" s="65"/>
      <c r="AF99" s="65"/>
      <c r="AG99" s="65"/>
      <c r="AH99" s="65"/>
      <c r="AI99" s="65"/>
      <c r="AJ99" s="65"/>
      <c r="AK99" s="65"/>
      <c r="AL99" s="65"/>
      <c r="AM99" s="65"/>
      <c r="AN99" s="65"/>
      <c r="AO99" s="65"/>
      <c r="AP99" s="65"/>
      <c r="AQ99" s="65"/>
      <c r="AR99" s="65"/>
      <c r="AS99" s="65"/>
      <c r="AT99" s="125"/>
      <c r="AU99" s="65"/>
      <c r="AV99" s="65"/>
      <c r="AW99" s="65"/>
      <c r="AX99" s="65"/>
      <c r="AY99" s="65"/>
      <c r="AZ99" s="33"/>
      <c r="BA99" s="46"/>
      <c r="BB99" s="335"/>
      <c r="BC99" s="336"/>
      <c r="BD99" s="28"/>
      <c r="BG99" s="24"/>
      <c r="BH99" s="28"/>
    </row>
    <row r="100" spans="1:60" ht="14.1" customHeight="1">
      <c r="A100" s="22"/>
      <c r="B100" s="202">
        <v>35</v>
      </c>
      <c r="C100" s="331"/>
      <c r="D100" s="332"/>
      <c r="E100" s="65"/>
      <c r="F100" s="65"/>
      <c r="G100" s="65"/>
      <c r="H100" s="65"/>
      <c r="I100" s="65"/>
      <c r="J100" s="477"/>
      <c r="K100" s="477"/>
      <c r="L100" s="477"/>
      <c r="M100" s="477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  <c r="AA100" s="65"/>
      <c r="AB100" s="65"/>
      <c r="AC100" s="65"/>
      <c r="AD100" s="65"/>
      <c r="AE100" s="65"/>
      <c r="AF100" s="65"/>
      <c r="AG100" s="65"/>
      <c r="AH100" s="65"/>
      <c r="AI100" s="65"/>
      <c r="AJ100" s="65"/>
      <c r="AK100" s="65"/>
      <c r="AL100" s="65"/>
      <c r="AM100" s="65"/>
      <c r="AN100" s="65"/>
      <c r="AO100" s="65"/>
      <c r="AP100" s="65"/>
      <c r="AQ100" s="65"/>
      <c r="AR100" s="65"/>
      <c r="AS100" s="65"/>
      <c r="AT100" s="125"/>
      <c r="AU100" s="65"/>
      <c r="AV100" s="65"/>
      <c r="AW100" s="65"/>
      <c r="AX100" s="65"/>
      <c r="AY100" s="65"/>
      <c r="AZ100" s="33"/>
      <c r="BA100" s="46"/>
      <c r="BB100" s="335"/>
      <c r="BC100" s="336"/>
      <c r="BD100" s="28"/>
      <c r="BG100" s="24"/>
      <c r="BH100" s="28"/>
    </row>
    <row r="101" spans="1:60" ht="14.1" customHeight="1">
      <c r="A101" s="22"/>
      <c r="B101" s="202">
        <v>35</v>
      </c>
      <c r="C101" s="346" t="s">
        <v>250</v>
      </c>
      <c r="D101" s="332"/>
      <c r="E101" s="65"/>
      <c r="F101" s="65"/>
      <c r="G101" s="65"/>
      <c r="H101" s="65"/>
      <c r="I101" s="65"/>
      <c r="J101" s="1067"/>
      <c r="K101" s="1067"/>
      <c r="L101" s="1067"/>
      <c r="M101" s="1067"/>
      <c r="N101" s="65"/>
      <c r="O101" s="65"/>
      <c r="P101" s="65"/>
      <c r="Q101" s="65"/>
      <c r="R101" s="65"/>
      <c r="S101" s="65"/>
      <c r="T101" s="65"/>
      <c r="U101" s="65"/>
      <c r="V101" s="65"/>
      <c r="W101" s="65"/>
      <c r="X101" s="65"/>
      <c r="Y101" s="65"/>
      <c r="Z101" s="65"/>
      <c r="AA101" s="65"/>
      <c r="AB101" s="65"/>
      <c r="AC101" s="65"/>
      <c r="AD101" s="65"/>
      <c r="AE101" s="65"/>
      <c r="AF101" s="65"/>
      <c r="AG101" s="65"/>
      <c r="AH101" s="65"/>
      <c r="AI101" s="65"/>
      <c r="AJ101" s="65"/>
      <c r="AK101" s="65"/>
      <c r="AL101" s="65"/>
      <c r="AM101" s="65"/>
      <c r="AN101" s="65"/>
      <c r="AO101" s="65"/>
      <c r="AP101" s="65"/>
      <c r="AQ101" s="65"/>
      <c r="AR101" s="65"/>
      <c r="AS101" s="65"/>
      <c r="AT101" s="125"/>
      <c r="AU101" s="65"/>
      <c r="AV101" s="65"/>
      <c r="AW101" s="65"/>
      <c r="AX101" s="65"/>
      <c r="AY101" s="65"/>
      <c r="AZ101" s="33"/>
      <c r="BA101" s="46"/>
      <c r="BB101" s="335"/>
      <c r="BC101" s="336"/>
      <c r="BD101" s="28"/>
      <c r="BG101" s="24"/>
      <c r="BH101" s="28"/>
    </row>
    <row r="102" spans="1:60" ht="5.0999999999999996" customHeight="1">
      <c r="A102" s="22"/>
      <c r="B102" s="202"/>
      <c r="C102" s="296"/>
      <c r="D102" s="72"/>
      <c r="E102" s="72"/>
      <c r="F102" s="72"/>
      <c r="G102" s="72"/>
      <c r="H102" s="297"/>
      <c r="I102" s="278"/>
      <c r="J102" s="279"/>
      <c r="K102" s="278"/>
      <c r="L102" s="279"/>
      <c r="M102" s="298"/>
      <c r="N102" s="298"/>
      <c r="O102" s="263"/>
      <c r="P102" s="298"/>
      <c r="Q102" s="263"/>
      <c r="R102" s="298"/>
      <c r="S102" s="72"/>
      <c r="T102" s="72"/>
      <c r="U102" s="72"/>
      <c r="V102" s="72"/>
      <c r="W102" s="72"/>
      <c r="X102" s="297"/>
      <c r="Y102" s="278"/>
      <c r="Z102" s="279"/>
      <c r="AA102" s="278"/>
      <c r="AB102" s="279"/>
      <c r="AC102" s="298"/>
      <c r="AD102" s="298"/>
      <c r="AE102" s="263"/>
      <c r="AF102" s="298"/>
      <c r="AG102" s="263"/>
      <c r="AH102" s="298"/>
      <c r="AI102" s="280"/>
      <c r="AJ102" s="298"/>
      <c r="AK102" s="263"/>
      <c r="AL102" s="72"/>
      <c r="AM102" s="72"/>
      <c r="AN102" s="72"/>
      <c r="AO102" s="72"/>
      <c r="AP102" s="72"/>
      <c r="AQ102" s="72"/>
      <c r="AR102" s="72"/>
      <c r="AS102" s="72"/>
      <c r="AT102" s="72"/>
      <c r="AU102" s="72"/>
      <c r="AV102" s="300"/>
      <c r="AW102" s="72"/>
      <c r="AX102" s="72"/>
      <c r="AY102" s="265"/>
      <c r="AZ102" s="33"/>
      <c r="BA102" s="46"/>
      <c r="BB102" s="335"/>
      <c r="BC102" s="336"/>
      <c r="BD102" s="28"/>
    </row>
    <row r="103" spans="1:60" ht="13.5" customHeight="1">
      <c r="A103" s="22"/>
      <c r="B103" s="45"/>
      <c r="C103" s="266"/>
      <c r="D103" s="28" t="s">
        <v>251</v>
      </c>
      <c r="E103" s="28"/>
      <c r="F103" s="28"/>
      <c r="G103" s="28"/>
      <c r="H103" s="24"/>
      <c r="I103" s="24"/>
      <c r="J103" s="24"/>
      <c r="K103" s="24"/>
      <c r="L103" s="24"/>
      <c r="M103" s="127"/>
      <c r="N103" s="75"/>
      <c r="O103" s="84"/>
      <c r="P103" s="84"/>
      <c r="Q103" s="85"/>
      <c r="R103" s="75"/>
      <c r="S103" s="75"/>
      <c r="T103" s="75"/>
      <c r="U103" s="84"/>
      <c r="V103" s="85"/>
      <c r="W103" s="75"/>
      <c r="X103" s="65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  <c r="AI103" s="28"/>
      <c r="AJ103" s="28"/>
      <c r="AK103" s="28"/>
      <c r="AL103" s="28"/>
      <c r="AM103" s="31"/>
      <c r="AN103" s="31"/>
      <c r="AO103" s="31"/>
      <c r="AP103" s="31"/>
      <c r="AQ103" s="31"/>
      <c r="AR103" s="31"/>
      <c r="AS103" s="31"/>
      <c r="AT103" s="31"/>
      <c r="AU103" s="31"/>
      <c r="AV103" s="31"/>
      <c r="AW103" s="31"/>
      <c r="AX103" s="65"/>
      <c r="AY103" s="267"/>
      <c r="AZ103" s="33"/>
      <c r="BA103" s="46"/>
      <c r="BB103" s="335"/>
      <c r="BC103" s="336"/>
      <c r="BD103" s="28"/>
      <c r="BE103" s="35"/>
      <c r="BF103" s="35"/>
      <c r="BG103" s="35"/>
    </row>
    <row r="104" spans="1:60" ht="13.5" customHeight="1">
      <c r="A104" s="22"/>
      <c r="B104" s="45"/>
      <c r="C104" s="266"/>
      <c r="D104" s="28"/>
      <c r="E104" s="28"/>
      <c r="F104" s="28"/>
      <c r="G104" s="28"/>
      <c r="H104" s="348" t="s">
        <v>253</v>
      </c>
      <c r="I104" s="131"/>
      <c r="J104" s="131"/>
      <c r="K104" s="131"/>
      <c r="L104" s="132"/>
      <c r="M104" s="132"/>
      <c r="N104" s="106"/>
      <c r="O104" s="133"/>
      <c r="P104" s="134"/>
      <c r="Q104" s="133" t="s">
        <v>252</v>
      </c>
      <c r="R104" s="134"/>
      <c r="S104" s="107"/>
      <c r="T104" s="107"/>
      <c r="U104" s="107"/>
      <c r="V104" s="107"/>
      <c r="W104" s="107"/>
      <c r="X104" s="107"/>
      <c r="Y104" s="107"/>
      <c r="Z104" s="107"/>
      <c r="AA104" s="107"/>
      <c r="AB104" s="107"/>
      <c r="AC104" s="107"/>
      <c r="AD104" s="107"/>
      <c r="AE104" s="107"/>
      <c r="AF104" s="107"/>
      <c r="AG104" s="107"/>
      <c r="AH104" s="107"/>
      <c r="AI104" s="107"/>
      <c r="AJ104" s="107"/>
      <c r="AK104" s="107"/>
      <c r="AL104" s="133" t="s">
        <v>45</v>
      </c>
      <c r="AM104" s="134"/>
      <c r="AN104" s="107"/>
      <c r="AO104" s="31"/>
      <c r="AP104" s="31"/>
      <c r="AQ104" s="31"/>
      <c r="AR104" s="31"/>
      <c r="AS104" s="31"/>
      <c r="AT104" s="31"/>
      <c r="AU104" s="31"/>
      <c r="AV104" s="31"/>
      <c r="AW104" s="31"/>
      <c r="AX104" s="65"/>
      <c r="AY104" s="267"/>
      <c r="AZ104" s="33"/>
      <c r="BA104" s="46"/>
      <c r="BB104" s="335"/>
      <c r="BC104" s="336"/>
      <c r="BD104" s="28"/>
      <c r="BE104" s="35"/>
      <c r="BF104" s="35"/>
      <c r="BG104" s="35"/>
    </row>
    <row r="105" spans="1:60" ht="13.5" customHeight="1">
      <c r="A105" s="22"/>
      <c r="B105" s="45"/>
      <c r="C105" s="266"/>
      <c r="D105" s="28"/>
      <c r="E105" s="28"/>
      <c r="F105" s="28"/>
      <c r="G105" s="28"/>
      <c r="H105" s="485" t="s">
        <v>256</v>
      </c>
      <c r="I105" s="137"/>
      <c r="J105" s="137"/>
      <c r="K105" s="137"/>
      <c r="L105" s="137"/>
      <c r="M105" s="137"/>
      <c r="N105" s="137"/>
      <c r="O105" s="350"/>
      <c r="P105" s="139"/>
      <c r="Q105" s="486" t="s">
        <v>55</v>
      </c>
      <c r="R105" s="139"/>
      <c r="S105" s="108"/>
      <c r="T105" s="108"/>
      <c r="U105" s="108"/>
      <c r="V105" s="156"/>
      <c r="W105" s="110"/>
      <c r="X105" s="110"/>
      <c r="Y105" s="156"/>
      <c r="Z105" s="156"/>
      <c r="AA105" s="110"/>
      <c r="AB105" s="110"/>
      <c r="AC105" s="37"/>
      <c r="AD105" s="37"/>
      <c r="AE105" s="37"/>
      <c r="AF105" s="37"/>
      <c r="AG105" s="37"/>
      <c r="AH105" s="37"/>
      <c r="AI105" s="37"/>
      <c r="AJ105" s="37"/>
      <c r="AK105" s="97"/>
      <c r="AL105" s="140"/>
      <c r="AM105" s="141"/>
      <c r="AN105" s="142"/>
      <c r="AO105" s="31"/>
      <c r="AP105" s="31"/>
      <c r="AQ105" s="31"/>
      <c r="AR105" s="31"/>
      <c r="AS105" s="31"/>
      <c r="AT105" s="31"/>
      <c r="AU105" s="31"/>
      <c r="AV105" s="31"/>
      <c r="AW105" s="31"/>
      <c r="AX105" s="65"/>
      <c r="AY105" s="267"/>
      <c r="AZ105" s="33"/>
      <c r="BA105" s="46"/>
      <c r="BB105" s="335"/>
      <c r="BC105" s="336"/>
      <c r="BD105" s="28"/>
      <c r="BE105" s="35"/>
      <c r="BF105" s="35"/>
      <c r="BG105" s="35"/>
    </row>
    <row r="106" spans="1:60" ht="13.5" customHeight="1">
      <c r="A106" s="22"/>
      <c r="B106" s="45"/>
      <c r="C106" s="266"/>
      <c r="D106" s="28"/>
      <c r="E106" s="28"/>
      <c r="F106" s="28"/>
      <c r="G106" s="28"/>
      <c r="H106" s="485" t="s">
        <v>257</v>
      </c>
      <c r="I106" s="137"/>
      <c r="J106" s="137"/>
      <c r="K106" s="137"/>
      <c r="L106" s="137"/>
      <c r="M106" s="137"/>
      <c r="N106" s="137"/>
      <c r="O106" s="350"/>
      <c r="P106" s="139"/>
      <c r="Q106" s="486" t="s">
        <v>55</v>
      </c>
      <c r="R106" s="139"/>
      <c r="S106" s="108"/>
      <c r="T106" s="108"/>
      <c r="U106" s="108"/>
      <c r="V106" s="156"/>
      <c r="W106" s="110"/>
      <c r="X106" s="110"/>
      <c r="Y106" s="156"/>
      <c r="Z106" s="156"/>
      <c r="AA106" s="110"/>
      <c r="AB106" s="110"/>
      <c r="AC106" s="37"/>
      <c r="AD106" s="37"/>
      <c r="AE106" s="37"/>
      <c r="AF106" s="37"/>
      <c r="AG106" s="37"/>
      <c r="AH106" s="37"/>
      <c r="AI106" s="37"/>
      <c r="AJ106" s="37"/>
      <c r="AK106" s="97"/>
      <c r="AL106" s="140"/>
      <c r="AM106" s="141"/>
      <c r="AN106" s="142"/>
      <c r="AO106" s="31"/>
      <c r="AP106" s="31"/>
      <c r="AQ106" s="31"/>
      <c r="AR106" s="31"/>
      <c r="AS106" s="31"/>
      <c r="AT106" s="31"/>
      <c r="AU106" s="31"/>
      <c r="AV106" s="31"/>
      <c r="AW106" s="31"/>
      <c r="AX106" s="65"/>
      <c r="AY106" s="267"/>
      <c r="AZ106" s="33"/>
      <c r="BA106" s="46"/>
      <c r="BB106" s="335"/>
      <c r="BC106" s="336"/>
      <c r="BD106" s="28"/>
      <c r="BE106" s="35"/>
      <c r="BF106" s="35"/>
      <c r="BG106" s="35"/>
    </row>
    <row r="107" spans="1:60" ht="13.5" customHeight="1">
      <c r="A107" s="22"/>
      <c r="B107" s="45"/>
      <c r="C107" s="266"/>
      <c r="D107" s="28"/>
      <c r="E107" s="28"/>
      <c r="F107" s="28"/>
      <c r="G107" s="28"/>
      <c r="H107" s="485" t="s">
        <v>258</v>
      </c>
      <c r="I107" s="137"/>
      <c r="J107" s="137"/>
      <c r="K107" s="137"/>
      <c r="L107" s="137"/>
      <c r="M107" s="137"/>
      <c r="N107" s="137"/>
      <c r="O107" s="350"/>
      <c r="P107" s="139"/>
      <c r="Q107" s="486" t="s">
        <v>55</v>
      </c>
      <c r="R107" s="139"/>
      <c r="S107" s="108"/>
      <c r="T107" s="108"/>
      <c r="U107" s="108"/>
      <c r="V107" s="156"/>
      <c r="W107" s="110"/>
      <c r="X107" s="110"/>
      <c r="Y107" s="156"/>
      <c r="Z107" s="156"/>
      <c r="AA107" s="110"/>
      <c r="AB107" s="110"/>
      <c r="AC107" s="37"/>
      <c r="AD107" s="37"/>
      <c r="AE107" s="37"/>
      <c r="AF107" s="37"/>
      <c r="AG107" s="37"/>
      <c r="AH107" s="37"/>
      <c r="AI107" s="37"/>
      <c r="AJ107" s="37"/>
      <c r="AK107" s="97"/>
      <c r="AL107" s="140"/>
      <c r="AM107" s="141"/>
      <c r="AN107" s="142"/>
      <c r="AO107" s="31"/>
      <c r="AP107" s="31"/>
      <c r="AQ107" s="31"/>
      <c r="AR107" s="31"/>
      <c r="AS107" s="31"/>
      <c r="AT107" s="31"/>
      <c r="AU107" s="31"/>
      <c r="AV107" s="31"/>
      <c r="AW107" s="31"/>
      <c r="AX107" s="65"/>
      <c r="AY107" s="267"/>
      <c r="AZ107" s="33"/>
      <c r="BA107" s="46"/>
      <c r="BB107" s="335"/>
      <c r="BC107" s="336"/>
      <c r="BD107" s="28"/>
      <c r="BE107" s="35"/>
      <c r="BF107" s="35"/>
      <c r="BG107" s="35"/>
    </row>
    <row r="108" spans="1:60" ht="5.0999999999999996" customHeight="1">
      <c r="A108" s="22"/>
      <c r="B108" s="202"/>
      <c r="C108" s="315"/>
      <c r="D108" s="73"/>
      <c r="E108" s="73"/>
      <c r="F108" s="73"/>
      <c r="G108" s="73"/>
      <c r="H108" s="316"/>
      <c r="I108" s="275"/>
      <c r="J108" s="273"/>
      <c r="K108" s="275"/>
      <c r="L108" s="273"/>
      <c r="M108" s="317"/>
      <c r="N108" s="317"/>
      <c r="O108" s="270"/>
      <c r="P108" s="317"/>
      <c r="Q108" s="270"/>
      <c r="R108" s="317"/>
      <c r="S108" s="73"/>
      <c r="T108" s="73"/>
      <c r="U108" s="73"/>
      <c r="V108" s="73"/>
      <c r="W108" s="73"/>
      <c r="X108" s="316"/>
      <c r="Y108" s="275"/>
      <c r="Z108" s="273"/>
      <c r="AA108" s="275"/>
      <c r="AB108" s="273"/>
      <c r="AC108" s="317"/>
      <c r="AD108" s="317"/>
      <c r="AE108" s="270"/>
      <c r="AF108" s="317"/>
      <c r="AG108" s="270"/>
      <c r="AH108" s="317"/>
      <c r="AI108" s="276"/>
      <c r="AJ108" s="317"/>
      <c r="AK108" s="270"/>
      <c r="AL108" s="73"/>
      <c r="AM108" s="73"/>
      <c r="AN108" s="73"/>
      <c r="AO108" s="73"/>
      <c r="AP108" s="73"/>
      <c r="AQ108" s="73"/>
      <c r="AR108" s="73"/>
      <c r="AS108" s="73"/>
      <c r="AT108" s="73"/>
      <c r="AU108" s="73"/>
      <c r="AV108" s="318"/>
      <c r="AW108" s="73"/>
      <c r="AX108" s="73"/>
      <c r="AY108" s="277"/>
      <c r="AZ108" s="33"/>
      <c r="BA108" s="46"/>
      <c r="BB108" s="335"/>
      <c r="BC108" s="336"/>
      <c r="BD108" s="28"/>
    </row>
    <row r="109" spans="1:60" ht="14.1" customHeight="1">
      <c r="A109" s="22"/>
      <c r="B109" s="202"/>
      <c r="C109" s="331"/>
      <c r="D109" s="332"/>
      <c r="E109" s="65"/>
      <c r="F109" s="65"/>
      <c r="G109" s="65"/>
      <c r="H109" s="65"/>
      <c r="I109" s="65"/>
      <c r="J109" s="354"/>
      <c r="K109" s="354"/>
      <c r="L109" s="354"/>
      <c r="M109" s="354"/>
      <c r="N109" s="65"/>
      <c r="O109" s="65"/>
      <c r="P109" s="65"/>
      <c r="Q109" s="65"/>
      <c r="R109" s="65"/>
      <c r="S109" s="65"/>
      <c r="T109" s="65"/>
      <c r="U109" s="65"/>
      <c r="V109" s="65"/>
      <c r="W109" s="65"/>
      <c r="X109" s="65"/>
      <c r="Y109" s="65"/>
      <c r="Z109" s="65"/>
      <c r="AA109" s="65"/>
      <c r="AB109" s="65"/>
      <c r="AC109" s="65"/>
      <c r="AD109" s="65"/>
      <c r="AE109" s="65"/>
      <c r="AF109" s="65"/>
      <c r="AG109" s="65"/>
      <c r="AH109" s="65"/>
      <c r="AI109" s="65"/>
      <c r="AJ109" s="65"/>
      <c r="AK109" s="65"/>
      <c r="AL109" s="65"/>
      <c r="AM109" s="65"/>
      <c r="AN109" s="65"/>
      <c r="AO109" s="65"/>
      <c r="AP109" s="65"/>
      <c r="AQ109" s="65"/>
      <c r="AR109" s="65"/>
      <c r="AS109" s="65"/>
      <c r="AT109" s="125"/>
      <c r="AU109" s="65"/>
      <c r="AV109" s="65"/>
      <c r="AW109" s="65"/>
      <c r="AX109" s="65"/>
      <c r="AY109" s="65"/>
      <c r="AZ109" s="33"/>
      <c r="BA109" s="46"/>
      <c r="BB109" s="335"/>
      <c r="BC109" s="336"/>
      <c r="BD109" s="28"/>
      <c r="BG109" s="24"/>
      <c r="BH109" s="28"/>
    </row>
    <row r="110" spans="1:60" ht="13.5" customHeight="1">
      <c r="A110" s="22"/>
      <c r="B110" s="202">
        <v>36</v>
      </c>
      <c r="C110" s="331"/>
      <c r="D110" s="332"/>
      <c r="E110" s="65"/>
      <c r="F110" s="65"/>
      <c r="G110" s="65"/>
      <c r="H110" s="65"/>
      <c r="I110" s="65"/>
      <c r="J110" s="1067"/>
      <c r="K110" s="1067"/>
      <c r="L110" s="1067"/>
      <c r="M110" s="1067"/>
      <c r="N110" s="63"/>
      <c r="O110" s="65"/>
      <c r="P110" s="65"/>
      <c r="Q110" s="65"/>
      <c r="R110" s="28"/>
      <c r="S110" s="28"/>
      <c r="T110" s="31"/>
      <c r="U110" s="31"/>
      <c r="V110" s="31"/>
      <c r="W110" s="31"/>
      <c r="X110" s="31"/>
      <c r="Y110" s="44"/>
      <c r="Z110" s="31"/>
      <c r="AA110" s="28"/>
      <c r="AB110" s="44"/>
      <c r="AC110" s="31"/>
      <c r="AD110" s="28"/>
      <c r="AE110" s="44"/>
      <c r="AF110" s="28"/>
      <c r="AG110" s="116"/>
      <c r="AH110" s="41"/>
      <c r="AI110" s="116"/>
      <c r="AJ110" s="116"/>
      <c r="AK110" s="116"/>
      <c r="AL110" s="116"/>
      <c r="AM110" s="116"/>
      <c r="AN110" s="116"/>
      <c r="AO110" s="116"/>
      <c r="AP110" s="116"/>
      <c r="AQ110" s="116"/>
      <c r="AR110" s="116"/>
      <c r="AS110" s="116"/>
      <c r="AT110" s="116"/>
      <c r="AU110" s="116"/>
      <c r="AV110" s="116"/>
      <c r="AW110" s="116"/>
      <c r="AX110" s="116"/>
      <c r="AY110" s="116"/>
      <c r="AZ110" s="33"/>
      <c r="BA110" s="46"/>
      <c r="BB110" s="335"/>
      <c r="BC110" s="336"/>
      <c r="BD110" s="28"/>
      <c r="BG110" s="24"/>
      <c r="BH110" s="28"/>
    </row>
    <row r="111" spans="1:60" ht="13.5" customHeight="1">
      <c r="A111" s="22"/>
      <c r="B111" s="202">
        <v>37</v>
      </c>
      <c r="C111" s="331"/>
      <c r="D111" s="332"/>
      <c r="E111" s="65"/>
      <c r="F111" s="65"/>
      <c r="G111" s="65"/>
      <c r="H111" s="65"/>
      <c r="I111" s="65"/>
      <c r="J111" s="1067"/>
      <c r="K111" s="1067"/>
      <c r="L111" s="1067"/>
      <c r="M111" s="1067"/>
      <c r="N111" s="193"/>
      <c r="O111" s="195"/>
      <c r="P111" s="193"/>
      <c r="Q111" s="194"/>
      <c r="R111" s="194"/>
      <c r="S111" s="194"/>
      <c r="T111" s="196"/>
      <c r="U111" s="196"/>
      <c r="V111" s="196"/>
      <c r="W111" s="196"/>
      <c r="X111" s="196"/>
      <c r="Y111" s="195"/>
      <c r="Z111" s="196"/>
      <c r="AA111" s="194"/>
      <c r="AB111" s="195"/>
      <c r="AC111" s="196"/>
      <c r="AD111" s="194"/>
      <c r="AE111" s="195"/>
      <c r="AF111" s="194"/>
      <c r="AG111" s="194"/>
      <c r="AH111" s="195"/>
      <c r="AI111" s="194"/>
      <c r="AJ111" s="194"/>
      <c r="AK111" s="197"/>
      <c r="AL111" s="194"/>
      <c r="AM111" s="194"/>
      <c r="AN111" s="194"/>
      <c r="AO111" s="194"/>
      <c r="AP111" s="194"/>
      <c r="AQ111" s="194"/>
      <c r="AR111" s="194"/>
      <c r="AS111" s="194"/>
      <c r="AT111" s="194"/>
      <c r="AU111" s="194"/>
      <c r="AV111" s="194"/>
      <c r="AW111" s="194"/>
      <c r="AX111" s="194"/>
      <c r="AY111" s="194"/>
      <c r="AZ111" s="33"/>
      <c r="BA111" s="46"/>
      <c r="BB111" s="335"/>
      <c r="BC111" s="336"/>
      <c r="BD111" s="28"/>
      <c r="BG111" s="24"/>
      <c r="BH111" s="28"/>
    </row>
    <row r="112" spans="1:60">
      <c r="A112" s="22"/>
      <c r="B112" s="32"/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81"/>
      <c r="T112" s="81"/>
      <c r="U112" s="81"/>
      <c r="V112" s="81"/>
      <c r="W112" s="28"/>
      <c r="X112" s="28"/>
      <c r="Y112" s="81"/>
      <c r="Z112" s="81"/>
      <c r="AA112" s="28"/>
      <c r="AB112" s="28"/>
      <c r="AC112" s="28"/>
      <c r="AD112" s="81"/>
      <c r="AE112" s="81"/>
      <c r="AF112" s="81"/>
      <c r="AG112" s="81"/>
      <c r="AH112" s="81"/>
      <c r="AI112" s="81"/>
      <c r="AJ112" s="81"/>
      <c r="AK112" s="81"/>
      <c r="AL112" s="81"/>
      <c r="AM112" s="81"/>
      <c r="AN112" s="81"/>
      <c r="AO112" s="81"/>
      <c r="AP112" s="81"/>
      <c r="AQ112" s="81"/>
      <c r="AR112" s="81"/>
      <c r="AS112" s="81"/>
      <c r="AT112" s="81"/>
      <c r="AU112" s="81"/>
      <c r="AV112" s="81"/>
      <c r="AW112" s="81"/>
      <c r="AX112" s="81"/>
      <c r="AY112" s="31"/>
      <c r="AZ112" s="33"/>
      <c r="BA112" s="46"/>
      <c r="BB112" s="335"/>
      <c r="BC112" s="336"/>
    </row>
    <row r="113" spans="1:55">
      <c r="A113" s="155"/>
      <c r="B113" s="95"/>
      <c r="C113" s="110"/>
      <c r="D113" s="110"/>
      <c r="E113" s="110"/>
      <c r="F113" s="110"/>
      <c r="G113" s="110"/>
      <c r="H113" s="110"/>
      <c r="I113" s="110"/>
      <c r="J113" s="110"/>
      <c r="K113" s="110"/>
      <c r="L113" s="110"/>
      <c r="M113" s="110"/>
      <c r="N113" s="110"/>
      <c r="O113" s="110"/>
      <c r="P113" s="110"/>
      <c r="Q113" s="110"/>
      <c r="R113" s="110"/>
      <c r="S113" s="156"/>
      <c r="T113" s="156"/>
      <c r="U113" s="156"/>
      <c r="V113" s="156"/>
      <c r="W113" s="110"/>
      <c r="X113" s="110"/>
      <c r="Y113" s="156"/>
      <c r="Z113" s="156"/>
      <c r="AA113" s="110"/>
      <c r="AB113" s="110"/>
      <c r="AC113" s="110"/>
      <c r="AD113" s="156"/>
      <c r="AE113" s="156"/>
      <c r="AF113" s="156"/>
      <c r="AG113" s="156"/>
      <c r="AH113" s="156"/>
      <c r="AI113" s="156"/>
      <c r="AJ113" s="156"/>
      <c r="AK113" s="156"/>
      <c r="AL113" s="156"/>
      <c r="AM113" s="156"/>
      <c r="AN113" s="156"/>
      <c r="AO113" s="156"/>
      <c r="AP113" s="156"/>
      <c r="AQ113" s="156"/>
      <c r="AR113" s="156"/>
      <c r="AS113" s="156"/>
      <c r="AT113" s="156"/>
      <c r="AU113" s="156"/>
      <c r="AV113" s="156"/>
      <c r="AW113" s="156"/>
      <c r="AX113" s="156"/>
      <c r="AY113" s="95"/>
      <c r="AZ113" s="95"/>
      <c r="BA113" s="157"/>
      <c r="BB113" s="355"/>
      <c r="BC113" s="356"/>
    </row>
  </sheetData>
  <mergeCells count="107"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5:BA5"/>
    <mergeCell ref="BB5:BC5"/>
    <mergeCell ref="R51:U51"/>
    <mergeCell ref="Z51:AD51"/>
    <mergeCell ref="AI51:AL51"/>
    <mergeCell ref="AM51:AP51"/>
    <mergeCell ref="AQ51:AT51"/>
    <mergeCell ref="AU51:AX51"/>
    <mergeCell ref="AY51:BB51"/>
    <mergeCell ref="H42:L42"/>
    <mergeCell ref="H43:L43"/>
    <mergeCell ref="BC51:BF51"/>
    <mergeCell ref="BG51:BI51"/>
    <mergeCell ref="R52:U52"/>
    <mergeCell ref="Z52:AD52"/>
    <mergeCell ref="AI52:AL52"/>
    <mergeCell ref="AM52:AP52"/>
    <mergeCell ref="AQ52:AT52"/>
    <mergeCell ref="AU52:AX52"/>
    <mergeCell ref="AY52:BB52"/>
    <mergeCell ref="BC52:BF52"/>
    <mergeCell ref="BQ64:BT64"/>
    <mergeCell ref="BU64:BX64"/>
    <mergeCell ref="BY64:CA64"/>
    <mergeCell ref="AW64:AZ64"/>
    <mergeCell ref="BA64:BD64"/>
    <mergeCell ref="BE64:BH64"/>
    <mergeCell ref="BI64:BL64"/>
    <mergeCell ref="BM64:BP64"/>
    <mergeCell ref="BG52:BI52"/>
    <mergeCell ref="BM58:BP58"/>
    <mergeCell ref="AS64:AV64"/>
    <mergeCell ref="AS72:AV72"/>
    <mergeCell ref="AW72:AZ72"/>
    <mergeCell ref="BA72:BD72"/>
    <mergeCell ref="X68:AA68"/>
    <mergeCell ref="AB68:AE68"/>
    <mergeCell ref="BA68:BD68"/>
    <mergeCell ref="X64:AA64"/>
    <mergeCell ref="AB64:AE64"/>
    <mergeCell ref="AF64:AJ64"/>
    <mergeCell ref="AK64:AN64"/>
    <mergeCell ref="AO64:AR64"/>
    <mergeCell ref="X67:AA67"/>
    <mergeCell ref="AB67:AE67"/>
    <mergeCell ref="AF67:AJ67"/>
    <mergeCell ref="AK67:AN67"/>
    <mergeCell ref="AO67:AR67"/>
    <mergeCell ref="AS67:AV67"/>
    <mergeCell ref="AW67:AZ67"/>
    <mergeCell ref="BA67:BD67"/>
    <mergeCell ref="X71:AA71"/>
    <mergeCell ref="AB71:AE71"/>
    <mergeCell ref="J110:M110"/>
    <mergeCell ref="J111:M111"/>
    <mergeCell ref="J77:M77"/>
    <mergeCell ref="J84:M84"/>
    <mergeCell ref="BE72:BH72"/>
    <mergeCell ref="BD73:BF73"/>
    <mergeCell ref="J85:M85"/>
    <mergeCell ref="J87:M87"/>
    <mergeCell ref="J93:M93"/>
    <mergeCell ref="J101:M101"/>
    <mergeCell ref="X72:AA72"/>
    <mergeCell ref="AB72:AE72"/>
    <mergeCell ref="AF72:AJ72"/>
    <mergeCell ref="AK72:AN72"/>
    <mergeCell ref="AO72:AR72"/>
    <mergeCell ref="BE67:BH67"/>
    <mergeCell ref="BE68:BH68"/>
    <mergeCell ref="AF68:AJ68"/>
    <mergeCell ref="AK68:AN68"/>
    <mergeCell ref="AO68:AR68"/>
    <mergeCell ref="AS68:AV68"/>
    <mergeCell ref="AW68:AZ68"/>
    <mergeCell ref="AS71:AV71"/>
    <mergeCell ref="AW71:AZ71"/>
    <mergeCell ref="BA71:BD71"/>
    <mergeCell ref="BE71:BH71"/>
    <mergeCell ref="AF71:AJ71"/>
    <mergeCell ref="AK71:AN71"/>
    <mergeCell ref="AO71:AR71"/>
  </mergeCells>
  <phoneticPr fontId="54"/>
  <conditionalFormatting sqref="AK67:AV68">
    <cfRule type="cellIs" dxfId="5" priority="3" operator="lessThan">
      <formula>0</formula>
    </cfRule>
  </conditionalFormatting>
  <conditionalFormatting sqref="AK71:AV72">
    <cfRule type="cellIs" dxfId="4" priority="2" operator="lessThan">
      <formula>0</formula>
    </cfRule>
  </conditionalFormatting>
  <conditionalFormatting sqref="BA64:BD64">
    <cfRule type="cellIs" dxfId="3" priority="15" operator="lessThan">
      <formula>0</formula>
    </cfRule>
  </conditionalFormatting>
  <conditionalFormatting sqref="BE67:BH68">
    <cfRule type="cellIs" dxfId="2" priority="4" operator="lessThan">
      <formula>0.3</formula>
    </cfRule>
  </conditionalFormatting>
  <conditionalFormatting sqref="BE71:BH72">
    <cfRule type="cellIs" dxfId="1" priority="1" operator="lessThan">
      <formula>0.3</formula>
    </cfRule>
  </conditionalFormatting>
  <conditionalFormatting sqref="BM64:BP64">
    <cfRule type="cellIs" dxfId="0" priority="10" operator="lessThan">
      <formula>0.3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16</vt:i4>
      </vt:variant>
      <vt:variant>
        <vt:lpstr>名前付き一覧</vt:lpstr>
      </vt:variant>
      <vt:variant>
        <vt:i4>15</vt:i4>
      </vt:variant>
    </vt:vector>
  </HeadingPairs>
  <TitlesOfParts>
    <vt:vector size="31" baseType="lpstr">
      <vt:lpstr>表紙</vt:lpstr>
      <vt:lpstr>変更来歴</vt:lpstr>
      <vt:lpstr>化学物質データ画面（日本語表記）</vt:lpstr>
      <vt:lpstr>化学物質データ画面(日英併記・2カラム)</vt:lpstr>
      <vt:lpstr>化学物質データ画面(日英併記)</vt:lpstr>
      <vt:lpstr>化学物質データ画面(日英切替)</vt:lpstr>
      <vt:lpstr>画面項目</vt:lpstr>
      <vt:lpstr>画面状態</vt:lpstr>
      <vt:lpstr>化学物質データ画面 (2)</vt:lpstr>
      <vt:lpstr>選択画面</vt:lpstr>
      <vt:lpstr>円(PPM)</vt:lpstr>
      <vt:lpstr>円(技術原計)</vt:lpstr>
      <vt:lpstr>円(コリア原計)</vt:lpstr>
      <vt:lpstr>外貨(PPM)</vt:lpstr>
      <vt:lpstr>外貨(技術原計)</vt:lpstr>
      <vt:lpstr>外貨(コリア原計)</vt:lpstr>
      <vt:lpstr>'円(PPM)'!Print_Area</vt:lpstr>
      <vt:lpstr>'円(コリア原計)'!Print_Area</vt:lpstr>
      <vt:lpstr>'円(技術原計)'!Print_Area</vt:lpstr>
      <vt:lpstr>'化学物質データ画面 (2)'!Print_Area</vt:lpstr>
      <vt:lpstr>'化学物質データ画面(日英切替)'!Print_Area</vt:lpstr>
      <vt:lpstr>'化学物質データ画面(日英併記)'!Print_Area</vt:lpstr>
      <vt:lpstr>'化学物質データ画面(日英併記・2カラム)'!Print_Area</vt:lpstr>
      <vt:lpstr>'化学物質データ画面（日本語表記）'!Print_Area</vt:lpstr>
      <vt:lpstr>画面項目!Print_Area</vt:lpstr>
      <vt:lpstr>画面状態!Print_Area</vt:lpstr>
      <vt:lpstr>'外貨(PPM)'!Print_Area</vt:lpstr>
      <vt:lpstr>'外貨(コリア原計)'!Print_Area</vt:lpstr>
      <vt:lpstr>'外貨(技術原計)'!Print_Area</vt:lpstr>
      <vt:lpstr>選択画面!Print_Area</vt:lpstr>
      <vt:lpstr>表紙!Print_Area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kenmotsu</dc:creator>
  <cp:lastModifiedBy>榎本亮二</cp:lastModifiedBy>
  <cp:lastPrinted>2021-03-22T08:18:14Z</cp:lastPrinted>
  <dcterms:created xsi:type="dcterms:W3CDTF">2016-02-08T08:47:20Z</dcterms:created>
  <dcterms:modified xsi:type="dcterms:W3CDTF">2026-05-08T02:51:17Z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a0e77a3f-1e47-464d-ae6f-7268240382e6</vt:lpwstr>
  </property>
</Properties>
</file>