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omments1.xml" ContentType="application/vnd.openxmlformats-officedocument.spreadsheetml.comments+xml"/>
  <Override PartName="/xl/drawings/drawing4.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929"/>
  <workbookPr codeName="ThisWorkbook"/>
  <mc:AlternateContent xmlns:mc="http://schemas.openxmlformats.org/markup-compatibility/2006">
    <mc:Choice Requires="x15">
      <x15ac:absPath xmlns:x15ac="http://schemas.microsoft.com/office/spreadsheetml/2010/11/ac" url="C:\Users\AMA1040\Documents\古竹作成\基本設計書\"/>
    </mc:Choice>
  </mc:AlternateContent>
  <xr:revisionPtr revIDLastSave="0" documentId="13_ncr:1_{5196C78C-C868-4E7D-B481-D3C090A3F22F}" xr6:coauthVersionLast="47" xr6:coauthVersionMax="47" xr10:uidLastSave="{00000000-0000-0000-0000-000000000000}"/>
  <bookViews>
    <workbookView xWindow="28680" yWindow="-120" windowWidth="29040" windowHeight="15720" tabRatio="859" xr2:uid="{00000000-000D-0000-FFFF-FFFF00000000}"/>
  </bookViews>
  <sheets>
    <sheet name="表紙" sheetId="2" r:id="rId1"/>
    <sheet name="変更来歴" sheetId="3" r:id="rId2"/>
    <sheet name="化学物質データ画面(日英併記)" sheetId="73" r:id="rId3"/>
    <sheet name="画面項目" sheetId="69" r:id="rId4"/>
    <sheet name="処理詳細" sheetId="74" r:id="rId5"/>
  </sheets>
  <definedNames>
    <definedName name="_2a1_" hidden="1">{"'Sheet1'!$A$3:$I$11"}</definedName>
    <definedName name="_a1" hidden="1">{"'Sheet1'!$A$3:$I$11"}</definedName>
    <definedName name="_Order1" hidden="1">255</definedName>
    <definedName name="a" hidden="1">{"'Sheet1'!$A$3:$I$11"}</definedName>
    <definedName name="AAA" hidden="1">{"'Sheet1'!$A$3:$I$11"}</definedName>
    <definedName name="aaaa" hidden="1">{"'Sheet1'!$A$3:$I$11"}</definedName>
    <definedName name="b" hidden="1">{"'Sheet1'!$A$3:$I$11"}</definedName>
    <definedName name="bb" hidden="1">{"'Sheet1'!$A$3:$I$11"}</definedName>
    <definedName name="bbb" hidden="1">{"'Sheet1'!$A$3:$I$11"}</definedName>
    <definedName name="bbbb" hidden="1">{"'Sheet1'!$A$3:$I$11"}</definedName>
    <definedName name="f" hidden="1">{"'Sheet1'!$A$3:$I$11"}</definedName>
    <definedName name="ff" hidden="1">{"'Sheet1'!$A$3:$I$11"}</definedName>
    <definedName name="HTML_CodePage" hidden="1">932</definedName>
    <definedName name="HTML_Control" hidden="1">{"'Sheet1'!$A$3:$I$11"}</definedName>
    <definedName name="HTML_Control2" hidden="1">{"'Sheet1'!$A$3:$I$11"}</definedName>
    <definedName name="HTML_Description" hidden="1">""</definedName>
    <definedName name="HTML_Email" hidden="1">""</definedName>
    <definedName name="HTML_Header" hidden="1">"Sheet1"</definedName>
    <definedName name="HTML_LastUpdate" hidden="1">"99/10/16"</definedName>
    <definedName name="HTML_LineAfter" hidden="1">FALSE</definedName>
    <definedName name="HTML_LineBefore" hidden="1">FALSE</definedName>
    <definedName name="HTML_Name" hidden="1">"清水秀樹"</definedName>
    <definedName name="HTML_OBDlg2" hidden="1">TRUE</definedName>
    <definedName name="HTML_OBDlg4" hidden="1">TRUE</definedName>
    <definedName name="HTML_OS" hidden="1">0</definedName>
    <definedName name="HTML_PathFile" hidden="1">"C:\My Documents\"</definedName>
    <definedName name="HTML_Title" hidden="1">"機能関連図"</definedName>
    <definedName name="i" hidden="1">{"'Sheet1'!$A$3:$I$11"}</definedName>
    <definedName name="IBD00110チェック仕様" hidden="1">{"'Sheet1'!$A$3:$I$11"}</definedName>
    <definedName name="IBE09000チェック仕様" hidden="1">{"'Sheet1'!$A$3:$I$11"}</definedName>
    <definedName name="ooo" hidden="1">{"'Sheet1'!$A$3:$I$11"}</definedName>
    <definedName name="_xlnm.Print_Area" localSheetId="2">'化学物質データ画面(日英併記)'!$A$1:$BC$54</definedName>
    <definedName name="_xlnm.Print_Area" localSheetId="3">画面項目!$A$1:$CU$39</definedName>
    <definedName name="_xlnm.Print_Area" localSheetId="4">処理詳細!$A$1:$CH$48</definedName>
    <definedName name="_xlnm.Print_Area" localSheetId="0">表紙!$A$1:$I$36</definedName>
    <definedName name="s" hidden="1">{"'Sheet1'!$A$3:$I$11"}</definedName>
    <definedName name="txtDatabaseName">"テキスト 8"</definedName>
    <definedName name="txtTableName">"テキスト 2"</definedName>
    <definedName name="txtUserName">"テキスト 4"</definedName>
    <definedName name="vvvv" hidden="1">{"'Sheet1'!$A$3:$I$11"}</definedName>
    <definedName name="wew" hidden="1">{"'Sheet1'!$A$3:$I$11"}</definedName>
    <definedName name="ああ" hidden="1">{"'Sheet1'!$A$3:$I$11"}</definedName>
    <definedName name="ささ" hidden="1">{"'Sheet1'!$A$3:$I$11"}</definedName>
    <definedName name="仮単価発注" hidden="1">{"'Sheet1'!$A$3:$I$11"}</definedName>
    <definedName name="荷札イレギュラー" hidden="1">{"'Sheet1'!$A$3:$I$11"}</definedName>
    <definedName name="画面遷移new" localSheetId="3" hidden="1">{"'画面仕様'!$C$22:$BY$40","'画面仕様'!$C$28:$BY$39"}</definedName>
    <definedName name="画面遷移new" localSheetId="4" hidden="1">{"'画面仕様'!$C$22:$BY$40","'画面仕様'!$C$28:$BY$39"}</definedName>
    <definedName name="画面遷移new" hidden="1">{"'画面仕様'!$C$22:$BY$40","'画面仕様'!$C$28:$BY$39"}</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5" i="73" l="1"/>
  <c r="AA3" i="73"/>
  <c r="M3" i="73"/>
  <c r="A3" i="73"/>
  <c r="AZ2" i="73"/>
  <c r="M2" i="73"/>
  <c r="AV1" i="73"/>
  <c r="AN1" i="73"/>
  <c r="AA1" i="73"/>
  <c r="M1" i="73"/>
  <c r="AV2" i="73"/>
  <c r="AN2" i="73"/>
  <c r="AV3" i="73"/>
  <c r="AT1" i="3" l="1"/>
  <c r="AT3" i="3"/>
  <c r="B22" i="2"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作成者</author>
  </authors>
  <commentList>
    <comment ref="Q3" authorId="0" shapeId="0" xr:uid="{7F851CB6-8C45-41EC-B987-150022F2AA3B}">
      <text>
        <r>
          <rPr>
            <sz val="9"/>
            <color indexed="81"/>
            <rFont val="ＭＳ Ｐゴシック"/>
            <family val="3"/>
            <charset val="128"/>
          </rPr>
          <t>Oに関しては必ず記載すること。
空の場合でも「-」を記入する</t>
        </r>
      </text>
    </comment>
    <comment ref="AB3" authorId="0" shapeId="0" xr:uid="{8662274A-A404-456B-BE41-58794F54A5F6}">
      <text>
        <r>
          <rPr>
            <sz val="9"/>
            <color indexed="81"/>
            <rFont val="ＭＳ Ｐゴシック"/>
            <family val="3"/>
            <charset val="128"/>
          </rPr>
          <t>Oに関しては必ず記載すること。
空の場合でも「-」を記入する</t>
        </r>
      </text>
    </comment>
    <comment ref="C4" authorId="0" shapeId="0" xr:uid="{8E2E2B2F-35D0-4FDF-AE06-770A779BB48E}">
      <text>
        <r>
          <rPr>
            <sz val="9"/>
            <color indexed="81"/>
            <rFont val="ＭＳ Ｐゴシック"/>
            <family val="3"/>
            <charset val="128"/>
          </rPr>
          <t>画面上をエリア分割した単位で記載する。
項番の一桁目として定義する。</t>
        </r>
      </text>
    </comment>
    <comment ref="J4" authorId="0" shapeId="0" xr:uid="{FE3EEF43-1DDD-4BAC-BB6B-272166EFC57F}">
      <text>
        <r>
          <rPr>
            <sz val="9"/>
            <color indexed="81"/>
            <rFont val="ＭＳ Ｐゴシック"/>
            <family val="3"/>
            <charset val="128"/>
          </rPr>
          <t>項目に対する名称
Labelの項目名が表示名称とする
Hiddenパラメタは追記しない</t>
        </r>
      </text>
    </comment>
    <comment ref="C32" authorId="0" shapeId="0" xr:uid="{C4528E3C-3854-4A91-9EF3-3C7EAF640F14}">
      <text>
        <r>
          <rPr>
            <sz val="9"/>
            <color indexed="8"/>
            <rFont val="ＭＳ Ｐゴシック"/>
            <family val="3"/>
            <charset val="128"/>
          </rPr>
          <t>クライアントまたはサーバ処理の処理名を記入します。
サーバ処理の場合は処理ID同様、画面遷移図との整合性を確保する必要があります。</t>
        </r>
      </text>
    </comment>
    <comment ref="X32" authorId="0" shapeId="0" xr:uid="{1F41EEAA-B3FC-49C2-A602-34BBAA9335E4}">
      <text>
        <r>
          <rPr>
            <sz val="9"/>
            <color indexed="81"/>
            <rFont val="ＭＳ Ｐゴシック"/>
            <family val="3"/>
            <charset val="128"/>
          </rPr>
          <t>Java Scriptの関数を記載する</t>
        </r>
      </text>
    </comment>
  </commentList>
</comments>
</file>

<file path=xl/sharedStrings.xml><?xml version="1.0" encoding="utf-8"?>
<sst xmlns="http://schemas.openxmlformats.org/spreadsheetml/2006/main" count="400" uniqueCount="312">
  <si>
    <t>HRS殿</t>
    <rPh sb="3" eb="4">
      <t>ドノ</t>
    </rPh>
    <phoneticPr fontId="12"/>
  </si>
  <si>
    <t>作成</t>
    <rPh sb="0" eb="2">
      <t>サクセイ</t>
    </rPh>
    <phoneticPr fontId="12"/>
  </si>
  <si>
    <t>照査</t>
    <rPh sb="0" eb="2">
      <t>ショウサ</t>
    </rPh>
    <phoneticPr fontId="12"/>
  </si>
  <si>
    <t>承認</t>
    <rPh sb="0" eb="2">
      <t>ショウニン</t>
    </rPh>
    <phoneticPr fontId="12"/>
  </si>
  <si>
    <t>文書名：</t>
    <rPh sb="0" eb="2">
      <t>ブンショ</t>
    </rPh>
    <rPh sb="2" eb="3">
      <t>メイ</t>
    </rPh>
    <phoneticPr fontId="12"/>
  </si>
  <si>
    <t>顧客名</t>
    <rPh sb="0" eb="2">
      <t>コキャク</t>
    </rPh>
    <rPh sb="2" eb="3">
      <t>メイ</t>
    </rPh>
    <phoneticPr fontId="12"/>
  </si>
  <si>
    <t>ヒロセ電機株式会社</t>
    <rPh sb="3" eb="5">
      <t>デンキ</t>
    </rPh>
    <rPh sb="5" eb="7">
      <t>カブシキ</t>
    </rPh>
    <rPh sb="7" eb="9">
      <t>カイシャ</t>
    </rPh>
    <phoneticPr fontId="12"/>
  </si>
  <si>
    <t>システム</t>
    <phoneticPr fontId="12"/>
  </si>
  <si>
    <t>作成者</t>
    <rPh sb="0" eb="2">
      <t>サクセイ</t>
    </rPh>
    <rPh sb="2" eb="3">
      <t>シャ</t>
    </rPh>
    <phoneticPr fontId="12"/>
  </si>
  <si>
    <t>作成日</t>
    <rPh sb="0" eb="3">
      <t>サクセイビ</t>
    </rPh>
    <phoneticPr fontId="12"/>
  </si>
  <si>
    <t>書類番号</t>
    <rPh sb="0" eb="2">
      <t>ショルイ</t>
    </rPh>
    <rPh sb="2" eb="4">
      <t>バンゴウ</t>
    </rPh>
    <phoneticPr fontId="12"/>
  </si>
  <si>
    <t>プロジェクト</t>
    <phoneticPr fontId="12"/>
  </si>
  <si>
    <t>修正者</t>
    <rPh sb="0" eb="2">
      <t>シュウセイ</t>
    </rPh>
    <rPh sb="2" eb="3">
      <t>シャ</t>
    </rPh>
    <phoneticPr fontId="12"/>
  </si>
  <si>
    <t>修正日</t>
    <rPh sb="0" eb="2">
      <t>シュウセイ</t>
    </rPh>
    <rPh sb="2" eb="3">
      <t>ビ</t>
    </rPh>
    <phoneticPr fontId="12"/>
  </si>
  <si>
    <t>内容</t>
    <rPh sb="0" eb="2">
      <t>ナイヨウ</t>
    </rPh>
    <phoneticPr fontId="12"/>
  </si>
  <si>
    <t>Rev</t>
    <phoneticPr fontId="12"/>
  </si>
  <si>
    <t>intra-mart Accel Platform</t>
    <phoneticPr fontId="12"/>
  </si>
  <si>
    <t>変更内容</t>
    <rPh sb="0" eb="2">
      <t>ヘンコウ</t>
    </rPh>
    <rPh sb="2" eb="4">
      <t>ナイヨウ</t>
    </rPh>
    <phoneticPr fontId="11"/>
  </si>
  <si>
    <t>変更・追加箇所</t>
    <rPh sb="0" eb="2">
      <t>ヘンコウ</t>
    </rPh>
    <rPh sb="3" eb="5">
      <t>ツイカ</t>
    </rPh>
    <rPh sb="5" eb="7">
      <t>カショ</t>
    </rPh>
    <phoneticPr fontId="11"/>
  </si>
  <si>
    <t>提出日</t>
    <rPh sb="0" eb="2">
      <t>テイシュツ</t>
    </rPh>
    <rPh sb="2" eb="3">
      <t>ビ</t>
    </rPh>
    <phoneticPr fontId="11"/>
  </si>
  <si>
    <t>作成者</t>
    <rPh sb="0" eb="3">
      <t>サクセイシャ</t>
    </rPh>
    <phoneticPr fontId="11"/>
  </si>
  <si>
    <t>承認者</t>
    <rPh sb="0" eb="2">
      <t>ショウニン</t>
    </rPh>
    <rPh sb="2" eb="3">
      <t>シャ</t>
    </rPh>
    <phoneticPr fontId="11"/>
  </si>
  <si>
    <t>備考</t>
    <rPh sb="0" eb="2">
      <t>ビコウ</t>
    </rPh>
    <phoneticPr fontId="11"/>
  </si>
  <si>
    <t>新規作成</t>
    <rPh sb="0" eb="2">
      <t>シンキ</t>
    </rPh>
    <rPh sb="2" eb="4">
      <t>サクセイ</t>
    </rPh>
    <phoneticPr fontId="49"/>
  </si>
  <si>
    <t>Rev.</t>
    <phoneticPr fontId="11"/>
  </si>
  <si>
    <t>変更来歴</t>
    <phoneticPr fontId="49"/>
  </si>
  <si>
    <t>画面設計書</t>
    <rPh sb="0" eb="2">
      <t>ガメン</t>
    </rPh>
    <rPh sb="2" eb="5">
      <t>セッケイショ</t>
    </rPh>
    <phoneticPr fontId="12"/>
  </si>
  <si>
    <t>画面名</t>
    <rPh sb="0" eb="2">
      <t>ガメン</t>
    </rPh>
    <rPh sb="2" eb="3">
      <t>メイ</t>
    </rPh>
    <phoneticPr fontId="49"/>
  </si>
  <si>
    <t>アメージングアクティビティ(株)</t>
    <rPh sb="13" eb="16">
      <t>カブシキガイシャ</t>
    </rPh>
    <phoneticPr fontId="12"/>
  </si>
  <si>
    <t>　</t>
    <phoneticPr fontId="49"/>
  </si>
  <si>
    <t>IMWF-53</t>
    <phoneticPr fontId="49"/>
  </si>
  <si>
    <t>ｒ1.0</t>
    <phoneticPr fontId="49"/>
  </si>
  <si>
    <t>古竹</t>
    <rPh sb="0" eb="2">
      <t>フルタケ</t>
    </rPh>
    <phoneticPr fontId="49"/>
  </si>
  <si>
    <t>・</t>
    <phoneticPr fontId="53"/>
  </si>
  <si>
    <t>2025/11/10</t>
    <phoneticPr fontId="53"/>
  </si>
  <si>
    <t>2024/6/10</t>
    <phoneticPr fontId="53"/>
  </si>
  <si>
    <t>2025-15746</t>
    <phoneticPr fontId="53"/>
  </si>
  <si>
    <t>2025-15742</t>
    <phoneticPr fontId="53"/>
  </si>
  <si>
    <t>2025-08887</t>
    <phoneticPr fontId="53"/>
  </si>
  <si>
    <t xml:space="preserve"> </t>
    <phoneticPr fontId="53"/>
  </si>
  <si>
    <t>化学物質データ</t>
    <rPh sb="0" eb="2">
      <t>カガクブッシツ</t>
    </rPh>
    <phoneticPr fontId="53"/>
  </si>
  <si>
    <r>
      <rPr>
        <sz val="10"/>
        <color rgb="FFFF9900"/>
        <rFont val="Meiryo UI"/>
        <family val="3"/>
        <charset val="128"/>
      </rPr>
      <t>ホーム</t>
    </r>
    <r>
      <rPr>
        <sz val="10"/>
        <rFont val="Meiryo UI"/>
        <family val="3"/>
        <charset val="128"/>
      </rPr>
      <t xml:space="preserve"> / 化学物質データ</t>
    </r>
    <rPh sb="5" eb="9">
      <t>カガクブッシツ</t>
    </rPh>
    <phoneticPr fontId="53"/>
  </si>
  <si>
    <t>YYYYMMDD</t>
  </si>
  <si>
    <t>YYYYMMDD</t>
    <phoneticPr fontId="53"/>
  </si>
  <si>
    <t>-</t>
    <phoneticPr fontId="53"/>
  </si>
  <si>
    <t>xx.xx(MB)</t>
    <phoneticPr fontId="53"/>
  </si>
  <si>
    <t>機能仕様</t>
    <rPh sb="0" eb="4">
      <t>キノウシヨウ</t>
    </rPh>
    <phoneticPr fontId="53"/>
  </si>
  <si>
    <t>1. パンくずリストエリア</t>
    <phoneticPr fontId="11"/>
  </si>
  <si>
    <t>1.1　パンくずリスト</t>
    <phoneticPr fontId="11"/>
  </si>
  <si>
    <t>以下のようにパンくずリストを表示する。</t>
    <rPh sb="0" eb="2">
      <t>イカ</t>
    </rPh>
    <rPh sb="14" eb="16">
      <t>ヒョウジ</t>
    </rPh>
    <phoneticPr fontId="11"/>
  </si>
  <si>
    <t>『製品トップ &gt; 化学物質データ』</t>
    <rPh sb="1" eb="3">
      <t>セイヒン</t>
    </rPh>
    <rPh sb="9" eb="11">
      <t>カガク</t>
    </rPh>
    <rPh sb="11" eb="13">
      <t>ブッシツ</t>
    </rPh>
    <phoneticPr fontId="11"/>
  </si>
  <si>
    <t>2. お知らせエリア</t>
    <rPh sb="4" eb="5">
      <t>シ</t>
    </rPh>
    <phoneticPr fontId="11"/>
  </si>
  <si>
    <t>2.1　新着情報</t>
    <rPh sb="4" eb="8">
      <t>シンチャクジョウホウ</t>
    </rPh>
    <phoneticPr fontId="11"/>
  </si>
  <si>
    <t>①社員・販社権限の文言を一つ、代理店権限の文言をそれぞれ一つずつ定義する</t>
    <rPh sb="9" eb="11">
      <t>モンゴン</t>
    </rPh>
    <rPh sb="32" eb="34">
      <t>テイギ</t>
    </rPh>
    <phoneticPr fontId="5"/>
  </si>
  <si>
    <t xml:space="preserve">3. 検索結果表示エリア
</t>
    <rPh sb="3" eb="5">
      <t>ケンサク</t>
    </rPh>
    <rPh sb="5" eb="7">
      <t>ケッカ</t>
    </rPh>
    <rPh sb="7" eb="9">
      <t>ヒョウジ</t>
    </rPh>
    <phoneticPr fontId="6"/>
  </si>
  <si>
    <t>3.1 検索ヒット件数</t>
    <rPh sb="4" eb="6">
      <t>ケンサク</t>
    </rPh>
    <rPh sb="9" eb="11">
      <t>ケンスウ</t>
    </rPh>
    <phoneticPr fontId="5"/>
  </si>
  <si>
    <t>検索の結果ヒットしたデータ件数を表示する。</t>
    <rPh sb="0" eb="2">
      <t>ケンサク</t>
    </rPh>
    <rPh sb="3" eb="5">
      <t>ケッカ</t>
    </rPh>
    <rPh sb="13" eb="15">
      <t>ケンスウ</t>
    </rPh>
    <rPh sb="16" eb="18">
      <t>ヒョウジ</t>
    </rPh>
    <phoneticPr fontId="5"/>
  </si>
  <si>
    <t>3.2 ページング</t>
  </si>
  <si>
    <t>検索結果のページング。1ページあたり100件とする。</t>
    <rPh sb="0" eb="2">
      <t>ケンサク</t>
    </rPh>
    <rPh sb="2" eb="4">
      <t>ケッカ</t>
    </rPh>
    <rPh sb="21" eb="22">
      <t>ケン</t>
    </rPh>
    <phoneticPr fontId="5"/>
  </si>
  <si>
    <t>100件を超える場合、2ページ目(とそれ以降)へのナビゲー</t>
    <rPh sb="3" eb="4">
      <t>ケン</t>
    </rPh>
    <rPh sb="5" eb="6">
      <t>コ</t>
    </rPh>
    <rPh sb="8" eb="10">
      <t>バアイ</t>
    </rPh>
    <rPh sb="15" eb="16">
      <t>メ</t>
    </rPh>
    <rPh sb="20" eb="22">
      <t>イコウ</t>
    </rPh>
    <phoneticPr fontId="5"/>
  </si>
  <si>
    <t>ションが表示される</t>
  </si>
  <si>
    <t>3.3 申請履歴データ</t>
    <rPh sb="4" eb="6">
      <t>シンセイ</t>
    </rPh>
    <rPh sb="6" eb="8">
      <t>リレキ</t>
    </rPh>
    <phoneticPr fontId="5"/>
  </si>
  <si>
    <t>受付が最新のものが最上位（日付降順）</t>
  </si>
  <si>
    <t>暦年-シーケンス番号</t>
  </si>
  <si>
    <t>2019年以後は20xx-00000という形で採番される。</t>
  </si>
  <si>
    <t>3.4 受付番号</t>
    <rPh sb="4" eb="6">
      <t>ウケツケ</t>
    </rPh>
    <rPh sb="6" eb="8">
      <t>バンゴウ</t>
    </rPh>
    <phoneticPr fontId="5"/>
  </si>
  <si>
    <t>3.5 提出先企業名</t>
  </si>
  <si>
    <t>3.6 エンドユーザー</t>
  </si>
  <si>
    <t>3.7 申請日</t>
    <rPh sb="4" eb="6">
      <t>シンセイ</t>
    </rPh>
    <rPh sb="6" eb="7">
      <t>ビ</t>
    </rPh>
    <phoneticPr fontId="5"/>
  </si>
  <si>
    <t>3.8 有効期限日</t>
    <rPh sb="4" eb="6">
      <t>ユウコウ</t>
    </rPh>
    <rPh sb="6" eb="8">
      <t>キゲン</t>
    </rPh>
    <rPh sb="8" eb="9">
      <t>ビ</t>
    </rPh>
    <phoneticPr fontId="5"/>
  </si>
  <si>
    <t>ダウンロード有効期限日</t>
    <rPh sb="6" eb="8">
      <t>ユウコウ</t>
    </rPh>
    <rPh sb="8" eb="10">
      <t>キゲン</t>
    </rPh>
    <rPh sb="10" eb="11">
      <t>ビ</t>
    </rPh>
    <phoneticPr fontId="5"/>
  </si>
  <si>
    <t>3.9 ファイルサイズ</t>
  </si>
  <si>
    <t>3.10 ステータス</t>
  </si>
  <si>
    <t>3.11 ドキュメント</t>
  </si>
  <si>
    <t>3.12 新規申請</t>
    <rPh sb="5" eb="7">
      <t>シンキ</t>
    </rPh>
    <rPh sb="7" eb="9">
      <t>シンセイ</t>
    </rPh>
    <phoneticPr fontId="5"/>
  </si>
  <si>
    <t>4．申請ドキュメントCSV(イメージ)</t>
  </si>
  <si>
    <t>4.1 申請された製品名</t>
    <rPh sb="4" eb="6">
      <t>シンセイ</t>
    </rPh>
    <rPh sb="9" eb="11">
      <t>セイヒン</t>
    </rPh>
    <rPh sb="11" eb="12">
      <t>メイ</t>
    </rPh>
    <phoneticPr fontId="5"/>
  </si>
  <si>
    <t>4.2 申請に含まれたCL番号</t>
    <rPh sb="4" eb="6">
      <t>シンセイ</t>
    </rPh>
    <rPh sb="7" eb="8">
      <t>フク</t>
    </rPh>
    <rPh sb="13" eb="15">
      <t>バンゴウ</t>
    </rPh>
    <phoneticPr fontId="5"/>
  </si>
  <si>
    <t>4.3 申請された製品の新製品区分</t>
    <rPh sb="4" eb="6">
      <t>シンセイ</t>
    </rPh>
    <rPh sb="9" eb="11">
      <t>セイヒン</t>
    </rPh>
    <rPh sb="12" eb="15">
      <t>シンセイヒン</t>
    </rPh>
    <rPh sb="15" eb="17">
      <t>クブン</t>
    </rPh>
    <phoneticPr fontId="5"/>
  </si>
  <si>
    <t>4.4 申請された製品の製品販売状況</t>
    <rPh sb="4" eb="6">
      <t>シンセイ</t>
    </rPh>
    <rPh sb="9" eb="11">
      <t>セイヒン</t>
    </rPh>
    <rPh sb="12" eb="14">
      <t>セイヒン</t>
    </rPh>
    <rPh sb="14" eb="16">
      <t>ハンバイ</t>
    </rPh>
    <rPh sb="16" eb="18">
      <t>ジョウキョウ</t>
    </rPh>
    <phoneticPr fontId="5"/>
  </si>
  <si>
    <t>4.5 申請された製品のPCN番号</t>
    <rPh sb="4" eb="6">
      <t>シンセイ</t>
    </rPh>
    <rPh sb="9" eb="11">
      <t>セイヒン</t>
    </rPh>
    <rPh sb="15" eb="17">
      <t>バンゴウ</t>
    </rPh>
    <phoneticPr fontId="5"/>
  </si>
  <si>
    <t>4.6 申請された証明書</t>
    <rPh sb="4" eb="6">
      <t>シンセイ</t>
    </rPh>
    <rPh sb="9" eb="12">
      <t>ショウメイショ</t>
    </rPh>
    <phoneticPr fontId="5"/>
  </si>
  <si>
    <t>申請があったものはYESと表示される。</t>
    <rPh sb="0" eb="2">
      <t>シンセイ</t>
    </rPh>
    <rPh sb="13" eb="15">
      <t>ヒョウジ</t>
    </rPh>
    <phoneticPr fontId="5"/>
  </si>
  <si>
    <t>申請されたCL全てについて、証明書の種類ごとに</t>
    <rPh sb="0" eb="2">
      <t>シンセイ</t>
    </rPh>
    <rPh sb="7" eb="8">
      <t>スベ</t>
    </rPh>
    <rPh sb="14" eb="17">
      <t>ショウメイショ</t>
    </rPh>
    <rPh sb="18" eb="20">
      <t>シュルイ</t>
    </rPh>
    <phoneticPr fontId="5"/>
  </si>
  <si>
    <t>製品名</t>
    <rPh sb="0" eb="3">
      <t>セイヒンメイ</t>
    </rPh>
    <phoneticPr fontId="55"/>
  </si>
  <si>
    <t>CL Code</t>
    <phoneticPr fontId="55"/>
  </si>
  <si>
    <t>新製品区分</t>
    <rPh sb="0" eb="3">
      <t>シンセイヒン</t>
    </rPh>
    <rPh sb="3" eb="5">
      <t>クブン</t>
    </rPh>
    <phoneticPr fontId="55"/>
  </si>
  <si>
    <t>製品販売状況</t>
    <rPh sb="0" eb="2">
      <t>セイヒン</t>
    </rPh>
    <rPh sb="2" eb="4">
      <t>ハンバイ</t>
    </rPh>
    <rPh sb="4" eb="6">
      <t>ジョウキョウ</t>
    </rPh>
    <phoneticPr fontId="55"/>
  </si>
  <si>
    <t>PCN番号</t>
    <rPh sb="3" eb="5">
      <t>バンゴウ</t>
    </rPh>
    <phoneticPr fontId="55"/>
  </si>
  <si>
    <t>RoHS適合証明書</t>
    <rPh sb="4" eb="6">
      <t>テキゴウ</t>
    </rPh>
    <rPh sb="6" eb="9">
      <t>ショウメイショ</t>
    </rPh>
    <phoneticPr fontId="55"/>
  </si>
  <si>
    <t>ハロゲンフリー証明書</t>
    <phoneticPr fontId="55"/>
  </si>
  <si>
    <t>成分表</t>
    <phoneticPr fontId="55"/>
  </si>
  <si>
    <t>AIS</t>
    <phoneticPr fontId="55"/>
  </si>
  <si>
    <t>ICP</t>
    <phoneticPr fontId="55"/>
  </si>
  <si>
    <t>SDS</t>
    <phoneticPr fontId="55"/>
  </si>
  <si>
    <t>chemSHERPA</t>
    <phoneticPr fontId="55"/>
  </si>
  <si>
    <t>NameA</t>
    <phoneticPr fontId="55"/>
  </si>
  <si>
    <t>CL0123-4567-8-90</t>
    <phoneticPr fontId="55"/>
  </si>
  <si>
    <t>オリジナル</t>
    <phoneticPr fontId="55"/>
  </si>
  <si>
    <t>生産終了予定品</t>
    <rPh sb="0" eb="2">
      <t>セイサン</t>
    </rPh>
    <rPh sb="2" eb="4">
      <t>シュウリョウ</t>
    </rPh>
    <rPh sb="4" eb="6">
      <t>ヨテイ</t>
    </rPh>
    <rPh sb="6" eb="7">
      <t>ヒン</t>
    </rPh>
    <phoneticPr fontId="55"/>
  </si>
  <si>
    <t>2024-01</t>
    <phoneticPr fontId="55"/>
  </si>
  <si>
    <t>YES</t>
    <phoneticPr fontId="55"/>
  </si>
  <si>
    <t>-</t>
    <phoneticPr fontId="55"/>
  </si>
  <si>
    <t>NameB</t>
    <phoneticPr fontId="55"/>
  </si>
  <si>
    <t>CL0123-4567-8-91</t>
    <phoneticPr fontId="55"/>
  </si>
  <si>
    <t>オリジナル(特定社)</t>
    <phoneticPr fontId="55"/>
  </si>
  <si>
    <t>生産終了品</t>
    <rPh sb="0" eb="2">
      <t>セイサン</t>
    </rPh>
    <rPh sb="2" eb="4">
      <t>シュウリョウ</t>
    </rPh>
    <rPh sb="4" eb="5">
      <t>ヒン</t>
    </rPh>
    <phoneticPr fontId="55"/>
  </si>
  <si>
    <t>2023-12</t>
    <phoneticPr fontId="55"/>
  </si>
  <si>
    <t>NameC</t>
    <phoneticPr fontId="55"/>
  </si>
  <si>
    <t>CL0123-4567-8-92</t>
    <phoneticPr fontId="55"/>
  </si>
  <si>
    <t>カスタム(他社販売可)</t>
    <phoneticPr fontId="55"/>
  </si>
  <si>
    <t>新規設計非推奨</t>
    <rPh sb="0" eb="2">
      <t>シンキ</t>
    </rPh>
    <rPh sb="2" eb="4">
      <t>セッケイ</t>
    </rPh>
    <rPh sb="4" eb="5">
      <t>ヒ</t>
    </rPh>
    <rPh sb="5" eb="7">
      <t>スイショウ</t>
    </rPh>
    <phoneticPr fontId="55"/>
  </si>
  <si>
    <t>NameE</t>
    <phoneticPr fontId="55"/>
  </si>
  <si>
    <t>CL0123-4567-8-94</t>
    <phoneticPr fontId="55"/>
  </si>
  <si>
    <t>カスタム(他社販売不可)</t>
    <phoneticPr fontId="55"/>
  </si>
  <si>
    <t>販売品</t>
    <rPh sb="0" eb="2">
      <t>ハンバイ</t>
    </rPh>
    <rPh sb="2" eb="3">
      <t>ヒン</t>
    </rPh>
    <phoneticPr fontId="55"/>
  </si>
  <si>
    <t>※製品名、新製品区分、製品販売状況、PCN番号に関して、"-"は値なしを示す。</t>
    <rPh sb="1" eb="4">
      <t>セイヒンメイ</t>
    </rPh>
    <rPh sb="5" eb="8">
      <t>シンセイヒン</t>
    </rPh>
    <rPh sb="8" eb="10">
      <t>クブン</t>
    </rPh>
    <rPh sb="11" eb="13">
      <t>セイヒン</t>
    </rPh>
    <rPh sb="13" eb="15">
      <t>ハンバイ</t>
    </rPh>
    <rPh sb="15" eb="17">
      <t>ジョウキョウ</t>
    </rPh>
    <rPh sb="21" eb="23">
      <t>バンゴウ</t>
    </rPh>
    <rPh sb="24" eb="25">
      <t>カン</t>
    </rPh>
    <phoneticPr fontId="55"/>
  </si>
  <si>
    <t>※申請された証明書に関して、YESは、申請されたもの、"-"は、申請されなかったものを示す。</t>
    <rPh sb="1" eb="3">
      <t>シンセイ</t>
    </rPh>
    <rPh sb="6" eb="9">
      <t>ショウメイショ</t>
    </rPh>
    <rPh sb="10" eb="11">
      <t>カン</t>
    </rPh>
    <rPh sb="19" eb="21">
      <t>シンセイ</t>
    </rPh>
    <rPh sb="32" eb="34">
      <t>シンセイ</t>
    </rPh>
    <rPh sb="43" eb="44">
      <t>シメ</t>
    </rPh>
    <phoneticPr fontId="55"/>
  </si>
  <si>
    <t>※製品名の昇順、CLコードの昇順（値がない場合は末尾）にて出力する</t>
    <rPh sb="1" eb="4">
      <t>セイヒンメイ</t>
    </rPh>
    <rPh sb="5" eb="7">
      <t>ショウジュン</t>
    </rPh>
    <rPh sb="14" eb="16">
      <t>ショウジュン</t>
    </rPh>
    <rPh sb="17" eb="18">
      <t>アタイ</t>
    </rPh>
    <rPh sb="21" eb="23">
      <t>バアイ</t>
    </rPh>
    <rPh sb="24" eb="26">
      <t>マツビ</t>
    </rPh>
    <rPh sb="29" eb="31">
      <t>シュツリョク</t>
    </rPh>
    <phoneticPr fontId="55"/>
  </si>
  <si>
    <t>画面項目(Screen Items)</t>
    <rPh sb="0" eb="4">
      <t>ガメンコウモク</t>
    </rPh>
    <phoneticPr fontId="11"/>
  </si>
  <si>
    <t>必須記入</t>
    <rPh sb="0" eb="2">
      <t>ヒッス</t>
    </rPh>
    <rPh sb="2" eb="4">
      <t>キニュウ</t>
    </rPh>
    <phoneticPr fontId="11"/>
  </si>
  <si>
    <t>項番
(No)</t>
    <phoneticPr fontId="11"/>
  </si>
  <si>
    <t>項目名(Item Name)</t>
    <phoneticPr fontId="11"/>
  </si>
  <si>
    <t>初期値
(Default Value)</t>
    <rPh sb="0" eb="3">
      <t>ショキチ</t>
    </rPh>
    <phoneticPr fontId="11"/>
  </si>
  <si>
    <t>備考
(Comment)</t>
    <rPh sb="0" eb="2">
      <t>ビコウ</t>
    </rPh>
    <phoneticPr fontId="11"/>
  </si>
  <si>
    <t>エリア
（Area）</t>
    <phoneticPr fontId="11"/>
  </si>
  <si>
    <t>項目名
(Item Name)</t>
    <phoneticPr fontId="11"/>
  </si>
  <si>
    <t>1</t>
  </si>
  <si>
    <t>パンくずリストエリア</t>
  </si>
  <si>
    <t>1.1</t>
  </si>
  <si>
    <t>パンくずリスト</t>
  </si>
  <si>
    <t>-</t>
  </si>
  <si>
    <t>検索結果表示エリア</t>
    <phoneticPr fontId="55"/>
  </si>
  <si>
    <t>・ログインユーザの申請履歴を表示対象とする</t>
    <rPh sb="9" eb="11">
      <t>シンセイ</t>
    </rPh>
    <rPh sb="11" eb="13">
      <t>リレキ</t>
    </rPh>
    <rPh sb="14" eb="16">
      <t>ヒョウジ</t>
    </rPh>
    <rPh sb="16" eb="18">
      <t>タイショウ</t>
    </rPh>
    <phoneticPr fontId="55"/>
  </si>
  <si>
    <t>3.1</t>
    <phoneticPr fontId="55"/>
  </si>
  <si>
    <t>検索ヒット件数</t>
    <rPh sb="0" eb="2">
      <t>ケンサク</t>
    </rPh>
    <rPh sb="5" eb="7">
      <t>ケンスウ</t>
    </rPh>
    <phoneticPr fontId="55"/>
  </si>
  <si>
    <t>取得した件数を表示する。</t>
    <rPh sb="4" eb="6">
      <t>ケンスウ</t>
    </rPh>
    <rPh sb="7" eb="9">
      <t>ヒョウジ</t>
    </rPh>
    <phoneticPr fontId="55"/>
  </si>
  <si>
    <t>3.2</t>
    <phoneticPr fontId="55"/>
  </si>
  <si>
    <t>ページング</t>
    <phoneticPr fontId="55"/>
  </si>
  <si>
    <t xml:space="preserve">検索結果のページング。1ページあたり100件とする。
100件を超える場合、2ページ目(とそれ以降)へのナビゲーションが表示される。
</t>
    <rPh sb="60" eb="62">
      <t>ヒョウジ</t>
    </rPh>
    <phoneticPr fontId="55"/>
  </si>
  <si>
    <t>3.3</t>
  </si>
  <si>
    <t>申請履歴データ</t>
    <rPh sb="0" eb="2">
      <t>シンセイ</t>
    </rPh>
    <rPh sb="2" eb="4">
      <t>リレキ</t>
    </rPh>
    <phoneticPr fontId="55"/>
  </si>
  <si>
    <t xml:space="preserve">検索結果が一覧表示される。1ページの上限は100件。   
画面の初期表示時はデータがない状態。   
受付が最新のものが最上位（日付降順）   
暦年-シーケンス番号   
*採番については、2019年だけ2018-50000から採番する。   
2020年以後は20xx-00000という形で採番される。   </t>
    <phoneticPr fontId="55"/>
  </si>
  <si>
    <t>3.4</t>
  </si>
  <si>
    <t>受付番号</t>
    <rPh sb="0" eb="2">
      <t>ウケツケ</t>
    </rPh>
    <rPh sb="2" eb="4">
      <t>バンゴウ</t>
    </rPh>
    <phoneticPr fontId="55"/>
  </si>
  <si>
    <t>3.5</t>
  </si>
  <si>
    <t>3.6</t>
  </si>
  <si>
    <t>3.7</t>
  </si>
  <si>
    <t>3.8</t>
  </si>
  <si>
    <t>ダウンロード有効期限。ステータスが「処理中」の場合はNULL。</t>
    <rPh sb="6" eb="8">
      <t>ユウコウ</t>
    </rPh>
    <rPh sb="8" eb="10">
      <t>キゲン</t>
    </rPh>
    <rPh sb="18" eb="21">
      <t>ショリチュウ</t>
    </rPh>
    <rPh sb="23" eb="25">
      <t>バアイ</t>
    </rPh>
    <phoneticPr fontId="55"/>
  </si>
  <si>
    <t>3.9</t>
  </si>
  <si>
    <t>ステータスが「処理中」または「有効期限切れ」の場合は"-"を表示する
ステータスが「処理済」の場合の数字表示方式は以下の通り。
　　・数字の後に(MB)を追加
　　・単位はMB
　　・小数点第一位まで表記し、第二位を切り上げ
　　・カンマ付きのフォーマットとする
　　・右寄せで表示
例）ファイルサイズ：100,000バイト　→　100000÷1024÷1024=0.0953…　表示：0.10(MB)</t>
    <rPh sb="7" eb="10">
      <t>ショリチュウ</t>
    </rPh>
    <rPh sb="15" eb="19">
      <t>ユウコウキゲン</t>
    </rPh>
    <rPh sb="19" eb="20">
      <t>キ</t>
    </rPh>
    <rPh sb="23" eb="25">
      <t>バアイ</t>
    </rPh>
    <rPh sb="30" eb="32">
      <t>ヒョウジ</t>
    </rPh>
    <rPh sb="50" eb="52">
      <t>スウジ</t>
    </rPh>
    <rPh sb="52" eb="54">
      <t>ヒョウジ</t>
    </rPh>
    <rPh sb="54" eb="56">
      <t>ホウシキ</t>
    </rPh>
    <rPh sb="57" eb="59">
      <t>イカ</t>
    </rPh>
    <rPh sb="60" eb="61">
      <t>トオ</t>
    </rPh>
    <rPh sb="67" eb="69">
      <t>スウジ</t>
    </rPh>
    <rPh sb="70" eb="71">
      <t>アト</t>
    </rPh>
    <rPh sb="77" eb="79">
      <t>ツイカ</t>
    </rPh>
    <rPh sb="142" eb="143">
      <t>レイ</t>
    </rPh>
    <rPh sb="190" eb="192">
      <t>ヒョウジ</t>
    </rPh>
    <phoneticPr fontId="55"/>
  </si>
  <si>
    <t>3.10</t>
  </si>
  <si>
    <t>3.11</t>
  </si>
  <si>
    <t xml:space="preserve">                    をクリックすると、化学物質のリクエスト内容を記載したCSVをダウンロードする</t>
    <rPh sb="29" eb="31">
      <t>カガク</t>
    </rPh>
    <rPh sb="31" eb="33">
      <t>ブッシツ</t>
    </rPh>
    <rPh sb="39" eb="41">
      <t>ナイヨウ</t>
    </rPh>
    <rPh sb="42" eb="44">
      <t>キサイ</t>
    </rPh>
    <phoneticPr fontId="55"/>
  </si>
  <si>
    <t>3.12</t>
  </si>
  <si>
    <t>新規申請</t>
    <phoneticPr fontId="55"/>
  </si>
  <si>
    <t>申請ドキュメント詳細</t>
    <rPh sb="0" eb="2">
      <t>シンセイ</t>
    </rPh>
    <rPh sb="8" eb="10">
      <t>ショウサイ</t>
    </rPh>
    <phoneticPr fontId="55"/>
  </si>
  <si>
    <t>4.2</t>
    <phoneticPr fontId="55"/>
  </si>
  <si>
    <t>CL番号</t>
    <rPh sb="2" eb="4">
      <t>バンゴウ</t>
    </rPh>
    <phoneticPr fontId="55"/>
  </si>
  <si>
    <t>4.6</t>
    <phoneticPr fontId="55"/>
  </si>
  <si>
    <t>化学物質の申請履歴情報</t>
    <rPh sb="0" eb="2">
      <t>カガク</t>
    </rPh>
    <rPh sb="2" eb="4">
      <t>ブッシツ</t>
    </rPh>
    <rPh sb="5" eb="7">
      <t>シンセイ</t>
    </rPh>
    <rPh sb="7" eb="9">
      <t>リレキ</t>
    </rPh>
    <rPh sb="9" eb="11">
      <t>ジョウホウ</t>
    </rPh>
    <phoneticPr fontId="55"/>
  </si>
  <si>
    <t>処理項目(Process Items)</t>
    <rPh sb="0" eb="4">
      <t>ショリコウモク</t>
    </rPh>
    <phoneticPr fontId="11"/>
  </si>
  <si>
    <t>項番
(No)</t>
    <rPh sb="0" eb="2">
      <t>コウバン</t>
    </rPh>
    <phoneticPr fontId="11"/>
  </si>
  <si>
    <t>処理名
(Process Name)</t>
    <rPh sb="0" eb="3">
      <t>ショリメイ</t>
    </rPh>
    <phoneticPr fontId="11"/>
  </si>
  <si>
    <t>イベント発生元（論理項目名）
(Event Source(Logical Item Name))</t>
    <phoneticPr fontId="11"/>
  </si>
  <si>
    <t>イベント
(Event)</t>
    <phoneticPr fontId="11"/>
  </si>
  <si>
    <t>サーバ
／クライアント</t>
    <phoneticPr fontId="11"/>
  </si>
  <si>
    <t>遷移先画面ID
(Transition Destination Screen ID)</t>
    <rPh sb="0" eb="7">
      <t>センイサキガメン</t>
    </rPh>
    <phoneticPr fontId="11"/>
  </si>
  <si>
    <t>概要
(Comment)</t>
    <rPh sb="0" eb="2">
      <t>ガイヨウ</t>
    </rPh>
    <phoneticPr fontId="11"/>
  </si>
  <si>
    <t>初期画面表示</t>
    <rPh sb="0" eb="2">
      <t>ショキ</t>
    </rPh>
    <rPh sb="2" eb="4">
      <t>ガメン</t>
    </rPh>
    <rPh sb="4" eb="6">
      <t>ヒョウジ</t>
    </rPh>
    <phoneticPr fontId="11"/>
  </si>
  <si>
    <t>Onload</t>
    <phoneticPr fontId="55"/>
  </si>
  <si>
    <t>サーバ</t>
  </si>
  <si>
    <t>・化学物質申請履歴データ検索処理を実行し、結果セットを検索結果エリアに表示する。
※検索処理は「処理詳細」シート：初期表示時の検索処理 を参照する
※100件を超える場合はページングを行うので、初期表示時は1ページ目を表示する。</t>
    <rPh sb="78" eb="79">
      <t>ケン</t>
    </rPh>
    <rPh sb="80" eb="81">
      <t>コ</t>
    </rPh>
    <rPh sb="83" eb="85">
      <t>バアイ</t>
    </rPh>
    <rPh sb="92" eb="93">
      <t>オコナ</t>
    </rPh>
    <rPh sb="97" eb="99">
      <t>ショキ</t>
    </rPh>
    <rPh sb="99" eb="101">
      <t>ヒョウジ</t>
    </rPh>
    <rPh sb="101" eb="102">
      <t>ジ</t>
    </rPh>
    <rPh sb="107" eb="108">
      <t>メ</t>
    </rPh>
    <rPh sb="109" eb="111">
      <t>ヒョウジ</t>
    </rPh>
    <phoneticPr fontId="55"/>
  </si>
  <si>
    <t>Click</t>
  </si>
  <si>
    <t>証明書ダウンロード</t>
    <rPh sb="0" eb="3">
      <t>ショウメイショ</t>
    </rPh>
    <phoneticPr fontId="55"/>
  </si>
  <si>
    <t>Click</t>
    <phoneticPr fontId="55"/>
  </si>
  <si>
    <t>サーバ</t>
    <phoneticPr fontId="55"/>
  </si>
  <si>
    <t>ドキュメントダウンロード</t>
    <phoneticPr fontId="55"/>
  </si>
  <si>
    <t>新規申請</t>
    <rPh sb="0" eb="2">
      <t>シンキ</t>
    </rPh>
    <rPh sb="2" eb="4">
      <t>シンセイ</t>
    </rPh>
    <phoneticPr fontId="55"/>
  </si>
  <si>
    <t>SEFE210_画面要件定義書_化学物質データ申請画面</t>
    <phoneticPr fontId="55"/>
  </si>
  <si>
    <t>利用可能な論理項目種別</t>
    <rPh sb="0" eb="11">
      <t>リヨウカノウロンリコウモクシュベツ</t>
    </rPh>
    <phoneticPr fontId="11"/>
  </si>
  <si>
    <t>固定/可変</t>
    <rPh sb="0" eb="2">
      <t>コテイ</t>
    </rPh>
    <rPh sb="3" eb="5">
      <t>カヘン</t>
    </rPh>
    <phoneticPr fontId="11"/>
  </si>
  <si>
    <t>Label</t>
    <phoneticPr fontId="11"/>
  </si>
  <si>
    <t>Fixed</t>
    <phoneticPr fontId="11"/>
  </si>
  <si>
    <t>Manual Operation Button</t>
    <phoneticPr fontId="11"/>
  </si>
  <si>
    <t>Variable</t>
    <phoneticPr fontId="11"/>
  </si>
  <si>
    <t>Image Button</t>
    <phoneticPr fontId="11"/>
  </si>
  <si>
    <t>Anchor Text</t>
    <phoneticPr fontId="11"/>
  </si>
  <si>
    <t>Textbox</t>
    <phoneticPr fontId="11"/>
  </si>
  <si>
    <t>Text Box (with spin button)</t>
    <phoneticPr fontId="11"/>
  </si>
  <si>
    <t>Password</t>
    <phoneticPr fontId="11"/>
  </si>
  <si>
    <t>Text Area</t>
    <phoneticPr fontId="11"/>
  </si>
  <si>
    <t>File field</t>
    <phoneticPr fontId="11"/>
  </si>
  <si>
    <t>Radio Button</t>
    <phoneticPr fontId="11"/>
  </si>
  <si>
    <t>Dropdown List</t>
    <phoneticPr fontId="11"/>
  </si>
  <si>
    <t>Checkbox</t>
    <phoneticPr fontId="11"/>
  </si>
  <si>
    <t>Calendar</t>
    <phoneticPr fontId="11"/>
  </si>
  <si>
    <t>Time Input</t>
    <phoneticPr fontId="11"/>
  </si>
  <si>
    <t>Loop Table</t>
    <phoneticPr fontId="11"/>
  </si>
  <si>
    <t>Image</t>
    <phoneticPr fontId="11"/>
  </si>
  <si>
    <t>Hidden Field</t>
    <phoneticPr fontId="11"/>
  </si>
  <si>
    <t>Included Screen</t>
    <phoneticPr fontId="11"/>
  </si>
  <si>
    <t>Text Output</t>
    <phoneticPr fontId="11"/>
  </si>
  <si>
    <t>Other</t>
    <phoneticPr fontId="11"/>
  </si>
  <si>
    <t xml:space="preserve">
ダウンロードボタンを押下すると、対応する証明書ファイルをダウンロードする。</t>
    <rPh sb="11" eb="13">
      <t>オウカ</t>
    </rPh>
    <rPh sb="17" eb="19">
      <t>タイオウ</t>
    </rPh>
    <rPh sb="21" eb="24">
      <t>ショウメイショ</t>
    </rPh>
    <phoneticPr fontId="55"/>
  </si>
  <si>
    <t xml:space="preserve">                    をクリックすると、化学物質のリクエスト内容を記載したCSVをダウンロードする</t>
    <phoneticPr fontId="55"/>
  </si>
  <si>
    <t>chemSHERPA対応バージョン：Ver1.05</t>
    <rPh sb="10" eb="12">
      <t>タイオウ</t>
    </rPh>
    <phoneticPr fontId="53"/>
  </si>
  <si>
    <t xml:space="preserve"> chemSHERPA version：Ver1.05</t>
    <phoneticPr fontId="53"/>
  </si>
  <si>
    <t xml:space="preserve"> AIS version：format ver4.1d substances list ver4.090</t>
    <phoneticPr fontId="53"/>
  </si>
  <si>
    <t>AIS対応バージョン：フォーマットVer4.1d　物質リストVer4.090</t>
    <rPh sb="3" eb="5">
      <t>タイオウ</t>
    </rPh>
    <rPh sb="25" eb="27">
      <t>ブッシツ</t>
    </rPh>
    <phoneticPr fontId="53"/>
  </si>
  <si>
    <t>♦NEW!!</t>
    <phoneticPr fontId="53"/>
  </si>
  <si>
    <t>Reception_number
受付番号</t>
    <rPh sb="17" eb="21">
      <t>ウケツケバンゴウ</t>
    </rPh>
    <phoneticPr fontId="53"/>
  </si>
  <si>
    <t>End_user
エンドユーザー</t>
    <phoneticPr fontId="53"/>
  </si>
  <si>
    <t>Applicatrion_date
申請日</t>
    <rPh sb="18" eb="21">
      <t>シンセイビ</t>
    </rPh>
    <phoneticPr fontId="53"/>
  </si>
  <si>
    <t>Expiry_date
有効期限日</t>
    <rPh sb="12" eb="17">
      <t>ユウコウキゲンビ</t>
    </rPh>
    <phoneticPr fontId="53"/>
  </si>
  <si>
    <t>File_size
ファイルサイズ</t>
    <phoneticPr fontId="53"/>
  </si>
  <si>
    <t>Status
ステータス</t>
    <phoneticPr fontId="53"/>
  </si>
  <si>
    <t>Document
ドキュメント</t>
    <phoneticPr fontId="53"/>
  </si>
  <si>
    <t>Submission_company 
提出先企業名</t>
    <rPh sb="20" eb="22">
      <t>テイシュツ</t>
    </rPh>
    <rPh sb="21" eb="24">
      <t>キギョウメイ</t>
    </rPh>
    <phoneticPr fontId="53"/>
  </si>
  <si>
    <t>A company
A社</t>
    <rPh sb="11" eb="12">
      <t>シャ</t>
    </rPh>
    <phoneticPr fontId="53"/>
  </si>
  <si>
    <t>B company
B社</t>
    <rPh sb="11" eb="12">
      <t>シャ</t>
    </rPh>
    <phoneticPr fontId="53"/>
  </si>
  <si>
    <t>C company
C社</t>
    <rPh sb="11" eb="12">
      <t>シャ</t>
    </rPh>
    <phoneticPr fontId="53"/>
  </si>
  <si>
    <t>2.2　日英表記切替ボタン</t>
    <rPh sb="4" eb="8">
      <t>ニチエイヒョウキ</t>
    </rPh>
    <rPh sb="8" eb="10">
      <t>キリカエ</t>
    </rPh>
    <phoneticPr fontId="11"/>
  </si>
  <si>
    <r>
      <rPr>
        <sz val="9"/>
        <rFont val="Meiryo UI"/>
        <family val="3"/>
        <charset val="128"/>
      </rPr>
      <t>検索ヒット件数:104件</t>
    </r>
    <r>
      <rPr>
        <sz val="8"/>
        <rFont val="Meiryo UI"/>
        <family val="3"/>
        <charset val="128"/>
      </rPr>
      <t xml:space="preserve">
</t>
    </r>
    <r>
      <rPr>
        <sz val="7.5"/>
        <rFont val="Meiryo UI"/>
        <family val="3"/>
        <charset val="128"/>
      </rPr>
      <t>Search results:104 results</t>
    </r>
    <phoneticPr fontId="53"/>
  </si>
  <si>
    <t>有効期限切れ
Expaired</t>
    <rPh sb="0" eb="5">
      <t>ユウコウキゲンギ</t>
    </rPh>
    <phoneticPr fontId="53"/>
  </si>
  <si>
    <t>処理中
Processing</t>
    <rPh sb="0" eb="3">
      <t>ショリチュウ</t>
    </rPh>
    <phoneticPr fontId="53"/>
  </si>
  <si>
    <r>
      <t>［お知らせ/</t>
    </r>
    <r>
      <rPr>
        <sz val="7"/>
        <rFont val="Meiryo UI"/>
        <family val="3"/>
        <charset val="128"/>
      </rPr>
      <t>Information</t>
    </r>
    <r>
      <rPr>
        <sz val="8"/>
        <rFont val="Meiryo UI"/>
        <family val="3"/>
        <charset val="128"/>
      </rPr>
      <t>］</t>
    </r>
    <rPh sb="2" eb="3">
      <t>シ</t>
    </rPh>
    <phoneticPr fontId="53"/>
  </si>
  <si>
    <t>r1.1</t>
    <phoneticPr fontId="49"/>
  </si>
  <si>
    <t>「化学物質データ画面(日英併記)」、「化学物質データ画面(日英切替)」シートを追加、「化学物質データ画面(日本語)」シートを削除</t>
    <rPh sb="31" eb="33">
      <t>キリカエ</t>
    </rPh>
    <rPh sb="39" eb="41">
      <t>ツイカ</t>
    </rPh>
    <rPh sb="53" eb="56">
      <t>ニホンゴ</t>
    </rPh>
    <rPh sb="62" eb="64">
      <t>サクジョ</t>
    </rPh>
    <phoneticPr fontId="49"/>
  </si>
  <si>
    <t>データ画面を日英併記と日英切替の2種類を作成</t>
    <rPh sb="3" eb="5">
      <t>ガメン</t>
    </rPh>
    <rPh sb="6" eb="8">
      <t>ニチエイ</t>
    </rPh>
    <rPh sb="8" eb="10">
      <t>ヘイキ</t>
    </rPh>
    <rPh sb="11" eb="13">
      <t>ニチエイ</t>
    </rPh>
    <rPh sb="13" eb="15">
      <t>キリカエ</t>
    </rPh>
    <rPh sb="17" eb="19">
      <t>シュルイ</t>
    </rPh>
    <rPh sb="20" eb="22">
      <t>サクセイ</t>
    </rPh>
    <phoneticPr fontId="49"/>
  </si>
  <si>
    <t>r1.2</t>
    <phoneticPr fontId="49"/>
  </si>
  <si>
    <t>「画面状態」シート、「化学物質データ画面(日英切替)」シート削除</t>
    <rPh sb="1" eb="5">
      <t>ガメンジョウタイ</t>
    </rPh>
    <rPh sb="30" eb="32">
      <t>サクジョ</t>
    </rPh>
    <phoneticPr fontId="49"/>
  </si>
  <si>
    <t>化学物質データ申請</t>
    <rPh sb="0" eb="4">
      <t>カガクブッシツ</t>
    </rPh>
    <rPh sb="7" eb="9">
      <t>シンセイ</t>
    </rPh>
    <phoneticPr fontId="49"/>
  </si>
  <si>
    <t>化学物質データトップ画面</t>
    <rPh sb="0" eb="4">
      <t>カガクブッシツ</t>
    </rPh>
    <rPh sb="10" eb="12">
      <t>ガメン</t>
    </rPh>
    <phoneticPr fontId="49"/>
  </si>
  <si>
    <t>※本画面へのログイン詳細は現時点では未定のため、確定次第追記予定</t>
    <rPh sb="1" eb="4">
      <t>ホンガメン</t>
    </rPh>
    <rPh sb="10" eb="12">
      <t>ショウサイ</t>
    </rPh>
    <rPh sb="13" eb="16">
      <t>ゲンジテン</t>
    </rPh>
    <rPh sb="18" eb="20">
      <t>ミテイ</t>
    </rPh>
    <rPh sb="24" eb="28">
      <t>カクテイシダイ</t>
    </rPh>
    <rPh sb="28" eb="32">
      <t>ツイキヨテイ</t>
    </rPh>
    <phoneticPr fontId="53"/>
  </si>
  <si>
    <t>※ html用のパーツはSmartEditで運用する</t>
    <rPh sb="6" eb="7">
      <t>ヨウ</t>
    </rPh>
    <rPh sb="22" eb="24">
      <t>ウンヨウ</t>
    </rPh>
    <phoneticPr fontId="5"/>
  </si>
  <si>
    <t>①切替ボタンを押下して、お知らせエリア内の言語を日本語か英語に切り替える</t>
    <rPh sb="1" eb="3">
      <t>キリカエ</t>
    </rPh>
    <rPh sb="7" eb="9">
      <t>オウカ</t>
    </rPh>
    <rPh sb="13" eb="14">
      <t>シ</t>
    </rPh>
    <rPh sb="19" eb="20">
      <t>ナイ</t>
    </rPh>
    <rPh sb="21" eb="23">
      <t>ゲンゴ</t>
    </rPh>
    <rPh sb="24" eb="27">
      <t>ニホンゴ</t>
    </rPh>
    <rPh sb="28" eb="30">
      <t>エイゴ</t>
    </rPh>
    <rPh sb="31" eb="32">
      <t>キ</t>
    </rPh>
    <rPh sb="33" eb="34">
      <t>カ</t>
    </rPh>
    <phoneticPr fontId="5"/>
  </si>
  <si>
    <t>※採番については、2018年だけ2018-50000から採番する。</t>
    <phoneticPr fontId="53"/>
  </si>
  <si>
    <t>（上記の採番については本改修による変更は行わない）</t>
    <rPh sb="1" eb="3">
      <t>ジョウキ</t>
    </rPh>
    <rPh sb="4" eb="6">
      <t>サイバン</t>
    </rPh>
    <rPh sb="11" eb="12">
      <t>ホン</t>
    </rPh>
    <rPh sb="12" eb="14">
      <t>カイシュウ</t>
    </rPh>
    <rPh sb="17" eb="19">
      <t>ヘンコウ</t>
    </rPh>
    <rPh sb="20" eb="21">
      <t>オコナ</t>
    </rPh>
    <phoneticPr fontId="53"/>
  </si>
  <si>
    <t>ログイン時のユーザ情報を条件として申請履歴の検索結果が一覧表示される。1ページの上限は100件。</t>
    <rPh sb="4" eb="5">
      <t>ジ</t>
    </rPh>
    <rPh sb="9" eb="11">
      <t>ジョウホウ</t>
    </rPh>
    <rPh sb="12" eb="14">
      <t>ジョウケン</t>
    </rPh>
    <rPh sb="17" eb="21">
      <t>シンセイリレキ</t>
    </rPh>
    <rPh sb="22" eb="24">
      <t>ケンサク</t>
    </rPh>
    <rPh sb="24" eb="26">
      <t>ケッカ</t>
    </rPh>
    <rPh sb="27" eb="29">
      <t>イチラン</t>
    </rPh>
    <rPh sb="29" eb="31">
      <t>ヒョウジ</t>
    </rPh>
    <rPh sb="40" eb="42">
      <t>ジョウゲン</t>
    </rPh>
    <rPh sb="46" eb="47">
      <t>ケン</t>
    </rPh>
    <phoneticPr fontId="5"/>
  </si>
  <si>
    <t>NULL</t>
    <phoneticPr fontId="53"/>
  </si>
  <si>
    <t>クリックすると、化学物質データ申請画面に遷移する。</t>
    <rPh sb="20" eb="22">
      <t>センイ</t>
    </rPh>
    <phoneticPr fontId="5"/>
  </si>
  <si>
    <t>HrsChemicalSubstanceEntry.requestedCertificatesから同じ値が出力される</t>
    <rPh sb="49" eb="50">
      <t>オナ</t>
    </rPh>
    <rPh sb="51" eb="52">
      <t>アタイ</t>
    </rPh>
    <rPh sb="53" eb="55">
      <t>シュツリョク</t>
    </rPh>
    <phoneticPr fontId="5"/>
  </si>
  <si>
    <t>お知らせエリア</t>
    <rPh sb="1" eb="2">
      <t>シ</t>
    </rPh>
    <phoneticPr fontId="53"/>
  </si>
  <si>
    <t>2.1</t>
    <phoneticPr fontId="53"/>
  </si>
  <si>
    <t>2.2</t>
    <phoneticPr fontId="53"/>
  </si>
  <si>
    <t>新着情報</t>
    <rPh sb="0" eb="4">
      <t>シンチャクジョウホウ</t>
    </rPh>
    <phoneticPr fontId="53"/>
  </si>
  <si>
    <t>日英表記切替ボタン</t>
    <rPh sb="0" eb="2">
      <t>ニチエイ</t>
    </rPh>
    <rPh sb="2" eb="4">
      <t>ヒョウキ</t>
    </rPh>
    <rPh sb="4" eb="6">
      <t>キリカエ</t>
    </rPh>
    <phoneticPr fontId="53"/>
  </si>
  <si>
    <t>フォーマット
(Format)</t>
    <phoneticPr fontId="11"/>
  </si>
  <si>
    <t>4.1</t>
    <phoneticPr fontId="55"/>
  </si>
  <si>
    <t>4.3</t>
  </si>
  <si>
    <t>4.4</t>
  </si>
  <si>
    <t>4.5</t>
  </si>
  <si>
    <t>製品販売状況</t>
    <rPh sb="0" eb="2">
      <t>セイヒン</t>
    </rPh>
    <rPh sb="2" eb="6">
      <t>ハンバイジョウキョウ</t>
    </rPh>
    <phoneticPr fontId="55"/>
  </si>
  <si>
    <t>申請履歴データ
　受付番号</t>
    <rPh sb="9" eb="11">
      <t>ウケツケ</t>
    </rPh>
    <rPh sb="11" eb="13">
      <t>バンゴウ</t>
    </rPh>
    <phoneticPr fontId="55"/>
  </si>
  <si>
    <t>申請履歴データ
　提出先企業名</t>
    <phoneticPr fontId="55"/>
  </si>
  <si>
    <t>申請履歴データ
　エンドユーザー</t>
    <phoneticPr fontId="55"/>
  </si>
  <si>
    <t>申請履歴データ
　申請日</t>
    <rPh sb="9" eb="11">
      <t>シンセイ</t>
    </rPh>
    <rPh sb="11" eb="12">
      <t>ビ</t>
    </rPh>
    <phoneticPr fontId="55"/>
  </si>
  <si>
    <t>申請履歴データ
　有効期限日</t>
    <rPh sb="9" eb="11">
      <t>ユウコウ</t>
    </rPh>
    <rPh sb="11" eb="13">
      <t>キゲン</t>
    </rPh>
    <rPh sb="13" eb="14">
      <t>ビ</t>
    </rPh>
    <phoneticPr fontId="55"/>
  </si>
  <si>
    <t>申請履歴データ
　ファイルサイズ</t>
    <phoneticPr fontId="55"/>
  </si>
  <si>
    <t>申請履歴データ
　ステータス</t>
    <phoneticPr fontId="55"/>
  </si>
  <si>
    <t>申請履歴データ
　ドキュメント</t>
    <phoneticPr fontId="55"/>
  </si>
  <si>
    <t xml:space="preserve">化学物質データ申請画面に遷移する。         </t>
    <phoneticPr fontId="55"/>
  </si>
  <si>
    <t>導出元：HrsChemicalSubstanceEntry.partNo
※値がない場合、"-"（ハイフン）を出力</t>
    <rPh sb="0" eb="2">
      <t>ドウシュツ</t>
    </rPh>
    <rPh sb="2" eb="3">
      <t>モト</t>
    </rPh>
    <rPh sb="38" eb="39">
      <t>アタイ</t>
    </rPh>
    <rPh sb="42" eb="44">
      <t>バアイ</t>
    </rPh>
    <rPh sb="55" eb="57">
      <t>シュツリョク</t>
    </rPh>
    <phoneticPr fontId="55"/>
  </si>
  <si>
    <t>導出元：HrsChemicalSubstanceEntry.clCode</t>
    <rPh sb="0" eb="2">
      <t>ドウシュツ</t>
    </rPh>
    <rPh sb="2" eb="3">
      <t>モト</t>
    </rPh>
    <phoneticPr fontId="55"/>
  </si>
  <si>
    <t>導出元：HrsChemicalSubstanceEntry.newProductClass
※値がない場合、"-"（ハイフン）を出力</t>
    <rPh sb="0" eb="2">
      <t>ドウシュツ</t>
    </rPh>
    <rPh sb="2" eb="3">
      <t>モト</t>
    </rPh>
    <rPh sb="47" eb="48">
      <t>アタイ</t>
    </rPh>
    <rPh sb="51" eb="53">
      <t>バアイ</t>
    </rPh>
    <rPh sb="64" eb="66">
      <t>シュツリョク</t>
    </rPh>
    <phoneticPr fontId="55"/>
  </si>
  <si>
    <t>導出元：HrsChemicalSubstanceEntry.productSalesStatusClass
※値がない場合、"-"（ハイフン）を出力</t>
    <rPh sb="0" eb="2">
      <t>ドウシュツ</t>
    </rPh>
    <rPh sb="2" eb="3">
      <t>モト</t>
    </rPh>
    <rPh sb="55" eb="56">
      <t>アタイ</t>
    </rPh>
    <rPh sb="59" eb="61">
      <t>バアイ</t>
    </rPh>
    <rPh sb="72" eb="74">
      <t>シュツリョク</t>
    </rPh>
    <phoneticPr fontId="55"/>
  </si>
  <si>
    <t>導出元：HrsChemicalSubstanceEntry.pcnNo
※値がない場合、"-"（ハイフン）を出力</t>
    <rPh sb="0" eb="2">
      <t>ドウシュツ</t>
    </rPh>
    <rPh sb="2" eb="3">
      <t>モト</t>
    </rPh>
    <rPh sb="37" eb="38">
      <t>アタイ</t>
    </rPh>
    <rPh sb="41" eb="43">
      <t>バアイ</t>
    </rPh>
    <rPh sb="54" eb="56">
      <t>シュツリョク</t>
    </rPh>
    <phoneticPr fontId="55"/>
  </si>
  <si>
    <t>導出元：HrsChemicalSubstanceEntry.requestedCertificates
例：YES/空白（何も出力しない）
（HrsChemicalSubstanceEntry.requestedCertificatesの値をAppEnumGroup.ChemicalSubstanceDataと照合する。対応する証明書存在する場合、「YES」を出力、存在しない場合、何も出力しない。）</t>
    <phoneticPr fontId="55"/>
  </si>
  <si>
    <t>導出元：ChemicalSubstanceStatus(processing/processed/unprocessed)
[HrsChemicalSubstance.status == ChemicalSubstanceStatus.processed]
　[現在日時 &lt; HrsChemicalSubstance.expDate]
　　　　　　　　　　　が表示され、クリックすることでファイルをダウンロード可能。
　[現在日時 &gt;= HrsChemicalSubstance.expDate]
    「有効期限切れ」を表示する
[HrsChemicalSubstance.status == ChemicalSubstanceStatus.processing]
    「処理中」を表示する</t>
    <rPh sb="181" eb="183">
      <t>ヒョウジ</t>
    </rPh>
    <rPh sb="206" eb="208">
      <t>カノウ</t>
    </rPh>
    <rPh sb="256" eb="258">
      <t>ユウコウ</t>
    </rPh>
    <rPh sb="258" eb="260">
      <t>キゲン</t>
    </rPh>
    <rPh sb="260" eb="261">
      <t>ギ</t>
    </rPh>
    <rPh sb="264" eb="266">
      <t>ヒョウジ</t>
    </rPh>
    <rPh sb="342" eb="345">
      <t>ショリチュウ</t>
    </rPh>
    <phoneticPr fontId="55"/>
  </si>
  <si>
    <t>本画面に移動</t>
    <rPh sb="0" eb="3">
      <t>ホンガメン</t>
    </rPh>
    <rPh sb="4" eb="6">
      <t>イドウ</t>
    </rPh>
    <phoneticPr fontId="53"/>
  </si>
  <si>
    <t>処理詳細</t>
    <rPh sb="0" eb="2">
      <t>ショリ</t>
    </rPh>
    <rPh sb="2" eb="4">
      <t>ショウサイ</t>
    </rPh>
    <phoneticPr fontId="11"/>
  </si>
  <si>
    <t>１）　化学物質の申請履歴情報の取得</t>
    <rPh sb="15" eb="17">
      <t>シュトク</t>
    </rPh>
    <phoneticPr fontId="55"/>
  </si>
  <si>
    <t>主Type</t>
    <rPh sb="0" eb="1">
      <t>シュ</t>
    </rPh>
    <phoneticPr fontId="55"/>
  </si>
  <si>
    <t>HrsChemicalSubstance、HrsChemicalSubstanceEntry</t>
    <phoneticPr fontId="55"/>
  </si>
  <si>
    <t>抽出条件</t>
    <rPh sb="0" eb="2">
      <t>チュウシュツ</t>
    </rPh>
    <rPh sb="2" eb="4">
      <t>ジョウケン</t>
    </rPh>
    <phoneticPr fontId="55"/>
  </si>
  <si>
    <t>HrsChemicalSubstance.appNo=検索結果対象明細.申請番号</t>
    <rPh sb="27" eb="29">
      <t>ケンサク</t>
    </rPh>
    <rPh sb="29" eb="31">
      <t>ケッカ</t>
    </rPh>
    <rPh sb="31" eb="33">
      <t>タイショウ</t>
    </rPh>
    <rPh sb="33" eb="35">
      <t>メイサイ</t>
    </rPh>
    <rPh sb="36" eb="38">
      <t>シンセイ</t>
    </rPh>
    <rPh sb="38" eb="40">
      <t>バンゴウ</t>
    </rPh>
    <phoneticPr fontId="55"/>
  </si>
  <si>
    <t>画面で検索結果一覧の各申請番号を利用して申請番号ごとの環境証明書申請詳細情報を取得する。</t>
    <rPh sb="0" eb="2">
      <t>ガメン</t>
    </rPh>
    <rPh sb="3" eb="5">
      <t>ケンサク</t>
    </rPh>
    <rPh sb="5" eb="7">
      <t>ケッカ</t>
    </rPh>
    <rPh sb="7" eb="9">
      <t>イチラン</t>
    </rPh>
    <rPh sb="10" eb="11">
      <t>カク</t>
    </rPh>
    <rPh sb="11" eb="13">
      <t>シンセイ</t>
    </rPh>
    <rPh sb="13" eb="15">
      <t>バンゴウ</t>
    </rPh>
    <rPh sb="16" eb="18">
      <t>リヨウ</t>
    </rPh>
    <rPh sb="20" eb="24">
      <t>シンセイバンゴウ</t>
    </rPh>
    <rPh sb="27" eb="29">
      <t>カンキョウ</t>
    </rPh>
    <rPh sb="29" eb="34">
      <t>ショウメイショシンセイ</t>
    </rPh>
    <rPh sb="34" eb="36">
      <t>ショウサイ</t>
    </rPh>
    <rPh sb="36" eb="38">
      <t>ジョウホウ</t>
    </rPh>
    <rPh sb="39" eb="41">
      <t>シュトク</t>
    </rPh>
    <phoneticPr fontId="55"/>
  </si>
  <si>
    <t>１－１）CSVヘッダーのファイル出力例と導出元</t>
    <phoneticPr fontId="55"/>
  </si>
  <si>
    <t>項目</t>
    <rPh sb="0" eb="2">
      <t>コウモク</t>
    </rPh>
    <phoneticPr fontId="55"/>
  </si>
  <si>
    <t>導出元(Source)</t>
    <rPh sb="0" eb="2">
      <t>ドウシュツ</t>
    </rPh>
    <rPh sb="2" eb="3">
      <t>モト</t>
    </rPh>
    <phoneticPr fontId="55"/>
  </si>
  <si>
    <t>CLコード</t>
    <phoneticPr fontId="55"/>
  </si>
  <si>
    <t>CL Code（固定）</t>
    <rPh sb="8" eb="10">
      <t>コテイ</t>
    </rPh>
    <phoneticPr fontId="55"/>
  </si>
  <si>
    <t>証明書種類</t>
    <rPh sb="3" eb="5">
      <t>シュルイ</t>
    </rPh>
    <phoneticPr fontId="55"/>
  </si>
  <si>
    <t>証明書種類画面表示順序（AppEnumGroup.ChemicalSubstanceDataで定義されたもの）</t>
    <rPh sb="0" eb="5">
      <t>ショウメイショシュルイ</t>
    </rPh>
    <rPh sb="5" eb="7">
      <t>ガメン</t>
    </rPh>
    <rPh sb="7" eb="9">
      <t>ヒョウジ</t>
    </rPh>
    <rPh sb="9" eb="11">
      <t>ジュンジョ</t>
    </rPh>
    <phoneticPr fontId="55"/>
  </si>
  <si>
    <t>１－２）CSV本文のファイル出力例と導出元</t>
    <rPh sb="7" eb="9">
      <t>ホンブン</t>
    </rPh>
    <phoneticPr fontId="55"/>
  </si>
  <si>
    <t>導出元(Source)</t>
    <phoneticPr fontId="55"/>
  </si>
  <si>
    <t>環境証明書申請詳細.CLコード（※１）から取得したデータ）</t>
    <rPh sb="0" eb="2">
      <t>カンキョウ</t>
    </rPh>
    <rPh sb="2" eb="5">
      <t>ショウメイショ</t>
    </rPh>
    <rPh sb="5" eb="7">
      <t>シンセイ</t>
    </rPh>
    <rPh sb="7" eb="9">
      <t>ショウサイ</t>
    </rPh>
    <rPh sb="21" eb="23">
      <t>シュトク</t>
    </rPh>
    <phoneticPr fontId="55"/>
  </si>
  <si>
    <t>証明書種類結果</t>
    <rPh sb="3" eb="5">
      <t>シュルイ</t>
    </rPh>
    <phoneticPr fontId="55"/>
  </si>
  <si>
    <t>対応する証明書がHrsChemicalSubstanceEntry.requestedCertificatesに存在する場合、「YES」を出力する。
対応する証明書がHrsChemicalSubstanceEntry.requestedCertificatesに存在しない場合、「ー」（ハイフォン）を出力する。</t>
    <rPh sb="0" eb="2">
      <t>タイオウ</t>
    </rPh>
    <rPh sb="56" eb="58">
      <t>ソンザイ</t>
    </rPh>
    <rPh sb="69" eb="71">
      <t>シュツリョク</t>
    </rPh>
    <phoneticPr fontId="55"/>
  </si>
  <si>
    <t>２）　申請書ダウンロード</t>
    <rPh sb="3" eb="6">
      <t>シンセイショ</t>
    </rPh>
    <phoneticPr fontId="55"/>
  </si>
  <si>
    <t>以下の通りS3から申請書ファイルロードする。</t>
    <rPh sb="0" eb="2">
      <t>イカ</t>
    </rPh>
    <rPh sb="3" eb="4">
      <t>トオ</t>
    </rPh>
    <rPh sb="9" eb="11">
      <t>シンセイ</t>
    </rPh>
    <rPh sb="11" eb="12">
      <t>ショ</t>
    </rPh>
    <phoneticPr fontId="55"/>
  </si>
  <si>
    <t>パス：[S3バケット][フォルダパス]/{受付番号}.zip</t>
    <phoneticPr fontId="55"/>
  </si>
  <si>
    <t>：</t>
    <phoneticPr fontId="55"/>
  </si>
  <si>
    <t>該当のHrsChemicalSubstance.appNo</t>
    <rPh sb="0" eb="2">
      <t>ガイトウ</t>
    </rPh>
    <phoneticPr fontId="55"/>
  </si>
  <si>
    <t>上記パスはlocal.propertiesから取得すること</t>
    <rPh sb="0" eb="2">
      <t>ジョウキ</t>
    </rPh>
    <rPh sb="23" eb="25">
      <t>シュトク</t>
    </rPh>
    <phoneticPr fontId="84"/>
  </si>
  <si>
    <t>取得キーは、以下の通り。</t>
    <rPh sb="0" eb="2">
      <t>シュトク</t>
    </rPh>
    <rPh sb="6" eb="8">
      <t>イカ</t>
    </rPh>
    <rPh sb="9" eb="10">
      <t>トオ</t>
    </rPh>
    <phoneticPr fontId="85"/>
  </si>
  <si>
    <t>S3バケット</t>
  </si>
  <si>
    <t>：</t>
  </si>
  <si>
    <t>if.batch.aws.s3.gm.bucketName</t>
  </si>
  <si>
    <t>フォルダパス</t>
    <phoneticPr fontId="55"/>
  </si>
  <si>
    <t>if.batch.aws.s3.directory.path.gm.backup.receive.cert</t>
    <phoneticPr fontId="55"/>
  </si>
  <si>
    <t>例：S3バケット：/sys-interface/gm/data/rcv/cert/2019-00001.zip</t>
  </si>
  <si>
    <t>※プロパティ名は ~backup.receive.cert となっているがフォルダはデータ取込済みフォルダを定義している。</t>
    <rPh sb="6" eb="7">
      <t>メイ</t>
    </rPh>
    <rPh sb="45" eb="47">
      <t>トリコミ</t>
    </rPh>
    <rPh sb="47" eb="48">
      <t>ズ</t>
    </rPh>
    <phoneticPr fontId="55"/>
  </si>
  <si>
    <t>※ダウンロードファイルはバッチ処理にてフォルダパスに配置される。</t>
    <rPh sb="15" eb="17">
      <t>ショリ</t>
    </rPh>
    <rPh sb="26" eb="28">
      <t>ハイチ</t>
    </rPh>
    <phoneticPr fontId="55"/>
  </si>
  <si>
    <t xml:space="preserve"> 　バッチ処理の詳細についてはバッチ定義書を参照。</t>
    <rPh sb="5" eb="7">
      <t>ショリ</t>
    </rPh>
    <rPh sb="8" eb="10">
      <t>ショウサイ</t>
    </rPh>
    <rPh sb="18" eb="21">
      <t>テイギショ</t>
    </rPh>
    <rPh sb="22" eb="24">
      <t>サンショウ</t>
    </rPh>
    <phoneticPr fontId="55"/>
  </si>
  <si>
    <t>　 参照ファイル：「SEBT060_バッチ機能定義書_環境証明書取込みバッチ.xlsx」</t>
    <rPh sb="2" eb="4">
      <t>サンショウ</t>
    </rPh>
    <phoneticPr fontId="55"/>
  </si>
  <si>
    <t>3）　初期表示時の検索処理</t>
    <rPh sb="3" eb="5">
      <t>ショキ</t>
    </rPh>
    <rPh sb="5" eb="7">
      <t>ヒョウジ</t>
    </rPh>
    <rPh sb="7" eb="8">
      <t>ジ</t>
    </rPh>
    <rPh sb="9" eb="11">
      <t>ケンサク</t>
    </rPh>
    <rPh sb="11" eb="13">
      <t>ショリ</t>
    </rPh>
    <phoneticPr fontId="55"/>
  </si>
  <si>
    <t>ログインユーザに紐付く申請履歴データを取得する。</t>
    <rPh sb="8" eb="9">
      <t>ヒモ</t>
    </rPh>
    <rPh sb="9" eb="10">
      <t>ツ</t>
    </rPh>
    <rPh sb="11" eb="13">
      <t>シンセイ</t>
    </rPh>
    <rPh sb="13" eb="15">
      <t>リレキ</t>
    </rPh>
    <rPh sb="19" eb="21">
      <t>シュトク</t>
    </rPh>
    <phoneticPr fontId="55"/>
  </si>
  <si>
    <t>HrsChemicalSubstance</t>
    <phoneticPr fontId="55"/>
  </si>
  <si>
    <t>HrsChemicalSubstance.member = ログインユーザ</t>
    <phoneticPr fontId="55"/>
  </si>
</sst>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76" formatCode="#,##0;\-#,##0;&quot;-&quot;"/>
    <numFmt numFmtId="177" formatCode="0.00_)"/>
    <numFmt numFmtId="178" formatCode="#,##0.00;[Red]\(#,##0.00\)"/>
    <numFmt numFmtId="179" formatCode="#,##0_ ;[Red]\-#,##0\ "/>
    <numFmt numFmtId="180" formatCode="yyyy/mm/dd"/>
  </numFmts>
  <fonts count="86">
    <font>
      <sz val="11"/>
      <color theme="1"/>
      <name val="ＭＳ Ｐゴシック"/>
      <family val="3"/>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6"/>
      <name val="ＭＳ Ｐゴシック"/>
      <family val="3"/>
      <charset val="128"/>
    </font>
    <font>
      <sz val="6"/>
      <name val="ＭＳ Ｐゴシック"/>
      <family val="3"/>
      <charset val="128"/>
    </font>
    <font>
      <sz val="11"/>
      <name val="ＭＳ Ｐゴシック"/>
      <family val="3"/>
      <charset val="128"/>
    </font>
    <font>
      <sz val="11"/>
      <name val="Arial Black"/>
      <family val="2"/>
    </font>
    <font>
      <sz val="12"/>
      <name val="ＭＳ Ｐゴシック"/>
      <family val="3"/>
      <charset val="128"/>
    </font>
    <font>
      <sz val="16"/>
      <name val="ＭＳ Ｐゴシック"/>
      <family val="3"/>
      <charset val="128"/>
    </font>
    <font>
      <b/>
      <u/>
      <sz val="10"/>
      <name val="ＭＳ Ｐゴシック"/>
      <family val="3"/>
      <charset val="128"/>
    </font>
    <font>
      <b/>
      <sz val="10"/>
      <name val="ＭＳ Ｐゴシック"/>
      <family val="3"/>
      <charset val="128"/>
    </font>
    <font>
      <sz val="10"/>
      <name val="ＭＳ Ｐゴシック"/>
      <family val="3"/>
      <charset val="128"/>
    </font>
    <font>
      <sz val="9"/>
      <name val="ＭＳ Ｐゴシック"/>
      <family val="3"/>
      <charset val="128"/>
    </font>
    <font>
      <sz val="8"/>
      <name val="ＭＳ Ｐゴシック"/>
      <family val="3"/>
      <charset val="128"/>
    </font>
    <font>
      <sz val="11"/>
      <name val="ＭＳ 明朝"/>
      <family val="1"/>
      <charset val="128"/>
    </font>
    <font>
      <sz val="10"/>
      <color indexed="8"/>
      <name val="Arial"/>
      <family val="2"/>
    </font>
    <font>
      <b/>
      <sz val="10"/>
      <color indexed="9"/>
      <name val="ＭＳ ゴシック"/>
      <family val="3"/>
      <charset val="128"/>
    </font>
    <font>
      <b/>
      <sz val="8"/>
      <color indexed="9"/>
      <name val="ＭＳ ゴシック"/>
      <family val="3"/>
      <charset val="128"/>
    </font>
    <font>
      <b/>
      <sz val="8"/>
      <color indexed="8"/>
      <name val="ＭＳ ゴシック"/>
      <family val="3"/>
      <charset val="128"/>
    </font>
    <font>
      <sz val="9"/>
      <name val="Times New Roman"/>
      <family val="1"/>
    </font>
    <font>
      <sz val="8"/>
      <name val="Arial"/>
      <family val="2"/>
    </font>
    <font>
      <b/>
      <sz val="12"/>
      <name val="Arial"/>
      <family val="2"/>
    </font>
    <font>
      <b/>
      <sz val="10"/>
      <color indexed="8"/>
      <name val="ＭＳ ゴシック"/>
      <family val="3"/>
      <charset val="128"/>
    </font>
    <font>
      <b/>
      <i/>
      <sz val="16"/>
      <name val="Helv"/>
      <family val="2"/>
    </font>
    <font>
      <sz val="10"/>
      <name val="Arial"/>
      <family val="2"/>
    </font>
    <font>
      <sz val="10"/>
      <color indexed="8"/>
      <name val="_x001b_$B#M#S_x001b_(B _x001b_$B%4%7%C%/_x001b_(B"/>
      <family val="1"/>
    </font>
    <font>
      <b/>
      <i/>
      <sz val="10"/>
      <color indexed="8"/>
      <name val="_x001b_$B#M#S_x001b_(B _x001b_$B%4%7%C%/_x001b_(B"/>
      <family val="1"/>
    </font>
    <font>
      <b/>
      <sz val="10"/>
      <color indexed="9"/>
      <name val="_x001b_$B#M#S_x001b_(B _x001b_$B%4%7%C%/_x001b_(B"/>
      <family val="1"/>
    </font>
    <font>
      <b/>
      <sz val="10"/>
      <color indexed="17"/>
      <name val="_x001b_$B#M#S_x001b_(B _x001b_$B%4%7%C%/_x001b_(B"/>
      <family val="1"/>
    </font>
    <font>
      <b/>
      <sz val="16"/>
      <color indexed="13"/>
      <name val="_x001b_$B#M#S_x001b_(B _x001b_$B%4%7%C%/_x001b_(B"/>
      <family val="1"/>
    </font>
    <font>
      <b/>
      <sz val="12"/>
      <color indexed="8"/>
      <name val="ＭＳ ゴシック"/>
      <family val="3"/>
      <charset val="128"/>
    </font>
    <font>
      <sz val="8"/>
      <color indexed="16"/>
      <name val="Century Schoolbook"/>
      <family val="1"/>
    </font>
    <font>
      <sz val="8"/>
      <color indexed="8"/>
      <name val="ＭＳ ゴシック"/>
      <family val="3"/>
      <charset val="128"/>
    </font>
    <font>
      <sz val="8"/>
      <color indexed="12"/>
      <name val="ＭＳ ゴシック"/>
      <family val="3"/>
      <charset val="128"/>
    </font>
    <font>
      <b/>
      <i/>
      <sz val="10"/>
      <name val="Times New Roman"/>
      <family val="1"/>
    </font>
    <font>
      <b/>
      <sz val="11"/>
      <name val="Helv"/>
      <family val="2"/>
    </font>
    <font>
      <b/>
      <sz val="9"/>
      <name val="Times New Roman"/>
      <family val="1"/>
    </font>
    <font>
      <sz val="8"/>
      <color indexed="8"/>
      <name val="Wingdings"/>
      <charset val="2"/>
    </font>
    <font>
      <sz val="11"/>
      <name val="明朝"/>
      <family val="3"/>
      <charset val="128"/>
    </font>
    <font>
      <sz val="14"/>
      <name val="ＭＳ 明朝"/>
      <family val="1"/>
      <charset val="128"/>
    </font>
    <font>
      <b/>
      <sz val="9"/>
      <name val="ＭＳ Ｐゴシック"/>
      <family val="3"/>
      <charset val="128"/>
    </font>
    <font>
      <sz val="6"/>
      <name val="ＭＳ Ｐゴシック"/>
      <family val="3"/>
      <charset val="128"/>
    </font>
    <font>
      <b/>
      <sz val="10"/>
      <color indexed="9"/>
      <name val="ＭＳ Ｐゴシック"/>
      <family val="3"/>
      <charset val="128"/>
    </font>
    <font>
      <sz val="10"/>
      <color theme="1"/>
      <name val="ＭＳ Ｐゴシック"/>
      <family val="3"/>
      <charset val="128"/>
      <scheme val="minor"/>
    </font>
    <font>
      <b/>
      <sz val="12"/>
      <color theme="0"/>
      <name val="ＭＳ Ｐゴシック"/>
      <family val="3"/>
      <charset val="128"/>
      <scheme val="minor"/>
    </font>
    <font>
      <sz val="6"/>
      <name val="ＭＳ Ｐゴシック"/>
      <family val="3"/>
      <charset val="128"/>
      <scheme val="minor"/>
    </font>
    <font>
      <sz val="11"/>
      <color theme="1"/>
      <name val="ＭＳ Ｐゴシック"/>
      <family val="2"/>
      <scheme val="minor"/>
    </font>
    <font>
      <sz val="6"/>
      <name val="ＭＳ Ｐゴシック"/>
      <family val="2"/>
      <charset val="128"/>
      <scheme val="minor"/>
    </font>
    <font>
      <sz val="11"/>
      <color theme="1"/>
      <name val="ＭＳ Ｐゴシック"/>
      <family val="3"/>
      <charset val="128"/>
      <scheme val="minor"/>
    </font>
    <font>
      <sz val="9"/>
      <color theme="1"/>
      <name val="ＭＳ Ｐゴシック"/>
      <family val="3"/>
      <charset val="128"/>
      <scheme val="minor"/>
    </font>
    <font>
      <b/>
      <sz val="12"/>
      <name val="Arial Black"/>
      <family val="2"/>
    </font>
    <font>
      <sz val="10"/>
      <color theme="0"/>
      <name val="Meiryo UI"/>
      <family val="3"/>
      <charset val="128"/>
    </font>
    <font>
      <sz val="10"/>
      <name val="Meiryo UI"/>
      <family val="3"/>
      <charset val="128"/>
    </font>
    <font>
      <sz val="10"/>
      <color theme="1"/>
      <name val="Meiryo UI"/>
      <family val="3"/>
      <charset val="128"/>
    </font>
    <font>
      <sz val="11"/>
      <color theme="1"/>
      <name val="Meiryo UI"/>
      <family val="3"/>
      <charset val="128"/>
    </font>
    <font>
      <sz val="11"/>
      <color rgb="FFFF0000"/>
      <name val="Meiryo UI"/>
      <family val="3"/>
      <charset val="128"/>
    </font>
    <font>
      <b/>
      <sz val="10"/>
      <color theme="1"/>
      <name val="Meiryo UI"/>
      <family val="3"/>
      <charset val="128"/>
    </font>
    <font>
      <sz val="9"/>
      <name val="Meiryo UI"/>
      <family val="3"/>
      <charset val="128"/>
    </font>
    <font>
      <sz val="11"/>
      <name val="Meiryo UI"/>
      <family val="3"/>
      <charset val="128"/>
    </font>
    <font>
      <sz val="16"/>
      <name val="Meiryo UI"/>
      <family val="3"/>
      <charset val="128"/>
    </font>
    <font>
      <b/>
      <sz val="10"/>
      <name val="Meiryo UI"/>
      <family val="3"/>
      <charset val="128"/>
    </font>
    <font>
      <sz val="8"/>
      <name val="Meiryo UI"/>
      <family val="3"/>
      <charset val="128"/>
    </font>
    <font>
      <sz val="8"/>
      <color theme="1"/>
      <name val="Meiryo UI"/>
      <family val="3"/>
      <charset val="128"/>
    </font>
    <font>
      <sz val="8"/>
      <color rgb="FF0000FF"/>
      <name val="Meiryo UI"/>
      <family val="3"/>
      <charset val="128"/>
    </font>
    <font>
      <sz val="6"/>
      <name val="Meiryo UI"/>
      <family val="3"/>
      <charset val="128"/>
    </font>
    <font>
      <sz val="6"/>
      <color theme="1"/>
      <name val="Meiryo UI"/>
      <family val="3"/>
      <charset val="128"/>
    </font>
    <font>
      <sz val="7.5"/>
      <color theme="0"/>
      <name val="Meiryo UI"/>
      <family val="3"/>
      <charset val="128"/>
    </font>
    <font>
      <sz val="10"/>
      <color rgb="FFFF9900"/>
      <name val="Meiryo UI"/>
      <family val="3"/>
      <charset val="128"/>
    </font>
    <font>
      <sz val="9"/>
      <color theme="1"/>
      <name val="Meiryo UI"/>
      <family val="3"/>
      <charset val="128"/>
    </font>
    <font>
      <b/>
      <sz val="11"/>
      <name val="Meiryo UI"/>
      <family val="3"/>
      <charset val="128"/>
    </font>
    <font>
      <b/>
      <sz val="9"/>
      <name val="Meiryo UI"/>
      <family val="3"/>
      <charset val="128"/>
    </font>
    <font>
      <sz val="9"/>
      <color indexed="81"/>
      <name val="ＭＳ Ｐゴシック"/>
      <family val="3"/>
      <charset val="128"/>
    </font>
    <font>
      <sz val="9"/>
      <color indexed="8"/>
      <name val="ＭＳ Ｐゴシック"/>
      <family val="3"/>
      <charset val="128"/>
    </font>
    <font>
      <sz val="7.5"/>
      <name val="Meiryo UI"/>
      <family val="3"/>
      <charset val="128"/>
    </font>
    <font>
      <sz val="7"/>
      <name val="Meiryo UI"/>
      <family val="3"/>
      <charset val="128"/>
    </font>
    <font>
      <sz val="9"/>
      <color rgb="FFFF0000"/>
      <name val="Meiryo UI"/>
      <family val="3"/>
      <charset val="128"/>
    </font>
    <font>
      <b/>
      <sz val="9"/>
      <color indexed="81"/>
      <name val="ＭＳ Ｐゴシック"/>
      <family val="3"/>
      <charset val="128"/>
    </font>
    <font>
      <sz val="12"/>
      <name val="Meiryo UI"/>
      <family val="3"/>
      <charset val="128"/>
    </font>
  </fonts>
  <fills count="28">
    <fill>
      <patternFill patternType="none"/>
    </fill>
    <fill>
      <patternFill patternType="gray125"/>
    </fill>
    <fill>
      <patternFill patternType="solid">
        <fgColor indexed="47"/>
      </patternFill>
    </fill>
    <fill>
      <patternFill patternType="solid">
        <fgColor indexed="12"/>
      </patternFill>
    </fill>
    <fill>
      <patternFill patternType="solid">
        <fgColor indexed="9"/>
      </patternFill>
    </fill>
    <fill>
      <patternFill patternType="solid">
        <fgColor indexed="22"/>
        <bgColor indexed="64"/>
      </patternFill>
    </fill>
    <fill>
      <patternFill patternType="solid">
        <fgColor indexed="26"/>
        <bgColor indexed="64"/>
      </patternFill>
    </fill>
    <fill>
      <patternFill patternType="solid">
        <fgColor indexed="13"/>
      </patternFill>
    </fill>
    <fill>
      <patternFill patternType="solid">
        <fgColor indexed="17"/>
      </patternFill>
    </fill>
    <fill>
      <patternFill patternType="solid">
        <fgColor indexed="43"/>
      </patternFill>
    </fill>
    <fill>
      <patternFill patternType="solid">
        <fgColor indexed="9"/>
        <bgColor indexed="64"/>
      </patternFill>
    </fill>
    <fill>
      <patternFill patternType="solid">
        <fgColor indexed="42"/>
        <bgColor indexed="64"/>
      </patternFill>
    </fill>
    <fill>
      <patternFill patternType="solid">
        <fgColor indexed="43"/>
        <bgColor indexed="64"/>
      </patternFill>
    </fill>
    <fill>
      <patternFill patternType="solid">
        <fgColor indexed="8"/>
        <bgColor indexed="64"/>
      </patternFill>
    </fill>
    <fill>
      <patternFill patternType="solid">
        <fgColor theme="0"/>
        <bgColor indexed="64"/>
      </patternFill>
    </fill>
    <fill>
      <patternFill patternType="solid">
        <fgColor rgb="FFFFCC66"/>
        <bgColor indexed="64"/>
      </patternFill>
    </fill>
    <fill>
      <patternFill patternType="solid">
        <fgColor rgb="FFCCCCFF"/>
        <bgColor indexed="64"/>
      </patternFill>
    </fill>
    <fill>
      <patternFill patternType="solid">
        <fgColor theme="1"/>
        <bgColor indexed="64"/>
      </patternFill>
    </fill>
    <fill>
      <patternFill patternType="solid">
        <fgColor theme="0" tint="-0.14999847407452621"/>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theme="0" tint="-0.14996795556505021"/>
        <bgColor indexed="64"/>
      </patternFill>
    </fill>
    <fill>
      <patternFill patternType="solid">
        <fgColor rgb="FFCCECFF"/>
        <bgColor indexed="64"/>
      </patternFill>
    </fill>
    <fill>
      <patternFill patternType="solid">
        <fgColor rgb="FFFFFFFF"/>
        <bgColor indexed="64"/>
      </patternFill>
    </fill>
    <fill>
      <patternFill patternType="solid">
        <fgColor rgb="FFC0C0C0"/>
        <bgColor indexed="64"/>
      </patternFill>
    </fill>
    <fill>
      <patternFill patternType="solid">
        <fgColor rgb="FF969696"/>
        <bgColor indexed="64"/>
      </patternFill>
    </fill>
    <fill>
      <patternFill patternType="solid">
        <fgColor theme="0" tint="-0.249977111117893"/>
        <bgColor indexed="64"/>
      </patternFill>
    </fill>
    <fill>
      <patternFill patternType="solid">
        <fgColor theme="0" tint="-0.34998626667073579"/>
        <bgColor indexed="64"/>
      </patternFill>
    </fill>
  </fills>
  <borders count="64">
    <border>
      <left/>
      <right/>
      <top/>
      <bottom/>
      <diagonal/>
    </border>
    <border>
      <left/>
      <right/>
      <top style="medium">
        <color indexed="64"/>
      </top>
      <bottom style="medium">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hair">
        <color indexed="64"/>
      </bottom>
      <diagonal/>
    </border>
    <border>
      <left style="thin">
        <color indexed="64"/>
      </left>
      <right style="thin">
        <color indexed="64"/>
      </right>
      <top style="hair">
        <color indexed="64"/>
      </top>
      <bottom style="thin">
        <color indexed="64"/>
      </bottom>
      <diagonal/>
    </border>
    <border>
      <left style="thin">
        <color indexed="64"/>
      </left>
      <right/>
      <top/>
      <bottom/>
      <diagonal/>
    </border>
    <border>
      <left style="thin">
        <color indexed="64"/>
      </left>
      <right/>
      <top/>
      <bottom style="thin">
        <color indexed="64"/>
      </bottom>
      <diagonal/>
    </border>
    <border>
      <left/>
      <right/>
      <top/>
      <bottom style="thin">
        <color indexed="64"/>
      </bottom>
      <diagonal/>
    </border>
    <border>
      <left/>
      <right style="thin">
        <color indexed="64"/>
      </right>
      <top style="hair">
        <color indexed="64"/>
      </top>
      <bottom style="hair">
        <color indexed="64"/>
      </bottom>
      <diagonal/>
    </border>
    <border>
      <left style="thin">
        <color indexed="64"/>
      </left>
      <right/>
      <top style="thin">
        <color indexed="64"/>
      </top>
      <bottom style="thin">
        <color indexed="64"/>
      </bottom>
      <diagonal/>
    </border>
    <border>
      <left/>
      <right style="thin">
        <color indexed="64"/>
      </right>
      <top/>
      <bottom/>
      <diagonal/>
    </border>
    <border>
      <left/>
      <right/>
      <top style="thin">
        <color indexed="64"/>
      </top>
      <bottom/>
      <diagonal/>
    </border>
    <border>
      <left/>
      <right style="thin">
        <color indexed="64"/>
      </right>
      <top style="thin">
        <color indexed="64"/>
      </top>
      <bottom/>
      <diagonal/>
    </border>
    <border>
      <left/>
      <right style="thin">
        <color indexed="64"/>
      </right>
      <top/>
      <bottom style="thin">
        <color indexed="64"/>
      </bottom>
      <diagonal/>
    </border>
    <border>
      <left style="thin">
        <color indexed="64"/>
      </left>
      <right/>
      <top style="thin">
        <color indexed="64"/>
      </top>
      <bottom/>
      <diagonal/>
    </border>
    <border>
      <left/>
      <right/>
      <top style="hair">
        <color indexed="64"/>
      </top>
      <bottom style="hair">
        <color indexed="64"/>
      </bottom>
      <diagonal/>
    </border>
    <border>
      <left/>
      <right style="thin">
        <color indexed="64"/>
      </right>
      <top style="thin">
        <color indexed="64"/>
      </top>
      <bottom style="thin">
        <color indexed="64"/>
      </bottom>
      <diagonal/>
    </border>
    <border>
      <left/>
      <right style="thin">
        <color indexed="64"/>
      </right>
      <top style="hair">
        <color indexed="64"/>
      </top>
      <bottom/>
      <diagonal/>
    </border>
    <border>
      <left/>
      <right/>
      <top style="thin">
        <color indexed="64"/>
      </top>
      <bottom style="hair">
        <color indexed="64"/>
      </bottom>
      <diagonal/>
    </border>
    <border>
      <left/>
      <right style="thin">
        <color indexed="64"/>
      </right>
      <top style="thin">
        <color indexed="64"/>
      </top>
      <bottom style="hair">
        <color indexed="64"/>
      </bottom>
      <diagonal/>
    </border>
    <border>
      <left/>
      <right style="thin">
        <color indexed="64"/>
      </right>
      <top style="hair">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hair">
        <color indexed="64"/>
      </top>
      <bottom/>
      <diagonal/>
    </border>
    <border>
      <left/>
      <right/>
      <top/>
      <bottom style="thin">
        <color theme="0" tint="-0.14999847407452621"/>
      </bottom>
      <diagonal/>
    </border>
    <border>
      <left/>
      <right style="thin">
        <color theme="0" tint="-0.14999847407452621"/>
      </right>
      <top/>
      <bottom/>
      <diagonal/>
    </border>
    <border>
      <left/>
      <right/>
      <top/>
      <bottom style="thin">
        <color theme="0"/>
      </bottom>
      <diagonal/>
    </border>
    <border>
      <left style="thin">
        <color theme="0" tint="-0.249977111117893"/>
      </left>
      <right/>
      <top style="thin">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diagonal/>
    </border>
    <border>
      <left/>
      <right/>
      <top style="thin">
        <color theme="0" tint="-0.34998626667073579"/>
      </top>
      <bottom/>
      <diagonal/>
    </border>
    <border>
      <left/>
      <right style="thin">
        <color theme="0" tint="-0.34998626667073579"/>
      </right>
      <top style="thin">
        <color theme="0" tint="-0.34998626667073579"/>
      </top>
      <bottom/>
      <diagonal/>
    </border>
    <border>
      <left style="thin">
        <color theme="0" tint="-0.34998626667073579"/>
      </left>
      <right/>
      <top/>
      <bottom style="thin">
        <color theme="0" tint="-0.34998626667073579"/>
      </bottom>
      <diagonal/>
    </border>
    <border>
      <left/>
      <right/>
      <top/>
      <bottom style="thin">
        <color theme="0" tint="-0.34998626667073579"/>
      </bottom>
      <diagonal/>
    </border>
    <border>
      <left/>
      <right style="thin">
        <color theme="0" tint="-0.34998626667073579"/>
      </right>
      <top/>
      <bottom style="thin">
        <color theme="0" tint="-0.34998626667073579"/>
      </bottom>
      <diagonal/>
    </border>
    <border>
      <left style="thin">
        <color indexed="64"/>
      </left>
      <right/>
      <top style="hair">
        <color indexed="64"/>
      </top>
      <bottom style="hair">
        <color indexed="64"/>
      </bottom>
      <diagonal/>
    </border>
    <border>
      <left/>
      <right style="thin">
        <color indexed="0"/>
      </right>
      <top style="thin">
        <color indexed="64"/>
      </top>
      <bottom style="thin">
        <color indexed="64"/>
      </bottom>
      <diagonal/>
    </border>
    <border>
      <left style="thin">
        <color indexed="0"/>
      </left>
      <right/>
      <top/>
      <bottom style="thin">
        <color indexed="0"/>
      </bottom>
      <diagonal/>
    </border>
    <border>
      <left/>
      <right/>
      <top/>
      <bottom style="thin">
        <color indexed="0"/>
      </bottom>
      <diagonal/>
    </border>
    <border>
      <left/>
      <right style="thin">
        <color indexed="0"/>
      </right>
      <top/>
      <bottom style="thin">
        <color indexed="0"/>
      </bottom>
      <diagonal/>
    </border>
    <border>
      <left style="thin">
        <color indexed="0"/>
      </left>
      <right/>
      <top style="thin">
        <color indexed="64"/>
      </top>
      <bottom style="thin">
        <color indexed="64"/>
      </bottom>
      <diagonal/>
    </border>
    <border>
      <left style="thin">
        <color indexed="0"/>
      </left>
      <right/>
      <top style="thin">
        <color indexed="64"/>
      </top>
      <bottom style="thin">
        <color indexed="0"/>
      </bottom>
      <diagonal/>
    </border>
    <border>
      <left/>
      <right/>
      <top style="thin">
        <color indexed="64"/>
      </top>
      <bottom style="thin">
        <color indexed="0"/>
      </bottom>
      <diagonal/>
    </border>
    <border>
      <left/>
      <right style="thin">
        <color indexed="0"/>
      </right>
      <top style="thin">
        <color indexed="64"/>
      </top>
      <bottom style="thin">
        <color indexed="0"/>
      </bottom>
      <diagonal/>
    </border>
    <border>
      <left style="thin">
        <color indexed="0"/>
      </left>
      <right/>
      <top style="thin">
        <color indexed="0"/>
      </top>
      <bottom style="thin">
        <color indexed="0"/>
      </bottom>
      <diagonal/>
    </border>
    <border>
      <left/>
      <right/>
      <top style="thin">
        <color indexed="0"/>
      </top>
      <bottom style="thin">
        <color indexed="0"/>
      </bottom>
      <diagonal/>
    </border>
    <border>
      <left/>
      <right style="thin">
        <color indexed="0"/>
      </right>
      <top style="thin">
        <color indexed="0"/>
      </top>
      <bottom style="thin">
        <color indexed="0"/>
      </bottom>
      <diagonal/>
    </border>
    <border>
      <left style="thin">
        <color indexed="0"/>
      </left>
      <right/>
      <top style="thin">
        <color indexed="0"/>
      </top>
      <bottom style="thin">
        <color indexed="64"/>
      </bottom>
      <diagonal/>
    </border>
    <border>
      <left/>
      <right/>
      <top style="thin">
        <color indexed="0"/>
      </top>
      <bottom style="thin">
        <color indexed="64"/>
      </bottom>
      <diagonal/>
    </border>
    <border>
      <left/>
      <right style="thin">
        <color indexed="0"/>
      </right>
      <top style="thin">
        <color indexed="0"/>
      </top>
      <bottom style="thin">
        <color indexed="64"/>
      </bottom>
      <diagonal/>
    </border>
    <border>
      <left style="thin">
        <color indexed="0"/>
      </left>
      <right/>
      <top style="thin">
        <color indexed="0"/>
      </top>
      <bottom/>
      <diagonal/>
    </border>
    <border>
      <left/>
      <right/>
      <top style="thin">
        <color indexed="0"/>
      </top>
      <bottom/>
      <diagonal/>
    </border>
    <border>
      <left/>
      <right style="thin">
        <color indexed="0"/>
      </right>
      <top style="thin">
        <color indexed="0"/>
      </top>
      <bottom/>
      <diagonal/>
    </border>
    <border>
      <left style="thin">
        <color indexed="64"/>
      </left>
      <right/>
      <top style="hair">
        <color indexed="64"/>
      </top>
      <bottom style="thin">
        <color indexed="64"/>
      </bottom>
      <diagonal/>
    </border>
    <border>
      <left style="thin">
        <color theme="0" tint="-0.249977111117893"/>
      </left>
      <right/>
      <top style="thin">
        <color theme="0" tint="-0.249977111117893"/>
      </top>
      <bottom/>
      <diagonal/>
    </border>
    <border>
      <left/>
      <right/>
      <top style="thin">
        <color theme="0" tint="-0.249977111117893"/>
      </top>
      <bottom/>
      <diagonal/>
    </border>
    <border>
      <left/>
      <right style="thin">
        <color theme="0" tint="-0.249977111117893"/>
      </right>
      <top style="thin">
        <color theme="0" tint="-0.249977111117893"/>
      </top>
      <bottom/>
      <diagonal/>
    </border>
    <border>
      <left style="thin">
        <color theme="0" tint="-0.249977111117893"/>
      </left>
      <right/>
      <top/>
      <bottom style="thin">
        <color theme="0" tint="-0.249977111117893"/>
      </bottom>
      <diagonal/>
    </border>
    <border>
      <left/>
      <right/>
      <top/>
      <bottom style="thin">
        <color theme="0" tint="-0.249977111117893"/>
      </bottom>
      <diagonal/>
    </border>
    <border>
      <left/>
      <right style="thin">
        <color theme="0" tint="-0.249977111117893"/>
      </right>
      <top/>
      <bottom style="thin">
        <color theme="0" tint="-0.249977111117893"/>
      </bottom>
      <diagonal/>
    </border>
  </borders>
  <cellStyleXfs count="187">
    <xf numFmtId="0" fontId="0" fillId="0" borderId="0">
      <alignment vertical="center"/>
    </xf>
    <xf numFmtId="0" fontId="22" fillId="0" borderId="0"/>
    <xf numFmtId="0" fontId="22" fillId="0" borderId="0"/>
    <xf numFmtId="176" fontId="23" fillId="0" borderId="0" applyFill="0" applyBorder="0" applyAlignment="0"/>
    <xf numFmtId="0" fontId="24" fillId="3" borderId="0">
      <alignment horizontal="left"/>
    </xf>
    <xf numFmtId="0" fontId="25" fillId="3" borderId="0">
      <alignment horizontal="right"/>
    </xf>
    <xf numFmtId="0" fontId="26" fillId="4" borderId="0">
      <alignment horizontal="center"/>
    </xf>
    <xf numFmtId="0" fontId="25" fillId="3" borderId="0">
      <alignment horizontal="right"/>
    </xf>
    <xf numFmtId="0" fontId="26" fillId="4" borderId="0">
      <alignment horizontal="left"/>
    </xf>
    <xf numFmtId="0" fontId="27" fillId="0" borderId="0">
      <alignment horizontal="left"/>
    </xf>
    <xf numFmtId="38" fontId="28" fillId="5" borderId="0" applyNumberFormat="0" applyBorder="0" applyAlignment="0" applyProtection="0"/>
    <xf numFmtId="0" fontId="29" fillId="0" borderId="1" applyNumberFormat="0" applyAlignment="0" applyProtection="0">
      <alignment horizontal="left" vertical="center"/>
    </xf>
    <xf numFmtId="0" fontId="29" fillId="0" borderId="2">
      <alignment horizontal="left" vertical="center"/>
    </xf>
    <xf numFmtId="10" fontId="28" fillId="6" borderId="3" applyNumberFormat="0" applyBorder="0" applyAlignment="0" applyProtection="0"/>
    <xf numFmtId="0" fontId="24" fillId="3" borderId="0">
      <alignment horizontal="left"/>
    </xf>
    <xf numFmtId="0" fontId="30" fillId="4" borderId="0">
      <alignment horizontal="left"/>
    </xf>
    <xf numFmtId="177" fontId="31" fillId="0" borderId="0"/>
    <xf numFmtId="0" fontId="32" fillId="0" borderId="0"/>
    <xf numFmtId="178" fontId="33" fillId="4" borderId="0">
      <alignment horizontal="right"/>
    </xf>
    <xf numFmtId="0" fontId="34" fillId="7" borderId="0">
      <alignment horizontal="center"/>
    </xf>
    <xf numFmtId="0" fontId="35" fillId="8" borderId="0"/>
    <xf numFmtId="0" fontId="36" fillId="4" borderId="0" applyBorder="0">
      <alignment horizontal="centerContinuous"/>
    </xf>
    <xf numFmtId="0" fontId="37" fillId="8" borderId="0" applyBorder="0">
      <alignment horizontal="centerContinuous"/>
    </xf>
    <xf numFmtId="10" fontId="32" fillId="0" borderId="0" applyFont="0" applyFill="0" applyBorder="0" applyAlignment="0" applyProtection="0"/>
    <xf numFmtId="4" fontId="27" fillId="0" borderId="0">
      <alignment horizontal="right"/>
    </xf>
    <xf numFmtId="0" fontId="30" fillId="9" borderId="0">
      <alignment horizontal="center"/>
    </xf>
    <xf numFmtId="49" fontId="38" fillId="4" borderId="0">
      <alignment horizontal="center"/>
    </xf>
    <xf numFmtId="4" fontId="39" fillId="0" borderId="0">
      <alignment horizontal="right"/>
    </xf>
    <xf numFmtId="0" fontId="25" fillId="3" borderId="0">
      <alignment horizontal="center"/>
    </xf>
    <xf numFmtId="0" fontId="25" fillId="3" borderId="0">
      <alignment horizontal="centerContinuous"/>
    </xf>
    <xf numFmtId="0" fontId="40" fillId="4" borderId="0">
      <alignment horizontal="left"/>
    </xf>
    <xf numFmtId="49" fontId="40" fillId="4" borderId="0">
      <alignment horizontal="center"/>
    </xf>
    <xf numFmtId="0" fontId="24" fillId="3" borderId="0">
      <alignment horizontal="left"/>
    </xf>
    <xf numFmtId="49" fontId="40" fillId="4" borderId="0">
      <alignment horizontal="left"/>
    </xf>
    <xf numFmtId="0" fontId="24" fillId="3" borderId="0">
      <alignment horizontal="centerContinuous"/>
    </xf>
    <xf numFmtId="0" fontId="24" fillId="3" borderId="0">
      <alignment horizontal="right"/>
    </xf>
    <xf numFmtId="49" fontId="30" fillId="4" borderId="0">
      <alignment horizontal="left"/>
    </xf>
    <xf numFmtId="0" fontId="25" fillId="3" borderId="0">
      <alignment horizontal="right"/>
    </xf>
    <xf numFmtId="0" fontId="40" fillId="2" borderId="0">
      <alignment horizontal="center"/>
    </xf>
    <xf numFmtId="0" fontId="41" fillId="2" borderId="0">
      <alignment horizontal="center"/>
    </xf>
    <xf numFmtId="0" fontId="42" fillId="0" borderId="0">
      <alignment horizontal="left"/>
    </xf>
    <xf numFmtId="0" fontId="43" fillId="0" borderId="0"/>
    <xf numFmtId="0" fontId="44" fillId="0" borderId="0">
      <alignment horizontal="center"/>
    </xf>
    <xf numFmtId="0" fontId="45" fillId="4" borderId="0">
      <alignment horizontal="center"/>
    </xf>
    <xf numFmtId="0" fontId="46" fillId="0" borderId="0"/>
    <xf numFmtId="0" fontId="13" fillId="0" borderId="0">
      <alignment vertical="center"/>
    </xf>
    <xf numFmtId="0" fontId="13" fillId="0" borderId="0"/>
    <xf numFmtId="0" fontId="13" fillId="0" borderId="0"/>
    <xf numFmtId="0" fontId="13" fillId="0" borderId="0"/>
    <xf numFmtId="0" fontId="13" fillId="0" borderId="0"/>
    <xf numFmtId="0" fontId="13" fillId="0" borderId="0">
      <alignment vertical="center"/>
    </xf>
    <xf numFmtId="0" fontId="47" fillId="0" borderId="0"/>
    <xf numFmtId="0" fontId="10" fillId="0" borderId="0">
      <alignment vertical="center"/>
    </xf>
    <xf numFmtId="0" fontId="9" fillId="0" borderId="0">
      <alignment vertical="center"/>
    </xf>
    <xf numFmtId="0" fontId="8" fillId="0" borderId="0">
      <alignment vertical="center"/>
    </xf>
    <xf numFmtId="0" fontId="7" fillId="0" borderId="0">
      <alignment vertical="center"/>
    </xf>
    <xf numFmtId="0" fontId="7" fillId="0" borderId="0">
      <alignment vertical="center"/>
    </xf>
    <xf numFmtId="0" fontId="7"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54" fillId="0" borderId="0"/>
    <xf numFmtId="0" fontId="4" fillId="0" borderId="0">
      <alignment vertical="center"/>
    </xf>
    <xf numFmtId="0" fontId="56" fillId="0" borderId="0">
      <alignment vertical="center"/>
    </xf>
    <xf numFmtId="0" fontId="13"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3" fillId="0" borderId="0">
      <alignment vertical="center"/>
    </xf>
    <xf numFmtId="0" fontId="2" fillId="0" borderId="0">
      <alignment vertical="center"/>
    </xf>
    <xf numFmtId="0" fontId="1" fillId="0" borderId="0">
      <alignment vertical="center"/>
    </xf>
  </cellStyleXfs>
  <cellXfs count="375">
    <xf numFmtId="0" fontId="0" fillId="0" borderId="0" xfId="0">
      <alignment vertical="center"/>
    </xf>
    <xf numFmtId="0" fontId="13" fillId="0" borderId="0" xfId="48"/>
    <xf numFmtId="0" fontId="14" fillId="0" borderId="0" xfId="48" applyFont="1"/>
    <xf numFmtId="0" fontId="15" fillId="0" borderId="3" xfId="48" applyFont="1" applyBorder="1" applyAlignment="1">
      <alignment horizontal="center"/>
    </xf>
    <xf numFmtId="14" fontId="15" fillId="0" borderId="4" xfId="48" applyNumberFormat="1" applyFont="1" applyBorder="1" applyAlignment="1">
      <alignment horizontal="center"/>
    </xf>
    <xf numFmtId="0" fontId="15" fillId="0" borderId="4" xfId="48" applyFont="1" applyBorder="1" applyAlignment="1">
      <alignment horizontal="center"/>
    </xf>
    <xf numFmtId="0" fontId="15" fillId="0" borderId="5" xfId="48" applyFont="1" applyBorder="1" applyAlignment="1">
      <alignment horizontal="center"/>
    </xf>
    <xf numFmtId="0" fontId="16" fillId="0" borderId="0" xfId="48" applyFont="1"/>
    <xf numFmtId="0" fontId="19" fillId="0" borderId="0" xfId="48" applyFont="1" applyAlignment="1">
      <alignment vertical="center"/>
    </xf>
    <xf numFmtId="0" fontId="15" fillId="14" borderId="0" xfId="48" applyFont="1" applyFill="1" applyAlignment="1">
      <alignment horizontal="center"/>
    </xf>
    <xf numFmtId="14" fontId="15" fillId="14" borderId="0" xfId="48" applyNumberFormat="1" applyFont="1" applyFill="1" applyAlignment="1">
      <alignment horizontal="center"/>
    </xf>
    <xf numFmtId="0" fontId="17" fillId="11" borderId="0" xfId="48" applyFont="1" applyFill="1" applyAlignment="1">
      <alignment vertical="center"/>
    </xf>
    <xf numFmtId="0" fontId="18" fillId="12" borderId="0" xfId="48" applyFont="1" applyFill="1" applyAlignment="1">
      <alignment vertical="center"/>
    </xf>
    <xf numFmtId="0" fontId="19" fillId="0" borderId="0" xfId="48" applyFont="1" applyAlignment="1">
      <alignment horizontal="left" vertical="center"/>
    </xf>
    <xf numFmtId="0" fontId="18" fillId="12" borderId="0" xfId="48" applyFont="1" applyFill="1" applyAlignment="1">
      <alignment horizontal="center" vertical="center"/>
    </xf>
    <xf numFmtId="0" fontId="19" fillId="0" borderId="0" xfId="48" applyFont="1" applyAlignment="1">
      <alignment horizontal="center" vertical="center"/>
    </xf>
    <xf numFmtId="14" fontId="19" fillId="0" borderId="0" xfId="48" applyNumberFormat="1" applyFont="1" applyAlignment="1">
      <alignment horizontal="center" vertical="center"/>
    </xf>
    <xf numFmtId="0" fontId="18" fillId="11" borderId="0" xfId="48" applyFont="1" applyFill="1" applyAlignment="1">
      <alignment vertical="center"/>
    </xf>
    <xf numFmtId="0" fontId="20" fillId="0" borderId="0" xfId="48" applyFont="1" applyAlignment="1">
      <alignment vertical="center"/>
    </xf>
    <xf numFmtId="49" fontId="19" fillId="0" borderId="0" xfId="48" applyNumberFormat="1" applyFont="1" applyAlignment="1">
      <alignment horizontal="center" vertical="center"/>
    </xf>
    <xf numFmtId="0" fontId="21" fillId="0" borderId="0" xfId="48" applyFont="1" applyAlignment="1">
      <alignment vertical="center"/>
    </xf>
    <xf numFmtId="49" fontId="19" fillId="14" borderId="13" xfId="0" applyNumberFormat="1" applyFont="1" applyFill="1" applyBorder="1" applyAlignment="1">
      <alignment vertical="top"/>
    </xf>
    <xf numFmtId="0" fontId="0" fillId="14" borderId="0" xfId="0" applyFill="1" applyAlignment="1">
      <alignment vertical="center" wrapText="1"/>
    </xf>
    <xf numFmtId="49" fontId="19" fillId="10" borderId="15" xfId="0" applyNumberFormat="1" applyFont="1" applyFill="1" applyBorder="1" applyAlignment="1">
      <alignment horizontal="center" vertical="center"/>
    </xf>
    <xf numFmtId="0" fontId="51" fillId="14" borderId="0" xfId="0" applyFont="1" applyFill="1">
      <alignment vertical="center"/>
    </xf>
    <xf numFmtId="0" fontId="0" fillId="14" borderId="0" xfId="0" applyFill="1">
      <alignment vertical="center"/>
    </xf>
    <xf numFmtId="0" fontId="19" fillId="10" borderId="20" xfId="46" applyFont="1" applyFill="1" applyBorder="1" applyAlignment="1">
      <alignment horizontal="centerContinuous"/>
    </xf>
    <xf numFmtId="0" fontId="19" fillId="10" borderId="19" xfId="46" applyFont="1" applyFill="1" applyBorder="1" applyAlignment="1">
      <alignment horizontal="centerContinuous"/>
    </xf>
    <xf numFmtId="0" fontId="51" fillId="14" borderId="0" xfId="0" applyFont="1" applyFill="1" applyAlignment="1">
      <alignment vertical="center" wrapText="1"/>
    </xf>
    <xf numFmtId="0" fontId="19" fillId="0" borderId="2" xfId="0" applyFont="1" applyBorder="1" applyAlignment="1">
      <alignment horizontal="center" vertical="top"/>
    </xf>
    <xf numFmtId="0" fontId="19" fillId="19" borderId="2" xfId="0" applyFont="1" applyFill="1" applyBorder="1" applyAlignment="1">
      <alignment horizontal="center" vertical="top"/>
    </xf>
    <xf numFmtId="0" fontId="19" fillId="20" borderId="2" xfId="0" applyFont="1" applyFill="1" applyBorder="1" applyAlignment="1">
      <alignment horizontal="center" vertical="top"/>
    </xf>
    <xf numFmtId="0" fontId="60" fillId="10" borderId="16" xfId="46" applyFont="1" applyFill="1" applyBorder="1" applyAlignment="1">
      <alignment horizontal="centerContinuous"/>
    </xf>
    <xf numFmtId="0" fontId="60" fillId="10" borderId="9" xfId="46" applyFont="1" applyFill="1" applyBorder="1" applyAlignment="1">
      <alignment horizontal="centerContinuous"/>
    </xf>
    <xf numFmtId="0" fontId="61" fillId="14" borderId="0" xfId="0" applyFont="1" applyFill="1">
      <alignment vertical="center"/>
    </xf>
    <xf numFmtId="0" fontId="62" fillId="14" borderId="0" xfId="0" applyFont="1" applyFill="1">
      <alignment vertical="center"/>
    </xf>
    <xf numFmtId="0" fontId="60" fillId="10" borderId="6" xfId="49" applyFont="1" applyFill="1" applyBorder="1" applyAlignment="1">
      <alignment horizontal="right" vertical="center"/>
    </xf>
    <xf numFmtId="0" fontId="61" fillId="14" borderId="6" xfId="161" quotePrefix="1" applyFont="1" applyFill="1" applyBorder="1">
      <alignment vertical="center"/>
    </xf>
    <xf numFmtId="0" fontId="61" fillId="14" borderId="0" xfId="161" applyFont="1" applyFill="1">
      <alignment vertical="center"/>
    </xf>
    <xf numFmtId="0" fontId="61" fillId="14" borderId="11" xfId="161" applyFont="1" applyFill="1" applyBorder="1">
      <alignment vertical="center"/>
    </xf>
    <xf numFmtId="0" fontId="63" fillId="14" borderId="0" xfId="161" applyFont="1" applyFill="1">
      <alignment vertical="center"/>
    </xf>
    <xf numFmtId="0" fontId="61" fillId="0" borderId="0" xfId="161" applyFont="1">
      <alignment vertical="center"/>
    </xf>
    <xf numFmtId="0" fontId="61" fillId="0" borderId="0" xfId="161" quotePrefix="1" applyFont="1">
      <alignment vertical="center"/>
    </xf>
    <xf numFmtId="0" fontId="61" fillId="0" borderId="0" xfId="161" applyFont="1" applyAlignment="1">
      <alignment horizontal="center" vertical="center"/>
    </xf>
    <xf numFmtId="0" fontId="61" fillId="0" borderId="0" xfId="0" applyFont="1">
      <alignment vertical="center"/>
    </xf>
    <xf numFmtId="0" fontId="59" fillId="14" borderId="6" xfId="161" quotePrefix="1" applyFont="1" applyFill="1" applyBorder="1">
      <alignment vertical="center"/>
    </xf>
    <xf numFmtId="0" fontId="64" fillId="14" borderId="0" xfId="0" applyFont="1" applyFill="1">
      <alignment vertical="center"/>
    </xf>
    <xf numFmtId="0" fontId="61" fillId="0" borderId="0" xfId="161" quotePrefix="1" applyFont="1" applyAlignment="1">
      <alignment horizontal="left" vertical="center"/>
    </xf>
    <xf numFmtId="0" fontId="61" fillId="0" borderId="0" xfId="161" applyFont="1" applyAlignment="1">
      <alignment horizontal="left" vertical="center"/>
    </xf>
    <xf numFmtId="0" fontId="60" fillId="10" borderId="16" xfId="46" applyFont="1" applyFill="1" applyBorder="1" applyAlignment="1">
      <alignment horizontal="center"/>
    </xf>
    <xf numFmtId="0" fontId="60" fillId="10" borderId="9" xfId="46" applyFont="1" applyFill="1" applyBorder="1" applyAlignment="1">
      <alignment horizontal="center"/>
    </xf>
    <xf numFmtId="0" fontId="61" fillId="14" borderId="0" xfId="0" applyFont="1" applyFill="1" applyAlignment="1">
      <alignment vertical="center" wrapText="1"/>
    </xf>
    <xf numFmtId="0" fontId="60" fillId="10" borderId="7" xfId="49" applyFont="1" applyFill="1" applyBorder="1" applyAlignment="1">
      <alignment horizontal="right" vertical="center"/>
    </xf>
    <xf numFmtId="0" fontId="60" fillId="10" borderId="21" xfId="46" applyFont="1" applyFill="1" applyBorder="1" applyAlignment="1">
      <alignment horizontal="center"/>
    </xf>
    <xf numFmtId="0" fontId="62" fillId="14" borderId="0" xfId="0" applyFont="1" applyFill="1" applyAlignment="1">
      <alignment vertical="center" wrapText="1"/>
    </xf>
    <xf numFmtId="0" fontId="67" fillId="0" borderId="26" xfId="161" quotePrefix="1" applyFont="1" applyBorder="1">
      <alignment vertical="center"/>
    </xf>
    <xf numFmtId="0" fontId="60" fillId="0" borderId="26" xfId="161" applyFont="1" applyBorder="1">
      <alignment vertical="center"/>
    </xf>
    <xf numFmtId="0" fontId="61" fillId="0" borderId="26" xfId="161" applyFont="1" applyBorder="1">
      <alignment vertical="center"/>
    </xf>
    <xf numFmtId="0" fontId="61" fillId="0" borderId="26" xfId="161" quotePrefix="1" applyFont="1" applyBorder="1">
      <alignment vertical="center"/>
    </xf>
    <xf numFmtId="0" fontId="61" fillId="0" borderId="26" xfId="161" applyFont="1" applyBorder="1" applyAlignment="1">
      <alignment horizontal="center" vertical="center"/>
    </xf>
    <xf numFmtId="0" fontId="61" fillId="0" borderId="26" xfId="0" applyFont="1" applyBorder="1">
      <alignment vertical="center"/>
    </xf>
    <xf numFmtId="0" fontId="61" fillId="0" borderId="26" xfId="0" applyFont="1" applyBorder="1" applyAlignment="1">
      <alignment vertical="center" wrapText="1"/>
    </xf>
    <xf numFmtId="0" fontId="60" fillId="0" borderId="0" xfId="161" applyFont="1">
      <alignment vertical="center"/>
    </xf>
    <xf numFmtId="0" fontId="60" fillId="0" borderId="6" xfId="161" quotePrefix="1" applyFont="1" applyBorder="1">
      <alignment vertical="center"/>
    </xf>
    <xf numFmtId="0" fontId="66" fillId="0" borderId="0" xfId="0" applyFont="1">
      <alignment vertical="center"/>
    </xf>
    <xf numFmtId="0" fontId="60" fillId="0" borderId="0" xfId="161" quotePrefix="1" applyFont="1">
      <alignment vertical="center"/>
    </xf>
    <xf numFmtId="0" fontId="60" fillId="0" borderId="0" xfId="0" applyFont="1">
      <alignment vertical="center"/>
    </xf>
    <xf numFmtId="0" fontId="60" fillId="0" borderId="11" xfId="161" applyFont="1" applyBorder="1">
      <alignment vertical="center"/>
    </xf>
    <xf numFmtId="0" fontId="66" fillId="0" borderId="0" xfId="161" applyFont="1">
      <alignment vertical="center"/>
    </xf>
    <xf numFmtId="0" fontId="60" fillId="0" borderId="0" xfId="161" applyFont="1" applyAlignment="1">
      <alignment horizontal="left" vertical="center"/>
    </xf>
    <xf numFmtId="0" fontId="60" fillId="0" borderId="0" xfId="161" applyFont="1" applyAlignment="1">
      <alignment horizontal="center" vertical="center"/>
    </xf>
    <xf numFmtId="0" fontId="68" fillId="0" borderId="0" xfId="0" applyFont="1">
      <alignment vertical="center"/>
    </xf>
    <xf numFmtId="0" fontId="60" fillId="0" borderId="0" xfId="0" applyFont="1" applyAlignment="1">
      <alignment vertical="center" wrapText="1"/>
    </xf>
    <xf numFmtId="0" fontId="60" fillId="0" borderId="6" xfId="161" applyFont="1" applyBorder="1">
      <alignment vertical="center"/>
    </xf>
    <xf numFmtId="0" fontId="60" fillId="0" borderId="0" xfId="161" quotePrefix="1" applyFont="1" applyAlignment="1">
      <alignment horizontal="center" vertical="center"/>
    </xf>
    <xf numFmtId="0" fontId="65" fillId="0" borderId="0" xfId="0" applyFont="1">
      <alignment vertical="center"/>
    </xf>
    <xf numFmtId="0" fontId="60" fillId="0" borderId="0" xfId="0" applyFont="1" applyAlignment="1">
      <alignment horizontal="left" vertical="center"/>
    </xf>
    <xf numFmtId="0" fontId="60" fillId="0" borderId="14" xfId="161" applyFont="1" applyBorder="1">
      <alignment vertical="center"/>
    </xf>
    <xf numFmtId="0" fontId="69" fillId="22" borderId="0" xfId="161" applyFont="1" applyFill="1">
      <alignment vertical="center"/>
    </xf>
    <xf numFmtId="0" fontId="70" fillId="22" borderId="0" xfId="161" applyFont="1" applyFill="1">
      <alignment vertical="center"/>
    </xf>
    <xf numFmtId="0" fontId="70" fillId="22" borderId="0" xfId="161" quotePrefix="1" applyFont="1" applyFill="1">
      <alignment vertical="center"/>
    </xf>
    <xf numFmtId="0" fontId="70" fillId="22" borderId="0" xfId="161" applyFont="1" applyFill="1" applyAlignment="1">
      <alignment horizontal="center" vertical="center"/>
    </xf>
    <xf numFmtId="0" fontId="70" fillId="22" borderId="0" xfId="0" applyFont="1" applyFill="1">
      <alignment vertical="center"/>
    </xf>
    <xf numFmtId="0" fontId="70" fillId="22" borderId="0" xfId="0" applyFont="1" applyFill="1" applyAlignment="1">
      <alignment vertical="center" wrapText="1"/>
    </xf>
    <xf numFmtId="0" fontId="71" fillId="22" borderId="0" xfId="161" applyFont="1" applyFill="1">
      <alignment vertical="center"/>
    </xf>
    <xf numFmtId="14" fontId="71" fillId="22" borderId="0" xfId="161" quotePrefix="1" applyNumberFormat="1" applyFont="1" applyFill="1">
      <alignment vertical="center"/>
    </xf>
    <xf numFmtId="0" fontId="71" fillId="22" borderId="0" xfId="161" quotePrefix="1" applyFont="1" applyFill="1">
      <alignment vertical="center"/>
    </xf>
    <xf numFmtId="0" fontId="69" fillId="22" borderId="0" xfId="161" quotePrefix="1" applyFont="1" applyFill="1">
      <alignment vertical="center"/>
    </xf>
    <xf numFmtId="0" fontId="69" fillId="22" borderId="0" xfId="161" applyFont="1" applyFill="1" applyAlignment="1">
      <alignment horizontal="left" vertical="center"/>
    </xf>
    <xf numFmtId="0" fontId="69" fillId="22" borderId="0" xfId="0" applyFont="1" applyFill="1">
      <alignment vertical="center"/>
    </xf>
    <xf numFmtId="0" fontId="69" fillId="22" borderId="0" xfId="161" applyFont="1" applyFill="1" applyAlignment="1">
      <alignment horizontal="center" vertical="center"/>
    </xf>
    <xf numFmtId="0" fontId="69" fillId="22" borderId="0" xfId="161" quotePrefix="1" applyFont="1" applyFill="1" applyAlignment="1">
      <alignment horizontal="left" vertical="center"/>
    </xf>
    <xf numFmtId="0" fontId="69" fillId="22" borderId="0" xfId="0" applyFont="1" applyFill="1" applyAlignment="1">
      <alignment vertical="center" wrapText="1"/>
    </xf>
    <xf numFmtId="0" fontId="69" fillId="22" borderId="27" xfId="161" applyFont="1" applyFill="1" applyBorder="1">
      <alignment vertical="center"/>
    </xf>
    <xf numFmtId="0" fontId="69" fillId="22" borderId="28" xfId="161" applyFont="1" applyFill="1" applyBorder="1">
      <alignment vertical="center"/>
    </xf>
    <xf numFmtId="0" fontId="69" fillId="22" borderId="28" xfId="161" quotePrefix="1" applyFont="1" applyFill="1" applyBorder="1">
      <alignment vertical="center"/>
    </xf>
    <xf numFmtId="0" fontId="69" fillId="22" borderId="28" xfId="161" applyFont="1" applyFill="1" applyBorder="1" applyAlignment="1">
      <alignment horizontal="center" vertical="center"/>
    </xf>
    <xf numFmtId="0" fontId="69" fillId="22" borderId="28" xfId="0" applyFont="1" applyFill="1" applyBorder="1">
      <alignment vertical="center"/>
    </xf>
    <xf numFmtId="0" fontId="69" fillId="22" borderId="28" xfId="0" applyFont="1" applyFill="1" applyBorder="1" applyAlignment="1">
      <alignment vertical="center" wrapText="1"/>
    </xf>
    <xf numFmtId="0" fontId="69" fillId="14" borderId="0" xfId="0" applyFont="1" applyFill="1">
      <alignment vertical="center"/>
    </xf>
    <xf numFmtId="0" fontId="69" fillId="14" borderId="0" xfId="161" applyFont="1" applyFill="1">
      <alignment vertical="center"/>
    </xf>
    <xf numFmtId="0" fontId="69" fillId="14" borderId="0" xfId="0" applyFont="1" applyFill="1" applyAlignment="1">
      <alignment horizontal="left" vertical="center"/>
    </xf>
    <xf numFmtId="0" fontId="69" fillId="14" borderId="0" xfId="161" applyFont="1" applyFill="1" applyAlignment="1">
      <alignment horizontal="left" vertical="center"/>
    </xf>
    <xf numFmtId="0" fontId="69" fillId="14" borderId="0" xfId="161" applyFont="1" applyFill="1" applyAlignment="1">
      <alignment horizontal="center" vertical="center"/>
    </xf>
    <xf numFmtId="0" fontId="69" fillId="14" borderId="0" xfId="0" applyFont="1" applyFill="1" applyAlignment="1">
      <alignment horizontal="center" vertical="center"/>
    </xf>
    <xf numFmtId="0" fontId="69" fillId="18" borderId="0" xfId="0" applyFont="1" applyFill="1">
      <alignment vertical="center"/>
    </xf>
    <xf numFmtId="179" fontId="69" fillId="18" borderId="0" xfId="161" quotePrefix="1" applyNumberFormat="1" applyFont="1" applyFill="1">
      <alignment vertical="center"/>
    </xf>
    <xf numFmtId="0" fontId="69" fillId="18" borderId="0" xfId="161" applyFont="1" applyFill="1">
      <alignment vertical="center"/>
    </xf>
    <xf numFmtId="0" fontId="69" fillId="18" borderId="0" xfId="161" applyFont="1" applyFill="1" applyAlignment="1">
      <alignment horizontal="center" vertical="center"/>
    </xf>
    <xf numFmtId="0" fontId="69" fillId="18" borderId="0" xfId="161" applyFont="1" applyFill="1" applyAlignment="1">
      <alignment horizontal="left" vertical="center"/>
    </xf>
    <xf numFmtId="0" fontId="72" fillId="14" borderId="29" xfId="0" applyFont="1" applyFill="1" applyBorder="1" applyAlignment="1">
      <alignment horizontal="centerContinuous" vertical="center"/>
    </xf>
    <xf numFmtId="0" fontId="72" fillId="14" borderId="30" xfId="0" applyFont="1" applyFill="1" applyBorder="1" applyAlignment="1">
      <alignment horizontal="centerContinuous" vertical="center"/>
    </xf>
    <xf numFmtId="0" fontId="72" fillId="14" borderId="31" xfId="0" applyFont="1" applyFill="1" applyBorder="1" applyAlignment="1">
      <alignment horizontal="centerContinuous" vertical="center"/>
    </xf>
    <xf numFmtId="0" fontId="72" fillId="0" borderId="29" xfId="0" applyFont="1" applyBorder="1" applyAlignment="1">
      <alignment horizontal="centerContinuous" vertical="center"/>
    </xf>
    <xf numFmtId="0" fontId="72" fillId="0" borderId="30" xfId="0" applyFont="1" applyBorder="1" applyAlignment="1">
      <alignment horizontal="centerContinuous" vertical="center"/>
    </xf>
    <xf numFmtId="0" fontId="72" fillId="0" borderId="30" xfId="161" applyFont="1" applyBorder="1" applyAlignment="1">
      <alignment horizontal="centerContinuous" vertical="center"/>
    </xf>
    <xf numFmtId="0" fontId="72" fillId="0" borderId="31" xfId="161" applyFont="1" applyBorder="1" applyAlignment="1">
      <alignment horizontal="centerContinuous" vertical="center"/>
    </xf>
    <xf numFmtId="0" fontId="72" fillId="0" borderId="29" xfId="161" applyFont="1" applyBorder="1" applyAlignment="1">
      <alignment horizontal="centerContinuous" vertical="center"/>
    </xf>
    <xf numFmtId="0" fontId="72" fillId="0" borderId="31" xfId="0" quotePrefix="1" applyFont="1" applyBorder="1" applyAlignment="1">
      <alignment horizontal="centerContinuous" vertical="center"/>
    </xf>
    <xf numFmtId="0" fontId="72" fillId="0" borderId="31" xfId="0" applyFont="1" applyBorder="1" applyAlignment="1">
      <alignment horizontal="centerContinuous" vertical="center"/>
    </xf>
    <xf numFmtId="180" fontId="72" fillId="0" borderId="29" xfId="161" applyNumberFormat="1" applyFont="1" applyBorder="1" applyAlignment="1">
      <alignment horizontal="centerContinuous" vertical="center"/>
    </xf>
    <xf numFmtId="0" fontId="72" fillId="0" borderId="29" xfId="0" applyFont="1" applyBorder="1">
      <alignment vertical="center"/>
    </xf>
    <xf numFmtId="0" fontId="60" fillId="18" borderId="6" xfId="161" quotePrefix="1" applyFont="1" applyFill="1" applyBorder="1">
      <alignment vertical="center"/>
    </xf>
    <xf numFmtId="0" fontId="65" fillId="18" borderId="0" xfId="0" applyFont="1" applyFill="1">
      <alignment vertical="center"/>
    </xf>
    <xf numFmtId="0" fontId="60" fillId="18" borderId="0" xfId="0" applyFont="1" applyFill="1">
      <alignment vertical="center"/>
    </xf>
    <xf numFmtId="0" fontId="69" fillId="18" borderId="0" xfId="0" applyFont="1" applyFill="1" applyAlignment="1">
      <alignment horizontal="center" vertical="center"/>
    </xf>
    <xf numFmtId="0" fontId="60" fillId="18" borderId="11" xfId="161" applyFont="1" applyFill="1" applyBorder="1">
      <alignment vertical="center"/>
    </xf>
    <xf numFmtId="0" fontId="60" fillId="18" borderId="0" xfId="161" quotePrefix="1" applyFont="1" applyFill="1">
      <alignment vertical="center"/>
    </xf>
    <xf numFmtId="180" fontId="72" fillId="0" borderId="29" xfId="161" quotePrefix="1" applyNumberFormat="1" applyFont="1" applyBorder="1" applyAlignment="1">
      <alignment horizontal="centerContinuous" vertical="center"/>
    </xf>
    <xf numFmtId="0" fontId="66" fillId="23" borderId="0" xfId="0" applyFont="1" applyFill="1">
      <alignment vertical="center"/>
    </xf>
    <xf numFmtId="0" fontId="57" fillId="14" borderId="0" xfId="0" applyFont="1" applyFill="1">
      <alignment vertical="center"/>
    </xf>
    <xf numFmtId="0" fontId="76" fillId="14" borderId="0" xfId="0" applyFont="1" applyFill="1">
      <alignment vertical="center"/>
    </xf>
    <xf numFmtId="0" fontId="65" fillId="23" borderId="0" xfId="0" applyFont="1" applyFill="1" applyAlignment="1">
      <alignment horizontal="left" vertical="center"/>
    </xf>
    <xf numFmtId="0" fontId="65" fillId="23" borderId="0" xfId="0" applyFont="1" applyFill="1">
      <alignment vertical="center"/>
    </xf>
    <xf numFmtId="0" fontId="65" fillId="14" borderId="0" xfId="0" applyFont="1" applyFill="1">
      <alignment vertical="center"/>
    </xf>
    <xf numFmtId="0" fontId="66" fillId="14" borderId="0" xfId="0" applyFont="1" applyFill="1">
      <alignment vertical="center"/>
    </xf>
    <xf numFmtId="0" fontId="60" fillId="0" borderId="8" xfId="161" applyFont="1" applyBorder="1">
      <alignment vertical="center"/>
    </xf>
    <xf numFmtId="0" fontId="66" fillId="0" borderId="8" xfId="0" applyFont="1" applyBorder="1">
      <alignment vertical="center"/>
    </xf>
    <xf numFmtId="0" fontId="66" fillId="0" borderId="8" xfId="0" applyFont="1" applyBorder="1" applyAlignment="1">
      <alignment vertical="center" wrapText="1"/>
    </xf>
    <xf numFmtId="0" fontId="60" fillId="0" borderId="12" xfId="161" applyFont="1" applyBorder="1">
      <alignment vertical="center"/>
    </xf>
    <xf numFmtId="0" fontId="66" fillId="0" borderId="12" xfId="0" applyFont="1" applyBorder="1">
      <alignment vertical="center"/>
    </xf>
    <xf numFmtId="0" fontId="66" fillId="0" borderId="12" xfId="0" applyFont="1" applyBorder="1" applyAlignment="1">
      <alignment vertical="center" wrapText="1"/>
    </xf>
    <xf numFmtId="0" fontId="60" fillId="10" borderId="25" xfId="46" applyFont="1" applyFill="1" applyBorder="1" applyAlignment="1">
      <alignment horizontal="center"/>
    </xf>
    <xf numFmtId="0" fontId="60" fillId="10" borderId="18" xfId="46" applyFont="1" applyFill="1" applyBorder="1" applyAlignment="1">
      <alignment horizontal="center"/>
    </xf>
    <xf numFmtId="0" fontId="60" fillId="10" borderId="39" xfId="46" applyFont="1" applyFill="1" applyBorder="1" applyAlignment="1">
      <alignment horizontal="center"/>
    </xf>
    <xf numFmtId="0" fontId="66" fillId="0" borderId="0" xfId="0" applyFont="1" applyAlignment="1">
      <alignment vertical="center" wrapText="1"/>
    </xf>
    <xf numFmtId="0" fontId="66" fillId="23" borderId="0" xfId="184" applyFont="1" applyFill="1">
      <alignment vertical="center"/>
    </xf>
    <xf numFmtId="0" fontId="66" fillId="14" borderId="0" xfId="184" applyFont="1" applyFill="1">
      <alignment vertical="center"/>
    </xf>
    <xf numFmtId="0" fontId="66" fillId="0" borderId="0" xfId="184" applyFont="1">
      <alignment vertical="center"/>
    </xf>
    <xf numFmtId="0" fontId="60" fillId="0" borderId="41" xfId="184" applyFont="1" applyBorder="1" applyAlignment="1" applyProtection="1">
      <alignment vertical="center" wrapText="1"/>
      <protection locked="0"/>
    </xf>
    <xf numFmtId="0" fontId="60" fillId="0" borderId="42" xfId="184" applyFont="1" applyBorder="1" applyAlignment="1" applyProtection="1">
      <alignment vertical="center" wrapText="1"/>
      <protection locked="0"/>
    </xf>
    <xf numFmtId="0" fontId="60" fillId="0" borderId="43" xfId="184" applyFont="1" applyBorder="1" applyAlignment="1" applyProtection="1">
      <alignment vertical="center" wrapText="1"/>
      <protection locked="0"/>
    </xf>
    <xf numFmtId="0" fontId="60" fillId="0" borderId="44" xfId="184" applyFont="1" applyBorder="1" applyAlignment="1">
      <alignment horizontal="left" vertical="center" wrapText="1"/>
    </xf>
    <xf numFmtId="0" fontId="60" fillId="0" borderId="2" xfId="184" applyFont="1" applyBorder="1" applyAlignment="1">
      <alignment horizontal="left" vertical="center" wrapText="1"/>
    </xf>
    <xf numFmtId="0" fontId="60" fillId="0" borderId="40" xfId="184" applyFont="1" applyBorder="1" applyAlignment="1">
      <alignment horizontal="left" vertical="center" wrapText="1"/>
    </xf>
    <xf numFmtId="0" fontId="60" fillId="0" borderId="10" xfId="184" applyFont="1" applyBorder="1" applyAlignment="1">
      <alignment horizontal="left" vertical="center" wrapText="1"/>
    </xf>
    <xf numFmtId="0" fontId="60" fillId="0" borderId="17" xfId="184" applyFont="1" applyBorder="1" applyAlignment="1">
      <alignment horizontal="left" vertical="center" wrapText="1"/>
    </xf>
    <xf numFmtId="0" fontId="60" fillId="0" borderId="51" xfId="184" applyFont="1" applyBorder="1" applyAlignment="1" applyProtection="1">
      <alignment vertical="center" wrapText="1"/>
      <protection locked="0"/>
    </xf>
    <xf numFmtId="0" fontId="66" fillId="0" borderId="0" xfId="45" applyFont="1">
      <alignment vertical="center"/>
    </xf>
    <xf numFmtId="0" fontId="68" fillId="0" borderId="48" xfId="184" applyFont="1" applyBorder="1" applyAlignment="1">
      <alignment horizontal="left" vertical="center"/>
    </xf>
    <xf numFmtId="0" fontId="68" fillId="0" borderId="49" xfId="184" applyFont="1" applyBorder="1" applyAlignment="1">
      <alignment horizontal="left" vertical="center"/>
    </xf>
    <xf numFmtId="0" fontId="60" fillId="0" borderId="49" xfId="184" applyFont="1" applyBorder="1" applyAlignment="1">
      <alignment horizontal="left" vertical="center"/>
    </xf>
    <xf numFmtId="0" fontId="66" fillId="0" borderId="49" xfId="184" applyFont="1" applyBorder="1">
      <alignment vertical="center"/>
    </xf>
    <xf numFmtId="0" fontId="66" fillId="0" borderId="50" xfId="184" applyFont="1" applyBorder="1">
      <alignment vertical="center"/>
    </xf>
    <xf numFmtId="0" fontId="77" fillId="0" borderId="10" xfId="184" applyFont="1" applyBorder="1" applyProtection="1">
      <alignment vertical="center"/>
      <protection locked="0"/>
    </xf>
    <xf numFmtId="0" fontId="60" fillId="0" borderId="48" xfId="184" applyFont="1" applyBorder="1" applyAlignment="1">
      <alignment horizontal="left" vertical="center"/>
    </xf>
    <xf numFmtId="0" fontId="66" fillId="0" borderId="10" xfId="184" applyFont="1" applyBorder="1" applyProtection="1">
      <alignment vertical="center"/>
      <protection locked="0"/>
    </xf>
    <xf numFmtId="0" fontId="68" fillId="14" borderId="0" xfId="184" applyFont="1" applyFill="1">
      <alignment vertical="center"/>
    </xf>
    <xf numFmtId="0" fontId="78" fillId="14" borderId="0" xfId="184" applyFont="1" applyFill="1">
      <alignment vertical="center"/>
    </xf>
    <xf numFmtId="0" fontId="66" fillId="14" borderId="0" xfId="184" applyFont="1" applyFill="1" applyAlignment="1">
      <alignment vertical="center" wrapText="1"/>
    </xf>
    <xf numFmtId="0" fontId="65" fillId="14" borderId="0" xfId="184" applyFont="1" applyFill="1" applyAlignment="1">
      <alignment vertical="center" wrapText="1"/>
    </xf>
    <xf numFmtId="0" fontId="60" fillId="14" borderId="0" xfId="184" applyFont="1" applyFill="1" applyAlignment="1">
      <alignment vertical="center" wrapText="1"/>
    </xf>
    <xf numFmtId="0" fontId="74" fillId="0" borderId="0" xfId="161" quotePrefix="1" applyFont="1">
      <alignment vertical="center"/>
    </xf>
    <xf numFmtId="0" fontId="59" fillId="0" borderId="0" xfId="161" quotePrefix="1" applyFont="1">
      <alignment vertical="center"/>
    </xf>
    <xf numFmtId="0" fontId="73" fillId="0" borderId="0" xfId="0" applyFont="1">
      <alignment vertical="center"/>
    </xf>
    <xf numFmtId="0" fontId="60" fillId="10" borderId="57" xfId="46" applyFont="1" applyFill="1" applyBorder="1" applyAlignment="1">
      <alignment horizontal="center"/>
    </xf>
    <xf numFmtId="0" fontId="67" fillId="0" borderId="26" xfId="161" quotePrefix="1" applyFont="1" applyBorder="1" applyAlignment="1">
      <alignment horizontal="left" vertical="center"/>
    </xf>
    <xf numFmtId="0" fontId="72" fillId="14" borderId="29" xfId="0" applyFont="1" applyFill="1" applyBorder="1" applyAlignment="1">
      <alignment horizontal="centerContinuous" vertical="center" wrapText="1"/>
    </xf>
    <xf numFmtId="0" fontId="72" fillId="0" borderId="29" xfId="0" applyFont="1" applyBorder="1" applyAlignment="1">
      <alignment horizontal="centerContinuous" vertical="center" wrapText="1"/>
    </xf>
    <xf numFmtId="14" fontId="58" fillId="14" borderId="0" xfId="48" applyNumberFormat="1" applyFont="1" applyFill="1" applyAlignment="1">
      <alignment horizontal="center" vertical="center"/>
    </xf>
    <xf numFmtId="0" fontId="58" fillId="14" borderId="0" xfId="48" applyFont="1" applyFill="1" applyAlignment="1">
      <alignment horizontal="center" vertical="center"/>
    </xf>
    <xf numFmtId="0" fontId="19" fillId="0" borderId="0" xfId="48" applyFont="1" applyAlignment="1">
      <alignment horizontal="center" vertical="center" wrapText="1"/>
    </xf>
    <xf numFmtId="0" fontId="15" fillId="0" borderId="3" xfId="48" applyFont="1" applyBorder="1" applyAlignment="1">
      <alignment horizontal="center"/>
    </xf>
    <xf numFmtId="0" fontId="15" fillId="14" borderId="0" xfId="48" applyFont="1" applyFill="1" applyAlignment="1">
      <alignment horizontal="center"/>
    </xf>
    <xf numFmtId="0" fontId="19" fillId="0" borderId="0" xfId="48" applyFont="1" applyAlignment="1">
      <alignment horizontal="center" vertical="center"/>
    </xf>
    <xf numFmtId="14" fontId="51" fillId="0" borderId="3" xfId="0" applyNumberFormat="1" applyFont="1" applyBorder="1" applyAlignment="1">
      <alignment horizontal="center" vertical="center"/>
    </xf>
    <xf numFmtId="0" fontId="51" fillId="0" borderId="3" xfId="0" applyFont="1" applyBorder="1" applyAlignment="1">
      <alignment horizontal="center" vertical="center"/>
    </xf>
    <xf numFmtId="0" fontId="51" fillId="0" borderId="3" xfId="0" applyFont="1" applyBorder="1">
      <alignment vertical="center"/>
    </xf>
    <xf numFmtId="0" fontId="51" fillId="0" borderId="3" xfId="0" applyFont="1" applyBorder="1" applyAlignment="1">
      <alignment vertical="center" wrapText="1"/>
    </xf>
    <xf numFmtId="0" fontId="51" fillId="0" borderId="22" xfId="0" applyFont="1" applyBorder="1">
      <alignment vertical="center"/>
    </xf>
    <xf numFmtId="0" fontId="0" fillId="0" borderId="3" xfId="0" applyBorder="1">
      <alignment vertical="center"/>
    </xf>
    <xf numFmtId="14" fontId="19" fillId="0" borderId="3" xfId="50" applyNumberFormat="1" applyFont="1" applyBorder="1" applyAlignment="1">
      <alignment horizontal="center" vertical="center"/>
    </xf>
    <xf numFmtId="0" fontId="19" fillId="0" borderId="3" xfId="50" applyFont="1" applyBorder="1" applyAlignment="1">
      <alignment horizontal="center" vertical="center"/>
    </xf>
    <xf numFmtId="14" fontId="19" fillId="0" borderId="10" xfId="50" applyNumberFormat="1" applyFont="1" applyBorder="1" applyAlignment="1">
      <alignment horizontal="center" vertical="center"/>
    </xf>
    <xf numFmtId="14" fontId="19" fillId="0" borderId="2" xfId="50" applyNumberFormat="1" applyFont="1" applyBorder="1" applyAlignment="1">
      <alignment horizontal="center" vertical="center"/>
    </xf>
    <xf numFmtId="14" fontId="19" fillId="0" borderId="17" xfId="50" applyNumberFormat="1" applyFont="1" applyBorder="1" applyAlignment="1">
      <alignment horizontal="center" vertical="center"/>
    </xf>
    <xf numFmtId="14" fontId="51" fillId="0" borderId="22" xfId="0" applyNumberFormat="1" applyFont="1" applyBorder="1" applyAlignment="1">
      <alignment horizontal="center" vertical="center"/>
    </xf>
    <xf numFmtId="0" fontId="51" fillId="0" borderId="22" xfId="0" applyFont="1" applyBorder="1" applyAlignment="1">
      <alignment horizontal="center" vertical="center"/>
    </xf>
    <xf numFmtId="0" fontId="51" fillId="0" borderId="10" xfId="0" applyFont="1" applyBorder="1" applyAlignment="1">
      <alignment vertical="center" wrapText="1"/>
    </xf>
    <xf numFmtId="0" fontId="51" fillId="0" borderId="2" xfId="0" applyFont="1" applyBorder="1">
      <alignment vertical="center"/>
    </xf>
    <xf numFmtId="0" fontId="51" fillId="0" borderId="17" xfId="0" applyFont="1" applyBorder="1">
      <alignment vertical="center"/>
    </xf>
    <xf numFmtId="0" fontId="51" fillId="0" borderId="15" xfId="0" applyFont="1" applyBorder="1" applyAlignment="1">
      <alignment horizontal="center" vertical="center"/>
    </xf>
    <xf numFmtId="0" fontId="51" fillId="0" borderId="13" xfId="0" applyFont="1" applyBorder="1" applyAlignment="1">
      <alignment horizontal="center" vertical="center"/>
    </xf>
    <xf numFmtId="0" fontId="0" fillId="0" borderId="3" xfId="0" applyBorder="1" applyAlignment="1">
      <alignment horizontal="center" vertical="center"/>
    </xf>
    <xf numFmtId="0" fontId="18" fillId="12" borderId="10" xfId="48" applyFont="1" applyFill="1" applyBorder="1" applyAlignment="1">
      <alignment horizontal="left" vertical="center"/>
    </xf>
    <xf numFmtId="0" fontId="18" fillId="12" borderId="2" xfId="48" applyFont="1" applyFill="1" applyBorder="1" applyAlignment="1">
      <alignment horizontal="left" vertical="center"/>
    </xf>
    <xf numFmtId="0" fontId="18" fillId="12" borderId="17" xfId="48" applyFont="1" applyFill="1" applyBorder="1" applyAlignment="1">
      <alignment horizontal="left" vertical="center"/>
    </xf>
    <xf numFmtId="0" fontId="48" fillId="15" borderId="23" xfId="48" applyFont="1" applyFill="1" applyBorder="1" applyAlignment="1">
      <alignment vertical="center"/>
    </xf>
    <xf numFmtId="0" fontId="18" fillId="12" borderId="3" xfId="48" applyFont="1" applyFill="1" applyBorder="1" applyAlignment="1">
      <alignment vertical="center"/>
    </xf>
    <xf numFmtId="0" fontId="20" fillId="0" borderId="10" xfId="48" applyFont="1" applyBorder="1" applyAlignment="1">
      <alignment vertical="center"/>
    </xf>
    <xf numFmtId="0" fontId="20" fillId="0" borderId="2" xfId="48" applyFont="1" applyBorder="1" applyAlignment="1">
      <alignment vertical="center"/>
    </xf>
    <xf numFmtId="0" fontId="20" fillId="0" borderId="17" xfId="48" applyFont="1" applyBorder="1" applyAlignment="1">
      <alignment vertical="center"/>
    </xf>
    <xf numFmtId="0" fontId="18" fillId="12" borderId="3" xfId="48" applyFont="1" applyFill="1" applyBorder="1" applyAlignment="1">
      <alignment horizontal="left" vertical="center"/>
    </xf>
    <xf numFmtId="0" fontId="19" fillId="0" borderId="3" xfId="48" applyFont="1" applyBorder="1" applyAlignment="1">
      <alignment horizontal="left" vertical="center"/>
    </xf>
    <xf numFmtId="0" fontId="13" fillId="16" borderId="3" xfId="50" applyFill="1" applyBorder="1" applyAlignment="1">
      <alignment horizontal="left" vertical="center"/>
    </xf>
    <xf numFmtId="14" fontId="19" fillId="0" borderId="3" xfId="48" applyNumberFormat="1" applyFont="1" applyBorder="1" applyAlignment="1">
      <alignment horizontal="center" vertical="center"/>
    </xf>
    <xf numFmtId="0" fontId="51" fillId="14" borderId="15" xfId="0" applyFont="1" applyFill="1" applyBorder="1" applyAlignment="1">
      <alignment vertical="center" wrapText="1"/>
    </xf>
    <xf numFmtId="0" fontId="51" fillId="14" borderId="12" xfId="0" applyFont="1" applyFill="1" applyBorder="1" applyAlignment="1">
      <alignment vertical="center" wrapText="1"/>
    </xf>
    <xf numFmtId="0" fontId="51" fillId="14" borderId="13" xfId="0" applyFont="1" applyFill="1" applyBorder="1" applyAlignment="1">
      <alignment vertical="center" wrapText="1"/>
    </xf>
    <xf numFmtId="0" fontId="51" fillId="14" borderId="7" xfId="0" applyFont="1" applyFill="1" applyBorder="1" applyAlignment="1">
      <alignment vertical="center" wrapText="1"/>
    </xf>
    <xf numFmtId="0" fontId="51" fillId="14" borderId="8" xfId="0" applyFont="1" applyFill="1" applyBorder="1" applyAlignment="1">
      <alignment vertical="center" wrapText="1"/>
    </xf>
    <xf numFmtId="0" fontId="51" fillId="14" borderId="14" xfId="0" applyFont="1" applyFill="1" applyBorder="1" applyAlignment="1">
      <alignment vertical="center" wrapText="1"/>
    </xf>
    <xf numFmtId="0" fontId="18" fillId="15" borderId="24" xfId="48" applyFont="1" applyFill="1" applyBorder="1" applyAlignment="1">
      <alignment vertical="center"/>
    </xf>
    <xf numFmtId="0" fontId="19" fillId="0" borderId="3" xfId="48" applyFont="1" applyBorder="1" applyAlignment="1">
      <alignment vertical="center"/>
    </xf>
    <xf numFmtId="0" fontId="51" fillId="14" borderId="3" xfId="0" applyFont="1" applyFill="1" applyBorder="1">
      <alignment vertical="center"/>
    </xf>
    <xf numFmtId="0" fontId="17" fillId="15" borderId="22" xfId="48" applyFont="1" applyFill="1" applyBorder="1" applyAlignment="1">
      <alignment vertical="center"/>
    </xf>
    <xf numFmtId="0" fontId="52" fillId="17" borderId="8" xfId="0" applyFont="1" applyFill="1" applyBorder="1" applyAlignment="1">
      <alignment horizontal="center" vertical="center"/>
    </xf>
    <xf numFmtId="0" fontId="51" fillId="14" borderId="3" xfId="0" applyFont="1" applyFill="1" applyBorder="1" applyAlignment="1">
      <alignment vertical="center" wrapText="1"/>
    </xf>
    <xf numFmtId="0" fontId="19" fillId="0" borderId="3" xfId="48" applyFont="1" applyBorder="1" applyAlignment="1">
      <alignment horizontal="center" vertical="center"/>
    </xf>
    <xf numFmtId="0" fontId="13" fillId="16" borderId="10" xfId="50" applyFill="1" applyBorder="1" applyAlignment="1">
      <alignment horizontal="center" vertical="center"/>
    </xf>
    <xf numFmtId="0" fontId="13" fillId="16" borderId="17" xfId="50" applyFill="1" applyBorder="1" applyAlignment="1">
      <alignment horizontal="center" vertical="center"/>
    </xf>
    <xf numFmtId="0" fontId="60" fillId="0" borderId="32" xfId="0" applyFont="1" applyBorder="1" applyAlignment="1">
      <alignment horizontal="center" vertical="center" wrapText="1"/>
    </xf>
    <xf numFmtId="0" fontId="60" fillId="0" borderId="32" xfId="0" quotePrefix="1" applyFont="1" applyBorder="1" applyAlignment="1">
      <alignment horizontal="center" vertical="center" wrapText="1"/>
    </xf>
    <xf numFmtId="0" fontId="60" fillId="21" borderId="33" xfId="0" applyFont="1" applyFill="1" applyBorder="1" applyAlignment="1">
      <alignment horizontal="center" vertical="center" wrapText="1"/>
    </xf>
    <xf numFmtId="0" fontId="60" fillId="21" borderId="34" xfId="0" applyFont="1" applyFill="1" applyBorder="1" applyAlignment="1">
      <alignment horizontal="center" vertical="center" wrapText="1"/>
    </xf>
    <xf numFmtId="0" fontId="60" fillId="21" borderId="35" xfId="0" applyFont="1" applyFill="1" applyBorder="1" applyAlignment="1">
      <alignment horizontal="center" vertical="center" wrapText="1"/>
    </xf>
    <xf numFmtId="0" fontId="60" fillId="21" borderId="36" xfId="0" applyFont="1" applyFill="1" applyBorder="1" applyAlignment="1">
      <alignment horizontal="center" vertical="center" wrapText="1"/>
    </xf>
    <xf numFmtId="0" fontId="60" fillId="21" borderId="37" xfId="0" applyFont="1" applyFill="1" applyBorder="1" applyAlignment="1">
      <alignment horizontal="center" vertical="center" wrapText="1"/>
    </xf>
    <xf numFmtId="0" fontId="60" fillId="21" borderId="38" xfId="0" applyFont="1" applyFill="1" applyBorder="1" applyAlignment="1">
      <alignment horizontal="center" vertical="center" wrapText="1"/>
    </xf>
    <xf numFmtId="17" fontId="60" fillId="0" borderId="32" xfId="0" quotePrefix="1" applyNumberFormat="1" applyFont="1" applyBorder="1" applyAlignment="1">
      <alignment horizontal="center" vertical="center" wrapText="1"/>
    </xf>
    <xf numFmtId="0" fontId="60" fillId="21" borderId="32" xfId="0" applyFont="1" applyFill="1" applyBorder="1" applyAlignment="1">
      <alignment horizontal="center" vertical="center" wrapText="1"/>
    </xf>
    <xf numFmtId="0" fontId="20" fillId="0" borderId="3" xfId="48" applyFont="1" applyBorder="1" applyAlignment="1">
      <alignment vertical="center"/>
    </xf>
    <xf numFmtId="0" fontId="69" fillId="18" borderId="0" xfId="0" applyFont="1" applyFill="1" applyAlignment="1">
      <alignment horizontal="left" vertical="center" wrapText="1"/>
    </xf>
    <xf numFmtId="0" fontId="69" fillId="18" borderId="0" xfId="0" applyFont="1" applyFill="1" applyAlignment="1">
      <alignment horizontal="left" vertical="center"/>
    </xf>
    <xf numFmtId="0" fontId="69" fillId="22" borderId="58" xfId="0" applyFont="1" applyFill="1" applyBorder="1" applyAlignment="1">
      <alignment horizontal="center" vertical="center" wrapText="1"/>
    </xf>
    <xf numFmtId="0" fontId="69" fillId="22" borderId="59" xfId="0" applyFont="1" applyFill="1" applyBorder="1" applyAlignment="1">
      <alignment horizontal="center" vertical="center"/>
    </xf>
    <xf numFmtId="0" fontId="69" fillId="22" borderId="60" xfId="0" applyFont="1" applyFill="1" applyBorder="1" applyAlignment="1">
      <alignment horizontal="center" vertical="center"/>
    </xf>
    <xf numFmtId="0" fontId="69" fillId="22" borderId="61" xfId="0" applyFont="1" applyFill="1" applyBorder="1" applyAlignment="1">
      <alignment horizontal="center" vertical="center"/>
    </xf>
    <xf numFmtId="0" fontId="69" fillId="22" borderId="62" xfId="0" applyFont="1" applyFill="1" applyBorder="1" applyAlignment="1">
      <alignment horizontal="center" vertical="center"/>
    </xf>
    <xf numFmtId="0" fontId="69" fillId="22" borderId="63" xfId="0" applyFont="1" applyFill="1" applyBorder="1" applyAlignment="1">
      <alignment horizontal="center" vertical="center"/>
    </xf>
    <xf numFmtId="0" fontId="50" fillId="13" borderId="10" xfId="49" applyFont="1" applyFill="1" applyBorder="1" applyAlignment="1">
      <alignment horizontal="center" vertical="center"/>
    </xf>
    <xf numFmtId="0" fontId="50" fillId="13" borderId="2" xfId="49" applyFont="1" applyFill="1" applyBorder="1" applyAlignment="1">
      <alignment horizontal="center" vertical="center"/>
    </xf>
    <xf numFmtId="0" fontId="50" fillId="13" borderId="17" xfId="49" applyFont="1" applyFill="1" applyBorder="1" applyAlignment="1">
      <alignment horizontal="center" vertical="center"/>
    </xf>
    <xf numFmtId="0" fontId="19" fillId="10" borderId="10" xfId="46" applyFont="1" applyFill="1" applyBorder="1" applyAlignment="1">
      <alignment horizontal="center"/>
    </xf>
    <xf numFmtId="0" fontId="19" fillId="10" borderId="17" xfId="46" applyFont="1" applyFill="1" applyBorder="1" applyAlignment="1">
      <alignment horizontal="center"/>
    </xf>
    <xf numFmtId="179" fontId="69" fillId="14" borderId="0" xfId="161" quotePrefix="1" applyNumberFormat="1" applyFont="1" applyFill="1" applyAlignment="1">
      <alignment horizontal="right" vertical="center"/>
    </xf>
    <xf numFmtId="179" fontId="69" fillId="22" borderId="58" xfId="161" quotePrefix="1" applyNumberFormat="1" applyFont="1" applyFill="1" applyBorder="1" applyAlignment="1">
      <alignment horizontal="center" vertical="center" wrapText="1"/>
    </xf>
    <xf numFmtId="179" fontId="69" fillId="22" borderId="59" xfId="161" quotePrefix="1" applyNumberFormat="1" applyFont="1" applyFill="1" applyBorder="1" applyAlignment="1">
      <alignment horizontal="center" vertical="center"/>
    </xf>
    <xf numFmtId="179" fontId="69" fillId="22" borderId="60" xfId="161" quotePrefix="1" applyNumberFormat="1" applyFont="1" applyFill="1" applyBorder="1" applyAlignment="1">
      <alignment horizontal="center" vertical="center"/>
    </xf>
    <xf numFmtId="179" fontId="69" fillId="22" borderId="61" xfId="161" quotePrefix="1" applyNumberFormat="1" applyFont="1" applyFill="1" applyBorder="1" applyAlignment="1">
      <alignment horizontal="center" vertical="center"/>
    </xf>
    <xf numFmtId="179" fontId="69" fillId="22" borderId="62" xfId="161" quotePrefix="1" applyNumberFormat="1" applyFont="1" applyFill="1" applyBorder="1" applyAlignment="1">
      <alignment horizontal="center" vertical="center"/>
    </xf>
    <xf numFmtId="179" fontId="69" fillId="22" borderId="63" xfId="161" quotePrefix="1" applyNumberFormat="1" applyFont="1" applyFill="1" applyBorder="1" applyAlignment="1">
      <alignment horizontal="center" vertical="center"/>
    </xf>
    <xf numFmtId="0" fontId="69" fillId="22" borderId="58" xfId="161" applyFont="1" applyFill="1" applyBorder="1" applyAlignment="1">
      <alignment horizontal="center" vertical="center" wrapText="1"/>
    </xf>
    <xf numFmtId="0" fontId="69" fillId="22" borderId="59" xfId="161" applyFont="1" applyFill="1" applyBorder="1" applyAlignment="1">
      <alignment horizontal="center" vertical="center"/>
    </xf>
    <xf numFmtId="0" fontId="69" fillId="22" borderId="60" xfId="161" applyFont="1" applyFill="1" applyBorder="1" applyAlignment="1">
      <alignment horizontal="center" vertical="center"/>
    </xf>
    <xf numFmtId="0" fontId="69" fillId="22" borderId="61" xfId="161" applyFont="1" applyFill="1" applyBorder="1" applyAlignment="1">
      <alignment horizontal="center" vertical="center"/>
    </xf>
    <xf numFmtId="0" fontId="69" fillId="22" borderId="62" xfId="161" applyFont="1" applyFill="1" applyBorder="1" applyAlignment="1">
      <alignment horizontal="center" vertical="center"/>
    </xf>
    <xf numFmtId="0" fontId="69" fillId="22" borderId="63" xfId="161" applyFont="1" applyFill="1" applyBorder="1" applyAlignment="1">
      <alignment horizontal="center" vertical="center"/>
    </xf>
    <xf numFmtId="0" fontId="60" fillId="0" borderId="10" xfId="184" applyFont="1" applyBorder="1" applyAlignment="1">
      <alignment horizontal="center" vertical="center" shrinkToFit="1"/>
    </xf>
    <xf numFmtId="0" fontId="60" fillId="0" borderId="2" xfId="184" applyFont="1" applyBorder="1" applyAlignment="1">
      <alignment horizontal="center" vertical="center" shrinkToFit="1"/>
    </xf>
    <xf numFmtId="0" fontId="60" fillId="0" borderId="17" xfId="184" applyFont="1" applyBorder="1" applyAlignment="1">
      <alignment horizontal="center" vertical="center" shrinkToFit="1"/>
    </xf>
    <xf numFmtId="0" fontId="60" fillId="14" borderId="3" xfId="184" applyFont="1" applyFill="1" applyBorder="1" applyAlignment="1">
      <alignment horizontal="left" vertical="center" wrapText="1"/>
    </xf>
    <xf numFmtId="0" fontId="60" fillId="0" borderId="10" xfId="45" applyFont="1" applyBorder="1" applyAlignment="1">
      <alignment horizontal="center" vertical="center" wrapText="1"/>
    </xf>
    <xf numFmtId="0" fontId="60" fillId="0" borderId="17" xfId="45" applyFont="1" applyBorder="1" applyAlignment="1">
      <alignment horizontal="center" vertical="center" wrapText="1"/>
    </xf>
    <xf numFmtId="0" fontId="60" fillId="0" borderId="44" xfId="184" applyFont="1" applyBorder="1" applyAlignment="1" applyProtection="1">
      <alignment vertical="center" wrapText="1"/>
      <protection locked="0"/>
    </xf>
    <xf numFmtId="0" fontId="60" fillId="0" borderId="2" xfId="184" applyFont="1" applyBorder="1" applyAlignment="1" applyProtection="1">
      <alignment vertical="center" wrapText="1"/>
      <protection locked="0"/>
    </xf>
    <xf numFmtId="0" fontId="60" fillId="0" borderId="40" xfId="184" applyFont="1" applyBorder="1" applyAlignment="1" applyProtection="1">
      <alignment vertical="center" wrapText="1"/>
      <protection locked="0"/>
    </xf>
    <xf numFmtId="0" fontId="60" fillId="0" borderId="41" xfId="184" applyFont="1" applyBorder="1" applyAlignment="1" applyProtection="1">
      <alignment vertical="center" wrapText="1"/>
      <protection locked="0"/>
    </xf>
    <xf numFmtId="0" fontId="60" fillId="0" borderId="42" xfId="184" applyFont="1" applyBorder="1" applyAlignment="1" applyProtection="1">
      <alignment vertical="center" wrapText="1"/>
      <protection locked="0"/>
    </xf>
    <xf numFmtId="0" fontId="60" fillId="0" borderId="43" xfId="184" applyFont="1" applyBorder="1" applyAlignment="1" applyProtection="1">
      <alignment vertical="center" wrapText="1"/>
      <protection locked="0"/>
    </xf>
    <xf numFmtId="0" fontId="60" fillId="0" borderId="10" xfId="184" applyFont="1" applyBorder="1" applyAlignment="1">
      <alignment horizontal="center" vertical="center" wrapText="1"/>
    </xf>
    <xf numFmtId="0" fontId="60" fillId="0" borderId="2" xfId="184" applyFont="1" applyBorder="1" applyAlignment="1">
      <alignment horizontal="center" vertical="center" wrapText="1"/>
    </xf>
    <xf numFmtId="0" fontId="60" fillId="0" borderId="40" xfId="184" applyFont="1" applyBorder="1" applyAlignment="1">
      <alignment horizontal="center" vertical="center" wrapText="1"/>
    </xf>
    <xf numFmtId="0" fontId="60" fillId="0" borderId="44" xfId="184" applyFont="1" applyBorder="1" applyAlignment="1">
      <alignment horizontal="center" vertical="center" wrapText="1"/>
    </xf>
    <xf numFmtId="0" fontId="60" fillId="0" borderId="17" xfId="184" applyFont="1" applyBorder="1" applyAlignment="1">
      <alignment horizontal="center" vertical="center" wrapText="1"/>
    </xf>
    <xf numFmtId="0" fontId="60" fillId="0" borderId="48" xfId="184" applyFont="1" applyBorder="1" applyAlignment="1" applyProtection="1">
      <alignment vertical="center" wrapText="1"/>
      <protection locked="0"/>
    </xf>
    <xf numFmtId="0" fontId="60" fillId="0" borderId="49" xfId="184" applyFont="1" applyBorder="1" applyAlignment="1" applyProtection="1">
      <alignment vertical="center" wrapText="1"/>
      <protection locked="0"/>
    </xf>
    <xf numFmtId="0" fontId="60" fillId="0" borderId="50" xfId="184" applyFont="1" applyBorder="1" applyAlignment="1" applyProtection="1">
      <alignment vertical="center" wrapText="1"/>
      <protection locked="0"/>
    </xf>
    <xf numFmtId="0" fontId="60" fillId="0" borderId="10" xfId="184" applyFont="1" applyBorder="1" applyAlignment="1">
      <alignment horizontal="left" vertical="center" wrapText="1" shrinkToFit="1"/>
    </xf>
    <xf numFmtId="0" fontId="60" fillId="0" borderId="2" xfId="184" applyFont="1" applyBorder="1" applyAlignment="1">
      <alignment horizontal="left" vertical="center" wrapText="1" shrinkToFit="1"/>
    </xf>
    <xf numFmtId="0" fontId="60" fillId="0" borderId="17" xfId="184" applyFont="1" applyBorder="1" applyAlignment="1">
      <alignment horizontal="left" vertical="center" wrapText="1" shrinkToFit="1"/>
    </xf>
    <xf numFmtId="0" fontId="60" fillId="14" borderId="3" xfId="184" quotePrefix="1" applyFont="1" applyFill="1" applyBorder="1" applyAlignment="1">
      <alignment horizontal="left" vertical="center" wrapText="1"/>
    </xf>
    <xf numFmtId="0" fontId="60" fillId="14" borderId="54" xfId="184" applyFont="1" applyFill="1" applyBorder="1" applyAlignment="1" applyProtection="1">
      <alignment horizontal="left" vertical="center" wrapText="1"/>
      <protection locked="0"/>
    </xf>
    <xf numFmtId="0" fontId="60" fillId="14" borderId="55" xfId="184" applyFont="1" applyFill="1" applyBorder="1" applyAlignment="1" applyProtection="1">
      <alignment horizontal="left" vertical="center" wrapText="1"/>
      <protection locked="0"/>
    </xf>
    <xf numFmtId="0" fontId="60" fillId="14" borderId="56" xfId="184" applyFont="1" applyFill="1" applyBorder="1" applyAlignment="1" applyProtection="1">
      <alignment horizontal="left" vertical="center" wrapText="1"/>
      <protection locked="0"/>
    </xf>
    <xf numFmtId="0" fontId="60" fillId="14" borderId="10" xfId="184" applyFont="1" applyFill="1" applyBorder="1" applyAlignment="1">
      <alignment horizontal="left" vertical="center" wrapText="1"/>
    </xf>
    <xf numFmtId="0" fontId="60" fillId="14" borderId="2" xfId="184" applyFont="1" applyFill="1" applyBorder="1" applyAlignment="1">
      <alignment horizontal="left" vertical="center" wrapText="1"/>
    </xf>
    <xf numFmtId="0" fontId="60" fillId="14" borderId="17" xfId="184" applyFont="1" applyFill="1" applyBorder="1" applyAlignment="1">
      <alignment horizontal="left" vertical="center" wrapText="1"/>
    </xf>
    <xf numFmtId="0" fontId="60" fillId="0" borderId="45" xfId="45" applyFont="1" applyBorder="1" applyAlignment="1" applyProtection="1">
      <alignment vertical="center" wrapText="1"/>
      <protection locked="0"/>
    </xf>
    <xf numFmtId="0" fontId="60" fillId="0" borderId="46" xfId="45" applyFont="1" applyBorder="1" applyAlignment="1" applyProtection="1">
      <alignment vertical="center" wrapText="1"/>
      <protection locked="0"/>
    </xf>
    <xf numFmtId="0" fontId="60" fillId="0" borderId="47" xfId="45" applyFont="1" applyBorder="1" applyAlignment="1" applyProtection="1">
      <alignment vertical="center" wrapText="1"/>
      <protection locked="0"/>
    </xf>
    <xf numFmtId="0" fontId="60" fillId="0" borderId="44" xfId="45" applyFont="1" applyBorder="1" applyAlignment="1" applyProtection="1">
      <alignment horizontal="left" vertical="center" shrinkToFit="1"/>
      <protection locked="0"/>
    </xf>
    <xf numFmtId="0" fontId="60" fillId="0" borderId="2" xfId="45" applyFont="1" applyBorder="1" applyAlignment="1" applyProtection="1">
      <alignment horizontal="left" vertical="center" shrinkToFit="1"/>
      <protection locked="0"/>
    </xf>
    <xf numFmtId="0" fontId="60" fillId="0" borderId="40" xfId="45" applyFont="1" applyBorder="1" applyAlignment="1" applyProtection="1">
      <alignment horizontal="left" vertical="center" shrinkToFit="1"/>
      <protection locked="0"/>
    </xf>
    <xf numFmtId="0" fontId="60" fillId="0" borderId="2" xfId="45" applyFont="1" applyBorder="1" applyAlignment="1">
      <alignment horizontal="center" vertical="center" wrapText="1"/>
    </xf>
    <xf numFmtId="0" fontId="60" fillId="0" borderId="40" xfId="45" applyFont="1" applyBorder="1" applyAlignment="1">
      <alignment horizontal="center" vertical="center" wrapText="1"/>
    </xf>
    <xf numFmtId="0" fontId="60" fillId="0" borderId="44" xfId="45" applyFont="1" applyBorder="1" applyAlignment="1">
      <alignment horizontal="center" vertical="center" wrapText="1"/>
    </xf>
    <xf numFmtId="0" fontId="60" fillId="0" borderId="10" xfId="45" applyFont="1" applyBorder="1" applyAlignment="1">
      <alignment horizontal="center" vertical="center" shrinkToFit="1"/>
    </xf>
    <xf numFmtId="0" fontId="60" fillId="0" borderId="2" xfId="45" applyFont="1" applyBorder="1" applyAlignment="1">
      <alignment horizontal="center" vertical="center" shrinkToFit="1"/>
    </xf>
    <xf numFmtId="0" fontId="60" fillId="0" borderId="17" xfId="45" applyFont="1" applyBorder="1" applyAlignment="1">
      <alignment horizontal="center" vertical="center" shrinkToFit="1"/>
    </xf>
    <xf numFmtId="0" fontId="60" fillId="0" borderId="10" xfId="45" applyFont="1" applyBorder="1" applyAlignment="1">
      <alignment horizontal="left" vertical="center" wrapText="1"/>
    </xf>
    <xf numFmtId="0" fontId="60" fillId="0" borderId="2" xfId="45" applyFont="1" applyBorder="1" applyAlignment="1">
      <alignment horizontal="left" vertical="center" wrapText="1"/>
    </xf>
    <xf numFmtId="0" fontId="60" fillId="0" borderId="17" xfId="45" applyFont="1" applyBorder="1" applyAlignment="1">
      <alignment horizontal="left" vertical="center" wrapText="1"/>
    </xf>
    <xf numFmtId="0" fontId="68" fillId="25" borderId="3" xfId="184" applyFont="1" applyFill="1" applyBorder="1" applyAlignment="1">
      <alignment horizontal="center" vertical="center"/>
    </xf>
    <xf numFmtId="0" fontId="78" fillId="24" borderId="15" xfId="184" applyFont="1" applyFill="1" applyBorder="1" applyAlignment="1">
      <alignment horizontal="center" vertical="center" wrapText="1"/>
    </xf>
    <xf numFmtId="0" fontId="78" fillId="24" borderId="13" xfId="184" applyFont="1" applyFill="1" applyBorder="1" applyAlignment="1">
      <alignment horizontal="center" vertical="center" wrapText="1"/>
    </xf>
    <xf numFmtId="0" fontId="78" fillId="24" borderId="7" xfId="184" applyFont="1" applyFill="1" applyBorder="1" applyAlignment="1">
      <alignment horizontal="center" vertical="center" wrapText="1"/>
    </xf>
    <xf numFmtId="0" fontId="78" fillId="24" borderId="14" xfId="184" applyFont="1" applyFill="1" applyBorder="1" applyAlignment="1">
      <alignment horizontal="center" vertical="center" wrapText="1"/>
    </xf>
    <xf numFmtId="0" fontId="68" fillId="24" borderId="15" xfId="184" applyFont="1" applyFill="1" applyBorder="1" applyAlignment="1" applyProtection="1">
      <alignment horizontal="center" vertical="center" wrapText="1"/>
      <protection locked="0"/>
    </xf>
    <xf numFmtId="0" fontId="68" fillId="24" borderId="12" xfId="184" applyFont="1" applyFill="1" applyBorder="1" applyAlignment="1" applyProtection="1">
      <alignment horizontal="center" vertical="center" wrapText="1"/>
      <protection locked="0"/>
    </xf>
    <xf numFmtId="0" fontId="68" fillId="24" borderId="7" xfId="184" applyFont="1" applyFill="1" applyBorder="1" applyAlignment="1" applyProtection="1">
      <alignment horizontal="center" vertical="center" wrapText="1"/>
      <protection locked="0"/>
    </xf>
    <xf numFmtId="0" fontId="68" fillId="24" borderId="8" xfId="184" applyFont="1" applyFill="1" applyBorder="1" applyAlignment="1" applyProtection="1">
      <alignment horizontal="center" vertical="center" wrapText="1"/>
      <protection locked="0"/>
    </xf>
    <xf numFmtId="0" fontId="68" fillId="24" borderId="15" xfId="184" applyFont="1" applyFill="1" applyBorder="1" applyAlignment="1">
      <alignment horizontal="center" vertical="center" wrapText="1"/>
    </xf>
    <xf numFmtId="0" fontId="68" fillId="24" borderId="12" xfId="184" applyFont="1" applyFill="1" applyBorder="1" applyAlignment="1">
      <alignment horizontal="center" vertical="center" wrapText="1"/>
    </xf>
    <xf numFmtId="0" fontId="68" fillId="24" borderId="13" xfId="184" applyFont="1" applyFill="1" applyBorder="1" applyAlignment="1">
      <alignment horizontal="center" vertical="center" wrapText="1"/>
    </xf>
    <xf numFmtId="0" fontId="68" fillId="24" borderId="7" xfId="184" applyFont="1" applyFill="1" applyBorder="1" applyAlignment="1">
      <alignment horizontal="center" vertical="center" wrapText="1"/>
    </xf>
    <xf numFmtId="0" fontId="68" fillId="24" borderId="8" xfId="184" applyFont="1" applyFill="1" applyBorder="1" applyAlignment="1">
      <alignment horizontal="center" vertical="center" wrapText="1"/>
    </xf>
    <xf numFmtId="0" fontId="68" fillId="24" borderId="14" xfId="184" applyFont="1" applyFill="1" applyBorder="1" applyAlignment="1">
      <alignment horizontal="center" vertical="center" wrapText="1"/>
    </xf>
    <xf numFmtId="0" fontId="78" fillId="24" borderId="12" xfId="184" applyFont="1" applyFill="1" applyBorder="1" applyAlignment="1">
      <alignment horizontal="center" vertical="center" wrapText="1"/>
    </xf>
    <xf numFmtId="0" fontId="78" fillId="24" borderId="8" xfId="184" applyFont="1" applyFill="1" applyBorder="1" applyAlignment="1">
      <alignment horizontal="center" vertical="center" wrapText="1"/>
    </xf>
    <xf numFmtId="0" fontId="60" fillId="0" borderId="44" xfId="184" applyFont="1" applyBorder="1" applyAlignment="1" applyProtection="1">
      <alignment horizontal="left" vertical="center" wrapText="1"/>
      <protection locked="0"/>
    </xf>
    <xf numFmtId="0" fontId="60" fillId="0" borderId="2" xfId="184" applyFont="1" applyBorder="1" applyAlignment="1" applyProtection="1">
      <alignment horizontal="left" vertical="center" wrapText="1"/>
      <protection locked="0"/>
    </xf>
    <xf numFmtId="0" fontId="60" fillId="0" borderId="10" xfId="184" applyFont="1" applyBorder="1" applyAlignment="1">
      <alignment horizontal="left" vertical="center" wrapText="1"/>
    </xf>
    <xf numFmtId="0" fontId="60" fillId="0" borderId="2" xfId="184" applyFont="1" applyBorder="1" applyAlignment="1">
      <alignment horizontal="left" vertical="center" wrapText="1"/>
    </xf>
    <xf numFmtId="0" fontId="60" fillId="0" borderId="17" xfId="184" applyFont="1" applyBorder="1" applyAlignment="1">
      <alignment horizontal="left" vertical="center" wrapText="1"/>
    </xf>
    <xf numFmtId="49" fontId="60" fillId="0" borderId="10" xfId="45" applyNumberFormat="1" applyFont="1" applyBorder="1" applyAlignment="1">
      <alignment horizontal="left" vertical="center" wrapText="1"/>
    </xf>
    <xf numFmtId="49" fontId="60" fillId="0" borderId="40" xfId="45" applyNumberFormat="1" applyFont="1" applyBorder="1" applyAlignment="1">
      <alignment horizontal="left" vertical="center" wrapText="1"/>
    </xf>
    <xf numFmtId="0" fontId="60" fillId="0" borderId="44" xfId="184" applyFont="1" applyBorder="1" applyAlignment="1">
      <alignment horizontal="left" vertical="center" wrapText="1"/>
    </xf>
    <xf numFmtId="0" fontId="60" fillId="0" borderId="40" xfId="184" applyFont="1" applyBorder="1" applyAlignment="1">
      <alignment horizontal="left" vertical="center" wrapText="1"/>
    </xf>
    <xf numFmtId="0" fontId="60" fillId="0" borderId="40" xfId="45" applyFont="1" applyBorder="1" applyAlignment="1">
      <alignment horizontal="left" vertical="center" wrapText="1"/>
    </xf>
    <xf numFmtId="0" fontId="60" fillId="0" borderId="52" xfId="184" applyFont="1" applyBorder="1" applyAlignment="1" applyProtection="1">
      <alignment horizontal="left" vertical="center" wrapText="1"/>
      <protection locked="0"/>
    </xf>
    <xf numFmtId="0" fontId="60" fillId="0" borderId="53" xfId="184" applyFont="1" applyBorder="1" applyAlignment="1" applyProtection="1">
      <alignment horizontal="left" vertical="center" wrapText="1"/>
      <protection locked="0"/>
    </xf>
    <xf numFmtId="0" fontId="60" fillId="0" borderId="10" xfId="184" applyFont="1" applyBorder="1" applyAlignment="1">
      <alignment horizontal="left" vertical="top" wrapText="1"/>
    </xf>
    <xf numFmtId="0" fontId="60" fillId="0" borderId="2" xfId="184" applyFont="1" applyBorder="1" applyAlignment="1">
      <alignment horizontal="left" vertical="top" wrapText="1"/>
    </xf>
    <xf numFmtId="0" fontId="60" fillId="0" borderId="17" xfId="184" applyFont="1" applyBorder="1" applyAlignment="1">
      <alignment horizontal="left" vertical="top" wrapText="1"/>
    </xf>
    <xf numFmtId="0" fontId="68" fillId="24" borderId="3" xfId="184" applyFont="1" applyFill="1" applyBorder="1" applyAlignment="1">
      <alignment horizontal="center" vertical="center" wrapText="1"/>
    </xf>
    <xf numFmtId="0" fontId="68" fillId="25" borderId="22" xfId="184" applyFont="1" applyFill="1" applyBorder="1" applyAlignment="1">
      <alignment horizontal="center" vertical="center"/>
    </xf>
    <xf numFmtId="0" fontId="68" fillId="26" borderId="3" xfId="184" applyFont="1" applyFill="1" applyBorder="1" applyAlignment="1">
      <alignment horizontal="center" vertical="center"/>
    </xf>
    <xf numFmtId="0" fontId="60" fillId="26" borderId="3" xfId="184" applyFont="1" applyFill="1" applyBorder="1" applyAlignment="1">
      <alignment horizontal="center" vertical="center"/>
    </xf>
    <xf numFmtId="0" fontId="68" fillId="24" borderId="3" xfId="184" applyFont="1" applyFill="1" applyBorder="1" applyAlignment="1">
      <alignment horizontal="center" vertical="center"/>
    </xf>
    <xf numFmtId="0" fontId="68" fillId="26" borderId="3" xfId="184" applyFont="1" applyFill="1" applyBorder="1" applyAlignment="1" applyProtection="1">
      <alignment horizontal="center" vertical="center" wrapText="1"/>
      <protection locked="0"/>
    </xf>
    <xf numFmtId="0" fontId="83" fillId="14" borderId="0" xfId="0" applyFont="1" applyFill="1">
      <alignment vertical="center"/>
    </xf>
    <xf numFmtId="0" fontId="83" fillId="0" borderId="0" xfId="0" applyFont="1">
      <alignment vertical="center"/>
    </xf>
    <xf numFmtId="0" fontId="77" fillId="0" borderId="0" xfId="186" applyFont="1">
      <alignment vertical="center"/>
    </xf>
    <xf numFmtId="0" fontId="66" fillId="0" borderId="0" xfId="186" applyFont="1">
      <alignment vertical="center"/>
    </xf>
    <xf numFmtId="0" fontId="77" fillId="25" borderId="22" xfId="186" applyFont="1" applyFill="1" applyBorder="1" applyAlignment="1">
      <alignment horizontal="center" vertical="center"/>
    </xf>
    <xf numFmtId="0" fontId="66" fillId="0" borderId="15" xfId="186" applyFont="1" applyBorder="1">
      <alignment vertical="center"/>
    </xf>
    <xf numFmtId="0" fontId="66" fillId="0" borderId="12" xfId="186" applyFont="1" applyBorder="1">
      <alignment vertical="center"/>
    </xf>
    <xf numFmtId="0" fontId="66" fillId="0" borderId="13" xfId="186" applyFont="1" applyBorder="1">
      <alignment vertical="center"/>
    </xf>
    <xf numFmtId="0" fontId="66" fillId="0" borderId="6" xfId="186" applyFont="1" applyBorder="1">
      <alignment vertical="center"/>
    </xf>
    <xf numFmtId="0" fontId="66" fillId="0" borderId="11" xfId="186" applyFont="1" applyBorder="1">
      <alignment vertical="center"/>
    </xf>
    <xf numFmtId="0" fontId="66" fillId="26" borderId="10" xfId="186" applyFont="1" applyFill="1" applyBorder="1" applyAlignment="1">
      <alignment horizontal="left" vertical="center"/>
    </xf>
    <xf numFmtId="0" fontId="66" fillId="26" borderId="2" xfId="186" applyFont="1" applyFill="1" applyBorder="1" applyAlignment="1">
      <alignment horizontal="left" vertical="center"/>
    </xf>
    <xf numFmtId="0" fontId="66" fillId="26" borderId="17" xfId="186" applyFont="1" applyFill="1" applyBorder="1" applyAlignment="1">
      <alignment horizontal="left" vertical="center"/>
    </xf>
    <xf numFmtId="0" fontId="66" fillId="0" borderId="10" xfId="186" applyFont="1" applyBorder="1" applyAlignment="1">
      <alignment horizontal="left" vertical="center" wrapText="1"/>
    </xf>
    <xf numFmtId="0" fontId="66" fillId="0" borderId="2" xfId="186" applyFont="1" applyBorder="1" applyAlignment="1">
      <alignment horizontal="left" vertical="center" wrapText="1"/>
    </xf>
    <xf numFmtId="0" fontId="66" fillId="0" borderId="17" xfId="186" applyFont="1" applyBorder="1" applyAlignment="1">
      <alignment horizontal="left" vertical="center" wrapText="1"/>
    </xf>
    <xf numFmtId="0" fontId="66" fillId="27" borderId="3" xfId="186" applyFont="1" applyFill="1" applyBorder="1" applyAlignment="1">
      <alignment horizontal="center" vertical="center"/>
    </xf>
    <xf numFmtId="0" fontId="66" fillId="0" borderId="3" xfId="186" applyFont="1" applyBorder="1" applyAlignment="1">
      <alignment horizontal="center" vertical="center"/>
    </xf>
    <xf numFmtId="0" fontId="66" fillId="0" borderId="3" xfId="186" applyFont="1" applyBorder="1" applyAlignment="1">
      <alignment horizontal="left" vertical="center"/>
    </xf>
    <xf numFmtId="0" fontId="66" fillId="0" borderId="3" xfId="186" applyFont="1" applyBorder="1" applyAlignment="1">
      <alignment horizontal="left" vertical="center" wrapText="1"/>
    </xf>
    <xf numFmtId="0" fontId="63" fillId="0" borderId="0" xfId="186" applyFont="1">
      <alignment vertical="center"/>
    </xf>
    <xf numFmtId="0" fontId="66" fillId="0" borderId="7" xfId="186" applyFont="1" applyBorder="1">
      <alignment vertical="center"/>
    </xf>
    <xf numFmtId="0" fontId="66" fillId="0" borderId="8" xfId="186" applyFont="1" applyBorder="1">
      <alignment vertical="center"/>
    </xf>
    <xf numFmtId="0" fontId="66" fillId="0" borderId="14" xfId="186" applyFont="1" applyBorder="1">
      <alignment vertical="center"/>
    </xf>
  </cellXfs>
  <cellStyles count="187">
    <cellStyle name="0301" xfId="1" xr:uid="{00000000-0005-0000-0000-000000000000}"/>
    <cellStyle name="0_x0014_標準_F_02?P_Dd080301" xfId="2" xr:uid="{00000000-0005-0000-0000-000001000000}"/>
    <cellStyle name="Calc Currency (0)" xfId="3" xr:uid="{00000000-0005-0000-0000-000002000000}"/>
    <cellStyle name="ColumnAttributeAbovePrompt" xfId="4" xr:uid="{00000000-0005-0000-0000-000003000000}"/>
    <cellStyle name="ColumnAttributePrompt" xfId="5" xr:uid="{00000000-0005-0000-0000-000004000000}"/>
    <cellStyle name="ColumnAttributeValue" xfId="6" xr:uid="{00000000-0005-0000-0000-000005000000}"/>
    <cellStyle name="ColumnHeadingPrompt" xfId="7" xr:uid="{00000000-0005-0000-0000-000006000000}"/>
    <cellStyle name="ColumnHeadingValue" xfId="8" xr:uid="{00000000-0005-0000-0000-000007000000}"/>
    <cellStyle name="entry" xfId="9" xr:uid="{00000000-0005-0000-0000-000008000000}"/>
    <cellStyle name="Grey" xfId="10" xr:uid="{00000000-0005-0000-0000-000009000000}"/>
    <cellStyle name="Header1" xfId="11" xr:uid="{00000000-0005-0000-0000-00000A000000}"/>
    <cellStyle name="Header2" xfId="12" xr:uid="{00000000-0005-0000-0000-00000B000000}"/>
    <cellStyle name="Input [yellow]" xfId="13" xr:uid="{00000000-0005-0000-0000-00000C000000}"/>
    <cellStyle name="LineItemPrompt" xfId="14" xr:uid="{00000000-0005-0000-0000-00000D000000}"/>
    <cellStyle name="LineItemValue" xfId="15" xr:uid="{00000000-0005-0000-0000-00000E000000}"/>
    <cellStyle name="Normal - Style1" xfId="16" xr:uid="{00000000-0005-0000-0000-00000F000000}"/>
    <cellStyle name="Normal_#18-Internet" xfId="17" xr:uid="{00000000-0005-0000-0000-000010000000}"/>
    <cellStyle name="OUTPUT AMOUNTS" xfId="18" xr:uid="{00000000-0005-0000-0000-000011000000}"/>
    <cellStyle name="OUTPUT COLUMN HEADINGS" xfId="19" xr:uid="{00000000-0005-0000-0000-000012000000}"/>
    <cellStyle name="OUTPUT LINE ITEMS" xfId="20" xr:uid="{00000000-0005-0000-0000-000013000000}"/>
    <cellStyle name="OUTPUT REPORT HEADING" xfId="21" xr:uid="{00000000-0005-0000-0000-000014000000}"/>
    <cellStyle name="OUTPUT REPORT TITLE" xfId="22" xr:uid="{00000000-0005-0000-0000-000015000000}"/>
    <cellStyle name="Percent [2]" xfId="23" xr:uid="{00000000-0005-0000-0000-000016000000}"/>
    <cellStyle name="price" xfId="24" xr:uid="{00000000-0005-0000-0000-000017000000}"/>
    <cellStyle name="ReportTitlePrompt" xfId="25" xr:uid="{00000000-0005-0000-0000-000018000000}"/>
    <cellStyle name="ReportTitleValue" xfId="26" xr:uid="{00000000-0005-0000-0000-000019000000}"/>
    <cellStyle name="revised" xfId="27" xr:uid="{00000000-0005-0000-0000-00001A000000}"/>
    <cellStyle name="RowAcctAbovePrompt" xfId="28" xr:uid="{00000000-0005-0000-0000-00001B000000}"/>
    <cellStyle name="RowAcctSOBAbovePrompt" xfId="29" xr:uid="{00000000-0005-0000-0000-00001C000000}"/>
    <cellStyle name="RowAcctSOBValue" xfId="30" xr:uid="{00000000-0005-0000-0000-00001D000000}"/>
    <cellStyle name="RowAcctValue" xfId="31" xr:uid="{00000000-0005-0000-0000-00001E000000}"/>
    <cellStyle name="RowAttrAbovePrompt" xfId="32" xr:uid="{00000000-0005-0000-0000-00001F000000}"/>
    <cellStyle name="RowAttrValue" xfId="33" xr:uid="{00000000-0005-0000-0000-000020000000}"/>
    <cellStyle name="RowColSetAbovePrompt" xfId="34" xr:uid="{00000000-0005-0000-0000-000021000000}"/>
    <cellStyle name="RowColSetLeftPrompt" xfId="35" xr:uid="{00000000-0005-0000-0000-000022000000}"/>
    <cellStyle name="RowColSetValue" xfId="36" xr:uid="{00000000-0005-0000-0000-000023000000}"/>
    <cellStyle name="RowLeftPrompt" xfId="37" xr:uid="{00000000-0005-0000-0000-000024000000}"/>
    <cellStyle name="SampleUsingFormatMask" xfId="38" xr:uid="{00000000-0005-0000-0000-000025000000}"/>
    <cellStyle name="SampleWithNoFormatMask" xfId="39" xr:uid="{00000000-0005-0000-0000-000026000000}"/>
    <cellStyle name="section" xfId="40" xr:uid="{00000000-0005-0000-0000-000027000000}"/>
    <cellStyle name="subhead" xfId="41" xr:uid="{00000000-0005-0000-0000-000028000000}"/>
    <cellStyle name="title" xfId="42" xr:uid="{00000000-0005-0000-0000-000029000000}"/>
    <cellStyle name="UploadThisRowValue" xfId="43" xr:uid="{00000000-0005-0000-0000-00002A000000}"/>
    <cellStyle name="_x001d__x000c_K_x0014__x000d_&gt;V_x0001_&gt;_x0014_n_x001e__x0007__x0001__x0001_" xfId="44" xr:uid="{00000000-0005-0000-0000-00002B000000}"/>
    <cellStyle name="標準" xfId="0" builtinId="0"/>
    <cellStyle name="標準 10" xfId="184" xr:uid="{EA538841-B3F7-4189-AE1D-AD4B02F64DDE}"/>
    <cellStyle name="標準 11" xfId="185" xr:uid="{9A33E0B3-3601-4446-AF7C-40986B16F916}"/>
    <cellStyle name="標準 12" xfId="186" xr:uid="{868DCC0C-A919-469A-8C51-D8FACEBCB55E}"/>
    <cellStyle name="標準 2" xfId="45" xr:uid="{00000000-0005-0000-0000-00002D000000}"/>
    <cellStyle name="標準 2 2" xfId="161" xr:uid="{00000000-0005-0000-0000-00002E000000}"/>
    <cellStyle name="標準 2 2 2 2" xfId="181" xr:uid="{00000000-0005-0000-0000-00002F000000}"/>
    <cellStyle name="標準 2 2 3 3" xfId="180" xr:uid="{00000000-0005-0000-0000-000030000000}"/>
    <cellStyle name="標準 2 2 3 3 2" xfId="183" xr:uid="{A9F8D5FD-FFE5-47DC-8F2A-256F756463B6}"/>
    <cellStyle name="標準 2 3" xfId="163" xr:uid="{00000000-0005-0000-0000-000031000000}"/>
    <cellStyle name="標準 3" xfId="46" xr:uid="{00000000-0005-0000-0000-000032000000}"/>
    <cellStyle name="標準 4" xfId="47" xr:uid="{00000000-0005-0000-0000-000033000000}"/>
    <cellStyle name="標準 5" xfId="52" xr:uid="{00000000-0005-0000-0000-000034000000}"/>
    <cellStyle name="標準 5 2" xfId="55" xr:uid="{00000000-0005-0000-0000-000035000000}"/>
    <cellStyle name="標準 5 2 2" xfId="61" xr:uid="{00000000-0005-0000-0000-000036000000}"/>
    <cellStyle name="標準 5 2 2 2" xfId="91" xr:uid="{00000000-0005-0000-0000-000037000000}"/>
    <cellStyle name="標準 5 2 2 2 2" xfId="137" xr:uid="{00000000-0005-0000-0000-000038000000}"/>
    <cellStyle name="標準 5 2 2 3" xfId="107" xr:uid="{00000000-0005-0000-0000-000039000000}"/>
    <cellStyle name="標準 5 2 2 3 2" xfId="153" xr:uid="{00000000-0005-0000-0000-00003A000000}"/>
    <cellStyle name="標準 5 2 2 4" xfId="81" xr:uid="{00000000-0005-0000-0000-00003B000000}"/>
    <cellStyle name="標準 5 2 2 4 2" xfId="177" xr:uid="{00000000-0005-0000-0000-00003C000000}"/>
    <cellStyle name="標準 5 2 2 5" xfId="127" xr:uid="{00000000-0005-0000-0000-00003D000000}"/>
    <cellStyle name="標準 5 2 3" xfId="65" xr:uid="{00000000-0005-0000-0000-00003E000000}"/>
    <cellStyle name="標準 5 2 3 2" xfId="95" xr:uid="{00000000-0005-0000-0000-00003F000000}"/>
    <cellStyle name="標準 5 2 3 2 2" xfId="141" xr:uid="{00000000-0005-0000-0000-000040000000}"/>
    <cellStyle name="標準 5 2 3 3" xfId="111" xr:uid="{00000000-0005-0000-0000-000041000000}"/>
    <cellStyle name="標準 5 2 3 3 2" xfId="157" xr:uid="{00000000-0005-0000-0000-000042000000}"/>
    <cellStyle name="標準 5 2 3 4" xfId="75" xr:uid="{00000000-0005-0000-0000-000043000000}"/>
    <cellStyle name="標準 5 2 3 4 2" xfId="171" xr:uid="{00000000-0005-0000-0000-000044000000}"/>
    <cellStyle name="標準 5 2 3 5" xfId="121" xr:uid="{00000000-0005-0000-0000-000045000000}"/>
    <cellStyle name="標準 5 2 4" xfId="85" xr:uid="{00000000-0005-0000-0000-000046000000}"/>
    <cellStyle name="標準 5 2 4 2" xfId="131" xr:uid="{00000000-0005-0000-0000-000047000000}"/>
    <cellStyle name="標準 5 2 5" xfId="101" xr:uid="{00000000-0005-0000-0000-000048000000}"/>
    <cellStyle name="標準 5 2 5 2" xfId="147" xr:uid="{00000000-0005-0000-0000-000049000000}"/>
    <cellStyle name="標準 5 2 6" xfId="71" xr:uid="{00000000-0005-0000-0000-00004A000000}"/>
    <cellStyle name="標準 5 2 6 2" xfId="167" xr:uid="{00000000-0005-0000-0000-00004B000000}"/>
    <cellStyle name="標準 5 2 7" xfId="117" xr:uid="{00000000-0005-0000-0000-00004C000000}"/>
    <cellStyle name="標準 5 3" xfId="58" xr:uid="{00000000-0005-0000-0000-00004D000000}"/>
    <cellStyle name="標準 5 3 2" xfId="88" xr:uid="{00000000-0005-0000-0000-00004E000000}"/>
    <cellStyle name="標準 5 3 2 2" xfId="134" xr:uid="{00000000-0005-0000-0000-00004F000000}"/>
    <cellStyle name="標準 5 3 3" xfId="104" xr:uid="{00000000-0005-0000-0000-000050000000}"/>
    <cellStyle name="標準 5 3 3 2" xfId="150" xr:uid="{00000000-0005-0000-0000-000051000000}"/>
    <cellStyle name="標準 5 3 4" xfId="78" xr:uid="{00000000-0005-0000-0000-000052000000}"/>
    <cellStyle name="標準 5 3 4 2" xfId="174" xr:uid="{00000000-0005-0000-0000-000053000000}"/>
    <cellStyle name="標準 5 3 5" xfId="124" xr:uid="{00000000-0005-0000-0000-000054000000}"/>
    <cellStyle name="標準 5 4" xfId="62" xr:uid="{00000000-0005-0000-0000-000055000000}"/>
    <cellStyle name="標準 5 4 2" xfId="92" xr:uid="{00000000-0005-0000-0000-000056000000}"/>
    <cellStyle name="標準 5 4 2 2" xfId="138" xr:uid="{00000000-0005-0000-0000-000057000000}"/>
    <cellStyle name="標準 5 4 3" xfId="108" xr:uid="{00000000-0005-0000-0000-000058000000}"/>
    <cellStyle name="標準 5 4 3 2" xfId="154" xr:uid="{00000000-0005-0000-0000-000059000000}"/>
    <cellStyle name="標準 5 4 4" xfId="72" xr:uid="{00000000-0005-0000-0000-00005A000000}"/>
    <cellStyle name="標準 5 4 4 2" xfId="168" xr:uid="{00000000-0005-0000-0000-00005B000000}"/>
    <cellStyle name="標準 5 4 5" xfId="118" xr:uid="{00000000-0005-0000-0000-00005C000000}"/>
    <cellStyle name="標準 5 5" xfId="82" xr:uid="{00000000-0005-0000-0000-00005D000000}"/>
    <cellStyle name="標準 5 5 2" xfId="128" xr:uid="{00000000-0005-0000-0000-00005E000000}"/>
    <cellStyle name="標準 5 6" xfId="98" xr:uid="{00000000-0005-0000-0000-00005F000000}"/>
    <cellStyle name="標準 5 6 2" xfId="144" xr:uid="{00000000-0005-0000-0000-000060000000}"/>
    <cellStyle name="標準 5 7" xfId="68" xr:uid="{00000000-0005-0000-0000-000061000000}"/>
    <cellStyle name="標準 5 7 2" xfId="164" xr:uid="{00000000-0005-0000-0000-000062000000}"/>
    <cellStyle name="標準 5 8" xfId="114" xr:uid="{00000000-0005-0000-0000-000063000000}"/>
    <cellStyle name="標準 6" xfId="53" xr:uid="{00000000-0005-0000-0000-000064000000}"/>
    <cellStyle name="標準 6 10" xfId="182" xr:uid="{00000000-0005-0000-0000-000065000000}"/>
    <cellStyle name="標準 6 2" xfId="56" xr:uid="{00000000-0005-0000-0000-000066000000}"/>
    <cellStyle name="標準 6 2 2" xfId="66" xr:uid="{00000000-0005-0000-0000-000067000000}"/>
    <cellStyle name="標準 6 2 2 2" xfId="112" xr:uid="{00000000-0005-0000-0000-000068000000}"/>
    <cellStyle name="標準 6 2 2 2 2" xfId="158" xr:uid="{00000000-0005-0000-0000-000069000000}"/>
    <cellStyle name="標準 6 2 2 3" xfId="96" xr:uid="{00000000-0005-0000-0000-00006A000000}"/>
    <cellStyle name="標準 6 2 2 3 2" xfId="178" xr:uid="{00000000-0005-0000-0000-00006B000000}"/>
    <cellStyle name="標準 6 2 2 4" xfId="142" xr:uid="{00000000-0005-0000-0000-00006C000000}"/>
    <cellStyle name="標準 6 2 3" xfId="86" xr:uid="{00000000-0005-0000-0000-00006D000000}"/>
    <cellStyle name="標準 6 2 3 2" xfId="132" xr:uid="{00000000-0005-0000-0000-00006E000000}"/>
    <cellStyle name="標準 6 2 4" xfId="102" xr:uid="{00000000-0005-0000-0000-00006F000000}"/>
    <cellStyle name="標準 6 2 4 2" xfId="148" xr:uid="{00000000-0005-0000-0000-000070000000}"/>
    <cellStyle name="標準 6 2 5" xfId="76" xr:uid="{00000000-0005-0000-0000-000071000000}"/>
    <cellStyle name="標準 6 2 5 2" xfId="172" xr:uid="{00000000-0005-0000-0000-000072000000}"/>
    <cellStyle name="標準 6 2 6" xfId="122" xr:uid="{00000000-0005-0000-0000-000073000000}"/>
    <cellStyle name="標準 6 3" xfId="59" xr:uid="{00000000-0005-0000-0000-000074000000}"/>
    <cellStyle name="標準 6 3 2" xfId="89" xr:uid="{00000000-0005-0000-0000-000075000000}"/>
    <cellStyle name="標準 6 3 2 2" xfId="135" xr:uid="{00000000-0005-0000-0000-000076000000}"/>
    <cellStyle name="標準 6 3 3" xfId="105" xr:uid="{00000000-0005-0000-0000-000077000000}"/>
    <cellStyle name="標準 6 3 3 2" xfId="151" xr:uid="{00000000-0005-0000-0000-000078000000}"/>
    <cellStyle name="標準 6 3 4" xfId="79" xr:uid="{00000000-0005-0000-0000-000079000000}"/>
    <cellStyle name="標準 6 3 4 2" xfId="175" xr:uid="{00000000-0005-0000-0000-00007A000000}"/>
    <cellStyle name="標準 6 3 5" xfId="125" xr:uid="{00000000-0005-0000-0000-00007B000000}"/>
    <cellStyle name="標準 6 4" xfId="63" xr:uid="{00000000-0005-0000-0000-00007C000000}"/>
    <cellStyle name="標準 6 4 2" xfId="93" xr:uid="{00000000-0005-0000-0000-00007D000000}"/>
    <cellStyle name="標準 6 4 2 2" xfId="139" xr:uid="{00000000-0005-0000-0000-00007E000000}"/>
    <cellStyle name="標準 6 4 3" xfId="109" xr:uid="{00000000-0005-0000-0000-00007F000000}"/>
    <cellStyle name="標準 6 4 3 2" xfId="155" xr:uid="{00000000-0005-0000-0000-000080000000}"/>
    <cellStyle name="標準 6 4 4" xfId="73" xr:uid="{00000000-0005-0000-0000-000081000000}"/>
    <cellStyle name="標準 6 4 4 2" xfId="169" xr:uid="{00000000-0005-0000-0000-000082000000}"/>
    <cellStyle name="標準 6 4 5" xfId="119" xr:uid="{00000000-0005-0000-0000-000083000000}"/>
    <cellStyle name="標準 6 5" xfId="83" xr:uid="{00000000-0005-0000-0000-000084000000}"/>
    <cellStyle name="標準 6 5 2" xfId="129" xr:uid="{00000000-0005-0000-0000-000085000000}"/>
    <cellStyle name="標準 6 6" xfId="99" xr:uid="{00000000-0005-0000-0000-000086000000}"/>
    <cellStyle name="標準 6 6 2" xfId="145" xr:uid="{00000000-0005-0000-0000-000087000000}"/>
    <cellStyle name="標準 6 7" xfId="69" xr:uid="{00000000-0005-0000-0000-000088000000}"/>
    <cellStyle name="標準 6 7 2" xfId="165" xr:uid="{00000000-0005-0000-0000-000089000000}"/>
    <cellStyle name="標準 6 8" xfId="115" xr:uid="{00000000-0005-0000-0000-00008A000000}"/>
    <cellStyle name="標準 7" xfId="54" xr:uid="{00000000-0005-0000-0000-00008B000000}"/>
    <cellStyle name="標準 7 2" xfId="57" xr:uid="{00000000-0005-0000-0000-00008C000000}"/>
    <cellStyle name="標準 7 2 2" xfId="67" xr:uid="{00000000-0005-0000-0000-00008D000000}"/>
    <cellStyle name="標準 7 2 2 2" xfId="113" xr:uid="{00000000-0005-0000-0000-00008E000000}"/>
    <cellStyle name="標準 7 2 2 2 2" xfId="159" xr:uid="{00000000-0005-0000-0000-00008F000000}"/>
    <cellStyle name="標準 7 2 2 3" xfId="97" xr:uid="{00000000-0005-0000-0000-000090000000}"/>
    <cellStyle name="標準 7 2 2 3 2" xfId="179" xr:uid="{00000000-0005-0000-0000-000091000000}"/>
    <cellStyle name="標準 7 2 2 4" xfId="143" xr:uid="{00000000-0005-0000-0000-000092000000}"/>
    <cellStyle name="標準 7 2 3" xfId="87" xr:uid="{00000000-0005-0000-0000-000093000000}"/>
    <cellStyle name="標準 7 2 3 2" xfId="133" xr:uid="{00000000-0005-0000-0000-000094000000}"/>
    <cellStyle name="標準 7 2 4" xfId="103" xr:uid="{00000000-0005-0000-0000-000095000000}"/>
    <cellStyle name="標準 7 2 4 2" xfId="149" xr:uid="{00000000-0005-0000-0000-000096000000}"/>
    <cellStyle name="標準 7 2 5" xfId="77" xr:uid="{00000000-0005-0000-0000-000097000000}"/>
    <cellStyle name="標準 7 2 5 2" xfId="173" xr:uid="{00000000-0005-0000-0000-000098000000}"/>
    <cellStyle name="標準 7 2 6" xfId="123" xr:uid="{00000000-0005-0000-0000-000099000000}"/>
    <cellStyle name="標準 7 3" xfId="60" xr:uid="{00000000-0005-0000-0000-00009A000000}"/>
    <cellStyle name="標準 7 3 2" xfId="90" xr:uid="{00000000-0005-0000-0000-00009B000000}"/>
    <cellStyle name="標準 7 3 2 2" xfId="136" xr:uid="{00000000-0005-0000-0000-00009C000000}"/>
    <cellStyle name="標準 7 3 3" xfId="106" xr:uid="{00000000-0005-0000-0000-00009D000000}"/>
    <cellStyle name="標準 7 3 3 2" xfId="152" xr:uid="{00000000-0005-0000-0000-00009E000000}"/>
    <cellStyle name="標準 7 3 4" xfId="80" xr:uid="{00000000-0005-0000-0000-00009F000000}"/>
    <cellStyle name="標準 7 3 4 2" xfId="176" xr:uid="{00000000-0005-0000-0000-0000A0000000}"/>
    <cellStyle name="標準 7 3 5" xfId="126" xr:uid="{00000000-0005-0000-0000-0000A1000000}"/>
    <cellStyle name="標準 7 4" xfId="64" xr:uid="{00000000-0005-0000-0000-0000A2000000}"/>
    <cellStyle name="標準 7 4 2" xfId="94" xr:uid="{00000000-0005-0000-0000-0000A3000000}"/>
    <cellStyle name="標準 7 4 2 2" xfId="140" xr:uid="{00000000-0005-0000-0000-0000A4000000}"/>
    <cellStyle name="標準 7 4 3" xfId="110" xr:uid="{00000000-0005-0000-0000-0000A5000000}"/>
    <cellStyle name="標準 7 4 3 2" xfId="156" xr:uid="{00000000-0005-0000-0000-0000A6000000}"/>
    <cellStyle name="標準 7 4 4" xfId="74" xr:uid="{00000000-0005-0000-0000-0000A7000000}"/>
    <cellStyle name="標準 7 4 4 2" xfId="170" xr:uid="{00000000-0005-0000-0000-0000A8000000}"/>
    <cellStyle name="標準 7 4 5" xfId="120" xr:uid="{00000000-0005-0000-0000-0000A9000000}"/>
    <cellStyle name="標準 7 5" xfId="84" xr:uid="{00000000-0005-0000-0000-0000AA000000}"/>
    <cellStyle name="標準 7 5 2" xfId="130" xr:uid="{00000000-0005-0000-0000-0000AB000000}"/>
    <cellStyle name="標準 7 6" xfId="100" xr:uid="{00000000-0005-0000-0000-0000AC000000}"/>
    <cellStyle name="標準 7 6 2" xfId="146" xr:uid="{00000000-0005-0000-0000-0000AD000000}"/>
    <cellStyle name="標準 7 7" xfId="70" xr:uid="{00000000-0005-0000-0000-0000AE000000}"/>
    <cellStyle name="標準 7 7 2" xfId="166" xr:uid="{00000000-0005-0000-0000-0000AF000000}"/>
    <cellStyle name="標準 7 8" xfId="116" xr:uid="{00000000-0005-0000-0000-0000B0000000}"/>
    <cellStyle name="標準 8" xfId="160" xr:uid="{00000000-0005-0000-0000-0000B1000000}"/>
    <cellStyle name="標準 9" xfId="162" xr:uid="{00000000-0005-0000-0000-0000B2000000}"/>
    <cellStyle name="標準_4システム概要" xfId="48" xr:uid="{00000000-0005-0000-0000-0000B3000000}"/>
    <cellStyle name="標準_SX-XXXX_HBP0010_詳細設計(sample)_1回打合せ完了" xfId="49" xr:uid="{00000000-0005-0000-0000-0000B5000000}"/>
    <cellStyle name="標準_要件ポイント説明書一覧_rd06_20060623" xfId="50" xr:uid="{00000000-0005-0000-0000-0000B6000000}"/>
    <cellStyle name="未定義" xfId="51" xr:uid="{00000000-0005-0000-0000-0000B7000000}"/>
  </cellStyles>
  <dxfs count="9">
    <dxf>
      <fill>
        <patternFill>
          <bgColor theme="0" tint="-0.499984740745262"/>
        </patternFill>
      </fill>
    </dxf>
    <dxf>
      <fill>
        <patternFill>
          <bgColor theme="0" tint="-0.499984740745262"/>
        </patternFill>
      </fill>
    </dxf>
    <dxf>
      <fill>
        <patternFill>
          <bgColor theme="0" tint="-0.499984740745262"/>
        </patternFill>
      </fill>
    </dxf>
    <dxf>
      <fill>
        <patternFill>
          <bgColor theme="0" tint="-0.499984740745262"/>
        </patternFill>
      </fill>
    </dxf>
    <dxf>
      <fill>
        <patternFill>
          <bgColor theme="0" tint="-0.499984740745262"/>
        </patternFill>
      </fill>
    </dxf>
    <dxf>
      <fill>
        <patternFill>
          <bgColor theme="0" tint="-0.499984740745262"/>
        </patternFill>
      </fill>
    </dxf>
    <dxf>
      <fill>
        <patternFill>
          <bgColor theme="0" tint="-0.499984740745262"/>
        </patternFill>
      </fill>
    </dxf>
    <dxf>
      <fill>
        <patternFill>
          <bgColor theme="0" tint="-0.499984740745262"/>
        </patternFill>
      </fill>
    </dxf>
    <dxf>
      <fill>
        <patternFill>
          <bgColor theme="0" tint="-0.499984740745262"/>
        </patternFill>
      </fill>
    </dxf>
  </dxfs>
  <tableStyles count="0" defaultTableStyle="TableStyleMedium2" defaultPivotStyle="PivotStyleLight16"/>
  <colors>
    <mruColors>
      <color rgb="FFFFFFCC"/>
      <color rgb="FF339933"/>
      <color rgb="FF99FF99"/>
      <color rgb="FFFF9900"/>
      <color rgb="FF013284"/>
      <color rgb="FF004098"/>
      <color rgb="FF333399"/>
      <color rgb="FF000099"/>
      <color rgb="FF003399"/>
      <color rgb="FF0033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1" Type="http://schemas.openxmlformats.org/officeDocument/2006/relationships/image" Target="../media/image3.png"/></Relationships>
</file>

<file path=xl/drawings/drawing1.xml><?xml version="1.0" encoding="utf-8"?>
<xdr:wsDr xmlns:xdr="http://schemas.openxmlformats.org/drawingml/2006/spreadsheetDrawing" xmlns:a="http://schemas.openxmlformats.org/drawingml/2006/main">
  <xdr:twoCellAnchor editAs="oneCell">
    <xdr:from>
      <xdr:col>0</xdr:col>
      <xdr:colOff>517797</xdr:colOff>
      <xdr:row>1</xdr:row>
      <xdr:rowOff>176893</xdr:rowOff>
    </xdr:from>
    <xdr:to>
      <xdr:col>8</xdr:col>
      <xdr:colOff>190137</xdr:colOff>
      <xdr:row>18</xdr:row>
      <xdr:rowOff>138806</xdr:rowOff>
    </xdr:to>
    <xdr:sp macro="" textlink="">
      <xdr:nvSpPr>
        <xdr:cNvPr id="2" name="Text Box 1">
          <a:extLst>
            <a:ext uri="{FF2B5EF4-FFF2-40B4-BE49-F238E27FC236}">
              <a16:creationId xmlns:a16="http://schemas.microsoft.com/office/drawing/2014/main" id="{00000000-0008-0000-0000-000002000000}"/>
            </a:ext>
          </a:extLst>
        </xdr:cNvPr>
        <xdr:cNvSpPr txBox="1">
          <a:spLocks noChangeArrowheads="1"/>
        </xdr:cNvSpPr>
      </xdr:nvSpPr>
      <xdr:spPr bwMode="auto">
        <a:xfrm>
          <a:off x="476250" y="349250"/>
          <a:ext cx="7366000" cy="2990850"/>
        </a:xfrm>
        <a:prstGeom prst="rect">
          <a:avLst/>
        </a:prstGeom>
        <a:solidFill>
          <a:srgbClr val="FFFFFF"/>
        </a:solidFill>
        <a:ln w="9525">
          <a:solidFill>
            <a:srgbClr val="000000"/>
          </a:solidFill>
          <a:miter lim="800000"/>
          <a:headEnd/>
          <a:tailEnd/>
        </a:ln>
        <a:effectLst>
          <a:outerShdw dist="271792" dir="3155679" algn="ctr" rotWithShape="0">
            <a:srgbClr val="808080">
              <a:alpha val="50000"/>
            </a:srgbClr>
          </a:outerShdw>
        </a:effectLst>
      </xdr:spPr>
      <xdr:txBody>
        <a:bodyPr vertOverflow="clip" wrap="square" lIns="54864" tIns="32004" rIns="54864" bIns="32004" anchor="ctr" upright="1"/>
        <a:lstStyle/>
        <a:p>
          <a:pPr algn="ctr" rtl="0">
            <a:lnSpc>
              <a:spcPts val="3500"/>
            </a:lnSpc>
            <a:defRPr sz="1000"/>
          </a:pPr>
          <a:endParaRPr lang="ja-JP" altLang="en-US" sz="2800" b="0" i="0" strike="noStrike">
            <a:solidFill>
              <a:srgbClr val="000000"/>
            </a:solidFill>
            <a:latin typeface="ＭＳ Ｐゴシック"/>
            <a:ea typeface="ＭＳ Ｐゴシック"/>
          </a:endParaRPr>
        </a:p>
        <a:p>
          <a:pPr algn="ctr" rtl="0">
            <a:lnSpc>
              <a:spcPts val="3400"/>
            </a:lnSpc>
            <a:defRPr sz="1000"/>
          </a:pPr>
          <a:r>
            <a:rPr lang="ja-JP" altLang="en-US" sz="2800" b="0" i="0" strike="noStrike">
              <a:solidFill>
                <a:srgbClr val="000000"/>
              </a:solidFill>
              <a:latin typeface="ＭＳ Ｐゴシック"/>
              <a:ea typeface="ＭＳ Ｐゴシック"/>
            </a:rPr>
            <a:t>ヒロセ電機株式会社様</a:t>
          </a:r>
          <a:endParaRPr lang="en-US" altLang="ja-JP" sz="2800" b="0" i="0" strike="noStrike">
            <a:solidFill>
              <a:srgbClr val="000000"/>
            </a:solidFill>
            <a:latin typeface="ＭＳ Ｐゴシック"/>
            <a:ea typeface="ＭＳ Ｐゴシック"/>
          </a:endParaRPr>
        </a:p>
        <a:p>
          <a:pPr algn="ctr" rtl="0">
            <a:lnSpc>
              <a:spcPts val="3400"/>
            </a:lnSpc>
            <a:defRPr sz="1000"/>
          </a:pPr>
          <a:r>
            <a:rPr lang="ja-JP" altLang="en-US" sz="2800" b="0" i="0" strike="noStrike">
              <a:solidFill>
                <a:srgbClr val="000000"/>
              </a:solidFill>
              <a:latin typeface="ＭＳ Ｐゴシック"/>
              <a:ea typeface="ＭＳ Ｐゴシック"/>
            </a:rPr>
            <a:t>新環境証明書</a:t>
          </a:r>
          <a:endParaRPr lang="ja-JP" altLang="en-US" sz="3600" b="0" i="0" strike="noStrike">
            <a:solidFill>
              <a:srgbClr val="000000"/>
            </a:solidFill>
            <a:latin typeface="ＭＳ Ｐゴシック"/>
            <a:ea typeface="ＭＳ Ｐゴシック"/>
          </a:endParaRPr>
        </a:p>
        <a:p>
          <a:pPr algn="ctr" rtl="0">
            <a:lnSpc>
              <a:spcPts val="4300"/>
            </a:lnSpc>
            <a:defRPr sz="1000"/>
          </a:pPr>
          <a:r>
            <a:rPr lang="ja-JP" altLang="en-US" sz="3600" b="0" i="0" strike="noStrike">
              <a:solidFill>
                <a:srgbClr val="000000"/>
              </a:solidFill>
              <a:latin typeface="ＭＳ Ｐゴシック"/>
              <a:ea typeface="ＭＳ Ｐゴシック"/>
            </a:rPr>
            <a:t>画面設計書</a:t>
          </a:r>
          <a:endParaRPr lang="en-US" altLang="ja-JP" sz="3600" b="0" i="0" strike="noStrike">
            <a:solidFill>
              <a:srgbClr val="000000"/>
            </a:solidFill>
            <a:latin typeface="ＭＳ Ｐゴシック"/>
            <a:ea typeface="ＭＳ Ｐゴシック"/>
          </a:endParaRPr>
        </a:p>
        <a:p>
          <a:pPr algn="ctr" rtl="0">
            <a:lnSpc>
              <a:spcPts val="4300"/>
            </a:lnSpc>
            <a:defRPr sz="1000"/>
          </a:pPr>
          <a:r>
            <a:rPr lang="ja-JP" altLang="en-US" sz="3600" b="0" i="0" strike="noStrike">
              <a:solidFill>
                <a:srgbClr val="000000"/>
              </a:solidFill>
              <a:latin typeface="ＭＳ Ｐゴシック"/>
              <a:ea typeface="+mn-ea"/>
            </a:rPr>
            <a:t>画面</a:t>
          </a:r>
        </a:p>
      </xdr:txBody>
    </xdr:sp>
    <xdr:clientData/>
  </xdr:twoCellAnchor>
  <xdr:twoCellAnchor editAs="oneCell">
    <xdr:from>
      <xdr:col>0</xdr:col>
      <xdr:colOff>638175</xdr:colOff>
      <xdr:row>2</xdr:row>
      <xdr:rowOff>114300</xdr:rowOff>
    </xdr:from>
    <xdr:to>
      <xdr:col>2</xdr:col>
      <xdr:colOff>781050</xdr:colOff>
      <xdr:row>5</xdr:row>
      <xdr:rowOff>133350</xdr:rowOff>
    </xdr:to>
    <xdr:pic>
      <xdr:nvPicPr>
        <xdr:cNvPr id="82435" name="Picture 2">
          <a:extLst>
            <a:ext uri="{FF2B5EF4-FFF2-40B4-BE49-F238E27FC236}">
              <a16:creationId xmlns:a16="http://schemas.microsoft.com/office/drawing/2014/main" id="{00000000-0008-0000-0000-0000034201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638175" y="476250"/>
          <a:ext cx="1914525" cy="5619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3</xdr:col>
      <xdr:colOff>493032</xdr:colOff>
      <xdr:row>22</xdr:row>
      <xdr:rowOff>101963</xdr:rowOff>
    </xdr:from>
    <xdr:to>
      <xdr:col>5</xdr:col>
      <xdr:colOff>590008</xdr:colOff>
      <xdr:row>24</xdr:row>
      <xdr:rowOff>306</xdr:rowOff>
    </xdr:to>
    <xdr:sp macro="" textlink="">
      <xdr:nvSpPr>
        <xdr:cNvPr id="4" name="Rectangle 5">
          <a:extLst>
            <a:ext uri="{FF2B5EF4-FFF2-40B4-BE49-F238E27FC236}">
              <a16:creationId xmlns:a16="http://schemas.microsoft.com/office/drawing/2014/main" id="{00000000-0008-0000-0000-000004000000}"/>
            </a:ext>
          </a:extLst>
        </xdr:cNvPr>
        <xdr:cNvSpPr>
          <a:spLocks noChangeArrowheads="1"/>
        </xdr:cNvSpPr>
      </xdr:nvSpPr>
      <xdr:spPr bwMode="auto">
        <a:xfrm>
          <a:off x="3100705" y="4008120"/>
          <a:ext cx="2070856" cy="259309"/>
        </a:xfrm>
        <a:prstGeom prst="rect">
          <a:avLst/>
        </a:prstGeom>
        <a:noFill/>
        <a:ln w="9525">
          <a:noFill/>
          <a:miter lim="800000"/>
          <a:headEnd/>
          <a:tailEnd/>
        </a:ln>
      </xdr:spPr>
      <xdr:txBody>
        <a:bodyPr vertOverflow="clip" wrap="square" lIns="27432" tIns="18288" rIns="27432" bIns="0" anchor="t" upright="1"/>
        <a:lstStyle/>
        <a:p>
          <a:pPr algn="ctr" rtl="0">
            <a:defRPr sz="1000"/>
          </a:pPr>
          <a:r>
            <a:rPr lang="ja-JP" altLang="en-US" sz="1200" b="0" i="0" strike="noStrike">
              <a:solidFill>
                <a:srgbClr val="000000"/>
              </a:solidFill>
              <a:latin typeface="ＭＳ Ｐゴシック" panose="020B0600070205080204" pitchFamily="50" charset="-128"/>
              <a:ea typeface="ＭＳ Ｐゴシック" panose="020B0600070205080204" pitchFamily="50" charset="-128"/>
            </a:rPr>
            <a:t>文書番号：</a:t>
          </a:r>
          <a:r>
            <a:rPr lang="en-US" altLang="ja-JP" sz="1200" b="0" i="0" strike="noStrike">
              <a:solidFill>
                <a:srgbClr val="000000"/>
              </a:solidFill>
              <a:latin typeface="ＭＳ Ｐゴシック" panose="020B0600070205080204" pitchFamily="50" charset="-128"/>
              <a:ea typeface="ＭＳ Ｐゴシック" panose="020B0600070205080204" pitchFamily="50" charset="-128"/>
            </a:rPr>
            <a:t>IMWF</a:t>
          </a:r>
          <a:r>
            <a:rPr lang="en-US" altLang="ja-JP" sz="1200">
              <a:effectLst/>
              <a:latin typeface="ＭＳ Ｐゴシック" panose="020B0600070205080204" pitchFamily="50" charset="-128"/>
              <a:ea typeface="ＭＳ Ｐゴシック" panose="020B0600070205080204" pitchFamily="50" charset="-128"/>
              <a:cs typeface="+mn-cs"/>
            </a:rPr>
            <a:t>-53</a:t>
          </a:r>
          <a:endParaRPr lang="en-US" altLang="ja-JP" sz="1200" b="0" i="0" strike="noStrike">
            <a:solidFill>
              <a:srgbClr val="000000"/>
            </a:solidFill>
            <a:latin typeface="ＭＳ Ｐゴシック" panose="020B0600070205080204" pitchFamily="50" charset="-128"/>
            <a:ea typeface="ＭＳ Ｐゴシック" panose="020B0600070205080204" pitchFamily="50" charset="-128"/>
          </a:endParaRPr>
        </a:p>
      </xdr:txBody>
    </xdr:sp>
    <xdr:clientData/>
  </xdr:twoCellAnchor>
  <xdr:twoCellAnchor editAs="oneCell">
    <xdr:from>
      <xdr:col>6</xdr:col>
      <xdr:colOff>266700</xdr:colOff>
      <xdr:row>34</xdr:row>
      <xdr:rowOff>114300</xdr:rowOff>
    </xdr:from>
    <xdr:to>
      <xdr:col>8</xdr:col>
      <xdr:colOff>933450</xdr:colOff>
      <xdr:row>36</xdr:row>
      <xdr:rowOff>114300</xdr:rowOff>
    </xdr:to>
    <xdr:pic>
      <xdr:nvPicPr>
        <xdr:cNvPr id="82438" name="Picture 40" descr="logo_eimei">
          <a:extLst>
            <a:ext uri="{FF2B5EF4-FFF2-40B4-BE49-F238E27FC236}">
              <a16:creationId xmlns:a16="http://schemas.microsoft.com/office/drawing/2014/main" id="{00000000-0008-0000-0000-000006420100}"/>
            </a:ext>
          </a:extLst>
        </xdr:cNvPr>
        <xdr:cNvPicPr>
          <a:picLocks noChangeAspect="1"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6419850" y="6457950"/>
          <a:ext cx="2857500" cy="5524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2.xml><?xml version="1.0" encoding="utf-8"?>
<xdr:wsDr xmlns:xdr="http://schemas.openxmlformats.org/drawingml/2006/spreadsheetDrawing" xmlns:a="http://schemas.openxmlformats.org/drawingml/2006/main">
  <xdr:twoCellAnchor>
    <xdr:from>
      <xdr:col>20</xdr:col>
      <xdr:colOff>28575</xdr:colOff>
      <xdr:row>20</xdr:row>
      <xdr:rowOff>95251</xdr:rowOff>
    </xdr:from>
    <xdr:to>
      <xdr:col>32</xdr:col>
      <xdr:colOff>38100</xdr:colOff>
      <xdr:row>23</xdr:row>
      <xdr:rowOff>19051</xdr:rowOff>
    </xdr:to>
    <xdr:sp macro="" textlink="">
      <xdr:nvSpPr>
        <xdr:cNvPr id="2" name="正方形/長方形 1">
          <a:extLst>
            <a:ext uri="{FF2B5EF4-FFF2-40B4-BE49-F238E27FC236}">
              <a16:creationId xmlns:a16="http://schemas.microsoft.com/office/drawing/2014/main" id="{8C71FAD8-4596-453B-B7D3-C6F6B965E217}"/>
            </a:ext>
          </a:extLst>
        </xdr:cNvPr>
        <xdr:cNvSpPr/>
      </xdr:nvSpPr>
      <xdr:spPr>
        <a:xfrm>
          <a:off x="3626908" y="3418418"/>
          <a:ext cx="2168525" cy="400050"/>
        </a:xfrm>
        <a:prstGeom prst="rect">
          <a:avLst/>
        </a:prstGeom>
        <a:solidFill>
          <a:srgbClr val="3366CC"/>
        </a:solidFill>
        <a:ln w="12700"/>
      </xdr:spPr>
      <xdr:style>
        <a:lnRef idx="2">
          <a:schemeClr val="accent1"/>
        </a:lnRef>
        <a:fillRef idx="1">
          <a:schemeClr val="lt1"/>
        </a:fillRef>
        <a:effectRef idx="0">
          <a:schemeClr val="accent1"/>
        </a:effectRef>
        <a:fontRef idx="minor">
          <a:schemeClr val="dk1"/>
        </a:fontRef>
      </xdr:style>
      <xdr:txBody>
        <a:bodyPr vertOverflow="clip" horzOverflow="clip" lIns="36000" tIns="36000" rIns="36000" bIns="36000" rtlCol="0" anchor="ctr"/>
        <a:lstStyle/>
        <a:p>
          <a:pPr marL="0" marR="0" lvl="0" indent="0" algn="ctr" defTabSz="914400" eaLnBrk="1" fontAlgn="auto" latinLnBrk="0" hangingPunct="1">
            <a:lnSpc>
              <a:spcPts val="900"/>
            </a:lnSpc>
            <a:spcBef>
              <a:spcPts val="0"/>
            </a:spcBef>
            <a:spcAft>
              <a:spcPts val="0"/>
            </a:spcAft>
            <a:buClrTx/>
            <a:buSzTx/>
            <a:buFontTx/>
            <a:buNone/>
            <a:tabLst/>
            <a:defRPr/>
          </a:pPr>
          <a:r>
            <a:rPr kumimoji="1" lang="ja-JP" altLang="ja-JP" sz="1000">
              <a:solidFill>
                <a:schemeClr val="bg1"/>
              </a:solidFill>
              <a:effectLst/>
              <a:latin typeface="+mn-lt"/>
              <a:ea typeface="+mn-ea"/>
              <a:cs typeface="+mn-cs"/>
            </a:rPr>
            <a:t>新規申請</a:t>
          </a:r>
          <a:endParaRPr kumimoji="1" lang="en-US" altLang="ja-JP" sz="800">
            <a:solidFill>
              <a:schemeClr val="bg1"/>
            </a:solidFill>
            <a:latin typeface="Meiryo UI" panose="020B0604030504040204" pitchFamily="50" charset="-128"/>
            <a:ea typeface="Meiryo UI" panose="020B0604030504040204" pitchFamily="50" charset="-128"/>
          </a:endParaRPr>
        </a:p>
        <a:p>
          <a:pPr algn="ctr">
            <a:lnSpc>
              <a:spcPts val="900"/>
            </a:lnSpc>
          </a:pPr>
          <a:r>
            <a:rPr kumimoji="1" lang="en-US" altLang="ja-JP" sz="800">
              <a:solidFill>
                <a:schemeClr val="bg1"/>
              </a:solidFill>
              <a:latin typeface="Meiryo UI" panose="020B0604030504040204" pitchFamily="50" charset="-128"/>
              <a:ea typeface="Meiryo UI" panose="020B0604030504040204" pitchFamily="50" charset="-128"/>
            </a:rPr>
            <a:t>New</a:t>
          </a:r>
          <a:r>
            <a:rPr kumimoji="1" lang="en-US" altLang="ja-JP" sz="800" baseline="0">
              <a:solidFill>
                <a:schemeClr val="bg1"/>
              </a:solidFill>
              <a:latin typeface="Meiryo UI" panose="020B0604030504040204" pitchFamily="50" charset="-128"/>
              <a:ea typeface="Meiryo UI" panose="020B0604030504040204" pitchFamily="50" charset="-128"/>
            </a:rPr>
            <a:t> application</a:t>
          </a:r>
          <a:endParaRPr kumimoji="1" lang="ja-JP" altLang="en-US" sz="800">
            <a:solidFill>
              <a:schemeClr val="bg1"/>
            </a:solidFill>
            <a:latin typeface="Meiryo UI" panose="020B0604030504040204" pitchFamily="50" charset="-128"/>
            <a:ea typeface="Meiryo UI" panose="020B0604030504040204" pitchFamily="50" charset="-128"/>
          </a:endParaRPr>
        </a:p>
      </xdr:txBody>
    </xdr:sp>
    <xdr:clientData/>
  </xdr:twoCellAnchor>
  <xdr:twoCellAnchor>
    <xdr:from>
      <xdr:col>39</xdr:col>
      <xdr:colOff>123826</xdr:colOff>
      <xdr:row>30</xdr:row>
      <xdr:rowOff>25402</xdr:rowOff>
    </xdr:from>
    <xdr:to>
      <xdr:col>44</xdr:col>
      <xdr:colOff>53976</xdr:colOff>
      <xdr:row>30</xdr:row>
      <xdr:rowOff>190501</xdr:rowOff>
    </xdr:to>
    <xdr:sp macro="" textlink="">
      <xdr:nvSpPr>
        <xdr:cNvPr id="3" name="正方形/長方形 2">
          <a:extLst>
            <a:ext uri="{FF2B5EF4-FFF2-40B4-BE49-F238E27FC236}">
              <a16:creationId xmlns:a16="http://schemas.microsoft.com/office/drawing/2014/main" id="{7A92A804-86EA-40BD-AD8C-829417A59D24}"/>
            </a:ext>
          </a:extLst>
        </xdr:cNvPr>
        <xdr:cNvSpPr/>
      </xdr:nvSpPr>
      <xdr:spPr>
        <a:xfrm>
          <a:off x="7178676" y="5143502"/>
          <a:ext cx="838200" cy="161924"/>
        </a:xfrm>
        <a:prstGeom prst="rect">
          <a:avLst/>
        </a:prstGeom>
        <a:solidFill>
          <a:srgbClr val="003399"/>
        </a:solidFill>
        <a:ln w="12700"/>
      </xdr:spPr>
      <xdr:style>
        <a:lnRef idx="2">
          <a:schemeClr val="accent1"/>
        </a:lnRef>
        <a:fillRef idx="1">
          <a:schemeClr val="lt1"/>
        </a:fillRef>
        <a:effectRef idx="0">
          <a:schemeClr val="accent1"/>
        </a:effectRef>
        <a:fontRef idx="minor">
          <a:schemeClr val="dk1"/>
        </a:fontRef>
      </xdr:style>
      <xdr:txBody>
        <a:bodyPr vertOverflow="clip" horzOverflow="clip" lIns="36000" tIns="36000" rIns="36000" bIns="36000" rtlCol="0" anchor="ctr"/>
        <a:lstStyle/>
        <a:p>
          <a:pPr algn="ctr">
            <a:lnSpc>
              <a:spcPts val="900"/>
            </a:lnSpc>
          </a:pPr>
          <a:r>
            <a:rPr kumimoji="1" lang="en-US" altLang="ja-JP" sz="700">
              <a:solidFill>
                <a:schemeClr val="bg1"/>
              </a:solidFill>
              <a:latin typeface="Meiryo UI" panose="020B0604030504040204" pitchFamily="50" charset="-128"/>
              <a:ea typeface="Meiryo UI" panose="020B0604030504040204" pitchFamily="50" charset="-128"/>
            </a:rPr>
            <a:t>CSV Downroad</a:t>
          </a:r>
          <a:endParaRPr kumimoji="1" lang="ja-JP" altLang="en-US" sz="700">
            <a:solidFill>
              <a:schemeClr val="bg1"/>
            </a:solidFill>
            <a:latin typeface="Meiryo UI" panose="020B0604030504040204" pitchFamily="50" charset="-128"/>
            <a:ea typeface="Meiryo UI" panose="020B0604030504040204" pitchFamily="50" charset="-128"/>
          </a:endParaRPr>
        </a:p>
      </xdr:txBody>
    </xdr:sp>
    <xdr:clientData/>
  </xdr:twoCellAnchor>
  <xdr:twoCellAnchor>
    <xdr:from>
      <xdr:col>39</xdr:col>
      <xdr:colOff>123826</xdr:colOff>
      <xdr:row>30</xdr:row>
      <xdr:rowOff>25402</xdr:rowOff>
    </xdr:from>
    <xdr:to>
      <xdr:col>44</xdr:col>
      <xdr:colOff>57151</xdr:colOff>
      <xdr:row>30</xdr:row>
      <xdr:rowOff>187326</xdr:rowOff>
    </xdr:to>
    <xdr:sp macro="" textlink="">
      <xdr:nvSpPr>
        <xdr:cNvPr id="4" name="正方形/長方形 3">
          <a:extLst>
            <a:ext uri="{FF2B5EF4-FFF2-40B4-BE49-F238E27FC236}">
              <a16:creationId xmlns:a16="http://schemas.microsoft.com/office/drawing/2014/main" id="{AABB37EC-8E71-42FF-9690-67F95C8E8D79}"/>
            </a:ext>
          </a:extLst>
        </xdr:cNvPr>
        <xdr:cNvSpPr/>
      </xdr:nvSpPr>
      <xdr:spPr>
        <a:xfrm>
          <a:off x="7178676" y="5143502"/>
          <a:ext cx="841375" cy="158749"/>
        </a:xfrm>
        <a:prstGeom prst="rect">
          <a:avLst/>
        </a:prstGeom>
        <a:solidFill>
          <a:srgbClr val="003399"/>
        </a:solidFill>
        <a:ln w="12700"/>
      </xdr:spPr>
      <xdr:style>
        <a:lnRef idx="2">
          <a:schemeClr val="accent1"/>
        </a:lnRef>
        <a:fillRef idx="1">
          <a:schemeClr val="lt1"/>
        </a:fillRef>
        <a:effectRef idx="0">
          <a:schemeClr val="accent1"/>
        </a:effectRef>
        <a:fontRef idx="minor">
          <a:schemeClr val="dk1"/>
        </a:fontRef>
      </xdr:style>
      <xdr:txBody>
        <a:bodyPr vertOverflow="clip" horzOverflow="clip" lIns="36000" tIns="36000" rIns="36000" bIns="36000" rtlCol="0" anchor="ctr"/>
        <a:lstStyle/>
        <a:p>
          <a:pPr algn="ctr">
            <a:lnSpc>
              <a:spcPts val="900"/>
            </a:lnSpc>
          </a:pPr>
          <a:r>
            <a:rPr kumimoji="1" lang="en-US" altLang="ja-JP" sz="700">
              <a:solidFill>
                <a:schemeClr val="bg1"/>
              </a:solidFill>
              <a:latin typeface="Meiryo UI" panose="020B0604030504040204" pitchFamily="50" charset="-128"/>
              <a:ea typeface="Meiryo UI" panose="020B0604030504040204" pitchFamily="50" charset="-128"/>
            </a:rPr>
            <a:t>CSV Download</a:t>
          </a:r>
          <a:endParaRPr kumimoji="1" lang="ja-JP" altLang="en-US" sz="700">
            <a:solidFill>
              <a:schemeClr val="bg1"/>
            </a:solidFill>
            <a:latin typeface="Meiryo UI" panose="020B0604030504040204" pitchFamily="50" charset="-128"/>
            <a:ea typeface="Meiryo UI" panose="020B0604030504040204" pitchFamily="50" charset="-128"/>
          </a:endParaRPr>
        </a:p>
      </xdr:txBody>
    </xdr:sp>
    <xdr:clientData/>
  </xdr:twoCellAnchor>
  <xdr:twoCellAnchor>
    <xdr:from>
      <xdr:col>39</xdr:col>
      <xdr:colOff>120650</xdr:colOff>
      <xdr:row>31</xdr:row>
      <xdr:rowOff>28575</xdr:rowOff>
    </xdr:from>
    <xdr:to>
      <xdr:col>44</xdr:col>
      <xdr:colOff>53975</xdr:colOff>
      <xdr:row>31</xdr:row>
      <xdr:rowOff>193674</xdr:rowOff>
    </xdr:to>
    <xdr:sp macro="" textlink="">
      <xdr:nvSpPr>
        <xdr:cNvPr id="5" name="正方形/長方形 4">
          <a:extLst>
            <a:ext uri="{FF2B5EF4-FFF2-40B4-BE49-F238E27FC236}">
              <a16:creationId xmlns:a16="http://schemas.microsoft.com/office/drawing/2014/main" id="{03F3DE7E-5C18-4052-BCCD-A7E929CEA396}"/>
            </a:ext>
          </a:extLst>
        </xdr:cNvPr>
        <xdr:cNvSpPr/>
      </xdr:nvSpPr>
      <xdr:spPr>
        <a:xfrm>
          <a:off x="7181850" y="5349875"/>
          <a:ext cx="835025" cy="168274"/>
        </a:xfrm>
        <a:prstGeom prst="rect">
          <a:avLst/>
        </a:prstGeom>
        <a:solidFill>
          <a:srgbClr val="003399"/>
        </a:solidFill>
        <a:ln w="12700"/>
      </xdr:spPr>
      <xdr:style>
        <a:lnRef idx="2">
          <a:schemeClr val="accent1"/>
        </a:lnRef>
        <a:fillRef idx="1">
          <a:schemeClr val="lt1"/>
        </a:fillRef>
        <a:effectRef idx="0">
          <a:schemeClr val="accent1"/>
        </a:effectRef>
        <a:fontRef idx="minor">
          <a:schemeClr val="dk1"/>
        </a:fontRef>
      </xdr:style>
      <xdr:txBody>
        <a:bodyPr vertOverflow="clip" horzOverflow="clip" lIns="36000" tIns="36000" rIns="36000" bIns="36000" rtlCol="0" anchor="ctr"/>
        <a:lstStyle/>
        <a:p>
          <a:pPr algn="ctr">
            <a:lnSpc>
              <a:spcPts val="900"/>
            </a:lnSpc>
          </a:pPr>
          <a:r>
            <a:rPr kumimoji="1" lang="en-US" altLang="ja-JP" sz="700">
              <a:solidFill>
                <a:schemeClr val="bg1"/>
              </a:solidFill>
              <a:latin typeface="Meiryo UI" panose="020B0604030504040204" pitchFamily="50" charset="-128"/>
              <a:ea typeface="Meiryo UI" panose="020B0604030504040204" pitchFamily="50" charset="-128"/>
            </a:rPr>
            <a:t>CSV Download</a:t>
          </a:r>
          <a:endParaRPr kumimoji="1" lang="ja-JP" altLang="en-US" sz="700">
            <a:solidFill>
              <a:schemeClr val="bg1"/>
            </a:solidFill>
            <a:latin typeface="Meiryo UI" panose="020B0604030504040204" pitchFamily="50" charset="-128"/>
            <a:ea typeface="Meiryo UI" panose="020B0604030504040204" pitchFamily="50" charset="-128"/>
          </a:endParaRPr>
        </a:p>
      </xdr:txBody>
    </xdr:sp>
    <xdr:clientData/>
  </xdr:twoCellAnchor>
  <xdr:twoCellAnchor>
    <xdr:from>
      <xdr:col>39</xdr:col>
      <xdr:colOff>123825</xdr:colOff>
      <xdr:row>32</xdr:row>
      <xdr:rowOff>28575</xdr:rowOff>
    </xdr:from>
    <xdr:to>
      <xdr:col>44</xdr:col>
      <xdr:colOff>57150</xdr:colOff>
      <xdr:row>32</xdr:row>
      <xdr:rowOff>193674</xdr:rowOff>
    </xdr:to>
    <xdr:sp macro="" textlink="">
      <xdr:nvSpPr>
        <xdr:cNvPr id="6" name="正方形/長方形 5">
          <a:extLst>
            <a:ext uri="{FF2B5EF4-FFF2-40B4-BE49-F238E27FC236}">
              <a16:creationId xmlns:a16="http://schemas.microsoft.com/office/drawing/2014/main" id="{7E3B5D07-F277-4685-9C98-239FD5F54C40}"/>
            </a:ext>
          </a:extLst>
        </xdr:cNvPr>
        <xdr:cNvSpPr/>
      </xdr:nvSpPr>
      <xdr:spPr>
        <a:xfrm>
          <a:off x="7178675" y="5559425"/>
          <a:ext cx="841375" cy="168274"/>
        </a:xfrm>
        <a:prstGeom prst="rect">
          <a:avLst/>
        </a:prstGeom>
        <a:solidFill>
          <a:srgbClr val="003399"/>
        </a:solidFill>
        <a:ln w="12700"/>
      </xdr:spPr>
      <xdr:style>
        <a:lnRef idx="2">
          <a:schemeClr val="accent1"/>
        </a:lnRef>
        <a:fillRef idx="1">
          <a:schemeClr val="lt1"/>
        </a:fillRef>
        <a:effectRef idx="0">
          <a:schemeClr val="accent1"/>
        </a:effectRef>
        <a:fontRef idx="minor">
          <a:schemeClr val="dk1"/>
        </a:fontRef>
      </xdr:style>
      <xdr:txBody>
        <a:bodyPr vertOverflow="clip" horzOverflow="clip" lIns="36000" tIns="36000" rIns="36000" bIns="36000" rtlCol="0" anchor="ctr"/>
        <a:lstStyle/>
        <a:p>
          <a:pPr algn="ctr">
            <a:lnSpc>
              <a:spcPts val="900"/>
            </a:lnSpc>
          </a:pPr>
          <a:r>
            <a:rPr kumimoji="1" lang="en-US" altLang="ja-JP" sz="700">
              <a:solidFill>
                <a:schemeClr val="bg1"/>
              </a:solidFill>
              <a:latin typeface="Meiryo UI" panose="020B0604030504040204" pitchFamily="50" charset="-128"/>
              <a:ea typeface="Meiryo UI" panose="020B0604030504040204" pitchFamily="50" charset="-128"/>
            </a:rPr>
            <a:t>CSV Download</a:t>
          </a:r>
          <a:endParaRPr kumimoji="1" lang="ja-JP" altLang="en-US" sz="700">
            <a:solidFill>
              <a:schemeClr val="bg1"/>
            </a:solidFill>
            <a:latin typeface="Meiryo UI" panose="020B0604030504040204" pitchFamily="50" charset="-128"/>
            <a:ea typeface="Meiryo UI" panose="020B0604030504040204" pitchFamily="50" charset="-128"/>
          </a:endParaRPr>
        </a:p>
      </xdr:txBody>
    </xdr:sp>
    <xdr:clientData/>
  </xdr:twoCellAnchor>
  <xdr:twoCellAnchor>
    <xdr:from>
      <xdr:col>34</xdr:col>
      <xdr:colOff>168275</xdr:colOff>
      <xdr:row>31</xdr:row>
      <xdr:rowOff>44450</xdr:rowOff>
    </xdr:from>
    <xdr:to>
      <xdr:col>37</xdr:col>
      <xdr:colOff>177800</xdr:colOff>
      <xdr:row>31</xdr:row>
      <xdr:rowOff>171450</xdr:rowOff>
    </xdr:to>
    <xdr:sp macro="" textlink="">
      <xdr:nvSpPr>
        <xdr:cNvPr id="7" name="正方形/長方形 6">
          <a:extLst>
            <a:ext uri="{FF2B5EF4-FFF2-40B4-BE49-F238E27FC236}">
              <a16:creationId xmlns:a16="http://schemas.microsoft.com/office/drawing/2014/main" id="{C1738CAF-E96C-4648-8547-6BACAA23AFBF}"/>
            </a:ext>
          </a:extLst>
        </xdr:cNvPr>
        <xdr:cNvSpPr/>
      </xdr:nvSpPr>
      <xdr:spPr>
        <a:xfrm>
          <a:off x="6321425" y="5372100"/>
          <a:ext cx="555625" cy="123825"/>
        </a:xfrm>
        <a:prstGeom prst="rect">
          <a:avLst/>
        </a:prstGeom>
        <a:solidFill>
          <a:srgbClr val="003399"/>
        </a:solidFill>
        <a:ln w="12700"/>
      </xdr:spPr>
      <xdr:style>
        <a:lnRef idx="2">
          <a:schemeClr val="accent1"/>
        </a:lnRef>
        <a:fillRef idx="1">
          <a:schemeClr val="lt1"/>
        </a:fillRef>
        <a:effectRef idx="0">
          <a:schemeClr val="accent1"/>
        </a:effectRef>
        <a:fontRef idx="minor">
          <a:schemeClr val="dk1"/>
        </a:fontRef>
      </xdr:style>
      <xdr:txBody>
        <a:bodyPr vertOverflow="clip" horzOverflow="clip" lIns="36000" tIns="36000" rIns="36000" bIns="36000" rtlCol="0" anchor="ctr"/>
        <a:lstStyle/>
        <a:p>
          <a:pPr algn="ctr">
            <a:lnSpc>
              <a:spcPts val="900"/>
            </a:lnSpc>
          </a:pPr>
          <a:r>
            <a:rPr kumimoji="1" lang="en-US" altLang="ja-JP" sz="700">
              <a:solidFill>
                <a:schemeClr val="bg1"/>
              </a:solidFill>
              <a:latin typeface="Meiryo UI" panose="020B0604030504040204" pitchFamily="50" charset="-128"/>
              <a:ea typeface="Meiryo UI" panose="020B0604030504040204" pitchFamily="50" charset="-128"/>
            </a:rPr>
            <a:t>Downlo</a:t>
          </a:r>
          <a:endParaRPr kumimoji="1" lang="ja-JP" altLang="en-US" sz="700">
            <a:solidFill>
              <a:schemeClr val="bg1"/>
            </a:solidFill>
            <a:latin typeface="Meiryo UI" panose="020B0604030504040204" pitchFamily="50" charset="-128"/>
            <a:ea typeface="Meiryo UI" panose="020B0604030504040204" pitchFamily="50" charset="-128"/>
          </a:endParaRPr>
        </a:p>
      </xdr:txBody>
    </xdr:sp>
    <xdr:clientData/>
  </xdr:twoCellAnchor>
  <xdr:twoCellAnchor>
    <xdr:from>
      <xdr:col>10</xdr:col>
      <xdr:colOff>152401</xdr:colOff>
      <xdr:row>9</xdr:row>
      <xdr:rowOff>19050</xdr:rowOff>
    </xdr:from>
    <xdr:to>
      <xdr:col>12</xdr:col>
      <xdr:colOff>171451</xdr:colOff>
      <xdr:row>10</xdr:row>
      <xdr:rowOff>114300</xdr:rowOff>
    </xdr:to>
    <xdr:sp macro="" textlink="">
      <xdr:nvSpPr>
        <xdr:cNvPr id="8" name="正方形/長方形 7">
          <a:extLst>
            <a:ext uri="{FF2B5EF4-FFF2-40B4-BE49-F238E27FC236}">
              <a16:creationId xmlns:a16="http://schemas.microsoft.com/office/drawing/2014/main" id="{589A95FE-F896-41BC-A9BE-E08F49504AB1}"/>
            </a:ext>
          </a:extLst>
        </xdr:cNvPr>
        <xdr:cNvSpPr/>
      </xdr:nvSpPr>
      <xdr:spPr>
        <a:xfrm>
          <a:off x="1962151" y="1628775"/>
          <a:ext cx="381000" cy="247650"/>
        </a:xfrm>
        <a:prstGeom prst="rect">
          <a:avLst/>
        </a:prstGeom>
        <a:solidFill>
          <a:srgbClr val="FFFF66"/>
        </a:solidFill>
        <a:ln>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9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2.1</a:t>
          </a:r>
          <a:endParaRPr kumimoji="1" lang="ja-JP" altLang="en-US" sz="11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5</xdr:col>
      <xdr:colOff>57150</xdr:colOff>
      <xdr:row>23</xdr:row>
      <xdr:rowOff>38100</xdr:rowOff>
    </xdr:from>
    <xdr:to>
      <xdr:col>7</xdr:col>
      <xdr:colOff>76200</xdr:colOff>
      <xdr:row>24</xdr:row>
      <xdr:rowOff>120650</xdr:rowOff>
    </xdr:to>
    <xdr:sp macro="" textlink="">
      <xdr:nvSpPr>
        <xdr:cNvPr id="9" name="正方形/長方形 8">
          <a:extLst>
            <a:ext uri="{FF2B5EF4-FFF2-40B4-BE49-F238E27FC236}">
              <a16:creationId xmlns:a16="http://schemas.microsoft.com/office/drawing/2014/main" id="{CD807AE1-8AC8-4101-A194-69318C222936}"/>
            </a:ext>
          </a:extLst>
        </xdr:cNvPr>
        <xdr:cNvSpPr/>
      </xdr:nvSpPr>
      <xdr:spPr>
        <a:xfrm>
          <a:off x="962025" y="3905250"/>
          <a:ext cx="381000" cy="247650"/>
        </a:xfrm>
        <a:prstGeom prst="rect">
          <a:avLst/>
        </a:prstGeom>
        <a:solidFill>
          <a:srgbClr val="FFFF66"/>
        </a:solidFill>
        <a:ln>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9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3.1</a:t>
          </a:r>
          <a:endParaRPr kumimoji="1" lang="ja-JP" altLang="en-US" sz="11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25</xdr:col>
      <xdr:colOff>25400</xdr:colOff>
      <xdr:row>26</xdr:row>
      <xdr:rowOff>66675</xdr:rowOff>
    </xdr:from>
    <xdr:to>
      <xdr:col>33</xdr:col>
      <xdr:colOff>141817</xdr:colOff>
      <xdr:row>27</xdr:row>
      <xdr:rowOff>76200</xdr:rowOff>
    </xdr:to>
    <xdr:grpSp>
      <xdr:nvGrpSpPr>
        <xdr:cNvPr id="10" name="グループ化 9">
          <a:extLst>
            <a:ext uri="{FF2B5EF4-FFF2-40B4-BE49-F238E27FC236}">
              <a16:creationId xmlns:a16="http://schemas.microsoft.com/office/drawing/2014/main" id="{64C8A02E-155D-4823-8CE3-89CB16E911E8}"/>
            </a:ext>
          </a:extLst>
        </xdr:cNvPr>
        <xdr:cNvGrpSpPr/>
      </xdr:nvGrpSpPr>
      <xdr:grpSpPr>
        <a:xfrm>
          <a:off x="4526492" y="4402667"/>
          <a:ext cx="1555750" cy="171450"/>
          <a:chOff x="4526492" y="4349750"/>
          <a:chExt cx="1555750" cy="171450"/>
        </a:xfrm>
      </xdr:grpSpPr>
      <xdr:grpSp>
        <xdr:nvGrpSpPr>
          <xdr:cNvPr id="11" name="グループ化 10">
            <a:extLst>
              <a:ext uri="{FF2B5EF4-FFF2-40B4-BE49-F238E27FC236}">
                <a16:creationId xmlns:a16="http://schemas.microsoft.com/office/drawing/2014/main" id="{159AB6D4-7C13-850B-09CE-B1C82A6B44C8}"/>
              </a:ext>
            </a:extLst>
          </xdr:cNvPr>
          <xdr:cNvGrpSpPr/>
        </xdr:nvGrpSpPr>
        <xdr:grpSpPr>
          <a:xfrm>
            <a:off x="4523317" y="4352925"/>
            <a:ext cx="316441" cy="168275"/>
            <a:chOff x="4552950" y="5273675"/>
            <a:chExt cx="311150" cy="174625"/>
          </a:xfrm>
        </xdr:grpSpPr>
        <xdr:sp macro="" textlink="">
          <xdr:nvSpPr>
            <xdr:cNvPr id="13" name="正方形/長方形 12">
              <a:extLst>
                <a:ext uri="{FF2B5EF4-FFF2-40B4-BE49-F238E27FC236}">
                  <a16:creationId xmlns:a16="http://schemas.microsoft.com/office/drawing/2014/main" id="{A5C447CD-B7E6-D45C-1284-5ED1024E5692}"/>
                </a:ext>
              </a:extLst>
            </xdr:cNvPr>
            <xdr:cNvSpPr/>
          </xdr:nvSpPr>
          <xdr:spPr>
            <a:xfrm>
              <a:off x="4552950" y="5273675"/>
              <a:ext cx="152400" cy="174625"/>
            </a:xfrm>
            <a:prstGeom prst="rect">
              <a:avLst/>
            </a:prstGeom>
            <a:solidFill>
              <a:schemeClr val="bg1">
                <a:lumMod val="95000"/>
              </a:schemeClr>
            </a:solidFill>
            <a:ln w="12700">
              <a:solidFill>
                <a:schemeClr val="bg1">
                  <a:lumMod val="75000"/>
                </a:schemeClr>
              </a:solidFill>
            </a:ln>
          </xdr:spPr>
          <xdr:style>
            <a:lnRef idx="2">
              <a:schemeClr val="accent1"/>
            </a:lnRef>
            <a:fillRef idx="1">
              <a:schemeClr val="lt1"/>
            </a:fillRef>
            <a:effectRef idx="0">
              <a:schemeClr val="accent1"/>
            </a:effectRef>
            <a:fontRef idx="minor">
              <a:schemeClr val="dk1"/>
            </a:fontRef>
          </xdr:style>
          <xdr:txBody>
            <a:bodyPr vertOverflow="clip" horzOverflow="clip" lIns="36000" tIns="36000" rIns="36000" bIns="36000" rtlCol="0" anchor="t"/>
            <a:lstStyle/>
            <a:p>
              <a:pPr algn="ctr">
                <a:lnSpc>
                  <a:spcPts val="900"/>
                </a:lnSpc>
              </a:pPr>
              <a:r>
                <a:rPr kumimoji="1" lang="en-US" altLang="ja-JP" sz="700">
                  <a:solidFill>
                    <a:schemeClr val="bg1">
                      <a:lumMod val="50000"/>
                    </a:schemeClr>
                  </a:solidFill>
                </a:rPr>
                <a:t>1</a:t>
              </a:r>
              <a:endParaRPr kumimoji="1" lang="ja-JP" altLang="en-US" sz="800">
                <a:solidFill>
                  <a:schemeClr val="bg1">
                    <a:lumMod val="50000"/>
                  </a:schemeClr>
                </a:solidFill>
              </a:endParaRPr>
            </a:p>
          </xdr:txBody>
        </xdr:sp>
        <xdr:sp macro="" textlink="">
          <xdr:nvSpPr>
            <xdr:cNvPr id="14" name="正方形/長方形 13">
              <a:extLst>
                <a:ext uri="{FF2B5EF4-FFF2-40B4-BE49-F238E27FC236}">
                  <a16:creationId xmlns:a16="http://schemas.microsoft.com/office/drawing/2014/main" id="{854B9735-52EA-CA8D-1674-48597E68D797}"/>
                </a:ext>
              </a:extLst>
            </xdr:cNvPr>
            <xdr:cNvSpPr/>
          </xdr:nvSpPr>
          <xdr:spPr>
            <a:xfrm>
              <a:off x="4711700" y="5273675"/>
              <a:ext cx="152400" cy="171450"/>
            </a:xfrm>
            <a:prstGeom prst="rect">
              <a:avLst/>
            </a:prstGeom>
            <a:noFill/>
            <a:ln w="12700">
              <a:solidFill>
                <a:schemeClr val="bg1">
                  <a:lumMod val="75000"/>
                </a:schemeClr>
              </a:solidFill>
            </a:ln>
          </xdr:spPr>
          <xdr:style>
            <a:lnRef idx="2">
              <a:schemeClr val="accent1"/>
            </a:lnRef>
            <a:fillRef idx="1">
              <a:schemeClr val="lt1"/>
            </a:fillRef>
            <a:effectRef idx="0">
              <a:schemeClr val="accent1"/>
            </a:effectRef>
            <a:fontRef idx="minor">
              <a:schemeClr val="dk1"/>
            </a:fontRef>
          </xdr:style>
          <xdr:txBody>
            <a:bodyPr vertOverflow="clip" horzOverflow="clip" lIns="36000" tIns="36000" rIns="36000" bIns="36000" rtlCol="0" anchor="t"/>
            <a:lstStyle/>
            <a:p>
              <a:pPr algn="ctr">
                <a:lnSpc>
                  <a:spcPts val="900"/>
                </a:lnSpc>
              </a:pPr>
              <a:r>
                <a:rPr kumimoji="1" lang="en-US" altLang="ja-JP" sz="700">
                  <a:solidFill>
                    <a:srgbClr val="00B0F0"/>
                  </a:solidFill>
                </a:rPr>
                <a:t>2</a:t>
              </a:r>
              <a:endParaRPr kumimoji="1" lang="ja-JP" altLang="en-US" sz="800">
                <a:solidFill>
                  <a:srgbClr val="00B0F0"/>
                </a:solidFill>
              </a:endParaRPr>
            </a:p>
          </xdr:txBody>
        </xdr:sp>
      </xdr:grpSp>
      <xdr:sp macro="" textlink="">
        <xdr:nvSpPr>
          <xdr:cNvPr id="12" name="四角形: 角を丸くする 11">
            <a:extLst>
              <a:ext uri="{FF2B5EF4-FFF2-40B4-BE49-F238E27FC236}">
                <a16:creationId xmlns:a16="http://schemas.microsoft.com/office/drawing/2014/main" id="{BA228B3F-57DD-B8F9-9641-647F630B5F9C}"/>
              </a:ext>
            </a:extLst>
          </xdr:cNvPr>
          <xdr:cNvSpPr/>
        </xdr:nvSpPr>
        <xdr:spPr>
          <a:xfrm>
            <a:off x="4902200" y="4397375"/>
            <a:ext cx="1180042" cy="97367"/>
          </a:xfrm>
          <a:prstGeom prst="roundRect">
            <a:avLst/>
          </a:prstGeom>
          <a:solidFill>
            <a:schemeClr val="bg1">
              <a:lumMod val="75000"/>
            </a:schemeClr>
          </a:solidFill>
          <a:ln w="12700">
            <a:noFill/>
          </a:ln>
        </xdr:spPr>
        <xdr:style>
          <a:lnRef idx="2">
            <a:schemeClr val="accent1"/>
          </a:lnRef>
          <a:fillRef idx="1">
            <a:schemeClr val="lt1"/>
          </a:fillRef>
          <a:effectRef idx="0">
            <a:schemeClr val="accent1"/>
          </a:effectRef>
          <a:fontRef idx="minor">
            <a:schemeClr val="dk1"/>
          </a:fontRef>
        </xdr:style>
        <xdr:txBody>
          <a:bodyPr vertOverflow="clip" horzOverflow="clip" lIns="36000" tIns="36000" rIns="36000" bIns="36000" rtlCol="0" anchor="ctr"/>
          <a:lstStyle/>
          <a:p>
            <a:pPr algn="ctr">
              <a:lnSpc>
                <a:spcPts val="900"/>
              </a:lnSpc>
            </a:pPr>
            <a:r>
              <a:rPr kumimoji="1" lang="en-US" altLang="ja-JP" sz="800">
                <a:solidFill>
                  <a:schemeClr val="bg1"/>
                </a:solidFill>
              </a:rPr>
              <a:t>104</a:t>
            </a:r>
            <a:r>
              <a:rPr kumimoji="1" lang="ja-JP" altLang="en-US" sz="800" baseline="0">
                <a:solidFill>
                  <a:schemeClr val="bg1"/>
                </a:solidFill>
              </a:rPr>
              <a:t> </a:t>
            </a:r>
            <a:r>
              <a:rPr kumimoji="1" lang="en-US" altLang="ja-JP" sz="800" baseline="0">
                <a:solidFill>
                  <a:schemeClr val="bg1"/>
                </a:solidFill>
              </a:rPr>
              <a:t>results (2 of2 pages)</a:t>
            </a:r>
            <a:endParaRPr kumimoji="1" lang="ja-JP" altLang="en-US" sz="800">
              <a:solidFill>
                <a:schemeClr val="bg1"/>
              </a:solidFill>
            </a:endParaRPr>
          </a:p>
        </xdr:txBody>
      </xdr:sp>
    </xdr:grpSp>
    <xdr:clientData/>
  </xdr:twoCellAnchor>
  <xdr:twoCellAnchor>
    <xdr:from>
      <xdr:col>26</xdr:col>
      <xdr:colOff>161925</xdr:colOff>
      <xdr:row>24</xdr:row>
      <xdr:rowOff>161925</xdr:rowOff>
    </xdr:from>
    <xdr:to>
      <xdr:col>29</xdr:col>
      <xdr:colOff>0</xdr:colOff>
      <xdr:row>26</xdr:row>
      <xdr:rowOff>85725</xdr:rowOff>
    </xdr:to>
    <xdr:sp macro="" textlink="">
      <xdr:nvSpPr>
        <xdr:cNvPr id="15" name="正方形/長方形 14">
          <a:extLst>
            <a:ext uri="{FF2B5EF4-FFF2-40B4-BE49-F238E27FC236}">
              <a16:creationId xmlns:a16="http://schemas.microsoft.com/office/drawing/2014/main" id="{1DFEB044-059C-4A76-9A77-42556C7D0542}"/>
            </a:ext>
          </a:extLst>
        </xdr:cNvPr>
        <xdr:cNvSpPr/>
      </xdr:nvSpPr>
      <xdr:spPr>
        <a:xfrm>
          <a:off x="4864100" y="4187825"/>
          <a:ext cx="384175" cy="247650"/>
        </a:xfrm>
        <a:prstGeom prst="rect">
          <a:avLst/>
        </a:prstGeom>
        <a:solidFill>
          <a:srgbClr val="FFFF66"/>
        </a:solidFill>
        <a:ln>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9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3.2</a:t>
          </a:r>
          <a:endParaRPr kumimoji="1" lang="ja-JP" altLang="en-US" sz="11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8</xdr:col>
      <xdr:colOff>66675</xdr:colOff>
      <xdr:row>26</xdr:row>
      <xdr:rowOff>76200</xdr:rowOff>
    </xdr:from>
    <xdr:to>
      <xdr:col>10</xdr:col>
      <xdr:colOff>92075</xdr:colOff>
      <xdr:row>27</xdr:row>
      <xdr:rowOff>158750</xdr:rowOff>
    </xdr:to>
    <xdr:sp macro="" textlink="">
      <xdr:nvSpPr>
        <xdr:cNvPr id="16" name="正方形/長方形 15">
          <a:extLst>
            <a:ext uri="{FF2B5EF4-FFF2-40B4-BE49-F238E27FC236}">
              <a16:creationId xmlns:a16="http://schemas.microsoft.com/office/drawing/2014/main" id="{89E2BF9C-B287-4F26-9799-40DEBD7E3508}"/>
            </a:ext>
          </a:extLst>
        </xdr:cNvPr>
        <xdr:cNvSpPr/>
      </xdr:nvSpPr>
      <xdr:spPr>
        <a:xfrm>
          <a:off x="1511300" y="4429125"/>
          <a:ext cx="390525" cy="247650"/>
        </a:xfrm>
        <a:prstGeom prst="rect">
          <a:avLst/>
        </a:prstGeom>
        <a:solidFill>
          <a:srgbClr val="FFFF66"/>
        </a:solidFill>
        <a:ln>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9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3.4</a:t>
          </a:r>
          <a:endParaRPr kumimoji="1" lang="ja-JP" altLang="en-US" sz="11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xdr:col>
      <xdr:colOff>152400</xdr:colOff>
      <xdr:row>27</xdr:row>
      <xdr:rowOff>85725</xdr:rowOff>
    </xdr:from>
    <xdr:to>
      <xdr:col>5</xdr:col>
      <xdr:colOff>177800</xdr:colOff>
      <xdr:row>28</xdr:row>
      <xdr:rowOff>168275</xdr:rowOff>
    </xdr:to>
    <xdr:sp macro="" textlink="">
      <xdr:nvSpPr>
        <xdr:cNvPr id="17" name="正方形/長方形 16">
          <a:extLst>
            <a:ext uri="{FF2B5EF4-FFF2-40B4-BE49-F238E27FC236}">
              <a16:creationId xmlns:a16="http://schemas.microsoft.com/office/drawing/2014/main" id="{E23CEE48-1CE3-4F8C-8A30-E7B0C1FDBE31}"/>
            </a:ext>
          </a:extLst>
        </xdr:cNvPr>
        <xdr:cNvSpPr/>
      </xdr:nvSpPr>
      <xdr:spPr>
        <a:xfrm>
          <a:off x="695325" y="4597400"/>
          <a:ext cx="390525" cy="247650"/>
        </a:xfrm>
        <a:prstGeom prst="rect">
          <a:avLst/>
        </a:prstGeom>
        <a:solidFill>
          <a:srgbClr val="FFFF66"/>
        </a:solidFill>
        <a:ln>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9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3.3</a:t>
          </a:r>
          <a:endParaRPr kumimoji="1" lang="ja-JP" altLang="en-US" sz="11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25</xdr:col>
      <xdr:colOff>171450</xdr:colOff>
      <xdr:row>27</xdr:row>
      <xdr:rowOff>123825</xdr:rowOff>
    </xdr:from>
    <xdr:to>
      <xdr:col>28</xdr:col>
      <xdr:colOff>15875</xdr:colOff>
      <xdr:row>28</xdr:row>
      <xdr:rowOff>206375</xdr:rowOff>
    </xdr:to>
    <xdr:sp macro="" textlink="">
      <xdr:nvSpPr>
        <xdr:cNvPr id="18" name="正方形/長方形 17">
          <a:extLst>
            <a:ext uri="{FF2B5EF4-FFF2-40B4-BE49-F238E27FC236}">
              <a16:creationId xmlns:a16="http://schemas.microsoft.com/office/drawing/2014/main" id="{7EC6D3A4-3D1A-4A77-B736-3EA19EE42C79}"/>
            </a:ext>
          </a:extLst>
        </xdr:cNvPr>
        <xdr:cNvSpPr/>
      </xdr:nvSpPr>
      <xdr:spPr>
        <a:xfrm>
          <a:off x="4695825" y="4635500"/>
          <a:ext cx="387350" cy="247650"/>
        </a:xfrm>
        <a:prstGeom prst="rect">
          <a:avLst/>
        </a:prstGeom>
        <a:solidFill>
          <a:srgbClr val="FFFF66"/>
        </a:solidFill>
        <a:ln>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9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3.8</a:t>
          </a:r>
          <a:endParaRPr kumimoji="1" lang="ja-JP" altLang="en-US" sz="11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22</xdr:col>
      <xdr:colOff>38100</xdr:colOff>
      <xdr:row>26</xdr:row>
      <xdr:rowOff>104775</xdr:rowOff>
    </xdr:from>
    <xdr:to>
      <xdr:col>24</xdr:col>
      <xdr:colOff>63500</xdr:colOff>
      <xdr:row>28</xdr:row>
      <xdr:rowOff>25400</xdr:rowOff>
    </xdr:to>
    <xdr:sp macro="" textlink="">
      <xdr:nvSpPr>
        <xdr:cNvPr id="19" name="正方形/長方形 18">
          <a:extLst>
            <a:ext uri="{FF2B5EF4-FFF2-40B4-BE49-F238E27FC236}">
              <a16:creationId xmlns:a16="http://schemas.microsoft.com/office/drawing/2014/main" id="{14669DD9-EF99-4DCA-B211-AC4D233C8CCE}"/>
            </a:ext>
          </a:extLst>
        </xdr:cNvPr>
        <xdr:cNvSpPr/>
      </xdr:nvSpPr>
      <xdr:spPr>
        <a:xfrm>
          <a:off x="4019550" y="4454525"/>
          <a:ext cx="390525" cy="250825"/>
        </a:xfrm>
        <a:prstGeom prst="rect">
          <a:avLst/>
        </a:prstGeom>
        <a:solidFill>
          <a:srgbClr val="FFFF66"/>
        </a:solidFill>
        <a:ln>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9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3.7</a:t>
          </a:r>
          <a:endParaRPr kumimoji="1" lang="ja-JP" altLang="en-US" sz="11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13</xdr:col>
      <xdr:colOff>28575</xdr:colOff>
      <xdr:row>26</xdr:row>
      <xdr:rowOff>95250</xdr:rowOff>
    </xdr:from>
    <xdr:to>
      <xdr:col>15</xdr:col>
      <xdr:colOff>53975</xdr:colOff>
      <xdr:row>28</xdr:row>
      <xdr:rowOff>15875</xdr:rowOff>
    </xdr:to>
    <xdr:sp macro="" textlink="">
      <xdr:nvSpPr>
        <xdr:cNvPr id="20" name="正方形/長方形 19">
          <a:extLst>
            <a:ext uri="{FF2B5EF4-FFF2-40B4-BE49-F238E27FC236}">
              <a16:creationId xmlns:a16="http://schemas.microsoft.com/office/drawing/2014/main" id="{98D9C524-AFCC-4545-84F0-20896637E77D}"/>
            </a:ext>
          </a:extLst>
        </xdr:cNvPr>
        <xdr:cNvSpPr/>
      </xdr:nvSpPr>
      <xdr:spPr>
        <a:xfrm>
          <a:off x="2378075" y="4448175"/>
          <a:ext cx="390525" cy="244475"/>
        </a:xfrm>
        <a:prstGeom prst="rect">
          <a:avLst/>
        </a:prstGeom>
        <a:solidFill>
          <a:srgbClr val="FFFF66"/>
        </a:solidFill>
        <a:ln>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9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3.5</a:t>
          </a:r>
          <a:endParaRPr kumimoji="1" lang="ja-JP" altLang="en-US" sz="11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35</xdr:col>
      <xdr:colOff>34925</xdr:colOff>
      <xdr:row>26</xdr:row>
      <xdr:rowOff>130175</xdr:rowOff>
    </xdr:from>
    <xdr:to>
      <xdr:col>37</xdr:col>
      <xdr:colOff>120650</xdr:colOff>
      <xdr:row>28</xdr:row>
      <xdr:rowOff>53975</xdr:rowOff>
    </xdr:to>
    <xdr:sp macro="" textlink="">
      <xdr:nvSpPr>
        <xdr:cNvPr id="21" name="正方形/長方形 20">
          <a:extLst>
            <a:ext uri="{FF2B5EF4-FFF2-40B4-BE49-F238E27FC236}">
              <a16:creationId xmlns:a16="http://schemas.microsoft.com/office/drawing/2014/main" id="{EABA4CE0-7012-4096-8222-D3D2C96F821D}"/>
            </a:ext>
          </a:extLst>
        </xdr:cNvPr>
        <xdr:cNvSpPr/>
      </xdr:nvSpPr>
      <xdr:spPr>
        <a:xfrm>
          <a:off x="6369050" y="4483100"/>
          <a:ext cx="450850" cy="247650"/>
        </a:xfrm>
        <a:prstGeom prst="rect">
          <a:avLst/>
        </a:prstGeom>
        <a:solidFill>
          <a:srgbClr val="FFFF66"/>
        </a:solidFill>
        <a:ln>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9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3.10</a:t>
          </a:r>
          <a:endParaRPr kumimoji="1" lang="ja-JP" altLang="en-US" sz="11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31</xdr:col>
      <xdr:colOff>47625</xdr:colOff>
      <xdr:row>27</xdr:row>
      <xdr:rowOff>95250</xdr:rowOff>
    </xdr:from>
    <xdr:to>
      <xdr:col>33</xdr:col>
      <xdr:colOff>76200</xdr:colOff>
      <xdr:row>28</xdr:row>
      <xdr:rowOff>180975</xdr:rowOff>
    </xdr:to>
    <xdr:sp macro="" textlink="">
      <xdr:nvSpPr>
        <xdr:cNvPr id="22" name="正方形/長方形 21">
          <a:extLst>
            <a:ext uri="{FF2B5EF4-FFF2-40B4-BE49-F238E27FC236}">
              <a16:creationId xmlns:a16="http://schemas.microsoft.com/office/drawing/2014/main" id="{9BF02A47-82AA-4B41-9825-323458BDCD2F}"/>
            </a:ext>
          </a:extLst>
        </xdr:cNvPr>
        <xdr:cNvSpPr/>
      </xdr:nvSpPr>
      <xdr:spPr>
        <a:xfrm>
          <a:off x="5654675" y="4610100"/>
          <a:ext cx="393700" cy="244475"/>
        </a:xfrm>
        <a:prstGeom prst="rect">
          <a:avLst/>
        </a:prstGeom>
        <a:solidFill>
          <a:srgbClr val="FFFF66"/>
        </a:solidFill>
        <a:ln>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9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3.9</a:t>
          </a:r>
          <a:endParaRPr kumimoji="1" lang="ja-JP" altLang="en-US" sz="11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18</xdr:col>
      <xdr:colOff>47626</xdr:colOff>
      <xdr:row>26</xdr:row>
      <xdr:rowOff>123824</xdr:rowOff>
    </xdr:from>
    <xdr:to>
      <xdr:col>20</xdr:col>
      <xdr:colOff>66676</xdr:colOff>
      <xdr:row>28</xdr:row>
      <xdr:rowOff>19049</xdr:rowOff>
    </xdr:to>
    <xdr:sp macro="" textlink="">
      <xdr:nvSpPr>
        <xdr:cNvPr id="23" name="正方形/長方形 22">
          <a:extLst>
            <a:ext uri="{FF2B5EF4-FFF2-40B4-BE49-F238E27FC236}">
              <a16:creationId xmlns:a16="http://schemas.microsoft.com/office/drawing/2014/main" id="{178FAE26-526D-4CA2-8A08-1D892979D95F}"/>
            </a:ext>
          </a:extLst>
        </xdr:cNvPr>
        <xdr:cNvSpPr/>
      </xdr:nvSpPr>
      <xdr:spPr>
        <a:xfrm>
          <a:off x="3302001" y="4479924"/>
          <a:ext cx="381000" cy="215900"/>
        </a:xfrm>
        <a:prstGeom prst="rect">
          <a:avLst/>
        </a:prstGeom>
        <a:solidFill>
          <a:srgbClr val="FFFF66"/>
        </a:solidFill>
        <a:ln>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9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3.6</a:t>
          </a:r>
          <a:endParaRPr kumimoji="1" lang="ja-JP" altLang="en-US" sz="11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6</xdr:col>
      <xdr:colOff>76200</xdr:colOff>
      <xdr:row>27</xdr:row>
      <xdr:rowOff>123824</xdr:rowOff>
    </xdr:from>
    <xdr:to>
      <xdr:col>45</xdr:col>
      <xdr:colOff>130176</xdr:colOff>
      <xdr:row>33</xdr:row>
      <xdr:rowOff>38099</xdr:rowOff>
    </xdr:to>
    <xdr:sp macro="" textlink="">
      <xdr:nvSpPr>
        <xdr:cNvPr id="24" name="角丸四角形 78">
          <a:extLst>
            <a:ext uri="{FF2B5EF4-FFF2-40B4-BE49-F238E27FC236}">
              <a16:creationId xmlns:a16="http://schemas.microsoft.com/office/drawing/2014/main" id="{C4444F6F-ADEB-4194-9D0A-90257BF70A30}"/>
            </a:ext>
          </a:extLst>
        </xdr:cNvPr>
        <xdr:cNvSpPr/>
      </xdr:nvSpPr>
      <xdr:spPr>
        <a:xfrm>
          <a:off x="1162050" y="4641849"/>
          <a:ext cx="7112001" cy="1139825"/>
        </a:xfrm>
        <a:prstGeom prst="roundRect">
          <a:avLst/>
        </a:prstGeom>
        <a:noFill/>
        <a:ln w="635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40</xdr:col>
      <xdr:colOff>104775</xdr:colOff>
      <xdr:row>26</xdr:row>
      <xdr:rowOff>104775</xdr:rowOff>
    </xdr:from>
    <xdr:to>
      <xdr:col>43</xdr:col>
      <xdr:colOff>9525</xdr:colOff>
      <xdr:row>28</xdr:row>
      <xdr:rowOff>25400</xdr:rowOff>
    </xdr:to>
    <xdr:sp macro="" textlink="">
      <xdr:nvSpPr>
        <xdr:cNvPr id="25" name="正方形/長方形 24">
          <a:extLst>
            <a:ext uri="{FF2B5EF4-FFF2-40B4-BE49-F238E27FC236}">
              <a16:creationId xmlns:a16="http://schemas.microsoft.com/office/drawing/2014/main" id="{6F52CF76-7823-4B40-8F22-1D93FB83CA93}"/>
            </a:ext>
          </a:extLst>
        </xdr:cNvPr>
        <xdr:cNvSpPr/>
      </xdr:nvSpPr>
      <xdr:spPr>
        <a:xfrm>
          <a:off x="7340600" y="4454525"/>
          <a:ext cx="447675" cy="250825"/>
        </a:xfrm>
        <a:prstGeom prst="rect">
          <a:avLst/>
        </a:prstGeom>
        <a:solidFill>
          <a:srgbClr val="FFFF66"/>
        </a:solidFill>
        <a:ln>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9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3.11</a:t>
          </a:r>
          <a:endParaRPr kumimoji="1" lang="ja-JP" altLang="en-US" sz="11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16</xdr:col>
      <xdr:colOff>114300</xdr:colOff>
      <xdr:row>20</xdr:row>
      <xdr:rowOff>59266</xdr:rowOff>
    </xdr:from>
    <xdr:to>
      <xdr:col>19</xdr:col>
      <xdr:colOff>20108</xdr:colOff>
      <xdr:row>21</xdr:row>
      <xdr:rowOff>148166</xdr:rowOff>
    </xdr:to>
    <xdr:sp macro="" textlink="">
      <xdr:nvSpPr>
        <xdr:cNvPr id="26" name="正方形/長方形 25">
          <a:extLst>
            <a:ext uri="{FF2B5EF4-FFF2-40B4-BE49-F238E27FC236}">
              <a16:creationId xmlns:a16="http://schemas.microsoft.com/office/drawing/2014/main" id="{5BBCFEEB-B826-4895-8F6C-AD7EC06998DE}"/>
            </a:ext>
          </a:extLst>
        </xdr:cNvPr>
        <xdr:cNvSpPr/>
      </xdr:nvSpPr>
      <xdr:spPr>
        <a:xfrm>
          <a:off x="2992967" y="3382433"/>
          <a:ext cx="445558" cy="247650"/>
        </a:xfrm>
        <a:prstGeom prst="rect">
          <a:avLst/>
        </a:prstGeom>
        <a:solidFill>
          <a:srgbClr val="FFFF66"/>
        </a:solidFill>
        <a:ln>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9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3.12</a:t>
          </a:r>
          <a:endParaRPr kumimoji="1" lang="ja-JP" altLang="en-US" sz="11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9</xdr:col>
      <xdr:colOff>127001</xdr:colOff>
      <xdr:row>6</xdr:row>
      <xdr:rowOff>45508</xdr:rowOff>
    </xdr:from>
    <xdr:to>
      <xdr:col>11</xdr:col>
      <xdr:colOff>146052</xdr:colOff>
      <xdr:row>7</xdr:row>
      <xdr:rowOff>26459</xdr:rowOff>
    </xdr:to>
    <xdr:sp macro="" textlink="">
      <xdr:nvSpPr>
        <xdr:cNvPr id="42" name="正方形/長方形 41">
          <a:extLst>
            <a:ext uri="{FF2B5EF4-FFF2-40B4-BE49-F238E27FC236}">
              <a16:creationId xmlns:a16="http://schemas.microsoft.com/office/drawing/2014/main" id="{BE36935B-ED84-44AC-89ED-E47D62951693}"/>
            </a:ext>
          </a:extLst>
        </xdr:cNvPr>
        <xdr:cNvSpPr/>
      </xdr:nvSpPr>
      <xdr:spPr>
        <a:xfrm>
          <a:off x="1746251" y="902758"/>
          <a:ext cx="378884" cy="245534"/>
        </a:xfrm>
        <a:prstGeom prst="rect">
          <a:avLst/>
        </a:prstGeom>
        <a:solidFill>
          <a:srgbClr val="FFFF66"/>
        </a:solidFill>
        <a:ln>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9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1.1</a:t>
          </a:r>
          <a:endParaRPr kumimoji="1" lang="ja-JP" altLang="en-US" sz="11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0</xdr:col>
      <xdr:colOff>0</xdr:colOff>
      <xdr:row>36</xdr:row>
      <xdr:rowOff>85725</xdr:rowOff>
    </xdr:from>
    <xdr:to>
      <xdr:col>10</xdr:col>
      <xdr:colOff>19050</xdr:colOff>
      <xdr:row>37</xdr:row>
      <xdr:rowOff>171450</xdr:rowOff>
    </xdr:to>
    <xdr:sp macro="" textlink="">
      <xdr:nvSpPr>
        <xdr:cNvPr id="27" name="線吹き出し 1 (枠付き) 12">
          <a:extLst>
            <a:ext uri="{FF2B5EF4-FFF2-40B4-BE49-F238E27FC236}">
              <a16:creationId xmlns:a16="http://schemas.microsoft.com/office/drawing/2014/main" id="{41E8B6E0-F020-44BC-90D9-04990363B089}"/>
            </a:ext>
          </a:extLst>
        </xdr:cNvPr>
        <xdr:cNvSpPr/>
      </xdr:nvSpPr>
      <xdr:spPr>
        <a:xfrm>
          <a:off x="0" y="6102350"/>
          <a:ext cx="1828800" cy="279400"/>
        </a:xfrm>
        <a:prstGeom prst="borderCallout1">
          <a:avLst>
            <a:gd name="adj1" fmla="val 112916"/>
            <a:gd name="adj2" fmla="val 7511"/>
            <a:gd name="adj3" fmla="val 161448"/>
            <a:gd name="adj4" fmla="val 8482"/>
          </a:avLst>
        </a:prstGeom>
        <a:solidFill>
          <a:schemeClr val="accent3">
            <a:lumMod val="40000"/>
            <a:lumOff val="60000"/>
          </a:schemeClr>
        </a:solidFill>
        <a:ln>
          <a:solidFill>
            <a:schemeClr val="accent3">
              <a:lumMod val="75000"/>
            </a:schemeClr>
          </a:solidFill>
        </a:ln>
      </xdr:spPr>
      <xdr:style>
        <a:lnRef idx="2">
          <a:schemeClr val="accent2">
            <a:shade val="50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en-US" altLang="ja-JP" sz="9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4</a:t>
          </a:r>
          <a:r>
            <a:rPr kumimoji="1" lang="ja-JP" altLang="en-US" sz="9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．申請ドキュメント</a:t>
          </a:r>
          <a:r>
            <a:rPr kumimoji="1" lang="en-US" altLang="ja-JP" sz="9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CSV(</a:t>
          </a:r>
          <a:r>
            <a:rPr kumimoji="1" lang="ja-JP" altLang="en-US" sz="9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イメージ</a:t>
          </a:r>
          <a:r>
            <a:rPr kumimoji="1" lang="en-US" altLang="ja-JP" sz="9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a:t>
          </a:r>
          <a:endParaRPr kumimoji="1" lang="ja-JP" altLang="en-US" sz="9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21</xdr:col>
      <xdr:colOff>38099</xdr:colOff>
      <xdr:row>38</xdr:row>
      <xdr:rowOff>76198</xdr:rowOff>
    </xdr:from>
    <xdr:to>
      <xdr:col>48</xdr:col>
      <xdr:colOff>161924</xdr:colOff>
      <xdr:row>38</xdr:row>
      <xdr:rowOff>152399</xdr:rowOff>
    </xdr:to>
    <xdr:sp macro="" textlink="">
      <xdr:nvSpPr>
        <xdr:cNvPr id="28" name="右大かっこ 27">
          <a:extLst>
            <a:ext uri="{FF2B5EF4-FFF2-40B4-BE49-F238E27FC236}">
              <a16:creationId xmlns:a16="http://schemas.microsoft.com/office/drawing/2014/main" id="{84FEB974-09D2-486D-BFC5-66CE6ADF4D51}"/>
            </a:ext>
          </a:extLst>
        </xdr:cNvPr>
        <xdr:cNvSpPr/>
      </xdr:nvSpPr>
      <xdr:spPr>
        <a:xfrm rot="5400000" flipH="1">
          <a:off x="6307136" y="4008436"/>
          <a:ext cx="76201" cy="5013325"/>
        </a:xfrm>
        <a:prstGeom prst="rightBracket">
          <a:avLst/>
        </a:prstGeom>
        <a:ln w="28575">
          <a:solidFill>
            <a:srgbClr val="FF0000"/>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endParaRPr lang="ja-JP" altLang="en-US"/>
        </a:p>
      </xdr:txBody>
    </xdr:sp>
    <xdr:clientData/>
  </xdr:twoCellAnchor>
  <xdr:twoCellAnchor>
    <xdr:from>
      <xdr:col>2</xdr:col>
      <xdr:colOff>57150</xdr:colOff>
      <xdr:row>38</xdr:row>
      <xdr:rowOff>66675</xdr:rowOff>
    </xdr:from>
    <xdr:to>
      <xdr:col>4</xdr:col>
      <xdr:colOff>114300</xdr:colOff>
      <xdr:row>39</xdr:row>
      <xdr:rowOff>104775</xdr:rowOff>
    </xdr:to>
    <xdr:sp macro="" textlink="">
      <xdr:nvSpPr>
        <xdr:cNvPr id="29" name="正方形/長方形 28">
          <a:extLst>
            <a:ext uri="{FF2B5EF4-FFF2-40B4-BE49-F238E27FC236}">
              <a16:creationId xmlns:a16="http://schemas.microsoft.com/office/drawing/2014/main" id="{F7C9DFF6-A6AD-4038-914D-AC10282B7C13}"/>
            </a:ext>
          </a:extLst>
        </xdr:cNvPr>
        <xdr:cNvSpPr/>
      </xdr:nvSpPr>
      <xdr:spPr>
        <a:xfrm>
          <a:off x="419100" y="6464300"/>
          <a:ext cx="419100" cy="228600"/>
        </a:xfrm>
        <a:prstGeom prst="rect">
          <a:avLst/>
        </a:prstGeom>
        <a:solidFill>
          <a:srgbClr val="FFFF66"/>
        </a:solidFill>
        <a:ln>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4.1</a:t>
          </a:r>
          <a:endParaRPr kumimoji="1" lang="ja-JP" altLang="en-US" sz="11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34</xdr:col>
      <xdr:colOff>0</xdr:colOff>
      <xdr:row>37</xdr:row>
      <xdr:rowOff>6350</xdr:rowOff>
    </xdr:from>
    <xdr:to>
      <xdr:col>36</xdr:col>
      <xdr:colOff>57150</xdr:colOff>
      <xdr:row>38</xdr:row>
      <xdr:rowOff>44450</xdr:rowOff>
    </xdr:to>
    <xdr:sp macro="" textlink="">
      <xdr:nvSpPr>
        <xdr:cNvPr id="30" name="正方形/長方形 29">
          <a:extLst>
            <a:ext uri="{FF2B5EF4-FFF2-40B4-BE49-F238E27FC236}">
              <a16:creationId xmlns:a16="http://schemas.microsoft.com/office/drawing/2014/main" id="{DB642E6B-DB0E-42FB-A28F-71D531BDC048}"/>
            </a:ext>
          </a:extLst>
        </xdr:cNvPr>
        <xdr:cNvSpPr/>
      </xdr:nvSpPr>
      <xdr:spPr>
        <a:xfrm>
          <a:off x="6153150" y="6219825"/>
          <a:ext cx="419100" cy="228600"/>
        </a:xfrm>
        <a:prstGeom prst="rect">
          <a:avLst/>
        </a:prstGeom>
        <a:solidFill>
          <a:srgbClr val="FFFF66"/>
        </a:solidFill>
        <a:ln>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4.6</a:t>
          </a:r>
          <a:endParaRPr kumimoji="1" lang="ja-JP" altLang="en-US" sz="11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17</xdr:col>
      <xdr:colOff>152400</xdr:colOff>
      <xdr:row>38</xdr:row>
      <xdr:rowOff>15875</xdr:rowOff>
    </xdr:from>
    <xdr:to>
      <xdr:col>20</xdr:col>
      <xdr:colOff>28575</xdr:colOff>
      <xdr:row>39</xdr:row>
      <xdr:rowOff>53975</xdr:rowOff>
    </xdr:to>
    <xdr:sp macro="" textlink="">
      <xdr:nvSpPr>
        <xdr:cNvPr id="31" name="正方形/長方形 30">
          <a:extLst>
            <a:ext uri="{FF2B5EF4-FFF2-40B4-BE49-F238E27FC236}">
              <a16:creationId xmlns:a16="http://schemas.microsoft.com/office/drawing/2014/main" id="{339ACD2A-832A-4E33-B713-6AFD6F8A06CA}"/>
            </a:ext>
          </a:extLst>
        </xdr:cNvPr>
        <xdr:cNvSpPr/>
      </xdr:nvSpPr>
      <xdr:spPr>
        <a:xfrm>
          <a:off x="3228975" y="6416675"/>
          <a:ext cx="415925" cy="228600"/>
        </a:xfrm>
        <a:prstGeom prst="rect">
          <a:avLst/>
        </a:prstGeom>
        <a:solidFill>
          <a:srgbClr val="FFFF66"/>
        </a:solidFill>
        <a:ln>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4.5</a:t>
          </a:r>
          <a:endParaRPr kumimoji="1" lang="ja-JP" altLang="en-US" sz="11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13</xdr:col>
      <xdr:colOff>139700</xdr:colOff>
      <xdr:row>37</xdr:row>
      <xdr:rowOff>161925</xdr:rowOff>
    </xdr:from>
    <xdr:to>
      <xdr:col>16</xdr:col>
      <xdr:colOff>15875</xdr:colOff>
      <xdr:row>39</xdr:row>
      <xdr:rowOff>9525</xdr:rowOff>
    </xdr:to>
    <xdr:sp macro="" textlink="">
      <xdr:nvSpPr>
        <xdr:cNvPr id="32" name="正方形/長方形 31">
          <a:extLst>
            <a:ext uri="{FF2B5EF4-FFF2-40B4-BE49-F238E27FC236}">
              <a16:creationId xmlns:a16="http://schemas.microsoft.com/office/drawing/2014/main" id="{2196D2FE-31DF-4B02-812D-AC21C33E76BD}"/>
            </a:ext>
          </a:extLst>
        </xdr:cNvPr>
        <xdr:cNvSpPr/>
      </xdr:nvSpPr>
      <xdr:spPr>
        <a:xfrm>
          <a:off x="2495550" y="6369050"/>
          <a:ext cx="415925" cy="228600"/>
        </a:xfrm>
        <a:prstGeom prst="rect">
          <a:avLst/>
        </a:prstGeom>
        <a:solidFill>
          <a:srgbClr val="FFFF66"/>
        </a:solidFill>
        <a:ln>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4.4</a:t>
          </a:r>
          <a:endParaRPr kumimoji="1" lang="ja-JP" altLang="en-US" sz="11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9</xdr:col>
      <xdr:colOff>161925</xdr:colOff>
      <xdr:row>38</xdr:row>
      <xdr:rowOff>34925</xdr:rowOff>
    </xdr:from>
    <xdr:to>
      <xdr:col>12</xdr:col>
      <xdr:colOff>38100</xdr:colOff>
      <xdr:row>39</xdr:row>
      <xdr:rowOff>73025</xdr:rowOff>
    </xdr:to>
    <xdr:sp macro="" textlink="">
      <xdr:nvSpPr>
        <xdr:cNvPr id="33" name="正方形/長方形 32">
          <a:extLst>
            <a:ext uri="{FF2B5EF4-FFF2-40B4-BE49-F238E27FC236}">
              <a16:creationId xmlns:a16="http://schemas.microsoft.com/office/drawing/2014/main" id="{711ECB34-D7D2-4627-B9BE-566A865F0BA5}"/>
            </a:ext>
          </a:extLst>
        </xdr:cNvPr>
        <xdr:cNvSpPr/>
      </xdr:nvSpPr>
      <xdr:spPr>
        <a:xfrm>
          <a:off x="1787525" y="6435725"/>
          <a:ext cx="422275" cy="228600"/>
        </a:xfrm>
        <a:prstGeom prst="rect">
          <a:avLst/>
        </a:prstGeom>
        <a:solidFill>
          <a:srgbClr val="FFFF66"/>
        </a:solidFill>
        <a:ln>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4.3</a:t>
          </a:r>
          <a:endParaRPr kumimoji="1" lang="ja-JP" altLang="en-US" sz="11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5</xdr:col>
      <xdr:colOff>152400</xdr:colOff>
      <xdr:row>38</xdr:row>
      <xdr:rowOff>63500</xdr:rowOff>
    </xdr:from>
    <xdr:to>
      <xdr:col>8</xdr:col>
      <xdr:colOff>28575</xdr:colOff>
      <xdr:row>39</xdr:row>
      <xdr:rowOff>101600</xdr:rowOff>
    </xdr:to>
    <xdr:sp macro="" textlink="">
      <xdr:nvSpPr>
        <xdr:cNvPr id="34" name="正方形/長方形 33">
          <a:extLst>
            <a:ext uri="{FF2B5EF4-FFF2-40B4-BE49-F238E27FC236}">
              <a16:creationId xmlns:a16="http://schemas.microsoft.com/office/drawing/2014/main" id="{261251B0-0D73-498F-A419-7BCD29408ECB}"/>
            </a:ext>
          </a:extLst>
        </xdr:cNvPr>
        <xdr:cNvSpPr/>
      </xdr:nvSpPr>
      <xdr:spPr>
        <a:xfrm>
          <a:off x="1057275" y="6467475"/>
          <a:ext cx="415925" cy="228600"/>
        </a:xfrm>
        <a:prstGeom prst="rect">
          <a:avLst/>
        </a:prstGeom>
        <a:solidFill>
          <a:srgbClr val="FFFF66"/>
        </a:solidFill>
        <a:ln>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4.2</a:t>
          </a:r>
          <a:endParaRPr kumimoji="1" lang="ja-JP" altLang="en-US" sz="11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39</xdr:col>
      <xdr:colOff>21167</xdr:colOff>
      <xdr:row>10</xdr:row>
      <xdr:rowOff>134407</xdr:rowOff>
    </xdr:from>
    <xdr:to>
      <xdr:col>44</xdr:col>
      <xdr:colOff>29634</xdr:colOff>
      <xdr:row>12</xdr:row>
      <xdr:rowOff>92075</xdr:rowOff>
    </xdr:to>
    <xdr:grpSp>
      <xdr:nvGrpSpPr>
        <xdr:cNvPr id="35" name="グループ化 34">
          <a:extLst>
            <a:ext uri="{FF2B5EF4-FFF2-40B4-BE49-F238E27FC236}">
              <a16:creationId xmlns:a16="http://schemas.microsoft.com/office/drawing/2014/main" id="{81A05C2D-BB67-43BD-BA62-C0674ED9DAB5}"/>
            </a:ext>
          </a:extLst>
        </xdr:cNvPr>
        <xdr:cNvGrpSpPr/>
      </xdr:nvGrpSpPr>
      <xdr:grpSpPr>
        <a:xfrm>
          <a:off x="7037917" y="1870074"/>
          <a:ext cx="904875" cy="275168"/>
          <a:chOff x="13567834" y="4773083"/>
          <a:chExt cx="898525" cy="275168"/>
        </a:xfrm>
      </xdr:grpSpPr>
      <xdr:grpSp>
        <xdr:nvGrpSpPr>
          <xdr:cNvPr id="36" name="グループ化 35">
            <a:extLst>
              <a:ext uri="{FF2B5EF4-FFF2-40B4-BE49-F238E27FC236}">
                <a16:creationId xmlns:a16="http://schemas.microsoft.com/office/drawing/2014/main" id="{781ACD6A-7598-867B-26DC-9A5DC63A2087}"/>
              </a:ext>
            </a:extLst>
          </xdr:cNvPr>
          <xdr:cNvGrpSpPr/>
        </xdr:nvGrpSpPr>
        <xdr:grpSpPr>
          <a:xfrm>
            <a:off x="13567834" y="4773083"/>
            <a:ext cx="898525" cy="275168"/>
            <a:chOff x="13712825" y="4519083"/>
            <a:chExt cx="898525" cy="275168"/>
          </a:xfrm>
        </xdr:grpSpPr>
        <xdr:sp macro="" textlink="">
          <xdr:nvSpPr>
            <xdr:cNvPr id="38" name="四角形: 角を丸くする 37">
              <a:extLst>
                <a:ext uri="{FF2B5EF4-FFF2-40B4-BE49-F238E27FC236}">
                  <a16:creationId xmlns:a16="http://schemas.microsoft.com/office/drawing/2014/main" id="{8873E80C-2C13-E49A-5079-E4E88612DC8C}"/>
                </a:ext>
              </a:extLst>
            </xdr:cNvPr>
            <xdr:cNvSpPr/>
          </xdr:nvSpPr>
          <xdr:spPr>
            <a:xfrm>
              <a:off x="13712825" y="4519083"/>
              <a:ext cx="898525" cy="275168"/>
            </a:xfrm>
            <a:prstGeom prst="roundRect">
              <a:avLst/>
            </a:prstGeom>
            <a:solidFill>
              <a:schemeClr val="bg1"/>
            </a:solidFill>
            <a:ln w="19050">
              <a:solidFill>
                <a:schemeClr val="bg1">
                  <a:lumMod val="65000"/>
                </a:schemeClr>
              </a:solidFill>
            </a:ln>
          </xdr:spPr>
          <xdr:style>
            <a:lnRef idx="2">
              <a:schemeClr val="accent1"/>
            </a:lnRef>
            <a:fillRef idx="1">
              <a:schemeClr val="lt1"/>
            </a:fillRef>
            <a:effectRef idx="0">
              <a:schemeClr val="accent1"/>
            </a:effectRef>
            <a:fontRef idx="minor">
              <a:schemeClr val="dk1"/>
            </a:fontRef>
          </xdr:style>
          <xdr:txBody>
            <a:bodyPr vertOverflow="clip" horzOverflow="clip" lIns="36000" tIns="36000" rIns="36000" bIns="36000" rtlCol="0" anchor="ctr"/>
            <a:lstStyle/>
            <a:p>
              <a:pPr algn="ctr">
                <a:lnSpc>
                  <a:spcPts val="900"/>
                </a:lnSpc>
              </a:pPr>
              <a:endParaRPr kumimoji="1" lang="ja-JP" altLang="en-US" sz="1200" b="1">
                <a:solidFill>
                  <a:schemeClr val="tx2"/>
                </a:solidFill>
              </a:endParaRPr>
            </a:p>
          </xdr:txBody>
        </xdr:sp>
        <xdr:sp macro="" textlink="">
          <xdr:nvSpPr>
            <xdr:cNvPr id="39" name="四角形: 角を丸くする 38">
              <a:extLst>
                <a:ext uri="{FF2B5EF4-FFF2-40B4-BE49-F238E27FC236}">
                  <a16:creationId xmlns:a16="http://schemas.microsoft.com/office/drawing/2014/main" id="{167FA85D-4B1D-44C0-6A41-29F700D65CEC}"/>
                </a:ext>
              </a:extLst>
            </xdr:cNvPr>
            <xdr:cNvSpPr/>
          </xdr:nvSpPr>
          <xdr:spPr>
            <a:xfrm>
              <a:off x="13740340" y="4561419"/>
              <a:ext cx="433917" cy="205316"/>
            </a:xfrm>
            <a:prstGeom prst="roundRect">
              <a:avLst/>
            </a:prstGeom>
            <a:ln w="12700">
              <a:noFill/>
            </a:ln>
          </xdr:spPr>
          <xdr:style>
            <a:lnRef idx="2">
              <a:schemeClr val="accent1"/>
            </a:lnRef>
            <a:fillRef idx="1">
              <a:schemeClr val="lt1"/>
            </a:fillRef>
            <a:effectRef idx="0">
              <a:schemeClr val="accent1"/>
            </a:effectRef>
            <a:fontRef idx="minor">
              <a:schemeClr val="dk1"/>
            </a:fontRef>
          </xdr:style>
          <xdr:txBody>
            <a:bodyPr vertOverflow="clip" horzOverflow="clip" lIns="36000" tIns="36000" rIns="36000" bIns="36000" rtlCol="0" anchor="ctr"/>
            <a:lstStyle/>
            <a:p>
              <a:pPr algn="ctr">
                <a:lnSpc>
                  <a:spcPts val="900"/>
                </a:lnSpc>
              </a:pPr>
              <a:r>
                <a:rPr kumimoji="1" lang="en-US" altLang="ja-JP" sz="1200" b="1">
                  <a:solidFill>
                    <a:schemeClr val="tx2"/>
                  </a:solidFill>
                </a:rPr>
                <a:t>JPN</a:t>
              </a:r>
              <a:endParaRPr kumimoji="1" lang="ja-JP" altLang="en-US" sz="1200" b="1">
                <a:solidFill>
                  <a:schemeClr val="tx2"/>
                </a:solidFill>
              </a:endParaRPr>
            </a:p>
          </xdr:txBody>
        </xdr:sp>
      </xdr:grpSp>
      <xdr:sp macro="" textlink="">
        <xdr:nvSpPr>
          <xdr:cNvPr id="37" name="四角形: 角を丸くする 36">
            <a:extLst>
              <a:ext uri="{FF2B5EF4-FFF2-40B4-BE49-F238E27FC236}">
                <a16:creationId xmlns:a16="http://schemas.microsoft.com/office/drawing/2014/main" id="{8F3C40C0-5227-7A21-52AE-92449C23C862}"/>
              </a:ext>
            </a:extLst>
          </xdr:cNvPr>
          <xdr:cNvSpPr/>
        </xdr:nvSpPr>
        <xdr:spPr>
          <a:xfrm>
            <a:off x="14023864" y="4784726"/>
            <a:ext cx="439209" cy="258233"/>
          </a:xfrm>
          <a:prstGeom prst="roundRect">
            <a:avLst/>
          </a:prstGeom>
          <a:solidFill>
            <a:schemeClr val="tx2"/>
          </a:solidFill>
          <a:ln w="19050">
            <a:noFill/>
          </a:ln>
        </xdr:spPr>
        <xdr:style>
          <a:lnRef idx="2">
            <a:schemeClr val="accent1"/>
          </a:lnRef>
          <a:fillRef idx="1">
            <a:schemeClr val="lt1"/>
          </a:fillRef>
          <a:effectRef idx="0">
            <a:schemeClr val="accent1"/>
          </a:effectRef>
          <a:fontRef idx="minor">
            <a:schemeClr val="dk1"/>
          </a:fontRef>
        </xdr:style>
        <xdr:txBody>
          <a:bodyPr vertOverflow="clip" horzOverflow="clip" lIns="36000" tIns="36000" rIns="36000" bIns="36000" rtlCol="0" anchor="ctr"/>
          <a:lstStyle/>
          <a:p>
            <a:pPr algn="ctr">
              <a:lnSpc>
                <a:spcPts val="900"/>
              </a:lnSpc>
            </a:pPr>
            <a:r>
              <a:rPr kumimoji="1" lang="en-US" altLang="ja-JP" sz="1200" b="1">
                <a:solidFill>
                  <a:schemeClr val="bg1"/>
                </a:solidFill>
              </a:rPr>
              <a:t>ENG</a:t>
            </a:r>
            <a:endParaRPr kumimoji="1" lang="ja-JP" altLang="en-US" sz="1200" b="1">
              <a:solidFill>
                <a:schemeClr val="bg1"/>
              </a:solidFill>
            </a:endParaRPr>
          </a:p>
        </xdr:txBody>
      </xdr:sp>
    </xdr:grpSp>
    <xdr:clientData/>
  </xdr:twoCellAnchor>
  <xdr:twoCellAnchor>
    <xdr:from>
      <xdr:col>36</xdr:col>
      <xdr:colOff>169333</xdr:colOff>
      <xdr:row>9</xdr:row>
      <xdr:rowOff>21166</xdr:rowOff>
    </xdr:from>
    <xdr:to>
      <xdr:col>39</xdr:col>
      <xdr:colOff>8466</xdr:colOff>
      <xdr:row>10</xdr:row>
      <xdr:rowOff>113241</xdr:rowOff>
    </xdr:to>
    <xdr:sp macro="" textlink="">
      <xdr:nvSpPr>
        <xdr:cNvPr id="40" name="正方形/長方形 39">
          <a:extLst>
            <a:ext uri="{FF2B5EF4-FFF2-40B4-BE49-F238E27FC236}">
              <a16:creationId xmlns:a16="http://schemas.microsoft.com/office/drawing/2014/main" id="{B3E70894-5DB9-408D-BD46-2314A70156F6}"/>
            </a:ext>
          </a:extLst>
        </xdr:cNvPr>
        <xdr:cNvSpPr/>
      </xdr:nvSpPr>
      <xdr:spPr>
        <a:xfrm>
          <a:off x="6646333" y="1608666"/>
          <a:ext cx="378883" cy="240242"/>
        </a:xfrm>
        <a:prstGeom prst="rect">
          <a:avLst/>
        </a:prstGeom>
        <a:solidFill>
          <a:srgbClr val="FFFF66"/>
        </a:solidFill>
        <a:ln>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9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2.2</a:t>
          </a:r>
          <a:endParaRPr kumimoji="1" lang="ja-JP" altLang="en-US" sz="11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75</xdr:col>
      <xdr:colOff>115360</xdr:colOff>
      <xdr:row>6</xdr:row>
      <xdr:rowOff>66674</xdr:rowOff>
    </xdr:from>
    <xdr:to>
      <xdr:col>89</xdr:col>
      <xdr:colOff>134409</xdr:colOff>
      <xdr:row>12</xdr:row>
      <xdr:rowOff>77258</xdr:rowOff>
    </xdr:to>
    <xdr:sp macro="" textlink="">
      <xdr:nvSpPr>
        <xdr:cNvPr id="41" name="正方形/長方形 40">
          <a:extLst>
            <a:ext uri="{FF2B5EF4-FFF2-40B4-BE49-F238E27FC236}">
              <a16:creationId xmlns:a16="http://schemas.microsoft.com/office/drawing/2014/main" id="{B7EF0534-4C80-42BC-9A71-9B01A32E4C97}"/>
            </a:ext>
          </a:extLst>
        </xdr:cNvPr>
        <xdr:cNvSpPr/>
      </xdr:nvSpPr>
      <xdr:spPr>
        <a:xfrm>
          <a:off x="13609110" y="923924"/>
          <a:ext cx="2537882" cy="1206501"/>
        </a:xfrm>
        <a:prstGeom prst="rect">
          <a:avLst/>
        </a:prstGeom>
        <a:ln/>
      </xdr:spPr>
      <xdr:style>
        <a:lnRef idx="1">
          <a:schemeClr val="accent2"/>
        </a:lnRef>
        <a:fillRef idx="2">
          <a:schemeClr val="accent2"/>
        </a:fillRef>
        <a:effectRef idx="1">
          <a:schemeClr val="accent2"/>
        </a:effectRef>
        <a:fontRef idx="minor">
          <a:schemeClr val="dk1"/>
        </a:fontRef>
      </xdr:style>
      <xdr:txBody>
        <a:bodyPr vertOverflow="clip" horzOverflow="clip" lIns="36000" tIns="36000" rIns="36000" bIns="36000" rtlCol="0" anchor="t"/>
        <a:lstStyle/>
        <a:p>
          <a:pPr algn="l">
            <a:lnSpc>
              <a:spcPts val="900"/>
            </a:lnSpc>
          </a:pPr>
          <a:r>
            <a:rPr kumimoji="1" lang="ja-JP" altLang="en-US" sz="800">
              <a:solidFill>
                <a:sysClr val="windowText" lastClr="000000"/>
              </a:solidFill>
            </a:rPr>
            <a:t>ログインに関する記載が無い。</a:t>
          </a:r>
          <a:endParaRPr kumimoji="1" lang="en-US" altLang="ja-JP" sz="800">
            <a:solidFill>
              <a:sysClr val="windowText" lastClr="000000"/>
            </a:solidFill>
          </a:endParaRPr>
        </a:p>
        <a:p>
          <a:pPr algn="l">
            <a:lnSpc>
              <a:spcPts val="900"/>
            </a:lnSpc>
          </a:pPr>
          <a:r>
            <a:rPr kumimoji="1" lang="ja-JP" altLang="en-US" sz="800">
              <a:solidFill>
                <a:sysClr val="windowText" lastClr="000000"/>
              </a:solidFill>
            </a:rPr>
            <a:t>テーブル構成は？要</a:t>
          </a:r>
          <a:r>
            <a:rPr kumimoji="1" lang="en-US" altLang="ja-JP" sz="800">
              <a:solidFill>
                <a:sysClr val="windowText" lastClr="000000"/>
              </a:solidFill>
            </a:rPr>
            <a:t>ER</a:t>
          </a:r>
          <a:r>
            <a:rPr kumimoji="1" lang="ja-JP" altLang="en-US" sz="800">
              <a:solidFill>
                <a:sysClr val="windowText" lastClr="000000"/>
              </a:solidFill>
            </a:rPr>
            <a:t>図作成</a:t>
          </a:r>
          <a:endParaRPr kumimoji="1" lang="en-US" altLang="ja-JP" sz="800">
            <a:solidFill>
              <a:sysClr val="windowText" lastClr="000000"/>
            </a:solidFill>
          </a:endParaRPr>
        </a:p>
        <a:p>
          <a:pPr algn="l">
            <a:lnSpc>
              <a:spcPts val="900"/>
            </a:lnSpc>
          </a:pPr>
          <a:r>
            <a:rPr kumimoji="1" lang="ja-JP" altLang="en-US" sz="800">
              <a:solidFill>
                <a:sysClr val="windowText" lastClr="000000"/>
              </a:solidFill>
            </a:rPr>
            <a:t>日英併記と切替のどちらにするか確定すること</a:t>
          </a:r>
          <a:endParaRPr kumimoji="1" lang="en-US" altLang="ja-JP" sz="800">
            <a:solidFill>
              <a:sysClr val="windowText" lastClr="000000"/>
            </a:solidFill>
          </a:endParaRPr>
        </a:p>
        <a:p>
          <a:pPr algn="l">
            <a:lnSpc>
              <a:spcPts val="900"/>
            </a:lnSpc>
          </a:pPr>
          <a:endParaRPr kumimoji="1" lang="en-US" altLang="ja-JP" sz="800">
            <a:solidFill>
              <a:sysClr val="windowText" lastClr="000000"/>
            </a:solidFill>
          </a:endParaRPr>
        </a:p>
        <a:p>
          <a:pPr algn="l">
            <a:lnSpc>
              <a:spcPts val="900"/>
            </a:lnSpc>
          </a:pPr>
          <a:r>
            <a:rPr kumimoji="1" lang="en-US" altLang="ja-JP" sz="800">
              <a:solidFill>
                <a:srgbClr val="FF0000"/>
              </a:solidFill>
            </a:rPr>
            <a:t>5/12 </a:t>
          </a:r>
          <a:r>
            <a:rPr kumimoji="1" lang="ja-JP" altLang="en-US" sz="800">
              <a:solidFill>
                <a:srgbClr val="FF0000"/>
              </a:solidFill>
            </a:rPr>
            <a:t>古竹追記</a:t>
          </a:r>
          <a:endParaRPr kumimoji="1" lang="en-US" altLang="ja-JP" sz="800">
            <a:solidFill>
              <a:srgbClr val="FF0000"/>
            </a:solidFill>
          </a:endParaRPr>
        </a:p>
        <a:p>
          <a:pPr algn="l">
            <a:lnSpc>
              <a:spcPts val="900"/>
            </a:lnSpc>
          </a:pPr>
          <a:r>
            <a:rPr kumimoji="1" lang="ja-JP" altLang="en-US" sz="800">
              <a:solidFill>
                <a:srgbClr val="FF0000"/>
              </a:solidFill>
            </a:rPr>
            <a:t>ログインシステムが未定・中断のため追記する旨を記載</a:t>
          </a:r>
          <a:endParaRPr kumimoji="1" lang="en-US" altLang="ja-JP" sz="800">
            <a:solidFill>
              <a:srgbClr val="FF0000"/>
            </a:solidFill>
          </a:endParaRPr>
        </a:p>
        <a:p>
          <a:pPr algn="l">
            <a:lnSpc>
              <a:spcPts val="900"/>
            </a:lnSpc>
          </a:pPr>
          <a:r>
            <a:rPr kumimoji="1" lang="ja-JP" altLang="en-US" sz="800">
              <a:solidFill>
                <a:srgbClr val="FF0000"/>
              </a:solidFill>
            </a:rPr>
            <a:t>テーブル構成・</a:t>
          </a:r>
          <a:r>
            <a:rPr kumimoji="1" lang="en-US" altLang="ja-JP" sz="800">
              <a:solidFill>
                <a:srgbClr val="FF0000"/>
              </a:solidFill>
            </a:rPr>
            <a:t>ER</a:t>
          </a:r>
          <a:r>
            <a:rPr kumimoji="1" lang="ja-JP" altLang="en-US" sz="800">
              <a:solidFill>
                <a:srgbClr val="FF0000"/>
              </a:solidFill>
            </a:rPr>
            <a:t>図は資料連携待ちのため、連携後追記</a:t>
          </a:r>
          <a:endParaRPr kumimoji="1" lang="en-US" altLang="ja-JP" sz="800">
            <a:solidFill>
              <a:srgbClr val="FF0000"/>
            </a:solidFill>
          </a:endParaRPr>
        </a:p>
        <a:p>
          <a:pPr algn="l">
            <a:lnSpc>
              <a:spcPts val="900"/>
            </a:lnSpc>
          </a:pPr>
          <a:r>
            <a:rPr kumimoji="1" lang="ja-JP" altLang="en-US" sz="800">
              <a:solidFill>
                <a:srgbClr val="FF0000"/>
              </a:solidFill>
            </a:rPr>
            <a:t>お知らせエリアのみ切替にしてボタン追加、それ以外は併記にして、日英切替の法のシートは削除</a:t>
          </a:r>
          <a:endParaRPr kumimoji="1" lang="en-US" altLang="ja-JP" sz="800">
            <a:solidFill>
              <a:srgbClr val="FF0000"/>
            </a:solidFill>
          </a:endParaRPr>
        </a:p>
        <a:p>
          <a:pPr algn="l">
            <a:lnSpc>
              <a:spcPts val="900"/>
            </a:lnSpc>
          </a:pPr>
          <a:endParaRPr kumimoji="1" lang="en-US" altLang="ja-JP" sz="800">
            <a:solidFill>
              <a:sysClr val="windowText" lastClr="000000"/>
            </a:solidFill>
          </a:endParaRPr>
        </a:p>
        <a:p>
          <a:pPr algn="l">
            <a:lnSpc>
              <a:spcPts val="900"/>
            </a:lnSpc>
          </a:pPr>
          <a:endParaRPr kumimoji="1" lang="ja-JP" altLang="en-US" sz="800">
            <a:solidFill>
              <a:sysClr val="windowText" lastClr="000000"/>
            </a:solidFill>
          </a:endParaRPr>
        </a:p>
      </xdr:txBody>
    </xdr:sp>
    <xdr:clientData/>
  </xdr:twoCellAnchor>
  <xdr:twoCellAnchor>
    <xdr:from>
      <xdr:col>79</xdr:col>
      <xdr:colOff>123825</xdr:colOff>
      <xdr:row>15</xdr:row>
      <xdr:rowOff>130174</xdr:rowOff>
    </xdr:from>
    <xdr:to>
      <xdr:col>90</xdr:col>
      <xdr:colOff>45862</xdr:colOff>
      <xdr:row>21</xdr:row>
      <xdr:rowOff>155574</xdr:rowOff>
    </xdr:to>
    <xdr:sp macro="" textlink="">
      <xdr:nvSpPr>
        <xdr:cNvPr id="43" name="正方形/長方形 42">
          <a:extLst>
            <a:ext uri="{FF2B5EF4-FFF2-40B4-BE49-F238E27FC236}">
              <a16:creationId xmlns:a16="http://schemas.microsoft.com/office/drawing/2014/main" id="{33A3BBCD-B866-4F83-AF84-07D3B5985435}"/>
            </a:ext>
          </a:extLst>
        </xdr:cNvPr>
        <xdr:cNvSpPr/>
      </xdr:nvSpPr>
      <xdr:spPr>
        <a:xfrm>
          <a:off x="14337242" y="2659591"/>
          <a:ext cx="1901120" cy="977900"/>
        </a:xfrm>
        <a:prstGeom prst="rect">
          <a:avLst/>
        </a:prstGeom>
        <a:ln/>
      </xdr:spPr>
      <xdr:style>
        <a:lnRef idx="1">
          <a:schemeClr val="accent2"/>
        </a:lnRef>
        <a:fillRef idx="2">
          <a:schemeClr val="accent2"/>
        </a:fillRef>
        <a:effectRef idx="1">
          <a:schemeClr val="accent2"/>
        </a:effectRef>
        <a:fontRef idx="minor">
          <a:schemeClr val="dk1"/>
        </a:fontRef>
      </xdr:style>
      <xdr:txBody>
        <a:bodyPr vertOverflow="clip" horzOverflow="clip" lIns="36000" tIns="36000" rIns="36000" bIns="36000" rtlCol="0" anchor="t"/>
        <a:lstStyle/>
        <a:p>
          <a:pPr algn="l">
            <a:lnSpc>
              <a:spcPts val="900"/>
            </a:lnSpc>
          </a:pPr>
          <a:r>
            <a:rPr kumimoji="1" lang="ja-JP" altLang="en-US" sz="800">
              <a:solidFill>
                <a:sysClr val="windowText" lastClr="000000"/>
              </a:solidFill>
            </a:rPr>
            <a:t>要①の詳細説明</a:t>
          </a:r>
          <a:endParaRPr kumimoji="1" lang="en-US" altLang="ja-JP" sz="800">
            <a:solidFill>
              <a:sysClr val="windowText" lastClr="000000"/>
            </a:solidFill>
          </a:endParaRPr>
        </a:p>
        <a:p>
          <a:pPr algn="l">
            <a:lnSpc>
              <a:spcPts val="900"/>
            </a:lnSpc>
          </a:pPr>
          <a:r>
            <a:rPr kumimoji="1" lang="en-US" altLang="ja-JP" sz="800">
              <a:solidFill>
                <a:sysClr val="windowText" lastClr="000000"/>
              </a:solidFill>
            </a:rPr>
            <a:t>SmartEdit</a:t>
          </a:r>
          <a:r>
            <a:rPr kumimoji="1" lang="ja-JP" altLang="en-US" sz="800">
              <a:solidFill>
                <a:sysClr val="windowText" lastClr="000000"/>
              </a:solidFill>
            </a:rPr>
            <a:t>はシステムに関係あるのか？</a:t>
          </a:r>
          <a:endParaRPr kumimoji="1" lang="en-US" altLang="ja-JP" sz="800">
            <a:solidFill>
              <a:sysClr val="windowText" lastClr="000000"/>
            </a:solidFill>
          </a:endParaRPr>
        </a:p>
        <a:p>
          <a:pPr algn="l">
            <a:lnSpc>
              <a:spcPts val="900"/>
            </a:lnSpc>
          </a:pPr>
          <a:r>
            <a:rPr kumimoji="1" lang="ja-JP" altLang="en-US" sz="800">
              <a:solidFill>
                <a:sysClr val="windowText" lastClr="000000"/>
              </a:solidFill>
            </a:rPr>
            <a:t>運用に関する補足なら注記とする。</a:t>
          </a:r>
          <a:endParaRPr kumimoji="1" lang="en-US" altLang="ja-JP" sz="800">
            <a:solidFill>
              <a:sysClr val="windowText" lastClr="000000"/>
            </a:solidFill>
          </a:endParaRPr>
        </a:p>
        <a:p>
          <a:pPr algn="l">
            <a:lnSpc>
              <a:spcPts val="900"/>
            </a:lnSpc>
          </a:pPr>
          <a:endParaRPr kumimoji="1" lang="en-US" altLang="ja-JP" sz="800">
            <a:solidFill>
              <a:sysClr val="windowText" lastClr="000000"/>
            </a:solidFill>
          </a:endParaRPr>
        </a:p>
        <a:p>
          <a:pPr algn="l">
            <a:lnSpc>
              <a:spcPts val="900"/>
            </a:lnSpc>
          </a:pPr>
          <a:r>
            <a:rPr kumimoji="1" lang="en-US" altLang="ja-JP" sz="800">
              <a:solidFill>
                <a:srgbClr val="FF0000"/>
              </a:solidFill>
            </a:rPr>
            <a:t>5/12 </a:t>
          </a:r>
          <a:r>
            <a:rPr kumimoji="1" lang="ja-JP" altLang="en-US" sz="800">
              <a:solidFill>
                <a:srgbClr val="FF0000"/>
              </a:solidFill>
            </a:rPr>
            <a:t>古竹追記</a:t>
          </a:r>
          <a:endParaRPr kumimoji="1" lang="en-US" altLang="ja-JP" sz="800">
            <a:solidFill>
              <a:srgbClr val="FF0000"/>
            </a:solidFill>
          </a:endParaRPr>
        </a:p>
        <a:p>
          <a:pPr algn="l">
            <a:lnSpc>
              <a:spcPts val="900"/>
            </a:lnSpc>
          </a:pPr>
          <a:r>
            <a:rPr kumimoji="1" lang="ja-JP" altLang="en-US" sz="800">
              <a:solidFill>
                <a:srgbClr val="FF0000"/>
              </a:solidFill>
            </a:rPr>
            <a:t>①の詳細が不明のためお客様に確認予定</a:t>
          </a:r>
          <a:endParaRPr kumimoji="1" lang="en-US" altLang="ja-JP" sz="800">
            <a:solidFill>
              <a:srgbClr val="FF0000"/>
            </a:solidFill>
          </a:endParaRPr>
        </a:p>
        <a:p>
          <a:pPr algn="l">
            <a:lnSpc>
              <a:spcPts val="900"/>
            </a:lnSpc>
          </a:pPr>
          <a:r>
            <a:rPr kumimoji="1" lang="en-US" altLang="ja-JP" sz="800">
              <a:solidFill>
                <a:srgbClr val="FF0000"/>
              </a:solidFill>
            </a:rPr>
            <a:t>SmartEdit</a:t>
          </a:r>
          <a:r>
            <a:rPr kumimoji="1" lang="ja-JP" altLang="en-US" sz="800">
              <a:solidFill>
                <a:srgbClr val="FF0000"/>
              </a:solidFill>
            </a:rPr>
            <a:t>の運用についてを中期に変更</a:t>
          </a:r>
          <a:endParaRPr kumimoji="1" lang="en-US" altLang="ja-JP" sz="800">
            <a:solidFill>
              <a:srgbClr val="FF0000"/>
            </a:solidFill>
          </a:endParaRPr>
        </a:p>
      </xdr:txBody>
    </xdr:sp>
    <xdr:clientData/>
  </xdr:twoCellAnchor>
  <xdr:twoCellAnchor>
    <xdr:from>
      <xdr:col>85</xdr:col>
      <xdr:colOff>77258</xdr:colOff>
      <xdr:row>30</xdr:row>
      <xdr:rowOff>202142</xdr:rowOff>
    </xdr:from>
    <xdr:to>
      <xdr:col>95</xdr:col>
      <xdr:colOff>164748</xdr:colOff>
      <xdr:row>38</xdr:row>
      <xdr:rowOff>84667</xdr:rowOff>
    </xdr:to>
    <xdr:sp macro="" textlink="">
      <xdr:nvSpPr>
        <xdr:cNvPr id="44" name="正方形/長方形 43">
          <a:extLst>
            <a:ext uri="{FF2B5EF4-FFF2-40B4-BE49-F238E27FC236}">
              <a16:creationId xmlns:a16="http://schemas.microsoft.com/office/drawing/2014/main" id="{9C2480E4-3F68-477C-A989-BB4D045B3D68}"/>
            </a:ext>
          </a:extLst>
        </xdr:cNvPr>
        <xdr:cNvSpPr/>
      </xdr:nvSpPr>
      <xdr:spPr>
        <a:xfrm>
          <a:off x="15370175" y="5303309"/>
          <a:ext cx="1886656" cy="1385358"/>
        </a:xfrm>
        <a:prstGeom prst="rect">
          <a:avLst/>
        </a:prstGeom>
        <a:ln/>
      </xdr:spPr>
      <xdr:style>
        <a:lnRef idx="1">
          <a:schemeClr val="accent2"/>
        </a:lnRef>
        <a:fillRef idx="2">
          <a:schemeClr val="accent2"/>
        </a:fillRef>
        <a:effectRef idx="1">
          <a:schemeClr val="accent2"/>
        </a:effectRef>
        <a:fontRef idx="minor">
          <a:schemeClr val="dk1"/>
        </a:fontRef>
      </xdr:style>
      <xdr:txBody>
        <a:bodyPr vertOverflow="clip" horzOverflow="clip" lIns="36000" tIns="36000" rIns="36000" bIns="36000" rtlCol="0" anchor="t"/>
        <a:lstStyle/>
        <a:p>
          <a:pPr algn="l">
            <a:lnSpc>
              <a:spcPts val="900"/>
            </a:lnSpc>
          </a:pPr>
          <a:r>
            <a:rPr kumimoji="1" lang="ja-JP" altLang="en-US" sz="800">
              <a:solidFill>
                <a:sysClr val="windowText" lastClr="000000"/>
              </a:solidFill>
            </a:rPr>
            <a:t>検索のトリガは？</a:t>
          </a:r>
          <a:endParaRPr kumimoji="1" lang="en-US" altLang="ja-JP" sz="800">
            <a:solidFill>
              <a:sysClr val="windowText" lastClr="000000"/>
            </a:solidFill>
          </a:endParaRPr>
        </a:p>
        <a:p>
          <a:pPr algn="l">
            <a:lnSpc>
              <a:spcPts val="900"/>
            </a:lnSpc>
          </a:pPr>
          <a:r>
            <a:rPr kumimoji="1" lang="ja-JP" altLang="en-US" sz="800">
              <a:solidFill>
                <a:sysClr val="windowText" lastClr="000000"/>
              </a:solidFill>
            </a:rPr>
            <a:t>受付最新とはテーブルに受付日があると思うが</a:t>
          </a:r>
          <a:r>
            <a:rPr kumimoji="1" lang="en-US" altLang="ja-JP" sz="800">
              <a:solidFill>
                <a:sysClr val="windowText" lastClr="000000"/>
              </a:solidFill>
            </a:rPr>
            <a:t>ER</a:t>
          </a:r>
          <a:r>
            <a:rPr kumimoji="1" lang="ja-JP" altLang="en-US" sz="800">
              <a:solidFill>
                <a:sysClr val="windowText" lastClr="000000"/>
              </a:solidFill>
            </a:rPr>
            <a:t>図が無いと分からない。</a:t>
          </a:r>
          <a:endParaRPr kumimoji="1" lang="en-US" altLang="ja-JP" sz="800">
            <a:solidFill>
              <a:sysClr val="windowText" lastClr="000000"/>
            </a:solidFill>
          </a:endParaRPr>
        </a:p>
        <a:p>
          <a:pPr algn="l">
            <a:lnSpc>
              <a:spcPts val="900"/>
            </a:lnSpc>
          </a:pPr>
          <a:r>
            <a:rPr kumimoji="1" lang="en-US" altLang="ja-JP" sz="800">
              <a:solidFill>
                <a:sysClr val="windowText" lastClr="000000"/>
              </a:solidFill>
            </a:rPr>
            <a:t>2018</a:t>
          </a:r>
          <a:r>
            <a:rPr kumimoji="1" lang="ja-JP" altLang="en-US" sz="800">
              <a:solidFill>
                <a:sysClr val="windowText" lastClr="000000"/>
              </a:solidFill>
            </a:rPr>
            <a:t>年の採番ルールについては今回のシステムとは関係ないと思うので、その旨を記載してください</a:t>
          </a:r>
          <a:endParaRPr kumimoji="1" lang="en-US" altLang="ja-JP" sz="800">
            <a:solidFill>
              <a:sysClr val="windowText" lastClr="000000"/>
            </a:solidFill>
          </a:endParaRPr>
        </a:p>
        <a:p>
          <a:pPr algn="l">
            <a:lnSpc>
              <a:spcPts val="900"/>
            </a:lnSpc>
          </a:pPr>
          <a:endParaRPr kumimoji="1" lang="en-US" altLang="ja-JP" sz="800">
            <a:solidFill>
              <a:sysClr val="windowText" lastClr="000000"/>
            </a:solidFill>
          </a:endParaRPr>
        </a:p>
        <a:p>
          <a:pPr algn="l">
            <a:lnSpc>
              <a:spcPts val="900"/>
            </a:lnSpc>
          </a:pPr>
          <a:r>
            <a:rPr kumimoji="1" lang="en-US" altLang="ja-JP" sz="800">
              <a:solidFill>
                <a:srgbClr val="FF0000"/>
              </a:solidFill>
            </a:rPr>
            <a:t>5/12</a:t>
          </a:r>
          <a:r>
            <a:rPr kumimoji="1" lang="en-US" altLang="ja-JP" sz="800" baseline="0">
              <a:solidFill>
                <a:srgbClr val="FF0000"/>
              </a:solidFill>
            </a:rPr>
            <a:t> </a:t>
          </a:r>
          <a:r>
            <a:rPr kumimoji="1" lang="ja-JP" altLang="en-US" sz="800" baseline="0">
              <a:solidFill>
                <a:srgbClr val="FF0000"/>
              </a:solidFill>
            </a:rPr>
            <a:t>古竹追記</a:t>
          </a:r>
          <a:endParaRPr kumimoji="1" lang="en-US" altLang="ja-JP" sz="800" baseline="0">
            <a:solidFill>
              <a:srgbClr val="FF0000"/>
            </a:solidFill>
          </a:endParaRPr>
        </a:p>
        <a:p>
          <a:pPr algn="l">
            <a:lnSpc>
              <a:spcPts val="900"/>
            </a:lnSpc>
          </a:pPr>
          <a:r>
            <a:rPr kumimoji="1" lang="ja-JP" altLang="en-US" sz="800" baseline="0">
              <a:solidFill>
                <a:srgbClr val="FF0000"/>
              </a:solidFill>
            </a:rPr>
            <a:t>検索トリガについての記載を追加</a:t>
          </a:r>
          <a:endParaRPr kumimoji="1" lang="en-US" altLang="ja-JP" sz="800" baseline="0">
            <a:solidFill>
              <a:srgbClr val="FF0000"/>
            </a:solidFill>
          </a:endParaRPr>
        </a:p>
        <a:p>
          <a:pPr algn="l">
            <a:lnSpc>
              <a:spcPts val="900"/>
            </a:lnSpc>
          </a:pPr>
          <a:r>
            <a:rPr kumimoji="1" lang="en-US" altLang="ja-JP" sz="800" baseline="0">
              <a:solidFill>
                <a:srgbClr val="FF0000"/>
              </a:solidFill>
            </a:rPr>
            <a:t>ER</a:t>
          </a:r>
          <a:r>
            <a:rPr kumimoji="1" lang="ja-JP" altLang="en-US" sz="800" baseline="0">
              <a:solidFill>
                <a:srgbClr val="FF0000"/>
              </a:solidFill>
            </a:rPr>
            <a:t>図は連携依頼中</a:t>
          </a:r>
          <a:endParaRPr kumimoji="1" lang="en-US" altLang="ja-JP" sz="800" baseline="0">
            <a:solidFill>
              <a:srgbClr val="FF0000"/>
            </a:solidFill>
          </a:endParaRPr>
        </a:p>
        <a:p>
          <a:pPr algn="l">
            <a:lnSpc>
              <a:spcPts val="900"/>
            </a:lnSpc>
          </a:pPr>
          <a:r>
            <a:rPr kumimoji="1" lang="ja-JP" altLang="en-US" sz="800" baseline="0">
              <a:solidFill>
                <a:srgbClr val="FF0000"/>
              </a:solidFill>
            </a:rPr>
            <a:t>採番について無関係の記載を追加</a:t>
          </a:r>
          <a:endParaRPr kumimoji="1" lang="en-US" altLang="ja-JP" sz="800" baseline="0">
            <a:solidFill>
              <a:srgbClr val="FF0000"/>
            </a:solidFill>
          </a:endParaRPr>
        </a:p>
      </xdr:txBody>
    </xdr:sp>
    <xdr:clientData/>
  </xdr:twoCellAnchor>
  <xdr:twoCellAnchor>
    <xdr:from>
      <xdr:col>74</xdr:col>
      <xdr:colOff>116418</xdr:colOff>
      <xdr:row>39</xdr:row>
      <xdr:rowOff>158749</xdr:rowOff>
    </xdr:from>
    <xdr:to>
      <xdr:col>85</xdr:col>
      <xdr:colOff>38454</xdr:colOff>
      <xdr:row>45</xdr:row>
      <xdr:rowOff>84667</xdr:rowOff>
    </xdr:to>
    <xdr:sp macro="" textlink="">
      <xdr:nvSpPr>
        <xdr:cNvPr id="45" name="正方形/長方形 44">
          <a:extLst>
            <a:ext uri="{FF2B5EF4-FFF2-40B4-BE49-F238E27FC236}">
              <a16:creationId xmlns:a16="http://schemas.microsoft.com/office/drawing/2014/main" id="{61429479-E4D1-40BA-BA0C-79207EB74CCA}"/>
            </a:ext>
          </a:extLst>
        </xdr:cNvPr>
        <xdr:cNvSpPr/>
      </xdr:nvSpPr>
      <xdr:spPr>
        <a:xfrm>
          <a:off x="13430251" y="6953249"/>
          <a:ext cx="1901120" cy="1068918"/>
        </a:xfrm>
        <a:prstGeom prst="rect">
          <a:avLst/>
        </a:prstGeom>
        <a:ln/>
      </xdr:spPr>
      <xdr:style>
        <a:lnRef idx="1">
          <a:schemeClr val="accent2"/>
        </a:lnRef>
        <a:fillRef idx="2">
          <a:schemeClr val="accent2"/>
        </a:fillRef>
        <a:effectRef idx="1">
          <a:schemeClr val="accent2"/>
        </a:effectRef>
        <a:fontRef idx="minor">
          <a:schemeClr val="dk1"/>
        </a:fontRef>
      </xdr:style>
      <xdr:txBody>
        <a:bodyPr vertOverflow="clip" horzOverflow="clip" lIns="36000" tIns="36000" rIns="36000" bIns="36000" rtlCol="0" anchor="t"/>
        <a:lstStyle/>
        <a:p>
          <a:pPr algn="l">
            <a:lnSpc>
              <a:spcPts val="900"/>
            </a:lnSpc>
          </a:pPr>
          <a:r>
            <a:rPr kumimoji="1" lang="ja-JP" altLang="en-US" sz="800">
              <a:solidFill>
                <a:sysClr val="windowText" lastClr="000000"/>
              </a:solidFill>
            </a:rPr>
            <a:t>画面項目に記載しているのであればここに細かい定義の記載不要。</a:t>
          </a:r>
          <a:endParaRPr kumimoji="1" lang="en-US" altLang="ja-JP" sz="800">
            <a:solidFill>
              <a:sysClr val="windowText" lastClr="000000"/>
            </a:solidFill>
          </a:endParaRPr>
        </a:p>
        <a:p>
          <a:pPr algn="l">
            <a:lnSpc>
              <a:spcPts val="900"/>
            </a:lnSpc>
          </a:pPr>
          <a:r>
            <a:rPr kumimoji="1" lang="ja-JP" altLang="en-US" sz="800">
              <a:solidFill>
                <a:sysClr val="windowText" lastClr="000000"/>
              </a:solidFill>
            </a:rPr>
            <a:t>「処理中」の場合は</a:t>
          </a:r>
          <a:r>
            <a:rPr kumimoji="1" lang="en-US" altLang="ja-JP" sz="800">
              <a:solidFill>
                <a:sysClr val="windowText" lastClr="000000"/>
              </a:solidFill>
            </a:rPr>
            <a:t>NULL</a:t>
          </a:r>
          <a:r>
            <a:rPr kumimoji="1" lang="ja-JP" altLang="en-US" sz="800">
              <a:solidFill>
                <a:sysClr val="windowText" lastClr="000000"/>
              </a:solidFill>
            </a:rPr>
            <a:t>なども画面項目に記載すること</a:t>
          </a:r>
          <a:endParaRPr kumimoji="1" lang="en-US" altLang="ja-JP" sz="800">
            <a:solidFill>
              <a:sysClr val="windowText" lastClr="000000"/>
            </a:solidFill>
          </a:endParaRPr>
        </a:p>
        <a:p>
          <a:pPr algn="l">
            <a:lnSpc>
              <a:spcPts val="900"/>
            </a:lnSpc>
          </a:pPr>
          <a:endParaRPr kumimoji="1" lang="en-US" altLang="ja-JP" sz="800">
            <a:solidFill>
              <a:sysClr val="windowText" lastClr="000000"/>
            </a:solidFill>
          </a:endParaRPr>
        </a:p>
        <a:p>
          <a:pPr algn="l">
            <a:lnSpc>
              <a:spcPts val="900"/>
            </a:lnSpc>
          </a:pPr>
          <a:r>
            <a:rPr kumimoji="1" lang="en-US" altLang="ja-JP" sz="800">
              <a:solidFill>
                <a:srgbClr val="FF0000"/>
              </a:solidFill>
            </a:rPr>
            <a:t>5/12</a:t>
          </a:r>
          <a:r>
            <a:rPr kumimoji="1" lang="en-US" altLang="ja-JP" sz="800" baseline="0">
              <a:solidFill>
                <a:srgbClr val="FF0000"/>
              </a:solidFill>
            </a:rPr>
            <a:t> </a:t>
          </a:r>
          <a:r>
            <a:rPr kumimoji="1" lang="ja-JP" altLang="en-US" sz="800" baseline="0">
              <a:solidFill>
                <a:srgbClr val="FF0000"/>
              </a:solidFill>
            </a:rPr>
            <a:t>古竹追記</a:t>
          </a:r>
          <a:endParaRPr kumimoji="1" lang="en-US" altLang="ja-JP" sz="800" baseline="0">
            <a:solidFill>
              <a:srgbClr val="FF0000"/>
            </a:solidFill>
          </a:endParaRPr>
        </a:p>
        <a:p>
          <a:pPr algn="l">
            <a:lnSpc>
              <a:spcPts val="900"/>
            </a:lnSpc>
          </a:pPr>
          <a:r>
            <a:rPr kumimoji="1" lang="ja-JP" altLang="en-US" sz="800" baseline="0">
              <a:solidFill>
                <a:srgbClr val="FF0000"/>
              </a:solidFill>
            </a:rPr>
            <a:t>有効期限日蘭の一部を</a:t>
          </a:r>
          <a:r>
            <a:rPr kumimoji="1" lang="en-US" altLang="ja-JP" sz="800" baseline="0">
              <a:solidFill>
                <a:srgbClr val="FF0000"/>
              </a:solidFill>
            </a:rPr>
            <a:t>NULL</a:t>
          </a:r>
          <a:r>
            <a:rPr kumimoji="1" lang="ja-JP" altLang="en-US" sz="800" baseline="0">
              <a:solidFill>
                <a:srgbClr val="FF0000"/>
              </a:solidFill>
            </a:rPr>
            <a:t>に変更</a:t>
          </a:r>
          <a:endParaRPr kumimoji="1" lang="en-US" altLang="ja-JP" sz="800" baseline="0">
            <a:solidFill>
              <a:srgbClr val="FF0000"/>
            </a:solidFill>
          </a:endParaRPr>
        </a:p>
        <a:p>
          <a:pPr algn="l">
            <a:lnSpc>
              <a:spcPts val="900"/>
            </a:lnSpc>
          </a:pPr>
          <a:r>
            <a:rPr kumimoji="1" lang="ja-JP" altLang="en-US" sz="800" baseline="0">
              <a:solidFill>
                <a:srgbClr val="FF0000"/>
              </a:solidFill>
            </a:rPr>
            <a:t>細かい定義の記載を削除</a:t>
          </a:r>
          <a:endParaRPr kumimoji="1" lang="en-US" altLang="ja-JP" sz="800" baseline="0">
            <a:solidFill>
              <a:srgbClr val="FF0000"/>
            </a:solidFill>
          </a:endParaRPr>
        </a:p>
        <a:p>
          <a:pPr algn="l">
            <a:lnSpc>
              <a:spcPts val="900"/>
            </a:lnSpc>
          </a:pPr>
          <a:endParaRPr kumimoji="1" lang="en-US" altLang="ja-JP" sz="800">
            <a:solidFill>
              <a:sysClr val="windowText" lastClr="000000"/>
            </a:solidFill>
          </a:endParaRPr>
        </a:p>
      </xdr:txBody>
    </xdr:sp>
    <xdr:clientData/>
  </xdr:twoCellAnchor>
  <xdr:twoCellAnchor>
    <xdr:from>
      <xdr:col>81</xdr:col>
      <xdr:colOff>0</xdr:colOff>
      <xdr:row>57</xdr:row>
      <xdr:rowOff>21167</xdr:rowOff>
    </xdr:from>
    <xdr:to>
      <xdr:col>89</xdr:col>
      <xdr:colOff>0</xdr:colOff>
      <xdr:row>60</xdr:row>
      <xdr:rowOff>10583</xdr:rowOff>
    </xdr:to>
    <xdr:sp macro="" textlink="">
      <xdr:nvSpPr>
        <xdr:cNvPr id="46" name="正方形/長方形 45">
          <a:extLst>
            <a:ext uri="{FF2B5EF4-FFF2-40B4-BE49-F238E27FC236}">
              <a16:creationId xmlns:a16="http://schemas.microsoft.com/office/drawing/2014/main" id="{DE4520C7-28D8-460A-B5C0-A81DCB0725E8}"/>
            </a:ext>
          </a:extLst>
        </xdr:cNvPr>
        <xdr:cNvSpPr/>
      </xdr:nvSpPr>
      <xdr:spPr>
        <a:xfrm>
          <a:off x="14573250" y="10244667"/>
          <a:ext cx="1439333" cy="560916"/>
        </a:xfrm>
        <a:prstGeom prst="rect">
          <a:avLst/>
        </a:prstGeom>
        <a:ln/>
      </xdr:spPr>
      <xdr:style>
        <a:lnRef idx="1">
          <a:schemeClr val="accent2"/>
        </a:lnRef>
        <a:fillRef idx="2">
          <a:schemeClr val="accent2"/>
        </a:fillRef>
        <a:effectRef idx="1">
          <a:schemeClr val="accent2"/>
        </a:effectRef>
        <a:fontRef idx="minor">
          <a:schemeClr val="dk1"/>
        </a:fontRef>
      </xdr:style>
      <xdr:txBody>
        <a:bodyPr vertOverflow="clip" horzOverflow="clip" lIns="36000" tIns="36000" rIns="36000" bIns="36000" rtlCol="0" anchor="t"/>
        <a:lstStyle/>
        <a:p>
          <a:pPr algn="l">
            <a:lnSpc>
              <a:spcPts val="900"/>
            </a:lnSpc>
          </a:pPr>
          <a:r>
            <a:rPr kumimoji="1" lang="ja-JP" altLang="en-US" sz="800">
              <a:solidFill>
                <a:sysClr val="windowText" lastClr="000000"/>
              </a:solidFill>
            </a:rPr>
            <a:t>申請ありなしはどう判定する？</a:t>
          </a:r>
          <a:endParaRPr kumimoji="1" lang="en-US" altLang="ja-JP" sz="800">
            <a:solidFill>
              <a:sysClr val="windowText" lastClr="000000"/>
            </a:solidFill>
          </a:endParaRPr>
        </a:p>
        <a:p>
          <a:pPr algn="l">
            <a:lnSpc>
              <a:spcPts val="900"/>
            </a:lnSpc>
          </a:pPr>
          <a:endParaRPr kumimoji="1" lang="en-US" altLang="ja-JP" sz="800">
            <a:solidFill>
              <a:sysClr val="windowText" lastClr="000000"/>
            </a:solidFill>
          </a:endParaRPr>
        </a:p>
        <a:p>
          <a:pPr algn="l">
            <a:lnSpc>
              <a:spcPts val="900"/>
            </a:lnSpc>
          </a:pPr>
          <a:r>
            <a:rPr kumimoji="1" lang="en-US" altLang="ja-JP" sz="800">
              <a:solidFill>
                <a:srgbClr val="FF0000"/>
              </a:solidFill>
            </a:rPr>
            <a:t>5/12 </a:t>
          </a:r>
          <a:r>
            <a:rPr kumimoji="1" lang="ja-JP" altLang="en-US" sz="800">
              <a:solidFill>
                <a:srgbClr val="FF0000"/>
              </a:solidFill>
            </a:rPr>
            <a:t>古竹追記</a:t>
          </a:r>
          <a:endParaRPr kumimoji="1" lang="en-US" altLang="ja-JP" sz="800">
            <a:solidFill>
              <a:srgbClr val="FF0000"/>
            </a:solidFill>
          </a:endParaRPr>
        </a:p>
        <a:p>
          <a:pPr algn="l">
            <a:lnSpc>
              <a:spcPts val="900"/>
            </a:lnSpc>
          </a:pPr>
          <a:r>
            <a:rPr kumimoji="1" lang="ja-JP" altLang="en-US" sz="800">
              <a:solidFill>
                <a:srgbClr val="FF0000"/>
              </a:solidFill>
            </a:rPr>
            <a:t>導出元を追記しました。</a:t>
          </a:r>
          <a:endParaRPr kumimoji="1" lang="en-US" altLang="ja-JP" sz="800">
            <a:solidFill>
              <a:srgbClr val="FF0000"/>
            </a:solidFill>
          </a:endParaRPr>
        </a:p>
        <a:p>
          <a:pPr algn="l">
            <a:lnSpc>
              <a:spcPts val="900"/>
            </a:lnSpc>
          </a:pPr>
          <a:endParaRPr kumimoji="1" lang="ja-JP" altLang="en-US" sz="800">
            <a:solidFill>
              <a:sysClr val="windowText" lastClr="000000"/>
            </a:solidFill>
          </a:endParaRP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38</xdr:col>
      <xdr:colOff>28918</xdr:colOff>
      <xdr:row>19</xdr:row>
      <xdr:rowOff>637836</xdr:rowOff>
    </xdr:from>
    <xdr:to>
      <xdr:col>41</xdr:col>
      <xdr:colOff>71440</xdr:colOff>
      <xdr:row>19</xdr:row>
      <xdr:rowOff>957150</xdr:rowOff>
    </xdr:to>
    <xdr:grpSp>
      <xdr:nvGrpSpPr>
        <xdr:cNvPr id="2" name="グループ化 1">
          <a:extLst>
            <a:ext uri="{FF2B5EF4-FFF2-40B4-BE49-F238E27FC236}">
              <a16:creationId xmlns:a16="http://schemas.microsoft.com/office/drawing/2014/main" id="{DECAFAD5-3809-48BF-8ECA-5544A1EE8B2E}"/>
            </a:ext>
          </a:extLst>
        </xdr:cNvPr>
        <xdr:cNvGrpSpPr/>
      </xdr:nvGrpSpPr>
      <xdr:grpSpPr>
        <a:xfrm>
          <a:off x="7098056" y="7701417"/>
          <a:ext cx="578303" cy="319314"/>
          <a:chOff x="8931542" y="11352484"/>
          <a:chExt cx="668543" cy="278702"/>
        </a:xfrm>
      </xdr:grpSpPr>
      <xdr:pic>
        <xdr:nvPicPr>
          <xdr:cNvPr id="3" name="図 2">
            <a:extLst>
              <a:ext uri="{FF2B5EF4-FFF2-40B4-BE49-F238E27FC236}">
                <a16:creationId xmlns:a16="http://schemas.microsoft.com/office/drawing/2014/main" id="{9956B9AA-3601-1CB9-811C-AFED339C695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8931550" y="11352484"/>
            <a:ext cx="660534" cy="255557"/>
          </a:xfrm>
          <a:prstGeom prst="rect">
            <a:avLst/>
          </a:prstGeom>
          <a:solidFill>
            <a:srgbClr val="FF0000"/>
          </a:solidFill>
        </xdr:spPr>
      </xdr:pic>
      <xdr:sp macro="" textlink="">
        <xdr:nvSpPr>
          <xdr:cNvPr id="4" name="正方形/長方形 3">
            <a:extLst>
              <a:ext uri="{FF2B5EF4-FFF2-40B4-BE49-F238E27FC236}">
                <a16:creationId xmlns:a16="http://schemas.microsoft.com/office/drawing/2014/main" id="{36B61F46-26C8-C7D2-FBE1-268CB82D152C}"/>
              </a:ext>
            </a:extLst>
          </xdr:cNvPr>
          <xdr:cNvSpPr/>
        </xdr:nvSpPr>
        <xdr:spPr>
          <a:xfrm>
            <a:off x="8931542" y="11371527"/>
            <a:ext cx="668543" cy="259659"/>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900"/>
              <a:t>Download</a:t>
            </a:r>
            <a:endParaRPr kumimoji="1" lang="ja-JP" altLang="en-US" sz="900"/>
          </a:p>
        </xdr:txBody>
      </xdr:sp>
    </xdr:grpSp>
    <xdr:clientData/>
  </xdr:twoCellAnchor>
  <xdr:twoCellAnchor>
    <xdr:from>
      <xdr:col>18</xdr:col>
      <xdr:colOff>46199</xdr:colOff>
      <xdr:row>34</xdr:row>
      <xdr:rowOff>345590</xdr:rowOff>
    </xdr:from>
    <xdr:to>
      <xdr:col>21</xdr:col>
      <xdr:colOff>113295</xdr:colOff>
      <xdr:row>34</xdr:row>
      <xdr:rowOff>620221</xdr:rowOff>
    </xdr:to>
    <xdr:grpSp>
      <xdr:nvGrpSpPr>
        <xdr:cNvPr id="5" name="グループ化 4">
          <a:extLst>
            <a:ext uri="{FF2B5EF4-FFF2-40B4-BE49-F238E27FC236}">
              <a16:creationId xmlns:a16="http://schemas.microsoft.com/office/drawing/2014/main" id="{C849AEE8-8ADD-48F1-B615-29C0F485DC44}"/>
            </a:ext>
          </a:extLst>
        </xdr:cNvPr>
        <xdr:cNvGrpSpPr/>
      </xdr:nvGrpSpPr>
      <xdr:grpSpPr>
        <a:xfrm>
          <a:off x="3549812" y="14823590"/>
          <a:ext cx="599702" cy="271456"/>
          <a:chOff x="8931547" y="11352484"/>
          <a:chExt cx="668543" cy="278708"/>
        </a:xfrm>
      </xdr:grpSpPr>
      <xdr:pic>
        <xdr:nvPicPr>
          <xdr:cNvPr id="6" name="図 5">
            <a:extLst>
              <a:ext uri="{FF2B5EF4-FFF2-40B4-BE49-F238E27FC236}">
                <a16:creationId xmlns:a16="http://schemas.microsoft.com/office/drawing/2014/main" id="{C327D647-6CE5-45E5-7EEA-45578E2FD745}"/>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8931550" y="11352484"/>
            <a:ext cx="660534" cy="255557"/>
          </a:xfrm>
          <a:prstGeom prst="rect">
            <a:avLst/>
          </a:prstGeom>
          <a:solidFill>
            <a:srgbClr val="FF0000"/>
          </a:solidFill>
        </xdr:spPr>
      </xdr:pic>
      <xdr:sp macro="" textlink="">
        <xdr:nvSpPr>
          <xdr:cNvPr id="7" name="正方形/長方形 6">
            <a:extLst>
              <a:ext uri="{FF2B5EF4-FFF2-40B4-BE49-F238E27FC236}">
                <a16:creationId xmlns:a16="http://schemas.microsoft.com/office/drawing/2014/main" id="{31E28D5F-DD4F-3343-512A-341FAD24D790}"/>
              </a:ext>
            </a:extLst>
          </xdr:cNvPr>
          <xdr:cNvSpPr/>
        </xdr:nvSpPr>
        <xdr:spPr>
          <a:xfrm>
            <a:off x="8931547" y="11371532"/>
            <a:ext cx="668543" cy="25966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900"/>
              <a:t>Download</a:t>
            </a:r>
            <a:endParaRPr kumimoji="1" lang="ja-JP" altLang="en-US" sz="900"/>
          </a:p>
        </xdr:txBody>
      </xdr:sp>
    </xdr:grpSp>
    <xdr:clientData/>
  </xdr:twoCellAnchor>
  <xdr:twoCellAnchor>
    <xdr:from>
      <xdr:col>37</xdr:col>
      <xdr:colOff>95250</xdr:colOff>
      <xdr:row>20</xdr:row>
      <xdr:rowOff>54429</xdr:rowOff>
    </xdr:from>
    <xdr:to>
      <xdr:col>41</xdr:col>
      <xdr:colOff>6550</xdr:colOff>
      <xdr:row>20</xdr:row>
      <xdr:rowOff>256731</xdr:rowOff>
    </xdr:to>
    <xdr:sp macro="" textlink="">
      <xdr:nvSpPr>
        <xdr:cNvPr id="9" name="正方形/長方形 8">
          <a:extLst>
            <a:ext uri="{FF2B5EF4-FFF2-40B4-BE49-F238E27FC236}">
              <a16:creationId xmlns:a16="http://schemas.microsoft.com/office/drawing/2014/main" id="{671980EF-E650-4FB4-A370-5226F4040192}"/>
            </a:ext>
          </a:extLst>
        </xdr:cNvPr>
        <xdr:cNvSpPr/>
      </xdr:nvSpPr>
      <xdr:spPr bwMode="auto">
        <a:xfrm>
          <a:off x="11423650" y="10074729"/>
          <a:ext cx="622500" cy="202302"/>
        </a:xfrm>
        <a:prstGeom prst="rect">
          <a:avLst/>
        </a:prstGeom>
        <a:solidFill>
          <a:srgbClr val="002879"/>
        </a:solidFill>
        <a:ln w="6350" cap="flat" cmpd="sng" algn="ctr">
          <a:solidFill>
            <a:schemeClr val="bg1">
              <a:lumMod val="75000"/>
            </a:schemeClr>
          </a:solidFill>
          <a:prstDash val="solid"/>
          <a:round/>
          <a:headEnd type="none" w="med" len="med"/>
          <a:tailEnd type="none" w="med" len="med"/>
        </a:ln>
        <a:effectLst/>
      </xdr:spPr>
      <xdr:txBody>
        <a:bodyPr vert="horz" wrap="square" lIns="91440" tIns="45720" rIns="91440" bIns="45720" numCol="1" rtlCol="0" anchor="ctr" anchorCtr="0" compatLnSpc="1">
          <a:prstTxWarp prst="textNoShape">
            <a:avLst/>
          </a:prstTxWarp>
        </a:bodyPr>
        <a:lstStyle>
          <a:defPPr>
            <a:defRPr lang="ja-JP"/>
          </a:defPPr>
          <a:lvl1pPr algn="l" rtl="0" eaLnBrk="0" fontAlgn="base" hangingPunct="0">
            <a:spcBef>
              <a:spcPct val="0"/>
            </a:spcBef>
            <a:spcAft>
              <a:spcPct val="0"/>
            </a:spcAft>
            <a:defRPr kumimoji="1" sz="1400" kern="1200">
              <a:solidFill>
                <a:schemeClr val="tx1"/>
              </a:solidFill>
              <a:latin typeface="メイリオ" panose="020B0604030504040204" pitchFamily="50" charset="-128"/>
              <a:ea typeface="メイリオ" panose="020B0604030504040204" pitchFamily="50" charset="-128"/>
              <a:cs typeface="メイリオ" panose="020B0604030504040204" pitchFamily="50" charset="-128"/>
            </a:defRPr>
          </a:lvl1pPr>
          <a:lvl2pPr marL="457200" algn="l" rtl="0" eaLnBrk="0" fontAlgn="base" hangingPunct="0">
            <a:spcBef>
              <a:spcPct val="0"/>
            </a:spcBef>
            <a:spcAft>
              <a:spcPct val="0"/>
            </a:spcAft>
            <a:defRPr kumimoji="1" sz="1400" kern="1200">
              <a:solidFill>
                <a:schemeClr val="tx1"/>
              </a:solidFill>
              <a:latin typeface="メイリオ" panose="020B0604030504040204" pitchFamily="50" charset="-128"/>
              <a:ea typeface="メイリオ" panose="020B0604030504040204" pitchFamily="50" charset="-128"/>
              <a:cs typeface="メイリオ" panose="020B0604030504040204" pitchFamily="50" charset="-128"/>
            </a:defRPr>
          </a:lvl2pPr>
          <a:lvl3pPr marL="914400" algn="l" rtl="0" eaLnBrk="0" fontAlgn="base" hangingPunct="0">
            <a:spcBef>
              <a:spcPct val="0"/>
            </a:spcBef>
            <a:spcAft>
              <a:spcPct val="0"/>
            </a:spcAft>
            <a:defRPr kumimoji="1" sz="1400" kern="1200">
              <a:solidFill>
                <a:schemeClr val="tx1"/>
              </a:solidFill>
              <a:latin typeface="メイリオ" panose="020B0604030504040204" pitchFamily="50" charset="-128"/>
              <a:ea typeface="メイリオ" panose="020B0604030504040204" pitchFamily="50" charset="-128"/>
              <a:cs typeface="メイリオ" panose="020B0604030504040204" pitchFamily="50" charset="-128"/>
            </a:defRPr>
          </a:lvl3pPr>
          <a:lvl4pPr marL="1371600" algn="l" rtl="0" eaLnBrk="0" fontAlgn="base" hangingPunct="0">
            <a:spcBef>
              <a:spcPct val="0"/>
            </a:spcBef>
            <a:spcAft>
              <a:spcPct val="0"/>
            </a:spcAft>
            <a:defRPr kumimoji="1" sz="1400" kern="1200">
              <a:solidFill>
                <a:schemeClr val="tx1"/>
              </a:solidFill>
              <a:latin typeface="メイリオ" panose="020B0604030504040204" pitchFamily="50" charset="-128"/>
              <a:ea typeface="メイリオ" panose="020B0604030504040204" pitchFamily="50" charset="-128"/>
              <a:cs typeface="メイリオ" panose="020B0604030504040204" pitchFamily="50" charset="-128"/>
            </a:defRPr>
          </a:lvl4pPr>
          <a:lvl5pPr marL="1828800" algn="l" rtl="0" eaLnBrk="0" fontAlgn="base" hangingPunct="0">
            <a:spcBef>
              <a:spcPct val="0"/>
            </a:spcBef>
            <a:spcAft>
              <a:spcPct val="0"/>
            </a:spcAft>
            <a:defRPr kumimoji="1" sz="1400" kern="1200">
              <a:solidFill>
                <a:schemeClr val="tx1"/>
              </a:solidFill>
              <a:latin typeface="メイリオ" panose="020B0604030504040204" pitchFamily="50" charset="-128"/>
              <a:ea typeface="メイリオ" panose="020B0604030504040204" pitchFamily="50" charset="-128"/>
              <a:cs typeface="メイリオ" panose="020B0604030504040204" pitchFamily="50" charset="-128"/>
            </a:defRPr>
          </a:lvl5pPr>
          <a:lvl6pPr marL="2286000" algn="l" defTabSz="914400" rtl="0" eaLnBrk="1" latinLnBrk="0" hangingPunct="1">
            <a:defRPr kumimoji="1" sz="1400" kern="1200">
              <a:solidFill>
                <a:schemeClr val="tx1"/>
              </a:solidFill>
              <a:latin typeface="メイリオ" panose="020B0604030504040204" pitchFamily="50" charset="-128"/>
              <a:ea typeface="メイリオ" panose="020B0604030504040204" pitchFamily="50" charset="-128"/>
              <a:cs typeface="メイリオ" panose="020B0604030504040204" pitchFamily="50" charset="-128"/>
            </a:defRPr>
          </a:lvl6pPr>
          <a:lvl7pPr marL="2743200" algn="l" defTabSz="914400" rtl="0" eaLnBrk="1" latinLnBrk="0" hangingPunct="1">
            <a:defRPr kumimoji="1" sz="1400" kern="1200">
              <a:solidFill>
                <a:schemeClr val="tx1"/>
              </a:solidFill>
              <a:latin typeface="メイリオ" panose="020B0604030504040204" pitchFamily="50" charset="-128"/>
              <a:ea typeface="メイリオ" panose="020B0604030504040204" pitchFamily="50" charset="-128"/>
              <a:cs typeface="メイリオ" panose="020B0604030504040204" pitchFamily="50" charset="-128"/>
            </a:defRPr>
          </a:lvl7pPr>
          <a:lvl8pPr marL="3200400" algn="l" defTabSz="914400" rtl="0" eaLnBrk="1" latinLnBrk="0" hangingPunct="1">
            <a:defRPr kumimoji="1" sz="1400" kern="1200">
              <a:solidFill>
                <a:schemeClr val="tx1"/>
              </a:solidFill>
              <a:latin typeface="メイリオ" panose="020B0604030504040204" pitchFamily="50" charset="-128"/>
              <a:ea typeface="メイリオ" panose="020B0604030504040204" pitchFamily="50" charset="-128"/>
              <a:cs typeface="メイリオ" panose="020B0604030504040204" pitchFamily="50" charset="-128"/>
            </a:defRPr>
          </a:lvl8pPr>
          <a:lvl9pPr marL="3657600" algn="l" defTabSz="914400" rtl="0" eaLnBrk="1" latinLnBrk="0" hangingPunct="1">
            <a:defRPr kumimoji="1" sz="1400" kern="1200">
              <a:solidFill>
                <a:schemeClr val="tx1"/>
              </a:solidFill>
              <a:latin typeface="メイリオ" panose="020B0604030504040204" pitchFamily="50" charset="-128"/>
              <a:ea typeface="メイリオ" panose="020B0604030504040204" pitchFamily="50" charset="-128"/>
              <a:cs typeface="メイリオ" panose="020B0604030504040204" pitchFamily="50" charset="-128"/>
            </a:defRPr>
          </a:lvl9pPr>
        </a:lstStyle>
        <a:p>
          <a:pPr marL="0" marR="0" indent="0" algn="ctr" defTabSz="914400" rtl="0" eaLnBrk="1" fontAlgn="auto" latinLnBrk="0" hangingPunct="1">
            <a:lnSpc>
              <a:spcPct val="100000"/>
            </a:lnSpc>
            <a:spcBef>
              <a:spcPts val="0"/>
            </a:spcBef>
            <a:spcAft>
              <a:spcPts val="0"/>
            </a:spcAft>
            <a:buClrTx/>
            <a:buSzTx/>
            <a:buFontTx/>
            <a:buNone/>
            <a:tabLst/>
            <a:defRPr/>
          </a:pPr>
          <a:r>
            <a:rPr kumimoji="1" lang="en-US" altLang="ja-JP" sz="500" b="1" i="0" u="none" strike="noStrike" kern="1200" cap="none" normalizeH="0" baseline="0">
              <a:ln>
                <a:noFill/>
              </a:ln>
              <a:solidFill>
                <a:schemeClr val="bg1"/>
              </a:solidFill>
              <a:effectLst/>
              <a:latin typeface="メイリオ" panose="020B0604030504040204" pitchFamily="50" charset="-128"/>
              <a:ea typeface="メイリオ" panose="020B0604030504040204" pitchFamily="50" charset="-128"/>
              <a:cs typeface="メイリオ" panose="020B0604030504040204" pitchFamily="50" charset="-128"/>
            </a:rPr>
            <a:t>CSV Download</a:t>
          </a:r>
          <a:endParaRPr kumimoji="1" lang="ja-JP" altLang="ja-JP" sz="500" b="1" i="0" u="none" strike="noStrike" kern="1200" cap="none" normalizeH="0" baseline="0">
            <a:ln>
              <a:noFill/>
            </a:ln>
            <a:solidFill>
              <a:schemeClr val="bg1"/>
            </a:solidFill>
            <a:effectLst/>
            <a:latin typeface="メイリオ" panose="020B0604030504040204" pitchFamily="50" charset="-128"/>
            <a:ea typeface="メイリオ" panose="020B0604030504040204" pitchFamily="50" charset="-128"/>
            <a:cs typeface="メイリオ" panose="020B0604030504040204" pitchFamily="50" charset="-128"/>
          </a:endParaRPr>
        </a:p>
      </xdr:txBody>
    </xdr:sp>
    <xdr:clientData/>
  </xdr:twoCellAnchor>
  <xdr:twoCellAnchor>
    <xdr:from>
      <xdr:col>17</xdr:col>
      <xdr:colOff>136296</xdr:colOff>
      <xdr:row>35</xdr:row>
      <xdr:rowOff>221340</xdr:rowOff>
    </xdr:from>
    <xdr:to>
      <xdr:col>20</xdr:col>
      <xdr:colOff>154781</xdr:colOff>
      <xdr:row>35</xdr:row>
      <xdr:rowOff>417292</xdr:rowOff>
    </xdr:to>
    <xdr:sp macro="" textlink="">
      <xdr:nvSpPr>
        <xdr:cNvPr id="10" name="正方形/長方形 9">
          <a:extLst>
            <a:ext uri="{FF2B5EF4-FFF2-40B4-BE49-F238E27FC236}">
              <a16:creationId xmlns:a16="http://schemas.microsoft.com/office/drawing/2014/main" id="{887DF74A-4BF2-4F35-AC77-16294A21C249}"/>
            </a:ext>
          </a:extLst>
        </xdr:cNvPr>
        <xdr:cNvSpPr/>
      </xdr:nvSpPr>
      <xdr:spPr bwMode="auto">
        <a:xfrm>
          <a:off x="3458140" y="15473246"/>
          <a:ext cx="554266" cy="195952"/>
        </a:xfrm>
        <a:prstGeom prst="rect">
          <a:avLst/>
        </a:prstGeom>
        <a:solidFill>
          <a:srgbClr val="002879"/>
        </a:solidFill>
        <a:ln w="6350" cap="flat" cmpd="sng" algn="ctr">
          <a:solidFill>
            <a:schemeClr val="bg1">
              <a:lumMod val="75000"/>
            </a:schemeClr>
          </a:solidFill>
          <a:prstDash val="solid"/>
          <a:round/>
          <a:headEnd type="none" w="med" len="med"/>
          <a:tailEnd type="none" w="med" len="med"/>
        </a:ln>
        <a:effectLst/>
      </xdr:spPr>
      <xdr:txBody>
        <a:bodyPr vert="horz" wrap="square" lIns="91440" tIns="45720" rIns="91440" bIns="45720" numCol="1" rtlCol="0" anchor="ctr" anchorCtr="0" compatLnSpc="1">
          <a:prstTxWarp prst="textNoShape">
            <a:avLst/>
          </a:prstTxWarp>
        </a:bodyPr>
        <a:lstStyle>
          <a:defPPr>
            <a:defRPr lang="ja-JP"/>
          </a:defPPr>
          <a:lvl1pPr algn="l" rtl="0" eaLnBrk="0" fontAlgn="base" hangingPunct="0">
            <a:spcBef>
              <a:spcPct val="0"/>
            </a:spcBef>
            <a:spcAft>
              <a:spcPct val="0"/>
            </a:spcAft>
            <a:defRPr kumimoji="1" sz="1400" kern="1200">
              <a:solidFill>
                <a:schemeClr val="tx1"/>
              </a:solidFill>
              <a:latin typeface="メイリオ" panose="020B0604030504040204" pitchFamily="50" charset="-128"/>
              <a:ea typeface="メイリオ" panose="020B0604030504040204" pitchFamily="50" charset="-128"/>
              <a:cs typeface="メイリオ" panose="020B0604030504040204" pitchFamily="50" charset="-128"/>
            </a:defRPr>
          </a:lvl1pPr>
          <a:lvl2pPr marL="457200" algn="l" rtl="0" eaLnBrk="0" fontAlgn="base" hangingPunct="0">
            <a:spcBef>
              <a:spcPct val="0"/>
            </a:spcBef>
            <a:spcAft>
              <a:spcPct val="0"/>
            </a:spcAft>
            <a:defRPr kumimoji="1" sz="1400" kern="1200">
              <a:solidFill>
                <a:schemeClr val="tx1"/>
              </a:solidFill>
              <a:latin typeface="メイリオ" panose="020B0604030504040204" pitchFamily="50" charset="-128"/>
              <a:ea typeface="メイリオ" panose="020B0604030504040204" pitchFamily="50" charset="-128"/>
              <a:cs typeface="メイリオ" panose="020B0604030504040204" pitchFamily="50" charset="-128"/>
            </a:defRPr>
          </a:lvl2pPr>
          <a:lvl3pPr marL="914400" algn="l" rtl="0" eaLnBrk="0" fontAlgn="base" hangingPunct="0">
            <a:spcBef>
              <a:spcPct val="0"/>
            </a:spcBef>
            <a:spcAft>
              <a:spcPct val="0"/>
            </a:spcAft>
            <a:defRPr kumimoji="1" sz="1400" kern="1200">
              <a:solidFill>
                <a:schemeClr val="tx1"/>
              </a:solidFill>
              <a:latin typeface="メイリオ" panose="020B0604030504040204" pitchFamily="50" charset="-128"/>
              <a:ea typeface="メイリオ" panose="020B0604030504040204" pitchFamily="50" charset="-128"/>
              <a:cs typeface="メイリオ" panose="020B0604030504040204" pitchFamily="50" charset="-128"/>
            </a:defRPr>
          </a:lvl3pPr>
          <a:lvl4pPr marL="1371600" algn="l" rtl="0" eaLnBrk="0" fontAlgn="base" hangingPunct="0">
            <a:spcBef>
              <a:spcPct val="0"/>
            </a:spcBef>
            <a:spcAft>
              <a:spcPct val="0"/>
            </a:spcAft>
            <a:defRPr kumimoji="1" sz="1400" kern="1200">
              <a:solidFill>
                <a:schemeClr val="tx1"/>
              </a:solidFill>
              <a:latin typeface="メイリオ" panose="020B0604030504040204" pitchFamily="50" charset="-128"/>
              <a:ea typeface="メイリオ" panose="020B0604030504040204" pitchFamily="50" charset="-128"/>
              <a:cs typeface="メイリオ" panose="020B0604030504040204" pitchFamily="50" charset="-128"/>
            </a:defRPr>
          </a:lvl4pPr>
          <a:lvl5pPr marL="1828800" algn="l" rtl="0" eaLnBrk="0" fontAlgn="base" hangingPunct="0">
            <a:spcBef>
              <a:spcPct val="0"/>
            </a:spcBef>
            <a:spcAft>
              <a:spcPct val="0"/>
            </a:spcAft>
            <a:defRPr kumimoji="1" sz="1400" kern="1200">
              <a:solidFill>
                <a:schemeClr val="tx1"/>
              </a:solidFill>
              <a:latin typeface="メイリオ" panose="020B0604030504040204" pitchFamily="50" charset="-128"/>
              <a:ea typeface="メイリオ" panose="020B0604030504040204" pitchFamily="50" charset="-128"/>
              <a:cs typeface="メイリオ" panose="020B0604030504040204" pitchFamily="50" charset="-128"/>
            </a:defRPr>
          </a:lvl5pPr>
          <a:lvl6pPr marL="2286000" algn="l" defTabSz="914400" rtl="0" eaLnBrk="1" latinLnBrk="0" hangingPunct="1">
            <a:defRPr kumimoji="1" sz="1400" kern="1200">
              <a:solidFill>
                <a:schemeClr val="tx1"/>
              </a:solidFill>
              <a:latin typeface="メイリオ" panose="020B0604030504040204" pitchFamily="50" charset="-128"/>
              <a:ea typeface="メイリオ" panose="020B0604030504040204" pitchFamily="50" charset="-128"/>
              <a:cs typeface="メイリオ" panose="020B0604030504040204" pitchFamily="50" charset="-128"/>
            </a:defRPr>
          </a:lvl6pPr>
          <a:lvl7pPr marL="2743200" algn="l" defTabSz="914400" rtl="0" eaLnBrk="1" latinLnBrk="0" hangingPunct="1">
            <a:defRPr kumimoji="1" sz="1400" kern="1200">
              <a:solidFill>
                <a:schemeClr val="tx1"/>
              </a:solidFill>
              <a:latin typeface="メイリオ" panose="020B0604030504040204" pitchFamily="50" charset="-128"/>
              <a:ea typeface="メイリオ" panose="020B0604030504040204" pitchFamily="50" charset="-128"/>
              <a:cs typeface="メイリオ" panose="020B0604030504040204" pitchFamily="50" charset="-128"/>
            </a:defRPr>
          </a:lvl7pPr>
          <a:lvl8pPr marL="3200400" algn="l" defTabSz="914400" rtl="0" eaLnBrk="1" latinLnBrk="0" hangingPunct="1">
            <a:defRPr kumimoji="1" sz="1400" kern="1200">
              <a:solidFill>
                <a:schemeClr val="tx1"/>
              </a:solidFill>
              <a:latin typeface="メイリオ" panose="020B0604030504040204" pitchFamily="50" charset="-128"/>
              <a:ea typeface="メイリオ" panose="020B0604030504040204" pitchFamily="50" charset="-128"/>
              <a:cs typeface="メイリオ" panose="020B0604030504040204" pitchFamily="50" charset="-128"/>
            </a:defRPr>
          </a:lvl8pPr>
          <a:lvl9pPr marL="3657600" algn="l" defTabSz="914400" rtl="0" eaLnBrk="1" latinLnBrk="0" hangingPunct="1">
            <a:defRPr kumimoji="1" sz="1400" kern="1200">
              <a:solidFill>
                <a:schemeClr val="tx1"/>
              </a:solidFill>
              <a:latin typeface="メイリオ" panose="020B0604030504040204" pitchFamily="50" charset="-128"/>
              <a:ea typeface="メイリオ" panose="020B0604030504040204" pitchFamily="50" charset="-128"/>
              <a:cs typeface="メイリオ" panose="020B0604030504040204" pitchFamily="50" charset="-128"/>
            </a:defRPr>
          </a:lvl9pPr>
        </a:lstStyle>
        <a:p>
          <a:pPr marL="0" marR="0" indent="0" algn="ctr" defTabSz="914400" rtl="0" eaLnBrk="1" fontAlgn="auto" latinLnBrk="0" hangingPunct="1">
            <a:lnSpc>
              <a:spcPct val="100000"/>
            </a:lnSpc>
            <a:spcBef>
              <a:spcPts val="0"/>
            </a:spcBef>
            <a:spcAft>
              <a:spcPts val="0"/>
            </a:spcAft>
            <a:buClrTx/>
            <a:buSzTx/>
            <a:buFontTx/>
            <a:buNone/>
            <a:tabLst/>
            <a:defRPr/>
          </a:pPr>
          <a:r>
            <a:rPr kumimoji="1" lang="en-US" altLang="ja-JP" sz="500" b="1" i="0" u="none" strike="noStrike" kern="1200" cap="none" normalizeH="0" baseline="0">
              <a:ln>
                <a:noFill/>
              </a:ln>
              <a:solidFill>
                <a:schemeClr val="bg1"/>
              </a:solidFill>
              <a:effectLst/>
              <a:latin typeface="メイリオ" panose="020B0604030504040204" pitchFamily="50" charset="-128"/>
              <a:ea typeface="メイリオ" panose="020B0604030504040204" pitchFamily="50" charset="-128"/>
              <a:cs typeface="メイリオ" panose="020B0604030504040204" pitchFamily="50" charset="-128"/>
            </a:rPr>
            <a:t>CSV Download</a:t>
          </a:r>
          <a:endParaRPr kumimoji="1" lang="ja-JP" altLang="ja-JP" sz="500" b="1" i="0" u="none" strike="noStrike" kern="1200" cap="none" normalizeH="0" baseline="0">
            <a:ln>
              <a:noFill/>
            </a:ln>
            <a:solidFill>
              <a:schemeClr val="bg1"/>
            </a:solidFill>
            <a:effectLst/>
            <a:latin typeface="メイリオ" panose="020B0604030504040204" pitchFamily="50" charset="-128"/>
            <a:ea typeface="メイリオ" panose="020B0604030504040204" pitchFamily="50" charset="-128"/>
            <a:cs typeface="メイリオ" panose="020B0604030504040204" pitchFamily="50" charset="-128"/>
          </a:endParaRPr>
        </a:p>
      </xdr:txBody>
    </xdr:sp>
    <xdr:clientData/>
  </xdr:twoCellAnchor>
  <xdr:twoCellAnchor>
    <xdr:from>
      <xdr:col>48</xdr:col>
      <xdr:colOff>102558</xdr:colOff>
      <xdr:row>34</xdr:row>
      <xdr:rowOff>95559</xdr:rowOff>
    </xdr:from>
    <xdr:to>
      <xdr:col>50</xdr:col>
      <xdr:colOff>163302</xdr:colOff>
      <xdr:row>34</xdr:row>
      <xdr:rowOff>373365</xdr:rowOff>
    </xdr:to>
    <xdr:grpSp>
      <xdr:nvGrpSpPr>
        <xdr:cNvPr id="14" name="グループ化 13">
          <a:extLst>
            <a:ext uri="{FF2B5EF4-FFF2-40B4-BE49-F238E27FC236}">
              <a16:creationId xmlns:a16="http://schemas.microsoft.com/office/drawing/2014/main" id="{394BC472-E6F6-4201-BA6B-09D6A1495633}"/>
            </a:ext>
          </a:extLst>
        </xdr:cNvPr>
        <xdr:cNvGrpSpPr/>
      </xdr:nvGrpSpPr>
      <xdr:grpSpPr>
        <a:xfrm>
          <a:off x="8963983" y="14573559"/>
          <a:ext cx="411582" cy="274631"/>
          <a:chOff x="8931547" y="11352484"/>
          <a:chExt cx="668543" cy="278708"/>
        </a:xfrm>
      </xdr:grpSpPr>
      <xdr:pic>
        <xdr:nvPicPr>
          <xdr:cNvPr id="15" name="図 14">
            <a:extLst>
              <a:ext uri="{FF2B5EF4-FFF2-40B4-BE49-F238E27FC236}">
                <a16:creationId xmlns:a16="http://schemas.microsoft.com/office/drawing/2014/main" id="{8EC95D57-8A4A-AF00-ADC6-61653664549A}"/>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8931550" y="11352484"/>
            <a:ext cx="660534" cy="255557"/>
          </a:xfrm>
          <a:prstGeom prst="rect">
            <a:avLst/>
          </a:prstGeom>
          <a:solidFill>
            <a:srgbClr val="FF0000"/>
          </a:solidFill>
        </xdr:spPr>
      </xdr:pic>
      <xdr:sp macro="" textlink="">
        <xdr:nvSpPr>
          <xdr:cNvPr id="16" name="正方形/長方形 15">
            <a:extLst>
              <a:ext uri="{FF2B5EF4-FFF2-40B4-BE49-F238E27FC236}">
                <a16:creationId xmlns:a16="http://schemas.microsoft.com/office/drawing/2014/main" id="{800B51A8-8841-2C08-E9E8-B761C914F4A1}"/>
              </a:ext>
            </a:extLst>
          </xdr:cNvPr>
          <xdr:cNvSpPr/>
        </xdr:nvSpPr>
        <xdr:spPr>
          <a:xfrm>
            <a:off x="8931547" y="11371532"/>
            <a:ext cx="668543" cy="25966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900"/>
              <a:t>Download</a:t>
            </a:r>
            <a:endParaRPr kumimoji="1" lang="ja-JP" altLang="en-US" sz="900"/>
          </a:p>
        </xdr:txBody>
      </xdr:sp>
    </xdr:grpSp>
    <xdr:clientData/>
  </xdr:twoCellAnchor>
  <xdr:twoCellAnchor>
    <xdr:from>
      <xdr:col>49</xdr:col>
      <xdr:colOff>17234</xdr:colOff>
      <xdr:row>35</xdr:row>
      <xdr:rowOff>163513</xdr:rowOff>
    </xdr:from>
    <xdr:to>
      <xdr:col>52</xdr:col>
      <xdr:colOff>139700</xdr:colOff>
      <xdr:row>35</xdr:row>
      <xdr:rowOff>488730</xdr:rowOff>
    </xdr:to>
    <xdr:sp macro="" textlink="">
      <xdr:nvSpPr>
        <xdr:cNvPr id="17" name="正方形/長方形 16">
          <a:extLst>
            <a:ext uri="{FF2B5EF4-FFF2-40B4-BE49-F238E27FC236}">
              <a16:creationId xmlns:a16="http://schemas.microsoft.com/office/drawing/2014/main" id="{4C50A556-5970-4B9B-A1D5-07DCACBEDBAD}"/>
            </a:ext>
          </a:extLst>
        </xdr:cNvPr>
        <xdr:cNvSpPr/>
      </xdr:nvSpPr>
      <xdr:spPr bwMode="auto">
        <a:xfrm>
          <a:off x="4589234" y="15415419"/>
          <a:ext cx="658247" cy="325217"/>
        </a:xfrm>
        <a:prstGeom prst="rect">
          <a:avLst/>
        </a:prstGeom>
        <a:solidFill>
          <a:srgbClr val="002879"/>
        </a:solidFill>
        <a:ln w="6350" cap="flat" cmpd="sng" algn="ctr">
          <a:solidFill>
            <a:schemeClr val="bg1">
              <a:lumMod val="75000"/>
            </a:schemeClr>
          </a:solidFill>
          <a:prstDash val="solid"/>
          <a:round/>
          <a:headEnd type="none" w="med" len="med"/>
          <a:tailEnd type="none" w="med" len="med"/>
        </a:ln>
        <a:effectLst/>
      </xdr:spPr>
      <xdr:txBody>
        <a:bodyPr vert="horz" wrap="square" lIns="91440" tIns="45720" rIns="91440" bIns="45720" numCol="1" rtlCol="0" anchor="ctr" anchorCtr="0" compatLnSpc="1">
          <a:prstTxWarp prst="textNoShape">
            <a:avLst/>
          </a:prstTxWarp>
        </a:bodyPr>
        <a:lstStyle>
          <a:defPPr>
            <a:defRPr lang="ja-JP"/>
          </a:defPPr>
          <a:lvl1pPr algn="l" rtl="0" eaLnBrk="0" fontAlgn="base" hangingPunct="0">
            <a:spcBef>
              <a:spcPct val="0"/>
            </a:spcBef>
            <a:spcAft>
              <a:spcPct val="0"/>
            </a:spcAft>
            <a:defRPr kumimoji="1" sz="1400" kern="1200">
              <a:solidFill>
                <a:schemeClr val="tx1"/>
              </a:solidFill>
              <a:latin typeface="メイリオ" panose="020B0604030504040204" pitchFamily="50" charset="-128"/>
              <a:ea typeface="メイリオ" panose="020B0604030504040204" pitchFamily="50" charset="-128"/>
              <a:cs typeface="メイリオ" panose="020B0604030504040204" pitchFamily="50" charset="-128"/>
            </a:defRPr>
          </a:lvl1pPr>
          <a:lvl2pPr marL="457200" algn="l" rtl="0" eaLnBrk="0" fontAlgn="base" hangingPunct="0">
            <a:spcBef>
              <a:spcPct val="0"/>
            </a:spcBef>
            <a:spcAft>
              <a:spcPct val="0"/>
            </a:spcAft>
            <a:defRPr kumimoji="1" sz="1400" kern="1200">
              <a:solidFill>
                <a:schemeClr val="tx1"/>
              </a:solidFill>
              <a:latin typeface="メイリオ" panose="020B0604030504040204" pitchFamily="50" charset="-128"/>
              <a:ea typeface="メイリオ" panose="020B0604030504040204" pitchFamily="50" charset="-128"/>
              <a:cs typeface="メイリオ" panose="020B0604030504040204" pitchFamily="50" charset="-128"/>
            </a:defRPr>
          </a:lvl2pPr>
          <a:lvl3pPr marL="914400" algn="l" rtl="0" eaLnBrk="0" fontAlgn="base" hangingPunct="0">
            <a:spcBef>
              <a:spcPct val="0"/>
            </a:spcBef>
            <a:spcAft>
              <a:spcPct val="0"/>
            </a:spcAft>
            <a:defRPr kumimoji="1" sz="1400" kern="1200">
              <a:solidFill>
                <a:schemeClr val="tx1"/>
              </a:solidFill>
              <a:latin typeface="メイリオ" panose="020B0604030504040204" pitchFamily="50" charset="-128"/>
              <a:ea typeface="メイリオ" panose="020B0604030504040204" pitchFamily="50" charset="-128"/>
              <a:cs typeface="メイリオ" panose="020B0604030504040204" pitchFamily="50" charset="-128"/>
            </a:defRPr>
          </a:lvl3pPr>
          <a:lvl4pPr marL="1371600" algn="l" rtl="0" eaLnBrk="0" fontAlgn="base" hangingPunct="0">
            <a:spcBef>
              <a:spcPct val="0"/>
            </a:spcBef>
            <a:spcAft>
              <a:spcPct val="0"/>
            </a:spcAft>
            <a:defRPr kumimoji="1" sz="1400" kern="1200">
              <a:solidFill>
                <a:schemeClr val="tx1"/>
              </a:solidFill>
              <a:latin typeface="メイリオ" panose="020B0604030504040204" pitchFamily="50" charset="-128"/>
              <a:ea typeface="メイリオ" panose="020B0604030504040204" pitchFamily="50" charset="-128"/>
              <a:cs typeface="メイリオ" panose="020B0604030504040204" pitchFamily="50" charset="-128"/>
            </a:defRPr>
          </a:lvl4pPr>
          <a:lvl5pPr marL="1828800" algn="l" rtl="0" eaLnBrk="0" fontAlgn="base" hangingPunct="0">
            <a:spcBef>
              <a:spcPct val="0"/>
            </a:spcBef>
            <a:spcAft>
              <a:spcPct val="0"/>
            </a:spcAft>
            <a:defRPr kumimoji="1" sz="1400" kern="1200">
              <a:solidFill>
                <a:schemeClr val="tx1"/>
              </a:solidFill>
              <a:latin typeface="メイリオ" panose="020B0604030504040204" pitchFamily="50" charset="-128"/>
              <a:ea typeface="メイリオ" panose="020B0604030504040204" pitchFamily="50" charset="-128"/>
              <a:cs typeface="メイリオ" panose="020B0604030504040204" pitchFamily="50" charset="-128"/>
            </a:defRPr>
          </a:lvl5pPr>
          <a:lvl6pPr marL="2286000" algn="l" defTabSz="914400" rtl="0" eaLnBrk="1" latinLnBrk="0" hangingPunct="1">
            <a:defRPr kumimoji="1" sz="1400" kern="1200">
              <a:solidFill>
                <a:schemeClr val="tx1"/>
              </a:solidFill>
              <a:latin typeface="メイリオ" panose="020B0604030504040204" pitchFamily="50" charset="-128"/>
              <a:ea typeface="メイリオ" panose="020B0604030504040204" pitchFamily="50" charset="-128"/>
              <a:cs typeface="メイリオ" panose="020B0604030504040204" pitchFamily="50" charset="-128"/>
            </a:defRPr>
          </a:lvl6pPr>
          <a:lvl7pPr marL="2743200" algn="l" defTabSz="914400" rtl="0" eaLnBrk="1" latinLnBrk="0" hangingPunct="1">
            <a:defRPr kumimoji="1" sz="1400" kern="1200">
              <a:solidFill>
                <a:schemeClr val="tx1"/>
              </a:solidFill>
              <a:latin typeface="メイリオ" panose="020B0604030504040204" pitchFamily="50" charset="-128"/>
              <a:ea typeface="メイリオ" panose="020B0604030504040204" pitchFamily="50" charset="-128"/>
              <a:cs typeface="メイリオ" panose="020B0604030504040204" pitchFamily="50" charset="-128"/>
            </a:defRPr>
          </a:lvl7pPr>
          <a:lvl8pPr marL="3200400" algn="l" defTabSz="914400" rtl="0" eaLnBrk="1" latinLnBrk="0" hangingPunct="1">
            <a:defRPr kumimoji="1" sz="1400" kern="1200">
              <a:solidFill>
                <a:schemeClr val="tx1"/>
              </a:solidFill>
              <a:latin typeface="メイリオ" panose="020B0604030504040204" pitchFamily="50" charset="-128"/>
              <a:ea typeface="メイリオ" panose="020B0604030504040204" pitchFamily="50" charset="-128"/>
              <a:cs typeface="メイリオ" panose="020B0604030504040204" pitchFamily="50" charset="-128"/>
            </a:defRPr>
          </a:lvl8pPr>
          <a:lvl9pPr marL="3657600" algn="l" defTabSz="914400" rtl="0" eaLnBrk="1" latinLnBrk="0" hangingPunct="1">
            <a:defRPr kumimoji="1" sz="1400" kern="1200">
              <a:solidFill>
                <a:schemeClr val="tx1"/>
              </a:solidFill>
              <a:latin typeface="メイリオ" panose="020B0604030504040204" pitchFamily="50" charset="-128"/>
              <a:ea typeface="メイリオ" panose="020B0604030504040204" pitchFamily="50" charset="-128"/>
              <a:cs typeface="メイリオ" panose="020B0604030504040204" pitchFamily="50" charset="-128"/>
            </a:defRPr>
          </a:lvl9pPr>
        </a:lstStyle>
        <a:p>
          <a:pPr marL="0" marR="0" indent="0" algn="ctr" defTabSz="914400" rtl="0" eaLnBrk="1" fontAlgn="auto" latinLnBrk="0" hangingPunct="1">
            <a:lnSpc>
              <a:spcPct val="100000"/>
            </a:lnSpc>
            <a:spcBef>
              <a:spcPts val="0"/>
            </a:spcBef>
            <a:spcAft>
              <a:spcPts val="0"/>
            </a:spcAft>
            <a:buClrTx/>
            <a:buSzTx/>
            <a:buFontTx/>
            <a:buNone/>
            <a:tabLst/>
            <a:defRPr/>
          </a:pPr>
          <a:r>
            <a:rPr kumimoji="1" lang="en-US" altLang="ja-JP" sz="500" b="1" i="0" u="none" strike="noStrike" kern="1200" cap="none" normalizeH="0" baseline="0">
              <a:ln>
                <a:noFill/>
              </a:ln>
              <a:solidFill>
                <a:schemeClr val="bg1"/>
              </a:solidFill>
              <a:effectLst/>
              <a:latin typeface="メイリオ" panose="020B0604030504040204" pitchFamily="50" charset="-128"/>
              <a:ea typeface="メイリオ" panose="020B0604030504040204" pitchFamily="50" charset="-128"/>
              <a:cs typeface="メイリオ" panose="020B0604030504040204" pitchFamily="50" charset="-128"/>
            </a:rPr>
            <a:t>CSV Download</a:t>
          </a:r>
          <a:endParaRPr kumimoji="1" lang="ja-JP" altLang="ja-JP" sz="500" b="1" i="0" u="none" strike="noStrike" kern="1200" cap="none" normalizeH="0" baseline="0">
            <a:ln>
              <a:noFill/>
            </a:ln>
            <a:solidFill>
              <a:schemeClr val="bg1"/>
            </a:solidFill>
            <a:effectLst/>
            <a:latin typeface="メイリオ" panose="020B0604030504040204" pitchFamily="50" charset="-128"/>
            <a:ea typeface="メイリオ" panose="020B0604030504040204" pitchFamily="50" charset="-128"/>
            <a:cs typeface="メイリオ" panose="020B0604030504040204" pitchFamily="50" charset="-128"/>
          </a:endParaRPr>
        </a:p>
      </xdr:txBody>
    </xdr:sp>
    <xdr:clientData/>
  </xdr:twoCellAnchor>
  <xdr:twoCellAnchor>
    <xdr:from>
      <xdr:col>84</xdr:col>
      <xdr:colOff>74612</xdr:colOff>
      <xdr:row>32</xdr:row>
      <xdr:rowOff>199232</xdr:rowOff>
    </xdr:from>
    <xdr:to>
      <xdr:col>102</xdr:col>
      <xdr:colOff>14238</xdr:colOff>
      <xdr:row>36</xdr:row>
      <xdr:rowOff>32544</xdr:rowOff>
    </xdr:to>
    <xdr:sp macro="" textlink="">
      <xdr:nvSpPr>
        <xdr:cNvPr id="18" name="正方形/長方形 17">
          <a:extLst>
            <a:ext uri="{FF2B5EF4-FFF2-40B4-BE49-F238E27FC236}">
              <a16:creationId xmlns:a16="http://schemas.microsoft.com/office/drawing/2014/main" id="{3290C7C8-F772-4678-AF51-D82C70116AE3}"/>
            </a:ext>
          </a:extLst>
        </xdr:cNvPr>
        <xdr:cNvSpPr/>
      </xdr:nvSpPr>
      <xdr:spPr>
        <a:xfrm>
          <a:off x="15362237" y="13772357"/>
          <a:ext cx="3154314" cy="2107406"/>
        </a:xfrm>
        <a:prstGeom prst="rect">
          <a:avLst/>
        </a:prstGeom>
        <a:ln/>
      </xdr:spPr>
      <xdr:style>
        <a:lnRef idx="1">
          <a:schemeClr val="accent2"/>
        </a:lnRef>
        <a:fillRef idx="2">
          <a:schemeClr val="accent2"/>
        </a:fillRef>
        <a:effectRef idx="1">
          <a:schemeClr val="accent2"/>
        </a:effectRef>
        <a:fontRef idx="minor">
          <a:schemeClr val="dk1"/>
        </a:fontRef>
      </xdr:style>
      <xdr:txBody>
        <a:bodyPr vertOverflow="clip" horzOverflow="clip" lIns="36000" tIns="36000" rIns="36000" bIns="36000" rtlCol="0" anchor="t"/>
        <a:lstStyle/>
        <a:p>
          <a:pPr algn="l">
            <a:lnSpc>
              <a:spcPts val="900"/>
            </a:lnSpc>
          </a:pPr>
          <a:r>
            <a:rPr kumimoji="1" lang="ja-JP" altLang="en-US" sz="800">
              <a:solidFill>
                <a:sysClr val="windowText" lastClr="000000"/>
              </a:solidFill>
            </a:rPr>
            <a:t>処理項目を画面項目と分ける必要ないのでマージする。</a:t>
          </a:r>
          <a:endParaRPr kumimoji="1" lang="en-US" altLang="ja-JP" sz="800">
            <a:solidFill>
              <a:sysClr val="windowText" lastClr="000000"/>
            </a:solidFill>
          </a:endParaRPr>
        </a:p>
        <a:p>
          <a:pPr algn="l">
            <a:lnSpc>
              <a:spcPts val="900"/>
            </a:lnSpc>
          </a:pPr>
          <a:r>
            <a:rPr kumimoji="1" lang="ja-JP" altLang="en-US" sz="800">
              <a:solidFill>
                <a:sysClr val="windowText" lastClr="000000"/>
              </a:solidFill>
            </a:rPr>
            <a:t>「処理詳細シート」が無い。初期化時に検索処理と記載されているが、画面シートはデータが無い状態と記載されており、整合性がない。</a:t>
          </a:r>
          <a:endParaRPr kumimoji="1" lang="en-US" altLang="ja-JP" sz="800">
            <a:solidFill>
              <a:sysClr val="windowText" lastClr="000000"/>
            </a:solidFill>
          </a:endParaRPr>
        </a:p>
        <a:p>
          <a:pPr algn="l">
            <a:lnSpc>
              <a:spcPts val="900"/>
            </a:lnSpc>
          </a:pPr>
          <a:r>
            <a:rPr kumimoji="1" lang="ja-JP" altLang="en-US" sz="800">
              <a:solidFill>
                <a:sysClr val="windowText" lastClr="000000"/>
              </a:solidFill>
            </a:rPr>
            <a:t>設計書内で整合性を取ること</a:t>
          </a:r>
          <a:endParaRPr kumimoji="1" lang="en-US" altLang="ja-JP" sz="800">
            <a:solidFill>
              <a:sysClr val="windowText" lastClr="000000"/>
            </a:solidFill>
          </a:endParaRPr>
        </a:p>
        <a:p>
          <a:pPr algn="l">
            <a:lnSpc>
              <a:spcPts val="900"/>
            </a:lnSpc>
          </a:pPr>
          <a:endParaRPr kumimoji="1" lang="en-US" altLang="ja-JP" sz="800">
            <a:solidFill>
              <a:sysClr val="windowText" lastClr="000000"/>
            </a:solidFill>
          </a:endParaRPr>
        </a:p>
        <a:p>
          <a:pPr algn="l">
            <a:lnSpc>
              <a:spcPts val="900"/>
            </a:lnSpc>
          </a:pPr>
          <a:endParaRPr kumimoji="1" lang="en-US" altLang="ja-JP" sz="800">
            <a:solidFill>
              <a:sysClr val="windowText" lastClr="000000"/>
            </a:solidFill>
          </a:endParaRPr>
        </a:p>
        <a:p>
          <a:pPr algn="l">
            <a:lnSpc>
              <a:spcPts val="900"/>
            </a:lnSpc>
          </a:pPr>
          <a:r>
            <a:rPr kumimoji="1" lang="en-US" altLang="ja-JP" sz="800">
              <a:solidFill>
                <a:srgbClr val="FF0000"/>
              </a:solidFill>
            </a:rPr>
            <a:t>5/12 </a:t>
          </a:r>
          <a:r>
            <a:rPr kumimoji="1" lang="ja-JP" altLang="en-US" sz="800">
              <a:solidFill>
                <a:srgbClr val="FF0000"/>
              </a:solidFill>
            </a:rPr>
            <a:t>古竹追記</a:t>
          </a:r>
          <a:endParaRPr kumimoji="1" lang="en-US" altLang="ja-JP" sz="800">
            <a:solidFill>
              <a:srgbClr val="FF0000"/>
            </a:solidFill>
          </a:endParaRPr>
        </a:p>
        <a:p>
          <a:pPr algn="l">
            <a:lnSpc>
              <a:spcPts val="900"/>
            </a:lnSpc>
          </a:pPr>
          <a:r>
            <a:rPr kumimoji="1" lang="ja-JP" altLang="en-US" sz="800">
              <a:solidFill>
                <a:srgbClr val="FF0000"/>
              </a:solidFill>
            </a:rPr>
            <a:t>画面項目と処理項目で記載する項目が違うため分けられていると思いますが、</a:t>
          </a:r>
          <a:r>
            <a:rPr kumimoji="1" lang="en-US" altLang="ja-JP" sz="800">
              <a:solidFill>
                <a:srgbClr val="FF0000"/>
              </a:solidFill>
            </a:rPr>
            <a:t>32</a:t>
          </a:r>
          <a:r>
            <a:rPr kumimoji="1" lang="ja-JP" altLang="en-US" sz="800">
              <a:solidFill>
                <a:srgbClr val="FF0000"/>
              </a:solidFill>
            </a:rPr>
            <a:t>行目の項目を画面項目に追加して記載するという認識でよろしいでしょうか。</a:t>
          </a:r>
          <a:endParaRPr kumimoji="1" lang="en-US" altLang="ja-JP" sz="800">
            <a:solidFill>
              <a:srgbClr val="FF0000"/>
            </a:solidFill>
          </a:endParaRPr>
        </a:p>
        <a:p>
          <a:pPr algn="l">
            <a:lnSpc>
              <a:spcPts val="900"/>
            </a:lnSpc>
          </a:pPr>
          <a:r>
            <a:rPr kumimoji="1" lang="ja-JP" altLang="en-US" sz="800">
              <a:solidFill>
                <a:srgbClr val="FF0000"/>
              </a:solidFill>
            </a:rPr>
            <a:t>また、項番も分けられており、画面項目は画面レイアウトの項番どおえいになってますが、そこに処理項目を差し込むと項番が崩れるので見にくくなると思われますが意図をご教示ください。</a:t>
          </a:r>
          <a:br>
            <a:rPr kumimoji="1" lang="en-US" altLang="ja-JP" sz="800">
              <a:solidFill>
                <a:srgbClr val="FF0000"/>
              </a:solidFill>
            </a:rPr>
          </a:br>
          <a:r>
            <a:rPr kumimoji="1" lang="en-US" altLang="ja-JP" sz="800">
              <a:solidFill>
                <a:srgbClr val="FF0000"/>
              </a:solidFill>
            </a:rPr>
            <a:t>(</a:t>
          </a:r>
          <a:r>
            <a:rPr kumimoji="1" lang="ja-JP" altLang="en-US" sz="800">
              <a:solidFill>
                <a:srgbClr val="FF0000"/>
              </a:solidFill>
            </a:rPr>
            <a:t>基本設計書を作成したことがなく榎本さんの指摘による修正後のイメージが浮かばないです</a:t>
          </a:r>
          <a:r>
            <a:rPr kumimoji="1" lang="en-US" altLang="ja-JP" sz="800">
              <a:solidFill>
                <a:srgbClr val="FF0000"/>
              </a:solidFill>
            </a:rPr>
            <a:t>)</a:t>
          </a:r>
        </a:p>
        <a:p>
          <a:pPr algn="l">
            <a:lnSpc>
              <a:spcPts val="900"/>
            </a:lnSpc>
          </a:pPr>
          <a:endParaRPr kumimoji="1" lang="en-US" altLang="ja-JP" sz="800">
            <a:solidFill>
              <a:srgbClr val="FF0000"/>
            </a:solidFill>
          </a:endParaRPr>
        </a:p>
        <a:p>
          <a:pPr algn="l">
            <a:lnSpc>
              <a:spcPts val="900"/>
            </a:lnSpc>
          </a:pPr>
          <a:r>
            <a:rPr kumimoji="1" lang="ja-JP" altLang="en-US" sz="800">
              <a:solidFill>
                <a:srgbClr val="FF0000"/>
              </a:solidFill>
            </a:rPr>
            <a:t>整合性については画面レイアウト側の記載が不備のためそちらを修正。</a:t>
          </a:r>
          <a:endParaRPr kumimoji="1" lang="en-US" altLang="ja-JP" sz="800">
            <a:solidFill>
              <a:srgbClr val="FF0000"/>
            </a:solidFill>
          </a:endParaRP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4</xdr:col>
      <xdr:colOff>142876</xdr:colOff>
      <xdr:row>10</xdr:row>
      <xdr:rowOff>83342</xdr:rowOff>
    </xdr:from>
    <xdr:to>
      <xdr:col>47</xdr:col>
      <xdr:colOff>142874</xdr:colOff>
      <xdr:row>14</xdr:row>
      <xdr:rowOff>95248</xdr:rowOff>
    </xdr:to>
    <xdr:sp macro="" textlink="">
      <xdr:nvSpPr>
        <xdr:cNvPr id="2" name="正方形/長方形 1">
          <a:extLst>
            <a:ext uri="{FF2B5EF4-FFF2-40B4-BE49-F238E27FC236}">
              <a16:creationId xmlns:a16="http://schemas.microsoft.com/office/drawing/2014/main" id="{A3736B77-90C7-4740-959C-D5508D9C56D4}"/>
            </a:ext>
          </a:extLst>
        </xdr:cNvPr>
        <xdr:cNvSpPr/>
      </xdr:nvSpPr>
      <xdr:spPr>
        <a:xfrm>
          <a:off x="904876" y="2966242"/>
          <a:ext cx="8191498" cy="773906"/>
        </a:xfrm>
        <a:prstGeom prst="rect">
          <a:avLst/>
        </a:prstGeom>
        <a:solidFill>
          <a:schemeClr val="bg1">
            <a:lumMod val="65000"/>
          </a:schemeClr>
        </a:solidFill>
        <a:ln w="3175">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wrap="square" rtlCol="0" anchor="ctr"/>
        <a:lstStyle/>
        <a:p>
          <a:pPr algn="ctr"/>
          <a:r>
            <a:rPr kumimoji="1" lang="en-US" altLang="ja-JP" sz="1050">
              <a:solidFill>
                <a:sysClr val="windowText" lastClr="000000"/>
              </a:solidFill>
              <a:latin typeface="Meiryo UI" panose="020B0604030504040204" pitchFamily="50" charset="-128"/>
              <a:ea typeface="Meiryo UI" panose="020B0604030504040204" pitchFamily="50" charset="-128"/>
              <a:cs typeface="メイリオ" panose="020B0604030504040204" pitchFamily="50" charset="-128"/>
            </a:rPr>
            <a:t>※</a:t>
          </a:r>
          <a:r>
            <a:rPr kumimoji="1" lang="ja-JP" altLang="en-US" sz="1050">
              <a:solidFill>
                <a:sysClr val="windowText" lastClr="000000"/>
              </a:solidFill>
              <a:latin typeface="Meiryo UI" panose="020B0604030504040204" pitchFamily="50" charset="-128"/>
              <a:ea typeface="Meiryo UI" panose="020B0604030504040204" pitchFamily="50" charset="-128"/>
              <a:cs typeface="メイリオ" panose="020B0604030504040204" pitchFamily="50" charset="-128"/>
            </a:rPr>
            <a:t>別ブック「</a:t>
          </a:r>
          <a:r>
            <a:rPr kumimoji="1" lang="en-US" altLang="ja-JP" sz="1050">
              <a:solidFill>
                <a:sysClr val="windowText" lastClr="000000"/>
              </a:solidFill>
              <a:latin typeface="Meiryo UI" panose="020B0604030504040204" pitchFamily="50" charset="-128"/>
              <a:ea typeface="Meiryo UI" panose="020B0604030504040204" pitchFamily="50" charset="-128"/>
              <a:cs typeface="メイリオ" panose="020B0604030504040204" pitchFamily="50" charset="-128"/>
            </a:rPr>
            <a:t>SERP100_</a:t>
          </a:r>
          <a:r>
            <a:rPr kumimoji="1" lang="ja-JP" altLang="en-US" sz="1050">
              <a:solidFill>
                <a:sysClr val="windowText" lastClr="000000"/>
              </a:solidFill>
              <a:latin typeface="Meiryo UI" panose="020B0604030504040204" pitchFamily="50" charset="-128"/>
              <a:ea typeface="Meiryo UI" panose="020B0604030504040204" pitchFamily="50" charset="-128"/>
              <a:cs typeface="メイリオ" panose="020B0604030504040204" pitchFamily="50" charset="-128"/>
            </a:rPr>
            <a:t>帳票定義書</a:t>
          </a:r>
          <a:r>
            <a:rPr kumimoji="1" lang="en-US" altLang="ja-JP" sz="1050">
              <a:solidFill>
                <a:sysClr val="windowText" lastClr="000000"/>
              </a:solidFill>
              <a:latin typeface="Meiryo UI" panose="020B0604030504040204" pitchFamily="50" charset="-128"/>
              <a:ea typeface="Meiryo UI" panose="020B0604030504040204" pitchFamily="50" charset="-128"/>
              <a:cs typeface="メイリオ" panose="020B0604030504040204" pitchFamily="50" charset="-128"/>
            </a:rPr>
            <a:t>_</a:t>
          </a:r>
          <a:r>
            <a:rPr kumimoji="1" lang="ja-JP" altLang="en-US" sz="1050">
              <a:solidFill>
                <a:sysClr val="windowText" lastClr="000000"/>
              </a:solidFill>
              <a:latin typeface="Meiryo UI" panose="020B0604030504040204" pitchFamily="50" charset="-128"/>
              <a:ea typeface="Meiryo UI" panose="020B0604030504040204" pitchFamily="50" charset="-128"/>
              <a:cs typeface="メイリオ" panose="020B0604030504040204" pitchFamily="50" charset="-128"/>
            </a:rPr>
            <a:t>環境証明書申請内容</a:t>
          </a:r>
          <a:r>
            <a:rPr kumimoji="1" lang="en-US" altLang="ja-JP" sz="1050">
              <a:solidFill>
                <a:sysClr val="windowText" lastClr="000000"/>
              </a:solidFill>
              <a:latin typeface="Meiryo UI" panose="020B0604030504040204" pitchFamily="50" charset="-128"/>
              <a:ea typeface="Meiryo UI" panose="020B0604030504040204" pitchFamily="50" charset="-128"/>
              <a:cs typeface="メイリオ" panose="020B0604030504040204" pitchFamily="50" charset="-128"/>
            </a:rPr>
            <a:t>.xlsx</a:t>
          </a:r>
          <a:r>
            <a:rPr kumimoji="1" lang="ja-JP" altLang="en-US" sz="1050">
              <a:solidFill>
                <a:sysClr val="windowText" lastClr="000000"/>
              </a:solidFill>
              <a:latin typeface="Meiryo UI" panose="020B0604030504040204" pitchFamily="50" charset="-128"/>
              <a:ea typeface="Meiryo UI" panose="020B0604030504040204" pitchFamily="50" charset="-128"/>
              <a:cs typeface="メイリオ" panose="020B0604030504040204" pitchFamily="50" charset="-128"/>
            </a:rPr>
            <a:t>」を参照</a:t>
          </a:r>
        </a:p>
      </xdr:txBody>
    </xdr:sp>
    <xdr:clientData/>
  </xdr:twoCellAnchor>
  <xdr:twoCellAnchor>
    <xdr:from>
      <xdr:col>4</xdr:col>
      <xdr:colOff>142875</xdr:colOff>
      <xdr:row>16</xdr:row>
      <xdr:rowOff>83344</xdr:rowOff>
    </xdr:from>
    <xdr:to>
      <xdr:col>47</xdr:col>
      <xdr:colOff>142873</xdr:colOff>
      <xdr:row>20</xdr:row>
      <xdr:rowOff>35719</xdr:rowOff>
    </xdr:to>
    <xdr:sp macro="" textlink="">
      <xdr:nvSpPr>
        <xdr:cNvPr id="3" name="正方形/長方形 2">
          <a:extLst>
            <a:ext uri="{FF2B5EF4-FFF2-40B4-BE49-F238E27FC236}">
              <a16:creationId xmlns:a16="http://schemas.microsoft.com/office/drawing/2014/main" id="{13420FEE-85A5-4C69-8CDD-5643071420B4}"/>
            </a:ext>
          </a:extLst>
        </xdr:cNvPr>
        <xdr:cNvSpPr/>
      </xdr:nvSpPr>
      <xdr:spPr>
        <a:xfrm>
          <a:off x="904875" y="4109244"/>
          <a:ext cx="8191498" cy="1514475"/>
        </a:xfrm>
        <a:prstGeom prst="rect">
          <a:avLst/>
        </a:prstGeom>
        <a:solidFill>
          <a:schemeClr val="bg1">
            <a:lumMod val="65000"/>
          </a:schemeClr>
        </a:solidFill>
        <a:ln w="3175">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wrap="square" rtlCol="0" anchor="ctr"/>
        <a:lstStyle/>
        <a:p>
          <a:pPr algn="ctr"/>
          <a:r>
            <a:rPr kumimoji="1" lang="en-US" altLang="ja-JP" sz="1050">
              <a:solidFill>
                <a:sysClr val="windowText" lastClr="000000"/>
              </a:solidFill>
              <a:latin typeface="Meiryo UI" panose="020B0604030504040204" pitchFamily="50" charset="-128"/>
              <a:ea typeface="Meiryo UI" panose="020B0604030504040204" pitchFamily="50" charset="-128"/>
              <a:cs typeface="メイリオ" panose="020B0604030504040204" pitchFamily="50" charset="-128"/>
            </a:rPr>
            <a:t>※</a:t>
          </a:r>
          <a:r>
            <a:rPr kumimoji="1" lang="ja-JP" altLang="en-US" sz="1050">
              <a:solidFill>
                <a:sysClr val="windowText" lastClr="000000"/>
              </a:solidFill>
              <a:latin typeface="Meiryo UI" panose="020B0604030504040204" pitchFamily="50" charset="-128"/>
              <a:ea typeface="Meiryo UI" panose="020B0604030504040204" pitchFamily="50" charset="-128"/>
              <a:cs typeface="メイリオ" panose="020B0604030504040204" pitchFamily="50" charset="-128"/>
            </a:rPr>
            <a:t>別ブック「</a:t>
          </a:r>
          <a:r>
            <a:rPr kumimoji="1" lang="en-US" altLang="ja-JP" sz="1050">
              <a:solidFill>
                <a:sysClr val="windowText" lastClr="000000"/>
              </a:solidFill>
              <a:latin typeface="Meiryo UI" panose="020B0604030504040204" pitchFamily="50" charset="-128"/>
              <a:ea typeface="Meiryo UI" panose="020B0604030504040204" pitchFamily="50" charset="-128"/>
              <a:cs typeface="メイリオ" panose="020B0604030504040204" pitchFamily="50" charset="-128"/>
            </a:rPr>
            <a:t>SERP100_</a:t>
          </a:r>
          <a:r>
            <a:rPr kumimoji="1" lang="ja-JP" altLang="en-US" sz="1050">
              <a:solidFill>
                <a:sysClr val="windowText" lastClr="000000"/>
              </a:solidFill>
              <a:latin typeface="Meiryo UI" panose="020B0604030504040204" pitchFamily="50" charset="-128"/>
              <a:ea typeface="Meiryo UI" panose="020B0604030504040204" pitchFamily="50" charset="-128"/>
              <a:cs typeface="メイリオ" panose="020B0604030504040204" pitchFamily="50" charset="-128"/>
            </a:rPr>
            <a:t>帳票定義書</a:t>
          </a:r>
          <a:r>
            <a:rPr kumimoji="1" lang="en-US" altLang="ja-JP" sz="1050">
              <a:solidFill>
                <a:sysClr val="windowText" lastClr="000000"/>
              </a:solidFill>
              <a:latin typeface="Meiryo UI" panose="020B0604030504040204" pitchFamily="50" charset="-128"/>
              <a:ea typeface="Meiryo UI" panose="020B0604030504040204" pitchFamily="50" charset="-128"/>
              <a:cs typeface="メイリオ" panose="020B0604030504040204" pitchFamily="50" charset="-128"/>
            </a:rPr>
            <a:t>_</a:t>
          </a:r>
          <a:r>
            <a:rPr kumimoji="1" lang="ja-JP" altLang="en-US" sz="1050">
              <a:solidFill>
                <a:sysClr val="windowText" lastClr="000000"/>
              </a:solidFill>
              <a:latin typeface="Meiryo UI" panose="020B0604030504040204" pitchFamily="50" charset="-128"/>
              <a:ea typeface="Meiryo UI" panose="020B0604030504040204" pitchFamily="50" charset="-128"/>
              <a:cs typeface="メイリオ" panose="020B0604030504040204" pitchFamily="50" charset="-128"/>
            </a:rPr>
            <a:t>環境証明書申請内容</a:t>
          </a:r>
          <a:r>
            <a:rPr kumimoji="1" lang="en-US" altLang="ja-JP" sz="1050">
              <a:solidFill>
                <a:sysClr val="windowText" lastClr="000000"/>
              </a:solidFill>
              <a:latin typeface="Meiryo UI" panose="020B0604030504040204" pitchFamily="50" charset="-128"/>
              <a:ea typeface="Meiryo UI" panose="020B0604030504040204" pitchFamily="50" charset="-128"/>
              <a:cs typeface="メイリオ" panose="020B0604030504040204" pitchFamily="50" charset="-128"/>
            </a:rPr>
            <a:t>.xlsx</a:t>
          </a:r>
          <a:r>
            <a:rPr kumimoji="1" lang="ja-JP" altLang="en-US" sz="1050">
              <a:solidFill>
                <a:sysClr val="windowText" lastClr="000000"/>
              </a:solidFill>
              <a:latin typeface="Meiryo UI" panose="020B0604030504040204" pitchFamily="50" charset="-128"/>
              <a:ea typeface="Meiryo UI" panose="020B0604030504040204" pitchFamily="50" charset="-128"/>
              <a:cs typeface="メイリオ" panose="020B0604030504040204" pitchFamily="50" charset="-128"/>
            </a:rPr>
            <a:t>」を参照</a:t>
          </a:r>
        </a:p>
      </xdr:txBody>
    </xdr:sp>
    <xdr:clientData/>
  </xdr:twoCellAnchor>
</xdr:wsDr>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ln w="12700"/>
      </a:spPr>
      <a:bodyPr vertOverflow="clip" horzOverflow="clip" lIns="36000" tIns="36000" rIns="36000" bIns="36000" rtlCol="0" anchor="t"/>
      <a:lstStyle>
        <a:defPPr algn="l">
          <a:lnSpc>
            <a:spcPts val="900"/>
          </a:lnSpc>
          <a:defRPr kumimoji="1" sz="800">
            <a:solidFill>
              <a:sysClr val="windowText" lastClr="000000"/>
            </a:solidFill>
          </a:defRPr>
        </a:defPPr>
      </a:lstStyle>
      <a:style>
        <a:lnRef idx="2">
          <a:schemeClr val="accent1"/>
        </a:lnRef>
        <a:fillRef idx="1">
          <a:schemeClr val="lt1"/>
        </a:fillRef>
        <a:effectRef idx="0">
          <a:schemeClr val="accent1"/>
        </a:effectRef>
        <a:fontRef idx="minor">
          <a:schemeClr val="dk1"/>
        </a:fontRef>
      </a:style>
    </a:spDef>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3.xml"/><Relationship Id="rId1" Type="http://schemas.openxmlformats.org/officeDocument/2006/relationships/printerSettings" Target="../printerSettings/printerSettings4.bin"/><Relationship Id="rId4" Type="http://schemas.openxmlformats.org/officeDocument/2006/relationships/comments" Target="../comments1.xml"/></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pageSetUpPr fitToPage="1"/>
  </sheetPr>
  <dimension ref="B1:T123"/>
  <sheetViews>
    <sheetView showGridLines="0" tabSelected="1" view="pageBreakPreview" zoomScaleNormal="80" zoomScaleSheetLayoutView="100" workbookViewId="0"/>
  </sheetViews>
  <sheetFormatPr defaultColWidth="8" defaultRowHeight="13"/>
  <cols>
    <col min="1" max="1" width="8.90625" style="1" customWidth="1"/>
    <col min="2" max="8" width="14.36328125" style="1" customWidth="1"/>
    <col min="9" max="9" width="13.6328125" style="1" customWidth="1"/>
    <col min="10" max="10" width="3.36328125" style="1" customWidth="1"/>
    <col min="11" max="11" width="23.7265625" style="1" customWidth="1"/>
    <col min="12" max="12" width="10" style="1" customWidth="1"/>
    <col min="13" max="13" width="23.36328125" style="1" customWidth="1"/>
    <col min="14" max="14" width="9.08984375" style="1" customWidth="1"/>
    <col min="15" max="15" width="19.90625" style="1" customWidth="1"/>
    <col min="16" max="16" width="6.7265625" style="1" customWidth="1"/>
    <col min="17" max="17" width="7.36328125" style="1" customWidth="1"/>
    <col min="18" max="18" width="6.7265625" style="1" customWidth="1"/>
    <col min="19" max="19" width="11" style="1" customWidth="1"/>
    <col min="20" max="20" width="9.90625" style="1" customWidth="1"/>
    <col min="21" max="21" width="8" style="1" customWidth="1"/>
    <col min="22" max="22" width="11.6328125" style="1" customWidth="1"/>
    <col min="23" max="16384" width="8" style="1"/>
  </cols>
  <sheetData>
    <row r="1" spans="12:12" ht="14.25" customHeight="1"/>
    <row r="2" spans="12:12" ht="14.25" customHeight="1"/>
    <row r="3" spans="12:12" ht="14.25" customHeight="1"/>
    <row r="4" spans="12:12" ht="14.25" customHeight="1"/>
    <row r="5" spans="12:12" ht="14.25" customHeight="1"/>
    <row r="6" spans="12:12" ht="14.25" customHeight="1"/>
    <row r="7" spans="12:12" ht="14.25" customHeight="1"/>
    <row r="8" spans="12:12" ht="14.25" customHeight="1"/>
    <row r="9" spans="12:12" ht="14.25" customHeight="1"/>
    <row r="10" spans="12:12" ht="14.25" customHeight="1">
      <c r="L10" s="2"/>
    </row>
    <row r="11" spans="12:12" ht="14.25" customHeight="1"/>
    <row r="12" spans="12:12" ht="14.25" customHeight="1"/>
    <row r="13" spans="12:12" ht="14.25" customHeight="1"/>
    <row r="14" spans="12:12" ht="14.25" customHeight="1"/>
    <row r="15" spans="12:12" ht="14.25" customHeight="1"/>
    <row r="16" spans="12:12" ht="14.25" customHeight="1"/>
    <row r="17" spans="2:8" ht="14.25" customHeight="1"/>
    <row r="18" spans="2:8" ht="14.25" customHeight="1"/>
    <row r="19" spans="2:8" ht="14.25" customHeight="1"/>
    <row r="20" spans="2:8" ht="14.25" customHeight="1"/>
    <row r="21" spans="2:8" ht="14.25" customHeight="1"/>
    <row r="22" spans="2:8" ht="14.25" customHeight="1">
      <c r="B22" s="179" t="str">
        <f ca="1">TEXT(変更来歴!AT2,"yyyy年 mm月 dd日") &amp; " " &amp; 変更来歴!AT3</f>
        <v>2026年 04月 22日 r1.2</v>
      </c>
      <c r="C22" s="180"/>
      <c r="D22" s="180"/>
      <c r="E22" s="180"/>
      <c r="F22" s="180"/>
      <c r="G22" s="180"/>
      <c r="H22" s="180"/>
    </row>
    <row r="23" spans="2:8" ht="14.25" customHeight="1"/>
    <row r="24" spans="2:8" ht="14.25" customHeight="1"/>
    <row r="25" spans="2:8" ht="14.25" customHeight="1"/>
    <row r="26" spans="2:8" ht="14.25" customHeight="1"/>
    <row r="27" spans="2:8" ht="14.25" customHeight="1"/>
    <row r="28" spans="2:8" ht="14.25" customHeight="1">
      <c r="C28" s="182" t="s">
        <v>28</v>
      </c>
      <c r="D28" s="182"/>
      <c r="E28" s="182"/>
      <c r="F28" s="182" t="s">
        <v>0</v>
      </c>
      <c r="G28" s="182"/>
    </row>
    <row r="29" spans="2:8" ht="14.25" customHeight="1">
      <c r="C29" s="3" t="s">
        <v>1</v>
      </c>
      <c r="D29" s="3" t="s">
        <v>2</v>
      </c>
      <c r="E29" s="3" t="s">
        <v>3</v>
      </c>
      <c r="F29" s="3" t="s">
        <v>2</v>
      </c>
      <c r="G29" s="3" t="s">
        <v>3</v>
      </c>
    </row>
    <row r="30" spans="2:8" ht="14.25" customHeight="1">
      <c r="C30" s="4"/>
      <c r="D30" s="4"/>
      <c r="E30" s="4"/>
      <c r="F30" s="5"/>
      <c r="G30" s="5"/>
    </row>
    <row r="31" spans="2:8" ht="29.25" customHeight="1">
      <c r="C31" s="6"/>
      <c r="D31" s="6"/>
      <c r="E31" s="6"/>
      <c r="F31" s="6"/>
      <c r="G31" s="6"/>
    </row>
    <row r="32" spans="2:8" ht="14.25" customHeight="1"/>
    <row r="33" spans="3:20" ht="14.25" customHeight="1">
      <c r="C33" s="183"/>
      <c r="D33" s="183"/>
      <c r="E33" s="183"/>
      <c r="F33" s="183"/>
      <c r="G33" s="183"/>
      <c r="H33" s="7"/>
      <c r="I33" s="7"/>
    </row>
    <row r="34" spans="3:20" ht="14.25" customHeight="1">
      <c r="C34" s="9"/>
      <c r="D34" s="9"/>
      <c r="E34" s="9"/>
      <c r="F34" s="9"/>
      <c r="G34" s="9"/>
    </row>
    <row r="35" spans="3:20" ht="14.25" customHeight="1">
      <c r="C35" s="10"/>
      <c r="D35" s="10"/>
      <c r="E35" s="10"/>
      <c r="F35" s="9"/>
      <c r="G35" s="9"/>
    </row>
    <row r="36" spans="3:20" ht="29.25" customHeight="1">
      <c r="C36" s="9"/>
      <c r="D36" s="9"/>
      <c r="E36" s="9"/>
      <c r="F36" s="9"/>
      <c r="G36" s="9"/>
    </row>
    <row r="37" spans="3:20" ht="14.25" customHeight="1">
      <c r="K37" s="11"/>
      <c r="L37" s="12"/>
      <c r="M37" s="8"/>
      <c r="N37" s="12"/>
      <c r="O37" s="8"/>
      <c r="P37" s="14"/>
      <c r="Q37" s="15"/>
      <c r="R37" s="14"/>
      <c r="S37" s="16"/>
      <c r="T37" s="14"/>
    </row>
    <row r="38" spans="3:20" ht="14.25" customHeight="1">
      <c r="K38" s="17"/>
      <c r="L38" s="12"/>
      <c r="M38" s="18"/>
      <c r="N38" s="12"/>
      <c r="O38" s="8"/>
      <c r="P38" s="14"/>
      <c r="Q38" s="15"/>
      <c r="R38" s="14"/>
      <c r="S38" s="16"/>
      <c r="T38" s="181"/>
    </row>
    <row r="39" spans="3:20" ht="14.25" customHeight="1">
      <c r="K39" s="17"/>
      <c r="L39" s="12"/>
      <c r="M39" s="8"/>
      <c r="N39" s="12"/>
      <c r="O39" s="8"/>
      <c r="P39" s="8"/>
      <c r="Q39" s="8"/>
      <c r="R39" s="14"/>
      <c r="S39" s="19"/>
      <c r="T39" s="184"/>
    </row>
    <row r="40" spans="3:20" ht="14.25" customHeight="1"/>
    <row r="41" spans="3:20" ht="14.25" customHeight="1">
      <c r="K41" s="11"/>
      <c r="L41" s="12"/>
      <c r="M41" s="8"/>
      <c r="N41" s="12"/>
      <c r="O41" s="13"/>
      <c r="P41" s="14"/>
      <c r="Q41" s="15"/>
      <c r="R41" s="14"/>
      <c r="S41" s="16"/>
      <c r="T41" s="14"/>
    </row>
    <row r="42" spans="3:20" s="8" customFormat="1" ht="14.25" customHeight="1">
      <c r="K42" s="17"/>
      <c r="L42" s="12"/>
      <c r="M42" s="18"/>
      <c r="N42" s="12"/>
      <c r="P42" s="14"/>
      <c r="Q42" s="15"/>
      <c r="R42" s="14"/>
      <c r="S42" s="16"/>
      <c r="T42" s="181"/>
    </row>
    <row r="43" spans="3:20" s="8" customFormat="1" ht="14.25" customHeight="1">
      <c r="K43" s="17"/>
      <c r="L43" s="12"/>
      <c r="N43" s="12"/>
      <c r="R43" s="14"/>
      <c r="S43" s="19"/>
      <c r="T43" s="181"/>
    </row>
    <row r="44" spans="3:20" s="8" customFormat="1" ht="14.25" customHeight="1">
      <c r="K44" s="1"/>
      <c r="L44" s="1"/>
      <c r="M44" s="1"/>
      <c r="N44" s="1"/>
      <c r="O44" s="1"/>
      <c r="P44" s="1"/>
      <c r="Q44" s="1"/>
      <c r="R44" s="1"/>
      <c r="S44" s="1"/>
      <c r="T44" s="1"/>
    </row>
    <row r="45" spans="3:20" ht="14.25" customHeight="1">
      <c r="K45" s="11"/>
      <c r="L45" s="12"/>
      <c r="M45" s="8"/>
      <c r="N45" s="12"/>
      <c r="O45" s="13"/>
      <c r="P45" s="14"/>
      <c r="Q45" s="15"/>
      <c r="R45" s="14"/>
      <c r="S45" s="16"/>
      <c r="T45" s="14"/>
    </row>
    <row r="46" spans="3:20" ht="14.25" customHeight="1">
      <c r="K46" s="17"/>
      <c r="L46" s="12"/>
      <c r="M46" s="18"/>
      <c r="N46" s="12"/>
      <c r="O46" s="8"/>
      <c r="P46" s="14"/>
      <c r="Q46" s="15"/>
      <c r="R46" s="14"/>
      <c r="S46" s="16"/>
      <c r="T46" s="181"/>
    </row>
    <row r="47" spans="3:20" ht="14.25" customHeight="1">
      <c r="K47" s="17"/>
      <c r="L47" s="12"/>
      <c r="M47" s="8"/>
      <c r="N47" s="12"/>
      <c r="O47" s="8"/>
      <c r="P47" s="8"/>
      <c r="Q47" s="8"/>
      <c r="R47" s="14"/>
      <c r="S47" s="19"/>
      <c r="T47" s="181"/>
    </row>
    <row r="48" spans="3:20" ht="14.25" customHeight="1"/>
    <row r="49" spans="11:20" ht="14.25" customHeight="1">
      <c r="K49" s="11"/>
      <c r="L49" s="12"/>
      <c r="M49" s="8"/>
      <c r="N49" s="12"/>
      <c r="O49" s="13"/>
      <c r="P49" s="14"/>
      <c r="Q49" s="15"/>
      <c r="R49" s="14"/>
      <c r="S49" s="16"/>
      <c r="T49" s="14"/>
    </row>
    <row r="50" spans="11:20" ht="14.25" customHeight="1">
      <c r="K50" s="17"/>
      <c r="L50" s="12"/>
      <c r="M50" s="18"/>
      <c r="N50" s="12"/>
      <c r="O50" s="8"/>
      <c r="P50" s="14"/>
      <c r="Q50" s="15"/>
      <c r="R50" s="14"/>
      <c r="S50" s="16"/>
      <c r="T50" s="181"/>
    </row>
    <row r="51" spans="11:20" ht="14.25" customHeight="1">
      <c r="K51" s="17"/>
      <c r="L51" s="12"/>
      <c r="M51" s="8"/>
      <c r="N51" s="12"/>
      <c r="O51" s="8"/>
      <c r="P51" s="8"/>
      <c r="Q51" s="8"/>
      <c r="R51" s="14"/>
      <c r="S51" s="19"/>
      <c r="T51" s="181"/>
    </row>
    <row r="52" spans="11:20" ht="14.25" customHeight="1"/>
    <row r="53" spans="11:20" ht="14.25" customHeight="1">
      <c r="K53" s="11"/>
      <c r="L53" s="12"/>
      <c r="M53" s="8"/>
      <c r="N53" s="12"/>
      <c r="O53" s="13"/>
      <c r="P53" s="14"/>
      <c r="Q53" s="15"/>
      <c r="R53" s="14"/>
      <c r="S53" s="16"/>
      <c r="T53" s="14"/>
    </row>
    <row r="54" spans="11:20">
      <c r="K54" s="17"/>
      <c r="L54" s="12"/>
      <c r="M54" s="18"/>
      <c r="N54" s="12"/>
      <c r="O54" s="8"/>
      <c r="P54" s="14"/>
      <c r="Q54" s="15"/>
      <c r="R54" s="14"/>
      <c r="S54" s="16"/>
      <c r="T54" s="181"/>
    </row>
    <row r="55" spans="11:20">
      <c r="K55" s="17"/>
      <c r="L55" s="12"/>
      <c r="M55" s="8"/>
      <c r="N55" s="12"/>
      <c r="O55" s="8"/>
      <c r="P55" s="8"/>
      <c r="Q55" s="8"/>
      <c r="R55" s="14"/>
      <c r="S55" s="19"/>
      <c r="T55" s="184"/>
    </row>
    <row r="57" spans="11:20">
      <c r="K57" s="11"/>
      <c r="L57" s="12"/>
      <c r="M57" s="8"/>
      <c r="N57" s="12"/>
      <c r="O57" s="13"/>
      <c r="P57" s="14"/>
      <c r="Q57" s="15"/>
      <c r="R57" s="14"/>
      <c r="S57" s="16"/>
      <c r="T57" s="14"/>
    </row>
    <row r="58" spans="11:20">
      <c r="K58" s="17"/>
      <c r="L58" s="12"/>
      <c r="M58" s="18"/>
      <c r="N58" s="12"/>
      <c r="O58" s="8"/>
      <c r="P58" s="14"/>
      <c r="Q58" s="15"/>
      <c r="R58" s="14"/>
      <c r="S58" s="16"/>
      <c r="T58" s="181"/>
    </row>
    <row r="59" spans="11:20">
      <c r="K59" s="17"/>
      <c r="L59" s="12"/>
      <c r="M59" s="8"/>
      <c r="N59" s="12"/>
      <c r="O59" s="8"/>
      <c r="P59" s="8"/>
      <c r="Q59" s="8"/>
      <c r="R59" s="14"/>
      <c r="S59" s="19"/>
      <c r="T59" s="184"/>
    </row>
    <row r="61" spans="11:20">
      <c r="K61" s="11"/>
      <c r="L61" s="12"/>
      <c r="M61" s="8"/>
      <c r="N61" s="12"/>
      <c r="O61" s="13"/>
      <c r="P61" s="14"/>
      <c r="Q61" s="15"/>
      <c r="R61" s="14"/>
      <c r="S61" s="16"/>
      <c r="T61" s="14"/>
    </row>
    <row r="62" spans="11:20">
      <c r="K62" s="17"/>
      <c r="L62" s="12"/>
      <c r="M62" s="18"/>
      <c r="N62" s="12"/>
      <c r="O62" s="8"/>
      <c r="P62" s="14"/>
      <c r="Q62" s="15"/>
      <c r="R62" s="14"/>
      <c r="S62" s="16"/>
      <c r="T62" s="181"/>
    </row>
    <row r="63" spans="11:20">
      <c r="K63" s="17"/>
      <c r="L63" s="12"/>
      <c r="M63" s="8"/>
      <c r="N63" s="12"/>
      <c r="O63" s="8"/>
      <c r="P63" s="8"/>
      <c r="Q63" s="8"/>
      <c r="R63" s="14"/>
      <c r="S63" s="19"/>
      <c r="T63" s="184"/>
    </row>
    <row r="65" spans="11:20">
      <c r="K65" s="11"/>
      <c r="L65" s="12"/>
      <c r="M65" s="8"/>
      <c r="N65" s="12"/>
      <c r="O65" s="13"/>
      <c r="P65" s="14"/>
      <c r="Q65" s="15"/>
      <c r="R65" s="14"/>
      <c r="S65" s="16"/>
      <c r="T65" s="14"/>
    </row>
    <row r="66" spans="11:20">
      <c r="K66" s="17"/>
      <c r="L66" s="12"/>
      <c r="M66" s="18"/>
      <c r="N66" s="12"/>
      <c r="O66" s="8"/>
      <c r="P66" s="14"/>
      <c r="Q66" s="15"/>
      <c r="R66" s="14"/>
      <c r="S66" s="16"/>
      <c r="T66" s="181"/>
    </row>
    <row r="67" spans="11:20">
      <c r="K67" s="17"/>
      <c r="L67" s="12"/>
      <c r="M67" s="8"/>
      <c r="N67" s="12"/>
      <c r="O67" s="8"/>
      <c r="P67" s="8"/>
      <c r="Q67" s="8"/>
      <c r="R67" s="14"/>
      <c r="S67" s="19"/>
      <c r="T67" s="184"/>
    </row>
    <row r="69" spans="11:20">
      <c r="K69" s="11"/>
      <c r="L69" s="12"/>
      <c r="M69" s="8"/>
      <c r="N69" s="12"/>
      <c r="O69" s="13"/>
      <c r="P69" s="14"/>
      <c r="Q69" s="15"/>
      <c r="R69" s="14"/>
      <c r="S69" s="16"/>
      <c r="T69" s="14"/>
    </row>
    <row r="70" spans="11:20">
      <c r="K70" s="17"/>
      <c r="L70" s="12"/>
      <c r="M70" s="18"/>
      <c r="N70" s="12"/>
      <c r="O70" s="8"/>
      <c r="P70" s="14"/>
      <c r="Q70" s="15"/>
      <c r="R70" s="14"/>
      <c r="S70" s="16"/>
      <c r="T70" s="181"/>
    </row>
    <row r="71" spans="11:20">
      <c r="K71" s="17"/>
      <c r="L71" s="12"/>
      <c r="M71" s="20"/>
      <c r="N71" s="12"/>
      <c r="O71" s="8"/>
      <c r="P71" s="8"/>
      <c r="Q71" s="8"/>
      <c r="R71" s="14"/>
      <c r="S71" s="19"/>
      <c r="T71" s="184"/>
    </row>
    <row r="73" spans="11:20">
      <c r="K73" s="11"/>
      <c r="L73" s="12"/>
      <c r="M73" s="8"/>
      <c r="N73" s="12"/>
      <c r="O73" s="13"/>
      <c r="P73" s="14"/>
      <c r="Q73" s="15"/>
      <c r="R73" s="14"/>
      <c r="S73" s="16"/>
      <c r="T73" s="14"/>
    </row>
    <row r="74" spans="11:20">
      <c r="K74" s="17"/>
      <c r="L74" s="12"/>
      <c r="M74" s="18"/>
      <c r="N74" s="12"/>
      <c r="O74" s="8"/>
      <c r="P74" s="14"/>
      <c r="Q74" s="15"/>
      <c r="R74" s="14"/>
      <c r="S74" s="16"/>
      <c r="T74" s="181"/>
    </row>
    <row r="75" spans="11:20">
      <c r="K75" s="17"/>
      <c r="L75" s="12"/>
      <c r="M75" s="8"/>
      <c r="N75" s="12"/>
      <c r="O75" s="8"/>
      <c r="P75" s="8"/>
      <c r="Q75" s="8"/>
      <c r="R75" s="14"/>
      <c r="S75" s="19"/>
      <c r="T75" s="184"/>
    </row>
    <row r="77" spans="11:20">
      <c r="K77" s="11"/>
      <c r="L77" s="12"/>
      <c r="M77" s="8"/>
      <c r="N77" s="12"/>
      <c r="O77" s="13"/>
      <c r="P77" s="14"/>
      <c r="Q77" s="15"/>
      <c r="R77" s="14"/>
      <c r="S77" s="16"/>
      <c r="T77" s="14"/>
    </row>
    <row r="78" spans="11:20">
      <c r="K78" s="17"/>
      <c r="L78" s="12"/>
      <c r="M78" s="18"/>
      <c r="N78" s="12"/>
      <c r="O78" s="8"/>
      <c r="P78" s="14"/>
      <c r="Q78" s="15"/>
      <c r="R78" s="14"/>
      <c r="S78" s="16"/>
      <c r="T78" s="181"/>
    </row>
    <row r="79" spans="11:20">
      <c r="K79" s="17"/>
      <c r="L79" s="12"/>
      <c r="M79" s="20"/>
      <c r="N79" s="12"/>
      <c r="O79" s="8"/>
      <c r="P79" s="8"/>
      <c r="Q79" s="8"/>
      <c r="R79" s="14"/>
      <c r="S79" s="19"/>
      <c r="T79" s="184"/>
    </row>
    <row r="81" spans="11:20">
      <c r="K81" s="11"/>
      <c r="L81" s="12"/>
      <c r="M81" s="8"/>
      <c r="N81" s="12"/>
      <c r="O81" s="13"/>
      <c r="P81" s="14"/>
      <c r="Q81" s="15"/>
      <c r="R81" s="14"/>
      <c r="S81" s="16"/>
      <c r="T81" s="14"/>
    </row>
    <row r="82" spans="11:20">
      <c r="K82" s="17"/>
      <c r="L82" s="12"/>
      <c r="M82" s="18"/>
      <c r="N82" s="12"/>
      <c r="O82" s="8"/>
      <c r="P82" s="14"/>
      <c r="Q82" s="15"/>
      <c r="R82" s="14"/>
      <c r="S82" s="16"/>
      <c r="T82" s="181"/>
    </row>
    <row r="83" spans="11:20">
      <c r="K83" s="17"/>
      <c r="L83" s="12"/>
      <c r="M83" s="8"/>
      <c r="N83" s="12"/>
      <c r="O83" s="8"/>
      <c r="P83" s="8"/>
      <c r="Q83" s="8"/>
      <c r="R83" s="14"/>
      <c r="S83" s="19"/>
      <c r="T83" s="184"/>
    </row>
    <row r="85" spans="11:20">
      <c r="K85" s="11"/>
      <c r="L85" s="12"/>
      <c r="M85" s="8"/>
      <c r="N85" s="12"/>
      <c r="O85" s="13"/>
      <c r="P85" s="14"/>
      <c r="Q85" s="15"/>
      <c r="R85" s="14"/>
      <c r="S85" s="16"/>
      <c r="T85" s="14"/>
    </row>
    <row r="86" spans="11:20">
      <c r="K86" s="17"/>
      <c r="L86" s="12"/>
      <c r="M86" s="18"/>
      <c r="N86" s="12"/>
      <c r="O86" s="8"/>
      <c r="P86" s="14"/>
      <c r="Q86" s="15"/>
      <c r="R86" s="14"/>
      <c r="S86" s="16"/>
      <c r="T86" s="181"/>
    </row>
    <row r="87" spans="11:20">
      <c r="K87" s="17"/>
      <c r="L87" s="12"/>
      <c r="M87" s="8"/>
      <c r="N87" s="12"/>
      <c r="O87" s="8"/>
      <c r="P87" s="8"/>
      <c r="Q87" s="8"/>
      <c r="R87" s="14"/>
      <c r="S87" s="19"/>
      <c r="T87" s="184"/>
    </row>
    <row r="89" spans="11:20">
      <c r="K89" s="11"/>
      <c r="L89" s="12"/>
      <c r="M89" s="8"/>
      <c r="N89" s="12"/>
      <c r="O89" s="13"/>
      <c r="P89" s="14"/>
      <c r="Q89" s="15"/>
      <c r="R89" s="14"/>
      <c r="S89" s="16"/>
      <c r="T89" s="14"/>
    </row>
    <row r="90" spans="11:20">
      <c r="K90" s="17"/>
      <c r="L90" s="12"/>
      <c r="M90" s="18"/>
      <c r="N90" s="12"/>
      <c r="O90" s="8"/>
      <c r="P90" s="14"/>
      <c r="Q90" s="15"/>
      <c r="R90" s="14"/>
      <c r="S90" s="16"/>
      <c r="T90" s="181"/>
    </row>
    <row r="91" spans="11:20">
      <c r="K91" s="17"/>
      <c r="L91" s="12"/>
      <c r="M91" s="18"/>
      <c r="N91" s="12"/>
      <c r="O91" s="8"/>
      <c r="P91" s="8"/>
      <c r="Q91" s="8"/>
      <c r="R91" s="14"/>
      <c r="S91" s="19"/>
      <c r="T91" s="184"/>
    </row>
    <row r="93" spans="11:20">
      <c r="K93" s="11"/>
      <c r="L93" s="12"/>
      <c r="M93" s="8"/>
      <c r="N93" s="12"/>
      <c r="O93" s="13"/>
      <c r="P93" s="14"/>
      <c r="Q93" s="15"/>
      <c r="R93" s="14"/>
      <c r="S93" s="16"/>
      <c r="T93" s="14"/>
    </row>
    <row r="94" spans="11:20">
      <c r="K94" s="17"/>
      <c r="L94" s="12"/>
      <c r="M94" s="18"/>
      <c r="N94" s="12"/>
      <c r="O94" s="8"/>
      <c r="P94" s="14"/>
      <c r="Q94" s="15"/>
      <c r="R94" s="14"/>
      <c r="S94" s="16"/>
      <c r="T94" s="181"/>
    </row>
    <row r="95" spans="11:20">
      <c r="K95" s="17"/>
      <c r="L95" s="12"/>
      <c r="M95" s="20"/>
      <c r="N95" s="12"/>
      <c r="O95" s="8"/>
      <c r="P95" s="8"/>
      <c r="Q95" s="8"/>
      <c r="R95" s="14"/>
      <c r="S95" s="19"/>
      <c r="T95" s="184"/>
    </row>
    <row r="97" spans="11:20">
      <c r="K97" s="11"/>
      <c r="L97" s="12"/>
      <c r="M97" s="8"/>
      <c r="N97" s="12"/>
      <c r="O97" s="13"/>
      <c r="P97" s="14"/>
      <c r="Q97" s="15"/>
      <c r="R97" s="14"/>
      <c r="S97" s="16"/>
      <c r="T97" s="14"/>
    </row>
    <row r="98" spans="11:20">
      <c r="K98" s="17"/>
      <c r="L98" s="12"/>
      <c r="M98" s="18"/>
      <c r="N98" s="12"/>
      <c r="O98" s="8"/>
      <c r="P98" s="14"/>
      <c r="Q98" s="15"/>
      <c r="R98" s="14"/>
      <c r="S98" s="16"/>
      <c r="T98" s="181"/>
    </row>
    <row r="99" spans="11:20">
      <c r="K99" s="17"/>
      <c r="L99" s="12"/>
      <c r="M99" s="20"/>
      <c r="N99" s="12"/>
      <c r="O99" s="8"/>
      <c r="P99" s="8"/>
      <c r="Q99" s="8"/>
      <c r="R99" s="14"/>
      <c r="S99" s="19"/>
      <c r="T99" s="184"/>
    </row>
    <row r="101" spans="11:20">
      <c r="K101" s="11"/>
      <c r="L101" s="12"/>
      <c r="M101" s="8"/>
      <c r="N101" s="12"/>
      <c r="O101" s="13"/>
      <c r="P101" s="14"/>
      <c r="Q101" s="15"/>
      <c r="R101" s="14"/>
      <c r="S101" s="16"/>
      <c r="T101" s="14"/>
    </row>
    <row r="102" spans="11:20">
      <c r="K102" s="17"/>
      <c r="L102" s="12"/>
      <c r="M102" s="18"/>
      <c r="N102" s="12"/>
      <c r="O102" s="8"/>
      <c r="P102" s="14"/>
      <c r="Q102" s="15"/>
      <c r="R102" s="14"/>
      <c r="S102" s="16"/>
      <c r="T102" s="181"/>
    </row>
    <row r="103" spans="11:20">
      <c r="K103" s="17"/>
      <c r="L103" s="12"/>
      <c r="M103" s="8"/>
      <c r="N103" s="12"/>
      <c r="O103" s="8"/>
      <c r="P103" s="8"/>
      <c r="Q103" s="8"/>
      <c r="R103" s="14"/>
      <c r="S103" s="19"/>
      <c r="T103" s="184"/>
    </row>
    <row r="105" spans="11:20">
      <c r="K105" s="11"/>
      <c r="L105" s="12"/>
      <c r="M105" s="8"/>
      <c r="N105" s="12"/>
      <c r="O105" s="13"/>
      <c r="P105" s="14"/>
      <c r="Q105" s="15"/>
      <c r="R105" s="14"/>
      <c r="S105" s="16"/>
      <c r="T105" s="14"/>
    </row>
    <row r="106" spans="11:20">
      <c r="K106" s="17"/>
      <c r="L106" s="12"/>
      <c r="M106" s="18"/>
      <c r="N106" s="12"/>
      <c r="O106" s="8"/>
      <c r="P106" s="14"/>
      <c r="Q106" s="15"/>
      <c r="R106" s="14"/>
      <c r="S106" s="16"/>
      <c r="T106" s="181"/>
    </row>
    <row r="107" spans="11:20">
      <c r="K107" s="17"/>
      <c r="L107" s="12"/>
      <c r="M107" s="8"/>
      <c r="N107" s="12"/>
      <c r="O107" s="8"/>
      <c r="P107" s="8"/>
      <c r="Q107" s="8"/>
      <c r="R107" s="14"/>
      <c r="S107" s="19"/>
      <c r="T107" s="184"/>
    </row>
    <row r="109" spans="11:20">
      <c r="K109" s="11"/>
      <c r="L109" s="12"/>
      <c r="M109" s="8"/>
      <c r="N109" s="12"/>
      <c r="O109" s="13"/>
      <c r="P109" s="14"/>
      <c r="Q109" s="15"/>
      <c r="R109" s="14"/>
      <c r="S109" s="16"/>
      <c r="T109" s="14"/>
    </row>
    <row r="110" spans="11:20">
      <c r="K110" s="17"/>
      <c r="L110" s="12"/>
      <c r="M110" s="18"/>
      <c r="N110" s="12"/>
      <c r="O110" s="8"/>
      <c r="P110" s="14"/>
      <c r="Q110" s="15"/>
      <c r="R110" s="14"/>
      <c r="S110" s="16"/>
      <c r="T110" s="181"/>
    </row>
    <row r="111" spans="11:20">
      <c r="K111" s="17"/>
      <c r="L111" s="12"/>
      <c r="M111" s="8"/>
      <c r="N111" s="12"/>
      <c r="O111" s="8"/>
      <c r="P111" s="8"/>
      <c r="Q111" s="8"/>
      <c r="R111" s="14"/>
      <c r="S111" s="19"/>
      <c r="T111" s="184"/>
    </row>
    <row r="113" spans="11:20">
      <c r="K113" s="11"/>
      <c r="L113" s="12"/>
      <c r="M113" s="8"/>
      <c r="N113" s="12"/>
      <c r="O113" s="13"/>
      <c r="P113" s="14"/>
      <c r="Q113" s="15"/>
      <c r="R113" s="14"/>
      <c r="S113" s="16"/>
      <c r="T113" s="14"/>
    </row>
    <row r="114" spans="11:20">
      <c r="K114" s="17"/>
      <c r="L114" s="12"/>
      <c r="M114" s="18"/>
      <c r="N114" s="12"/>
      <c r="O114" s="8"/>
      <c r="P114" s="14"/>
      <c r="Q114" s="15"/>
      <c r="R114" s="14"/>
      <c r="S114" s="16"/>
      <c r="T114" s="181"/>
    </row>
    <row r="115" spans="11:20">
      <c r="K115" s="17"/>
      <c r="L115" s="12"/>
      <c r="M115" s="8"/>
      <c r="N115" s="12"/>
      <c r="O115" s="8"/>
      <c r="P115" s="8"/>
      <c r="Q115" s="8"/>
      <c r="R115" s="14"/>
      <c r="S115" s="19"/>
      <c r="T115" s="184"/>
    </row>
    <row r="117" spans="11:20">
      <c r="K117" s="11"/>
      <c r="L117" s="12"/>
      <c r="M117" s="8"/>
      <c r="N117" s="12"/>
      <c r="O117" s="13"/>
      <c r="P117" s="14"/>
      <c r="Q117" s="15"/>
      <c r="R117" s="14"/>
      <c r="S117" s="16"/>
      <c r="T117" s="14"/>
    </row>
    <row r="118" spans="11:20">
      <c r="K118" s="17"/>
      <c r="L118" s="12"/>
      <c r="M118" s="18"/>
      <c r="N118" s="12"/>
      <c r="O118" s="8"/>
      <c r="P118" s="14"/>
      <c r="Q118" s="15"/>
      <c r="R118" s="14"/>
      <c r="S118" s="16"/>
      <c r="T118" s="181"/>
    </row>
    <row r="119" spans="11:20">
      <c r="K119" s="17"/>
      <c r="L119" s="12"/>
      <c r="M119" s="8"/>
      <c r="N119" s="12"/>
      <c r="O119" s="8"/>
      <c r="P119" s="8"/>
      <c r="Q119" s="8"/>
      <c r="R119" s="14"/>
      <c r="S119" s="19"/>
      <c r="T119" s="184"/>
    </row>
    <row r="121" spans="11:20">
      <c r="K121" s="11"/>
      <c r="L121" s="12"/>
      <c r="M121" s="8"/>
      <c r="N121" s="12"/>
      <c r="O121" s="13"/>
      <c r="P121" s="14"/>
      <c r="Q121" s="15"/>
      <c r="R121" s="14"/>
      <c r="S121" s="16"/>
      <c r="T121" s="14"/>
    </row>
    <row r="122" spans="11:20">
      <c r="K122" s="17"/>
      <c r="L122" s="12"/>
      <c r="M122" s="18"/>
      <c r="N122" s="12"/>
      <c r="O122" s="8"/>
      <c r="P122" s="14"/>
      <c r="Q122" s="15"/>
      <c r="R122" s="14"/>
      <c r="S122" s="16"/>
      <c r="T122" s="181"/>
    </row>
    <row r="123" spans="11:20">
      <c r="K123" s="17"/>
      <c r="L123" s="12"/>
      <c r="M123" s="8"/>
      <c r="N123" s="12"/>
      <c r="O123" s="8"/>
      <c r="P123" s="8"/>
      <c r="Q123" s="8"/>
      <c r="R123" s="14"/>
      <c r="S123" s="19"/>
      <c r="T123" s="184"/>
    </row>
  </sheetData>
  <mergeCells count="27">
    <mergeCell ref="T118:T119"/>
    <mergeCell ref="T122:T123"/>
    <mergeCell ref="T94:T95"/>
    <mergeCell ref="T98:T99"/>
    <mergeCell ref="T102:T103"/>
    <mergeCell ref="T106:T107"/>
    <mergeCell ref="T110:T111"/>
    <mergeCell ref="T114:T115"/>
    <mergeCell ref="T90:T91"/>
    <mergeCell ref="T46:T47"/>
    <mergeCell ref="T50:T51"/>
    <mergeCell ref="T54:T55"/>
    <mergeCell ref="T58:T59"/>
    <mergeCell ref="T62:T63"/>
    <mergeCell ref="T66:T67"/>
    <mergeCell ref="T70:T71"/>
    <mergeCell ref="T74:T75"/>
    <mergeCell ref="T78:T79"/>
    <mergeCell ref="T82:T83"/>
    <mergeCell ref="T86:T87"/>
    <mergeCell ref="B22:H22"/>
    <mergeCell ref="T42:T43"/>
    <mergeCell ref="C28:E28"/>
    <mergeCell ref="F28:G28"/>
    <mergeCell ref="C33:E33"/>
    <mergeCell ref="F33:G33"/>
    <mergeCell ref="T38:T39"/>
  </mergeCells>
  <phoneticPr fontId="11"/>
  <printOptions horizontalCentered="1"/>
  <pageMargins left="0.39370078740157483" right="0.39370078740157483" top="0.39370078740157483" bottom="0.39370078740157483" header="0.19685039370078741" footer="0.19685039370078741"/>
  <pageSetup paperSize="9" orientation="landscape" r:id="rId1"/>
  <headerFooter alignWithMargins="0"/>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pageSetUpPr fitToPage="1"/>
  </sheetPr>
  <dimension ref="A1:BA34"/>
  <sheetViews>
    <sheetView view="pageBreakPreview" zoomScaleNormal="100" zoomScaleSheetLayoutView="100" workbookViewId="0">
      <selection sqref="A1:H1"/>
    </sheetView>
  </sheetViews>
  <sheetFormatPr defaultRowHeight="13"/>
  <cols>
    <col min="1" max="64" width="2.6328125" customWidth="1"/>
  </cols>
  <sheetData>
    <row r="1" spans="1:53" ht="12" customHeight="1">
      <c r="A1" s="225" t="s">
        <v>4</v>
      </c>
      <c r="B1" s="225"/>
      <c r="C1" s="225"/>
      <c r="D1" s="225"/>
      <c r="E1" s="225"/>
      <c r="F1" s="225"/>
      <c r="G1" s="225"/>
      <c r="H1" s="225"/>
      <c r="I1" s="208" t="s">
        <v>5</v>
      </c>
      <c r="J1" s="208"/>
      <c r="K1" s="208"/>
      <c r="L1" s="208"/>
      <c r="M1" s="223" t="s">
        <v>6</v>
      </c>
      <c r="N1" s="223"/>
      <c r="O1" s="223"/>
      <c r="P1" s="223"/>
      <c r="Q1" s="223"/>
      <c r="R1" s="223"/>
      <c r="S1" s="223"/>
      <c r="T1" s="223"/>
      <c r="U1" s="223"/>
      <c r="V1" s="223"/>
      <c r="W1" s="223"/>
      <c r="X1" s="208" t="s">
        <v>7</v>
      </c>
      <c r="Y1" s="208"/>
      <c r="Z1" s="208"/>
      <c r="AA1" s="227" t="s">
        <v>233</v>
      </c>
      <c r="AB1" s="227"/>
      <c r="AC1" s="227"/>
      <c r="AD1" s="227"/>
      <c r="AE1" s="227"/>
      <c r="AF1" s="227"/>
      <c r="AG1" s="227"/>
      <c r="AH1" s="227"/>
      <c r="AI1" s="227"/>
      <c r="AJ1" s="227"/>
      <c r="AK1" s="212" t="s">
        <v>8</v>
      </c>
      <c r="AL1" s="212"/>
      <c r="AM1" s="212"/>
      <c r="AN1" s="213" t="s">
        <v>32</v>
      </c>
      <c r="AO1" s="213"/>
      <c r="AP1" s="213"/>
      <c r="AQ1" s="212" t="s">
        <v>9</v>
      </c>
      <c r="AR1" s="212"/>
      <c r="AS1" s="212"/>
      <c r="AT1" s="215">
        <f>AL7</f>
        <v>46125</v>
      </c>
      <c r="AU1" s="215"/>
      <c r="AV1" s="215"/>
      <c r="AW1" s="215"/>
      <c r="AX1" s="204" t="s">
        <v>10</v>
      </c>
      <c r="AY1" s="205"/>
      <c r="AZ1" s="205"/>
      <c r="BA1" s="206"/>
    </row>
    <row r="2" spans="1:53">
      <c r="A2" s="207" t="s">
        <v>16</v>
      </c>
      <c r="B2" s="207"/>
      <c r="C2" s="207"/>
      <c r="D2" s="207"/>
      <c r="E2" s="207"/>
      <c r="F2" s="207"/>
      <c r="G2" s="207"/>
      <c r="H2" s="207"/>
      <c r="I2" s="208" t="s">
        <v>11</v>
      </c>
      <c r="J2" s="208"/>
      <c r="K2" s="208"/>
      <c r="L2" s="208"/>
      <c r="M2" s="209" t="s">
        <v>29</v>
      </c>
      <c r="N2" s="210"/>
      <c r="O2" s="210"/>
      <c r="P2" s="210"/>
      <c r="Q2" s="210"/>
      <c r="R2" s="210"/>
      <c r="S2" s="210"/>
      <c r="T2" s="210"/>
      <c r="U2" s="210"/>
      <c r="V2" s="210"/>
      <c r="W2" s="211"/>
      <c r="X2" s="208"/>
      <c r="Y2" s="208"/>
      <c r="Z2" s="208"/>
      <c r="AA2" s="227"/>
      <c r="AB2" s="227"/>
      <c r="AC2" s="227"/>
      <c r="AD2" s="227"/>
      <c r="AE2" s="227"/>
      <c r="AF2" s="227"/>
      <c r="AG2" s="227"/>
      <c r="AH2" s="227"/>
      <c r="AI2" s="227"/>
      <c r="AJ2" s="227"/>
      <c r="AK2" s="212" t="s">
        <v>12</v>
      </c>
      <c r="AL2" s="212"/>
      <c r="AM2" s="212"/>
      <c r="AN2" s="213" t="s">
        <v>32</v>
      </c>
      <c r="AO2" s="213"/>
      <c r="AP2" s="213"/>
      <c r="AQ2" s="212" t="s">
        <v>13</v>
      </c>
      <c r="AR2" s="212"/>
      <c r="AS2" s="212"/>
      <c r="AT2" s="215">
        <v>46134</v>
      </c>
      <c r="AU2" s="215"/>
      <c r="AV2" s="215"/>
      <c r="AW2" s="215"/>
      <c r="AX2" s="216" t="s">
        <v>30</v>
      </c>
      <c r="AY2" s="217"/>
      <c r="AZ2" s="217"/>
      <c r="BA2" s="218"/>
    </row>
    <row r="3" spans="1:53" ht="12" customHeight="1">
      <c r="A3" s="222" t="s">
        <v>26</v>
      </c>
      <c r="B3" s="222"/>
      <c r="C3" s="222"/>
      <c r="D3" s="222"/>
      <c r="E3" s="222"/>
      <c r="F3" s="222"/>
      <c r="G3" s="222"/>
      <c r="H3" s="222"/>
      <c r="I3" s="208" t="s">
        <v>14</v>
      </c>
      <c r="J3" s="208"/>
      <c r="K3" s="208"/>
      <c r="L3" s="208"/>
      <c r="M3" s="223"/>
      <c r="N3" s="223"/>
      <c r="O3" s="223"/>
      <c r="P3" s="223"/>
      <c r="Q3" s="223"/>
      <c r="R3" s="223"/>
      <c r="S3" s="223"/>
      <c r="T3" s="223"/>
      <c r="U3" s="223"/>
      <c r="V3" s="223"/>
      <c r="W3" s="223"/>
      <c r="X3" s="208" t="s">
        <v>27</v>
      </c>
      <c r="Y3" s="208"/>
      <c r="Z3" s="208"/>
      <c r="AA3" s="224" t="s">
        <v>234</v>
      </c>
      <c r="AB3" s="224"/>
      <c r="AC3" s="224"/>
      <c r="AD3" s="224"/>
      <c r="AE3" s="224"/>
      <c r="AF3" s="224"/>
      <c r="AG3" s="224"/>
      <c r="AH3" s="224"/>
      <c r="AI3" s="224"/>
      <c r="AJ3" s="224"/>
      <c r="AK3" s="224"/>
      <c r="AL3" s="224"/>
      <c r="AM3" s="224"/>
      <c r="AN3" s="224"/>
      <c r="AO3" s="224"/>
      <c r="AP3" s="224"/>
      <c r="AQ3" s="212" t="s">
        <v>15</v>
      </c>
      <c r="AR3" s="212"/>
      <c r="AS3" s="212"/>
      <c r="AT3" s="228" t="str">
        <f ca="1">INDIRECT("A" &amp; COUNTA(A7:A39) + 6)</f>
        <v>r1.2</v>
      </c>
      <c r="AU3" s="228"/>
      <c r="AV3" s="228"/>
      <c r="AW3" s="228"/>
      <c r="AX3" s="219"/>
      <c r="AY3" s="220"/>
      <c r="AZ3" s="220"/>
      <c r="BA3" s="221"/>
    </row>
    <row r="4" spans="1:53" ht="5.9" customHeight="1"/>
    <row r="5" spans="1:53" ht="14">
      <c r="A5" s="226" t="s">
        <v>25</v>
      </c>
      <c r="B5" s="226"/>
      <c r="C5" s="226"/>
      <c r="D5" s="226"/>
      <c r="E5" s="226"/>
      <c r="F5" s="226"/>
      <c r="G5" s="226"/>
      <c r="H5" s="226"/>
      <c r="I5" s="226"/>
      <c r="J5" s="226"/>
      <c r="K5" s="226"/>
      <c r="L5" s="226"/>
      <c r="M5" s="226"/>
      <c r="N5" s="226"/>
      <c r="O5" s="226"/>
      <c r="P5" s="226"/>
      <c r="Q5" s="226"/>
      <c r="R5" s="226"/>
      <c r="S5" s="226"/>
      <c r="T5" s="226"/>
      <c r="U5" s="226"/>
      <c r="V5" s="226"/>
      <c r="W5" s="226"/>
      <c r="X5" s="226"/>
      <c r="Y5" s="226"/>
      <c r="Z5" s="226"/>
      <c r="AA5" s="226"/>
      <c r="AB5" s="226"/>
      <c r="AC5" s="226"/>
      <c r="AD5" s="226"/>
      <c r="AE5" s="226"/>
      <c r="AF5" s="226"/>
      <c r="AG5" s="226"/>
      <c r="AH5" s="226"/>
      <c r="AI5" s="226"/>
      <c r="AJ5" s="226"/>
      <c r="AK5" s="226"/>
      <c r="AL5" s="226"/>
      <c r="AM5" s="226"/>
      <c r="AN5" s="226"/>
      <c r="AO5" s="226"/>
      <c r="AP5" s="226"/>
      <c r="AQ5" s="226"/>
      <c r="AR5" s="226"/>
      <c r="AS5" s="226"/>
      <c r="AT5" s="226"/>
      <c r="AU5" s="226"/>
      <c r="AV5" s="226"/>
      <c r="AW5" s="226"/>
      <c r="AX5" s="226"/>
      <c r="AY5" s="226"/>
      <c r="AZ5" s="226"/>
      <c r="BA5" s="226"/>
    </row>
    <row r="6" spans="1:53">
      <c r="A6" s="229" t="s">
        <v>24</v>
      </c>
      <c r="B6" s="230"/>
      <c r="C6" s="214" t="s">
        <v>17</v>
      </c>
      <c r="D6" s="214"/>
      <c r="E6" s="214"/>
      <c r="F6" s="214"/>
      <c r="G6" s="214"/>
      <c r="H6" s="214"/>
      <c r="I6" s="214"/>
      <c r="J6" s="214"/>
      <c r="K6" s="214"/>
      <c r="L6" s="214"/>
      <c r="M6" s="214"/>
      <c r="N6" s="214"/>
      <c r="O6" s="214"/>
      <c r="P6" s="214"/>
      <c r="Q6" s="214" t="s">
        <v>18</v>
      </c>
      <c r="R6" s="214"/>
      <c r="S6" s="214"/>
      <c r="T6" s="214"/>
      <c r="U6" s="214"/>
      <c r="V6" s="214"/>
      <c r="W6" s="214"/>
      <c r="X6" s="214"/>
      <c r="Y6" s="214"/>
      <c r="Z6" s="214"/>
      <c r="AA6" s="214"/>
      <c r="AB6" s="214"/>
      <c r="AC6" s="214"/>
      <c r="AD6" s="214"/>
      <c r="AE6" s="214"/>
      <c r="AF6" s="214"/>
      <c r="AG6" s="214"/>
      <c r="AH6" s="214"/>
      <c r="AI6" s="214"/>
      <c r="AJ6" s="214"/>
      <c r="AK6" s="214"/>
      <c r="AL6" s="214" t="s">
        <v>19</v>
      </c>
      <c r="AM6" s="214"/>
      <c r="AN6" s="214"/>
      <c r="AO6" s="214"/>
      <c r="AP6" s="214" t="s">
        <v>20</v>
      </c>
      <c r="AQ6" s="214"/>
      <c r="AR6" s="214"/>
      <c r="AS6" s="214" t="s">
        <v>21</v>
      </c>
      <c r="AT6" s="214"/>
      <c r="AU6" s="214"/>
      <c r="AV6" s="214" t="s">
        <v>22</v>
      </c>
      <c r="AW6" s="214"/>
      <c r="AX6" s="214"/>
      <c r="AY6" s="214"/>
      <c r="AZ6" s="214"/>
      <c r="BA6" s="214"/>
    </row>
    <row r="7" spans="1:53">
      <c r="A7" s="186" t="s">
        <v>31</v>
      </c>
      <c r="B7" s="186"/>
      <c r="C7" s="187" t="s">
        <v>23</v>
      </c>
      <c r="D7" s="187"/>
      <c r="E7" s="187"/>
      <c r="F7" s="187"/>
      <c r="G7" s="187"/>
      <c r="H7" s="187"/>
      <c r="I7" s="187"/>
      <c r="J7" s="187"/>
      <c r="K7" s="187"/>
      <c r="L7" s="187"/>
      <c r="M7" s="187"/>
      <c r="N7" s="187"/>
      <c r="O7" s="187"/>
      <c r="P7" s="187"/>
      <c r="Q7" s="187"/>
      <c r="R7" s="187"/>
      <c r="S7" s="187"/>
      <c r="T7" s="187"/>
      <c r="U7" s="187"/>
      <c r="V7" s="187"/>
      <c r="W7" s="187"/>
      <c r="X7" s="187"/>
      <c r="Y7" s="187"/>
      <c r="Z7" s="187"/>
      <c r="AA7" s="187"/>
      <c r="AB7" s="187"/>
      <c r="AC7" s="187"/>
      <c r="AD7" s="187"/>
      <c r="AE7" s="187"/>
      <c r="AF7" s="187"/>
      <c r="AG7" s="187"/>
      <c r="AH7" s="187"/>
      <c r="AI7" s="187"/>
      <c r="AJ7" s="187"/>
      <c r="AK7" s="187"/>
      <c r="AL7" s="191">
        <v>46125</v>
      </c>
      <c r="AM7" s="192"/>
      <c r="AN7" s="192"/>
      <c r="AO7" s="192"/>
      <c r="AP7" s="187" t="s">
        <v>32</v>
      </c>
      <c r="AQ7" s="187"/>
      <c r="AR7" s="187"/>
      <c r="AS7" s="187"/>
      <c r="AT7" s="187"/>
      <c r="AU7" s="187"/>
      <c r="AV7" s="187"/>
      <c r="AW7" s="187"/>
      <c r="AX7" s="187"/>
      <c r="AY7" s="187"/>
      <c r="AZ7" s="187"/>
      <c r="BA7" s="187"/>
    </row>
    <row r="8" spans="1:53" ht="26.5" customHeight="1">
      <c r="A8" s="201" t="s">
        <v>228</v>
      </c>
      <c r="B8" s="202"/>
      <c r="C8" s="188" t="s">
        <v>230</v>
      </c>
      <c r="D8" s="188"/>
      <c r="E8" s="188"/>
      <c r="F8" s="188"/>
      <c r="G8" s="188"/>
      <c r="H8" s="188"/>
      <c r="I8" s="188"/>
      <c r="J8" s="188"/>
      <c r="K8" s="188"/>
      <c r="L8" s="188"/>
      <c r="M8" s="188"/>
      <c r="N8" s="188"/>
      <c r="O8" s="188"/>
      <c r="P8" s="188"/>
      <c r="Q8" s="198" t="s">
        <v>229</v>
      </c>
      <c r="R8" s="199"/>
      <c r="S8" s="199"/>
      <c r="T8" s="199"/>
      <c r="U8" s="199"/>
      <c r="V8" s="199"/>
      <c r="W8" s="199"/>
      <c r="X8" s="199"/>
      <c r="Y8" s="199"/>
      <c r="Z8" s="199"/>
      <c r="AA8" s="199"/>
      <c r="AB8" s="199"/>
      <c r="AC8" s="199"/>
      <c r="AD8" s="199"/>
      <c r="AE8" s="199"/>
      <c r="AF8" s="199"/>
      <c r="AG8" s="199"/>
      <c r="AH8" s="199"/>
      <c r="AI8" s="199"/>
      <c r="AJ8" s="199"/>
      <c r="AK8" s="200"/>
      <c r="AL8" s="193">
        <v>46134</v>
      </c>
      <c r="AM8" s="194"/>
      <c r="AN8" s="194"/>
      <c r="AO8" s="195"/>
      <c r="AP8" s="187" t="s">
        <v>32</v>
      </c>
      <c r="AQ8" s="187"/>
      <c r="AR8" s="187"/>
      <c r="AS8" s="187"/>
      <c r="AT8" s="187"/>
      <c r="AU8" s="187"/>
      <c r="AV8" s="187"/>
      <c r="AW8" s="187"/>
      <c r="AX8" s="187"/>
      <c r="AY8" s="187"/>
      <c r="AZ8" s="187"/>
      <c r="BA8" s="187"/>
    </row>
    <row r="9" spans="1:53">
      <c r="A9" s="201" t="s">
        <v>231</v>
      </c>
      <c r="B9" s="202"/>
      <c r="C9" s="187" t="s">
        <v>232</v>
      </c>
      <c r="D9" s="187"/>
      <c r="E9" s="187"/>
      <c r="F9" s="187"/>
      <c r="G9" s="187"/>
      <c r="H9" s="187"/>
      <c r="I9" s="187"/>
      <c r="J9" s="187"/>
      <c r="K9" s="187"/>
      <c r="L9" s="187"/>
      <c r="M9" s="187"/>
      <c r="N9" s="187"/>
      <c r="O9" s="187"/>
      <c r="P9" s="187"/>
      <c r="Q9" s="198"/>
      <c r="R9" s="199"/>
      <c r="S9" s="199"/>
      <c r="T9" s="199"/>
      <c r="U9" s="199"/>
      <c r="V9" s="199"/>
      <c r="W9" s="199"/>
      <c r="X9" s="199"/>
      <c r="Y9" s="199"/>
      <c r="Z9" s="199"/>
      <c r="AA9" s="199"/>
      <c r="AB9" s="199"/>
      <c r="AC9" s="199"/>
      <c r="AD9" s="199"/>
      <c r="AE9" s="199"/>
      <c r="AF9" s="199"/>
      <c r="AG9" s="199"/>
      <c r="AH9" s="199"/>
      <c r="AI9" s="199"/>
      <c r="AJ9" s="199"/>
      <c r="AK9" s="200"/>
      <c r="AL9" s="193">
        <v>46155</v>
      </c>
      <c r="AM9" s="194"/>
      <c r="AN9" s="194"/>
      <c r="AO9" s="195"/>
      <c r="AP9" s="187" t="s">
        <v>32</v>
      </c>
      <c r="AQ9" s="187"/>
      <c r="AR9" s="187"/>
      <c r="AS9" s="187"/>
      <c r="AT9" s="187"/>
      <c r="AU9" s="187"/>
      <c r="AV9" s="187"/>
      <c r="AW9" s="187"/>
      <c r="AX9" s="187"/>
      <c r="AY9" s="187"/>
      <c r="AZ9" s="187"/>
      <c r="BA9" s="187"/>
    </row>
    <row r="10" spans="1:53">
      <c r="A10" s="186"/>
      <c r="B10" s="186"/>
      <c r="C10" s="187"/>
      <c r="D10" s="187"/>
      <c r="E10" s="187"/>
      <c r="F10" s="187"/>
      <c r="G10" s="187"/>
      <c r="H10" s="187"/>
      <c r="I10" s="187"/>
      <c r="J10" s="187"/>
      <c r="K10" s="187"/>
      <c r="L10" s="187"/>
      <c r="M10" s="187"/>
      <c r="N10" s="187"/>
      <c r="O10" s="187"/>
      <c r="P10" s="187"/>
      <c r="Q10" s="188"/>
      <c r="R10" s="187"/>
      <c r="S10" s="187"/>
      <c r="T10" s="187"/>
      <c r="U10" s="187"/>
      <c r="V10" s="187"/>
      <c r="W10" s="187"/>
      <c r="X10" s="187"/>
      <c r="Y10" s="187"/>
      <c r="Z10" s="187"/>
      <c r="AA10" s="187"/>
      <c r="AB10" s="187"/>
      <c r="AC10" s="187"/>
      <c r="AD10" s="187"/>
      <c r="AE10" s="187"/>
      <c r="AF10" s="187"/>
      <c r="AG10" s="187"/>
      <c r="AH10" s="187"/>
      <c r="AI10" s="187"/>
      <c r="AJ10" s="187"/>
      <c r="AK10" s="187"/>
      <c r="AL10" s="185"/>
      <c r="AM10" s="186"/>
      <c r="AN10" s="186"/>
      <c r="AO10" s="186"/>
      <c r="AP10" s="187"/>
      <c r="AQ10" s="187"/>
      <c r="AR10" s="187"/>
      <c r="AS10" s="187"/>
      <c r="AT10" s="187"/>
      <c r="AU10" s="187"/>
      <c r="AV10" s="187"/>
      <c r="AW10" s="187"/>
      <c r="AX10" s="187"/>
      <c r="AY10" s="187"/>
      <c r="AZ10" s="187"/>
      <c r="BA10" s="187"/>
    </row>
    <row r="11" spans="1:53">
      <c r="A11" s="186"/>
      <c r="B11" s="186"/>
      <c r="C11" s="188"/>
      <c r="D11" s="187"/>
      <c r="E11" s="187"/>
      <c r="F11" s="187"/>
      <c r="G11" s="187"/>
      <c r="H11" s="187"/>
      <c r="I11" s="187"/>
      <c r="J11" s="187"/>
      <c r="K11" s="187"/>
      <c r="L11" s="187"/>
      <c r="M11" s="187"/>
      <c r="N11" s="187"/>
      <c r="O11" s="187"/>
      <c r="P11" s="187"/>
      <c r="Q11" s="188"/>
      <c r="R11" s="187"/>
      <c r="S11" s="187"/>
      <c r="T11" s="187"/>
      <c r="U11" s="187"/>
      <c r="V11" s="187"/>
      <c r="W11" s="187"/>
      <c r="X11" s="187"/>
      <c r="Y11" s="187"/>
      <c r="Z11" s="187"/>
      <c r="AA11" s="187"/>
      <c r="AB11" s="187"/>
      <c r="AC11" s="187"/>
      <c r="AD11" s="187"/>
      <c r="AE11" s="187"/>
      <c r="AF11" s="187"/>
      <c r="AG11" s="187"/>
      <c r="AH11" s="187"/>
      <c r="AI11" s="187"/>
      <c r="AJ11" s="187"/>
      <c r="AK11" s="187"/>
      <c r="AL11" s="185"/>
      <c r="AM11" s="186"/>
      <c r="AN11" s="186"/>
      <c r="AO11" s="186"/>
      <c r="AP11" s="187"/>
      <c r="AQ11" s="187"/>
      <c r="AR11" s="187"/>
      <c r="AS11" s="187"/>
      <c r="AT11" s="187"/>
      <c r="AU11" s="187"/>
      <c r="AV11" s="187"/>
      <c r="AW11" s="187"/>
      <c r="AX11" s="187"/>
      <c r="AY11" s="187"/>
      <c r="AZ11" s="187"/>
      <c r="BA11" s="187"/>
    </row>
    <row r="12" spans="1:53">
      <c r="A12" s="186"/>
      <c r="B12" s="186"/>
      <c r="C12" s="187"/>
      <c r="D12" s="187"/>
      <c r="E12" s="187"/>
      <c r="F12" s="187"/>
      <c r="G12" s="187"/>
      <c r="H12" s="187"/>
      <c r="I12" s="187"/>
      <c r="J12" s="187"/>
      <c r="K12" s="187"/>
      <c r="L12" s="187"/>
      <c r="M12" s="187"/>
      <c r="N12" s="187"/>
      <c r="O12" s="187"/>
      <c r="P12" s="187"/>
      <c r="Q12" s="187"/>
      <c r="R12" s="187"/>
      <c r="S12" s="187"/>
      <c r="T12" s="187"/>
      <c r="U12" s="187"/>
      <c r="V12" s="187"/>
      <c r="W12" s="187"/>
      <c r="X12" s="187"/>
      <c r="Y12" s="187"/>
      <c r="Z12" s="187"/>
      <c r="AA12" s="187"/>
      <c r="AB12" s="187"/>
      <c r="AC12" s="187"/>
      <c r="AD12" s="187"/>
      <c r="AE12" s="187"/>
      <c r="AF12" s="187"/>
      <c r="AG12" s="187"/>
      <c r="AH12" s="187"/>
      <c r="AI12" s="187"/>
      <c r="AJ12" s="187"/>
      <c r="AK12" s="187"/>
      <c r="AL12" s="185"/>
      <c r="AM12" s="186"/>
      <c r="AN12" s="186"/>
      <c r="AO12" s="186"/>
      <c r="AP12" s="187"/>
      <c r="AQ12" s="187"/>
      <c r="AR12" s="187"/>
      <c r="AS12" s="187"/>
      <c r="AT12" s="187"/>
      <c r="AU12" s="187"/>
      <c r="AV12" s="187"/>
      <c r="AW12" s="187"/>
      <c r="AX12" s="187"/>
      <c r="AY12" s="187"/>
      <c r="AZ12" s="187"/>
      <c r="BA12" s="187"/>
    </row>
    <row r="13" spans="1:53">
      <c r="A13" s="197"/>
      <c r="B13" s="197"/>
      <c r="C13" s="189"/>
      <c r="D13" s="189"/>
      <c r="E13" s="189"/>
      <c r="F13" s="189"/>
      <c r="G13" s="189"/>
      <c r="H13" s="189"/>
      <c r="I13" s="189"/>
      <c r="J13" s="189"/>
      <c r="K13" s="189"/>
      <c r="L13" s="189"/>
      <c r="M13" s="189"/>
      <c r="N13" s="189"/>
      <c r="O13" s="189"/>
      <c r="P13" s="189"/>
      <c r="Q13" s="188"/>
      <c r="R13" s="187"/>
      <c r="S13" s="187"/>
      <c r="T13" s="187"/>
      <c r="U13" s="187"/>
      <c r="V13" s="187"/>
      <c r="W13" s="187"/>
      <c r="X13" s="187"/>
      <c r="Y13" s="187"/>
      <c r="Z13" s="187"/>
      <c r="AA13" s="187"/>
      <c r="AB13" s="187"/>
      <c r="AC13" s="187"/>
      <c r="AD13" s="187"/>
      <c r="AE13" s="187"/>
      <c r="AF13" s="187"/>
      <c r="AG13" s="187"/>
      <c r="AH13" s="187"/>
      <c r="AI13" s="187"/>
      <c r="AJ13" s="187"/>
      <c r="AK13" s="187"/>
      <c r="AL13" s="196"/>
      <c r="AM13" s="197"/>
      <c r="AN13" s="197"/>
      <c r="AO13" s="197"/>
      <c r="AP13" s="187"/>
      <c r="AQ13" s="187"/>
      <c r="AR13" s="187"/>
      <c r="AS13" s="189"/>
      <c r="AT13" s="189"/>
      <c r="AU13" s="189"/>
      <c r="AV13" s="189"/>
      <c r="AW13" s="189"/>
      <c r="AX13" s="189"/>
      <c r="AY13" s="189"/>
      <c r="AZ13" s="189"/>
      <c r="BA13" s="189"/>
    </row>
    <row r="14" spans="1:53">
      <c r="A14" s="186"/>
      <c r="B14" s="186"/>
      <c r="C14" s="187"/>
      <c r="D14" s="187"/>
      <c r="E14" s="187"/>
      <c r="F14" s="187"/>
      <c r="G14" s="187"/>
      <c r="H14" s="187"/>
      <c r="I14" s="187"/>
      <c r="J14" s="187"/>
      <c r="K14" s="187"/>
      <c r="L14" s="187"/>
      <c r="M14" s="187"/>
      <c r="N14" s="187"/>
      <c r="O14" s="187"/>
      <c r="P14" s="187"/>
      <c r="Q14" s="188"/>
      <c r="R14" s="187"/>
      <c r="S14" s="187"/>
      <c r="T14" s="187"/>
      <c r="U14" s="187"/>
      <c r="V14" s="187"/>
      <c r="W14" s="187"/>
      <c r="X14" s="187"/>
      <c r="Y14" s="187"/>
      <c r="Z14" s="187"/>
      <c r="AA14" s="187"/>
      <c r="AB14" s="187"/>
      <c r="AC14" s="187"/>
      <c r="AD14" s="187"/>
      <c r="AE14" s="187"/>
      <c r="AF14" s="187"/>
      <c r="AG14" s="187"/>
      <c r="AH14" s="187"/>
      <c r="AI14" s="187"/>
      <c r="AJ14" s="187"/>
      <c r="AK14" s="187"/>
      <c r="AL14" s="185"/>
      <c r="AM14" s="186"/>
      <c r="AN14" s="186"/>
      <c r="AO14" s="186"/>
      <c r="AP14" s="187"/>
      <c r="AQ14" s="187"/>
      <c r="AR14" s="187"/>
      <c r="AS14" s="187"/>
      <c r="AT14" s="187"/>
      <c r="AU14" s="187"/>
      <c r="AV14" s="187"/>
      <c r="AW14" s="187"/>
      <c r="AX14" s="187"/>
      <c r="AY14" s="187"/>
      <c r="AZ14" s="187"/>
      <c r="BA14" s="187"/>
    </row>
    <row r="15" spans="1:53">
      <c r="A15" s="186"/>
      <c r="B15" s="186"/>
      <c r="C15" s="187"/>
      <c r="D15" s="187"/>
      <c r="E15" s="187"/>
      <c r="F15" s="187"/>
      <c r="G15" s="187"/>
      <c r="H15" s="187"/>
      <c r="I15" s="187"/>
      <c r="J15" s="187"/>
      <c r="K15" s="187"/>
      <c r="L15" s="187"/>
      <c r="M15" s="187"/>
      <c r="N15" s="187"/>
      <c r="O15" s="187"/>
      <c r="P15" s="187"/>
      <c r="Q15" s="188"/>
      <c r="R15" s="187"/>
      <c r="S15" s="187"/>
      <c r="T15" s="187"/>
      <c r="U15" s="187"/>
      <c r="V15" s="187"/>
      <c r="W15" s="187"/>
      <c r="X15" s="187"/>
      <c r="Y15" s="187"/>
      <c r="Z15" s="187"/>
      <c r="AA15" s="187"/>
      <c r="AB15" s="187"/>
      <c r="AC15" s="187"/>
      <c r="AD15" s="187"/>
      <c r="AE15" s="187"/>
      <c r="AF15" s="187"/>
      <c r="AG15" s="187"/>
      <c r="AH15" s="187"/>
      <c r="AI15" s="187"/>
      <c r="AJ15" s="187"/>
      <c r="AK15" s="187"/>
      <c r="AL15" s="185"/>
      <c r="AM15" s="186"/>
      <c r="AN15" s="186"/>
      <c r="AO15" s="186"/>
      <c r="AP15" s="187"/>
      <c r="AQ15" s="187"/>
      <c r="AR15" s="187"/>
      <c r="AS15" s="187"/>
      <c r="AT15" s="187"/>
      <c r="AU15" s="187"/>
      <c r="AV15" s="187"/>
      <c r="AW15" s="187"/>
      <c r="AX15" s="187"/>
      <c r="AY15" s="187"/>
      <c r="AZ15" s="187"/>
      <c r="BA15" s="187"/>
    </row>
    <row r="16" spans="1:53">
      <c r="A16" s="186"/>
      <c r="B16" s="186"/>
      <c r="C16" s="187"/>
      <c r="D16" s="187"/>
      <c r="E16" s="187"/>
      <c r="F16" s="187"/>
      <c r="G16" s="187"/>
      <c r="H16" s="187"/>
      <c r="I16" s="187"/>
      <c r="J16" s="187"/>
      <c r="K16" s="187"/>
      <c r="L16" s="187"/>
      <c r="M16" s="187"/>
      <c r="N16" s="187"/>
      <c r="O16" s="187"/>
      <c r="P16" s="187"/>
      <c r="Q16" s="188"/>
      <c r="R16" s="187"/>
      <c r="S16" s="187"/>
      <c r="T16" s="187"/>
      <c r="U16" s="187"/>
      <c r="V16" s="187"/>
      <c r="W16" s="187"/>
      <c r="X16" s="187"/>
      <c r="Y16" s="187"/>
      <c r="Z16" s="187"/>
      <c r="AA16" s="187"/>
      <c r="AB16" s="187"/>
      <c r="AC16" s="187"/>
      <c r="AD16" s="187"/>
      <c r="AE16" s="187"/>
      <c r="AF16" s="187"/>
      <c r="AG16" s="187"/>
      <c r="AH16" s="187"/>
      <c r="AI16" s="187"/>
      <c r="AJ16" s="187"/>
      <c r="AK16" s="187"/>
      <c r="AL16" s="185"/>
      <c r="AM16" s="186"/>
      <c r="AN16" s="186"/>
      <c r="AO16" s="186"/>
      <c r="AP16" s="187"/>
      <c r="AQ16" s="187"/>
      <c r="AR16" s="187"/>
      <c r="AS16" s="187"/>
      <c r="AT16" s="187"/>
      <c r="AU16" s="187"/>
      <c r="AV16" s="187"/>
      <c r="AW16" s="187"/>
      <c r="AX16" s="187"/>
      <c r="AY16" s="187"/>
      <c r="AZ16" s="187"/>
      <c r="BA16" s="187"/>
    </row>
    <row r="17" spans="1:53">
      <c r="A17" s="203"/>
      <c r="B17" s="203"/>
      <c r="C17" s="187"/>
      <c r="D17" s="187"/>
      <c r="E17" s="187"/>
      <c r="F17" s="187"/>
      <c r="G17" s="187"/>
      <c r="H17" s="187"/>
      <c r="I17" s="187"/>
      <c r="J17" s="187"/>
      <c r="K17" s="187"/>
      <c r="L17" s="187"/>
      <c r="M17" s="187"/>
      <c r="N17" s="187"/>
      <c r="O17" s="187"/>
      <c r="P17" s="187"/>
      <c r="Q17" s="187"/>
      <c r="R17" s="190"/>
      <c r="S17" s="190"/>
      <c r="T17" s="190"/>
      <c r="U17" s="190"/>
      <c r="V17" s="190"/>
      <c r="W17" s="190"/>
      <c r="X17" s="190"/>
      <c r="Y17" s="190"/>
      <c r="Z17" s="190"/>
      <c r="AA17" s="190"/>
      <c r="AB17" s="190"/>
      <c r="AC17" s="190"/>
      <c r="AD17" s="190"/>
      <c r="AE17" s="190"/>
      <c r="AF17" s="190"/>
      <c r="AG17" s="190"/>
      <c r="AH17" s="190"/>
      <c r="AI17" s="190"/>
      <c r="AJ17" s="190"/>
      <c r="AK17" s="190"/>
      <c r="AL17" s="185"/>
      <c r="AM17" s="186"/>
      <c r="AN17" s="186"/>
      <c r="AO17" s="186"/>
      <c r="AP17" s="187"/>
      <c r="AQ17" s="190"/>
      <c r="AR17" s="190"/>
      <c r="AS17" s="190"/>
      <c r="AT17" s="190"/>
      <c r="AU17" s="190"/>
      <c r="AV17" s="190"/>
      <c r="AW17" s="190"/>
      <c r="AX17" s="190"/>
      <c r="AY17" s="190"/>
      <c r="AZ17" s="190"/>
      <c r="BA17" s="190"/>
    </row>
    <row r="18" spans="1:53">
      <c r="A18" s="203"/>
      <c r="B18" s="203"/>
      <c r="C18" s="187"/>
      <c r="D18" s="187"/>
      <c r="E18" s="187"/>
      <c r="F18" s="187"/>
      <c r="G18" s="187"/>
      <c r="H18" s="187"/>
      <c r="I18" s="187"/>
      <c r="J18" s="187"/>
      <c r="K18" s="187"/>
      <c r="L18" s="187"/>
      <c r="M18" s="187"/>
      <c r="N18" s="187"/>
      <c r="O18" s="187"/>
      <c r="P18" s="187"/>
      <c r="Q18" s="187"/>
      <c r="R18" s="190"/>
      <c r="S18" s="190"/>
      <c r="T18" s="190"/>
      <c r="U18" s="190"/>
      <c r="V18" s="190"/>
      <c r="W18" s="190"/>
      <c r="X18" s="190"/>
      <c r="Y18" s="190"/>
      <c r="Z18" s="190"/>
      <c r="AA18" s="190"/>
      <c r="AB18" s="190"/>
      <c r="AC18" s="190"/>
      <c r="AD18" s="190"/>
      <c r="AE18" s="190"/>
      <c r="AF18" s="190"/>
      <c r="AG18" s="190"/>
      <c r="AH18" s="190"/>
      <c r="AI18" s="190"/>
      <c r="AJ18" s="190"/>
      <c r="AK18" s="190"/>
      <c r="AL18" s="185"/>
      <c r="AM18" s="186"/>
      <c r="AN18" s="186"/>
      <c r="AO18" s="186"/>
      <c r="AP18" s="187"/>
      <c r="AQ18" s="190"/>
      <c r="AR18" s="190"/>
      <c r="AS18" s="190"/>
      <c r="AT18" s="190"/>
      <c r="AU18" s="190"/>
      <c r="AV18" s="190"/>
      <c r="AW18" s="190"/>
      <c r="AX18" s="190"/>
      <c r="AY18" s="190"/>
      <c r="AZ18" s="190"/>
      <c r="BA18" s="190"/>
    </row>
    <row r="19" spans="1:53">
      <c r="A19" s="186"/>
      <c r="B19" s="186"/>
      <c r="C19" s="187"/>
      <c r="D19" s="187"/>
      <c r="E19" s="187"/>
      <c r="F19" s="187"/>
      <c r="G19" s="187"/>
      <c r="H19" s="187"/>
      <c r="I19" s="187"/>
      <c r="J19" s="187"/>
      <c r="K19" s="187"/>
      <c r="L19" s="187"/>
      <c r="M19" s="187"/>
      <c r="N19" s="187"/>
      <c r="O19" s="187"/>
      <c r="P19" s="187"/>
      <c r="Q19" s="187"/>
      <c r="R19" s="187"/>
      <c r="S19" s="187"/>
      <c r="T19" s="187"/>
      <c r="U19" s="187"/>
      <c r="V19" s="187"/>
      <c r="W19" s="187"/>
      <c r="X19" s="187"/>
      <c r="Y19" s="187"/>
      <c r="Z19" s="187"/>
      <c r="AA19" s="187"/>
      <c r="AB19" s="187"/>
      <c r="AC19" s="187"/>
      <c r="AD19" s="187"/>
      <c r="AE19" s="187"/>
      <c r="AF19" s="187"/>
      <c r="AG19" s="187"/>
      <c r="AH19" s="187"/>
      <c r="AI19" s="187"/>
      <c r="AJ19" s="187"/>
      <c r="AK19" s="187"/>
      <c r="AL19" s="185"/>
      <c r="AM19" s="185"/>
      <c r="AN19" s="185"/>
      <c r="AO19" s="185"/>
      <c r="AP19" s="187"/>
      <c r="AQ19" s="187"/>
      <c r="AR19" s="187"/>
      <c r="AS19" s="187"/>
      <c r="AT19" s="187"/>
      <c r="AU19" s="187"/>
      <c r="AV19" s="187"/>
      <c r="AW19" s="187"/>
      <c r="AX19" s="187"/>
      <c r="AY19" s="187"/>
      <c r="AZ19" s="187"/>
      <c r="BA19" s="187"/>
    </row>
    <row r="20" spans="1:53">
      <c r="A20" s="186"/>
      <c r="B20" s="186"/>
      <c r="C20" s="187"/>
      <c r="D20" s="187"/>
      <c r="E20" s="187"/>
      <c r="F20" s="187"/>
      <c r="G20" s="187"/>
      <c r="H20" s="187"/>
      <c r="I20" s="187"/>
      <c r="J20" s="187"/>
      <c r="K20" s="187"/>
      <c r="L20" s="187"/>
      <c r="M20" s="187"/>
      <c r="N20" s="187"/>
      <c r="O20" s="187"/>
      <c r="P20" s="187"/>
      <c r="Q20" s="187"/>
      <c r="R20" s="187"/>
      <c r="S20" s="187"/>
      <c r="T20" s="187"/>
      <c r="U20" s="187"/>
      <c r="V20" s="187"/>
      <c r="W20" s="187"/>
      <c r="X20" s="187"/>
      <c r="Y20" s="187"/>
      <c r="Z20" s="187"/>
      <c r="AA20" s="187"/>
      <c r="AB20" s="187"/>
      <c r="AC20" s="187"/>
      <c r="AD20" s="187"/>
      <c r="AE20" s="187"/>
      <c r="AF20" s="187"/>
      <c r="AG20" s="187"/>
      <c r="AH20" s="187"/>
      <c r="AI20" s="187"/>
      <c r="AJ20" s="187"/>
      <c r="AK20" s="187"/>
      <c r="AL20" s="185"/>
      <c r="AM20" s="185"/>
      <c r="AN20" s="185"/>
      <c r="AO20" s="185"/>
      <c r="AP20" s="187"/>
      <c r="AQ20" s="187"/>
      <c r="AR20" s="187"/>
      <c r="AS20" s="187"/>
      <c r="AT20" s="187"/>
      <c r="AU20" s="187"/>
      <c r="AV20" s="187"/>
      <c r="AW20" s="187"/>
      <c r="AX20" s="187"/>
      <c r="AY20" s="187"/>
      <c r="AZ20" s="187"/>
      <c r="BA20" s="187"/>
    </row>
    <row r="21" spans="1:53" ht="13.5" customHeight="1">
      <c r="A21" s="186"/>
      <c r="B21" s="186"/>
      <c r="C21" s="187"/>
      <c r="D21" s="187"/>
      <c r="E21" s="187"/>
      <c r="F21" s="187"/>
      <c r="G21" s="187"/>
      <c r="H21" s="187"/>
      <c r="I21" s="187"/>
      <c r="J21" s="187"/>
      <c r="K21" s="187"/>
      <c r="L21" s="187"/>
      <c r="M21" s="187"/>
      <c r="N21" s="187"/>
      <c r="O21" s="187"/>
      <c r="P21" s="187"/>
      <c r="Q21" s="187"/>
      <c r="R21" s="190"/>
      <c r="S21" s="190"/>
      <c r="T21" s="190"/>
      <c r="U21" s="190"/>
      <c r="V21" s="190"/>
      <c r="W21" s="190"/>
      <c r="X21" s="190"/>
      <c r="Y21" s="190"/>
      <c r="Z21" s="190"/>
      <c r="AA21" s="190"/>
      <c r="AB21" s="190"/>
      <c r="AC21" s="190"/>
      <c r="AD21" s="190"/>
      <c r="AE21" s="190"/>
      <c r="AF21" s="190"/>
      <c r="AG21" s="190"/>
      <c r="AH21" s="190"/>
      <c r="AI21" s="190"/>
      <c r="AJ21" s="190"/>
      <c r="AK21" s="190"/>
      <c r="AL21" s="185"/>
      <c r="AM21" s="185"/>
      <c r="AN21" s="185"/>
      <c r="AO21" s="185"/>
      <c r="AP21" s="187"/>
      <c r="AQ21" s="187"/>
      <c r="AR21" s="187"/>
      <c r="AS21" s="187"/>
      <c r="AT21" s="187"/>
      <c r="AU21" s="187"/>
      <c r="AV21" s="187"/>
      <c r="AW21" s="187"/>
      <c r="AX21" s="187"/>
      <c r="AY21" s="187"/>
      <c r="AZ21" s="187"/>
      <c r="BA21" s="187"/>
    </row>
    <row r="22" spans="1:53">
      <c r="A22" s="186"/>
      <c r="B22" s="186"/>
      <c r="C22" s="187"/>
      <c r="D22" s="187"/>
      <c r="E22" s="187"/>
      <c r="F22" s="187"/>
      <c r="G22" s="187"/>
      <c r="H22" s="187"/>
      <c r="I22" s="187"/>
      <c r="J22" s="187"/>
      <c r="K22" s="187"/>
      <c r="L22" s="187"/>
      <c r="M22" s="187"/>
      <c r="N22" s="187"/>
      <c r="O22" s="187"/>
      <c r="P22" s="187"/>
      <c r="Q22" s="187"/>
      <c r="R22" s="187"/>
      <c r="S22" s="187"/>
      <c r="T22" s="187"/>
      <c r="U22" s="187"/>
      <c r="V22" s="187"/>
      <c r="W22" s="187"/>
      <c r="X22" s="187"/>
      <c r="Y22" s="187"/>
      <c r="Z22" s="187"/>
      <c r="AA22" s="187"/>
      <c r="AB22" s="187"/>
      <c r="AC22" s="187"/>
      <c r="AD22" s="187"/>
      <c r="AE22" s="187"/>
      <c r="AF22" s="187"/>
      <c r="AG22" s="187"/>
      <c r="AH22" s="187"/>
      <c r="AI22" s="187"/>
      <c r="AJ22" s="187"/>
      <c r="AK22" s="187"/>
      <c r="AL22" s="185"/>
      <c r="AM22" s="185"/>
      <c r="AN22" s="185"/>
      <c r="AO22" s="185"/>
      <c r="AP22" s="187"/>
      <c r="AQ22" s="187"/>
      <c r="AR22" s="187"/>
      <c r="AS22" s="187"/>
      <c r="AT22" s="187"/>
      <c r="AU22" s="187"/>
      <c r="AV22" s="187"/>
      <c r="AW22" s="187"/>
      <c r="AX22" s="187"/>
      <c r="AY22" s="187"/>
      <c r="AZ22" s="187"/>
      <c r="BA22" s="187"/>
    </row>
    <row r="23" spans="1:53">
      <c r="A23" s="186"/>
      <c r="B23" s="186"/>
      <c r="C23" s="187"/>
      <c r="D23" s="187"/>
      <c r="E23" s="187"/>
      <c r="F23" s="187"/>
      <c r="G23" s="187"/>
      <c r="H23" s="187"/>
      <c r="I23" s="187"/>
      <c r="J23" s="187"/>
      <c r="K23" s="187"/>
      <c r="L23" s="187"/>
      <c r="M23" s="187"/>
      <c r="N23" s="187"/>
      <c r="O23" s="187"/>
      <c r="P23" s="187"/>
      <c r="Q23" s="187"/>
      <c r="R23" s="190"/>
      <c r="S23" s="190"/>
      <c r="T23" s="190"/>
      <c r="U23" s="190"/>
      <c r="V23" s="190"/>
      <c r="W23" s="190"/>
      <c r="X23" s="190"/>
      <c r="Y23" s="190"/>
      <c r="Z23" s="190"/>
      <c r="AA23" s="190"/>
      <c r="AB23" s="190"/>
      <c r="AC23" s="190"/>
      <c r="AD23" s="190"/>
      <c r="AE23" s="190"/>
      <c r="AF23" s="190"/>
      <c r="AG23" s="190"/>
      <c r="AH23" s="190"/>
      <c r="AI23" s="190"/>
      <c r="AJ23" s="190"/>
      <c r="AK23" s="190"/>
      <c r="AL23" s="185"/>
      <c r="AM23" s="185"/>
      <c r="AN23" s="185"/>
      <c r="AO23" s="185"/>
      <c r="AP23" s="187"/>
      <c r="AQ23" s="187"/>
      <c r="AR23" s="187"/>
      <c r="AS23" s="187"/>
      <c r="AT23" s="187"/>
      <c r="AU23" s="187"/>
      <c r="AV23" s="187"/>
      <c r="AW23" s="187"/>
      <c r="AX23" s="187"/>
      <c r="AY23" s="187"/>
      <c r="AZ23" s="187"/>
      <c r="BA23" s="187"/>
    </row>
    <row r="24" spans="1:53">
      <c r="A24" s="186"/>
      <c r="B24" s="186"/>
      <c r="C24" s="187"/>
      <c r="D24" s="187"/>
      <c r="E24" s="187"/>
      <c r="F24" s="187"/>
      <c r="G24" s="187"/>
      <c r="H24" s="187"/>
      <c r="I24" s="187"/>
      <c r="J24" s="187"/>
      <c r="K24" s="187"/>
      <c r="L24" s="187"/>
      <c r="M24" s="187"/>
      <c r="N24" s="187"/>
      <c r="O24" s="187"/>
      <c r="P24" s="187"/>
      <c r="Q24" s="187"/>
      <c r="R24" s="187"/>
      <c r="S24" s="187"/>
      <c r="T24" s="187"/>
      <c r="U24" s="187"/>
      <c r="V24" s="187"/>
      <c r="W24" s="187"/>
      <c r="X24" s="187"/>
      <c r="Y24" s="187"/>
      <c r="Z24" s="187"/>
      <c r="AA24" s="187"/>
      <c r="AB24" s="187"/>
      <c r="AC24" s="187"/>
      <c r="AD24" s="187"/>
      <c r="AE24" s="187"/>
      <c r="AF24" s="187"/>
      <c r="AG24" s="187"/>
      <c r="AH24" s="187"/>
      <c r="AI24" s="187"/>
      <c r="AJ24" s="187"/>
      <c r="AK24" s="187"/>
      <c r="AL24" s="185"/>
      <c r="AM24" s="185"/>
      <c r="AN24" s="185"/>
      <c r="AO24" s="185"/>
      <c r="AP24" s="187"/>
      <c r="AQ24" s="187"/>
      <c r="AR24" s="187"/>
      <c r="AS24" s="187"/>
      <c r="AT24" s="187"/>
      <c r="AU24" s="187"/>
      <c r="AV24" s="187"/>
      <c r="AW24" s="187"/>
      <c r="AX24" s="187"/>
      <c r="AY24" s="187"/>
      <c r="AZ24" s="187"/>
      <c r="BA24" s="187"/>
    </row>
    <row r="25" spans="1:53">
      <c r="A25" s="186"/>
      <c r="B25" s="186"/>
      <c r="C25" s="187"/>
      <c r="D25" s="187"/>
      <c r="E25" s="187"/>
      <c r="F25" s="187"/>
      <c r="G25" s="187"/>
      <c r="H25" s="187"/>
      <c r="I25" s="187"/>
      <c r="J25" s="187"/>
      <c r="K25" s="187"/>
      <c r="L25" s="187"/>
      <c r="M25" s="187"/>
      <c r="N25" s="187"/>
      <c r="O25" s="187"/>
      <c r="P25" s="187"/>
      <c r="Q25" s="187"/>
      <c r="R25" s="187"/>
      <c r="S25" s="187"/>
      <c r="T25" s="187"/>
      <c r="U25" s="187"/>
      <c r="V25" s="187"/>
      <c r="W25" s="187"/>
      <c r="X25" s="187"/>
      <c r="Y25" s="187"/>
      <c r="Z25" s="187"/>
      <c r="AA25" s="187"/>
      <c r="AB25" s="187"/>
      <c r="AC25" s="187"/>
      <c r="AD25" s="187"/>
      <c r="AE25" s="187"/>
      <c r="AF25" s="187"/>
      <c r="AG25" s="187"/>
      <c r="AH25" s="187"/>
      <c r="AI25" s="187"/>
      <c r="AJ25" s="187"/>
      <c r="AK25" s="187"/>
      <c r="AL25" s="185"/>
      <c r="AM25" s="186"/>
      <c r="AN25" s="186"/>
      <c r="AO25" s="186"/>
      <c r="AP25" s="187"/>
      <c r="AQ25" s="187"/>
      <c r="AR25" s="187"/>
      <c r="AS25" s="187"/>
      <c r="AT25" s="187"/>
      <c r="AU25" s="187"/>
      <c r="AV25" s="187"/>
      <c r="AW25" s="187"/>
      <c r="AX25" s="187"/>
      <c r="AY25" s="187"/>
      <c r="AZ25" s="187"/>
      <c r="BA25" s="187"/>
    </row>
    <row r="26" spans="1:53">
      <c r="A26" s="186"/>
      <c r="B26" s="186"/>
      <c r="C26" s="187"/>
      <c r="D26" s="187"/>
      <c r="E26" s="187"/>
      <c r="F26" s="187"/>
      <c r="G26" s="187"/>
      <c r="H26" s="187"/>
      <c r="I26" s="187"/>
      <c r="J26" s="187"/>
      <c r="K26" s="187"/>
      <c r="L26" s="187"/>
      <c r="M26" s="187"/>
      <c r="N26" s="187"/>
      <c r="O26" s="187"/>
      <c r="P26" s="187"/>
      <c r="Q26" s="187"/>
      <c r="R26" s="187"/>
      <c r="S26" s="187"/>
      <c r="T26" s="187"/>
      <c r="U26" s="187"/>
      <c r="V26" s="187"/>
      <c r="W26" s="187"/>
      <c r="X26" s="187"/>
      <c r="Y26" s="187"/>
      <c r="Z26" s="187"/>
      <c r="AA26" s="187"/>
      <c r="AB26" s="187"/>
      <c r="AC26" s="187"/>
      <c r="AD26" s="187"/>
      <c r="AE26" s="187"/>
      <c r="AF26" s="187"/>
      <c r="AG26" s="187"/>
      <c r="AH26" s="187"/>
      <c r="AI26" s="187"/>
      <c r="AJ26" s="187"/>
      <c r="AK26" s="187"/>
      <c r="AL26" s="185"/>
      <c r="AM26" s="186"/>
      <c r="AN26" s="186"/>
      <c r="AO26" s="186"/>
      <c r="AP26" s="187"/>
      <c r="AQ26" s="187"/>
      <c r="AR26" s="187"/>
      <c r="AS26" s="187"/>
      <c r="AT26" s="187"/>
      <c r="AU26" s="187"/>
      <c r="AV26" s="187"/>
      <c r="AW26" s="187"/>
      <c r="AX26" s="187"/>
      <c r="AY26" s="187"/>
      <c r="AZ26" s="187"/>
      <c r="BA26" s="187"/>
    </row>
    <row r="27" spans="1:53">
      <c r="A27" s="186"/>
      <c r="B27" s="186"/>
      <c r="C27" s="187"/>
      <c r="D27" s="187"/>
      <c r="E27" s="187"/>
      <c r="F27" s="187"/>
      <c r="G27" s="187"/>
      <c r="H27" s="187"/>
      <c r="I27" s="187"/>
      <c r="J27" s="187"/>
      <c r="K27" s="187"/>
      <c r="L27" s="187"/>
      <c r="M27" s="187"/>
      <c r="N27" s="187"/>
      <c r="O27" s="187"/>
      <c r="P27" s="187"/>
      <c r="Q27" s="187"/>
      <c r="R27" s="187"/>
      <c r="S27" s="187"/>
      <c r="T27" s="187"/>
      <c r="U27" s="187"/>
      <c r="V27" s="187"/>
      <c r="W27" s="187"/>
      <c r="X27" s="187"/>
      <c r="Y27" s="187"/>
      <c r="Z27" s="187"/>
      <c r="AA27" s="187"/>
      <c r="AB27" s="187"/>
      <c r="AC27" s="187"/>
      <c r="AD27" s="187"/>
      <c r="AE27" s="187"/>
      <c r="AF27" s="187"/>
      <c r="AG27" s="187"/>
      <c r="AH27" s="187"/>
      <c r="AI27" s="187"/>
      <c r="AJ27" s="187"/>
      <c r="AK27" s="187"/>
      <c r="AL27" s="185"/>
      <c r="AM27" s="186"/>
      <c r="AN27" s="186"/>
      <c r="AO27" s="186"/>
      <c r="AP27" s="187"/>
      <c r="AQ27" s="187"/>
      <c r="AR27" s="187"/>
      <c r="AS27" s="187"/>
      <c r="AT27" s="187"/>
      <c r="AU27" s="187"/>
      <c r="AV27" s="187"/>
      <c r="AW27" s="187"/>
      <c r="AX27" s="187"/>
      <c r="AY27" s="187"/>
      <c r="AZ27" s="187"/>
      <c r="BA27" s="187"/>
    </row>
    <row r="28" spans="1:53">
      <c r="A28" s="186"/>
      <c r="B28" s="186"/>
      <c r="C28" s="187"/>
      <c r="D28" s="187"/>
      <c r="E28" s="187"/>
      <c r="F28" s="187"/>
      <c r="G28" s="187"/>
      <c r="H28" s="187"/>
      <c r="I28" s="187"/>
      <c r="J28" s="187"/>
      <c r="K28" s="187"/>
      <c r="L28" s="187"/>
      <c r="M28" s="187"/>
      <c r="N28" s="187"/>
      <c r="O28" s="187"/>
      <c r="P28" s="187"/>
      <c r="Q28" s="187"/>
      <c r="R28" s="187"/>
      <c r="S28" s="187"/>
      <c r="T28" s="187"/>
      <c r="U28" s="187"/>
      <c r="V28" s="187"/>
      <c r="W28" s="187"/>
      <c r="X28" s="187"/>
      <c r="Y28" s="187"/>
      <c r="Z28" s="187"/>
      <c r="AA28" s="187"/>
      <c r="AB28" s="187"/>
      <c r="AC28" s="187"/>
      <c r="AD28" s="187"/>
      <c r="AE28" s="187"/>
      <c r="AF28" s="187"/>
      <c r="AG28" s="187"/>
      <c r="AH28" s="187"/>
      <c r="AI28" s="187"/>
      <c r="AJ28" s="187"/>
      <c r="AK28" s="187"/>
      <c r="AL28" s="185"/>
      <c r="AM28" s="186"/>
      <c r="AN28" s="186"/>
      <c r="AO28" s="186"/>
      <c r="AP28" s="187"/>
      <c r="AQ28" s="187"/>
      <c r="AR28" s="187"/>
      <c r="AS28" s="187"/>
      <c r="AT28" s="187"/>
      <c r="AU28" s="187"/>
      <c r="AV28" s="187"/>
      <c r="AW28" s="187"/>
      <c r="AX28" s="187"/>
      <c r="AY28" s="187"/>
      <c r="AZ28" s="187"/>
      <c r="BA28" s="187"/>
    </row>
    <row r="29" spans="1:53">
      <c r="A29" s="186"/>
      <c r="B29" s="186"/>
      <c r="C29" s="187"/>
      <c r="D29" s="187"/>
      <c r="E29" s="187"/>
      <c r="F29" s="187"/>
      <c r="G29" s="187"/>
      <c r="H29" s="187"/>
      <c r="I29" s="187"/>
      <c r="J29" s="187"/>
      <c r="K29" s="187"/>
      <c r="L29" s="187"/>
      <c r="M29" s="187"/>
      <c r="N29" s="187"/>
      <c r="O29" s="187"/>
      <c r="P29" s="187"/>
      <c r="Q29" s="187"/>
      <c r="R29" s="187"/>
      <c r="S29" s="187"/>
      <c r="T29" s="187"/>
      <c r="U29" s="187"/>
      <c r="V29" s="187"/>
      <c r="W29" s="187"/>
      <c r="X29" s="187"/>
      <c r="Y29" s="187"/>
      <c r="Z29" s="187"/>
      <c r="AA29" s="187"/>
      <c r="AB29" s="187"/>
      <c r="AC29" s="187"/>
      <c r="AD29" s="187"/>
      <c r="AE29" s="187"/>
      <c r="AF29" s="187"/>
      <c r="AG29" s="187"/>
      <c r="AH29" s="187"/>
      <c r="AI29" s="187"/>
      <c r="AJ29" s="187"/>
      <c r="AK29" s="187"/>
      <c r="AL29" s="185"/>
      <c r="AM29" s="186"/>
      <c r="AN29" s="186"/>
      <c r="AO29" s="186"/>
      <c r="AP29" s="187"/>
      <c r="AQ29" s="187"/>
      <c r="AR29" s="187"/>
      <c r="AS29" s="187"/>
      <c r="AT29" s="187"/>
      <c r="AU29" s="187"/>
      <c r="AV29" s="187"/>
      <c r="AW29" s="187"/>
      <c r="AX29" s="187"/>
      <c r="AY29" s="187"/>
      <c r="AZ29" s="187"/>
      <c r="BA29" s="187"/>
    </row>
    <row r="30" spans="1:53">
      <c r="A30" s="186"/>
      <c r="B30" s="186"/>
      <c r="C30" s="187"/>
      <c r="D30" s="187"/>
      <c r="E30" s="187"/>
      <c r="F30" s="187"/>
      <c r="G30" s="187"/>
      <c r="H30" s="187"/>
      <c r="I30" s="187"/>
      <c r="J30" s="187"/>
      <c r="K30" s="187"/>
      <c r="L30" s="187"/>
      <c r="M30" s="187"/>
      <c r="N30" s="187"/>
      <c r="O30" s="187"/>
      <c r="P30" s="187"/>
      <c r="Q30" s="187"/>
      <c r="R30" s="187"/>
      <c r="S30" s="187"/>
      <c r="T30" s="187"/>
      <c r="U30" s="187"/>
      <c r="V30" s="187"/>
      <c r="W30" s="187"/>
      <c r="X30" s="187"/>
      <c r="Y30" s="187"/>
      <c r="Z30" s="187"/>
      <c r="AA30" s="187"/>
      <c r="AB30" s="187"/>
      <c r="AC30" s="187"/>
      <c r="AD30" s="187"/>
      <c r="AE30" s="187"/>
      <c r="AF30" s="187"/>
      <c r="AG30" s="187"/>
      <c r="AH30" s="187"/>
      <c r="AI30" s="187"/>
      <c r="AJ30" s="187"/>
      <c r="AK30" s="187"/>
      <c r="AL30" s="186"/>
      <c r="AM30" s="186"/>
      <c r="AN30" s="186"/>
      <c r="AO30" s="186"/>
      <c r="AP30" s="187"/>
      <c r="AQ30" s="187"/>
      <c r="AR30" s="187"/>
      <c r="AS30" s="187"/>
      <c r="AT30" s="187"/>
      <c r="AU30" s="187"/>
      <c r="AV30" s="187"/>
      <c r="AW30" s="187"/>
      <c r="AX30" s="187"/>
      <c r="AY30" s="187"/>
      <c r="AZ30" s="187"/>
      <c r="BA30" s="187"/>
    </row>
    <row r="31" spans="1:53">
      <c r="A31" s="186"/>
      <c r="B31" s="186"/>
      <c r="C31" s="187"/>
      <c r="D31" s="187"/>
      <c r="E31" s="187"/>
      <c r="F31" s="187"/>
      <c r="G31" s="187"/>
      <c r="H31" s="187"/>
      <c r="I31" s="187"/>
      <c r="J31" s="187"/>
      <c r="K31" s="187"/>
      <c r="L31" s="187"/>
      <c r="M31" s="187"/>
      <c r="N31" s="187"/>
      <c r="O31" s="187"/>
      <c r="P31" s="187"/>
      <c r="Q31" s="187"/>
      <c r="R31" s="187"/>
      <c r="S31" s="187"/>
      <c r="T31" s="187"/>
      <c r="U31" s="187"/>
      <c r="V31" s="187"/>
      <c r="W31" s="187"/>
      <c r="X31" s="187"/>
      <c r="Y31" s="187"/>
      <c r="Z31" s="187"/>
      <c r="AA31" s="187"/>
      <c r="AB31" s="187"/>
      <c r="AC31" s="187"/>
      <c r="AD31" s="187"/>
      <c r="AE31" s="187"/>
      <c r="AF31" s="187"/>
      <c r="AG31" s="187"/>
      <c r="AH31" s="187"/>
      <c r="AI31" s="187"/>
      <c r="AJ31" s="187"/>
      <c r="AK31" s="187"/>
      <c r="AL31" s="186"/>
      <c r="AM31" s="186"/>
      <c r="AN31" s="186"/>
      <c r="AO31" s="186"/>
      <c r="AP31" s="187"/>
      <c r="AQ31" s="187"/>
      <c r="AR31" s="187"/>
      <c r="AS31" s="187"/>
      <c r="AT31" s="187"/>
      <c r="AU31" s="187"/>
      <c r="AV31" s="187"/>
      <c r="AW31" s="187"/>
      <c r="AX31" s="187"/>
      <c r="AY31" s="187"/>
      <c r="AZ31" s="187"/>
      <c r="BA31" s="187"/>
    </row>
    <row r="32" spans="1:53">
      <c r="A32" s="186"/>
      <c r="B32" s="186"/>
      <c r="C32" s="187"/>
      <c r="D32" s="187"/>
      <c r="E32" s="187"/>
      <c r="F32" s="187"/>
      <c r="G32" s="187"/>
      <c r="H32" s="187"/>
      <c r="I32" s="187"/>
      <c r="J32" s="187"/>
      <c r="K32" s="187"/>
      <c r="L32" s="187"/>
      <c r="M32" s="187"/>
      <c r="N32" s="187"/>
      <c r="O32" s="187"/>
      <c r="P32" s="187"/>
      <c r="Q32" s="187"/>
      <c r="R32" s="187"/>
      <c r="S32" s="187"/>
      <c r="T32" s="187"/>
      <c r="U32" s="187"/>
      <c r="V32" s="187"/>
      <c r="W32" s="187"/>
      <c r="X32" s="187"/>
      <c r="Y32" s="187"/>
      <c r="Z32" s="187"/>
      <c r="AA32" s="187"/>
      <c r="AB32" s="187"/>
      <c r="AC32" s="187"/>
      <c r="AD32" s="187"/>
      <c r="AE32" s="187"/>
      <c r="AF32" s="187"/>
      <c r="AG32" s="187"/>
      <c r="AH32" s="187"/>
      <c r="AI32" s="187"/>
      <c r="AJ32" s="187"/>
      <c r="AK32" s="187"/>
      <c r="AL32" s="186"/>
      <c r="AM32" s="186"/>
      <c r="AN32" s="186"/>
      <c r="AO32" s="186"/>
      <c r="AP32" s="187"/>
      <c r="AQ32" s="187"/>
      <c r="AR32" s="187"/>
      <c r="AS32" s="187"/>
      <c r="AT32" s="187"/>
      <c r="AU32" s="187"/>
      <c r="AV32" s="187"/>
      <c r="AW32" s="187"/>
      <c r="AX32" s="187"/>
      <c r="AY32" s="187"/>
      <c r="AZ32" s="187"/>
      <c r="BA32" s="187"/>
    </row>
    <row r="33" spans="1:53">
      <c r="A33" s="186"/>
      <c r="B33" s="186"/>
      <c r="C33" s="187"/>
      <c r="D33" s="187"/>
      <c r="E33" s="187"/>
      <c r="F33" s="187"/>
      <c r="G33" s="187"/>
      <c r="H33" s="187"/>
      <c r="I33" s="187"/>
      <c r="J33" s="187"/>
      <c r="K33" s="187"/>
      <c r="L33" s="187"/>
      <c r="M33" s="187"/>
      <c r="N33" s="187"/>
      <c r="O33" s="187"/>
      <c r="P33" s="187"/>
      <c r="Q33" s="187"/>
      <c r="R33" s="187"/>
      <c r="S33" s="187"/>
      <c r="T33" s="187"/>
      <c r="U33" s="187"/>
      <c r="V33" s="187"/>
      <c r="W33" s="187"/>
      <c r="X33" s="187"/>
      <c r="Y33" s="187"/>
      <c r="Z33" s="187"/>
      <c r="AA33" s="187"/>
      <c r="AB33" s="187"/>
      <c r="AC33" s="187"/>
      <c r="AD33" s="187"/>
      <c r="AE33" s="187"/>
      <c r="AF33" s="187"/>
      <c r="AG33" s="187"/>
      <c r="AH33" s="187"/>
      <c r="AI33" s="187"/>
      <c r="AJ33" s="187"/>
      <c r="AK33" s="187"/>
      <c r="AL33" s="186"/>
      <c r="AM33" s="186"/>
      <c r="AN33" s="186"/>
      <c r="AO33" s="186"/>
      <c r="AP33" s="187"/>
      <c r="AQ33" s="187"/>
      <c r="AR33" s="187"/>
      <c r="AS33" s="187"/>
      <c r="AT33" s="187"/>
      <c r="AU33" s="187"/>
      <c r="AV33" s="187"/>
      <c r="AW33" s="187"/>
      <c r="AX33" s="187"/>
      <c r="AY33" s="187"/>
      <c r="AZ33" s="187"/>
      <c r="BA33" s="187"/>
    </row>
    <row r="34" spans="1:53">
      <c r="A34" s="186"/>
      <c r="B34" s="186"/>
      <c r="C34" s="187"/>
      <c r="D34" s="187"/>
      <c r="E34" s="187"/>
      <c r="F34" s="187"/>
      <c r="G34" s="187"/>
      <c r="H34" s="187"/>
      <c r="I34" s="187"/>
      <c r="J34" s="187"/>
      <c r="K34" s="187"/>
      <c r="L34" s="187"/>
      <c r="M34" s="187"/>
      <c r="N34" s="187"/>
      <c r="O34" s="187"/>
      <c r="P34" s="187"/>
      <c r="Q34" s="187"/>
      <c r="R34" s="187"/>
      <c r="S34" s="187"/>
      <c r="T34" s="187"/>
      <c r="U34" s="187"/>
      <c r="V34" s="187"/>
      <c r="W34" s="187"/>
      <c r="X34" s="187"/>
      <c r="Y34" s="187"/>
      <c r="Z34" s="187"/>
      <c r="AA34" s="187"/>
      <c r="AB34" s="187"/>
      <c r="AC34" s="187"/>
      <c r="AD34" s="187"/>
      <c r="AE34" s="187"/>
      <c r="AF34" s="187"/>
      <c r="AG34" s="187"/>
      <c r="AH34" s="187"/>
      <c r="AI34" s="187"/>
      <c r="AJ34" s="187"/>
      <c r="AK34" s="187"/>
      <c r="AL34" s="186"/>
      <c r="AM34" s="186"/>
      <c r="AN34" s="186"/>
      <c r="AO34" s="186"/>
      <c r="AP34" s="187"/>
      <c r="AQ34" s="187"/>
      <c r="AR34" s="187"/>
      <c r="AS34" s="187"/>
      <c r="AT34" s="187"/>
      <c r="AU34" s="187"/>
      <c r="AV34" s="187"/>
      <c r="AW34" s="187"/>
      <c r="AX34" s="187"/>
      <c r="AY34" s="187"/>
      <c r="AZ34" s="187"/>
      <c r="BA34" s="187"/>
    </row>
  </sheetData>
  <mergeCells count="229">
    <mergeCell ref="AK1:AM1"/>
    <mergeCell ref="AT3:AW3"/>
    <mergeCell ref="AN1:AP1"/>
    <mergeCell ref="AQ1:AS1"/>
    <mergeCell ref="AT1:AW1"/>
    <mergeCell ref="A6:B6"/>
    <mergeCell ref="C6:P6"/>
    <mergeCell ref="Q6:AK6"/>
    <mergeCell ref="AL6:AO6"/>
    <mergeCell ref="AX1:BA1"/>
    <mergeCell ref="A2:H2"/>
    <mergeCell ref="I2:L2"/>
    <mergeCell ref="M2:W2"/>
    <mergeCell ref="AK2:AM2"/>
    <mergeCell ref="AN2:AP2"/>
    <mergeCell ref="AP6:AR6"/>
    <mergeCell ref="AS6:AU6"/>
    <mergeCell ref="AT2:AW2"/>
    <mergeCell ref="AX2:BA3"/>
    <mergeCell ref="A3:H3"/>
    <mergeCell ref="I3:L3"/>
    <mergeCell ref="M3:W3"/>
    <mergeCell ref="X3:Z3"/>
    <mergeCell ref="AA3:AP3"/>
    <mergeCell ref="AQ3:AS3"/>
    <mergeCell ref="AV6:BA6"/>
    <mergeCell ref="AQ2:AS2"/>
    <mergeCell ref="A1:H1"/>
    <mergeCell ref="I1:L1"/>
    <mergeCell ref="A5:BA5"/>
    <mergeCell ref="M1:W1"/>
    <mergeCell ref="X1:Z2"/>
    <mergeCell ref="AA1:AJ2"/>
    <mergeCell ref="A8:B8"/>
    <mergeCell ref="A14:B14"/>
    <mergeCell ref="A34:B34"/>
    <mergeCell ref="A20:B20"/>
    <mergeCell ref="A21:B21"/>
    <mergeCell ref="A22:B22"/>
    <mergeCell ref="A29:B29"/>
    <mergeCell ref="A30:B30"/>
    <mergeCell ref="A31:B31"/>
    <mergeCell ref="A27:B27"/>
    <mergeCell ref="A28:B28"/>
    <mergeCell ref="A32:B32"/>
    <mergeCell ref="A33:B33"/>
    <mergeCell ref="A15:B15"/>
    <mergeCell ref="A16:B16"/>
    <mergeCell ref="A17:B17"/>
    <mergeCell ref="A18:B18"/>
    <mergeCell ref="A19:B19"/>
    <mergeCell ref="A23:B23"/>
    <mergeCell ref="A24:B24"/>
    <mergeCell ref="A25:B25"/>
    <mergeCell ref="A26:B26"/>
    <mergeCell ref="A9:B9"/>
    <mergeCell ref="A10:B10"/>
    <mergeCell ref="A11:B11"/>
    <mergeCell ref="A12:B12"/>
    <mergeCell ref="A13:B13"/>
    <mergeCell ref="A7:B7"/>
    <mergeCell ref="C33:P33"/>
    <mergeCell ref="C27:P27"/>
    <mergeCell ref="C28:P28"/>
    <mergeCell ref="C24:P24"/>
    <mergeCell ref="C25:P25"/>
    <mergeCell ref="C26:P26"/>
    <mergeCell ref="C29:P29"/>
    <mergeCell ref="C22:P22"/>
    <mergeCell ref="C23:P23"/>
    <mergeCell ref="C7:P7"/>
    <mergeCell ref="C8:P8"/>
    <mergeCell ref="C9:P9"/>
    <mergeCell ref="C10:P10"/>
    <mergeCell ref="C18:P18"/>
    <mergeCell ref="C19:P19"/>
    <mergeCell ref="C20:P20"/>
    <mergeCell ref="C21:P21"/>
    <mergeCell ref="C11:P11"/>
    <mergeCell ref="C12:P12"/>
    <mergeCell ref="C13:P13"/>
    <mergeCell ref="C34:P34"/>
    <mergeCell ref="Q7:AK7"/>
    <mergeCell ref="Q8:AK8"/>
    <mergeCell ref="Q9:AK9"/>
    <mergeCell ref="Q10:AK10"/>
    <mergeCell ref="Q11:AK11"/>
    <mergeCell ref="Q12:AK12"/>
    <mergeCell ref="Q19:AK19"/>
    <mergeCell ref="Q20:AK20"/>
    <mergeCell ref="Q21:AK21"/>
    <mergeCell ref="Q13:AK13"/>
    <mergeCell ref="Q34:AK34"/>
    <mergeCell ref="Q30:AK30"/>
    <mergeCell ref="Q31:AK31"/>
    <mergeCell ref="Q32:AK32"/>
    <mergeCell ref="Q33:AK33"/>
    <mergeCell ref="Q23:AK23"/>
    <mergeCell ref="C17:P17"/>
    <mergeCell ref="C14:P14"/>
    <mergeCell ref="C15:P15"/>
    <mergeCell ref="C16:P16"/>
    <mergeCell ref="C30:P30"/>
    <mergeCell ref="C31:P31"/>
    <mergeCell ref="C32:P32"/>
    <mergeCell ref="AL29:AO29"/>
    <mergeCell ref="AL27:AO27"/>
    <mergeCell ref="AL28:AO28"/>
    <mergeCell ref="Q29:AK29"/>
    <mergeCell ref="Q27:AK27"/>
    <mergeCell ref="Q28:AK28"/>
    <mergeCell ref="AL7:AO7"/>
    <mergeCell ref="AL8:AO8"/>
    <mergeCell ref="AL17:AO17"/>
    <mergeCell ref="AL18:AO18"/>
    <mergeCell ref="AL19:AO19"/>
    <mergeCell ref="AL9:AO9"/>
    <mergeCell ref="AL10:AO10"/>
    <mergeCell ref="AL11:AO11"/>
    <mergeCell ref="AL12:AO12"/>
    <mergeCell ref="AL13:AO13"/>
    <mergeCell ref="AL21:AO21"/>
    <mergeCell ref="Q17:AK17"/>
    <mergeCell ref="Q18:AK18"/>
    <mergeCell ref="Q22:AK22"/>
    <mergeCell ref="Q14:AK14"/>
    <mergeCell ref="AL14:AO14"/>
    <mergeCell ref="Q15:AK15"/>
    <mergeCell ref="AL15:AO15"/>
    <mergeCell ref="AL32:AO32"/>
    <mergeCell ref="AL33:AO33"/>
    <mergeCell ref="AL34:AO34"/>
    <mergeCell ref="AP7:AR7"/>
    <mergeCell ref="AP8:AR8"/>
    <mergeCell ref="AP9:AR9"/>
    <mergeCell ref="AP10:AR10"/>
    <mergeCell ref="AP18:AR18"/>
    <mergeCell ref="AP19:AR19"/>
    <mergeCell ref="AP20:AR20"/>
    <mergeCell ref="AP21:AR21"/>
    <mergeCell ref="AP11:AR11"/>
    <mergeCell ref="AP12:AR12"/>
    <mergeCell ref="AP13:AR13"/>
    <mergeCell ref="AP17:AR17"/>
    <mergeCell ref="AP22:AR22"/>
    <mergeCell ref="AP23:AR23"/>
    <mergeCell ref="AL30:AO30"/>
    <mergeCell ref="AL31:AO31"/>
    <mergeCell ref="AL20:AO20"/>
    <mergeCell ref="AP26:AR26"/>
    <mergeCell ref="AP29:AR29"/>
    <mergeCell ref="AP30:AR30"/>
    <mergeCell ref="AP33:AR33"/>
    <mergeCell ref="AS34:AU34"/>
    <mergeCell ref="AP34:AR34"/>
    <mergeCell ref="AS7:AU7"/>
    <mergeCell ref="AS8:AU8"/>
    <mergeCell ref="AS9:AU9"/>
    <mergeCell ref="AS10:AU10"/>
    <mergeCell ref="AS11:AU11"/>
    <mergeCell ref="AS12:AU12"/>
    <mergeCell ref="AS19:AU19"/>
    <mergeCell ref="AS20:AU20"/>
    <mergeCell ref="AS21:AU21"/>
    <mergeCell ref="AS13:AU13"/>
    <mergeCell ref="AS17:AU17"/>
    <mergeCell ref="AS18:AU18"/>
    <mergeCell ref="AS22:AU22"/>
    <mergeCell ref="AS23:AU23"/>
    <mergeCell ref="AS24:AU24"/>
    <mergeCell ref="AS29:AU29"/>
    <mergeCell ref="AS27:AU27"/>
    <mergeCell ref="AS32:AU32"/>
    <mergeCell ref="AS33:AU33"/>
    <mergeCell ref="AP24:AR24"/>
    <mergeCell ref="AP25:AR25"/>
    <mergeCell ref="AP32:AR32"/>
    <mergeCell ref="AV7:BA7"/>
    <mergeCell ref="AV8:BA8"/>
    <mergeCell ref="AV9:BA9"/>
    <mergeCell ref="AV10:BA10"/>
    <mergeCell ref="AV11:BA11"/>
    <mergeCell ref="AV12:BA12"/>
    <mergeCell ref="AV34:BA34"/>
    <mergeCell ref="AV24:BA24"/>
    <mergeCell ref="AV25:BA25"/>
    <mergeCell ref="AV26:BA26"/>
    <mergeCell ref="AV29:BA29"/>
    <mergeCell ref="AV30:BA30"/>
    <mergeCell ref="AV31:BA31"/>
    <mergeCell ref="AV27:BA27"/>
    <mergeCell ref="AV28:BA28"/>
    <mergeCell ref="AV32:BA32"/>
    <mergeCell ref="AV33:BA33"/>
    <mergeCell ref="AV13:BA13"/>
    <mergeCell ref="AV22:BA22"/>
    <mergeCell ref="AV23:BA23"/>
    <mergeCell ref="AV17:BA17"/>
    <mergeCell ref="AV18:BA18"/>
    <mergeCell ref="AV19:BA19"/>
    <mergeCell ref="AV16:BA16"/>
    <mergeCell ref="AV20:BA20"/>
    <mergeCell ref="AV21:BA21"/>
    <mergeCell ref="AV14:BA14"/>
    <mergeCell ref="AV15:BA15"/>
    <mergeCell ref="AS28:AU28"/>
    <mergeCell ref="AS30:AU30"/>
    <mergeCell ref="AS31:AU31"/>
    <mergeCell ref="AS25:AU25"/>
    <mergeCell ref="AP31:AR31"/>
    <mergeCell ref="AP27:AR27"/>
    <mergeCell ref="AP28:AR28"/>
    <mergeCell ref="AS16:AU16"/>
    <mergeCell ref="AP15:AR15"/>
    <mergeCell ref="AS26:AU26"/>
    <mergeCell ref="AS14:AU14"/>
    <mergeCell ref="AS15:AU15"/>
    <mergeCell ref="AL22:AO22"/>
    <mergeCell ref="AL23:AO23"/>
    <mergeCell ref="AL24:AO24"/>
    <mergeCell ref="AL25:AO25"/>
    <mergeCell ref="AL26:AO26"/>
    <mergeCell ref="Q24:AK24"/>
    <mergeCell ref="Q25:AK25"/>
    <mergeCell ref="Q26:AK26"/>
    <mergeCell ref="AP14:AR14"/>
    <mergeCell ref="Q16:AK16"/>
    <mergeCell ref="AL16:AO16"/>
    <mergeCell ref="AP16:AR16"/>
  </mergeCells>
  <phoneticPr fontId="49"/>
  <pageMargins left="0.39370078740157483" right="0.39370078740157483" top="0.39370078740157483" bottom="0.39370078740157483" header="0.19685039370078741" footer="0.19685039370078741"/>
  <pageSetup paperSize="9" fitToHeight="0" orientation="landscape" r:id="rId1"/>
  <headerFooter>
    <oddFooter>&amp;L&amp;"-,太字"&amp;12©2016 Amazing-Activity Corporation All Rights Reserved&amp;C- &amp;P &amp; -&amp;R&amp;F_&amp;A</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7388F-305C-4A6A-83C2-FAED49C29600}">
  <dimension ref="A1:DX215"/>
  <sheetViews>
    <sheetView showGridLines="0" topLeftCell="A5" zoomScale="90" zoomScaleNormal="90" zoomScaleSheetLayoutView="100" workbookViewId="0">
      <pane ySplit="2" topLeftCell="A7" activePane="bottomLeft" state="frozen"/>
      <selection sqref="A1:I1"/>
      <selection pane="bottomLeft" activeCell="A7" sqref="A7"/>
    </sheetView>
  </sheetViews>
  <sheetFormatPr defaultColWidth="9" defaultRowHeight="13"/>
  <cols>
    <col min="1" max="18" width="2.6328125" style="25" customWidth="1"/>
    <col min="19" max="22" width="2.6328125" style="22" customWidth="1"/>
    <col min="23" max="24" width="2.6328125" style="25" customWidth="1"/>
    <col min="25" max="26" width="2.6328125" style="22" customWidth="1"/>
    <col min="27" max="29" width="2.6328125" style="25" customWidth="1"/>
    <col min="30" max="55" width="2.6328125" style="22" customWidth="1"/>
    <col min="56" max="56" width="2.6328125" style="28" customWidth="1"/>
    <col min="57" max="128" width="2.6328125" style="130" customWidth="1"/>
    <col min="129" max="16384" width="9" style="25"/>
  </cols>
  <sheetData>
    <row r="1" spans="1:72" ht="12" customHeight="1">
      <c r="A1" s="225" t="s">
        <v>4</v>
      </c>
      <c r="B1" s="225"/>
      <c r="C1" s="225"/>
      <c r="D1" s="225"/>
      <c r="E1" s="225"/>
      <c r="F1" s="225"/>
      <c r="G1" s="225"/>
      <c r="H1" s="225"/>
      <c r="I1" s="208" t="s">
        <v>5</v>
      </c>
      <c r="J1" s="208"/>
      <c r="K1" s="208"/>
      <c r="L1" s="208"/>
      <c r="M1" s="223" t="str">
        <f>変更来歴!M1</f>
        <v>ヒロセ電機株式会社</v>
      </c>
      <c r="N1" s="223"/>
      <c r="O1" s="223"/>
      <c r="P1" s="223"/>
      <c r="Q1" s="223"/>
      <c r="R1" s="223"/>
      <c r="S1" s="223"/>
      <c r="T1" s="223"/>
      <c r="U1" s="223"/>
      <c r="V1" s="223"/>
      <c r="W1" s="223"/>
      <c r="X1" s="208" t="s">
        <v>7</v>
      </c>
      <c r="Y1" s="208"/>
      <c r="Z1" s="208"/>
      <c r="AA1" s="227" t="str">
        <f>変更来歴!AA1</f>
        <v>化学物質データ申請</v>
      </c>
      <c r="AB1" s="227"/>
      <c r="AC1" s="227"/>
      <c r="AD1" s="227"/>
      <c r="AE1" s="227"/>
      <c r="AF1" s="227"/>
      <c r="AG1" s="227"/>
      <c r="AH1" s="227"/>
      <c r="AI1" s="227"/>
      <c r="AJ1" s="227"/>
      <c r="AK1" s="212" t="s">
        <v>8</v>
      </c>
      <c r="AL1" s="212"/>
      <c r="AM1" s="212"/>
      <c r="AN1" s="213" t="str">
        <f>変更来歴!AP7</f>
        <v>古竹</v>
      </c>
      <c r="AO1" s="213"/>
      <c r="AP1" s="213"/>
      <c r="AQ1" s="213"/>
      <c r="AR1" s="213"/>
      <c r="AS1" s="212" t="s">
        <v>9</v>
      </c>
      <c r="AT1" s="212"/>
      <c r="AU1" s="212"/>
      <c r="AV1" s="215">
        <f>変更来歴!AL7</f>
        <v>46125</v>
      </c>
      <c r="AW1" s="228"/>
      <c r="AX1" s="228"/>
      <c r="AY1" s="228"/>
      <c r="AZ1" s="204" t="s">
        <v>10</v>
      </c>
      <c r="BA1" s="205"/>
      <c r="BB1" s="205"/>
      <c r="BC1" s="206"/>
    </row>
    <row r="2" spans="1:72">
      <c r="A2" s="207" t="s">
        <v>16</v>
      </c>
      <c r="B2" s="207"/>
      <c r="C2" s="207"/>
      <c r="D2" s="207"/>
      <c r="E2" s="207"/>
      <c r="F2" s="207"/>
      <c r="G2" s="207"/>
      <c r="H2" s="207"/>
      <c r="I2" s="208" t="s">
        <v>11</v>
      </c>
      <c r="J2" s="208"/>
      <c r="K2" s="208"/>
      <c r="L2" s="208"/>
      <c r="M2" s="241" t="str">
        <f>変更来歴!M2</f>
        <v>　</v>
      </c>
      <c r="N2" s="241"/>
      <c r="O2" s="241"/>
      <c r="P2" s="241"/>
      <c r="Q2" s="241"/>
      <c r="R2" s="241"/>
      <c r="S2" s="241"/>
      <c r="T2" s="241"/>
      <c r="U2" s="241"/>
      <c r="V2" s="241"/>
      <c r="W2" s="241"/>
      <c r="X2" s="208"/>
      <c r="Y2" s="208"/>
      <c r="Z2" s="208"/>
      <c r="AA2" s="227"/>
      <c r="AB2" s="227"/>
      <c r="AC2" s="227"/>
      <c r="AD2" s="227"/>
      <c r="AE2" s="227"/>
      <c r="AF2" s="227"/>
      <c r="AG2" s="227"/>
      <c r="AH2" s="227"/>
      <c r="AI2" s="227"/>
      <c r="AJ2" s="227"/>
      <c r="AK2" s="212" t="s">
        <v>12</v>
      </c>
      <c r="AL2" s="212"/>
      <c r="AM2" s="212"/>
      <c r="AN2" s="213" t="str">
        <f ca="1">INDIRECT("変更来歴!AP" &amp; COUNTA(変更来歴!AP7:'変更来歴'!AP39) + 6)</f>
        <v>古竹</v>
      </c>
      <c r="AO2" s="213"/>
      <c r="AP2" s="213"/>
      <c r="AQ2" s="213"/>
      <c r="AR2" s="213"/>
      <c r="AS2" s="212" t="s">
        <v>13</v>
      </c>
      <c r="AT2" s="212"/>
      <c r="AU2" s="212"/>
      <c r="AV2" s="215">
        <f ca="1">INDIRECT("変更来歴!AL" &amp; COUNTA(変更来歴!AL7:'変更来歴'!AL39) + 6)</f>
        <v>46155</v>
      </c>
      <c r="AW2" s="228"/>
      <c r="AX2" s="228"/>
      <c r="AY2" s="228"/>
      <c r="AZ2" s="216" t="str">
        <f>変更来歴!AX2</f>
        <v>IMWF-53</v>
      </c>
      <c r="BA2" s="217"/>
      <c r="BB2" s="217"/>
      <c r="BC2" s="218"/>
    </row>
    <row r="3" spans="1:72" ht="12" customHeight="1">
      <c r="A3" s="222" t="str">
        <f>変更来歴!A3</f>
        <v>画面設計書</v>
      </c>
      <c r="B3" s="222"/>
      <c r="C3" s="222"/>
      <c r="D3" s="222"/>
      <c r="E3" s="222"/>
      <c r="F3" s="222"/>
      <c r="G3" s="222"/>
      <c r="H3" s="222"/>
      <c r="I3" s="208" t="s">
        <v>14</v>
      </c>
      <c r="J3" s="208"/>
      <c r="K3" s="208"/>
      <c r="L3" s="208"/>
      <c r="M3" s="223" t="str">
        <f ca="1">RIGHT(CELL("filename",A1),LEN(CELL("filename",A1))-FIND("]",CELL("filename",A1)))</f>
        <v>化学物質データ画面(日英併記)</v>
      </c>
      <c r="N3" s="223"/>
      <c r="O3" s="223"/>
      <c r="P3" s="223"/>
      <c r="Q3" s="223"/>
      <c r="R3" s="223"/>
      <c r="S3" s="223"/>
      <c r="T3" s="223"/>
      <c r="U3" s="223"/>
      <c r="V3" s="223"/>
      <c r="W3" s="223"/>
      <c r="X3" s="208" t="s">
        <v>27</v>
      </c>
      <c r="Y3" s="208"/>
      <c r="Z3" s="208"/>
      <c r="AA3" s="224" t="str">
        <f ca="1">MID(CELL("filename"),FIND("]",CELL("filename"))+1,LEN(CELL("filename"))) &amp; "画面"</f>
        <v>処理詳細画面</v>
      </c>
      <c r="AB3" s="224"/>
      <c r="AC3" s="224"/>
      <c r="AD3" s="224"/>
      <c r="AE3" s="224"/>
      <c r="AF3" s="224"/>
      <c r="AG3" s="224"/>
      <c r="AH3" s="224"/>
      <c r="AI3" s="224"/>
      <c r="AJ3" s="224"/>
      <c r="AK3" s="224"/>
      <c r="AL3" s="224"/>
      <c r="AM3" s="224"/>
      <c r="AN3" s="224"/>
      <c r="AO3" s="224"/>
      <c r="AP3" s="224"/>
      <c r="AQ3" s="224"/>
      <c r="AR3" s="224"/>
      <c r="AS3" s="212" t="s">
        <v>15</v>
      </c>
      <c r="AT3" s="212"/>
      <c r="AU3" s="212"/>
      <c r="AV3" s="228" t="str">
        <f ca="1">INDIRECT("変更来歴!A" &amp; COUNTA(変更来歴!A7:'変更来歴'!A39) + 6)</f>
        <v>r1.2</v>
      </c>
      <c r="AW3" s="228"/>
      <c r="AX3" s="228"/>
      <c r="AY3" s="228"/>
      <c r="AZ3" s="219"/>
      <c r="BA3" s="220"/>
      <c r="BB3" s="220"/>
      <c r="BC3" s="221"/>
    </row>
    <row r="4" spans="1:72" ht="5.9" customHeight="1"/>
    <row r="5" spans="1:72" ht="13.5" customHeight="1">
      <c r="A5" s="250" t="str">
        <f ca="1">"画面レイアウト"&amp;"("&amp;MID(CELL("filename"),FIND("]",CELL("filename"))+1,LEN(CELL("filename")))&amp;")"</f>
        <v>画面レイアウト(処理詳細)</v>
      </c>
      <c r="B5" s="251"/>
      <c r="C5" s="251"/>
      <c r="D5" s="251"/>
      <c r="E5" s="251"/>
      <c r="F5" s="251"/>
      <c r="G5" s="251"/>
      <c r="H5" s="251"/>
      <c r="I5" s="251"/>
      <c r="J5" s="251"/>
      <c r="K5" s="251"/>
      <c r="L5" s="251"/>
      <c r="M5" s="251"/>
      <c r="N5" s="251"/>
      <c r="O5" s="251"/>
      <c r="P5" s="251"/>
      <c r="Q5" s="251"/>
      <c r="R5" s="251"/>
      <c r="S5" s="251"/>
      <c r="T5" s="251"/>
      <c r="U5" s="251"/>
      <c r="V5" s="251"/>
      <c r="W5" s="251"/>
      <c r="X5" s="251"/>
      <c r="Y5" s="251"/>
      <c r="Z5" s="251"/>
      <c r="AA5" s="251"/>
      <c r="AB5" s="251"/>
      <c r="AC5" s="251"/>
      <c r="AD5" s="251"/>
      <c r="AE5" s="251"/>
      <c r="AF5" s="251"/>
      <c r="AG5" s="251"/>
      <c r="AH5" s="251"/>
      <c r="AI5" s="251"/>
      <c r="AJ5" s="251"/>
      <c r="AK5" s="251"/>
      <c r="AL5" s="251"/>
      <c r="AM5" s="251"/>
      <c r="AN5" s="251"/>
      <c r="AO5" s="251"/>
      <c r="AP5" s="251"/>
      <c r="AQ5" s="251"/>
      <c r="AR5" s="251"/>
      <c r="AS5" s="251"/>
      <c r="AT5" s="251"/>
      <c r="AU5" s="251"/>
      <c r="AV5" s="251"/>
      <c r="AW5" s="251"/>
      <c r="AX5" s="251"/>
      <c r="AY5" s="251"/>
      <c r="AZ5" s="251"/>
      <c r="BA5" s="252"/>
      <c r="BB5" s="253" t="s">
        <v>24</v>
      </c>
      <c r="BC5" s="254"/>
      <c r="BD5" s="24"/>
    </row>
    <row r="6" spans="1:72" ht="13.5" customHeight="1">
      <c r="A6" s="23"/>
      <c r="B6" s="29">
        <v>1</v>
      </c>
      <c r="C6" s="29">
        <v>2</v>
      </c>
      <c r="D6" s="29">
        <v>3</v>
      </c>
      <c r="E6" s="29">
        <v>4</v>
      </c>
      <c r="F6" s="29">
        <v>5</v>
      </c>
      <c r="G6" s="29">
        <v>6</v>
      </c>
      <c r="H6" s="29">
        <v>7</v>
      </c>
      <c r="I6" s="29">
        <v>8</v>
      </c>
      <c r="J6" s="29">
        <v>9</v>
      </c>
      <c r="K6" s="29">
        <v>10</v>
      </c>
      <c r="L6" s="29">
        <v>11</v>
      </c>
      <c r="M6" s="29">
        <v>12</v>
      </c>
      <c r="N6" s="29">
        <v>13</v>
      </c>
      <c r="O6" s="29">
        <v>14</v>
      </c>
      <c r="P6" s="29">
        <v>15</v>
      </c>
      <c r="Q6" s="29">
        <v>16</v>
      </c>
      <c r="R6" s="29">
        <v>17</v>
      </c>
      <c r="S6" s="31">
        <v>18</v>
      </c>
      <c r="T6" s="31">
        <v>19</v>
      </c>
      <c r="U6" s="31">
        <v>20</v>
      </c>
      <c r="V6" s="31">
        <v>21</v>
      </c>
      <c r="W6" s="31">
        <v>22</v>
      </c>
      <c r="X6" s="31">
        <v>23</v>
      </c>
      <c r="Y6" s="31">
        <v>24</v>
      </c>
      <c r="Z6" s="31">
        <v>25</v>
      </c>
      <c r="AA6" s="31">
        <v>26</v>
      </c>
      <c r="AB6" s="31">
        <v>27</v>
      </c>
      <c r="AC6" s="31">
        <v>28</v>
      </c>
      <c r="AD6" s="31">
        <v>29</v>
      </c>
      <c r="AE6" s="31">
        <v>30</v>
      </c>
      <c r="AF6" s="31">
        <v>31</v>
      </c>
      <c r="AG6" s="31">
        <v>32</v>
      </c>
      <c r="AH6" s="31">
        <v>33</v>
      </c>
      <c r="AI6" s="31">
        <v>34</v>
      </c>
      <c r="AJ6" s="30">
        <v>35</v>
      </c>
      <c r="AK6" s="30">
        <v>36</v>
      </c>
      <c r="AL6" s="30">
        <v>37</v>
      </c>
      <c r="AM6" s="30">
        <v>38</v>
      </c>
      <c r="AN6" s="30">
        <v>39</v>
      </c>
      <c r="AO6" s="30">
        <v>40</v>
      </c>
      <c r="AP6" s="30">
        <v>41</v>
      </c>
      <c r="AQ6" s="30">
        <v>42</v>
      </c>
      <c r="AR6" s="30">
        <v>43</v>
      </c>
      <c r="AS6" s="30">
        <v>44</v>
      </c>
      <c r="AT6" s="30">
        <v>45</v>
      </c>
      <c r="AU6" s="30">
        <v>46</v>
      </c>
      <c r="AV6" s="30">
        <v>47</v>
      </c>
      <c r="AW6" s="30">
        <v>48</v>
      </c>
      <c r="AX6" s="30">
        <v>49</v>
      </c>
      <c r="AY6" s="30">
        <v>50</v>
      </c>
      <c r="AZ6" s="30">
        <v>51</v>
      </c>
      <c r="BA6" s="21"/>
      <c r="BB6" s="27"/>
      <c r="BC6" s="26"/>
      <c r="BD6" s="24"/>
    </row>
    <row r="7" spans="1:72" ht="21" customHeight="1">
      <c r="A7" s="36"/>
      <c r="B7" s="122"/>
      <c r="C7" s="127" t="s">
        <v>41</v>
      </c>
      <c r="D7" s="123"/>
      <c r="E7" s="124"/>
      <c r="F7" s="124"/>
      <c r="G7" s="124"/>
      <c r="H7" s="105"/>
      <c r="I7" s="105"/>
      <c r="J7" s="106"/>
      <c r="K7" s="106"/>
      <c r="L7" s="106"/>
      <c r="M7" s="106"/>
      <c r="N7" s="109"/>
      <c r="O7" s="108"/>
      <c r="P7" s="109"/>
      <c r="Q7" s="105"/>
      <c r="R7" s="105"/>
      <c r="S7" s="105"/>
      <c r="T7" s="107"/>
      <c r="U7" s="107"/>
      <c r="V7" s="107"/>
      <c r="W7" s="107"/>
      <c r="X7" s="107"/>
      <c r="Y7" s="108"/>
      <c r="Z7" s="107"/>
      <c r="AA7" s="105"/>
      <c r="AB7" s="108"/>
      <c r="AC7" s="107"/>
      <c r="AD7" s="105"/>
      <c r="AE7" s="108"/>
      <c r="AF7" s="105"/>
      <c r="AG7" s="105"/>
      <c r="AH7" s="108"/>
      <c r="AI7" s="105"/>
      <c r="AJ7" s="105"/>
      <c r="AK7" s="125"/>
      <c r="AL7" s="105"/>
      <c r="AM7" s="105"/>
      <c r="AN7" s="105"/>
      <c r="AO7" s="105"/>
      <c r="AP7" s="105"/>
      <c r="AQ7" s="105"/>
      <c r="AR7" s="105"/>
      <c r="AS7" s="105"/>
      <c r="AT7" s="124"/>
      <c r="AU7" s="124"/>
      <c r="AV7" s="124"/>
      <c r="AW7" s="124"/>
      <c r="AX7" s="124"/>
      <c r="AY7" s="124"/>
      <c r="AZ7" s="126"/>
      <c r="BA7" s="67"/>
      <c r="BB7" s="49"/>
      <c r="BC7" s="50"/>
      <c r="BD7" s="34"/>
      <c r="BE7" s="131" t="s">
        <v>46</v>
      </c>
      <c r="BF7" s="131"/>
      <c r="BG7" s="131"/>
      <c r="BH7" s="131"/>
      <c r="BI7" s="131"/>
      <c r="BJ7" s="131"/>
      <c r="BK7" s="131"/>
      <c r="BL7" s="131"/>
      <c r="BM7" s="131"/>
      <c r="BN7" s="131"/>
      <c r="BO7" s="131"/>
      <c r="BP7" s="131"/>
      <c r="BQ7" s="131"/>
      <c r="BR7" s="131"/>
      <c r="BS7" s="131"/>
      <c r="BT7" s="131"/>
    </row>
    <row r="8" spans="1:72" ht="12.5" customHeight="1">
      <c r="A8" s="36"/>
      <c r="B8" s="63"/>
      <c r="C8" s="74"/>
      <c r="D8" s="75"/>
      <c r="E8" s="66"/>
      <c r="F8" s="66"/>
      <c r="G8" s="66"/>
      <c r="H8" s="99"/>
      <c r="I8" s="99"/>
      <c r="J8" s="99"/>
      <c r="K8" s="99"/>
      <c r="L8" s="99"/>
      <c r="M8" s="99"/>
      <c r="N8" s="99"/>
      <c r="O8" s="99"/>
      <c r="P8" s="99"/>
      <c r="Q8" s="99"/>
      <c r="R8" s="99"/>
      <c r="S8" s="99"/>
      <c r="T8" s="99"/>
      <c r="U8" s="99"/>
      <c r="V8" s="99"/>
      <c r="W8" s="99"/>
      <c r="X8" s="99"/>
      <c r="Y8" s="99"/>
      <c r="Z8" s="99"/>
      <c r="AA8" s="99"/>
      <c r="AB8" s="99"/>
      <c r="AC8" s="99"/>
      <c r="AD8" s="99"/>
      <c r="AE8" s="99"/>
      <c r="AF8" s="99"/>
      <c r="AG8" s="99"/>
      <c r="AH8" s="99"/>
      <c r="AI8" s="99"/>
      <c r="AJ8" s="99"/>
      <c r="AK8" s="99"/>
      <c r="AL8" s="99"/>
      <c r="AM8" s="99"/>
      <c r="AN8" s="99"/>
      <c r="AO8" s="99"/>
      <c r="AP8" s="99"/>
      <c r="AQ8" s="99"/>
      <c r="AR8" s="99"/>
      <c r="AS8" s="101"/>
      <c r="AT8" s="76"/>
      <c r="AU8" s="76"/>
      <c r="AV8" s="76"/>
      <c r="AW8" s="76"/>
      <c r="AX8" s="76"/>
      <c r="AY8" s="76"/>
      <c r="AZ8" s="67"/>
      <c r="BA8" s="67"/>
      <c r="BB8" s="49"/>
      <c r="BC8" s="50"/>
      <c r="BD8" s="34"/>
      <c r="BE8" s="351" t="s">
        <v>235</v>
      </c>
      <c r="BN8" s="132"/>
      <c r="BO8" s="132"/>
      <c r="BP8" s="132"/>
      <c r="BQ8" s="132"/>
      <c r="BR8" s="132"/>
      <c r="BS8" s="131"/>
      <c r="BT8" s="131"/>
    </row>
    <row r="9" spans="1:72" ht="24" customHeight="1">
      <c r="A9" s="36"/>
      <c r="B9" s="37"/>
      <c r="C9" s="40"/>
      <c r="D9" s="40"/>
      <c r="E9" s="40"/>
      <c r="F9" s="38"/>
      <c r="G9" s="38"/>
      <c r="H9" s="55"/>
      <c r="I9" s="56"/>
      <c r="J9" s="56"/>
      <c r="K9" s="56"/>
      <c r="L9" s="56"/>
      <c r="M9" s="56"/>
      <c r="N9" s="56"/>
      <c r="O9" s="56"/>
      <c r="P9" s="56"/>
      <c r="Q9" s="56"/>
      <c r="R9" s="56"/>
      <c r="S9" s="56"/>
      <c r="T9" s="57"/>
      <c r="U9" s="57"/>
      <c r="V9" s="57"/>
      <c r="W9" s="176"/>
      <c r="X9" s="55" t="s">
        <v>40</v>
      </c>
      <c r="Y9" s="55"/>
      <c r="Z9" s="55"/>
      <c r="AA9" s="57"/>
      <c r="AB9" s="59"/>
      <c r="AC9" s="57"/>
      <c r="AD9" s="60"/>
      <c r="AE9" s="60"/>
      <c r="AF9" s="60"/>
      <c r="AG9" s="60"/>
      <c r="AH9" s="60"/>
      <c r="AI9" s="56"/>
      <c r="AJ9" s="57"/>
      <c r="AK9" s="57"/>
      <c r="AL9" s="57"/>
      <c r="AM9" s="57"/>
      <c r="AN9" s="61"/>
      <c r="AO9" s="58"/>
      <c r="AP9" s="58"/>
      <c r="AQ9" s="57"/>
      <c r="AR9" s="57"/>
      <c r="AS9" s="57"/>
      <c r="AT9" s="43"/>
      <c r="AU9" s="41"/>
      <c r="AV9" s="44"/>
      <c r="AW9" s="44"/>
      <c r="AX9" s="44"/>
      <c r="AY9" s="38"/>
      <c r="AZ9" s="39"/>
      <c r="BA9" s="39"/>
      <c r="BB9" s="32"/>
      <c r="BC9" s="33"/>
      <c r="BD9" s="34"/>
      <c r="BN9" s="132"/>
      <c r="BO9" s="132"/>
      <c r="BP9" s="132"/>
      <c r="BQ9" s="132"/>
      <c r="BR9" s="132"/>
      <c r="BS9" s="131"/>
      <c r="BT9" s="131"/>
    </row>
    <row r="10" spans="1:72" ht="12" customHeight="1">
      <c r="A10" s="36"/>
      <c r="B10" s="45"/>
      <c r="C10" s="46"/>
      <c r="D10" s="34"/>
      <c r="E10" s="34"/>
      <c r="F10" s="34"/>
      <c r="G10" s="34"/>
      <c r="H10" s="47"/>
      <c r="I10" s="42"/>
      <c r="J10" s="41"/>
      <c r="K10" s="42"/>
      <c r="L10" s="41"/>
      <c r="M10" s="48"/>
      <c r="N10" s="48"/>
      <c r="O10" s="44"/>
      <c r="P10" s="48"/>
      <c r="Q10" s="44"/>
      <c r="R10" s="48"/>
      <c r="S10" s="35"/>
      <c r="T10" s="34"/>
      <c r="U10" s="34"/>
      <c r="V10" s="34"/>
      <c r="W10" s="34"/>
      <c r="X10" s="34"/>
      <c r="Y10" s="47"/>
      <c r="Z10" s="42"/>
      <c r="AA10" s="41"/>
      <c r="AB10" s="42"/>
      <c r="AC10" s="41"/>
      <c r="AD10" s="48"/>
      <c r="AE10" s="48"/>
      <c r="AF10" s="44"/>
      <c r="AG10" s="48"/>
      <c r="AH10" s="48"/>
      <c r="AI10" s="43"/>
      <c r="AJ10" s="48"/>
      <c r="AK10" s="44"/>
      <c r="AL10" s="34"/>
      <c r="AM10" s="34"/>
      <c r="AN10" s="34"/>
      <c r="AO10" s="34"/>
      <c r="AP10" s="34"/>
      <c r="AQ10" s="34"/>
      <c r="AR10" s="34"/>
      <c r="AS10" s="41"/>
      <c r="AT10" s="43"/>
      <c r="AU10" s="41"/>
      <c r="AV10" s="44"/>
      <c r="AW10" s="44"/>
      <c r="AX10" s="44"/>
      <c r="AY10" s="38"/>
      <c r="AZ10" s="39"/>
      <c r="BA10" s="39"/>
      <c r="BB10" s="32"/>
      <c r="BC10" s="33"/>
      <c r="BD10" s="34"/>
      <c r="BE10" s="75" t="s">
        <v>47</v>
      </c>
      <c r="BF10" s="75"/>
      <c r="BG10" s="132"/>
      <c r="BH10" s="132"/>
      <c r="BI10" s="132"/>
      <c r="BJ10" s="132"/>
      <c r="BK10" s="132"/>
      <c r="BL10" s="132"/>
      <c r="BM10" s="132"/>
      <c r="BN10" s="131"/>
      <c r="BO10" s="131"/>
      <c r="BP10" s="131"/>
      <c r="BQ10" s="131"/>
      <c r="BR10" s="131"/>
      <c r="BS10" s="131"/>
      <c r="BT10" s="131"/>
    </row>
    <row r="11" spans="1:72" ht="12.5" customHeight="1">
      <c r="A11" s="36"/>
      <c r="B11" s="37"/>
      <c r="C11" s="34"/>
      <c r="D11" s="34"/>
      <c r="E11" s="34"/>
      <c r="F11" s="35"/>
      <c r="G11" s="40"/>
      <c r="H11" s="78"/>
      <c r="I11" s="78"/>
      <c r="J11" s="78"/>
      <c r="K11" s="78"/>
      <c r="L11" s="78"/>
      <c r="M11" s="78"/>
      <c r="N11" s="78"/>
      <c r="O11" s="78"/>
      <c r="P11" s="78"/>
      <c r="Q11" s="78"/>
      <c r="R11" s="78"/>
      <c r="S11" s="78"/>
      <c r="T11" s="79"/>
      <c r="U11" s="79"/>
      <c r="V11" s="79"/>
      <c r="W11" s="79"/>
      <c r="X11" s="80"/>
      <c r="Y11" s="79"/>
      <c r="Z11" s="79"/>
      <c r="AA11" s="79"/>
      <c r="AB11" s="81"/>
      <c r="AC11" s="79"/>
      <c r="AD11" s="82"/>
      <c r="AE11" s="82"/>
      <c r="AF11" s="82"/>
      <c r="AG11" s="82"/>
      <c r="AH11" s="82"/>
      <c r="AI11" s="78"/>
      <c r="AJ11" s="79"/>
      <c r="AK11" s="79"/>
      <c r="AL11" s="79"/>
      <c r="AM11" s="79"/>
      <c r="AN11" s="83"/>
      <c r="AO11" s="80"/>
      <c r="AP11" s="80"/>
      <c r="AQ11" s="79"/>
      <c r="AR11" s="79"/>
      <c r="AS11" s="79"/>
      <c r="AT11" s="43"/>
      <c r="AU11" s="41"/>
      <c r="AV11" s="44"/>
      <c r="AW11" s="44"/>
      <c r="AX11" s="44"/>
      <c r="AY11" s="38"/>
      <c r="AZ11" s="39"/>
      <c r="BA11" s="39"/>
      <c r="BB11" s="32"/>
      <c r="BC11" s="33"/>
      <c r="BD11" s="34"/>
      <c r="BE11" s="132"/>
      <c r="BF11" s="75" t="s">
        <v>48</v>
      </c>
      <c r="BG11" s="75"/>
      <c r="BH11" s="75"/>
      <c r="BI11" s="132"/>
      <c r="BJ11" s="132"/>
      <c r="BK11" s="132"/>
      <c r="BL11" s="132"/>
      <c r="BM11" s="132"/>
      <c r="BN11" s="131"/>
      <c r="BO11" s="131"/>
      <c r="BP11" s="131"/>
      <c r="BQ11" s="131"/>
      <c r="BR11" s="131"/>
      <c r="BS11" s="131"/>
      <c r="BT11" s="131"/>
    </row>
    <row r="12" spans="1:72" ht="12.5" customHeight="1">
      <c r="A12" s="36"/>
      <c r="B12" s="63"/>
      <c r="C12" s="62"/>
      <c r="D12" s="64"/>
      <c r="E12" s="64"/>
      <c r="F12" s="64"/>
      <c r="G12" s="62"/>
      <c r="H12" s="78"/>
      <c r="I12" s="78" t="s">
        <v>227</v>
      </c>
      <c r="J12" s="78"/>
      <c r="K12" s="78"/>
      <c r="L12" s="78"/>
      <c r="M12" s="78"/>
      <c r="N12" s="78"/>
      <c r="O12" s="78"/>
      <c r="P12" s="78"/>
      <c r="Q12" s="78"/>
      <c r="R12" s="78"/>
      <c r="S12" s="78"/>
      <c r="T12" s="79"/>
      <c r="U12" s="79"/>
      <c r="V12" s="79"/>
      <c r="W12" s="79"/>
      <c r="X12" s="80"/>
      <c r="Y12" s="79"/>
      <c r="Z12" s="78"/>
      <c r="AA12" s="78"/>
      <c r="AB12" s="78"/>
      <c r="AC12" s="78"/>
      <c r="AD12" s="78"/>
      <c r="AE12" s="78"/>
      <c r="AF12" s="78"/>
      <c r="AG12" s="78"/>
      <c r="AH12" s="78"/>
      <c r="AI12" s="78"/>
      <c r="AJ12" s="78"/>
      <c r="AK12" s="78"/>
      <c r="AL12" s="78"/>
      <c r="AM12" s="78"/>
      <c r="AN12" s="78"/>
      <c r="AO12" s="78"/>
      <c r="AP12" s="78"/>
      <c r="AQ12" s="78"/>
      <c r="AR12" s="78"/>
      <c r="AS12" s="78"/>
      <c r="AT12" s="62"/>
      <c r="AU12" s="62"/>
      <c r="AV12" s="62"/>
      <c r="AW12" s="62"/>
      <c r="AX12" s="66"/>
      <c r="AY12" s="62"/>
      <c r="AZ12" s="67"/>
      <c r="BA12" s="67"/>
      <c r="BB12" s="32"/>
      <c r="BC12" s="33"/>
      <c r="BD12" s="34"/>
      <c r="BE12" s="75"/>
      <c r="BF12" s="75"/>
      <c r="BG12" s="75" t="s">
        <v>49</v>
      </c>
      <c r="BH12" s="133"/>
      <c r="BI12" s="132"/>
      <c r="BJ12" s="132"/>
      <c r="BK12" s="132"/>
      <c r="BL12" s="132"/>
      <c r="BM12" s="132"/>
      <c r="BN12" s="131"/>
      <c r="BO12" s="131"/>
      <c r="BP12" s="131"/>
      <c r="BQ12" s="131"/>
      <c r="BR12" s="131"/>
      <c r="BS12" s="131"/>
      <c r="BT12" s="131"/>
    </row>
    <row r="13" spans="1:72" ht="12.5" customHeight="1">
      <c r="A13" s="36"/>
      <c r="B13" s="63"/>
      <c r="C13" s="68"/>
      <c r="D13" s="64"/>
      <c r="E13" s="64"/>
      <c r="F13" s="64"/>
      <c r="G13" s="66"/>
      <c r="H13" s="78"/>
      <c r="I13" s="84" t="s">
        <v>211</v>
      </c>
      <c r="J13" s="85"/>
      <c r="K13" s="84"/>
      <c r="L13" s="84"/>
      <c r="M13" s="84"/>
      <c r="N13" s="84"/>
      <c r="O13" s="84"/>
      <c r="P13" s="84"/>
      <c r="Q13" s="84"/>
      <c r="R13" s="84"/>
      <c r="S13" s="84"/>
      <c r="T13" s="84"/>
      <c r="U13" s="84"/>
      <c r="V13" s="84"/>
      <c r="W13" s="84"/>
      <c r="X13" s="86"/>
      <c r="Y13" s="78"/>
      <c r="Z13" s="78"/>
      <c r="AA13" s="87"/>
      <c r="AB13" s="78"/>
      <c r="AC13" s="88"/>
      <c r="AD13" s="88"/>
      <c r="AE13" s="89"/>
      <c r="AF13" s="88"/>
      <c r="AG13" s="89"/>
      <c r="AH13" s="88"/>
      <c r="AI13" s="90"/>
      <c r="AJ13" s="88"/>
      <c r="AK13" s="89"/>
      <c r="AL13" s="89"/>
      <c r="AM13" s="89"/>
      <c r="AN13" s="89"/>
      <c r="AO13" s="89"/>
      <c r="AP13" s="89"/>
      <c r="AQ13" s="89"/>
      <c r="AR13" s="89"/>
      <c r="AS13" s="89"/>
      <c r="AT13" s="66"/>
      <c r="AU13" s="66"/>
      <c r="AV13" s="66"/>
      <c r="AW13" s="66"/>
      <c r="AX13" s="66"/>
      <c r="AY13" s="62"/>
      <c r="AZ13" s="67"/>
      <c r="BA13" s="67"/>
      <c r="BB13" s="32"/>
      <c r="BC13" s="33"/>
      <c r="BD13" s="34"/>
      <c r="BE13" s="75"/>
      <c r="BF13" s="75"/>
      <c r="BG13" s="75" t="s">
        <v>50</v>
      </c>
      <c r="BH13" s="133"/>
      <c r="BI13" s="75"/>
      <c r="BJ13" s="132"/>
      <c r="BK13" s="132"/>
      <c r="BL13" s="132"/>
      <c r="BM13" s="132"/>
      <c r="BN13" s="131"/>
      <c r="BO13" s="131"/>
      <c r="BP13" s="131"/>
      <c r="BQ13" s="131"/>
      <c r="BR13" s="131"/>
      <c r="BS13" s="131"/>
      <c r="BT13" s="131"/>
    </row>
    <row r="14" spans="1:72" ht="12.5" customHeight="1">
      <c r="A14" s="36"/>
      <c r="B14" s="63"/>
      <c r="C14" s="71"/>
      <c r="D14" s="66"/>
      <c r="E14" s="66"/>
      <c r="F14" s="66"/>
      <c r="G14" s="66"/>
      <c r="H14" s="91"/>
      <c r="I14" s="86"/>
      <c r="J14" s="84"/>
      <c r="K14" s="86"/>
      <c r="L14" s="84"/>
      <c r="M14" s="84"/>
      <c r="N14" s="84"/>
      <c r="O14" s="84"/>
      <c r="P14" s="84"/>
      <c r="Q14" s="84"/>
      <c r="R14" s="84"/>
      <c r="S14" s="84"/>
      <c r="T14" s="84"/>
      <c r="U14" s="84"/>
      <c r="V14" s="84"/>
      <c r="W14" s="84"/>
      <c r="X14" s="86"/>
      <c r="Y14" s="78"/>
      <c r="Z14" s="87"/>
      <c r="AA14" s="78"/>
      <c r="AB14" s="87"/>
      <c r="AC14" s="78"/>
      <c r="AD14" s="88"/>
      <c r="AE14" s="88"/>
      <c r="AF14" s="89"/>
      <c r="AG14" s="88"/>
      <c r="AH14" s="88"/>
      <c r="AI14" s="90"/>
      <c r="AJ14" s="88"/>
      <c r="AK14" s="89"/>
      <c r="AL14" s="89"/>
      <c r="AM14" s="89"/>
      <c r="AN14" s="89"/>
      <c r="AO14" s="89"/>
      <c r="AP14" s="89"/>
      <c r="AQ14" s="89"/>
      <c r="AR14" s="89"/>
      <c r="AS14" s="78"/>
      <c r="AT14" s="70"/>
      <c r="AU14" s="62"/>
      <c r="AV14" s="66"/>
      <c r="AW14" s="66"/>
      <c r="AX14" s="66"/>
      <c r="AY14" s="62"/>
      <c r="AZ14" s="67"/>
      <c r="BA14" s="67"/>
      <c r="BB14" s="32"/>
      <c r="BC14" s="33"/>
      <c r="BD14" s="34"/>
      <c r="BE14" s="131"/>
      <c r="BF14" s="131"/>
      <c r="BG14" s="134"/>
      <c r="BH14" s="131"/>
      <c r="BI14" s="131"/>
      <c r="BJ14" s="131"/>
      <c r="BK14" s="131"/>
      <c r="BL14" s="131"/>
      <c r="BM14" s="131"/>
      <c r="BN14" s="131"/>
      <c r="BO14" s="131"/>
      <c r="BP14" s="131"/>
      <c r="BQ14" s="131"/>
      <c r="BR14" s="131"/>
      <c r="BS14" s="131"/>
      <c r="BT14" s="131"/>
    </row>
    <row r="15" spans="1:72" ht="12.5" customHeight="1">
      <c r="A15" s="36"/>
      <c r="B15" s="63"/>
      <c r="C15" s="62"/>
      <c r="D15" s="66"/>
      <c r="E15" s="66"/>
      <c r="F15" s="66"/>
      <c r="G15" s="66"/>
      <c r="H15" s="91"/>
      <c r="I15" s="84" t="s">
        <v>33</v>
      </c>
      <c r="J15" s="85" t="s">
        <v>34</v>
      </c>
      <c r="K15" s="84"/>
      <c r="L15" s="84"/>
      <c r="M15" s="84"/>
      <c r="N15" s="84"/>
      <c r="O15" s="84" t="s">
        <v>208</v>
      </c>
      <c r="P15" s="84"/>
      <c r="Q15" s="84"/>
      <c r="R15" s="84"/>
      <c r="S15" s="84"/>
      <c r="T15" s="84"/>
      <c r="U15" s="84"/>
      <c r="V15" s="84"/>
      <c r="W15" s="84"/>
      <c r="X15" s="86"/>
      <c r="Y15" s="78"/>
      <c r="Z15" s="89"/>
      <c r="AA15" s="89"/>
      <c r="AB15" s="89"/>
      <c r="AC15" s="89"/>
      <c r="AD15" s="89"/>
      <c r="AE15" s="89"/>
      <c r="AF15" s="89"/>
      <c r="AG15" s="89"/>
      <c r="AH15" s="89"/>
      <c r="AI15" s="89"/>
      <c r="AJ15" s="89"/>
      <c r="AK15" s="89"/>
      <c r="AL15" s="89"/>
      <c r="AM15" s="78"/>
      <c r="AN15" s="78"/>
      <c r="AO15" s="78"/>
      <c r="AP15" s="78"/>
      <c r="AQ15" s="78"/>
      <c r="AR15" s="78"/>
      <c r="AS15" s="78"/>
      <c r="AT15" s="62"/>
      <c r="AU15" s="62"/>
      <c r="AV15" s="62"/>
      <c r="AW15" s="62"/>
      <c r="AX15" s="66"/>
      <c r="AY15" s="62"/>
      <c r="AZ15" s="67"/>
      <c r="BA15" s="67"/>
      <c r="BB15" s="32"/>
      <c r="BC15" s="33"/>
      <c r="BD15" s="34"/>
      <c r="BE15" s="75" t="s">
        <v>51</v>
      </c>
      <c r="BF15" s="131"/>
      <c r="BG15" s="131"/>
      <c r="BH15" s="131"/>
      <c r="BI15" s="131"/>
      <c r="BJ15" s="131"/>
      <c r="BK15" s="131"/>
      <c r="BL15" s="131"/>
      <c r="BM15" s="131"/>
    </row>
    <row r="16" spans="1:72" ht="12.5" customHeight="1">
      <c r="A16" s="36"/>
      <c r="B16" s="63"/>
      <c r="C16" s="62"/>
      <c r="D16" s="62"/>
      <c r="E16" s="62"/>
      <c r="F16" s="62"/>
      <c r="G16" s="62"/>
      <c r="H16" s="87"/>
      <c r="I16" s="86"/>
      <c r="J16" s="84"/>
      <c r="K16" s="86"/>
      <c r="L16" s="84"/>
      <c r="M16" s="84"/>
      <c r="N16" s="84"/>
      <c r="O16" s="84" t="s">
        <v>207</v>
      </c>
      <c r="P16" s="84"/>
      <c r="Q16" s="84"/>
      <c r="R16" s="84"/>
      <c r="S16" s="84"/>
      <c r="T16" s="84"/>
      <c r="U16" s="84"/>
      <c r="V16" s="84"/>
      <c r="W16" s="84"/>
      <c r="X16" s="86"/>
      <c r="Y16" s="78"/>
      <c r="Z16" s="78"/>
      <c r="AA16" s="78"/>
      <c r="AB16" s="90"/>
      <c r="AC16" s="78"/>
      <c r="AD16" s="89"/>
      <c r="AE16" s="89"/>
      <c r="AF16" s="89"/>
      <c r="AG16" s="89"/>
      <c r="AH16" s="89"/>
      <c r="AI16" s="78"/>
      <c r="AJ16" s="78"/>
      <c r="AK16" s="78"/>
      <c r="AL16" s="78"/>
      <c r="AM16" s="78"/>
      <c r="AN16" s="92"/>
      <c r="AO16" s="87"/>
      <c r="AP16" s="87"/>
      <c r="AQ16" s="93"/>
      <c r="AR16" s="78"/>
      <c r="AS16" s="78"/>
      <c r="AT16" s="70"/>
      <c r="AU16" s="62"/>
      <c r="AV16" s="66"/>
      <c r="AW16" s="66"/>
      <c r="AX16" s="66"/>
      <c r="AY16" s="62"/>
      <c r="AZ16" s="67"/>
      <c r="BA16" s="67"/>
      <c r="BB16" s="32"/>
      <c r="BC16" s="33"/>
      <c r="BD16" s="34"/>
      <c r="BE16" s="131"/>
      <c r="BF16" s="75" t="s">
        <v>52</v>
      </c>
      <c r="BG16" s="75"/>
      <c r="BH16" s="131"/>
      <c r="BI16" s="131"/>
      <c r="BJ16" s="131"/>
      <c r="BK16" s="131"/>
      <c r="BL16" s="131"/>
      <c r="BM16" s="131"/>
    </row>
    <row r="17" spans="1:72" ht="12.5" customHeight="1">
      <c r="A17" s="36"/>
      <c r="B17" s="63"/>
      <c r="C17" s="62"/>
      <c r="D17" s="62"/>
      <c r="E17" s="62"/>
      <c r="F17" s="62"/>
      <c r="G17" s="62"/>
      <c r="H17" s="87"/>
      <c r="I17" s="86"/>
      <c r="J17" s="84"/>
      <c r="K17" s="86"/>
      <c r="L17" s="84"/>
      <c r="M17" s="84"/>
      <c r="N17" s="84"/>
      <c r="O17" s="84"/>
      <c r="P17" s="84"/>
      <c r="Q17" s="84"/>
      <c r="R17" s="84"/>
      <c r="S17" s="84"/>
      <c r="T17" s="84"/>
      <c r="U17" s="84"/>
      <c r="V17" s="84"/>
      <c r="W17" s="84"/>
      <c r="X17" s="86"/>
      <c r="Y17" s="78"/>
      <c r="Z17" s="78"/>
      <c r="AA17" s="78"/>
      <c r="AB17" s="78"/>
      <c r="AC17" s="90"/>
      <c r="AD17" s="78"/>
      <c r="AE17" s="89"/>
      <c r="AF17" s="89"/>
      <c r="AG17" s="89"/>
      <c r="AH17" s="89"/>
      <c r="AI17" s="78"/>
      <c r="AJ17" s="78"/>
      <c r="AK17" s="78"/>
      <c r="AL17" s="78"/>
      <c r="AM17" s="78"/>
      <c r="AN17" s="78"/>
      <c r="AO17" s="78"/>
      <c r="AP17" s="87"/>
      <c r="AQ17" s="78"/>
      <c r="AR17" s="78"/>
      <c r="AS17" s="78"/>
      <c r="AT17" s="70"/>
      <c r="AU17" s="62"/>
      <c r="AV17" s="66"/>
      <c r="AW17" s="66"/>
      <c r="AX17" s="66"/>
      <c r="AY17" s="62"/>
      <c r="AZ17" s="67"/>
      <c r="BA17" s="67"/>
      <c r="BB17" s="32"/>
      <c r="BC17" s="33"/>
      <c r="BD17" s="34"/>
      <c r="BE17" s="131"/>
      <c r="BF17" s="75"/>
      <c r="BG17" s="75" t="s">
        <v>53</v>
      </c>
      <c r="BH17" s="131"/>
      <c r="BI17" s="131"/>
      <c r="BJ17" s="131"/>
      <c r="BK17" s="131"/>
      <c r="BL17" s="131"/>
      <c r="BM17" s="131"/>
    </row>
    <row r="18" spans="1:72" s="130" customFormat="1" ht="12.5" customHeight="1">
      <c r="A18" s="36"/>
      <c r="B18" s="63"/>
      <c r="C18" s="62"/>
      <c r="D18" s="62"/>
      <c r="E18" s="62"/>
      <c r="F18" s="62"/>
      <c r="G18" s="62"/>
      <c r="H18" s="87"/>
      <c r="I18" s="84" t="s">
        <v>33</v>
      </c>
      <c r="J18" s="85" t="s">
        <v>35</v>
      </c>
      <c r="K18" s="84"/>
      <c r="L18" s="84"/>
      <c r="M18" s="84"/>
      <c r="N18" s="84"/>
      <c r="O18" s="84" t="s">
        <v>209</v>
      </c>
      <c r="P18" s="84"/>
      <c r="Q18" s="84"/>
      <c r="R18" s="84"/>
      <c r="S18" s="84"/>
      <c r="T18" s="84"/>
      <c r="U18" s="84"/>
      <c r="V18" s="84"/>
      <c r="W18" s="84"/>
      <c r="X18" s="86"/>
      <c r="Y18" s="78"/>
      <c r="Z18" s="78"/>
      <c r="AA18" s="78"/>
      <c r="AB18" s="78"/>
      <c r="AC18" s="90"/>
      <c r="AD18" s="78"/>
      <c r="AE18" s="89"/>
      <c r="AF18" s="89"/>
      <c r="AG18" s="89"/>
      <c r="AH18" s="89"/>
      <c r="AI18" s="78"/>
      <c r="AJ18" s="78"/>
      <c r="AK18" s="78"/>
      <c r="AL18" s="78"/>
      <c r="AM18" s="78"/>
      <c r="AN18" s="92"/>
      <c r="AO18" s="87"/>
      <c r="AP18" s="87"/>
      <c r="AQ18" s="78"/>
      <c r="AR18" s="78"/>
      <c r="AS18" s="78"/>
      <c r="AT18" s="70"/>
      <c r="AU18" s="62"/>
      <c r="AV18" s="66"/>
      <c r="AW18" s="66"/>
      <c r="AX18" s="66"/>
      <c r="AY18" s="62"/>
      <c r="AZ18" s="67"/>
      <c r="BA18" s="67"/>
      <c r="BB18" s="32"/>
      <c r="BC18" s="33"/>
      <c r="BD18" s="34"/>
      <c r="BE18" s="134"/>
      <c r="BF18" s="75"/>
      <c r="BG18" s="352" t="s">
        <v>236</v>
      </c>
      <c r="BH18" s="131"/>
      <c r="BI18" s="131"/>
      <c r="BJ18" s="131"/>
      <c r="BK18" s="131"/>
      <c r="BL18" s="131"/>
      <c r="BM18" s="131"/>
      <c r="BN18" s="131"/>
      <c r="BO18" s="131"/>
      <c r="BP18" s="131"/>
      <c r="BQ18" s="131"/>
      <c r="BR18" s="131"/>
      <c r="BS18" s="131"/>
      <c r="BT18" s="131"/>
    </row>
    <row r="19" spans="1:72" s="130" customFormat="1" ht="12.5" customHeight="1">
      <c r="A19" s="36"/>
      <c r="B19" s="63"/>
      <c r="C19" s="68"/>
      <c r="D19" s="62"/>
      <c r="E19" s="62"/>
      <c r="F19" s="62"/>
      <c r="G19" s="62"/>
      <c r="H19" s="87"/>
      <c r="I19" s="86"/>
      <c r="J19" s="84"/>
      <c r="K19" s="84"/>
      <c r="L19" s="84"/>
      <c r="M19" s="84"/>
      <c r="N19" s="84"/>
      <c r="O19" s="84" t="s">
        <v>210</v>
      </c>
      <c r="P19" s="84"/>
      <c r="Q19" s="78"/>
      <c r="R19" s="78"/>
      <c r="S19" s="78"/>
      <c r="T19" s="78"/>
      <c r="U19" s="78"/>
      <c r="V19" s="78"/>
      <c r="W19" s="78"/>
      <c r="X19" s="87"/>
      <c r="Y19" s="78"/>
      <c r="Z19" s="78"/>
      <c r="AA19" s="78"/>
      <c r="AB19" s="78"/>
      <c r="AC19" s="90"/>
      <c r="AD19" s="78"/>
      <c r="AE19" s="89"/>
      <c r="AF19" s="89"/>
      <c r="AG19" s="89"/>
      <c r="AH19" s="89"/>
      <c r="AI19" s="78"/>
      <c r="AJ19" s="78"/>
      <c r="AK19" s="78"/>
      <c r="AL19" s="78"/>
      <c r="AM19" s="78"/>
      <c r="AN19" s="92"/>
      <c r="AO19" s="87"/>
      <c r="AP19" s="87"/>
      <c r="AQ19" s="78"/>
      <c r="AR19" s="78"/>
      <c r="AS19" s="78"/>
      <c r="AT19" s="70"/>
      <c r="AU19" s="62"/>
      <c r="AV19" s="66"/>
      <c r="AW19" s="66"/>
      <c r="AX19" s="66"/>
      <c r="AY19" s="62"/>
      <c r="AZ19" s="67"/>
      <c r="BA19" s="67"/>
      <c r="BB19" s="32"/>
      <c r="BC19" s="33"/>
      <c r="BD19" s="34"/>
      <c r="BE19" s="131"/>
      <c r="BF19" s="131"/>
      <c r="BG19" s="131"/>
      <c r="BH19" s="131"/>
      <c r="BI19" s="131"/>
      <c r="BJ19" s="131"/>
      <c r="BK19" s="131"/>
      <c r="BL19" s="131"/>
      <c r="BM19" s="131"/>
      <c r="BN19" s="131"/>
      <c r="BO19" s="131"/>
      <c r="BP19" s="131"/>
      <c r="BQ19" s="131"/>
      <c r="BR19" s="131"/>
      <c r="BS19" s="131"/>
      <c r="BT19" s="131"/>
    </row>
    <row r="20" spans="1:72" s="130" customFormat="1" ht="12.5" customHeight="1">
      <c r="A20" s="36"/>
      <c r="B20" s="63"/>
      <c r="C20" s="68"/>
      <c r="D20" s="62"/>
      <c r="E20" s="62"/>
      <c r="F20" s="62"/>
      <c r="G20" s="62"/>
      <c r="H20" s="87"/>
      <c r="I20" s="94"/>
      <c r="J20" s="94"/>
      <c r="K20" s="94"/>
      <c r="L20" s="94"/>
      <c r="M20" s="94"/>
      <c r="N20" s="94"/>
      <c r="O20" s="94"/>
      <c r="P20" s="94"/>
      <c r="Q20" s="94"/>
      <c r="R20" s="94"/>
      <c r="S20" s="94"/>
      <c r="T20" s="94"/>
      <c r="U20" s="94"/>
      <c r="V20" s="94"/>
      <c r="W20" s="94"/>
      <c r="X20" s="95"/>
      <c r="Y20" s="94"/>
      <c r="Z20" s="94"/>
      <c r="AA20" s="94"/>
      <c r="AB20" s="94"/>
      <c r="AC20" s="96"/>
      <c r="AD20" s="94"/>
      <c r="AE20" s="97"/>
      <c r="AF20" s="97"/>
      <c r="AG20" s="97"/>
      <c r="AH20" s="97"/>
      <c r="AI20" s="94"/>
      <c r="AJ20" s="94"/>
      <c r="AK20" s="94"/>
      <c r="AL20" s="94"/>
      <c r="AM20" s="94"/>
      <c r="AN20" s="98"/>
      <c r="AO20" s="95"/>
      <c r="AP20" s="95"/>
      <c r="AQ20" s="94"/>
      <c r="AR20" s="94"/>
      <c r="AS20" s="78"/>
      <c r="AT20" s="70"/>
      <c r="AU20" s="62"/>
      <c r="AV20" s="66"/>
      <c r="AW20" s="66"/>
      <c r="AX20" s="66"/>
      <c r="AY20" s="62"/>
      <c r="AZ20" s="67"/>
      <c r="BA20" s="67"/>
      <c r="BB20" s="32"/>
      <c r="BC20" s="33"/>
      <c r="BD20" s="34"/>
      <c r="BF20" s="75" t="s">
        <v>223</v>
      </c>
      <c r="BG20" s="131"/>
      <c r="BH20" s="131"/>
      <c r="BI20" s="131"/>
      <c r="BN20" s="131"/>
      <c r="BO20" s="131"/>
      <c r="BP20" s="131"/>
      <c r="BQ20" s="131"/>
      <c r="BR20" s="131"/>
      <c r="BS20" s="131"/>
      <c r="BT20" s="131"/>
    </row>
    <row r="21" spans="1:72" s="130" customFormat="1" ht="12.5" customHeight="1">
      <c r="A21" s="36"/>
      <c r="B21" s="63"/>
      <c r="C21" s="62"/>
      <c r="D21" s="62"/>
      <c r="E21" s="62"/>
      <c r="F21" s="62"/>
      <c r="G21" s="62"/>
      <c r="H21" s="99"/>
      <c r="I21" s="99"/>
      <c r="J21" s="99"/>
      <c r="K21" s="99"/>
      <c r="L21" s="99"/>
      <c r="M21" s="99"/>
      <c r="N21" s="99"/>
      <c r="O21" s="99"/>
      <c r="P21" s="99"/>
      <c r="Q21" s="99"/>
      <c r="R21" s="99"/>
      <c r="S21" s="99"/>
      <c r="T21" s="99"/>
      <c r="U21" s="99"/>
      <c r="V21" s="99"/>
      <c r="W21" s="99"/>
      <c r="X21" s="99"/>
      <c r="Y21" s="99"/>
      <c r="Z21" s="99"/>
      <c r="AA21" s="99"/>
      <c r="AB21" s="99"/>
      <c r="AC21" s="99"/>
      <c r="AD21" s="99"/>
      <c r="AE21" s="99"/>
      <c r="AF21" s="99"/>
      <c r="AG21" s="99"/>
      <c r="AH21" s="99"/>
      <c r="AI21" s="99"/>
      <c r="AJ21" s="99"/>
      <c r="AK21" s="99"/>
      <c r="AL21" s="99"/>
      <c r="AM21" s="99"/>
      <c r="AN21" s="99"/>
      <c r="AO21" s="99"/>
      <c r="AP21" s="99"/>
      <c r="AQ21" s="99"/>
      <c r="AR21" s="99"/>
      <c r="AS21" s="100"/>
      <c r="AT21" s="70"/>
      <c r="AU21" s="62"/>
      <c r="AV21" s="66"/>
      <c r="AW21" s="66"/>
      <c r="AX21" s="66"/>
      <c r="AY21" s="62"/>
      <c r="AZ21" s="67"/>
      <c r="BA21" s="67"/>
      <c r="BB21" s="32"/>
      <c r="BC21" s="33"/>
      <c r="BD21" s="35"/>
      <c r="BG21" s="75" t="s">
        <v>237</v>
      </c>
      <c r="BN21" s="131"/>
      <c r="BO21" s="131"/>
      <c r="BP21" s="131"/>
      <c r="BQ21" s="131"/>
      <c r="BR21" s="131"/>
      <c r="BS21" s="131"/>
      <c r="BT21" s="131"/>
    </row>
    <row r="22" spans="1:72" s="130" customFormat="1" ht="12.5" customHeight="1">
      <c r="A22" s="36"/>
      <c r="B22" s="63"/>
      <c r="C22" s="74"/>
      <c r="D22" s="75"/>
      <c r="E22" s="66"/>
      <c r="F22" s="66"/>
      <c r="G22" s="66"/>
      <c r="H22" s="99"/>
      <c r="I22" s="99"/>
      <c r="J22" s="99"/>
      <c r="K22" s="99"/>
      <c r="L22" s="99"/>
      <c r="M22" s="99"/>
      <c r="N22" s="99"/>
      <c r="O22" s="99"/>
      <c r="P22" s="99"/>
      <c r="Q22" s="99"/>
      <c r="R22" s="99"/>
      <c r="S22" s="99"/>
      <c r="T22" s="99"/>
      <c r="U22" s="99"/>
      <c r="V22" s="99"/>
      <c r="W22" s="99"/>
      <c r="X22" s="99"/>
      <c r="Y22" s="99"/>
      <c r="Z22" s="99"/>
      <c r="AA22" s="99"/>
      <c r="AB22" s="99"/>
      <c r="AC22" s="99"/>
      <c r="AD22" s="99"/>
      <c r="AE22" s="99"/>
      <c r="AF22" s="99"/>
      <c r="AG22" s="99"/>
      <c r="AH22" s="99"/>
      <c r="AI22" s="99"/>
      <c r="AJ22" s="99"/>
      <c r="AK22" s="99"/>
      <c r="AL22" s="99"/>
      <c r="AM22" s="99"/>
      <c r="AN22" s="99"/>
      <c r="AO22" s="99"/>
      <c r="AP22" s="99"/>
      <c r="AQ22" s="99"/>
      <c r="AR22" s="99"/>
      <c r="AS22" s="99"/>
      <c r="AT22" s="72"/>
      <c r="AU22" s="66"/>
      <c r="AV22" s="66"/>
      <c r="AW22" s="66"/>
      <c r="AX22" s="66"/>
      <c r="AY22" s="66"/>
      <c r="AZ22" s="67"/>
      <c r="BA22" s="67"/>
      <c r="BB22" s="49"/>
      <c r="BC22" s="50"/>
      <c r="BD22" s="34"/>
      <c r="BN22" s="131"/>
      <c r="BO22" s="131"/>
      <c r="BP22" s="131"/>
      <c r="BQ22" s="131"/>
      <c r="BR22" s="131"/>
      <c r="BS22" s="131"/>
      <c r="BT22" s="131"/>
    </row>
    <row r="23" spans="1:72" s="130" customFormat="1" ht="12.5" customHeight="1">
      <c r="A23" s="36"/>
      <c r="B23" s="63"/>
      <c r="C23" s="74"/>
      <c r="D23" s="75"/>
      <c r="E23" s="66"/>
      <c r="F23" s="66"/>
      <c r="G23" s="66"/>
      <c r="H23" s="99"/>
      <c r="I23" s="99"/>
      <c r="J23" s="99"/>
      <c r="K23" s="99"/>
      <c r="L23" s="99"/>
      <c r="M23" s="99"/>
      <c r="N23" s="99"/>
      <c r="O23" s="99"/>
      <c r="P23" s="99"/>
      <c r="Q23" s="99"/>
      <c r="R23" s="99"/>
      <c r="S23" s="99"/>
      <c r="T23" s="99"/>
      <c r="U23" s="99"/>
      <c r="V23" s="99"/>
      <c r="W23" s="99"/>
      <c r="X23" s="99"/>
      <c r="Y23" s="99"/>
      <c r="Z23" s="99"/>
      <c r="AA23" s="99"/>
      <c r="AB23" s="99"/>
      <c r="AC23" s="99"/>
      <c r="AD23" s="99"/>
      <c r="AE23" s="99"/>
      <c r="AF23" s="99"/>
      <c r="AG23" s="99"/>
      <c r="AH23" s="99"/>
      <c r="AI23" s="99"/>
      <c r="AJ23" s="99"/>
      <c r="AK23" s="99"/>
      <c r="AL23" s="99"/>
      <c r="AM23" s="99"/>
      <c r="AN23" s="99"/>
      <c r="AO23" s="99"/>
      <c r="AP23" s="99"/>
      <c r="AQ23" s="99"/>
      <c r="AR23" s="99"/>
      <c r="AS23" s="101"/>
      <c r="AT23" s="76"/>
      <c r="AU23" s="76"/>
      <c r="AV23" s="76"/>
      <c r="AW23" s="76"/>
      <c r="AX23" s="76"/>
      <c r="AY23" s="76"/>
      <c r="AZ23" s="67"/>
      <c r="BA23" s="67"/>
      <c r="BB23" s="49"/>
      <c r="BC23" s="50"/>
      <c r="BD23" s="34"/>
      <c r="BE23" s="131" t="s">
        <v>54</v>
      </c>
      <c r="BF23" s="131"/>
      <c r="BG23" s="131"/>
      <c r="BH23" s="131"/>
      <c r="BI23" s="131"/>
      <c r="BJ23" s="131"/>
      <c r="BK23" s="131"/>
      <c r="BL23" s="131"/>
      <c r="BM23" s="131"/>
      <c r="BN23" s="131"/>
      <c r="BO23" s="131"/>
      <c r="BP23" s="131"/>
      <c r="BQ23" s="131"/>
      <c r="BR23" s="131"/>
      <c r="BS23" s="131"/>
      <c r="BT23" s="131"/>
    </row>
    <row r="24" spans="1:72" s="130" customFormat="1" ht="12.5" customHeight="1">
      <c r="A24" s="36"/>
      <c r="B24" s="63"/>
      <c r="C24" s="74"/>
      <c r="D24" s="75"/>
      <c r="E24" s="66"/>
      <c r="F24" s="66"/>
      <c r="G24" s="66"/>
      <c r="H24" s="99"/>
      <c r="I24" s="99"/>
      <c r="J24" s="255"/>
      <c r="K24" s="255"/>
      <c r="L24" s="255"/>
      <c r="M24" s="255"/>
      <c r="N24" s="102"/>
      <c r="O24" s="103"/>
      <c r="P24" s="102"/>
      <c r="Q24" s="99"/>
      <c r="R24" s="99"/>
      <c r="S24" s="99"/>
      <c r="T24" s="100"/>
      <c r="U24" s="100"/>
      <c r="V24" s="100"/>
      <c r="W24" s="100"/>
      <c r="X24" s="100"/>
      <c r="Y24" s="103"/>
      <c r="Z24" s="100"/>
      <c r="AA24" s="99"/>
      <c r="AB24" s="103"/>
      <c r="AC24" s="100"/>
      <c r="AD24" s="99"/>
      <c r="AE24" s="103"/>
      <c r="AF24" s="99"/>
      <c r="AG24" s="99"/>
      <c r="AH24" s="103"/>
      <c r="AI24" s="99"/>
      <c r="AJ24" s="99"/>
      <c r="AK24" s="104"/>
      <c r="AL24" s="99"/>
      <c r="AM24" s="99"/>
      <c r="AN24" s="99"/>
      <c r="AO24" s="99"/>
      <c r="AP24" s="99"/>
      <c r="AQ24" s="99"/>
      <c r="AR24" s="99"/>
      <c r="AS24" s="99"/>
      <c r="AT24" s="66"/>
      <c r="AU24" s="66"/>
      <c r="AV24" s="66"/>
      <c r="AW24" s="66"/>
      <c r="AX24" s="66"/>
      <c r="AY24" s="66"/>
      <c r="AZ24" s="67"/>
      <c r="BA24" s="67"/>
      <c r="BB24" s="49"/>
      <c r="BC24" s="50"/>
      <c r="BD24" s="34"/>
      <c r="BE24" s="131"/>
      <c r="BF24" s="131" t="s">
        <v>55</v>
      </c>
      <c r="BG24" s="131"/>
      <c r="BH24" s="131"/>
      <c r="BI24" s="131"/>
      <c r="BJ24" s="131"/>
      <c r="BK24" s="131"/>
      <c r="BL24" s="131"/>
      <c r="BM24" s="131"/>
      <c r="BN24" s="131"/>
      <c r="BO24" s="131"/>
      <c r="BP24" s="131"/>
      <c r="BQ24" s="131"/>
      <c r="BR24" s="131"/>
      <c r="BS24" s="131"/>
      <c r="BT24" s="131"/>
    </row>
    <row r="25" spans="1:72" s="130" customFormat="1" ht="15" customHeight="1">
      <c r="A25" s="36"/>
      <c r="B25" s="73"/>
      <c r="C25" s="69"/>
      <c r="D25" s="69"/>
      <c r="E25" s="69"/>
      <c r="F25" s="69"/>
      <c r="G25" s="69"/>
      <c r="H25" s="105"/>
      <c r="I25" s="242" t="s">
        <v>224</v>
      </c>
      <c r="J25" s="243"/>
      <c r="K25" s="243"/>
      <c r="L25" s="243"/>
      <c r="M25" s="243"/>
      <c r="N25" s="243"/>
      <c r="O25" s="243"/>
      <c r="P25" s="243"/>
      <c r="Q25" s="243"/>
      <c r="R25" s="243"/>
      <c r="S25" s="243"/>
      <c r="T25" s="243"/>
      <c r="U25" s="243"/>
      <c r="V25" s="243"/>
      <c r="W25" s="243"/>
      <c r="X25" s="243"/>
      <c r="Y25" s="243"/>
      <c r="Z25" s="243"/>
      <c r="AA25" s="243"/>
      <c r="AB25" s="243"/>
      <c r="AC25" s="243"/>
      <c r="AD25" s="243"/>
      <c r="AE25" s="243"/>
      <c r="AF25" s="243"/>
      <c r="AG25" s="243"/>
      <c r="AH25" s="243"/>
      <c r="AI25" s="243"/>
      <c r="AJ25" s="243"/>
      <c r="AK25" s="243"/>
      <c r="AL25" s="243"/>
      <c r="AM25" s="243"/>
      <c r="AN25" s="243"/>
      <c r="AO25" s="243"/>
      <c r="AP25" s="243"/>
      <c r="AQ25" s="243"/>
      <c r="AR25" s="243"/>
      <c r="AS25" s="243"/>
      <c r="AT25" s="66"/>
      <c r="AU25" s="66"/>
      <c r="AV25" s="66"/>
      <c r="AW25" s="66"/>
      <c r="AX25" s="70"/>
      <c r="AY25" s="62"/>
      <c r="AZ25" s="67"/>
      <c r="BA25" s="67"/>
      <c r="BB25" s="32"/>
      <c r="BC25" s="33"/>
      <c r="BD25" s="34"/>
      <c r="BE25" s="131"/>
      <c r="BF25" s="131"/>
      <c r="BG25" s="131" t="s">
        <v>56</v>
      </c>
      <c r="BH25" s="131"/>
      <c r="BI25" s="131"/>
      <c r="BJ25" s="131"/>
      <c r="BK25" s="131"/>
      <c r="BL25" s="131"/>
      <c r="BM25" s="131"/>
      <c r="BN25" s="131"/>
      <c r="BO25" s="131"/>
      <c r="BP25" s="131"/>
      <c r="BQ25" s="131"/>
      <c r="BR25" s="131"/>
      <c r="BS25" s="131"/>
      <c r="BT25" s="131"/>
    </row>
    <row r="26" spans="1:72" s="130" customFormat="1" ht="15" customHeight="1">
      <c r="A26" s="36"/>
      <c r="B26" s="73"/>
      <c r="C26" s="69"/>
      <c r="D26" s="69"/>
      <c r="E26" s="69"/>
      <c r="F26" s="69"/>
      <c r="G26" s="69"/>
      <c r="H26" s="105"/>
      <c r="I26" s="243"/>
      <c r="J26" s="243"/>
      <c r="K26" s="243"/>
      <c r="L26" s="243"/>
      <c r="M26" s="243"/>
      <c r="N26" s="243"/>
      <c r="O26" s="243"/>
      <c r="P26" s="243"/>
      <c r="Q26" s="243"/>
      <c r="R26" s="243"/>
      <c r="S26" s="243"/>
      <c r="T26" s="243"/>
      <c r="U26" s="243"/>
      <c r="V26" s="243"/>
      <c r="W26" s="243"/>
      <c r="X26" s="243"/>
      <c r="Y26" s="243"/>
      <c r="Z26" s="243"/>
      <c r="AA26" s="243"/>
      <c r="AB26" s="243"/>
      <c r="AC26" s="243"/>
      <c r="AD26" s="243"/>
      <c r="AE26" s="243"/>
      <c r="AF26" s="243"/>
      <c r="AG26" s="243"/>
      <c r="AH26" s="243"/>
      <c r="AI26" s="243"/>
      <c r="AJ26" s="243"/>
      <c r="AK26" s="243"/>
      <c r="AL26" s="243"/>
      <c r="AM26" s="243"/>
      <c r="AN26" s="243"/>
      <c r="AO26" s="243"/>
      <c r="AP26" s="243"/>
      <c r="AQ26" s="243"/>
      <c r="AR26" s="243"/>
      <c r="AS26" s="243"/>
      <c r="AT26" s="66"/>
      <c r="AU26" s="66"/>
      <c r="AV26" s="66"/>
      <c r="AW26" s="66"/>
      <c r="AX26" s="70"/>
      <c r="AY26" s="62"/>
      <c r="AZ26" s="67"/>
      <c r="BA26" s="67"/>
      <c r="BB26" s="32"/>
      <c r="BC26" s="33"/>
      <c r="BD26" s="34"/>
      <c r="BE26" s="131"/>
      <c r="BF26" s="131"/>
      <c r="BG26" s="131"/>
      <c r="BH26" s="131"/>
      <c r="BI26" s="131"/>
      <c r="BJ26" s="131"/>
      <c r="BK26" s="131"/>
      <c r="BL26" s="131"/>
      <c r="BM26" s="131"/>
      <c r="BN26" s="131"/>
      <c r="BO26" s="131"/>
      <c r="BP26" s="131"/>
      <c r="BQ26" s="131"/>
      <c r="BR26" s="131"/>
      <c r="BS26" s="131"/>
      <c r="BT26" s="131"/>
    </row>
    <row r="27" spans="1:72" s="130" customFormat="1" ht="12.5" customHeight="1">
      <c r="A27" s="36"/>
      <c r="B27" s="63"/>
      <c r="C27" s="65"/>
      <c r="D27" s="65"/>
      <c r="E27" s="65"/>
      <c r="F27" s="65"/>
      <c r="G27" s="65"/>
      <c r="H27" s="65"/>
      <c r="I27" s="65"/>
      <c r="J27" s="65"/>
      <c r="K27" s="65"/>
      <c r="L27" s="65"/>
      <c r="M27" s="65"/>
      <c r="N27" s="65"/>
      <c r="O27" s="65"/>
      <c r="P27" s="65"/>
      <c r="Q27" s="65"/>
      <c r="R27" s="65"/>
      <c r="S27" s="65"/>
      <c r="T27" s="65"/>
      <c r="U27" s="65"/>
      <c r="V27" s="65"/>
      <c r="W27" s="65"/>
      <c r="X27" s="65"/>
      <c r="Y27" s="65"/>
      <c r="Z27" s="65"/>
      <c r="AA27" s="65"/>
      <c r="AB27" s="65"/>
      <c r="AC27" s="65"/>
      <c r="AD27" s="65"/>
      <c r="AE27" s="65"/>
      <c r="AF27" s="65"/>
      <c r="AG27" s="65"/>
      <c r="AH27" s="65"/>
      <c r="AI27" s="65"/>
      <c r="AJ27" s="65"/>
      <c r="AK27" s="65"/>
      <c r="AL27" s="65"/>
      <c r="AM27" s="65"/>
      <c r="AN27" s="65"/>
      <c r="AO27" s="65"/>
      <c r="AP27" s="65"/>
      <c r="AQ27" s="65"/>
      <c r="AR27" s="65"/>
      <c r="AS27" s="65"/>
      <c r="AT27" s="65"/>
      <c r="AU27" s="65"/>
      <c r="AV27" s="65"/>
      <c r="AW27" s="65"/>
      <c r="AX27" s="65"/>
      <c r="AY27" s="65"/>
      <c r="AZ27" s="67"/>
      <c r="BA27" s="67"/>
      <c r="BB27" s="49"/>
      <c r="BC27" s="50"/>
      <c r="BD27" s="34"/>
      <c r="BE27" s="131"/>
      <c r="BF27" s="131" t="s">
        <v>57</v>
      </c>
      <c r="BG27" s="131"/>
      <c r="BH27" s="131"/>
      <c r="BI27" s="131"/>
      <c r="BJ27" s="131"/>
      <c r="BK27" s="131"/>
      <c r="BL27" s="131"/>
      <c r="BM27" s="131"/>
      <c r="BN27" s="131"/>
      <c r="BO27" s="131"/>
      <c r="BP27" s="131"/>
      <c r="BQ27" s="131"/>
      <c r="BR27" s="131"/>
      <c r="BS27" s="131"/>
      <c r="BT27" s="131"/>
    </row>
    <row r="28" spans="1:72" s="130" customFormat="1" ht="12.5" customHeight="1">
      <c r="A28" s="36"/>
      <c r="B28" s="63"/>
      <c r="C28" s="65"/>
      <c r="D28" s="65"/>
      <c r="E28" s="65"/>
      <c r="F28" s="65"/>
      <c r="G28" s="65"/>
      <c r="H28" s="65"/>
      <c r="I28" s="65"/>
      <c r="J28" s="65"/>
      <c r="K28" s="65"/>
      <c r="L28" s="65"/>
      <c r="M28" s="65"/>
      <c r="N28" s="65"/>
      <c r="O28" s="65"/>
      <c r="P28" s="65"/>
      <c r="Q28" s="65"/>
      <c r="R28" s="65"/>
      <c r="S28" s="65"/>
      <c r="T28" s="65"/>
      <c r="U28" s="65"/>
      <c r="V28" s="65"/>
      <c r="W28" s="65"/>
      <c r="X28" s="65"/>
      <c r="Y28" s="65"/>
      <c r="Z28" s="65"/>
      <c r="AA28" s="65"/>
      <c r="AB28" s="65"/>
      <c r="AC28" s="65"/>
      <c r="AD28" s="65"/>
      <c r="AE28" s="65"/>
      <c r="AF28" s="65"/>
      <c r="AG28" s="65"/>
      <c r="AH28" s="65"/>
      <c r="AI28" s="65"/>
      <c r="AJ28" s="65"/>
      <c r="AK28" s="65"/>
      <c r="AL28" s="65"/>
      <c r="AM28" s="65"/>
      <c r="AN28" s="65"/>
      <c r="AO28" s="65"/>
      <c r="AP28" s="65"/>
      <c r="AQ28" s="65"/>
      <c r="AR28" s="65"/>
      <c r="AS28" s="65"/>
      <c r="AT28" s="65"/>
      <c r="AU28" s="65"/>
      <c r="AV28" s="65"/>
      <c r="AW28" s="65"/>
      <c r="AX28" s="65"/>
      <c r="AY28" s="65"/>
      <c r="AZ28" s="67"/>
      <c r="BA28" s="67"/>
      <c r="BB28" s="49"/>
      <c r="BC28" s="50"/>
      <c r="BD28" s="34"/>
      <c r="BE28" s="131"/>
      <c r="BF28" s="131"/>
      <c r="BG28" s="131" t="s">
        <v>58</v>
      </c>
      <c r="BH28" s="131"/>
      <c r="BI28" s="131"/>
      <c r="BJ28" s="131"/>
      <c r="BK28" s="131"/>
      <c r="BL28" s="131"/>
      <c r="BM28" s="131"/>
      <c r="BN28" s="131"/>
      <c r="BO28" s="131"/>
      <c r="BP28" s="131"/>
      <c r="BQ28" s="131"/>
      <c r="BR28" s="131"/>
      <c r="BS28" s="131"/>
      <c r="BT28" s="131"/>
    </row>
    <row r="29" spans="1:72" s="130" customFormat="1" ht="17" customHeight="1">
      <c r="A29" s="36"/>
      <c r="B29" s="63"/>
      <c r="C29" s="62"/>
      <c r="D29" s="62"/>
      <c r="E29" s="62"/>
      <c r="F29" s="62"/>
      <c r="G29" s="62"/>
      <c r="H29" s="244" t="s">
        <v>212</v>
      </c>
      <c r="I29" s="245"/>
      <c r="J29" s="245"/>
      <c r="K29" s="245"/>
      <c r="L29" s="246"/>
      <c r="M29" s="256" t="s">
        <v>219</v>
      </c>
      <c r="N29" s="257"/>
      <c r="O29" s="257"/>
      <c r="P29" s="257"/>
      <c r="Q29" s="258"/>
      <c r="R29" s="244" t="s">
        <v>213</v>
      </c>
      <c r="S29" s="245"/>
      <c r="T29" s="245"/>
      <c r="U29" s="245"/>
      <c r="V29" s="246"/>
      <c r="W29" s="262" t="s">
        <v>214</v>
      </c>
      <c r="X29" s="263"/>
      <c r="Y29" s="263"/>
      <c r="Z29" s="264"/>
      <c r="AA29" s="262" t="s">
        <v>215</v>
      </c>
      <c r="AB29" s="263"/>
      <c r="AC29" s="263"/>
      <c r="AD29" s="264"/>
      <c r="AE29" s="244" t="s">
        <v>216</v>
      </c>
      <c r="AF29" s="245"/>
      <c r="AG29" s="245"/>
      <c r="AH29" s="246"/>
      <c r="AI29" s="244" t="s">
        <v>217</v>
      </c>
      <c r="AJ29" s="245"/>
      <c r="AK29" s="245"/>
      <c r="AL29" s="245"/>
      <c r="AM29" s="246"/>
      <c r="AN29" s="244" t="s">
        <v>218</v>
      </c>
      <c r="AO29" s="245"/>
      <c r="AP29" s="245"/>
      <c r="AQ29" s="245"/>
      <c r="AR29" s="245"/>
      <c r="AS29" s="246"/>
      <c r="AT29" s="70"/>
      <c r="AU29" s="62"/>
      <c r="AV29" s="66"/>
      <c r="AW29" s="66"/>
      <c r="AX29" s="66"/>
      <c r="AY29" s="62"/>
      <c r="AZ29" s="67"/>
      <c r="BA29" s="67"/>
      <c r="BB29" s="32"/>
      <c r="BC29" s="33"/>
      <c r="BD29" s="35"/>
      <c r="BE29" s="131"/>
      <c r="BF29" s="131"/>
      <c r="BG29" s="131" t="s">
        <v>59</v>
      </c>
      <c r="BH29" s="131"/>
      <c r="BI29" s="131"/>
      <c r="BJ29" s="131"/>
      <c r="BK29" s="131"/>
      <c r="BL29" s="131"/>
      <c r="BM29" s="131"/>
      <c r="BN29" s="131"/>
      <c r="BO29" s="131"/>
      <c r="BP29" s="131"/>
      <c r="BQ29" s="131"/>
      <c r="BR29" s="131"/>
      <c r="BS29" s="131"/>
      <c r="BT29" s="131"/>
    </row>
    <row r="30" spans="1:72" s="130" customFormat="1" ht="17" customHeight="1">
      <c r="A30" s="36"/>
      <c r="B30" s="63"/>
      <c r="C30" s="62"/>
      <c r="D30" s="62"/>
      <c r="E30" s="62"/>
      <c r="F30" s="62"/>
      <c r="G30" s="62"/>
      <c r="H30" s="247"/>
      <c r="I30" s="248"/>
      <c r="J30" s="248"/>
      <c r="K30" s="248"/>
      <c r="L30" s="249"/>
      <c r="M30" s="259"/>
      <c r="N30" s="260"/>
      <c r="O30" s="260"/>
      <c r="P30" s="260"/>
      <c r="Q30" s="261"/>
      <c r="R30" s="247"/>
      <c r="S30" s="248"/>
      <c r="T30" s="248"/>
      <c r="U30" s="248"/>
      <c r="V30" s="249"/>
      <c r="W30" s="265"/>
      <c r="X30" s="266"/>
      <c r="Y30" s="266"/>
      <c r="Z30" s="267"/>
      <c r="AA30" s="265"/>
      <c r="AB30" s="266"/>
      <c r="AC30" s="266"/>
      <c r="AD30" s="267"/>
      <c r="AE30" s="247"/>
      <c r="AF30" s="248"/>
      <c r="AG30" s="248"/>
      <c r="AH30" s="249"/>
      <c r="AI30" s="247"/>
      <c r="AJ30" s="248"/>
      <c r="AK30" s="248"/>
      <c r="AL30" s="248"/>
      <c r="AM30" s="249"/>
      <c r="AN30" s="247"/>
      <c r="AO30" s="248"/>
      <c r="AP30" s="248"/>
      <c r="AQ30" s="248"/>
      <c r="AR30" s="248"/>
      <c r="AS30" s="249"/>
      <c r="AT30" s="70"/>
      <c r="AU30" s="62"/>
      <c r="AV30" s="66"/>
      <c r="AW30" s="66"/>
      <c r="AX30" s="66"/>
      <c r="AY30" s="62"/>
      <c r="AZ30" s="67"/>
      <c r="BA30" s="67"/>
      <c r="BB30" s="32"/>
      <c r="BC30" s="33"/>
      <c r="BD30" s="35"/>
      <c r="BE30" s="131"/>
      <c r="BF30" s="131"/>
      <c r="BG30" s="134" t="s">
        <v>60</v>
      </c>
      <c r="BH30" s="131"/>
      <c r="BI30" s="131"/>
      <c r="BJ30" s="131"/>
      <c r="BK30" s="131"/>
      <c r="BL30" s="131"/>
      <c r="BM30" s="131"/>
      <c r="BN30" s="131"/>
      <c r="BO30" s="131"/>
      <c r="BP30" s="131"/>
      <c r="BQ30" s="131"/>
      <c r="BR30" s="131"/>
      <c r="BS30" s="131"/>
      <c r="BT30" s="131"/>
    </row>
    <row r="31" spans="1:72" s="130" customFormat="1" ht="16.5" customHeight="1">
      <c r="A31" s="36"/>
      <c r="B31" s="63"/>
      <c r="C31" s="74"/>
      <c r="D31" s="75"/>
      <c r="E31" s="66"/>
      <c r="F31" s="66"/>
      <c r="G31" s="66"/>
      <c r="H31" s="110" t="s">
        <v>36</v>
      </c>
      <c r="I31" s="111"/>
      <c r="J31" s="111"/>
      <c r="K31" s="111"/>
      <c r="L31" s="112"/>
      <c r="M31" s="177" t="s">
        <v>220</v>
      </c>
      <c r="N31" s="111"/>
      <c r="O31" s="111"/>
      <c r="P31" s="111"/>
      <c r="Q31" s="112"/>
      <c r="R31" s="177" t="s">
        <v>220</v>
      </c>
      <c r="S31" s="114"/>
      <c r="T31" s="115"/>
      <c r="U31" s="115"/>
      <c r="V31" s="116"/>
      <c r="W31" s="128" t="s">
        <v>43</v>
      </c>
      <c r="X31" s="115"/>
      <c r="Y31" s="116"/>
      <c r="Z31" s="117"/>
      <c r="AA31" s="120" t="s">
        <v>42</v>
      </c>
      <c r="AB31" s="114"/>
      <c r="AC31" s="115"/>
      <c r="AD31" s="116"/>
      <c r="AE31" s="117" t="s">
        <v>44</v>
      </c>
      <c r="AF31" s="114"/>
      <c r="AG31" s="114"/>
      <c r="AH31" s="118"/>
      <c r="AI31" s="178" t="s">
        <v>226</v>
      </c>
      <c r="AJ31" s="114"/>
      <c r="AK31" s="114"/>
      <c r="AL31" s="114"/>
      <c r="AM31" s="118"/>
      <c r="AN31" s="121"/>
      <c r="AO31" s="114"/>
      <c r="AP31" s="114"/>
      <c r="AQ31" s="114"/>
      <c r="AR31" s="114"/>
      <c r="AS31" s="119"/>
      <c r="AT31" s="72"/>
      <c r="AU31" s="66"/>
      <c r="AV31" s="66"/>
      <c r="AW31" s="66"/>
      <c r="AX31" s="66"/>
      <c r="AY31" s="66"/>
      <c r="AZ31" s="67"/>
      <c r="BA31" s="67"/>
      <c r="BB31" s="49"/>
      <c r="BC31" s="50"/>
      <c r="BD31" s="34"/>
      <c r="BE31" s="131"/>
      <c r="BF31" s="131"/>
      <c r="BG31" s="134"/>
      <c r="BH31" s="131"/>
      <c r="BI31" s="131"/>
      <c r="BJ31" s="131"/>
      <c r="BK31" s="131"/>
      <c r="BL31" s="131"/>
      <c r="BM31" s="131"/>
      <c r="BN31" s="131"/>
      <c r="BO31" s="131"/>
      <c r="BP31" s="131"/>
      <c r="BQ31" s="131"/>
      <c r="BR31" s="131"/>
      <c r="BS31" s="131"/>
      <c r="BT31" s="131"/>
    </row>
    <row r="32" spans="1:72" s="130" customFormat="1" ht="16.5" customHeight="1">
      <c r="A32" s="36"/>
      <c r="B32" s="63"/>
      <c r="C32" s="74"/>
      <c r="D32" s="75"/>
      <c r="E32" s="66"/>
      <c r="F32" s="66"/>
      <c r="G32" s="66"/>
      <c r="H32" s="110" t="s">
        <v>37</v>
      </c>
      <c r="I32" s="111"/>
      <c r="J32" s="111"/>
      <c r="K32" s="111"/>
      <c r="L32" s="112"/>
      <c r="M32" s="177" t="s">
        <v>221</v>
      </c>
      <c r="N32" s="111"/>
      <c r="O32" s="111"/>
      <c r="P32" s="111"/>
      <c r="Q32" s="112"/>
      <c r="R32" s="177" t="s">
        <v>221</v>
      </c>
      <c r="S32" s="114"/>
      <c r="T32" s="115"/>
      <c r="U32" s="115"/>
      <c r="V32" s="116"/>
      <c r="W32" s="128" t="s">
        <v>43</v>
      </c>
      <c r="X32" s="115"/>
      <c r="Y32" s="116"/>
      <c r="Z32" s="117"/>
      <c r="AA32" s="120" t="s">
        <v>241</v>
      </c>
      <c r="AB32" s="114"/>
      <c r="AC32" s="115"/>
      <c r="AD32" s="116"/>
      <c r="AE32" s="117" t="s">
        <v>45</v>
      </c>
      <c r="AF32" s="114"/>
      <c r="AG32" s="114"/>
      <c r="AH32" s="118"/>
      <c r="AI32" s="113" t="s">
        <v>39</v>
      </c>
      <c r="AJ32" s="114"/>
      <c r="AK32" s="114"/>
      <c r="AL32" s="114"/>
      <c r="AM32" s="118"/>
      <c r="AN32" s="121"/>
      <c r="AO32" s="114"/>
      <c r="AP32" s="114"/>
      <c r="AQ32" s="114"/>
      <c r="AR32" s="114"/>
      <c r="AS32" s="119"/>
      <c r="AT32" s="76"/>
      <c r="AU32" s="76"/>
      <c r="AV32" s="76"/>
      <c r="AW32" s="76"/>
      <c r="AX32" s="76"/>
      <c r="AY32" s="76"/>
      <c r="AZ32" s="67"/>
      <c r="BA32" s="67"/>
      <c r="BB32" s="49"/>
      <c r="BC32" s="50"/>
      <c r="BD32" s="34"/>
      <c r="BE32" s="131"/>
      <c r="BF32" s="131" t="s">
        <v>61</v>
      </c>
      <c r="BG32" s="134"/>
      <c r="BH32" s="131"/>
      <c r="BI32" s="131"/>
      <c r="BJ32" s="131"/>
      <c r="BK32" s="131"/>
      <c r="BL32" s="131"/>
      <c r="BM32" s="131"/>
      <c r="BN32" s="131"/>
      <c r="BO32" s="131"/>
      <c r="BP32" s="131"/>
      <c r="BQ32" s="131"/>
      <c r="BR32" s="131"/>
      <c r="BS32" s="131"/>
      <c r="BT32" s="131"/>
    </row>
    <row r="33" spans="1:72" s="130" customFormat="1" ht="16.5" customHeight="1">
      <c r="A33" s="36"/>
      <c r="B33" s="63"/>
      <c r="C33" s="65"/>
      <c r="D33" s="65"/>
      <c r="E33" s="65"/>
      <c r="F33" s="65"/>
      <c r="G33" s="65"/>
      <c r="H33" s="110" t="s">
        <v>38</v>
      </c>
      <c r="I33" s="111"/>
      <c r="J33" s="111"/>
      <c r="K33" s="111"/>
      <c r="L33" s="112"/>
      <c r="M33" s="177" t="s">
        <v>222</v>
      </c>
      <c r="N33" s="111"/>
      <c r="O33" s="111"/>
      <c r="P33" s="111"/>
      <c r="Q33" s="112"/>
      <c r="R33" s="177" t="s">
        <v>222</v>
      </c>
      <c r="S33" s="114"/>
      <c r="T33" s="115"/>
      <c r="U33" s="115"/>
      <c r="V33" s="116"/>
      <c r="W33" s="128" t="s">
        <v>43</v>
      </c>
      <c r="X33" s="115"/>
      <c r="Y33" s="116"/>
      <c r="Z33" s="117"/>
      <c r="AA33" s="120" t="s">
        <v>42</v>
      </c>
      <c r="AB33" s="114"/>
      <c r="AC33" s="115"/>
      <c r="AD33" s="116"/>
      <c r="AE33" s="117" t="s">
        <v>44</v>
      </c>
      <c r="AF33" s="114"/>
      <c r="AG33" s="114"/>
      <c r="AH33" s="118"/>
      <c r="AI33" s="178" t="s">
        <v>225</v>
      </c>
      <c r="AJ33" s="114"/>
      <c r="AK33" s="114"/>
      <c r="AL33" s="114"/>
      <c r="AM33" s="118"/>
      <c r="AN33" s="121"/>
      <c r="AO33" s="114"/>
      <c r="AP33" s="114"/>
      <c r="AQ33" s="114"/>
      <c r="AR33" s="114"/>
      <c r="AS33" s="119"/>
      <c r="AT33" s="65"/>
      <c r="AU33" s="65"/>
      <c r="AV33" s="65"/>
      <c r="AW33" s="65"/>
      <c r="AX33" s="65"/>
      <c r="AY33" s="65"/>
      <c r="AZ33" s="67"/>
      <c r="BA33" s="67"/>
      <c r="BB33" s="49"/>
      <c r="BC33" s="50"/>
      <c r="BD33" s="34"/>
      <c r="BE33" s="131"/>
      <c r="BF33" s="131"/>
      <c r="BG33" s="131" t="s">
        <v>240</v>
      </c>
      <c r="BH33" s="131"/>
      <c r="BI33" s="131"/>
      <c r="BJ33" s="131"/>
      <c r="BK33" s="131"/>
      <c r="BL33" s="131"/>
      <c r="BM33" s="131"/>
      <c r="BN33" s="131"/>
      <c r="BO33" s="131"/>
      <c r="BP33" s="131"/>
      <c r="BQ33" s="131"/>
      <c r="BR33" s="131"/>
      <c r="BS33" s="131"/>
      <c r="BT33" s="131"/>
    </row>
    <row r="34" spans="1:72" s="130" customFormat="1" ht="12.5" customHeight="1">
      <c r="A34" s="36"/>
      <c r="B34" s="63"/>
      <c r="C34" s="65"/>
      <c r="D34" s="65"/>
      <c r="E34" s="65"/>
      <c r="F34" s="65"/>
      <c r="G34" s="65"/>
      <c r="H34" s="65"/>
      <c r="I34" s="65"/>
      <c r="J34" s="65"/>
      <c r="K34" s="65"/>
      <c r="L34" s="65"/>
      <c r="M34" s="65"/>
      <c r="N34" s="65"/>
      <c r="O34" s="65"/>
      <c r="P34" s="65"/>
      <c r="Q34" s="65"/>
      <c r="R34" s="65"/>
      <c r="S34" s="65"/>
      <c r="T34" s="65"/>
      <c r="U34" s="65"/>
      <c r="V34" s="65"/>
      <c r="W34" s="65"/>
      <c r="X34" s="65"/>
      <c r="Y34" s="65"/>
      <c r="Z34" s="65"/>
      <c r="AA34" s="65"/>
      <c r="AB34" s="65"/>
      <c r="AC34" s="65"/>
      <c r="AD34" s="65"/>
      <c r="AE34" s="65"/>
      <c r="AF34" s="65"/>
      <c r="AG34" s="65"/>
      <c r="AH34" s="65"/>
      <c r="AI34" s="65"/>
      <c r="AJ34" s="65"/>
      <c r="AK34" s="65"/>
      <c r="AL34" s="65"/>
      <c r="AM34" s="65"/>
      <c r="AN34" s="65"/>
      <c r="AO34" s="65"/>
      <c r="AP34" s="65"/>
      <c r="AQ34" s="65"/>
      <c r="AR34" s="65"/>
      <c r="AS34" s="65"/>
      <c r="AT34" s="65"/>
      <c r="AU34" s="65"/>
      <c r="AV34" s="65"/>
      <c r="AW34" s="65"/>
      <c r="AX34" s="65"/>
      <c r="AY34" s="65"/>
      <c r="AZ34" s="67"/>
      <c r="BA34" s="67"/>
      <c r="BB34" s="49"/>
      <c r="BC34" s="50"/>
      <c r="BD34" s="34"/>
      <c r="BE34" s="131"/>
      <c r="BF34" s="131"/>
      <c r="BG34" s="131" t="s">
        <v>62</v>
      </c>
      <c r="BH34" s="131"/>
      <c r="BI34" s="131"/>
      <c r="BJ34" s="131"/>
      <c r="BK34" s="131"/>
      <c r="BL34" s="131"/>
      <c r="BM34" s="131"/>
      <c r="BN34" s="131"/>
      <c r="BO34" s="131"/>
      <c r="BP34" s="131"/>
      <c r="BQ34" s="131"/>
      <c r="BR34" s="131"/>
      <c r="BS34" s="131"/>
      <c r="BT34" s="131"/>
    </row>
    <row r="35" spans="1:72" s="130" customFormat="1" ht="12.5" customHeight="1">
      <c r="A35" s="36"/>
      <c r="B35" s="63"/>
      <c r="C35" s="65"/>
      <c r="D35" s="65"/>
      <c r="E35" s="65"/>
      <c r="F35" s="65"/>
      <c r="G35" s="65"/>
      <c r="H35" s="65"/>
      <c r="I35" s="65"/>
      <c r="J35" s="65"/>
      <c r="K35" s="65"/>
      <c r="L35" s="65"/>
      <c r="M35" s="65"/>
      <c r="N35" s="65"/>
      <c r="O35" s="172"/>
      <c r="P35" s="172"/>
      <c r="Q35" s="172"/>
      <c r="R35" s="172"/>
      <c r="S35" s="172"/>
      <c r="T35" s="172"/>
      <c r="U35" s="172"/>
      <c r="V35" s="172"/>
      <c r="W35" s="172"/>
      <c r="X35" s="172"/>
      <c r="Y35" s="172"/>
      <c r="Z35" s="172"/>
      <c r="AA35" s="172"/>
      <c r="AB35" s="172"/>
      <c r="AC35" s="172"/>
      <c r="AD35" s="172"/>
      <c r="AE35" s="173"/>
      <c r="AF35" s="173"/>
      <c r="AG35" s="65"/>
      <c r="AH35" s="65"/>
      <c r="AI35" s="65"/>
      <c r="AJ35" s="65"/>
      <c r="AK35" s="65"/>
      <c r="AL35" s="65"/>
      <c r="AM35" s="65"/>
      <c r="AN35" s="65"/>
      <c r="AO35" s="65"/>
      <c r="AP35" s="65"/>
      <c r="AQ35" s="65"/>
      <c r="AR35" s="65"/>
      <c r="AS35" s="65"/>
      <c r="AT35" s="65"/>
      <c r="AU35" s="65"/>
      <c r="AV35" s="65"/>
      <c r="AW35" s="65"/>
      <c r="AX35" s="65"/>
      <c r="AY35" s="65"/>
      <c r="AZ35" s="67"/>
      <c r="BA35" s="67"/>
      <c r="BB35" s="32"/>
      <c r="BC35" s="33"/>
      <c r="BD35" s="35"/>
      <c r="BE35" s="131"/>
      <c r="BF35" s="131"/>
      <c r="BG35" s="134" t="s">
        <v>63</v>
      </c>
      <c r="BH35" s="131"/>
      <c r="BI35" s="131"/>
      <c r="BJ35" s="131"/>
      <c r="BK35" s="131"/>
      <c r="BL35" s="131"/>
      <c r="BM35" s="131"/>
      <c r="BN35" s="131"/>
      <c r="BO35" s="131"/>
      <c r="BP35" s="131"/>
      <c r="BQ35" s="131"/>
      <c r="BR35" s="131"/>
      <c r="BS35" s="131"/>
      <c r="BT35" s="131"/>
    </row>
    <row r="36" spans="1:72" s="130" customFormat="1" ht="13.5">
      <c r="A36" s="36"/>
      <c r="B36" s="73"/>
      <c r="C36" s="66"/>
      <c r="D36" s="66"/>
      <c r="E36" s="66"/>
      <c r="F36" s="66"/>
      <c r="G36" s="66"/>
      <c r="H36" s="66"/>
      <c r="I36" s="66"/>
      <c r="J36" s="66"/>
      <c r="K36" s="66"/>
      <c r="L36" s="66"/>
      <c r="M36" s="66"/>
      <c r="N36" s="66"/>
      <c r="O36" s="66"/>
      <c r="P36" s="66"/>
      <c r="Q36" s="66"/>
      <c r="R36" s="66"/>
      <c r="S36" s="72"/>
      <c r="T36" s="72"/>
      <c r="U36" s="72"/>
      <c r="V36" s="72"/>
      <c r="W36" s="66"/>
      <c r="X36" s="66"/>
      <c r="Y36" s="72"/>
      <c r="Z36" s="174"/>
      <c r="AA36" s="66"/>
      <c r="AB36" s="66"/>
      <c r="AC36" s="66"/>
      <c r="AD36" s="72"/>
      <c r="AE36" s="72"/>
      <c r="AF36" s="72"/>
      <c r="AG36" s="72"/>
      <c r="AH36" s="72"/>
      <c r="AI36" s="72"/>
      <c r="AJ36" s="72"/>
      <c r="AK36" s="72"/>
      <c r="AL36" s="72"/>
      <c r="AM36" s="72"/>
      <c r="AN36" s="72"/>
      <c r="AO36" s="72"/>
      <c r="AP36" s="72"/>
      <c r="AQ36" s="72"/>
      <c r="AR36" s="72"/>
      <c r="AS36" s="72"/>
      <c r="AT36" s="72"/>
      <c r="AU36" s="72"/>
      <c r="AV36" s="72"/>
      <c r="AW36" s="72"/>
      <c r="AX36" s="72"/>
      <c r="AY36" s="62"/>
      <c r="AZ36" s="67"/>
      <c r="BA36" s="67"/>
      <c r="BB36" s="49"/>
      <c r="BC36" s="50"/>
      <c r="BD36" s="51"/>
      <c r="BE36" s="131"/>
      <c r="BF36" s="131"/>
      <c r="BG36" s="134" t="s">
        <v>238</v>
      </c>
      <c r="BH36" s="131"/>
      <c r="BI36" s="131"/>
      <c r="BJ36" s="131"/>
      <c r="BK36" s="131"/>
      <c r="BL36" s="131"/>
      <c r="BM36" s="131"/>
      <c r="BN36" s="131"/>
      <c r="BO36" s="131"/>
      <c r="BP36" s="131"/>
      <c r="BQ36" s="131"/>
      <c r="BR36" s="131"/>
      <c r="BS36" s="131"/>
      <c r="BT36" s="131"/>
    </row>
    <row r="37" spans="1:72" ht="15">
      <c r="A37" s="36"/>
      <c r="B37" s="139"/>
      <c r="C37" s="140"/>
      <c r="D37" s="140"/>
      <c r="E37" s="140"/>
      <c r="F37" s="140"/>
      <c r="G37" s="140"/>
      <c r="H37" s="140"/>
      <c r="I37" s="140"/>
      <c r="J37" s="140"/>
      <c r="K37" s="140"/>
      <c r="L37" s="140"/>
      <c r="M37" s="140"/>
      <c r="N37" s="140"/>
      <c r="O37" s="140"/>
      <c r="P37" s="140"/>
      <c r="Q37" s="140"/>
      <c r="R37" s="140"/>
      <c r="S37" s="141"/>
      <c r="T37" s="141"/>
      <c r="U37" s="141"/>
      <c r="V37" s="141"/>
      <c r="W37" s="140"/>
      <c r="X37" s="140"/>
      <c r="Y37" s="141"/>
      <c r="Z37" s="141"/>
      <c r="AA37" s="140"/>
      <c r="AB37" s="140"/>
      <c r="AC37" s="140"/>
      <c r="AD37" s="141"/>
      <c r="AE37" s="141"/>
      <c r="AF37" s="141"/>
      <c r="AG37" s="141"/>
      <c r="AH37" s="141"/>
      <c r="AI37" s="141"/>
      <c r="AJ37" s="141"/>
      <c r="AK37" s="141"/>
      <c r="AL37" s="141"/>
      <c r="AM37" s="141"/>
      <c r="AN37" s="141"/>
      <c r="AO37" s="141"/>
      <c r="AP37" s="141"/>
      <c r="AQ37" s="141"/>
      <c r="AR37" s="141"/>
      <c r="AS37" s="141"/>
      <c r="AT37" s="141"/>
      <c r="AU37" s="141"/>
      <c r="AV37" s="141"/>
      <c r="AW37" s="141"/>
      <c r="AX37" s="141"/>
      <c r="AY37" s="139"/>
      <c r="AZ37" s="139"/>
      <c r="BA37" s="67"/>
      <c r="BB37" s="142"/>
      <c r="BC37" s="143"/>
      <c r="BD37" s="51"/>
      <c r="BE37" s="131"/>
      <c r="BF37" s="131"/>
      <c r="BG37" s="134" t="s">
        <v>64</v>
      </c>
      <c r="BH37" s="131"/>
      <c r="BI37" s="131"/>
      <c r="BJ37" s="131"/>
      <c r="BK37" s="131"/>
      <c r="BL37" s="131"/>
      <c r="BM37" s="131"/>
      <c r="BN37" s="131"/>
      <c r="BO37" s="131"/>
      <c r="BP37" s="131"/>
      <c r="BQ37" s="131"/>
      <c r="BR37" s="131"/>
      <c r="BS37" s="131"/>
      <c r="BT37" s="131"/>
    </row>
    <row r="38" spans="1:72" ht="15">
      <c r="A38" s="35"/>
      <c r="B38" s="35"/>
      <c r="C38" s="35"/>
      <c r="D38" s="35"/>
      <c r="E38" s="35"/>
      <c r="F38" s="35"/>
      <c r="G38" s="35"/>
      <c r="H38" s="35"/>
      <c r="I38" s="35"/>
      <c r="J38" s="35"/>
      <c r="K38" s="35"/>
      <c r="L38" s="35"/>
      <c r="M38" s="35"/>
      <c r="N38" s="35"/>
      <c r="O38" s="35"/>
      <c r="P38" s="35"/>
      <c r="Q38" s="35"/>
      <c r="R38" s="35"/>
      <c r="S38" s="54"/>
      <c r="T38" s="54"/>
      <c r="U38" s="54"/>
      <c r="V38" s="54"/>
      <c r="W38" s="35"/>
      <c r="X38" s="35"/>
      <c r="Y38" s="54"/>
      <c r="Z38" s="54"/>
      <c r="AA38" s="35"/>
      <c r="AB38" s="35"/>
      <c r="AC38" s="35"/>
      <c r="AD38" s="54"/>
      <c r="AE38" s="54"/>
      <c r="AF38" s="54"/>
      <c r="AG38" s="54"/>
      <c r="AH38" s="54"/>
      <c r="AI38" s="54"/>
      <c r="AJ38" s="54"/>
      <c r="AK38" s="54"/>
      <c r="AL38" s="54"/>
      <c r="AM38" s="54"/>
      <c r="AN38" s="54"/>
      <c r="AO38" s="54"/>
      <c r="AP38" s="54"/>
      <c r="AQ38" s="54"/>
      <c r="AR38" s="54"/>
      <c r="AS38" s="54"/>
      <c r="AT38" s="54"/>
      <c r="AU38" s="54"/>
      <c r="AV38" s="54"/>
      <c r="AW38" s="54"/>
      <c r="AX38" s="54"/>
      <c r="AY38" s="54"/>
      <c r="AZ38" s="54"/>
      <c r="BA38" s="67"/>
      <c r="BB38" s="144"/>
      <c r="BC38" s="50"/>
      <c r="BD38" s="51"/>
      <c r="BE38" s="131"/>
      <c r="BF38" s="131"/>
      <c r="BG38" s="134" t="s">
        <v>239</v>
      </c>
      <c r="BH38" s="131"/>
      <c r="BI38" s="131"/>
      <c r="BJ38" s="131"/>
      <c r="BK38" s="131"/>
      <c r="BL38" s="131"/>
      <c r="BM38" s="131"/>
      <c r="BN38" s="131"/>
      <c r="BO38" s="131"/>
      <c r="BP38" s="131"/>
      <c r="BQ38" s="131"/>
      <c r="BR38" s="131"/>
      <c r="BS38" s="131"/>
      <c r="BT38" s="131"/>
    </row>
    <row r="39" spans="1:72" ht="15">
      <c r="A39" s="35"/>
      <c r="B39" s="35"/>
      <c r="C39" s="35"/>
      <c r="D39" s="35"/>
      <c r="E39" s="35"/>
      <c r="F39" s="35"/>
      <c r="G39" s="35"/>
      <c r="H39" s="35"/>
      <c r="I39" s="35"/>
      <c r="J39" s="35"/>
      <c r="K39" s="35"/>
      <c r="L39" s="35"/>
      <c r="M39" s="35"/>
      <c r="N39" s="35"/>
      <c r="O39" s="35"/>
      <c r="P39" s="35"/>
      <c r="Q39" s="35"/>
      <c r="R39" s="35"/>
      <c r="S39" s="54"/>
      <c r="T39" s="54"/>
      <c r="U39" s="54"/>
      <c r="V39" s="54"/>
      <c r="W39" s="35"/>
      <c r="X39" s="35"/>
      <c r="Y39" s="54"/>
      <c r="Z39" s="54"/>
      <c r="AA39" s="35"/>
      <c r="AB39" s="35"/>
      <c r="AC39" s="35"/>
      <c r="AD39" s="54"/>
      <c r="AE39" s="54"/>
      <c r="AF39" s="54"/>
      <c r="AG39" s="54"/>
      <c r="AH39" s="54"/>
      <c r="AI39" s="54"/>
      <c r="AJ39" s="54"/>
      <c r="AK39" s="54"/>
      <c r="AL39" s="54"/>
      <c r="AM39" s="54"/>
      <c r="AN39" s="54"/>
      <c r="AO39" s="54"/>
      <c r="AP39" s="54"/>
      <c r="AQ39" s="54"/>
      <c r="AR39" s="54"/>
      <c r="AS39" s="54"/>
      <c r="AT39" s="54"/>
      <c r="AU39" s="54"/>
      <c r="AV39" s="54"/>
      <c r="AW39" s="54"/>
      <c r="AX39" s="54"/>
      <c r="AY39" s="54"/>
      <c r="AZ39" s="54"/>
      <c r="BA39" s="67"/>
      <c r="BB39" s="144"/>
      <c r="BC39" s="50"/>
      <c r="BD39" s="51"/>
      <c r="BE39" s="131"/>
    </row>
    <row r="40" spans="1:72" ht="15">
      <c r="A40" s="35"/>
      <c r="B40" s="240" t="s">
        <v>84</v>
      </c>
      <c r="C40" s="240"/>
      <c r="D40" s="240"/>
      <c r="E40" s="240"/>
      <c r="F40" s="240" t="s">
        <v>85</v>
      </c>
      <c r="G40" s="240"/>
      <c r="H40" s="240"/>
      <c r="I40" s="240"/>
      <c r="J40" s="240" t="s">
        <v>86</v>
      </c>
      <c r="K40" s="240"/>
      <c r="L40" s="240"/>
      <c r="M40" s="240"/>
      <c r="N40" s="240" t="s">
        <v>87</v>
      </c>
      <c r="O40" s="240"/>
      <c r="P40" s="240"/>
      <c r="Q40" s="240"/>
      <c r="R40" s="240" t="s">
        <v>88</v>
      </c>
      <c r="S40" s="240"/>
      <c r="T40" s="240"/>
      <c r="U40" s="240"/>
      <c r="V40" s="240" t="s">
        <v>89</v>
      </c>
      <c r="W40" s="240"/>
      <c r="X40" s="240"/>
      <c r="Y40" s="240"/>
      <c r="Z40" s="240" t="s">
        <v>90</v>
      </c>
      <c r="AA40" s="240"/>
      <c r="AB40" s="240"/>
      <c r="AC40" s="240"/>
      <c r="AD40" s="240" t="s">
        <v>91</v>
      </c>
      <c r="AE40" s="240"/>
      <c r="AF40" s="240"/>
      <c r="AG40" s="240"/>
      <c r="AH40" s="240" t="s">
        <v>92</v>
      </c>
      <c r="AI40" s="240"/>
      <c r="AJ40" s="240"/>
      <c r="AK40" s="240"/>
      <c r="AL40" s="233" t="s">
        <v>93</v>
      </c>
      <c r="AM40" s="234"/>
      <c r="AN40" s="234"/>
      <c r="AO40" s="235"/>
      <c r="AP40" s="233" t="s">
        <v>94</v>
      </c>
      <c r="AQ40" s="234"/>
      <c r="AR40" s="234"/>
      <c r="AS40" s="235"/>
      <c r="AT40" s="233" t="s">
        <v>95</v>
      </c>
      <c r="AU40" s="234"/>
      <c r="AV40" s="234"/>
      <c r="AW40" s="235"/>
      <c r="AX40" s="54"/>
      <c r="AY40" s="54"/>
      <c r="AZ40" s="54"/>
      <c r="BA40" s="67"/>
      <c r="BB40" s="144"/>
      <c r="BC40" s="50"/>
      <c r="BD40" s="51"/>
      <c r="BE40" s="131"/>
      <c r="BF40" s="131" t="s">
        <v>65</v>
      </c>
      <c r="BG40" s="131"/>
      <c r="BH40" s="131"/>
      <c r="BI40" s="131"/>
      <c r="BJ40" s="131"/>
      <c r="BK40" s="131"/>
      <c r="BL40" s="131"/>
      <c r="BM40" s="131"/>
      <c r="BN40" s="131"/>
      <c r="BO40" s="131"/>
      <c r="BP40" s="131"/>
      <c r="BQ40" s="131"/>
      <c r="BR40" s="131"/>
      <c r="BS40" s="131"/>
      <c r="BT40" s="131"/>
    </row>
    <row r="41" spans="1:72" ht="15">
      <c r="A41" s="35"/>
      <c r="B41" s="240"/>
      <c r="C41" s="240"/>
      <c r="D41" s="240"/>
      <c r="E41" s="240"/>
      <c r="F41" s="240"/>
      <c r="G41" s="240"/>
      <c r="H41" s="240"/>
      <c r="I41" s="240"/>
      <c r="J41" s="240"/>
      <c r="K41" s="240"/>
      <c r="L41" s="240"/>
      <c r="M41" s="240"/>
      <c r="N41" s="240"/>
      <c r="O41" s="240"/>
      <c r="P41" s="240"/>
      <c r="Q41" s="240"/>
      <c r="R41" s="240"/>
      <c r="S41" s="240"/>
      <c r="T41" s="240"/>
      <c r="U41" s="240"/>
      <c r="V41" s="240"/>
      <c r="W41" s="240"/>
      <c r="X41" s="240"/>
      <c r="Y41" s="240"/>
      <c r="Z41" s="240"/>
      <c r="AA41" s="240"/>
      <c r="AB41" s="240"/>
      <c r="AC41" s="240"/>
      <c r="AD41" s="240"/>
      <c r="AE41" s="240"/>
      <c r="AF41" s="240"/>
      <c r="AG41" s="240"/>
      <c r="AH41" s="240"/>
      <c r="AI41" s="240"/>
      <c r="AJ41" s="240"/>
      <c r="AK41" s="240"/>
      <c r="AL41" s="236"/>
      <c r="AM41" s="237"/>
      <c r="AN41" s="237"/>
      <c r="AO41" s="238"/>
      <c r="AP41" s="236"/>
      <c r="AQ41" s="237"/>
      <c r="AR41" s="237"/>
      <c r="AS41" s="238"/>
      <c r="AT41" s="236"/>
      <c r="AU41" s="237"/>
      <c r="AV41" s="237"/>
      <c r="AW41" s="238"/>
      <c r="AX41" s="54"/>
      <c r="AY41" s="54"/>
      <c r="AZ41" s="54"/>
      <c r="BA41" s="67"/>
      <c r="BB41" s="144"/>
      <c r="BC41" s="50"/>
      <c r="BD41" s="51"/>
      <c r="BE41" s="131"/>
      <c r="BF41" s="131" t="s">
        <v>66</v>
      </c>
      <c r="BG41" s="131"/>
      <c r="BH41" s="131"/>
      <c r="BI41" s="131"/>
      <c r="BJ41" s="131"/>
      <c r="BK41" s="131"/>
      <c r="BL41" s="131"/>
      <c r="BM41" s="131"/>
      <c r="BN41" s="131"/>
      <c r="BO41" s="131"/>
      <c r="BP41" s="131"/>
      <c r="BQ41" s="131"/>
      <c r="BR41" s="131"/>
      <c r="BS41" s="131"/>
      <c r="BT41" s="131"/>
    </row>
    <row r="42" spans="1:72" ht="15">
      <c r="A42" s="35"/>
      <c r="B42" s="231" t="s">
        <v>96</v>
      </c>
      <c r="C42" s="231"/>
      <c r="D42" s="231"/>
      <c r="E42" s="231"/>
      <c r="F42" s="231" t="s">
        <v>97</v>
      </c>
      <c r="G42" s="231"/>
      <c r="H42" s="231"/>
      <c r="I42" s="231"/>
      <c r="J42" s="231" t="s">
        <v>98</v>
      </c>
      <c r="K42" s="231"/>
      <c r="L42" s="231"/>
      <c r="M42" s="231"/>
      <c r="N42" s="231" t="s">
        <v>99</v>
      </c>
      <c r="O42" s="231"/>
      <c r="P42" s="231"/>
      <c r="Q42" s="231"/>
      <c r="R42" s="239" t="s">
        <v>100</v>
      </c>
      <c r="S42" s="231"/>
      <c r="T42" s="231"/>
      <c r="U42" s="231"/>
      <c r="V42" s="231" t="s">
        <v>101</v>
      </c>
      <c r="W42" s="231"/>
      <c r="X42" s="231"/>
      <c r="Y42" s="231"/>
      <c r="Z42" s="231" t="s">
        <v>102</v>
      </c>
      <c r="AA42" s="231"/>
      <c r="AB42" s="231"/>
      <c r="AC42" s="231"/>
      <c r="AD42" s="231" t="s">
        <v>101</v>
      </c>
      <c r="AE42" s="231"/>
      <c r="AF42" s="231"/>
      <c r="AG42" s="231"/>
      <c r="AH42" s="231" t="s">
        <v>102</v>
      </c>
      <c r="AI42" s="231"/>
      <c r="AJ42" s="231"/>
      <c r="AK42" s="231"/>
      <c r="AL42" s="231" t="s">
        <v>102</v>
      </c>
      <c r="AM42" s="231"/>
      <c r="AN42" s="231"/>
      <c r="AO42" s="231"/>
      <c r="AP42" s="231" t="s">
        <v>101</v>
      </c>
      <c r="AQ42" s="231"/>
      <c r="AR42" s="231"/>
      <c r="AS42" s="231"/>
      <c r="AT42" s="231" t="s">
        <v>102</v>
      </c>
      <c r="AU42" s="231"/>
      <c r="AV42" s="231"/>
      <c r="AW42" s="231"/>
      <c r="AX42" s="54"/>
      <c r="AY42" s="54"/>
      <c r="AZ42" s="54"/>
      <c r="BA42" s="67"/>
      <c r="BB42" s="144"/>
      <c r="BC42" s="50"/>
      <c r="BD42" s="51"/>
      <c r="BE42" s="131"/>
      <c r="BF42" s="131" t="s">
        <v>67</v>
      </c>
      <c r="BG42" s="131"/>
      <c r="BH42" s="131"/>
      <c r="BI42" s="131"/>
      <c r="BJ42" s="131"/>
      <c r="BK42" s="131"/>
      <c r="BL42" s="131"/>
      <c r="BM42" s="131"/>
      <c r="BN42" s="131"/>
      <c r="BO42" s="131"/>
      <c r="BP42" s="131"/>
      <c r="BQ42" s="131"/>
      <c r="BR42" s="131"/>
      <c r="BS42" s="131"/>
      <c r="BT42" s="131"/>
    </row>
    <row r="43" spans="1:72" ht="15">
      <c r="A43" s="35"/>
      <c r="B43" s="231"/>
      <c r="C43" s="231"/>
      <c r="D43" s="231"/>
      <c r="E43" s="231"/>
      <c r="F43" s="231"/>
      <c r="G43" s="231"/>
      <c r="H43" s="231"/>
      <c r="I43" s="231"/>
      <c r="J43" s="231"/>
      <c r="K43" s="231"/>
      <c r="L43" s="231"/>
      <c r="M43" s="231"/>
      <c r="N43" s="231"/>
      <c r="O43" s="231"/>
      <c r="P43" s="231"/>
      <c r="Q43" s="231"/>
      <c r="R43" s="231"/>
      <c r="S43" s="231"/>
      <c r="T43" s="231"/>
      <c r="U43" s="231"/>
      <c r="V43" s="231"/>
      <c r="W43" s="231"/>
      <c r="X43" s="231"/>
      <c r="Y43" s="231"/>
      <c r="Z43" s="231"/>
      <c r="AA43" s="231"/>
      <c r="AB43" s="231"/>
      <c r="AC43" s="231"/>
      <c r="AD43" s="231"/>
      <c r="AE43" s="231"/>
      <c r="AF43" s="231"/>
      <c r="AG43" s="231"/>
      <c r="AH43" s="231"/>
      <c r="AI43" s="231"/>
      <c r="AJ43" s="231"/>
      <c r="AK43" s="231"/>
      <c r="AL43" s="231"/>
      <c r="AM43" s="231"/>
      <c r="AN43" s="231"/>
      <c r="AO43" s="231"/>
      <c r="AP43" s="231"/>
      <c r="AQ43" s="231"/>
      <c r="AR43" s="231"/>
      <c r="AS43" s="231"/>
      <c r="AT43" s="231"/>
      <c r="AU43" s="231"/>
      <c r="AV43" s="231"/>
      <c r="AW43" s="231"/>
      <c r="AX43" s="54"/>
      <c r="AY43" s="54"/>
      <c r="AZ43" s="54"/>
      <c r="BA43" s="67"/>
      <c r="BB43" s="144"/>
      <c r="BC43" s="50"/>
      <c r="BD43" s="51"/>
      <c r="BE43" s="131"/>
      <c r="BF43" s="131" t="s">
        <v>68</v>
      </c>
      <c r="BG43" s="134"/>
      <c r="BH43" s="131"/>
      <c r="BI43" s="131"/>
      <c r="BJ43" s="131"/>
      <c r="BK43" s="131"/>
      <c r="BL43" s="131"/>
      <c r="BM43" s="131"/>
      <c r="BN43" s="131"/>
      <c r="BO43" s="131"/>
      <c r="BP43" s="131"/>
      <c r="BQ43" s="131"/>
      <c r="BR43" s="131"/>
      <c r="BS43" s="131"/>
      <c r="BT43" s="131"/>
    </row>
    <row r="44" spans="1:72" ht="15">
      <c r="A44" s="35"/>
      <c r="B44" s="231" t="s">
        <v>103</v>
      </c>
      <c r="C44" s="231"/>
      <c r="D44" s="231"/>
      <c r="E44" s="231"/>
      <c r="F44" s="231" t="s">
        <v>104</v>
      </c>
      <c r="G44" s="231"/>
      <c r="H44" s="231"/>
      <c r="I44" s="231"/>
      <c r="J44" s="231" t="s">
        <v>105</v>
      </c>
      <c r="K44" s="231"/>
      <c r="L44" s="231"/>
      <c r="M44" s="231"/>
      <c r="N44" s="231" t="s">
        <v>106</v>
      </c>
      <c r="O44" s="231"/>
      <c r="P44" s="231"/>
      <c r="Q44" s="231"/>
      <c r="R44" s="232" t="s">
        <v>107</v>
      </c>
      <c r="S44" s="231"/>
      <c r="T44" s="231"/>
      <c r="U44" s="231"/>
      <c r="V44" s="231" t="s">
        <v>101</v>
      </c>
      <c r="W44" s="231"/>
      <c r="X44" s="231"/>
      <c r="Y44" s="231"/>
      <c r="Z44" s="231" t="s">
        <v>102</v>
      </c>
      <c r="AA44" s="231"/>
      <c r="AB44" s="231"/>
      <c r="AC44" s="231"/>
      <c r="AD44" s="231" t="s">
        <v>101</v>
      </c>
      <c r="AE44" s="231"/>
      <c r="AF44" s="231"/>
      <c r="AG44" s="231"/>
      <c r="AH44" s="231" t="s">
        <v>102</v>
      </c>
      <c r="AI44" s="231"/>
      <c r="AJ44" s="231"/>
      <c r="AK44" s="231"/>
      <c r="AL44" s="231" t="s">
        <v>102</v>
      </c>
      <c r="AM44" s="231"/>
      <c r="AN44" s="231"/>
      <c r="AO44" s="231"/>
      <c r="AP44" s="231" t="s">
        <v>101</v>
      </c>
      <c r="AQ44" s="231"/>
      <c r="AR44" s="231"/>
      <c r="AS44" s="231"/>
      <c r="AT44" s="231" t="s">
        <v>102</v>
      </c>
      <c r="AU44" s="231"/>
      <c r="AV44" s="231"/>
      <c r="AW44" s="231"/>
      <c r="AX44" s="54"/>
      <c r="AY44" s="54"/>
      <c r="AZ44" s="54"/>
      <c r="BA44" s="67"/>
      <c r="BB44" s="144"/>
      <c r="BC44" s="50"/>
      <c r="BD44" s="51"/>
      <c r="BE44" s="131"/>
      <c r="BF44" s="131" t="s">
        <v>69</v>
      </c>
      <c r="BG44" s="134"/>
      <c r="BH44" s="131"/>
      <c r="BI44" s="131"/>
      <c r="BJ44" s="131"/>
      <c r="BK44" s="131"/>
      <c r="BL44" s="131"/>
      <c r="BM44" s="131"/>
      <c r="BN44" s="131"/>
      <c r="BO44" s="131"/>
      <c r="BP44" s="131"/>
      <c r="BQ44" s="131"/>
      <c r="BR44" s="131"/>
      <c r="BS44" s="131"/>
      <c r="BT44" s="131"/>
    </row>
    <row r="45" spans="1:72" ht="15">
      <c r="A45" s="35"/>
      <c r="B45" s="231"/>
      <c r="C45" s="231"/>
      <c r="D45" s="231"/>
      <c r="E45" s="231"/>
      <c r="F45" s="231"/>
      <c r="G45" s="231"/>
      <c r="H45" s="231"/>
      <c r="I45" s="231"/>
      <c r="J45" s="231"/>
      <c r="K45" s="231"/>
      <c r="L45" s="231"/>
      <c r="M45" s="231"/>
      <c r="N45" s="231"/>
      <c r="O45" s="231"/>
      <c r="P45" s="231"/>
      <c r="Q45" s="231"/>
      <c r="R45" s="231"/>
      <c r="S45" s="231"/>
      <c r="T45" s="231"/>
      <c r="U45" s="231"/>
      <c r="V45" s="231"/>
      <c r="W45" s="231"/>
      <c r="X45" s="231"/>
      <c r="Y45" s="231"/>
      <c r="Z45" s="231"/>
      <c r="AA45" s="231"/>
      <c r="AB45" s="231"/>
      <c r="AC45" s="231"/>
      <c r="AD45" s="231"/>
      <c r="AE45" s="231"/>
      <c r="AF45" s="231"/>
      <c r="AG45" s="231"/>
      <c r="AH45" s="231"/>
      <c r="AI45" s="231"/>
      <c r="AJ45" s="231"/>
      <c r="AK45" s="231"/>
      <c r="AL45" s="231"/>
      <c r="AM45" s="231"/>
      <c r="AN45" s="231"/>
      <c r="AO45" s="231"/>
      <c r="AP45" s="231"/>
      <c r="AQ45" s="231"/>
      <c r="AR45" s="231"/>
      <c r="AS45" s="231"/>
      <c r="AT45" s="231"/>
      <c r="AU45" s="231"/>
      <c r="AV45" s="231"/>
      <c r="AW45" s="231"/>
      <c r="AX45" s="54"/>
      <c r="AY45" s="54"/>
      <c r="AZ45" s="54"/>
      <c r="BA45" s="67"/>
      <c r="BB45" s="144"/>
      <c r="BC45" s="50"/>
      <c r="BD45" s="51"/>
      <c r="BE45" s="131"/>
      <c r="BF45" s="131"/>
      <c r="BG45" s="134" t="s">
        <v>70</v>
      </c>
      <c r="BH45" s="131"/>
      <c r="BI45" s="131"/>
      <c r="BJ45" s="131"/>
      <c r="BK45" s="131"/>
      <c r="BL45" s="131"/>
      <c r="BM45" s="131"/>
      <c r="BN45" s="131"/>
      <c r="BO45" s="131"/>
      <c r="BP45" s="131"/>
      <c r="BQ45" s="131"/>
      <c r="BR45" s="131"/>
      <c r="BS45" s="131"/>
      <c r="BT45" s="131"/>
    </row>
    <row r="46" spans="1:72" ht="15">
      <c r="A46" s="35"/>
      <c r="B46" s="231" t="s">
        <v>108</v>
      </c>
      <c r="C46" s="231"/>
      <c r="D46" s="231"/>
      <c r="E46" s="231"/>
      <c r="F46" s="231" t="s">
        <v>109</v>
      </c>
      <c r="G46" s="231"/>
      <c r="H46" s="231"/>
      <c r="I46" s="231"/>
      <c r="J46" s="231" t="s">
        <v>110</v>
      </c>
      <c r="K46" s="231"/>
      <c r="L46" s="231"/>
      <c r="M46" s="231"/>
      <c r="N46" s="231" t="s">
        <v>111</v>
      </c>
      <c r="O46" s="231"/>
      <c r="P46" s="231"/>
      <c r="Q46" s="231"/>
      <c r="R46" s="232" t="s">
        <v>102</v>
      </c>
      <c r="S46" s="231"/>
      <c r="T46" s="231"/>
      <c r="U46" s="231"/>
      <c r="V46" s="231" t="s">
        <v>101</v>
      </c>
      <c r="W46" s="231"/>
      <c r="X46" s="231"/>
      <c r="Y46" s="231"/>
      <c r="Z46" s="231" t="s">
        <v>102</v>
      </c>
      <c r="AA46" s="231"/>
      <c r="AB46" s="231"/>
      <c r="AC46" s="231"/>
      <c r="AD46" s="231" t="s">
        <v>101</v>
      </c>
      <c r="AE46" s="231"/>
      <c r="AF46" s="231"/>
      <c r="AG46" s="231"/>
      <c r="AH46" s="231" t="s">
        <v>102</v>
      </c>
      <c r="AI46" s="231"/>
      <c r="AJ46" s="231"/>
      <c r="AK46" s="231"/>
      <c r="AL46" s="231" t="s">
        <v>102</v>
      </c>
      <c r="AM46" s="231"/>
      <c r="AN46" s="231"/>
      <c r="AO46" s="231"/>
      <c r="AP46" s="231" t="s">
        <v>101</v>
      </c>
      <c r="AQ46" s="231"/>
      <c r="AR46" s="231"/>
      <c r="AS46" s="231"/>
      <c r="AT46" s="231" t="s">
        <v>102</v>
      </c>
      <c r="AU46" s="231"/>
      <c r="AV46" s="231"/>
      <c r="AW46" s="231"/>
      <c r="AX46" s="54"/>
      <c r="AY46" s="54"/>
      <c r="AZ46" s="54"/>
      <c r="BA46" s="67"/>
      <c r="BB46" s="144"/>
      <c r="BC46" s="50"/>
      <c r="BD46" s="51"/>
      <c r="BE46" s="131"/>
      <c r="BH46" s="131"/>
      <c r="BI46" s="131"/>
      <c r="BJ46" s="131"/>
      <c r="BK46" s="131"/>
      <c r="BL46" s="131"/>
      <c r="BM46" s="131"/>
      <c r="BN46" s="131"/>
      <c r="BO46" s="131"/>
      <c r="BP46" s="131"/>
      <c r="BQ46" s="131"/>
      <c r="BR46" s="131"/>
      <c r="BS46" s="131"/>
      <c r="BT46" s="131"/>
    </row>
    <row r="47" spans="1:72" ht="15">
      <c r="A47" s="35"/>
      <c r="B47" s="231"/>
      <c r="C47" s="231"/>
      <c r="D47" s="231"/>
      <c r="E47" s="231"/>
      <c r="F47" s="231"/>
      <c r="G47" s="231"/>
      <c r="H47" s="231"/>
      <c r="I47" s="231"/>
      <c r="J47" s="231"/>
      <c r="K47" s="231"/>
      <c r="L47" s="231"/>
      <c r="M47" s="231"/>
      <c r="N47" s="231"/>
      <c r="O47" s="231"/>
      <c r="P47" s="231"/>
      <c r="Q47" s="231"/>
      <c r="R47" s="231"/>
      <c r="S47" s="231"/>
      <c r="T47" s="231"/>
      <c r="U47" s="231"/>
      <c r="V47" s="231"/>
      <c r="W47" s="231"/>
      <c r="X47" s="231"/>
      <c r="Y47" s="231"/>
      <c r="Z47" s="231"/>
      <c r="AA47" s="231"/>
      <c r="AB47" s="231"/>
      <c r="AC47" s="231"/>
      <c r="AD47" s="231"/>
      <c r="AE47" s="231"/>
      <c r="AF47" s="231"/>
      <c r="AG47" s="231"/>
      <c r="AH47" s="231"/>
      <c r="AI47" s="231"/>
      <c r="AJ47" s="231"/>
      <c r="AK47" s="231"/>
      <c r="AL47" s="231"/>
      <c r="AM47" s="231"/>
      <c r="AN47" s="231"/>
      <c r="AO47" s="231"/>
      <c r="AP47" s="231"/>
      <c r="AQ47" s="231"/>
      <c r="AR47" s="231"/>
      <c r="AS47" s="231"/>
      <c r="AT47" s="231"/>
      <c r="AU47" s="231"/>
      <c r="AV47" s="231"/>
      <c r="AW47" s="231"/>
      <c r="AX47" s="54"/>
      <c r="AY47" s="54"/>
      <c r="AZ47" s="54"/>
      <c r="BA47" s="67"/>
      <c r="BB47" s="144"/>
      <c r="BC47" s="50"/>
      <c r="BD47" s="51"/>
      <c r="BE47" s="131"/>
      <c r="BF47" s="131" t="s">
        <v>71</v>
      </c>
      <c r="BG47" s="131"/>
      <c r="BH47" s="131"/>
      <c r="BI47" s="131"/>
      <c r="BJ47" s="131"/>
      <c r="BK47" s="131"/>
      <c r="BL47" s="131"/>
      <c r="BM47" s="131"/>
      <c r="BN47" s="131"/>
      <c r="BO47" s="131"/>
      <c r="BP47" s="131"/>
      <c r="BQ47" s="131"/>
      <c r="BR47" s="131"/>
      <c r="BS47" s="131"/>
      <c r="BT47" s="131"/>
    </row>
    <row r="48" spans="1:72" ht="15">
      <c r="A48" s="35"/>
      <c r="B48" s="231" t="s">
        <v>112</v>
      </c>
      <c r="C48" s="231"/>
      <c r="D48" s="231"/>
      <c r="E48" s="231"/>
      <c r="F48" s="231" t="s">
        <v>113</v>
      </c>
      <c r="G48" s="231"/>
      <c r="H48" s="231"/>
      <c r="I48" s="231"/>
      <c r="J48" s="231" t="s">
        <v>114</v>
      </c>
      <c r="K48" s="231"/>
      <c r="L48" s="231"/>
      <c r="M48" s="231"/>
      <c r="N48" s="231" t="s">
        <v>115</v>
      </c>
      <c r="O48" s="231"/>
      <c r="P48" s="231"/>
      <c r="Q48" s="231"/>
      <c r="R48" s="232" t="s">
        <v>102</v>
      </c>
      <c r="S48" s="231"/>
      <c r="T48" s="231"/>
      <c r="U48" s="231"/>
      <c r="V48" s="231" t="s">
        <v>101</v>
      </c>
      <c r="W48" s="231"/>
      <c r="X48" s="231"/>
      <c r="Y48" s="231"/>
      <c r="Z48" s="231" t="s">
        <v>102</v>
      </c>
      <c r="AA48" s="231"/>
      <c r="AB48" s="231"/>
      <c r="AC48" s="231"/>
      <c r="AD48" s="231" t="s">
        <v>101</v>
      </c>
      <c r="AE48" s="231"/>
      <c r="AF48" s="231"/>
      <c r="AG48" s="231"/>
      <c r="AH48" s="231" t="s">
        <v>102</v>
      </c>
      <c r="AI48" s="231"/>
      <c r="AJ48" s="231"/>
      <c r="AK48" s="231"/>
      <c r="AL48" s="231" t="s">
        <v>102</v>
      </c>
      <c r="AM48" s="231"/>
      <c r="AN48" s="231"/>
      <c r="AO48" s="231"/>
      <c r="AP48" s="231" t="s">
        <v>101</v>
      </c>
      <c r="AQ48" s="231"/>
      <c r="AR48" s="231"/>
      <c r="AS48" s="231"/>
      <c r="AT48" s="231" t="s">
        <v>102</v>
      </c>
      <c r="AU48" s="231"/>
      <c r="AV48" s="231"/>
      <c r="AW48" s="231"/>
      <c r="AX48" s="54"/>
      <c r="AY48" s="54"/>
      <c r="AZ48" s="54"/>
      <c r="BA48" s="67"/>
      <c r="BB48" s="144"/>
      <c r="BC48" s="50"/>
      <c r="BD48" s="51"/>
      <c r="BE48" s="131"/>
      <c r="BF48" s="131" t="s">
        <v>72</v>
      </c>
      <c r="BG48" s="131"/>
      <c r="BH48" s="131"/>
      <c r="BI48" s="131"/>
      <c r="BJ48" s="131"/>
      <c r="BK48" s="131"/>
      <c r="BL48" s="131"/>
      <c r="BM48" s="131"/>
      <c r="BN48" s="131"/>
      <c r="BO48" s="131"/>
      <c r="BP48" s="131"/>
      <c r="BQ48" s="131"/>
      <c r="BR48" s="131"/>
      <c r="BS48" s="131"/>
      <c r="BT48" s="131"/>
    </row>
    <row r="49" spans="1:74" ht="15">
      <c r="A49" s="35"/>
      <c r="B49" s="231"/>
      <c r="C49" s="231"/>
      <c r="D49" s="231"/>
      <c r="E49" s="231"/>
      <c r="F49" s="231"/>
      <c r="G49" s="231"/>
      <c r="H49" s="231"/>
      <c r="I49" s="231"/>
      <c r="J49" s="231"/>
      <c r="K49" s="231"/>
      <c r="L49" s="231"/>
      <c r="M49" s="231"/>
      <c r="N49" s="231"/>
      <c r="O49" s="231"/>
      <c r="P49" s="231"/>
      <c r="Q49" s="231"/>
      <c r="R49" s="231"/>
      <c r="S49" s="231"/>
      <c r="T49" s="231"/>
      <c r="U49" s="231"/>
      <c r="V49" s="231"/>
      <c r="W49" s="231"/>
      <c r="X49" s="231"/>
      <c r="Y49" s="231"/>
      <c r="Z49" s="231"/>
      <c r="AA49" s="231"/>
      <c r="AB49" s="231"/>
      <c r="AC49" s="231"/>
      <c r="AD49" s="231"/>
      <c r="AE49" s="231"/>
      <c r="AF49" s="231"/>
      <c r="AG49" s="231"/>
      <c r="AH49" s="231"/>
      <c r="AI49" s="231"/>
      <c r="AJ49" s="231"/>
      <c r="AK49" s="231"/>
      <c r="AL49" s="231"/>
      <c r="AM49" s="231"/>
      <c r="AN49" s="231"/>
      <c r="AO49" s="231"/>
      <c r="AP49" s="231"/>
      <c r="AQ49" s="231"/>
      <c r="AR49" s="231"/>
      <c r="AS49" s="231"/>
      <c r="AT49" s="231"/>
      <c r="AU49" s="231"/>
      <c r="AV49" s="231"/>
      <c r="AW49" s="231"/>
      <c r="AX49" s="54"/>
      <c r="AY49" s="54"/>
      <c r="AZ49" s="54"/>
      <c r="BA49" s="67"/>
      <c r="BB49" s="144"/>
      <c r="BC49" s="50"/>
      <c r="BD49" s="51"/>
      <c r="BE49" s="131"/>
      <c r="BF49" s="131" t="s">
        <v>73</v>
      </c>
      <c r="BG49" s="131"/>
      <c r="BH49" s="131"/>
      <c r="BI49" s="131"/>
      <c r="BJ49" s="131"/>
      <c r="BK49" s="131"/>
      <c r="BL49" s="131"/>
      <c r="BM49" s="131"/>
      <c r="BN49" s="131"/>
      <c r="BO49" s="131"/>
      <c r="BP49" s="131"/>
      <c r="BQ49" s="131"/>
      <c r="BR49" s="131"/>
      <c r="BS49" s="131"/>
      <c r="BT49" s="131"/>
    </row>
    <row r="50" spans="1:74" ht="15">
      <c r="A50" s="35"/>
      <c r="B50" s="129"/>
      <c r="C50" s="129"/>
      <c r="D50" s="129"/>
      <c r="E50" s="129"/>
      <c r="F50" s="135"/>
      <c r="G50" s="135"/>
      <c r="H50" s="135"/>
      <c r="I50" s="135"/>
      <c r="J50" s="135"/>
      <c r="K50" s="135"/>
      <c r="L50" s="135"/>
      <c r="M50" s="135"/>
      <c r="N50" s="135"/>
      <c r="O50" s="135"/>
      <c r="P50" s="135"/>
      <c r="Q50" s="135"/>
      <c r="R50" s="135"/>
      <c r="S50" s="135"/>
      <c r="T50" s="135"/>
      <c r="U50" s="135"/>
      <c r="V50" s="135"/>
      <c r="W50" s="135"/>
      <c r="X50" s="135"/>
      <c r="Y50" s="135"/>
      <c r="Z50" s="135"/>
      <c r="AA50" s="135"/>
      <c r="AB50" s="135"/>
      <c r="AC50" s="135"/>
      <c r="AD50" s="135"/>
      <c r="AE50" s="135"/>
      <c r="AF50" s="135"/>
      <c r="AG50" s="135"/>
      <c r="AH50" s="135"/>
      <c r="AI50" s="135"/>
      <c r="AJ50" s="135"/>
      <c r="AK50" s="135"/>
      <c r="AL50" s="135"/>
      <c r="AM50" s="135"/>
      <c r="AN50" s="135"/>
      <c r="AO50" s="135"/>
      <c r="AP50" s="135"/>
      <c r="AQ50" s="135"/>
      <c r="AR50" s="135"/>
      <c r="AS50" s="135"/>
      <c r="AT50" s="135"/>
      <c r="AU50" s="135"/>
      <c r="AV50" s="135"/>
      <c r="AW50" s="135"/>
      <c r="AX50" s="54"/>
      <c r="AY50" s="54"/>
      <c r="AZ50" s="54"/>
      <c r="BA50" s="67"/>
      <c r="BB50" s="144"/>
      <c r="BC50" s="50"/>
      <c r="BD50" s="51"/>
      <c r="BE50" s="131"/>
      <c r="BF50" s="131" t="s">
        <v>74</v>
      </c>
      <c r="BG50" s="131"/>
      <c r="BH50" s="131"/>
      <c r="BI50" s="131"/>
      <c r="BJ50" s="131"/>
      <c r="BK50" s="131"/>
      <c r="BL50" s="131"/>
      <c r="BM50" s="131"/>
      <c r="BN50" s="131"/>
      <c r="BO50" s="131"/>
      <c r="BP50" s="131"/>
      <c r="BQ50" s="131"/>
      <c r="BR50" s="131"/>
      <c r="BS50" s="131"/>
      <c r="BT50" s="131"/>
    </row>
    <row r="51" spans="1:74" ht="15">
      <c r="A51" s="35"/>
      <c r="B51" s="129" t="s">
        <v>116</v>
      </c>
      <c r="C51" s="129"/>
      <c r="D51" s="129"/>
      <c r="E51" s="129"/>
      <c r="F51" s="135"/>
      <c r="G51" s="135"/>
      <c r="H51" s="135"/>
      <c r="I51" s="135"/>
      <c r="J51" s="135"/>
      <c r="K51" s="135"/>
      <c r="L51" s="135"/>
      <c r="M51" s="64"/>
      <c r="N51" s="135"/>
      <c r="O51" s="135"/>
      <c r="P51" s="135"/>
      <c r="Q51" s="135"/>
      <c r="R51" s="135"/>
      <c r="S51" s="135"/>
      <c r="T51" s="135"/>
      <c r="U51" s="135"/>
      <c r="V51" s="135"/>
      <c r="W51" s="135"/>
      <c r="X51" s="135"/>
      <c r="Y51" s="135"/>
      <c r="Z51" s="135"/>
      <c r="AA51" s="135"/>
      <c r="AB51" s="135"/>
      <c r="AC51" s="135"/>
      <c r="AD51" s="135"/>
      <c r="AE51" s="135"/>
      <c r="AF51" s="135"/>
      <c r="AG51" s="135"/>
      <c r="AH51" s="135"/>
      <c r="AI51" s="135"/>
      <c r="AJ51" s="135"/>
      <c r="AK51" s="135"/>
      <c r="AL51" s="135"/>
      <c r="AM51" s="135"/>
      <c r="AN51" s="135"/>
      <c r="AO51" s="135"/>
      <c r="AP51" s="135"/>
      <c r="AQ51" s="135"/>
      <c r="AR51" s="135"/>
      <c r="AS51" s="135"/>
      <c r="AT51" s="135"/>
      <c r="AU51" s="135"/>
      <c r="AV51" s="135"/>
      <c r="AW51" s="135"/>
      <c r="AX51" s="54"/>
      <c r="AY51" s="54"/>
      <c r="AZ51" s="54"/>
      <c r="BA51" s="67"/>
      <c r="BB51" s="144"/>
      <c r="BC51" s="50"/>
      <c r="BD51" s="51"/>
      <c r="BF51" s="131"/>
      <c r="BG51" s="131" t="s">
        <v>242</v>
      </c>
      <c r="BH51" s="131"/>
      <c r="BI51" s="131"/>
      <c r="BJ51" s="131"/>
      <c r="BK51" s="131"/>
      <c r="BL51" s="131"/>
      <c r="BM51" s="131"/>
      <c r="BN51" s="131"/>
      <c r="BO51" s="131"/>
      <c r="BP51" s="131"/>
      <c r="BQ51" s="131"/>
      <c r="BR51" s="131"/>
      <c r="BS51" s="131"/>
      <c r="BT51" s="131"/>
    </row>
    <row r="52" spans="1:74" ht="15">
      <c r="A52" s="35"/>
      <c r="B52" s="129" t="s">
        <v>117</v>
      </c>
      <c r="C52" s="129"/>
      <c r="D52" s="129"/>
      <c r="E52" s="129"/>
      <c r="F52" s="135"/>
      <c r="G52" s="135"/>
      <c r="H52" s="135"/>
      <c r="I52" s="135"/>
      <c r="J52" s="135"/>
      <c r="K52" s="135"/>
      <c r="L52" s="135"/>
      <c r="M52" s="135"/>
      <c r="N52" s="135"/>
      <c r="O52" s="64"/>
      <c r="P52" s="64"/>
      <c r="Q52" s="64"/>
      <c r="R52" s="64"/>
      <c r="S52" s="64"/>
      <c r="T52" s="64"/>
      <c r="U52" s="64"/>
      <c r="V52" s="64"/>
      <c r="W52" s="64"/>
      <c r="X52" s="64"/>
      <c r="Y52" s="64"/>
      <c r="Z52" s="64"/>
      <c r="AA52" s="64"/>
      <c r="AB52" s="64"/>
      <c r="AC52" s="64"/>
      <c r="AD52" s="64"/>
      <c r="AE52" s="64"/>
      <c r="AF52" s="64"/>
      <c r="AG52" s="64"/>
      <c r="AH52" s="64"/>
      <c r="AI52" s="64"/>
      <c r="AJ52" s="64"/>
      <c r="AK52" s="64"/>
      <c r="AL52" s="64"/>
      <c r="AM52" s="64"/>
      <c r="AN52" s="64"/>
      <c r="AO52" s="64"/>
      <c r="AP52" s="64"/>
      <c r="AQ52" s="135"/>
      <c r="AR52" s="135"/>
      <c r="AS52" s="135"/>
      <c r="AT52" s="135"/>
      <c r="AU52" s="135"/>
      <c r="AV52" s="135"/>
      <c r="AW52" s="135"/>
      <c r="AX52" s="54"/>
      <c r="AY52" s="54"/>
      <c r="AZ52" s="54"/>
      <c r="BA52" s="67"/>
      <c r="BB52" s="144"/>
      <c r="BC52" s="50"/>
      <c r="BD52" s="51"/>
      <c r="BS52" s="131"/>
      <c r="BT52" s="131"/>
    </row>
    <row r="53" spans="1:74" ht="15">
      <c r="A53" s="35"/>
      <c r="B53" s="129" t="s">
        <v>118</v>
      </c>
      <c r="C53" s="129"/>
      <c r="D53" s="129"/>
      <c r="E53" s="129"/>
      <c r="F53" s="135"/>
      <c r="G53" s="135"/>
      <c r="H53" s="135"/>
      <c r="I53" s="135"/>
      <c r="J53" s="135"/>
      <c r="K53" s="135"/>
      <c r="L53" s="135"/>
      <c r="M53" s="135"/>
      <c r="N53" s="135"/>
      <c r="O53" s="64"/>
      <c r="P53" s="64"/>
      <c r="Q53" s="64"/>
      <c r="R53" s="64"/>
      <c r="S53" s="64"/>
      <c r="T53" s="64"/>
      <c r="U53" s="64"/>
      <c r="V53" s="64"/>
      <c r="W53" s="64"/>
      <c r="X53" s="64"/>
      <c r="Y53" s="64"/>
      <c r="Z53" s="64"/>
      <c r="AA53" s="64"/>
      <c r="AB53" s="64"/>
      <c r="AC53" s="64"/>
      <c r="AD53" s="64"/>
      <c r="AE53" s="64"/>
      <c r="AF53" s="64"/>
      <c r="AG53" s="64"/>
      <c r="AH53" s="64"/>
      <c r="AI53" s="64"/>
      <c r="AJ53" s="64"/>
      <c r="AK53" s="64"/>
      <c r="AL53" s="64"/>
      <c r="AM53" s="64"/>
      <c r="AN53" s="64"/>
      <c r="AO53" s="64"/>
      <c r="AP53" s="64"/>
      <c r="AQ53" s="135"/>
      <c r="AR53" s="135"/>
      <c r="AS53" s="135"/>
      <c r="AT53" s="135"/>
      <c r="AU53" s="135"/>
      <c r="AV53" s="135"/>
      <c r="AW53" s="135"/>
      <c r="AX53" s="54"/>
      <c r="AY53" s="54"/>
      <c r="AZ53" s="54"/>
      <c r="BA53" s="67"/>
      <c r="BB53" s="144"/>
      <c r="BC53" s="50"/>
      <c r="BD53" s="51"/>
      <c r="BE53" s="131" t="s">
        <v>75</v>
      </c>
      <c r="BF53" s="131"/>
      <c r="BH53" s="131"/>
      <c r="BI53" s="131"/>
      <c r="BJ53" s="131"/>
      <c r="BK53" s="131"/>
      <c r="BS53" s="131"/>
      <c r="BT53" s="131"/>
    </row>
    <row r="54" spans="1:74" s="130" customFormat="1" ht="15">
      <c r="A54" s="36"/>
      <c r="B54" s="139"/>
      <c r="C54" s="140"/>
      <c r="D54" s="140"/>
      <c r="E54" s="140"/>
      <c r="F54" s="140"/>
      <c r="G54" s="140"/>
      <c r="H54" s="140"/>
      <c r="I54" s="140"/>
      <c r="J54" s="140"/>
      <c r="K54" s="140"/>
      <c r="L54" s="140"/>
      <c r="M54" s="140"/>
      <c r="N54" s="140"/>
      <c r="O54" s="140"/>
      <c r="P54" s="140"/>
      <c r="Q54" s="140"/>
      <c r="R54" s="140"/>
      <c r="S54" s="141"/>
      <c r="T54" s="141"/>
      <c r="U54" s="141"/>
      <c r="V54" s="141"/>
      <c r="W54" s="140"/>
      <c r="X54" s="140"/>
      <c r="Y54" s="141"/>
      <c r="Z54" s="141"/>
      <c r="AA54" s="140"/>
      <c r="AB54" s="140"/>
      <c r="AC54" s="140"/>
      <c r="AD54" s="141"/>
      <c r="AE54" s="141"/>
      <c r="AF54" s="141"/>
      <c r="AG54" s="141"/>
      <c r="AH54" s="141"/>
      <c r="AI54" s="141"/>
      <c r="AJ54" s="141"/>
      <c r="AK54" s="141"/>
      <c r="AL54" s="141"/>
      <c r="AM54" s="141"/>
      <c r="AN54" s="141"/>
      <c r="AO54" s="141"/>
      <c r="AP54" s="141"/>
      <c r="AQ54" s="141"/>
      <c r="AR54" s="141"/>
      <c r="AS54" s="141"/>
      <c r="AT54" s="141"/>
      <c r="AU54" s="141"/>
      <c r="AV54" s="141"/>
      <c r="AW54" s="141"/>
      <c r="AX54" s="141"/>
      <c r="AY54" s="139"/>
      <c r="AZ54" s="139"/>
      <c r="BA54" s="67"/>
      <c r="BB54" s="142"/>
      <c r="BC54" s="143"/>
      <c r="BD54" s="51"/>
      <c r="BE54" s="131"/>
      <c r="BF54" s="131" t="s">
        <v>76</v>
      </c>
      <c r="BG54" s="131"/>
      <c r="BH54" s="131"/>
      <c r="BI54" s="131"/>
      <c r="BJ54" s="131"/>
      <c r="BK54" s="131"/>
      <c r="BS54" s="131"/>
      <c r="BT54" s="131"/>
    </row>
    <row r="55" spans="1:74" s="130" customFormat="1" ht="15" customHeight="1">
      <c r="A55" s="35"/>
      <c r="B55" s="62"/>
      <c r="C55" s="64"/>
      <c r="D55" s="64"/>
      <c r="E55" s="64"/>
      <c r="F55" s="64"/>
      <c r="G55" s="64"/>
      <c r="H55" s="64"/>
      <c r="I55" s="64"/>
      <c r="J55" s="64"/>
      <c r="K55" s="64"/>
      <c r="L55" s="64"/>
      <c r="M55" s="64"/>
      <c r="N55" s="64"/>
      <c r="O55" s="64"/>
      <c r="P55" s="64"/>
      <c r="Q55" s="64"/>
      <c r="R55" s="64"/>
      <c r="S55" s="145"/>
      <c r="T55" s="145"/>
      <c r="U55" s="145"/>
      <c r="V55" s="145"/>
      <c r="W55" s="64"/>
      <c r="X55" s="64"/>
      <c r="Y55" s="145"/>
      <c r="Z55" s="145"/>
      <c r="AA55" s="64"/>
      <c r="AB55" s="64"/>
      <c r="AC55" s="64"/>
      <c r="AD55" s="145"/>
      <c r="AE55" s="145"/>
      <c r="AF55" s="145"/>
      <c r="AG55" s="145"/>
      <c r="AH55" s="145"/>
      <c r="AI55" s="145"/>
      <c r="AJ55" s="145"/>
      <c r="AK55" s="145"/>
      <c r="AL55" s="145"/>
      <c r="AM55" s="145"/>
      <c r="AN55" s="145"/>
      <c r="AO55" s="145"/>
      <c r="AP55" s="145"/>
      <c r="AQ55" s="145"/>
      <c r="AR55" s="145"/>
      <c r="AS55" s="145"/>
      <c r="AT55" s="145"/>
      <c r="AU55" s="145"/>
      <c r="AV55" s="145"/>
      <c r="AW55" s="145"/>
      <c r="AX55" s="145"/>
      <c r="AY55" s="62"/>
      <c r="AZ55" s="54"/>
      <c r="BA55" s="67"/>
      <c r="BB55" s="144"/>
      <c r="BC55" s="50"/>
      <c r="BD55" s="51"/>
      <c r="BE55" s="131"/>
      <c r="BF55" s="131" t="s">
        <v>77</v>
      </c>
      <c r="BG55" s="131"/>
      <c r="BH55" s="131"/>
      <c r="BI55" s="131"/>
      <c r="BJ55" s="131"/>
      <c r="BS55" s="131"/>
      <c r="BT55" s="131"/>
      <c r="BV55" s="131"/>
    </row>
    <row r="56" spans="1:74" s="130" customFormat="1" ht="15">
      <c r="A56" s="35"/>
      <c r="B56" s="62"/>
      <c r="C56" s="64"/>
      <c r="D56" s="64"/>
      <c r="E56" s="64"/>
      <c r="F56" s="64"/>
      <c r="G56" s="64"/>
      <c r="H56" s="64"/>
      <c r="I56" s="64"/>
      <c r="J56" s="64"/>
      <c r="K56" s="64"/>
      <c r="L56" s="64"/>
      <c r="M56" s="64"/>
      <c r="N56" s="64"/>
      <c r="O56" s="64"/>
      <c r="P56" s="64"/>
      <c r="Q56" s="64"/>
      <c r="R56" s="64"/>
      <c r="S56" s="145"/>
      <c r="T56" s="145"/>
      <c r="U56" s="145"/>
      <c r="V56" s="145"/>
      <c r="W56" s="64"/>
      <c r="X56" s="64"/>
      <c r="Y56" s="145"/>
      <c r="Z56" s="145"/>
      <c r="AA56" s="64"/>
      <c r="AB56" s="64"/>
      <c r="AC56" s="64"/>
      <c r="AD56" s="145"/>
      <c r="AE56" s="145"/>
      <c r="AF56" s="145"/>
      <c r="AG56" s="145"/>
      <c r="AH56" s="145"/>
      <c r="AI56" s="145"/>
      <c r="AJ56" s="145"/>
      <c r="AK56" s="145"/>
      <c r="AL56" s="145"/>
      <c r="AM56" s="145"/>
      <c r="AN56" s="145"/>
      <c r="AO56" s="145"/>
      <c r="AP56" s="145"/>
      <c r="AQ56" s="145"/>
      <c r="AR56" s="145"/>
      <c r="AS56" s="145"/>
      <c r="AT56" s="145"/>
      <c r="AU56" s="145"/>
      <c r="AV56" s="145"/>
      <c r="AW56" s="145"/>
      <c r="AX56" s="145"/>
      <c r="AY56" s="62"/>
      <c r="AZ56" s="54"/>
      <c r="BA56" s="67"/>
      <c r="BB56" s="144"/>
      <c r="BC56" s="50"/>
      <c r="BD56" s="51"/>
      <c r="BE56" s="131"/>
      <c r="BF56" s="131" t="s">
        <v>78</v>
      </c>
      <c r="BG56" s="131"/>
      <c r="BH56" s="131"/>
      <c r="BI56" s="131"/>
      <c r="BJ56" s="131"/>
      <c r="BL56" s="131"/>
      <c r="BM56" s="131"/>
      <c r="BN56" s="131"/>
      <c r="BO56" s="131"/>
      <c r="BP56" s="131"/>
      <c r="BQ56" s="131"/>
      <c r="BR56" s="131"/>
      <c r="BS56" s="131"/>
      <c r="BT56" s="131"/>
    </row>
    <row r="57" spans="1:74" s="130" customFormat="1" ht="15" customHeight="1">
      <c r="A57" s="35"/>
      <c r="B57" s="62"/>
      <c r="C57" s="64"/>
      <c r="D57" s="64"/>
      <c r="E57" s="64"/>
      <c r="F57" s="64"/>
      <c r="G57" s="64"/>
      <c r="H57" s="64"/>
      <c r="I57" s="64"/>
      <c r="J57" s="64"/>
      <c r="K57" s="64"/>
      <c r="L57" s="64"/>
      <c r="M57" s="64"/>
      <c r="N57" s="64"/>
      <c r="O57" s="64"/>
      <c r="P57" s="64"/>
      <c r="Q57" s="64"/>
      <c r="R57" s="64"/>
      <c r="S57" s="145"/>
      <c r="T57" s="145"/>
      <c r="U57" s="145"/>
      <c r="V57" s="145"/>
      <c r="W57" s="64"/>
      <c r="X57" s="64"/>
      <c r="Y57" s="145"/>
      <c r="Z57" s="145"/>
      <c r="AA57" s="64"/>
      <c r="AB57" s="64"/>
      <c r="AC57" s="64"/>
      <c r="AD57" s="145"/>
      <c r="AE57" s="145"/>
      <c r="AF57" s="145"/>
      <c r="AG57" s="145"/>
      <c r="AH57" s="145"/>
      <c r="AI57" s="145"/>
      <c r="AJ57" s="145"/>
      <c r="AK57" s="145"/>
      <c r="AL57" s="145"/>
      <c r="AM57" s="145"/>
      <c r="AN57" s="145"/>
      <c r="AO57" s="145"/>
      <c r="AP57" s="145"/>
      <c r="AQ57" s="145"/>
      <c r="AR57" s="145"/>
      <c r="AS57" s="145"/>
      <c r="AT57" s="145"/>
      <c r="AU57" s="145"/>
      <c r="AV57" s="145"/>
      <c r="AW57" s="145"/>
      <c r="AX57" s="145"/>
      <c r="AY57" s="62"/>
      <c r="AZ57" s="54"/>
      <c r="BA57" s="67"/>
      <c r="BB57" s="144"/>
      <c r="BC57" s="50"/>
      <c r="BD57" s="51"/>
      <c r="BE57" s="131"/>
      <c r="BF57" s="131" t="s">
        <v>79</v>
      </c>
      <c r="BG57" s="131"/>
      <c r="BH57" s="131"/>
      <c r="BI57" s="131"/>
      <c r="BJ57" s="131"/>
      <c r="BK57" s="131"/>
      <c r="BL57" s="131"/>
      <c r="BM57" s="131"/>
      <c r="BN57" s="131"/>
      <c r="BO57" s="131"/>
      <c r="BP57" s="131"/>
      <c r="BQ57" s="131"/>
      <c r="BR57" s="131"/>
      <c r="BS57" s="131"/>
      <c r="BT57" s="131"/>
    </row>
    <row r="58" spans="1:74" s="130" customFormat="1" ht="15">
      <c r="A58" s="35"/>
      <c r="B58" s="62"/>
      <c r="C58" s="64"/>
      <c r="D58" s="64"/>
      <c r="E58" s="64"/>
      <c r="F58" s="64"/>
      <c r="G58" s="64"/>
      <c r="H58" s="64"/>
      <c r="I58" s="64"/>
      <c r="J58" s="64"/>
      <c r="K58" s="64"/>
      <c r="L58" s="64"/>
      <c r="M58" s="64"/>
      <c r="N58" s="64"/>
      <c r="O58" s="64"/>
      <c r="P58" s="64"/>
      <c r="Q58" s="64"/>
      <c r="R58" s="64"/>
      <c r="S58" s="145"/>
      <c r="T58" s="145"/>
      <c r="U58" s="145"/>
      <c r="V58" s="145"/>
      <c r="W58" s="64"/>
      <c r="X58" s="64"/>
      <c r="Y58" s="145"/>
      <c r="Z58" s="145"/>
      <c r="AA58" s="64"/>
      <c r="AB58" s="64"/>
      <c r="AC58" s="64"/>
      <c r="AD58" s="145"/>
      <c r="AE58" s="145"/>
      <c r="AF58" s="145"/>
      <c r="AG58" s="145"/>
      <c r="AH58" s="145"/>
      <c r="AI58" s="145"/>
      <c r="AJ58" s="145"/>
      <c r="AK58" s="145"/>
      <c r="AL58" s="145"/>
      <c r="AM58" s="145"/>
      <c r="AN58" s="145"/>
      <c r="AO58" s="145"/>
      <c r="AP58" s="145"/>
      <c r="AQ58" s="145"/>
      <c r="AR58" s="145"/>
      <c r="AS58" s="145"/>
      <c r="AT58" s="145"/>
      <c r="AU58" s="145"/>
      <c r="AV58" s="145"/>
      <c r="AW58" s="145"/>
      <c r="AX58" s="145"/>
      <c r="AY58" s="62"/>
      <c r="AZ58" s="54"/>
      <c r="BA58" s="67"/>
      <c r="BB58" s="144"/>
      <c r="BC58" s="50"/>
      <c r="BD58" s="51"/>
      <c r="BE58" s="131"/>
      <c r="BF58" s="131" t="s">
        <v>80</v>
      </c>
      <c r="BG58" s="131"/>
      <c r="BH58" s="131"/>
      <c r="BI58" s="131"/>
      <c r="BJ58" s="131"/>
      <c r="BK58" s="131"/>
    </row>
    <row r="59" spans="1:74" s="130" customFormat="1" ht="15" customHeight="1">
      <c r="A59" s="35"/>
      <c r="B59" s="62"/>
      <c r="C59" s="64"/>
      <c r="D59" s="64"/>
      <c r="E59" s="64"/>
      <c r="F59" s="64"/>
      <c r="G59" s="64"/>
      <c r="H59" s="64"/>
      <c r="I59" s="64"/>
      <c r="J59" s="64"/>
      <c r="K59" s="64"/>
      <c r="L59" s="64"/>
      <c r="M59" s="64"/>
      <c r="N59" s="64"/>
      <c r="O59" s="64"/>
      <c r="P59" s="64"/>
      <c r="Q59" s="64"/>
      <c r="R59" s="64"/>
      <c r="S59" s="145"/>
      <c r="T59" s="145"/>
      <c r="U59" s="145"/>
      <c r="V59" s="145"/>
      <c r="W59" s="64"/>
      <c r="X59" s="64"/>
      <c r="Y59" s="145"/>
      <c r="Z59" s="145"/>
      <c r="AA59" s="64"/>
      <c r="AB59" s="64"/>
      <c r="AC59" s="64"/>
      <c r="AD59" s="145"/>
      <c r="AE59" s="145"/>
      <c r="AF59" s="145"/>
      <c r="AG59" s="145"/>
      <c r="AH59" s="145"/>
      <c r="AI59" s="145"/>
      <c r="AJ59" s="145"/>
      <c r="AK59" s="145"/>
      <c r="AL59" s="145"/>
      <c r="AM59" s="145"/>
      <c r="AN59" s="145"/>
      <c r="AO59" s="145"/>
      <c r="AP59" s="145"/>
      <c r="AQ59" s="145"/>
      <c r="AR59" s="145"/>
      <c r="AS59" s="145"/>
      <c r="AT59" s="145"/>
      <c r="AU59" s="145"/>
      <c r="AV59" s="145"/>
      <c r="AW59" s="145"/>
      <c r="AX59" s="145"/>
      <c r="AY59" s="62"/>
      <c r="AZ59" s="54"/>
      <c r="BA59" s="67"/>
      <c r="BB59" s="144"/>
      <c r="BC59" s="50"/>
      <c r="BD59" s="51"/>
      <c r="BE59" s="131"/>
      <c r="BF59" s="131" t="s">
        <v>81</v>
      </c>
      <c r="BG59" s="131"/>
      <c r="BH59" s="131"/>
      <c r="BI59" s="131"/>
      <c r="BJ59" s="131"/>
      <c r="BK59" s="131"/>
    </row>
    <row r="60" spans="1:74" s="130" customFormat="1" ht="15">
      <c r="A60" s="35"/>
      <c r="B60" s="62"/>
      <c r="C60" s="64"/>
      <c r="D60" s="64"/>
      <c r="E60" s="64"/>
      <c r="F60" s="64"/>
      <c r="G60" s="64"/>
      <c r="H60" s="64"/>
      <c r="I60" s="64"/>
      <c r="J60" s="64"/>
      <c r="K60" s="64"/>
      <c r="L60" s="64"/>
      <c r="M60" s="64"/>
      <c r="N60" s="64"/>
      <c r="O60" s="64"/>
      <c r="P60" s="64"/>
      <c r="Q60" s="64"/>
      <c r="R60" s="64"/>
      <c r="S60" s="145"/>
      <c r="T60" s="145"/>
      <c r="U60" s="145"/>
      <c r="V60" s="145"/>
      <c r="W60" s="64"/>
      <c r="X60" s="64"/>
      <c r="Y60" s="145"/>
      <c r="Z60" s="145"/>
      <c r="AA60" s="64"/>
      <c r="AB60" s="64"/>
      <c r="AC60" s="64"/>
      <c r="AD60" s="145"/>
      <c r="AE60" s="145"/>
      <c r="AF60" s="145"/>
      <c r="AG60" s="145"/>
      <c r="AH60" s="145"/>
      <c r="AI60" s="145"/>
      <c r="AJ60" s="145"/>
      <c r="AK60" s="145"/>
      <c r="AL60" s="145"/>
      <c r="AM60" s="145"/>
      <c r="AN60" s="145"/>
      <c r="AO60" s="145"/>
      <c r="AP60" s="145"/>
      <c r="AQ60" s="145"/>
      <c r="AR60" s="145"/>
      <c r="AS60" s="145"/>
      <c r="AT60" s="145"/>
      <c r="AU60" s="145"/>
      <c r="AV60" s="145"/>
      <c r="AW60" s="145"/>
      <c r="AX60" s="145"/>
      <c r="AY60" s="62"/>
      <c r="AZ60" s="54"/>
      <c r="BA60" s="67"/>
      <c r="BB60" s="144"/>
      <c r="BC60" s="50"/>
      <c r="BD60" s="51"/>
      <c r="BE60" s="131"/>
      <c r="BF60" s="131"/>
      <c r="BG60" s="131" t="s">
        <v>82</v>
      </c>
      <c r="BH60" s="131"/>
      <c r="BI60" s="131"/>
      <c r="BJ60" s="131"/>
      <c r="BK60" s="131"/>
      <c r="BL60" s="131"/>
      <c r="BM60" s="131"/>
      <c r="BN60" s="131"/>
      <c r="BO60" s="131"/>
      <c r="BP60" s="131"/>
      <c r="BQ60" s="131"/>
      <c r="BR60" s="131"/>
      <c r="BS60" s="131"/>
      <c r="BT60" s="131"/>
    </row>
    <row r="61" spans="1:74" s="130" customFormat="1" ht="15" customHeight="1">
      <c r="A61" s="35"/>
      <c r="B61" s="62"/>
      <c r="C61" s="64"/>
      <c r="D61" s="64"/>
      <c r="E61" s="64"/>
      <c r="F61" s="64"/>
      <c r="G61" s="64"/>
      <c r="H61" s="64"/>
      <c r="I61" s="64"/>
      <c r="J61" s="64"/>
      <c r="K61" s="64"/>
      <c r="L61" s="64"/>
      <c r="M61" s="64"/>
      <c r="N61" s="64"/>
      <c r="O61" s="64"/>
      <c r="P61" s="64"/>
      <c r="Q61" s="64"/>
      <c r="R61" s="64"/>
      <c r="S61" s="145"/>
      <c r="T61" s="145"/>
      <c r="U61" s="145"/>
      <c r="V61" s="145"/>
      <c r="W61" s="64"/>
      <c r="X61" s="64"/>
      <c r="Y61" s="145"/>
      <c r="Z61" s="145"/>
      <c r="AA61" s="64"/>
      <c r="AB61" s="64"/>
      <c r="AC61" s="64"/>
      <c r="AD61" s="145"/>
      <c r="AE61" s="145"/>
      <c r="AF61" s="145"/>
      <c r="AG61" s="145"/>
      <c r="AH61" s="145"/>
      <c r="AI61" s="145"/>
      <c r="AJ61" s="145"/>
      <c r="AK61" s="145"/>
      <c r="AL61" s="145"/>
      <c r="AM61" s="145"/>
      <c r="AN61" s="145"/>
      <c r="AO61" s="145"/>
      <c r="AP61" s="145"/>
      <c r="AQ61" s="145"/>
      <c r="AR61" s="145"/>
      <c r="AS61" s="145"/>
      <c r="AT61" s="145"/>
      <c r="AU61" s="145"/>
      <c r="AV61" s="145"/>
      <c r="AW61" s="145"/>
      <c r="AX61" s="145"/>
      <c r="AY61" s="62"/>
      <c r="AZ61" s="54"/>
      <c r="BA61" s="67"/>
      <c r="BB61" s="144"/>
      <c r="BC61" s="50"/>
      <c r="BD61" s="51"/>
      <c r="BE61" s="131"/>
      <c r="BF61" s="131"/>
      <c r="BG61" s="131" t="s">
        <v>83</v>
      </c>
      <c r="BH61" s="131"/>
      <c r="BI61" s="131"/>
      <c r="BJ61" s="131"/>
      <c r="BK61" s="131"/>
      <c r="BL61" s="131"/>
      <c r="BM61" s="131"/>
      <c r="BN61" s="131"/>
      <c r="BO61" s="131"/>
      <c r="BP61" s="131"/>
      <c r="BQ61" s="131"/>
      <c r="BR61" s="131"/>
      <c r="BS61" s="131"/>
      <c r="BT61" s="131"/>
    </row>
    <row r="62" spans="1:74" s="130" customFormat="1" ht="15">
      <c r="A62" s="35"/>
      <c r="B62" s="62"/>
      <c r="C62" s="64"/>
      <c r="D62" s="64"/>
      <c r="E62" s="64"/>
      <c r="F62" s="64"/>
      <c r="G62" s="64"/>
      <c r="H62" s="64"/>
      <c r="I62" s="64"/>
      <c r="J62" s="64"/>
      <c r="K62" s="64"/>
      <c r="L62" s="64"/>
      <c r="M62" s="64"/>
      <c r="N62" s="64"/>
      <c r="O62" s="64"/>
      <c r="P62" s="64"/>
      <c r="Q62" s="64"/>
      <c r="R62" s="64"/>
      <c r="S62" s="145"/>
      <c r="T62" s="145"/>
      <c r="U62" s="145"/>
      <c r="V62" s="145"/>
      <c r="W62" s="64"/>
      <c r="X62" s="64"/>
      <c r="Y62" s="145"/>
      <c r="Z62" s="145"/>
      <c r="AA62" s="64"/>
      <c r="AB62" s="64"/>
      <c r="AC62" s="64"/>
      <c r="AD62" s="145"/>
      <c r="AE62" s="145"/>
      <c r="AF62" s="145"/>
      <c r="AG62" s="145"/>
      <c r="AH62" s="145"/>
      <c r="AI62" s="145"/>
      <c r="AJ62" s="145"/>
      <c r="AK62" s="145"/>
      <c r="AL62" s="145"/>
      <c r="AM62" s="145"/>
      <c r="AN62" s="145"/>
      <c r="AO62" s="145"/>
      <c r="AP62" s="145"/>
      <c r="AQ62" s="145"/>
      <c r="AR62" s="145"/>
      <c r="AS62" s="145"/>
      <c r="AT62" s="145"/>
      <c r="AU62" s="145"/>
      <c r="AV62" s="145"/>
      <c r="AW62" s="145"/>
      <c r="AX62" s="145"/>
      <c r="AY62" s="62"/>
      <c r="AZ62" s="54"/>
      <c r="BA62" s="67"/>
      <c r="BB62" s="144"/>
      <c r="BC62" s="50"/>
      <c r="BD62" s="51"/>
      <c r="BE62" s="131"/>
      <c r="BF62" s="131"/>
      <c r="BG62" s="131" t="s">
        <v>243</v>
      </c>
      <c r="BH62" s="131"/>
      <c r="BI62" s="131"/>
      <c r="BJ62" s="131"/>
      <c r="BK62" s="131"/>
      <c r="BL62" s="131"/>
      <c r="BM62" s="131"/>
      <c r="BN62" s="131"/>
      <c r="BO62" s="131"/>
      <c r="BP62" s="131"/>
      <c r="BQ62" s="131"/>
      <c r="BR62" s="131"/>
      <c r="BS62" s="131"/>
      <c r="BT62" s="131"/>
    </row>
    <row r="63" spans="1:74" s="130" customFormat="1" ht="15" customHeight="1">
      <c r="A63" s="35"/>
      <c r="B63" s="62"/>
      <c r="C63" s="64"/>
      <c r="D63" s="64"/>
      <c r="E63" s="64"/>
      <c r="F63" s="64"/>
      <c r="G63" s="64"/>
      <c r="H63" s="64"/>
      <c r="I63" s="64"/>
      <c r="J63" s="64"/>
      <c r="K63" s="64"/>
      <c r="L63" s="64"/>
      <c r="M63" s="64"/>
      <c r="N63" s="64"/>
      <c r="O63" s="64"/>
      <c r="P63" s="64"/>
      <c r="Q63" s="64"/>
      <c r="R63" s="64"/>
      <c r="S63" s="145"/>
      <c r="T63" s="145"/>
      <c r="U63" s="145"/>
      <c r="V63" s="145"/>
      <c r="W63" s="64"/>
      <c r="X63" s="64"/>
      <c r="Y63" s="145"/>
      <c r="Z63" s="145"/>
      <c r="AA63" s="64"/>
      <c r="AB63" s="64"/>
      <c r="AC63" s="64"/>
      <c r="AD63" s="145"/>
      <c r="AE63" s="145"/>
      <c r="AF63" s="145"/>
      <c r="AG63" s="145"/>
      <c r="AH63" s="145"/>
      <c r="AI63" s="145"/>
      <c r="AJ63" s="145"/>
      <c r="AK63" s="145"/>
      <c r="AL63" s="145"/>
      <c r="AM63" s="145"/>
      <c r="AN63" s="145"/>
      <c r="AO63" s="145"/>
      <c r="AP63" s="145"/>
      <c r="AQ63" s="145"/>
      <c r="AR63" s="145"/>
      <c r="AS63" s="145"/>
      <c r="AT63" s="145"/>
      <c r="AU63" s="145"/>
      <c r="AV63" s="145"/>
      <c r="AW63" s="145"/>
      <c r="AX63" s="145"/>
      <c r="AY63" s="62"/>
      <c r="AZ63" s="54"/>
      <c r="BA63" s="67"/>
      <c r="BB63" s="144"/>
      <c r="BC63" s="50"/>
      <c r="BD63" s="51"/>
      <c r="BE63" s="131"/>
      <c r="BF63" s="131"/>
      <c r="BG63" s="131"/>
      <c r="BH63" s="131"/>
      <c r="BI63" s="131"/>
      <c r="BJ63" s="131"/>
      <c r="BK63" s="131"/>
      <c r="BL63" s="131"/>
      <c r="BM63" s="131"/>
      <c r="BN63" s="131"/>
      <c r="BO63" s="131"/>
      <c r="BP63" s="131"/>
      <c r="BQ63" s="131"/>
      <c r="BR63" s="131"/>
      <c r="BS63" s="131"/>
      <c r="BT63" s="131"/>
    </row>
    <row r="64" spans="1:74" s="130" customFormat="1" ht="15">
      <c r="A64" s="35"/>
      <c r="B64" s="62"/>
      <c r="C64" s="64"/>
      <c r="D64" s="64"/>
      <c r="E64" s="64"/>
      <c r="F64" s="64"/>
      <c r="G64" s="64"/>
      <c r="H64" s="64"/>
      <c r="I64" s="64"/>
      <c r="J64" s="64"/>
      <c r="K64" s="64"/>
      <c r="L64" s="64"/>
      <c r="M64" s="64"/>
      <c r="N64" s="64"/>
      <c r="O64" s="64"/>
      <c r="P64" s="64"/>
      <c r="Q64" s="64"/>
      <c r="R64" s="64"/>
      <c r="S64" s="145"/>
      <c r="T64" s="145"/>
      <c r="U64" s="145"/>
      <c r="V64" s="145"/>
      <c r="W64" s="64"/>
      <c r="X64" s="64"/>
      <c r="Y64" s="145"/>
      <c r="Z64" s="145"/>
      <c r="AA64" s="64"/>
      <c r="AB64" s="64"/>
      <c r="AC64" s="64"/>
      <c r="AD64" s="145"/>
      <c r="AE64" s="145"/>
      <c r="AF64" s="145"/>
      <c r="AG64" s="145"/>
      <c r="AH64" s="145"/>
      <c r="AI64" s="145"/>
      <c r="AJ64" s="145"/>
      <c r="AK64" s="145"/>
      <c r="AL64" s="145"/>
      <c r="AM64" s="145"/>
      <c r="AN64" s="145"/>
      <c r="AO64" s="145"/>
      <c r="AP64" s="145"/>
      <c r="AQ64" s="145"/>
      <c r="AR64" s="145"/>
      <c r="AS64" s="145"/>
      <c r="AT64" s="145"/>
      <c r="AU64" s="145"/>
      <c r="AV64" s="145"/>
      <c r="AW64" s="145"/>
      <c r="AX64" s="145"/>
      <c r="AY64" s="62"/>
      <c r="AZ64" s="54"/>
      <c r="BA64" s="67"/>
      <c r="BB64" s="144"/>
      <c r="BC64" s="50"/>
      <c r="BD64" s="51"/>
      <c r="BE64" s="131"/>
      <c r="BF64" s="131"/>
      <c r="BG64" s="131"/>
      <c r="BH64" s="131"/>
      <c r="BI64" s="131"/>
      <c r="BJ64" s="131"/>
      <c r="BK64" s="131"/>
      <c r="BL64" s="131"/>
      <c r="BM64" s="131"/>
      <c r="BN64" s="131"/>
      <c r="BO64" s="131"/>
      <c r="BP64" s="131"/>
      <c r="BQ64" s="131"/>
      <c r="BR64" s="131"/>
      <c r="BS64" s="131"/>
      <c r="BT64" s="131"/>
    </row>
    <row r="65" spans="1:72" s="130" customFormat="1" ht="15" customHeight="1">
      <c r="A65" s="35"/>
      <c r="B65" s="62"/>
      <c r="C65" s="64"/>
      <c r="D65" s="64"/>
      <c r="E65" s="64"/>
      <c r="F65" s="64"/>
      <c r="G65" s="64"/>
      <c r="H65" s="64"/>
      <c r="I65" s="64"/>
      <c r="J65" s="64"/>
      <c r="K65" s="64"/>
      <c r="L65" s="64"/>
      <c r="M65" s="64"/>
      <c r="N65" s="64"/>
      <c r="O65" s="64"/>
      <c r="P65" s="64"/>
      <c r="Q65" s="64"/>
      <c r="R65" s="64"/>
      <c r="S65" s="145"/>
      <c r="T65" s="145"/>
      <c r="U65" s="145"/>
      <c r="V65" s="145"/>
      <c r="W65" s="64"/>
      <c r="X65" s="64"/>
      <c r="Y65" s="145"/>
      <c r="Z65" s="145"/>
      <c r="AA65" s="64"/>
      <c r="AB65" s="64"/>
      <c r="AC65" s="64"/>
      <c r="AD65" s="145"/>
      <c r="AE65" s="145"/>
      <c r="AF65" s="145"/>
      <c r="AG65" s="145"/>
      <c r="AH65" s="145"/>
      <c r="AI65" s="145"/>
      <c r="AJ65" s="145"/>
      <c r="AK65" s="145"/>
      <c r="AL65" s="145"/>
      <c r="AM65" s="145"/>
      <c r="AN65" s="145"/>
      <c r="AO65" s="145"/>
      <c r="AP65" s="145"/>
      <c r="AQ65" s="145"/>
      <c r="AR65" s="145"/>
      <c r="AS65" s="145"/>
      <c r="AT65" s="145"/>
      <c r="AU65" s="145"/>
      <c r="AV65" s="145"/>
      <c r="AW65" s="145"/>
      <c r="AX65" s="145"/>
      <c r="AY65" s="62"/>
      <c r="AZ65" s="54"/>
      <c r="BA65" s="67"/>
      <c r="BB65" s="144"/>
      <c r="BC65" s="50"/>
      <c r="BD65" s="51"/>
      <c r="BE65" s="131"/>
      <c r="BF65" s="131"/>
      <c r="BG65" s="131"/>
      <c r="BH65" s="131"/>
      <c r="BI65" s="131"/>
      <c r="BJ65" s="131"/>
      <c r="BK65" s="131"/>
      <c r="BL65" s="131"/>
      <c r="BM65" s="131"/>
      <c r="BN65" s="131"/>
      <c r="BO65" s="131"/>
      <c r="BP65" s="131"/>
      <c r="BQ65" s="131"/>
      <c r="BR65" s="131"/>
      <c r="BS65" s="131"/>
      <c r="BT65" s="131"/>
    </row>
    <row r="66" spans="1:72" s="130" customFormat="1" ht="15">
      <c r="A66" s="35"/>
      <c r="B66" s="62"/>
      <c r="C66" s="64"/>
      <c r="D66" s="64"/>
      <c r="E66" s="64"/>
      <c r="F66" s="64"/>
      <c r="G66" s="64"/>
      <c r="H66" s="64"/>
      <c r="I66" s="64"/>
      <c r="J66" s="64"/>
      <c r="K66" s="64"/>
      <c r="L66" s="64"/>
      <c r="M66" s="64"/>
      <c r="N66" s="64"/>
      <c r="O66" s="64"/>
      <c r="P66" s="64"/>
      <c r="Q66" s="64"/>
      <c r="R66" s="64"/>
      <c r="S66" s="145"/>
      <c r="T66" s="145"/>
      <c r="U66" s="145"/>
      <c r="V66" s="145"/>
      <c r="W66" s="64"/>
      <c r="X66" s="64"/>
      <c r="Y66" s="145"/>
      <c r="Z66" s="145"/>
      <c r="AA66" s="64"/>
      <c r="AB66" s="64"/>
      <c r="AC66" s="64"/>
      <c r="AD66" s="145"/>
      <c r="AE66" s="145"/>
      <c r="AF66" s="145"/>
      <c r="AG66" s="145"/>
      <c r="AH66" s="145"/>
      <c r="AI66" s="145"/>
      <c r="AJ66" s="145"/>
      <c r="AK66" s="145"/>
      <c r="AL66" s="145"/>
      <c r="AM66" s="145"/>
      <c r="AN66" s="145"/>
      <c r="AO66" s="145"/>
      <c r="AP66" s="145"/>
      <c r="AQ66" s="145"/>
      <c r="AR66" s="145"/>
      <c r="AS66" s="145"/>
      <c r="AT66" s="145"/>
      <c r="AU66" s="145"/>
      <c r="AV66" s="145"/>
      <c r="AW66" s="145"/>
      <c r="AX66" s="145"/>
      <c r="AY66" s="62"/>
      <c r="AZ66" s="54"/>
      <c r="BA66" s="67"/>
      <c r="BB66" s="144"/>
      <c r="BC66" s="50"/>
      <c r="BD66" s="51"/>
      <c r="BK66" s="131"/>
      <c r="BL66" s="131"/>
      <c r="BM66" s="131"/>
      <c r="BN66" s="131"/>
      <c r="BO66" s="131"/>
      <c r="BP66" s="131"/>
      <c r="BQ66" s="131"/>
      <c r="BR66" s="131"/>
      <c r="BS66" s="131"/>
      <c r="BT66" s="131"/>
    </row>
    <row r="67" spans="1:72" s="130" customFormat="1" ht="15">
      <c r="A67" s="35"/>
      <c r="B67" s="62"/>
      <c r="C67" s="64"/>
      <c r="D67" s="64"/>
      <c r="E67" s="64"/>
      <c r="F67" s="64"/>
      <c r="G67" s="64"/>
      <c r="H67" s="64"/>
      <c r="I67" s="64"/>
      <c r="J67" s="64"/>
      <c r="K67" s="64"/>
      <c r="L67" s="64"/>
      <c r="M67" s="64"/>
      <c r="N67" s="64"/>
      <c r="O67" s="64"/>
      <c r="P67" s="64"/>
      <c r="Q67" s="64"/>
      <c r="R67" s="64"/>
      <c r="S67" s="145"/>
      <c r="T67" s="145"/>
      <c r="U67" s="145"/>
      <c r="V67" s="145"/>
      <c r="W67" s="64"/>
      <c r="X67" s="64"/>
      <c r="Y67" s="145"/>
      <c r="Z67" s="145"/>
      <c r="AA67" s="64"/>
      <c r="AB67" s="64"/>
      <c r="AC67" s="64"/>
      <c r="AD67" s="145"/>
      <c r="AE67" s="145"/>
      <c r="AF67" s="145"/>
      <c r="AG67" s="145"/>
      <c r="AH67" s="145"/>
      <c r="AI67" s="145"/>
      <c r="AJ67" s="145"/>
      <c r="AK67" s="145"/>
      <c r="AL67" s="145"/>
      <c r="AM67" s="145"/>
      <c r="AN67" s="145"/>
      <c r="AO67" s="145"/>
      <c r="AP67" s="145"/>
      <c r="AQ67" s="145"/>
      <c r="AR67" s="145"/>
      <c r="AS67" s="145"/>
      <c r="AT67" s="145"/>
      <c r="AU67" s="145"/>
      <c r="AV67" s="145"/>
      <c r="AW67" s="145"/>
      <c r="AX67" s="145"/>
      <c r="AY67" s="62"/>
      <c r="AZ67" s="54"/>
      <c r="BA67" s="67"/>
      <c r="BB67" s="144"/>
      <c r="BC67" s="50"/>
      <c r="BD67" s="51"/>
      <c r="BE67" s="131"/>
      <c r="BK67" s="131"/>
      <c r="BL67" s="131"/>
      <c r="BM67" s="131"/>
      <c r="BN67" s="131"/>
      <c r="BO67" s="131"/>
      <c r="BP67" s="131"/>
      <c r="BQ67" s="131"/>
      <c r="BR67" s="131"/>
      <c r="BS67" s="131"/>
      <c r="BT67" s="131"/>
    </row>
    <row r="68" spans="1:72" s="130" customFormat="1" ht="15">
      <c r="A68" s="35"/>
      <c r="B68" s="62"/>
      <c r="C68" s="64"/>
      <c r="D68" s="64"/>
      <c r="E68" s="64"/>
      <c r="F68" s="64"/>
      <c r="G68" s="64"/>
      <c r="H68" s="64"/>
      <c r="I68" s="64"/>
      <c r="J68" s="64"/>
      <c r="K68" s="64"/>
      <c r="L68" s="64"/>
      <c r="M68" s="64"/>
      <c r="N68" s="64"/>
      <c r="O68" s="64"/>
      <c r="P68" s="64"/>
      <c r="Q68" s="64"/>
      <c r="R68" s="64"/>
      <c r="S68" s="145"/>
      <c r="T68" s="145"/>
      <c r="U68" s="145"/>
      <c r="V68" s="145"/>
      <c r="W68" s="64"/>
      <c r="X68" s="64"/>
      <c r="Y68" s="145"/>
      <c r="Z68" s="145"/>
      <c r="AA68" s="64"/>
      <c r="AB68" s="64"/>
      <c r="AC68" s="64"/>
      <c r="AD68" s="145"/>
      <c r="AE68" s="145"/>
      <c r="AF68" s="145"/>
      <c r="AG68" s="145"/>
      <c r="AH68" s="145"/>
      <c r="AI68" s="145"/>
      <c r="AJ68" s="145"/>
      <c r="AK68" s="145"/>
      <c r="AL68" s="145"/>
      <c r="AM68" s="145"/>
      <c r="AN68" s="145"/>
      <c r="AO68" s="145"/>
      <c r="AP68" s="145"/>
      <c r="AQ68" s="145"/>
      <c r="AR68" s="145"/>
      <c r="AS68" s="145"/>
      <c r="AT68" s="145"/>
      <c r="AU68" s="145"/>
      <c r="AV68" s="145"/>
      <c r="AW68" s="145"/>
      <c r="AX68" s="145"/>
      <c r="AY68" s="62"/>
      <c r="AZ68" s="54"/>
      <c r="BA68" s="67"/>
      <c r="BB68" s="144"/>
      <c r="BC68" s="50"/>
      <c r="BD68" s="51"/>
      <c r="BF68" s="131"/>
      <c r="BG68" s="131"/>
      <c r="BH68" s="131"/>
      <c r="BI68" s="131"/>
      <c r="BJ68" s="131"/>
      <c r="BK68" s="131"/>
      <c r="BL68" s="131"/>
      <c r="BM68" s="131"/>
      <c r="BN68" s="131"/>
      <c r="BO68" s="131"/>
      <c r="BP68" s="131"/>
      <c r="BQ68" s="131"/>
      <c r="BR68" s="131"/>
      <c r="BS68" s="131"/>
      <c r="BT68" s="131"/>
    </row>
    <row r="69" spans="1:72" s="130" customFormat="1" ht="15">
      <c r="A69" s="35"/>
      <c r="B69" s="62"/>
      <c r="C69" s="64"/>
      <c r="D69" s="64"/>
      <c r="E69" s="64"/>
      <c r="F69" s="64"/>
      <c r="G69" s="64"/>
      <c r="H69" s="64"/>
      <c r="I69" s="64"/>
      <c r="J69" s="64"/>
      <c r="K69" s="64"/>
      <c r="L69" s="64"/>
      <c r="M69" s="64"/>
      <c r="N69" s="64"/>
      <c r="O69" s="64"/>
      <c r="P69" s="64"/>
      <c r="Q69" s="64"/>
      <c r="R69" s="64"/>
      <c r="S69" s="145"/>
      <c r="T69" s="145"/>
      <c r="U69" s="145"/>
      <c r="V69" s="145"/>
      <c r="W69" s="64"/>
      <c r="X69" s="64"/>
      <c r="Y69" s="145"/>
      <c r="Z69" s="145"/>
      <c r="AA69" s="64"/>
      <c r="AB69" s="64"/>
      <c r="AC69" s="64"/>
      <c r="AD69" s="145"/>
      <c r="AE69" s="145"/>
      <c r="AF69" s="145"/>
      <c r="AG69" s="145"/>
      <c r="AH69" s="145"/>
      <c r="AI69" s="145"/>
      <c r="AJ69" s="145"/>
      <c r="AK69" s="145"/>
      <c r="AL69" s="145"/>
      <c r="AM69" s="145"/>
      <c r="AN69" s="145"/>
      <c r="AO69" s="145"/>
      <c r="AP69" s="145"/>
      <c r="AQ69" s="145"/>
      <c r="AR69" s="145"/>
      <c r="AS69" s="145"/>
      <c r="AT69" s="145"/>
      <c r="AU69" s="145"/>
      <c r="AV69" s="145"/>
      <c r="AW69" s="145"/>
      <c r="AX69" s="145"/>
      <c r="AY69" s="62"/>
      <c r="AZ69" s="54"/>
      <c r="BA69" s="67"/>
      <c r="BB69" s="144"/>
      <c r="BC69" s="50"/>
      <c r="BD69" s="51"/>
      <c r="BF69" s="131"/>
      <c r="BG69" s="131"/>
      <c r="BH69" s="131"/>
      <c r="BI69" s="131"/>
      <c r="BJ69" s="131"/>
      <c r="BK69" s="131"/>
      <c r="BL69" s="131"/>
      <c r="BM69" s="131"/>
      <c r="BN69" s="131"/>
      <c r="BO69" s="131"/>
      <c r="BP69" s="131"/>
      <c r="BQ69" s="131"/>
      <c r="BR69" s="131"/>
    </row>
    <row r="70" spans="1:72" s="130" customFormat="1" ht="15">
      <c r="A70" s="35"/>
      <c r="B70" s="62"/>
      <c r="C70" s="64"/>
      <c r="D70" s="64"/>
      <c r="E70" s="64"/>
      <c r="F70" s="64"/>
      <c r="G70" s="64"/>
      <c r="H70" s="64"/>
      <c r="I70" s="64"/>
      <c r="J70" s="64"/>
      <c r="K70" s="64"/>
      <c r="L70" s="64"/>
      <c r="M70" s="64"/>
      <c r="N70" s="64"/>
      <c r="O70" s="64"/>
      <c r="P70" s="64"/>
      <c r="Q70" s="64"/>
      <c r="R70" s="64"/>
      <c r="S70" s="145"/>
      <c r="T70" s="145"/>
      <c r="U70" s="145"/>
      <c r="V70" s="145"/>
      <c r="W70" s="64"/>
      <c r="X70" s="64"/>
      <c r="Y70" s="145"/>
      <c r="Z70" s="145"/>
      <c r="AA70" s="64"/>
      <c r="AB70" s="64"/>
      <c r="AC70" s="64"/>
      <c r="AD70" s="145"/>
      <c r="AE70" s="145"/>
      <c r="AF70" s="145"/>
      <c r="AG70" s="145"/>
      <c r="AH70" s="145"/>
      <c r="AI70" s="145"/>
      <c r="AJ70" s="145"/>
      <c r="AK70" s="145"/>
      <c r="AL70" s="145"/>
      <c r="AM70" s="145"/>
      <c r="AN70" s="145"/>
      <c r="AO70" s="145"/>
      <c r="AP70" s="145"/>
      <c r="AQ70" s="145"/>
      <c r="AR70" s="145"/>
      <c r="AS70" s="145"/>
      <c r="AT70" s="145"/>
      <c r="AU70" s="145"/>
      <c r="AV70" s="145"/>
      <c r="AW70" s="145"/>
      <c r="AX70" s="145"/>
      <c r="AY70" s="62"/>
      <c r="AZ70" s="54"/>
      <c r="BA70" s="67"/>
      <c r="BB70" s="144"/>
      <c r="BC70" s="50"/>
      <c r="BD70" s="51"/>
      <c r="BL70" s="131"/>
      <c r="BM70" s="131"/>
      <c r="BN70" s="131"/>
      <c r="BO70" s="131"/>
      <c r="BP70" s="131"/>
      <c r="BQ70" s="131"/>
      <c r="BR70" s="131"/>
    </row>
    <row r="71" spans="1:72" s="130" customFormat="1" ht="15" customHeight="1">
      <c r="A71" s="36"/>
      <c r="B71" s="62"/>
      <c r="C71" s="64"/>
      <c r="D71" s="64"/>
      <c r="E71" s="64"/>
      <c r="F71" s="64"/>
      <c r="G71" s="64"/>
      <c r="H71" s="64"/>
      <c r="I71" s="64"/>
      <c r="J71" s="64"/>
      <c r="K71" s="64"/>
      <c r="L71" s="64"/>
      <c r="M71" s="64"/>
      <c r="N71" s="64"/>
      <c r="O71" s="64"/>
      <c r="P71" s="64"/>
      <c r="Q71" s="64"/>
      <c r="R71" s="64"/>
      <c r="S71" s="145"/>
      <c r="T71" s="145"/>
      <c r="U71" s="145"/>
      <c r="V71" s="145"/>
      <c r="W71" s="64"/>
      <c r="X71" s="64"/>
      <c r="Y71" s="145"/>
      <c r="Z71" s="145"/>
      <c r="AA71" s="64"/>
      <c r="AB71" s="64"/>
      <c r="AC71" s="64"/>
      <c r="AD71" s="145"/>
      <c r="AE71" s="145"/>
      <c r="AF71" s="145"/>
      <c r="AG71" s="145"/>
      <c r="AH71" s="145"/>
      <c r="AI71" s="145"/>
      <c r="AJ71" s="145"/>
      <c r="AK71" s="145"/>
      <c r="AL71" s="145"/>
      <c r="AM71" s="145"/>
      <c r="AN71" s="145"/>
      <c r="AO71" s="145"/>
      <c r="AP71" s="145"/>
      <c r="AQ71" s="145"/>
      <c r="AR71" s="145"/>
      <c r="AS71" s="145"/>
      <c r="AT71" s="145"/>
      <c r="AU71" s="145"/>
      <c r="AV71" s="145"/>
      <c r="AW71" s="145"/>
      <c r="AX71" s="145"/>
      <c r="AY71" s="62"/>
      <c r="AZ71" s="62"/>
      <c r="BA71" s="67"/>
      <c r="BB71" s="144"/>
      <c r="BC71" s="50"/>
      <c r="BD71" s="51"/>
      <c r="BL71" s="131"/>
      <c r="BM71" s="131"/>
      <c r="BN71" s="131"/>
      <c r="BO71" s="131"/>
      <c r="BP71" s="131"/>
      <c r="BQ71" s="131"/>
      <c r="BR71" s="131"/>
      <c r="BS71" s="131"/>
      <c r="BT71" s="131"/>
    </row>
    <row r="72" spans="1:72" s="130" customFormat="1" ht="15" customHeight="1">
      <c r="A72" s="36"/>
      <c r="B72" s="62"/>
      <c r="C72" s="64"/>
      <c r="D72" s="64"/>
      <c r="E72" s="64"/>
      <c r="F72" s="64"/>
      <c r="G72" s="64"/>
      <c r="H72" s="64"/>
      <c r="I72" s="64"/>
      <c r="J72" s="64"/>
      <c r="K72" s="64"/>
      <c r="L72" s="64"/>
      <c r="M72" s="64"/>
      <c r="N72" s="64"/>
      <c r="O72" s="64"/>
      <c r="P72" s="64"/>
      <c r="Q72" s="64"/>
      <c r="R72" s="64"/>
      <c r="S72" s="145"/>
      <c r="T72" s="145"/>
      <c r="U72" s="145"/>
      <c r="V72" s="145"/>
      <c r="W72" s="64"/>
      <c r="X72" s="64"/>
      <c r="Y72" s="145"/>
      <c r="Z72" s="145"/>
      <c r="AA72" s="64"/>
      <c r="AB72" s="64"/>
      <c r="AC72" s="64"/>
      <c r="AD72" s="145"/>
      <c r="AE72" s="145"/>
      <c r="AF72" s="145"/>
      <c r="AG72" s="145"/>
      <c r="AH72" s="145"/>
      <c r="AI72" s="145"/>
      <c r="AJ72" s="145"/>
      <c r="AK72" s="145"/>
      <c r="AL72" s="145"/>
      <c r="AM72" s="145"/>
      <c r="AN72" s="145"/>
      <c r="AO72" s="145"/>
      <c r="AP72" s="145"/>
      <c r="AQ72" s="145"/>
      <c r="AR72" s="145"/>
      <c r="AS72" s="145"/>
      <c r="AT72" s="145"/>
      <c r="AU72" s="145"/>
      <c r="AV72" s="145"/>
      <c r="AW72" s="145"/>
      <c r="AX72" s="145"/>
      <c r="AY72" s="62"/>
      <c r="AZ72" s="62"/>
      <c r="BA72" s="67"/>
      <c r="BB72" s="144"/>
      <c r="BC72" s="50"/>
      <c r="BD72" s="51"/>
      <c r="BL72" s="131"/>
      <c r="BM72" s="131"/>
      <c r="BN72" s="131"/>
      <c r="BO72" s="131"/>
      <c r="BP72" s="131"/>
      <c r="BQ72" s="131"/>
      <c r="BR72" s="131"/>
    </row>
    <row r="73" spans="1:72" s="130" customFormat="1" ht="15" customHeight="1">
      <c r="A73" s="36"/>
      <c r="B73" s="62"/>
      <c r="C73" s="64"/>
      <c r="D73" s="64"/>
      <c r="E73" s="64"/>
      <c r="F73" s="64"/>
      <c r="G73" s="64"/>
      <c r="H73" s="64"/>
      <c r="I73" s="64"/>
      <c r="J73" s="64"/>
      <c r="K73" s="64"/>
      <c r="L73" s="64"/>
      <c r="M73" s="64"/>
      <c r="N73" s="64"/>
      <c r="O73" s="64"/>
      <c r="P73" s="64"/>
      <c r="Q73" s="64"/>
      <c r="R73" s="64"/>
      <c r="S73" s="145"/>
      <c r="T73" s="145"/>
      <c r="U73" s="145"/>
      <c r="V73" s="145"/>
      <c r="W73" s="64"/>
      <c r="X73" s="64"/>
      <c r="Y73" s="145"/>
      <c r="Z73" s="145"/>
      <c r="AA73" s="64"/>
      <c r="AB73" s="64"/>
      <c r="AC73" s="64"/>
      <c r="AD73" s="145"/>
      <c r="AE73" s="145"/>
      <c r="AF73" s="145"/>
      <c r="AG73" s="145"/>
      <c r="AH73" s="145"/>
      <c r="AI73" s="145"/>
      <c r="AJ73" s="145"/>
      <c r="AK73" s="145"/>
      <c r="AL73" s="145"/>
      <c r="AM73" s="145"/>
      <c r="AN73" s="145"/>
      <c r="AO73" s="145"/>
      <c r="AP73" s="145"/>
      <c r="AQ73" s="145"/>
      <c r="AR73" s="145"/>
      <c r="AS73" s="145"/>
      <c r="AT73" s="145"/>
      <c r="AU73" s="145"/>
      <c r="AV73" s="145"/>
      <c r="AW73" s="145"/>
      <c r="AX73" s="145"/>
      <c r="AY73" s="62"/>
      <c r="AZ73" s="62"/>
      <c r="BA73" s="67"/>
      <c r="BB73" s="144"/>
      <c r="BC73" s="50"/>
      <c r="BD73" s="51"/>
      <c r="BF73" s="131"/>
      <c r="BG73" s="131"/>
      <c r="BH73" s="131"/>
      <c r="BI73" s="131"/>
      <c r="BJ73" s="131"/>
      <c r="BK73" s="131"/>
      <c r="BL73" s="131"/>
      <c r="BM73" s="131"/>
      <c r="BN73" s="131"/>
      <c r="BO73" s="131"/>
      <c r="BP73" s="131"/>
      <c r="BQ73" s="131"/>
      <c r="BR73" s="131"/>
    </row>
    <row r="74" spans="1:72" s="130" customFormat="1" ht="19.5" customHeight="1">
      <c r="A74" s="36"/>
      <c r="B74" s="62"/>
      <c r="C74" s="64"/>
      <c r="D74" s="64"/>
      <c r="E74" s="64"/>
      <c r="F74" s="64"/>
      <c r="G74" s="64"/>
      <c r="H74" s="64"/>
      <c r="I74" s="64"/>
      <c r="J74" s="64"/>
      <c r="K74" s="64"/>
      <c r="L74" s="64"/>
      <c r="M74" s="64"/>
      <c r="N74" s="64"/>
      <c r="O74" s="64"/>
      <c r="P74" s="64"/>
      <c r="Q74" s="64"/>
      <c r="R74" s="64"/>
      <c r="S74" s="145"/>
      <c r="T74" s="145"/>
      <c r="U74" s="145"/>
      <c r="V74" s="145"/>
      <c r="W74" s="64"/>
      <c r="X74" s="64"/>
      <c r="Y74" s="145"/>
      <c r="Z74" s="145"/>
      <c r="AA74" s="64"/>
      <c r="AB74" s="64"/>
      <c r="AC74" s="64"/>
      <c r="AD74" s="145"/>
      <c r="AE74" s="145"/>
      <c r="AF74" s="145"/>
      <c r="AG74" s="145"/>
      <c r="AH74" s="145"/>
      <c r="AI74" s="145"/>
      <c r="AJ74" s="145"/>
      <c r="AK74" s="145"/>
      <c r="AL74" s="145"/>
      <c r="AM74" s="145"/>
      <c r="AN74" s="145"/>
      <c r="AO74" s="145"/>
      <c r="AP74" s="145"/>
      <c r="AQ74" s="145"/>
      <c r="AR74" s="145"/>
      <c r="AS74" s="145"/>
      <c r="AT74" s="145"/>
      <c r="AU74" s="145"/>
      <c r="AV74" s="145"/>
      <c r="AW74" s="145"/>
      <c r="AX74" s="145"/>
      <c r="AY74" s="62"/>
      <c r="AZ74" s="62"/>
      <c r="BA74" s="67"/>
      <c r="BB74" s="144"/>
      <c r="BC74" s="50"/>
      <c r="BD74" s="51"/>
      <c r="BE74" s="131"/>
      <c r="BF74" s="131"/>
      <c r="BG74" s="131"/>
      <c r="BH74" s="131"/>
      <c r="BI74" s="131"/>
      <c r="BJ74" s="131"/>
    </row>
    <row r="75" spans="1:72" s="130" customFormat="1" ht="15" customHeight="1">
      <c r="A75" s="36"/>
      <c r="B75" s="62"/>
      <c r="C75" s="64"/>
      <c r="D75" s="64"/>
      <c r="E75" s="64"/>
      <c r="F75" s="64"/>
      <c r="G75" s="64"/>
      <c r="H75" s="64"/>
      <c r="I75" s="64"/>
      <c r="J75" s="64"/>
      <c r="K75" s="64"/>
      <c r="L75" s="64"/>
      <c r="M75" s="64"/>
      <c r="N75" s="64"/>
      <c r="O75" s="64"/>
      <c r="P75" s="64"/>
      <c r="Q75" s="64"/>
      <c r="R75" s="64"/>
      <c r="S75" s="145"/>
      <c r="T75" s="145"/>
      <c r="U75" s="145"/>
      <c r="V75" s="145"/>
      <c r="W75" s="64"/>
      <c r="X75" s="64"/>
      <c r="Y75" s="145"/>
      <c r="Z75" s="145"/>
      <c r="AA75" s="64"/>
      <c r="AB75" s="64"/>
      <c r="AC75" s="64"/>
      <c r="AD75" s="145"/>
      <c r="AE75" s="145"/>
      <c r="AF75" s="145"/>
      <c r="AG75" s="145"/>
      <c r="AH75" s="145"/>
      <c r="AI75" s="145"/>
      <c r="AJ75" s="145"/>
      <c r="AK75" s="145"/>
      <c r="AL75" s="145"/>
      <c r="AM75" s="145"/>
      <c r="AN75" s="145"/>
      <c r="AO75" s="145"/>
      <c r="AP75" s="145"/>
      <c r="AQ75" s="145"/>
      <c r="AR75" s="145"/>
      <c r="AS75" s="145"/>
      <c r="AT75" s="145"/>
      <c r="AU75" s="145"/>
      <c r="AV75" s="145"/>
      <c r="AW75" s="145"/>
      <c r="AX75" s="145"/>
      <c r="AY75" s="62"/>
      <c r="AZ75" s="62"/>
      <c r="BA75" s="67"/>
      <c r="BB75" s="144"/>
      <c r="BC75" s="50"/>
      <c r="BD75" s="51"/>
      <c r="BF75" s="131"/>
      <c r="BG75" s="131"/>
      <c r="BH75" s="131"/>
      <c r="BI75" s="131"/>
      <c r="BJ75" s="131"/>
      <c r="BS75" s="131"/>
      <c r="BT75" s="131"/>
    </row>
    <row r="76" spans="1:72" s="130" customFormat="1" ht="25.5" customHeight="1">
      <c r="A76" s="36"/>
      <c r="B76" s="62"/>
      <c r="C76" s="64"/>
      <c r="D76" s="64"/>
      <c r="E76" s="64"/>
      <c r="F76" s="64"/>
      <c r="G76" s="64"/>
      <c r="H76" s="64"/>
      <c r="I76" s="64"/>
      <c r="J76" s="64"/>
      <c r="K76" s="64"/>
      <c r="L76" s="64"/>
      <c r="M76" s="64"/>
      <c r="N76" s="64"/>
      <c r="O76" s="64"/>
      <c r="P76" s="64"/>
      <c r="Q76" s="64"/>
      <c r="R76" s="64"/>
      <c r="S76" s="145"/>
      <c r="T76" s="145"/>
      <c r="U76" s="145"/>
      <c r="V76" s="145"/>
      <c r="W76" s="64"/>
      <c r="X76" s="64"/>
      <c r="Y76" s="145"/>
      <c r="Z76" s="145"/>
      <c r="AA76" s="64"/>
      <c r="AB76" s="64"/>
      <c r="AC76" s="64"/>
      <c r="AD76" s="145"/>
      <c r="AE76" s="145"/>
      <c r="AF76" s="145"/>
      <c r="AG76" s="145"/>
      <c r="AH76" s="145"/>
      <c r="AI76" s="145"/>
      <c r="AJ76" s="145"/>
      <c r="AK76" s="145"/>
      <c r="AL76" s="145"/>
      <c r="AM76" s="145"/>
      <c r="AN76" s="145"/>
      <c r="AO76" s="145"/>
      <c r="AP76" s="145"/>
      <c r="AQ76" s="145"/>
      <c r="AR76" s="145"/>
      <c r="AS76" s="145"/>
      <c r="AT76" s="145"/>
      <c r="AU76" s="145"/>
      <c r="AV76" s="145"/>
      <c r="AW76" s="145"/>
      <c r="AX76" s="145"/>
      <c r="AY76" s="62"/>
      <c r="AZ76" s="62"/>
      <c r="BA76" s="67"/>
      <c r="BB76" s="144"/>
      <c r="BC76" s="50"/>
      <c r="BD76" s="51"/>
      <c r="BE76" s="131"/>
      <c r="BF76" s="131"/>
      <c r="BG76" s="131"/>
      <c r="BH76" s="131"/>
      <c r="BI76" s="131"/>
      <c r="BJ76" s="131"/>
      <c r="BK76" s="131"/>
      <c r="BL76" s="131"/>
      <c r="BM76" s="131"/>
      <c r="BN76" s="131"/>
      <c r="BO76" s="131"/>
      <c r="BP76" s="131"/>
      <c r="BQ76" s="131"/>
      <c r="BR76" s="131"/>
      <c r="BS76" s="131"/>
      <c r="BT76" s="131"/>
    </row>
    <row r="77" spans="1:72" s="130" customFormat="1" ht="27" customHeight="1">
      <c r="A77" s="36"/>
      <c r="B77" s="62"/>
      <c r="C77" s="64"/>
      <c r="D77" s="64"/>
      <c r="E77" s="64"/>
      <c r="F77" s="64"/>
      <c r="G77" s="64"/>
      <c r="H77" s="64"/>
      <c r="I77" s="64"/>
      <c r="J77" s="64"/>
      <c r="K77" s="64"/>
      <c r="L77" s="64"/>
      <c r="M77" s="64"/>
      <c r="N77" s="64"/>
      <c r="O77" s="64"/>
      <c r="P77" s="64"/>
      <c r="Q77" s="64"/>
      <c r="R77" s="64"/>
      <c r="S77" s="145"/>
      <c r="T77" s="145"/>
      <c r="U77" s="145"/>
      <c r="V77" s="145"/>
      <c r="W77" s="64"/>
      <c r="X77" s="64"/>
      <c r="Y77" s="145"/>
      <c r="Z77" s="145"/>
      <c r="AA77" s="64"/>
      <c r="AB77" s="64"/>
      <c r="AC77" s="64"/>
      <c r="AD77" s="145"/>
      <c r="AE77" s="145"/>
      <c r="AF77" s="145"/>
      <c r="AG77" s="145"/>
      <c r="AH77" s="145"/>
      <c r="AI77" s="145"/>
      <c r="AJ77" s="145"/>
      <c r="AK77" s="145"/>
      <c r="AL77" s="145"/>
      <c r="AM77" s="145"/>
      <c r="AN77" s="145"/>
      <c r="AO77" s="145"/>
      <c r="AP77" s="145"/>
      <c r="AQ77" s="145"/>
      <c r="AR77" s="145"/>
      <c r="AS77" s="145"/>
      <c r="AT77" s="145"/>
      <c r="AU77" s="145"/>
      <c r="AV77" s="145"/>
      <c r="AW77" s="145"/>
      <c r="AX77" s="145"/>
      <c r="AY77" s="62"/>
      <c r="AZ77" s="62"/>
      <c r="BA77" s="67"/>
      <c r="BB77" s="144"/>
      <c r="BC77" s="50"/>
      <c r="BD77" s="51"/>
      <c r="BE77" s="131"/>
      <c r="BK77" s="131"/>
      <c r="BL77" s="131"/>
      <c r="BM77" s="131"/>
      <c r="BN77" s="131"/>
      <c r="BO77" s="131"/>
      <c r="BP77" s="131"/>
      <c r="BQ77" s="131"/>
      <c r="BR77" s="131"/>
      <c r="BS77" s="131"/>
      <c r="BT77" s="131"/>
    </row>
    <row r="78" spans="1:72" s="130" customFormat="1" ht="34.5" customHeight="1">
      <c r="A78" s="36"/>
      <c r="B78" s="62"/>
      <c r="C78" s="64"/>
      <c r="D78" s="64"/>
      <c r="E78" s="64"/>
      <c r="F78" s="64"/>
      <c r="G78" s="64"/>
      <c r="H78" s="64"/>
      <c r="I78" s="64"/>
      <c r="J78" s="64"/>
      <c r="K78" s="64"/>
      <c r="L78" s="64"/>
      <c r="M78" s="64"/>
      <c r="N78" s="64"/>
      <c r="O78" s="64"/>
      <c r="P78" s="64"/>
      <c r="Q78" s="64"/>
      <c r="R78" s="64"/>
      <c r="S78" s="145"/>
      <c r="T78" s="145"/>
      <c r="U78" s="145"/>
      <c r="V78" s="145"/>
      <c r="W78" s="64"/>
      <c r="X78" s="64"/>
      <c r="Y78" s="145"/>
      <c r="Z78" s="145"/>
      <c r="AA78" s="64"/>
      <c r="AB78" s="64"/>
      <c r="AC78" s="64"/>
      <c r="AD78" s="145"/>
      <c r="AE78" s="145"/>
      <c r="AF78" s="145"/>
      <c r="AG78" s="145"/>
      <c r="AH78" s="145"/>
      <c r="AI78" s="145"/>
      <c r="AJ78" s="145"/>
      <c r="AK78" s="145"/>
      <c r="AL78" s="145"/>
      <c r="AM78" s="145"/>
      <c r="AN78" s="145"/>
      <c r="AO78" s="145"/>
      <c r="AP78" s="145"/>
      <c r="AQ78" s="145"/>
      <c r="AR78" s="145"/>
      <c r="AS78" s="145"/>
      <c r="AT78" s="145"/>
      <c r="AU78" s="145"/>
      <c r="AV78" s="145"/>
      <c r="AW78" s="145"/>
      <c r="AX78" s="145"/>
      <c r="AY78" s="62"/>
      <c r="AZ78" s="62"/>
      <c r="BA78" s="67"/>
      <c r="BB78" s="144"/>
      <c r="BC78" s="50"/>
      <c r="BD78" s="51"/>
      <c r="BE78" s="131"/>
      <c r="BK78" s="131"/>
      <c r="BL78" s="131"/>
      <c r="BM78" s="131"/>
      <c r="BN78" s="131"/>
      <c r="BO78" s="131"/>
      <c r="BP78" s="131"/>
      <c r="BQ78" s="131"/>
      <c r="BR78" s="131"/>
      <c r="BS78" s="131"/>
      <c r="BT78" s="131"/>
    </row>
    <row r="79" spans="1:72" s="130" customFormat="1" ht="34.5" customHeight="1">
      <c r="A79" s="36"/>
      <c r="B79" s="62"/>
      <c r="C79" s="64"/>
      <c r="D79" s="64"/>
      <c r="E79" s="64"/>
      <c r="F79" s="64"/>
      <c r="G79" s="64"/>
      <c r="H79" s="64"/>
      <c r="I79" s="64"/>
      <c r="J79" s="64"/>
      <c r="K79" s="64"/>
      <c r="L79" s="64"/>
      <c r="M79" s="64"/>
      <c r="N79" s="64"/>
      <c r="O79" s="64"/>
      <c r="P79" s="64"/>
      <c r="Q79" s="64"/>
      <c r="R79" s="64"/>
      <c r="S79" s="145"/>
      <c r="T79" s="145"/>
      <c r="U79" s="145"/>
      <c r="V79" s="145"/>
      <c r="W79" s="64"/>
      <c r="X79" s="64"/>
      <c r="Y79" s="145"/>
      <c r="Z79" s="145"/>
      <c r="AA79" s="64"/>
      <c r="AB79" s="64"/>
      <c r="AC79" s="64"/>
      <c r="AD79" s="145"/>
      <c r="AE79" s="145"/>
      <c r="AF79" s="145"/>
      <c r="AG79" s="145"/>
      <c r="AH79" s="145"/>
      <c r="AI79" s="145"/>
      <c r="AJ79" s="145"/>
      <c r="AK79" s="145"/>
      <c r="AL79" s="145"/>
      <c r="AM79" s="145"/>
      <c r="AN79" s="145"/>
      <c r="AO79" s="145"/>
      <c r="AP79" s="145"/>
      <c r="AQ79" s="145"/>
      <c r="AR79" s="145"/>
      <c r="AS79" s="145"/>
      <c r="AT79" s="145"/>
      <c r="AU79" s="145"/>
      <c r="AV79" s="145"/>
      <c r="AW79" s="145"/>
      <c r="AX79" s="145"/>
      <c r="AY79" s="62"/>
      <c r="AZ79" s="62"/>
      <c r="BA79" s="67"/>
      <c r="BB79" s="144"/>
      <c r="BC79" s="50"/>
      <c r="BD79" s="51"/>
      <c r="BE79" s="131"/>
      <c r="BK79" s="131"/>
      <c r="BL79" s="131"/>
      <c r="BM79" s="131"/>
      <c r="BN79" s="131"/>
      <c r="BO79" s="131"/>
      <c r="BP79" s="131"/>
      <c r="BQ79" s="131"/>
      <c r="BR79" s="131"/>
      <c r="BS79" s="131"/>
      <c r="BT79" s="131"/>
    </row>
    <row r="80" spans="1:72" s="130" customFormat="1" ht="20.5" customHeight="1">
      <c r="A80" s="36"/>
      <c r="B80" s="62"/>
      <c r="C80" s="64"/>
      <c r="D80" s="64"/>
      <c r="E80" s="64"/>
      <c r="F80" s="64"/>
      <c r="G80" s="64"/>
      <c r="H80" s="64"/>
      <c r="I80" s="64"/>
      <c r="J80" s="64"/>
      <c r="K80" s="64"/>
      <c r="L80" s="64"/>
      <c r="M80" s="64"/>
      <c r="N80" s="64"/>
      <c r="O80" s="64"/>
      <c r="P80" s="64"/>
      <c r="Q80" s="64"/>
      <c r="R80" s="64"/>
      <c r="S80" s="145"/>
      <c r="T80" s="145"/>
      <c r="U80" s="145"/>
      <c r="V80" s="145"/>
      <c r="W80" s="64"/>
      <c r="X80" s="64"/>
      <c r="Y80" s="145"/>
      <c r="Z80" s="145"/>
      <c r="AA80" s="64"/>
      <c r="AB80" s="64"/>
      <c r="AC80" s="64"/>
      <c r="AD80" s="145"/>
      <c r="AE80" s="145"/>
      <c r="AF80" s="145"/>
      <c r="AG80" s="145"/>
      <c r="AH80" s="145"/>
      <c r="AI80" s="145"/>
      <c r="AJ80" s="145"/>
      <c r="AK80" s="145"/>
      <c r="AL80" s="145"/>
      <c r="AM80" s="145"/>
      <c r="AN80" s="145"/>
      <c r="AO80" s="145"/>
      <c r="AP80" s="145"/>
      <c r="AQ80" s="145"/>
      <c r="AR80" s="145"/>
      <c r="AS80" s="145"/>
      <c r="AT80" s="145"/>
      <c r="AU80" s="145"/>
      <c r="AV80" s="145"/>
      <c r="AW80" s="145"/>
      <c r="AX80" s="145"/>
      <c r="AY80" s="62"/>
      <c r="AZ80" s="62"/>
      <c r="BA80" s="67"/>
      <c r="BB80" s="144"/>
      <c r="BC80" s="50"/>
      <c r="BD80" s="51"/>
      <c r="BE80" s="131"/>
      <c r="BK80" s="131"/>
      <c r="BL80" s="131"/>
      <c r="BM80" s="131"/>
      <c r="BN80" s="131"/>
      <c r="BO80" s="131"/>
      <c r="BP80" s="131"/>
      <c r="BQ80" s="131"/>
      <c r="BR80" s="131"/>
      <c r="BS80" s="131"/>
      <c r="BT80" s="131"/>
    </row>
    <row r="81" spans="1:72" s="130" customFormat="1" ht="19.5" customHeight="1">
      <c r="A81" s="36"/>
      <c r="B81" s="62"/>
      <c r="C81" s="64"/>
      <c r="D81" s="64"/>
      <c r="E81" s="64"/>
      <c r="F81" s="64"/>
      <c r="G81" s="64"/>
      <c r="H81" s="64"/>
      <c r="I81" s="64"/>
      <c r="J81" s="64"/>
      <c r="K81" s="64"/>
      <c r="L81" s="64"/>
      <c r="M81" s="64"/>
      <c r="N81" s="64"/>
      <c r="O81" s="64"/>
      <c r="P81" s="64"/>
      <c r="Q81" s="64"/>
      <c r="R81" s="64"/>
      <c r="S81" s="145"/>
      <c r="T81" s="145"/>
      <c r="U81" s="145"/>
      <c r="V81" s="145"/>
      <c r="W81" s="64"/>
      <c r="X81" s="64"/>
      <c r="Y81" s="145"/>
      <c r="Z81" s="145"/>
      <c r="AA81" s="64"/>
      <c r="AB81" s="64"/>
      <c r="AC81" s="64"/>
      <c r="AD81" s="145"/>
      <c r="AE81" s="145"/>
      <c r="AF81" s="145"/>
      <c r="AG81" s="145"/>
      <c r="AH81" s="145"/>
      <c r="AI81" s="145"/>
      <c r="AJ81" s="145"/>
      <c r="AK81" s="145"/>
      <c r="AL81" s="145"/>
      <c r="AM81" s="145"/>
      <c r="AN81" s="145"/>
      <c r="AO81" s="145"/>
      <c r="AP81" s="145"/>
      <c r="AQ81" s="145"/>
      <c r="AR81" s="145"/>
      <c r="AS81" s="145"/>
      <c r="AT81" s="145"/>
      <c r="AU81" s="145"/>
      <c r="AV81" s="145"/>
      <c r="AW81" s="145"/>
      <c r="AX81" s="145"/>
      <c r="AY81" s="62"/>
      <c r="AZ81" s="62"/>
      <c r="BA81" s="67"/>
      <c r="BB81" s="144"/>
      <c r="BC81" s="50"/>
      <c r="BD81" s="51"/>
      <c r="BE81" s="131"/>
      <c r="BK81" s="131"/>
      <c r="BL81" s="131"/>
      <c r="BM81" s="131"/>
      <c r="BN81" s="131"/>
      <c r="BO81" s="131"/>
      <c r="BP81" s="131"/>
      <c r="BQ81" s="131"/>
      <c r="BR81" s="131"/>
      <c r="BS81" s="131"/>
      <c r="BT81" s="131"/>
    </row>
    <row r="82" spans="1:72" s="130" customFormat="1" ht="16.5" customHeight="1">
      <c r="A82" s="36"/>
      <c r="B82" s="62"/>
      <c r="C82" s="64"/>
      <c r="D82" s="64"/>
      <c r="E82" s="64"/>
      <c r="F82" s="64"/>
      <c r="G82" s="64"/>
      <c r="H82" s="64"/>
      <c r="I82" s="64"/>
      <c r="J82" s="64"/>
      <c r="K82" s="64"/>
      <c r="L82" s="64"/>
      <c r="M82" s="64"/>
      <c r="N82" s="64"/>
      <c r="O82" s="64"/>
      <c r="P82" s="64"/>
      <c r="Q82" s="64"/>
      <c r="R82" s="64"/>
      <c r="S82" s="145"/>
      <c r="T82" s="145"/>
      <c r="U82" s="145"/>
      <c r="V82" s="145"/>
      <c r="W82" s="64"/>
      <c r="X82" s="64"/>
      <c r="Y82" s="145"/>
      <c r="Z82" s="145"/>
      <c r="AA82" s="64"/>
      <c r="AB82" s="64"/>
      <c r="AC82" s="64"/>
      <c r="AD82" s="145"/>
      <c r="AE82" s="145"/>
      <c r="AF82" s="145"/>
      <c r="AG82" s="145"/>
      <c r="AH82" s="145"/>
      <c r="AI82" s="145"/>
      <c r="AJ82" s="145"/>
      <c r="AK82" s="145"/>
      <c r="AL82" s="145"/>
      <c r="AM82" s="145"/>
      <c r="AN82" s="145"/>
      <c r="AO82" s="145"/>
      <c r="AP82" s="145"/>
      <c r="AQ82" s="145"/>
      <c r="AR82" s="145"/>
      <c r="AS82" s="145"/>
      <c r="AT82" s="145"/>
      <c r="AU82" s="145"/>
      <c r="AV82" s="145"/>
      <c r="AW82" s="145"/>
      <c r="AX82" s="145"/>
      <c r="AY82" s="62"/>
      <c r="AZ82" s="62"/>
      <c r="BA82" s="67"/>
      <c r="BB82" s="144"/>
      <c r="BC82" s="50"/>
      <c r="BD82" s="51"/>
    </row>
    <row r="83" spans="1:72" s="130" customFormat="1" ht="16.5" customHeight="1">
      <c r="A83" s="36"/>
      <c r="B83" s="62"/>
      <c r="C83" s="64"/>
      <c r="D83" s="64"/>
      <c r="E83" s="64"/>
      <c r="F83" s="64"/>
      <c r="G83" s="64"/>
      <c r="H83" s="64"/>
      <c r="I83" s="64"/>
      <c r="J83" s="64"/>
      <c r="K83" s="64"/>
      <c r="L83" s="64"/>
      <c r="M83" s="64"/>
      <c r="N83" s="64"/>
      <c r="O83" s="64"/>
      <c r="P83" s="64"/>
      <c r="Q83" s="64"/>
      <c r="R83" s="64"/>
      <c r="S83" s="145"/>
      <c r="T83" s="145"/>
      <c r="U83" s="145"/>
      <c r="V83" s="145"/>
      <c r="W83" s="64"/>
      <c r="X83" s="64"/>
      <c r="Y83" s="145"/>
      <c r="Z83" s="145"/>
      <c r="AA83" s="64"/>
      <c r="AB83" s="64"/>
      <c r="AC83" s="64"/>
      <c r="AD83" s="145"/>
      <c r="AE83" s="145"/>
      <c r="AF83" s="145"/>
      <c r="AG83" s="145"/>
      <c r="AH83" s="145"/>
      <c r="AI83" s="145"/>
      <c r="AJ83" s="145"/>
      <c r="AK83" s="145"/>
      <c r="AL83" s="145"/>
      <c r="AM83" s="145"/>
      <c r="AN83" s="145"/>
      <c r="AO83" s="145"/>
      <c r="AP83" s="145"/>
      <c r="AQ83" s="145"/>
      <c r="AR83" s="145"/>
      <c r="AS83" s="145"/>
      <c r="AT83" s="145"/>
      <c r="AU83" s="145"/>
      <c r="AV83" s="145"/>
      <c r="AW83" s="145"/>
      <c r="AX83" s="145"/>
      <c r="AY83" s="62"/>
      <c r="AZ83" s="62"/>
      <c r="BA83" s="67"/>
      <c r="BB83" s="144"/>
      <c r="BC83" s="50"/>
      <c r="BD83" s="51"/>
    </row>
    <row r="84" spans="1:72" s="130" customFormat="1" ht="16.5" customHeight="1">
      <c r="A84" s="36"/>
      <c r="B84" s="62"/>
      <c r="C84" s="64"/>
      <c r="D84" s="64"/>
      <c r="E84" s="64"/>
      <c r="F84" s="64"/>
      <c r="G84" s="64"/>
      <c r="H84" s="64"/>
      <c r="I84" s="64"/>
      <c r="J84" s="64"/>
      <c r="K84" s="64"/>
      <c r="L84" s="64"/>
      <c r="M84" s="64"/>
      <c r="N84" s="64"/>
      <c r="O84" s="64"/>
      <c r="P84" s="64"/>
      <c r="Q84" s="64"/>
      <c r="R84" s="64"/>
      <c r="S84" s="145"/>
      <c r="T84" s="145"/>
      <c r="U84" s="145"/>
      <c r="V84" s="145"/>
      <c r="W84" s="64"/>
      <c r="X84" s="64"/>
      <c r="Y84" s="145"/>
      <c r="Z84" s="145"/>
      <c r="AA84" s="64"/>
      <c r="AB84" s="64"/>
      <c r="AC84" s="64"/>
      <c r="AD84" s="145"/>
      <c r="AE84" s="145"/>
      <c r="AF84" s="145"/>
      <c r="AG84" s="145"/>
      <c r="AH84" s="145"/>
      <c r="AI84" s="145"/>
      <c r="AJ84" s="145"/>
      <c r="AK84" s="145"/>
      <c r="AL84" s="145"/>
      <c r="AM84" s="145"/>
      <c r="AN84" s="145"/>
      <c r="AO84" s="145"/>
      <c r="AP84" s="145"/>
      <c r="AQ84" s="145"/>
      <c r="AR84" s="145"/>
      <c r="AS84" s="145"/>
      <c r="AT84" s="145"/>
      <c r="AU84" s="145"/>
      <c r="AV84" s="145"/>
      <c r="AW84" s="145"/>
      <c r="AX84" s="145"/>
      <c r="AY84" s="62"/>
      <c r="AZ84" s="62"/>
      <c r="BA84" s="67"/>
      <c r="BB84" s="144"/>
      <c r="BC84" s="50"/>
      <c r="BD84" s="51"/>
    </row>
    <row r="85" spans="1:72" s="130" customFormat="1" ht="15">
      <c r="A85" s="52"/>
      <c r="B85" s="136"/>
      <c r="C85" s="137"/>
      <c r="D85" s="137"/>
      <c r="E85" s="137"/>
      <c r="F85" s="137"/>
      <c r="G85" s="137"/>
      <c r="H85" s="137"/>
      <c r="I85" s="137"/>
      <c r="J85" s="137"/>
      <c r="K85" s="137"/>
      <c r="L85" s="137"/>
      <c r="M85" s="137"/>
      <c r="N85" s="137"/>
      <c r="O85" s="137"/>
      <c r="P85" s="137"/>
      <c r="Q85" s="137"/>
      <c r="R85" s="137"/>
      <c r="S85" s="138"/>
      <c r="T85" s="138"/>
      <c r="U85" s="138"/>
      <c r="V85" s="138"/>
      <c r="W85" s="137"/>
      <c r="X85" s="137"/>
      <c r="Y85" s="138"/>
      <c r="Z85" s="138"/>
      <c r="AA85" s="137"/>
      <c r="AB85" s="137"/>
      <c r="AC85" s="137"/>
      <c r="AD85" s="138"/>
      <c r="AE85" s="138"/>
      <c r="AF85" s="138"/>
      <c r="AG85" s="138"/>
      <c r="AH85" s="138"/>
      <c r="AI85" s="138"/>
      <c r="AJ85" s="138"/>
      <c r="AK85" s="138"/>
      <c r="AL85" s="138"/>
      <c r="AM85" s="138"/>
      <c r="AN85" s="138"/>
      <c r="AO85" s="138"/>
      <c r="AP85" s="138"/>
      <c r="AQ85" s="138"/>
      <c r="AR85" s="138"/>
      <c r="AS85" s="138"/>
      <c r="AT85" s="138"/>
      <c r="AU85" s="138"/>
      <c r="AV85" s="138"/>
      <c r="AW85" s="138"/>
      <c r="AX85" s="138"/>
      <c r="AY85" s="136"/>
      <c r="AZ85" s="136"/>
      <c r="BA85" s="77"/>
      <c r="BB85" s="175"/>
      <c r="BC85" s="53"/>
      <c r="BD85" s="51"/>
    </row>
    <row r="86" spans="1:72" s="130" customFormat="1" ht="15">
      <c r="A86" s="35"/>
      <c r="B86" s="35"/>
      <c r="C86" s="35"/>
      <c r="D86" s="35"/>
      <c r="E86" s="35"/>
      <c r="F86" s="35"/>
      <c r="G86" s="35"/>
      <c r="H86" s="35"/>
      <c r="I86" s="35"/>
      <c r="J86" s="35"/>
      <c r="K86" s="35"/>
      <c r="L86" s="35"/>
      <c r="M86" s="35"/>
      <c r="N86" s="35"/>
      <c r="O86" s="35"/>
      <c r="P86" s="35"/>
      <c r="Q86" s="35"/>
      <c r="R86" s="35"/>
      <c r="S86" s="54"/>
      <c r="T86" s="54"/>
      <c r="U86" s="54"/>
      <c r="V86" s="54"/>
      <c r="W86" s="35"/>
      <c r="X86" s="35"/>
      <c r="Y86" s="54"/>
      <c r="Z86" s="54"/>
      <c r="AA86" s="35"/>
      <c r="AB86" s="35"/>
      <c r="AC86" s="35"/>
      <c r="AD86" s="54"/>
      <c r="AE86" s="54"/>
      <c r="AF86" s="54"/>
      <c r="AG86" s="54"/>
      <c r="AH86" s="54"/>
      <c r="AI86" s="54"/>
      <c r="AJ86" s="54"/>
      <c r="AK86" s="54"/>
      <c r="AL86" s="54"/>
      <c r="AM86" s="54"/>
      <c r="AN86" s="54"/>
      <c r="AO86" s="54"/>
      <c r="AP86" s="54"/>
      <c r="AQ86" s="54"/>
      <c r="AR86" s="54"/>
      <c r="AS86" s="54"/>
      <c r="AT86" s="54"/>
      <c r="AU86" s="54"/>
      <c r="AV86" s="54"/>
      <c r="AW86" s="54"/>
      <c r="AX86" s="54"/>
      <c r="AY86" s="54"/>
      <c r="AZ86" s="54"/>
      <c r="BA86" s="54"/>
      <c r="BB86" s="54"/>
      <c r="BC86" s="54"/>
      <c r="BD86" s="51"/>
    </row>
    <row r="87" spans="1:72" s="130" customFormat="1" ht="15">
      <c r="A87" s="35"/>
      <c r="B87" s="35"/>
      <c r="C87" s="35"/>
      <c r="D87" s="35"/>
      <c r="E87" s="35"/>
      <c r="F87" s="35"/>
      <c r="G87" s="35"/>
      <c r="H87" s="35"/>
      <c r="I87" s="35"/>
      <c r="J87" s="35"/>
      <c r="K87" s="35"/>
      <c r="L87" s="35"/>
      <c r="M87" s="35"/>
      <c r="N87" s="35"/>
      <c r="O87" s="35"/>
      <c r="P87" s="35"/>
      <c r="Q87" s="35"/>
      <c r="R87" s="35"/>
      <c r="S87" s="54"/>
      <c r="T87" s="54"/>
      <c r="U87" s="54"/>
      <c r="V87" s="54"/>
      <c r="W87" s="35"/>
      <c r="X87" s="35"/>
      <c r="Y87" s="54"/>
      <c r="Z87" s="54"/>
      <c r="AA87" s="35"/>
      <c r="AB87" s="35"/>
      <c r="AC87" s="35"/>
      <c r="AD87" s="54"/>
      <c r="AE87" s="54"/>
      <c r="AF87" s="54"/>
      <c r="AG87" s="54"/>
      <c r="AH87" s="54"/>
      <c r="AI87" s="54"/>
      <c r="AJ87" s="54"/>
      <c r="AK87" s="54"/>
      <c r="AL87" s="54"/>
      <c r="AM87" s="54"/>
      <c r="AN87" s="54"/>
      <c r="AO87" s="54"/>
      <c r="AP87" s="54"/>
      <c r="AQ87" s="54"/>
      <c r="AR87" s="54"/>
      <c r="AS87" s="54"/>
      <c r="AT87" s="54"/>
      <c r="AU87" s="54"/>
      <c r="AV87" s="54"/>
      <c r="AW87" s="54"/>
      <c r="AX87" s="54"/>
      <c r="AY87" s="54"/>
      <c r="AZ87" s="54"/>
      <c r="BA87" s="54"/>
      <c r="BB87" s="54"/>
      <c r="BC87" s="54"/>
      <c r="BD87" s="51"/>
    </row>
    <row r="88" spans="1:72" s="130" customFormat="1" ht="15">
      <c r="A88" s="35"/>
      <c r="B88" s="35"/>
      <c r="C88" s="35"/>
      <c r="D88" s="35"/>
      <c r="E88" s="35"/>
      <c r="F88" s="35"/>
      <c r="G88" s="35"/>
      <c r="H88" s="35"/>
      <c r="I88" s="35"/>
      <c r="J88" s="35"/>
      <c r="K88" s="35"/>
      <c r="L88" s="35"/>
      <c r="M88" s="35"/>
      <c r="N88" s="35"/>
      <c r="O88" s="35"/>
      <c r="P88" s="35"/>
      <c r="Q88" s="35"/>
      <c r="R88" s="35"/>
      <c r="S88" s="54"/>
      <c r="T88" s="54"/>
      <c r="U88" s="54"/>
      <c r="V88" s="54"/>
      <c r="W88" s="35"/>
      <c r="X88" s="35"/>
      <c r="Y88" s="54"/>
      <c r="Z88" s="54"/>
      <c r="AA88" s="35"/>
      <c r="AB88" s="35"/>
      <c r="AC88" s="35"/>
      <c r="AD88" s="54"/>
      <c r="AE88" s="54"/>
      <c r="AF88" s="54"/>
      <c r="AG88" s="54"/>
      <c r="AH88" s="54"/>
      <c r="AI88" s="54"/>
      <c r="AJ88" s="54"/>
      <c r="AK88" s="54"/>
      <c r="AL88" s="54"/>
      <c r="AM88" s="54"/>
      <c r="AN88" s="54"/>
      <c r="AO88" s="54"/>
      <c r="AP88" s="54"/>
      <c r="AQ88" s="54"/>
      <c r="AR88" s="54"/>
      <c r="AS88" s="54"/>
      <c r="AT88" s="54"/>
      <c r="AU88" s="54"/>
      <c r="AV88" s="54"/>
      <c r="AW88" s="54"/>
      <c r="AX88" s="54"/>
      <c r="AY88" s="54"/>
      <c r="AZ88" s="54"/>
      <c r="BA88" s="54"/>
      <c r="BB88" s="54"/>
      <c r="BC88" s="54"/>
      <c r="BD88" s="51"/>
    </row>
    <row r="89" spans="1:72" s="130" customFormat="1" ht="15">
      <c r="A89" s="35"/>
      <c r="B89" s="35"/>
      <c r="C89" s="35"/>
      <c r="D89" s="35"/>
      <c r="E89" s="35"/>
      <c r="F89" s="35"/>
      <c r="G89" s="35"/>
      <c r="H89" s="35"/>
      <c r="I89" s="35"/>
      <c r="J89" s="35"/>
      <c r="K89" s="35"/>
      <c r="L89" s="35"/>
      <c r="M89" s="35"/>
      <c r="N89" s="35"/>
      <c r="O89" s="35"/>
      <c r="P89" s="35"/>
      <c r="Q89" s="35"/>
      <c r="R89" s="35"/>
      <c r="S89" s="54"/>
      <c r="T89" s="54"/>
      <c r="U89" s="54"/>
      <c r="V89" s="54"/>
      <c r="W89" s="35"/>
      <c r="X89" s="35"/>
      <c r="Y89" s="54"/>
      <c r="Z89" s="54"/>
      <c r="AA89" s="35"/>
      <c r="AB89" s="35"/>
      <c r="AC89" s="35"/>
      <c r="AD89" s="54"/>
      <c r="AE89" s="54"/>
      <c r="AF89" s="54"/>
      <c r="AG89" s="54"/>
      <c r="AH89" s="54"/>
      <c r="AI89" s="54"/>
      <c r="AJ89" s="54"/>
      <c r="AK89" s="54"/>
      <c r="AL89" s="54"/>
      <c r="AM89" s="54"/>
      <c r="AN89" s="54"/>
      <c r="AO89" s="54"/>
      <c r="AP89" s="54"/>
      <c r="AQ89" s="54"/>
      <c r="AR89" s="54"/>
      <c r="AS89" s="54"/>
      <c r="AT89" s="54"/>
      <c r="AU89" s="54"/>
      <c r="AV89" s="54"/>
      <c r="AW89" s="54"/>
      <c r="AX89" s="54"/>
      <c r="AY89" s="54"/>
      <c r="AZ89" s="54"/>
      <c r="BA89" s="54"/>
      <c r="BB89" s="54"/>
      <c r="BC89" s="54"/>
      <c r="BD89" s="51"/>
    </row>
    <row r="90" spans="1:72" s="130" customFormat="1" ht="15">
      <c r="A90" s="35"/>
      <c r="B90" s="35"/>
      <c r="C90" s="35"/>
      <c r="D90" s="35"/>
      <c r="E90" s="35"/>
      <c r="F90" s="35"/>
      <c r="G90" s="35"/>
      <c r="H90" s="35"/>
      <c r="I90" s="35"/>
      <c r="J90" s="35"/>
      <c r="K90" s="35"/>
      <c r="L90" s="35"/>
      <c r="M90" s="35"/>
      <c r="N90" s="35"/>
      <c r="O90" s="35"/>
      <c r="P90" s="35"/>
      <c r="Q90" s="35"/>
      <c r="R90" s="35"/>
      <c r="S90" s="54"/>
      <c r="T90" s="54"/>
      <c r="U90" s="54"/>
      <c r="V90" s="54"/>
      <c r="W90" s="35"/>
      <c r="X90" s="35"/>
      <c r="Y90" s="54"/>
      <c r="Z90" s="54"/>
      <c r="AA90" s="35"/>
      <c r="AB90" s="35"/>
      <c r="AC90" s="35"/>
      <c r="AD90" s="54"/>
      <c r="AE90" s="54"/>
      <c r="AF90" s="54"/>
      <c r="AG90" s="54"/>
      <c r="AH90" s="54"/>
      <c r="AI90" s="54"/>
      <c r="AJ90" s="54"/>
      <c r="AK90" s="54"/>
      <c r="AL90" s="54"/>
      <c r="AM90" s="54"/>
      <c r="AN90" s="54"/>
      <c r="AO90" s="54"/>
      <c r="AP90" s="54"/>
      <c r="AQ90" s="54"/>
      <c r="AR90" s="54"/>
      <c r="AS90" s="54"/>
      <c r="AT90" s="54"/>
      <c r="AU90" s="54"/>
      <c r="AV90" s="54"/>
      <c r="AW90" s="54"/>
      <c r="AX90" s="54"/>
      <c r="AY90" s="54"/>
      <c r="AZ90" s="54"/>
      <c r="BA90" s="54"/>
      <c r="BB90" s="54"/>
      <c r="BC90" s="54"/>
      <c r="BD90" s="51"/>
    </row>
    <row r="91" spans="1:72" s="130" customFormat="1" ht="15">
      <c r="A91" s="35"/>
      <c r="B91" s="35"/>
      <c r="C91" s="35"/>
      <c r="D91" s="35"/>
      <c r="E91" s="35"/>
      <c r="F91" s="35"/>
      <c r="G91" s="35"/>
      <c r="H91" s="35"/>
      <c r="I91" s="35"/>
      <c r="J91" s="35"/>
      <c r="K91" s="35"/>
      <c r="L91" s="35"/>
      <c r="M91" s="35"/>
      <c r="N91" s="35"/>
      <c r="O91" s="35"/>
      <c r="P91" s="35"/>
      <c r="Q91" s="35"/>
      <c r="R91" s="35"/>
      <c r="S91" s="54"/>
      <c r="T91" s="54"/>
      <c r="U91" s="54"/>
      <c r="V91" s="54"/>
      <c r="W91" s="35"/>
      <c r="X91" s="35"/>
      <c r="Y91" s="54"/>
      <c r="Z91" s="54"/>
      <c r="AA91" s="35"/>
      <c r="AB91" s="35"/>
      <c r="AC91" s="35"/>
      <c r="AD91" s="54"/>
      <c r="AE91" s="54"/>
      <c r="AF91" s="54"/>
      <c r="AG91" s="54"/>
      <c r="AH91" s="54"/>
      <c r="AI91" s="54"/>
      <c r="AJ91" s="54"/>
      <c r="AK91" s="54"/>
      <c r="AL91" s="54"/>
      <c r="AM91" s="54"/>
      <c r="AN91" s="54"/>
      <c r="AO91" s="54"/>
      <c r="AP91" s="54"/>
      <c r="AQ91" s="54"/>
      <c r="AR91" s="54"/>
      <c r="AS91" s="54"/>
      <c r="AT91" s="54"/>
      <c r="AU91" s="54"/>
      <c r="AV91" s="54"/>
      <c r="AW91" s="54"/>
      <c r="AX91" s="54"/>
      <c r="AY91" s="54"/>
      <c r="AZ91" s="54"/>
      <c r="BA91" s="54"/>
      <c r="BB91" s="54"/>
      <c r="BC91" s="54"/>
      <c r="BD91" s="51"/>
    </row>
    <row r="92" spans="1:72" s="130" customFormat="1" ht="15">
      <c r="A92" s="35"/>
      <c r="B92" s="35"/>
      <c r="C92" s="35"/>
      <c r="D92" s="35"/>
      <c r="E92" s="35"/>
      <c r="F92" s="35"/>
      <c r="G92" s="35"/>
      <c r="H92" s="35"/>
      <c r="I92" s="35"/>
      <c r="J92" s="35"/>
      <c r="K92" s="35"/>
      <c r="L92" s="35"/>
      <c r="M92" s="35"/>
      <c r="N92" s="35"/>
      <c r="O92" s="35"/>
      <c r="P92" s="35"/>
      <c r="Q92" s="35"/>
      <c r="R92" s="35"/>
      <c r="S92" s="54"/>
      <c r="T92" s="54"/>
      <c r="U92" s="54"/>
      <c r="V92" s="54"/>
      <c r="W92" s="35"/>
      <c r="X92" s="35"/>
      <c r="Y92" s="54"/>
      <c r="Z92" s="54"/>
      <c r="AA92" s="35"/>
      <c r="AB92" s="35"/>
      <c r="AC92" s="35"/>
      <c r="AD92" s="54"/>
      <c r="AE92" s="54"/>
      <c r="AF92" s="54"/>
      <c r="AG92" s="54"/>
      <c r="AH92" s="54"/>
      <c r="AI92" s="54"/>
      <c r="AJ92" s="54"/>
      <c r="AK92" s="54"/>
      <c r="AL92" s="54"/>
      <c r="AM92" s="54"/>
      <c r="AN92" s="54"/>
      <c r="AO92" s="54"/>
      <c r="AP92" s="54"/>
      <c r="AQ92" s="54"/>
      <c r="AR92" s="54"/>
      <c r="AS92" s="54"/>
      <c r="AT92" s="54"/>
      <c r="AU92" s="54"/>
      <c r="AV92" s="54"/>
      <c r="AW92" s="54"/>
      <c r="AX92" s="54"/>
      <c r="AY92" s="54"/>
      <c r="AZ92" s="54"/>
      <c r="BA92" s="54"/>
      <c r="BB92" s="54"/>
      <c r="BC92" s="54"/>
      <c r="BD92" s="51"/>
    </row>
    <row r="93" spans="1:72" s="130" customFormat="1" ht="15">
      <c r="A93" s="35"/>
      <c r="B93" s="35"/>
      <c r="C93" s="35"/>
      <c r="D93" s="35"/>
      <c r="E93" s="35"/>
      <c r="F93" s="35"/>
      <c r="G93" s="35"/>
      <c r="H93" s="35"/>
      <c r="I93" s="35"/>
      <c r="J93" s="35"/>
      <c r="K93" s="35"/>
      <c r="L93" s="35"/>
      <c r="M93" s="35"/>
      <c r="N93" s="35"/>
      <c r="O93" s="35"/>
      <c r="P93" s="35"/>
      <c r="Q93" s="35"/>
      <c r="R93" s="35"/>
      <c r="S93" s="54"/>
      <c r="T93" s="54"/>
      <c r="U93" s="54"/>
      <c r="V93" s="54"/>
      <c r="W93" s="35"/>
      <c r="X93" s="35"/>
      <c r="Y93" s="54"/>
      <c r="Z93" s="54"/>
      <c r="AA93" s="35"/>
      <c r="AB93" s="35"/>
      <c r="AC93" s="35"/>
      <c r="AD93" s="54"/>
      <c r="AE93" s="54"/>
      <c r="AF93" s="54"/>
      <c r="AG93" s="54"/>
      <c r="AH93" s="54"/>
      <c r="AI93" s="54"/>
      <c r="AJ93" s="54"/>
      <c r="AK93" s="54"/>
      <c r="AL93" s="54"/>
      <c r="AM93" s="54"/>
      <c r="AN93" s="54"/>
      <c r="AO93" s="54"/>
      <c r="AP93" s="54"/>
      <c r="AQ93" s="54"/>
      <c r="AR93" s="54"/>
      <c r="AS93" s="54"/>
      <c r="AT93" s="54"/>
      <c r="AU93" s="54"/>
      <c r="AV93" s="54"/>
      <c r="AW93" s="54"/>
      <c r="AX93" s="54"/>
      <c r="AY93" s="54"/>
      <c r="AZ93" s="54"/>
      <c r="BA93" s="54"/>
      <c r="BB93" s="54"/>
      <c r="BC93" s="54"/>
      <c r="BD93" s="51"/>
    </row>
    <row r="94" spans="1:72" s="130" customFormat="1" ht="15">
      <c r="A94" s="35"/>
      <c r="B94" s="35"/>
      <c r="C94" s="35"/>
      <c r="D94" s="35"/>
      <c r="E94" s="35"/>
      <c r="F94" s="35"/>
      <c r="G94" s="35"/>
      <c r="H94" s="35"/>
      <c r="I94" s="35"/>
      <c r="J94" s="35"/>
      <c r="K94" s="35"/>
      <c r="L94" s="35"/>
      <c r="M94" s="35"/>
      <c r="N94" s="35"/>
      <c r="O94" s="35"/>
      <c r="P94" s="35"/>
      <c r="Q94" s="35"/>
      <c r="R94" s="35"/>
      <c r="S94" s="54"/>
      <c r="T94" s="54"/>
      <c r="U94" s="54"/>
      <c r="V94" s="54"/>
      <c r="W94" s="35"/>
      <c r="X94" s="35"/>
      <c r="Y94" s="54"/>
      <c r="Z94" s="54"/>
      <c r="AA94" s="35"/>
      <c r="AB94" s="35"/>
      <c r="AC94" s="35"/>
      <c r="AD94" s="54"/>
      <c r="AE94" s="54"/>
      <c r="AF94" s="54"/>
      <c r="AG94" s="54"/>
      <c r="AH94" s="54"/>
      <c r="AI94" s="54"/>
      <c r="AJ94" s="54"/>
      <c r="AK94" s="54"/>
      <c r="AL94" s="54"/>
      <c r="AM94" s="54"/>
      <c r="AN94" s="54"/>
      <c r="AO94" s="54"/>
      <c r="AP94" s="54"/>
      <c r="AQ94" s="54"/>
      <c r="AR94" s="54"/>
      <c r="AS94" s="54"/>
      <c r="AT94" s="54"/>
      <c r="AU94" s="54"/>
      <c r="AV94" s="54"/>
      <c r="AW94" s="54"/>
      <c r="AX94" s="54"/>
      <c r="AY94" s="54"/>
      <c r="AZ94" s="54"/>
      <c r="BA94" s="54"/>
      <c r="BB94" s="54"/>
      <c r="BC94" s="54"/>
      <c r="BD94" s="51"/>
    </row>
    <row r="95" spans="1:72" s="130" customFormat="1" ht="15">
      <c r="A95" s="35"/>
      <c r="B95" s="35"/>
      <c r="C95" s="35"/>
      <c r="D95" s="35"/>
      <c r="E95" s="35"/>
      <c r="F95" s="35"/>
      <c r="G95" s="35"/>
      <c r="H95" s="35"/>
      <c r="I95" s="35"/>
      <c r="J95" s="35"/>
      <c r="K95" s="35"/>
      <c r="L95" s="35"/>
      <c r="M95" s="35"/>
      <c r="N95" s="35"/>
      <c r="O95" s="35"/>
      <c r="P95" s="35"/>
      <c r="Q95" s="35"/>
      <c r="R95" s="35"/>
      <c r="S95" s="54"/>
      <c r="T95" s="54"/>
      <c r="U95" s="54"/>
      <c r="V95" s="54"/>
      <c r="W95" s="35"/>
      <c r="X95" s="35"/>
      <c r="Y95" s="54"/>
      <c r="Z95" s="54"/>
      <c r="AA95" s="35"/>
      <c r="AB95" s="35"/>
      <c r="AC95" s="35"/>
      <c r="AD95" s="54"/>
      <c r="AE95" s="54"/>
      <c r="AF95" s="54"/>
      <c r="AG95" s="54"/>
      <c r="AH95" s="54"/>
      <c r="AI95" s="54"/>
      <c r="AJ95" s="54"/>
      <c r="AK95" s="54"/>
      <c r="AL95" s="54"/>
      <c r="AM95" s="54"/>
      <c r="AN95" s="54"/>
      <c r="AO95" s="54"/>
      <c r="AP95" s="54"/>
      <c r="AQ95" s="54"/>
      <c r="AR95" s="54"/>
      <c r="AS95" s="54"/>
      <c r="AT95" s="54"/>
      <c r="AU95" s="54"/>
      <c r="AV95" s="54"/>
      <c r="AW95" s="54"/>
      <c r="AX95" s="54"/>
      <c r="AY95" s="54"/>
      <c r="AZ95" s="54"/>
      <c r="BA95" s="54"/>
      <c r="BB95" s="54"/>
      <c r="BC95" s="54"/>
      <c r="BD95" s="51"/>
    </row>
    <row r="96" spans="1:72" s="130" customFormat="1" ht="15">
      <c r="A96" s="35"/>
      <c r="B96" s="35"/>
      <c r="C96" s="35"/>
      <c r="D96" s="35"/>
      <c r="E96" s="35"/>
      <c r="F96" s="35"/>
      <c r="G96" s="35"/>
      <c r="H96" s="35"/>
      <c r="I96" s="35"/>
      <c r="J96" s="35"/>
      <c r="K96" s="35"/>
      <c r="L96" s="35"/>
      <c r="M96" s="35"/>
      <c r="N96" s="35"/>
      <c r="O96" s="35"/>
      <c r="P96" s="35"/>
      <c r="Q96" s="35"/>
      <c r="R96" s="35"/>
      <c r="S96" s="54"/>
      <c r="T96" s="54"/>
      <c r="U96" s="54"/>
      <c r="V96" s="54"/>
      <c r="W96" s="35"/>
      <c r="X96" s="35"/>
      <c r="Y96" s="54"/>
      <c r="Z96" s="54"/>
      <c r="AA96" s="35"/>
      <c r="AB96" s="35"/>
      <c r="AC96" s="35"/>
      <c r="AD96" s="54"/>
      <c r="AE96" s="54"/>
      <c r="AF96" s="54"/>
      <c r="AG96" s="54"/>
      <c r="AH96" s="54"/>
      <c r="AI96" s="54"/>
      <c r="AJ96" s="54"/>
      <c r="AK96" s="54"/>
      <c r="AL96" s="54"/>
      <c r="AM96" s="54"/>
      <c r="AN96" s="54"/>
      <c r="AO96" s="54"/>
      <c r="AP96" s="54"/>
      <c r="AQ96" s="54"/>
      <c r="AR96" s="54"/>
      <c r="AS96" s="54"/>
      <c r="AT96" s="54"/>
      <c r="AU96" s="54"/>
      <c r="AV96" s="54"/>
      <c r="AW96" s="54"/>
      <c r="AX96" s="54"/>
      <c r="AY96" s="54"/>
      <c r="AZ96" s="54"/>
      <c r="BA96" s="54"/>
      <c r="BB96" s="54"/>
      <c r="BC96" s="54"/>
      <c r="BD96" s="51"/>
    </row>
    <row r="97" spans="1:72" s="130" customFormat="1" ht="15">
      <c r="A97" s="35"/>
      <c r="B97" s="35"/>
      <c r="C97" s="35"/>
      <c r="D97" s="35"/>
      <c r="E97" s="35"/>
      <c r="F97" s="35"/>
      <c r="G97" s="35"/>
      <c r="H97" s="35"/>
      <c r="I97" s="35"/>
      <c r="J97" s="35"/>
      <c r="K97" s="35"/>
      <c r="L97" s="35"/>
      <c r="M97" s="35"/>
      <c r="N97" s="35"/>
      <c r="O97" s="35"/>
      <c r="P97" s="35"/>
      <c r="Q97" s="35"/>
      <c r="R97" s="35"/>
      <c r="S97" s="54"/>
      <c r="T97" s="54"/>
      <c r="U97" s="54"/>
      <c r="V97" s="54"/>
      <c r="W97" s="35"/>
      <c r="X97" s="35"/>
      <c r="Y97" s="54"/>
      <c r="Z97" s="54"/>
      <c r="AA97" s="35"/>
      <c r="AB97" s="35"/>
      <c r="AC97" s="35"/>
      <c r="AD97" s="54"/>
      <c r="AE97" s="54"/>
      <c r="AF97" s="54"/>
      <c r="AG97" s="54"/>
      <c r="AH97" s="54"/>
      <c r="AI97" s="54"/>
      <c r="AJ97" s="54"/>
      <c r="AK97" s="54"/>
      <c r="AL97" s="54"/>
      <c r="AM97" s="54"/>
      <c r="AN97" s="54"/>
      <c r="AO97" s="54"/>
      <c r="AP97" s="54"/>
      <c r="AQ97" s="54"/>
      <c r="AR97" s="54"/>
      <c r="AS97" s="54"/>
      <c r="AT97" s="54"/>
      <c r="AU97" s="54"/>
      <c r="AV97" s="54"/>
      <c r="AW97" s="54"/>
      <c r="AX97" s="54"/>
      <c r="AY97" s="54"/>
      <c r="AZ97" s="54"/>
      <c r="BA97" s="54"/>
      <c r="BB97" s="54"/>
      <c r="BC97" s="54"/>
      <c r="BD97" s="51"/>
    </row>
    <row r="98" spans="1:72" s="130" customFormat="1" ht="15">
      <c r="A98" s="35"/>
      <c r="B98" s="35"/>
      <c r="C98" s="35"/>
      <c r="D98" s="35"/>
      <c r="E98" s="35"/>
      <c r="F98" s="35"/>
      <c r="G98" s="35"/>
      <c r="H98" s="35"/>
      <c r="I98" s="35"/>
      <c r="J98" s="35"/>
      <c r="K98" s="35"/>
      <c r="L98" s="35"/>
      <c r="M98" s="35"/>
      <c r="N98" s="35"/>
      <c r="O98" s="35"/>
      <c r="P98" s="35"/>
      <c r="Q98" s="35"/>
      <c r="R98" s="35"/>
      <c r="S98" s="54"/>
      <c r="T98" s="54"/>
      <c r="U98" s="54"/>
      <c r="V98" s="54"/>
      <c r="W98" s="35"/>
      <c r="X98" s="35"/>
      <c r="Y98" s="54"/>
      <c r="Z98" s="54"/>
      <c r="AA98" s="35"/>
      <c r="AB98" s="35"/>
      <c r="AC98" s="35"/>
      <c r="AD98" s="54"/>
      <c r="AE98" s="54"/>
      <c r="AF98" s="54"/>
      <c r="AG98" s="54"/>
      <c r="AH98" s="54"/>
      <c r="AI98" s="54"/>
      <c r="AJ98" s="54"/>
      <c r="AK98" s="54"/>
      <c r="AL98" s="54"/>
      <c r="AM98" s="54"/>
      <c r="AN98" s="54"/>
      <c r="AO98" s="54"/>
      <c r="AP98" s="54"/>
      <c r="AQ98" s="54"/>
      <c r="AR98" s="54"/>
      <c r="AS98" s="54"/>
      <c r="AT98" s="54"/>
      <c r="AU98" s="54"/>
      <c r="AV98" s="54"/>
      <c r="AW98" s="54"/>
      <c r="AX98" s="54"/>
      <c r="AY98" s="54"/>
      <c r="AZ98" s="54"/>
      <c r="BA98" s="54"/>
      <c r="BB98" s="54"/>
      <c r="BC98" s="54"/>
      <c r="BD98" s="51"/>
      <c r="BE98" s="131"/>
      <c r="BF98" s="131"/>
      <c r="BG98" s="131"/>
      <c r="BH98" s="131"/>
      <c r="BI98" s="131"/>
      <c r="BJ98" s="131"/>
      <c r="BK98" s="131"/>
      <c r="BL98" s="131"/>
      <c r="BM98" s="131"/>
      <c r="BN98" s="131"/>
      <c r="BO98" s="131"/>
      <c r="BP98" s="131"/>
      <c r="BQ98" s="131"/>
      <c r="BR98" s="131"/>
      <c r="BS98" s="131"/>
      <c r="BT98" s="131"/>
    </row>
    <row r="99" spans="1:72" s="130" customFormat="1" ht="15">
      <c r="A99" s="35"/>
      <c r="B99" s="35"/>
      <c r="C99" s="35"/>
      <c r="D99" s="35"/>
      <c r="E99" s="35"/>
      <c r="F99" s="35"/>
      <c r="G99" s="35"/>
      <c r="H99" s="35"/>
      <c r="I99" s="35"/>
      <c r="J99" s="35"/>
      <c r="K99" s="35"/>
      <c r="L99" s="35"/>
      <c r="M99" s="35"/>
      <c r="N99" s="35"/>
      <c r="O99" s="35"/>
      <c r="P99" s="35"/>
      <c r="Q99" s="35"/>
      <c r="R99" s="35"/>
      <c r="S99" s="54"/>
      <c r="T99" s="54"/>
      <c r="U99" s="54"/>
      <c r="V99" s="54"/>
      <c r="W99" s="35"/>
      <c r="X99" s="35"/>
      <c r="Y99" s="54"/>
      <c r="Z99" s="54"/>
      <c r="AA99" s="35"/>
      <c r="AB99" s="35"/>
      <c r="AC99" s="35"/>
      <c r="AD99" s="54"/>
      <c r="AE99" s="54"/>
      <c r="AF99" s="54"/>
      <c r="AG99" s="54"/>
      <c r="AH99" s="54"/>
      <c r="AI99" s="54"/>
      <c r="AJ99" s="54"/>
      <c r="AK99" s="54"/>
      <c r="AL99" s="54"/>
      <c r="AM99" s="54"/>
      <c r="AN99" s="54"/>
      <c r="AO99" s="54"/>
      <c r="AP99" s="54"/>
      <c r="AQ99" s="54"/>
      <c r="AR99" s="54"/>
      <c r="AS99" s="54"/>
      <c r="AT99" s="54"/>
      <c r="AU99" s="54"/>
      <c r="AV99" s="54"/>
      <c r="AW99" s="54"/>
      <c r="AX99" s="54"/>
      <c r="AY99" s="54"/>
      <c r="AZ99" s="54"/>
      <c r="BA99" s="54"/>
      <c r="BB99" s="54"/>
      <c r="BC99" s="54"/>
      <c r="BD99" s="51"/>
      <c r="BE99" s="131"/>
      <c r="BF99" s="131"/>
      <c r="BG99" s="131"/>
      <c r="BH99" s="131"/>
      <c r="BI99" s="131"/>
      <c r="BJ99" s="131"/>
      <c r="BK99" s="131"/>
      <c r="BL99" s="131"/>
      <c r="BM99" s="131"/>
      <c r="BN99" s="131"/>
      <c r="BO99" s="131"/>
      <c r="BP99" s="131"/>
      <c r="BQ99" s="131"/>
      <c r="BR99" s="131"/>
      <c r="BS99" s="131"/>
      <c r="BT99" s="131"/>
    </row>
    <row r="100" spans="1:72" s="130" customFormat="1" ht="15">
      <c r="A100" s="35"/>
      <c r="B100" s="35"/>
      <c r="C100" s="35"/>
      <c r="D100" s="35"/>
      <c r="E100" s="35"/>
      <c r="F100" s="35"/>
      <c r="G100" s="35"/>
      <c r="H100" s="35"/>
      <c r="I100" s="35"/>
      <c r="J100" s="35"/>
      <c r="K100" s="35"/>
      <c r="L100" s="35"/>
      <c r="M100" s="35"/>
      <c r="N100" s="35"/>
      <c r="O100" s="35"/>
      <c r="P100" s="35"/>
      <c r="Q100" s="35"/>
      <c r="R100" s="35"/>
      <c r="S100" s="54"/>
      <c r="T100" s="54"/>
      <c r="U100" s="54"/>
      <c r="V100" s="54"/>
      <c r="W100" s="35"/>
      <c r="X100" s="35"/>
      <c r="Y100" s="54"/>
      <c r="Z100" s="54"/>
      <c r="AA100" s="35"/>
      <c r="AB100" s="35"/>
      <c r="AC100" s="35"/>
      <c r="AD100" s="54"/>
      <c r="AE100" s="54"/>
      <c r="AF100" s="54"/>
      <c r="AG100" s="54"/>
      <c r="AH100" s="54"/>
      <c r="AI100" s="54"/>
      <c r="AJ100" s="54"/>
      <c r="AK100" s="54"/>
      <c r="AL100" s="54"/>
      <c r="AM100" s="54"/>
      <c r="AN100" s="54"/>
      <c r="AO100" s="54"/>
      <c r="AP100" s="54"/>
      <c r="AQ100" s="54"/>
      <c r="AR100" s="54"/>
      <c r="AS100" s="54"/>
      <c r="AT100" s="54"/>
      <c r="AU100" s="54"/>
      <c r="AV100" s="54"/>
      <c r="AW100" s="54"/>
      <c r="AX100" s="54"/>
      <c r="AY100" s="54"/>
      <c r="AZ100" s="54"/>
      <c r="BA100" s="54"/>
      <c r="BB100" s="54"/>
      <c r="BC100" s="54"/>
      <c r="BD100" s="51"/>
      <c r="BE100" s="131"/>
      <c r="BF100" s="131"/>
      <c r="BG100" s="131"/>
      <c r="BH100" s="131"/>
      <c r="BI100" s="131"/>
      <c r="BJ100" s="131"/>
      <c r="BK100" s="131"/>
      <c r="BL100" s="131"/>
      <c r="BM100" s="131"/>
      <c r="BN100" s="131"/>
      <c r="BO100" s="131"/>
      <c r="BP100" s="131"/>
      <c r="BQ100" s="131"/>
      <c r="BR100" s="131"/>
      <c r="BS100" s="131"/>
      <c r="BT100" s="131"/>
    </row>
    <row r="101" spans="1:72" s="130" customFormat="1" ht="15">
      <c r="A101" s="35"/>
      <c r="B101" s="35"/>
      <c r="C101" s="35"/>
      <c r="D101" s="35"/>
      <c r="E101" s="35"/>
      <c r="F101" s="35"/>
      <c r="G101" s="35"/>
      <c r="H101" s="35"/>
      <c r="I101" s="35"/>
      <c r="J101" s="35"/>
      <c r="K101" s="35"/>
      <c r="L101" s="35"/>
      <c r="M101" s="35"/>
      <c r="N101" s="35"/>
      <c r="O101" s="35"/>
      <c r="P101" s="35"/>
      <c r="Q101" s="35"/>
      <c r="R101" s="35"/>
      <c r="S101" s="54"/>
      <c r="T101" s="54"/>
      <c r="U101" s="54"/>
      <c r="V101" s="54"/>
      <c r="W101" s="35"/>
      <c r="X101" s="35"/>
      <c r="Y101" s="54"/>
      <c r="Z101" s="54"/>
      <c r="AA101" s="35"/>
      <c r="AB101" s="35"/>
      <c r="AC101" s="35"/>
      <c r="AD101" s="54"/>
      <c r="AE101" s="54"/>
      <c r="AF101" s="54"/>
      <c r="AG101" s="54"/>
      <c r="AH101" s="54"/>
      <c r="AI101" s="54"/>
      <c r="AJ101" s="54"/>
      <c r="AK101" s="54"/>
      <c r="AL101" s="54"/>
      <c r="AM101" s="54"/>
      <c r="AN101" s="54"/>
      <c r="AO101" s="54"/>
      <c r="AP101" s="54"/>
      <c r="AQ101" s="54"/>
      <c r="AR101" s="54"/>
      <c r="AS101" s="54"/>
      <c r="AT101" s="54"/>
      <c r="AU101" s="54"/>
      <c r="AV101" s="54"/>
      <c r="AW101" s="54"/>
      <c r="AX101" s="54"/>
      <c r="AY101" s="54"/>
      <c r="AZ101" s="54"/>
      <c r="BA101" s="54"/>
      <c r="BB101" s="54"/>
      <c r="BC101" s="54"/>
      <c r="BD101" s="51"/>
    </row>
    <row r="102" spans="1:72" s="130" customFormat="1" ht="15">
      <c r="A102" s="35"/>
      <c r="B102" s="35"/>
      <c r="C102" s="35"/>
      <c r="D102" s="35"/>
      <c r="E102" s="35"/>
      <c r="F102" s="35"/>
      <c r="G102" s="35"/>
      <c r="H102" s="35"/>
      <c r="I102" s="35"/>
      <c r="J102" s="35"/>
      <c r="K102" s="35"/>
      <c r="L102" s="35"/>
      <c r="M102" s="35"/>
      <c r="N102" s="35"/>
      <c r="O102" s="35"/>
      <c r="P102" s="35"/>
      <c r="Q102" s="35"/>
      <c r="R102" s="35"/>
      <c r="S102" s="54"/>
      <c r="T102" s="54"/>
      <c r="U102" s="54"/>
      <c r="V102" s="54"/>
      <c r="W102" s="35"/>
      <c r="X102" s="35"/>
      <c r="Y102" s="54"/>
      <c r="Z102" s="54"/>
      <c r="AA102" s="35"/>
      <c r="AB102" s="35"/>
      <c r="AC102" s="35"/>
      <c r="AD102" s="54"/>
      <c r="AE102" s="54"/>
      <c r="AF102" s="54"/>
      <c r="AG102" s="54"/>
      <c r="AH102" s="54"/>
      <c r="AI102" s="54"/>
      <c r="AJ102" s="54"/>
      <c r="AK102" s="54"/>
      <c r="AL102" s="54"/>
      <c r="AM102" s="54"/>
      <c r="AN102" s="54"/>
      <c r="AO102" s="54"/>
      <c r="AP102" s="54"/>
      <c r="AQ102" s="54"/>
      <c r="AR102" s="54"/>
      <c r="AS102" s="54"/>
      <c r="AT102" s="54"/>
      <c r="AU102" s="54"/>
      <c r="AV102" s="54"/>
      <c r="AW102" s="54"/>
      <c r="AX102" s="54"/>
      <c r="AY102" s="54"/>
      <c r="AZ102" s="54"/>
      <c r="BA102" s="54"/>
      <c r="BB102" s="54"/>
      <c r="BC102" s="54"/>
      <c r="BD102" s="51"/>
    </row>
    <row r="103" spans="1:72" s="130" customFormat="1" ht="15">
      <c r="A103" s="35"/>
      <c r="B103" s="35"/>
      <c r="C103" s="35"/>
      <c r="D103" s="35"/>
      <c r="E103" s="35"/>
      <c r="F103" s="35"/>
      <c r="G103" s="35"/>
      <c r="H103" s="35"/>
      <c r="I103" s="35"/>
      <c r="J103" s="35"/>
      <c r="K103" s="35"/>
      <c r="L103" s="35"/>
      <c r="M103" s="35"/>
      <c r="N103" s="35"/>
      <c r="O103" s="35"/>
      <c r="P103" s="35"/>
      <c r="Q103" s="35"/>
      <c r="R103" s="35"/>
      <c r="S103" s="54"/>
      <c r="T103" s="54"/>
      <c r="U103" s="54"/>
      <c r="V103" s="54"/>
      <c r="W103" s="35"/>
      <c r="X103" s="35"/>
      <c r="Y103" s="54"/>
      <c r="Z103" s="54"/>
      <c r="AA103" s="35"/>
      <c r="AB103" s="35"/>
      <c r="AC103" s="35"/>
      <c r="AD103" s="54"/>
      <c r="AE103" s="54"/>
      <c r="AF103" s="54"/>
      <c r="AG103" s="54"/>
      <c r="AH103" s="54"/>
      <c r="AI103" s="54"/>
      <c r="AJ103" s="54"/>
      <c r="AK103" s="54"/>
      <c r="AL103" s="54"/>
      <c r="AM103" s="54"/>
      <c r="AN103" s="54"/>
      <c r="AO103" s="54"/>
      <c r="AP103" s="54"/>
      <c r="AQ103" s="54"/>
      <c r="AR103" s="54"/>
      <c r="AS103" s="54"/>
      <c r="AT103" s="54"/>
      <c r="AU103" s="54"/>
      <c r="AV103" s="54"/>
      <c r="AW103" s="54"/>
      <c r="AX103" s="54"/>
      <c r="AY103" s="54"/>
      <c r="AZ103" s="54"/>
      <c r="BA103" s="54"/>
      <c r="BB103" s="54"/>
      <c r="BC103" s="54"/>
      <c r="BD103" s="51"/>
    </row>
    <row r="104" spans="1:72" s="130" customFormat="1" ht="15">
      <c r="A104" s="35"/>
      <c r="B104" s="35"/>
      <c r="C104" s="35"/>
      <c r="D104" s="35"/>
      <c r="E104" s="35"/>
      <c r="F104" s="35"/>
      <c r="G104" s="35"/>
      <c r="H104" s="35"/>
      <c r="I104" s="35"/>
      <c r="J104" s="35"/>
      <c r="K104" s="35"/>
      <c r="L104" s="35"/>
      <c r="M104" s="35"/>
      <c r="N104" s="35"/>
      <c r="O104" s="35"/>
      <c r="P104" s="35"/>
      <c r="Q104" s="35"/>
      <c r="R104" s="35"/>
      <c r="S104" s="54"/>
      <c r="T104" s="54"/>
      <c r="U104" s="54"/>
      <c r="V104" s="54"/>
      <c r="W104" s="35"/>
      <c r="X104" s="35"/>
      <c r="Y104" s="54"/>
      <c r="Z104" s="54"/>
      <c r="AA104" s="35"/>
      <c r="AB104" s="35"/>
      <c r="AC104" s="35"/>
      <c r="AD104" s="54"/>
      <c r="AE104" s="54"/>
      <c r="AF104" s="54"/>
      <c r="AG104" s="54"/>
      <c r="AH104" s="54"/>
      <c r="AI104" s="54"/>
      <c r="AJ104" s="54"/>
      <c r="AK104" s="54"/>
      <c r="AL104" s="54"/>
      <c r="AM104" s="54"/>
      <c r="AN104" s="54"/>
      <c r="AO104" s="54"/>
      <c r="AP104" s="54"/>
      <c r="AQ104" s="54"/>
      <c r="AR104" s="54"/>
      <c r="AS104" s="54"/>
      <c r="AT104" s="54"/>
      <c r="AU104" s="54"/>
      <c r="AV104" s="54"/>
      <c r="AW104" s="54"/>
      <c r="AX104" s="54"/>
      <c r="AY104" s="54"/>
      <c r="AZ104" s="54"/>
      <c r="BA104" s="54"/>
      <c r="BB104" s="54"/>
      <c r="BC104" s="54"/>
      <c r="BD104" s="51"/>
      <c r="BE104" s="131"/>
      <c r="BF104" s="131"/>
      <c r="BG104" s="131"/>
      <c r="BH104" s="131"/>
      <c r="BI104" s="131"/>
      <c r="BJ104" s="131"/>
      <c r="BK104" s="131"/>
      <c r="BL104" s="131"/>
      <c r="BM104" s="131"/>
      <c r="BN104" s="131"/>
      <c r="BO104" s="131"/>
      <c r="BP104" s="131"/>
      <c r="BQ104" s="131"/>
      <c r="BR104" s="131"/>
      <c r="BS104" s="131"/>
      <c r="BT104" s="131"/>
    </row>
    <row r="105" spans="1:72" s="130" customFormat="1" ht="15">
      <c r="A105" s="35"/>
      <c r="B105" s="35"/>
      <c r="C105" s="35"/>
      <c r="D105" s="35"/>
      <c r="E105" s="35"/>
      <c r="F105" s="35"/>
      <c r="G105" s="35"/>
      <c r="H105" s="35"/>
      <c r="I105" s="35"/>
      <c r="J105" s="35"/>
      <c r="K105" s="35"/>
      <c r="L105" s="35"/>
      <c r="M105" s="35"/>
      <c r="N105" s="35"/>
      <c r="O105" s="35"/>
      <c r="P105" s="35"/>
      <c r="Q105" s="35"/>
      <c r="R105" s="35"/>
      <c r="S105" s="54"/>
      <c r="T105" s="54"/>
      <c r="U105" s="54"/>
      <c r="V105" s="54"/>
      <c r="W105" s="35"/>
      <c r="X105" s="35"/>
      <c r="Y105" s="54"/>
      <c r="Z105" s="54"/>
      <c r="AA105" s="35"/>
      <c r="AB105" s="35"/>
      <c r="AC105" s="35"/>
      <c r="AD105" s="54"/>
      <c r="AE105" s="54"/>
      <c r="AF105" s="54"/>
      <c r="AG105" s="54"/>
      <c r="AH105" s="54"/>
      <c r="AI105" s="54"/>
      <c r="AJ105" s="54"/>
      <c r="AK105" s="54"/>
      <c r="AL105" s="54"/>
      <c r="AM105" s="54"/>
      <c r="AN105" s="54"/>
      <c r="AO105" s="54"/>
      <c r="AP105" s="54"/>
      <c r="AQ105" s="54"/>
      <c r="AR105" s="54"/>
      <c r="AS105" s="54"/>
      <c r="AT105" s="54"/>
      <c r="AU105" s="54"/>
      <c r="AV105" s="54"/>
      <c r="AW105" s="54"/>
      <c r="AX105" s="54"/>
      <c r="AY105" s="54"/>
      <c r="AZ105" s="54"/>
      <c r="BA105" s="54"/>
      <c r="BB105" s="54"/>
      <c r="BC105" s="54"/>
      <c r="BD105" s="51"/>
      <c r="BE105" s="131"/>
      <c r="BF105" s="131"/>
      <c r="BG105" s="131"/>
      <c r="BH105" s="131"/>
      <c r="BI105" s="131"/>
      <c r="BJ105" s="131"/>
      <c r="BK105" s="131"/>
      <c r="BL105" s="131"/>
      <c r="BM105" s="131"/>
      <c r="BN105" s="131"/>
      <c r="BO105" s="131"/>
      <c r="BP105" s="131"/>
      <c r="BQ105" s="131"/>
      <c r="BR105" s="131"/>
      <c r="BS105" s="131"/>
      <c r="BT105" s="131"/>
    </row>
    <row r="106" spans="1:72" s="130" customFormat="1" ht="15">
      <c r="A106" s="35"/>
      <c r="B106" s="35"/>
      <c r="C106" s="35"/>
      <c r="D106" s="35"/>
      <c r="E106" s="35"/>
      <c r="F106" s="35"/>
      <c r="G106" s="35"/>
      <c r="H106" s="35"/>
      <c r="I106" s="35"/>
      <c r="J106" s="35"/>
      <c r="K106" s="35"/>
      <c r="L106" s="35"/>
      <c r="M106" s="35"/>
      <c r="N106" s="35"/>
      <c r="O106" s="35"/>
      <c r="P106" s="35"/>
      <c r="Q106" s="35"/>
      <c r="R106" s="35"/>
      <c r="S106" s="54"/>
      <c r="T106" s="54"/>
      <c r="U106" s="54"/>
      <c r="V106" s="54"/>
      <c r="W106" s="35"/>
      <c r="X106" s="35"/>
      <c r="Y106" s="54"/>
      <c r="Z106" s="54"/>
      <c r="AA106" s="35"/>
      <c r="AB106" s="35"/>
      <c r="AC106" s="35"/>
      <c r="AD106" s="54"/>
      <c r="AE106" s="54"/>
      <c r="AF106" s="54"/>
      <c r="AG106" s="54"/>
      <c r="AH106" s="54"/>
      <c r="AI106" s="54"/>
      <c r="AJ106" s="54"/>
      <c r="AK106" s="54"/>
      <c r="AL106" s="54"/>
      <c r="AM106" s="54"/>
      <c r="AN106" s="54"/>
      <c r="AO106" s="54"/>
      <c r="AP106" s="54"/>
      <c r="AQ106" s="54"/>
      <c r="AR106" s="54"/>
      <c r="AS106" s="54"/>
      <c r="AT106" s="54"/>
      <c r="AU106" s="54"/>
      <c r="AV106" s="54"/>
      <c r="AW106" s="54"/>
      <c r="AX106" s="54"/>
      <c r="AY106" s="54"/>
      <c r="AZ106" s="54"/>
      <c r="BA106" s="54"/>
      <c r="BB106" s="54"/>
      <c r="BC106" s="54"/>
      <c r="BD106" s="51"/>
      <c r="BE106" s="131"/>
      <c r="BF106" s="131"/>
      <c r="BG106" s="131"/>
      <c r="BH106" s="131"/>
      <c r="BI106" s="131"/>
      <c r="BJ106" s="131"/>
      <c r="BK106" s="131"/>
      <c r="BL106" s="131"/>
      <c r="BM106" s="131"/>
      <c r="BN106" s="131"/>
      <c r="BO106" s="131"/>
      <c r="BP106" s="131"/>
      <c r="BQ106" s="131"/>
      <c r="BR106" s="131"/>
      <c r="BS106" s="131"/>
      <c r="BT106" s="131"/>
    </row>
    <row r="107" spans="1:72" s="130" customFormat="1" ht="15">
      <c r="A107" s="35"/>
      <c r="B107" s="35"/>
      <c r="C107" s="35"/>
      <c r="D107" s="35"/>
      <c r="E107" s="35"/>
      <c r="F107" s="35"/>
      <c r="G107" s="35"/>
      <c r="H107" s="35"/>
      <c r="I107" s="35"/>
      <c r="J107" s="35"/>
      <c r="K107" s="35"/>
      <c r="L107" s="35"/>
      <c r="M107" s="35"/>
      <c r="N107" s="35"/>
      <c r="O107" s="35"/>
      <c r="P107" s="35"/>
      <c r="Q107" s="35"/>
      <c r="R107" s="35"/>
      <c r="S107" s="54"/>
      <c r="T107" s="54"/>
      <c r="U107" s="54"/>
      <c r="V107" s="54"/>
      <c r="W107" s="35"/>
      <c r="X107" s="35"/>
      <c r="Y107" s="54"/>
      <c r="Z107" s="54"/>
      <c r="AA107" s="35"/>
      <c r="AB107" s="35"/>
      <c r="AC107" s="35"/>
      <c r="AD107" s="54"/>
      <c r="AE107" s="54"/>
      <c r="AF107" s="54"/>
      <c r="AG107" s="54"/>
      <c r="AH107" s="54"/>
      <c r="AI107" s="54"/>
      <c r="AJ107" s="54"/>
      <c r="AK107" s="54"/>
      <c r="AL107" s="54"/>
      <c r="AM107" s="54"/>
      <c r="AN107" s="54"/>
      <c r="AO107" s="54"/>
      <c r="AP107" s="54"/>
      <c r="AQ107" s="54"/>
      <c r="AR107" s="54"/>
      <c r="AS107" s="54"/>
      <c r="AT107" s="54"/>
      <c r="AU107" s="54"/>
      <c r="AV107" s="54"/>
      <c r="AW107" s="54"/>
      <c r="AX107" s="54"/>
      <c r="AY107" s="54"/>
      <c r="AZ107" s="54"/>
      <c r="BA107" s="54"/>
      <c r="BB107" s="54"/>
      <c r="BC107" s="54"/>
      <c r="BD107" s="51"/>
      <c r="BE107" s="131"/>
      <c r="BF107" s="131"/>
      <c r="BG107" s="131"/>
      <c r="BH107" s="131"/>
      <c r="BI107" s="131"/>
      <c r="BJ107" s="131"/>
      <c r="BK107" s="131"/>
      <c r="BL107" s="131"/>
      <c r="BM107" s="131"/>
      <c r="BN107" s="131"/>
      <c r="BO107" s="131"/>
      <c r="BP107" s="131"/>
      <c r="BQ107" s="131"/>
      <c r="BR107" s="131"/>
      <c r="BS107" s="131"/>
      <c r="BT107" s="131"/>
    </row>
    <row r="108" spans="1:72" s="130" customFormat="1" ht="15">
      <c r="A108" s="35"/>
      <c r="B108" s="35"/>
      <c r="C108" s="35"/>
      <c r="D108" s="35"/>
      <c r="E108" s="35"/>
      <c r="F108" s="35"/>
      <c r="G108" s="35"/>
      <c r="H108" s="35"/>
      <c r="I108" s="35"/>
      <c r="J108" s="35"/>
      <c r="K108" s="35"/>
      <c r="L108" s="35"/>
      <c r="M108" s="35"/>
      <c r="N108" s="35"/>
      <c r="O108" s="35"/>
      <c r="P108" s="35"/>
      <c r="Q108" s="35"/>
      <c r="R108" s="35"/>
      <c r="S108" s="54"/>
      <c r="T108" s="54"/>
      <c r="U108" s="54"/>
      <c r="V108" s="54"/>
      <c r="W108" s="35"/>
      <c r="X108" s="35"/>
      <c r="Y108" s="54"/>
      <c r="Z108" s="54"/>
      <c r="AA108" s="35"/>
      <c r="AB108" s="35"/>
      <c r="AC108" s="35"/>
      <c r="AD108" s="54"/>
      <c r="AE108" s="54"/>
      <c r="AF108" s="54"/>
      <c r="AG108" s="54"/>
      <c r="AH108" s="54"/>
      <c r="AI108" s="54"/>
      <c r="AJ108" s="54"/>
      <c r="AK108" s="54"/>
      <c r="AL108" s="54"/>
      <c r="AM108" s="54"/>
      <c r="AN108" s="54"/>
      <c r="AO108" s="54"/>
      <c r="AP108" s="54"/>
      <c r="AQ108" s="54"/>
      <c r="AR108" s="54"/>
      <c r="AS108" s="54"/>
      <c r="AT108" s="54"/>
      <c r="AU108" s="54"/>
      <c r="AV108" s="54"/>
      <c r="AW108" s="54"/>
      <c r="AX108" s="54"/>
      <c r="AY108" s="54"/>
      <c r="AZ108" s="54"/>
      <c r="BA108" s="54"/>
      <c r="BB108" s="54"/>
      <c r="BC108" s="54"/>
      <c r="BD108" s="51"/>
      <c r="BE108" s="131"/>
      <c r="BF108" s="131"/>
      <c r="BG108" s="131"/>
      <c r="BH108" s="131"/>
      <c r="BI108" s="131"/>
      <c r="BJ108" s="131"/>
      <c r="BK108" s="131"/>
      <c r="BL108" s="131"/>
      <c r="BM108" s="131"/>
      <c r="BN108" s="131"/>
      <c r="BO108" s="131"/>
      <c r="BP108" s="131"/>
      <c r="BQ108" s="131"/>
      <c r="BR108" s="131"/>
      <c r="BS108" s="131"/>
      <c r="BT108" s="131"/>
    </row>
    <row r="109" spans="1:72" s="130" customFormat="1" ht="15">
      <c r="A109" s="35"/>
      <c r="B109" s="35"/>
      <c r="C109" s="35"/>
      <c r="D109" s="35"/>
      <c r="E109" s="35"/>
      <c r="F109" s="35"/>
      <c r="G109" s="35"/>
      <c r="H109" s="35"/>
      <c r="I109" s="35"/>
      <c r="J109" s="35"/>
      <c r="K109" s="35"/>
      <c r="L109" s="35"/>
      <c r="M109" s="35"/>
      <c r="N109" s="35"/>
      <c r="O109" s="35"/>
      <c r="P109" s="35"/>
      <c r="Q109" s="35"/>
      <c r="R109" s="35"/>
      <c r="S109" s="54"/>
      <c r="T109" s="54"/>
      <c r="U109" s="54"/>
      <c r="V109" s="54"/>
      <c r="W109" s="35"/>
      <c r="X109" s="35"/>
      <c r="Y109" s="54"/>
      <c r="Z109" s="54"/>
      <c r="AA109" s="35"/>
      <c r="AB109" s="35"/>
      <c r="AC109" s="35"/>
      <c r="AD109" s="54"/>
      <c r="AE109" s="54"/>
      <c r="AF109" s="54"/>
      <c r="AG109" s="54"/>
      <c r="AH109" s="54"/>
      <c r="AI109" s="54"/>
      <c r="AJ109" s="54"/>
      <c r="AK109" s="54"/>
      <c r="AL109" s="54"/>
      <c r="AM109" s="54"/>
      <c r="AN109" s="54"/>
      <c r="AO109" s="54"/>
      <c r="AP109" s="54"/>
      <c r="AQ109" s="54"/>
      <c r="AR109" s="54"/>
      <c r="AS109" s="54"/>
      <c r="AT109" s="54"/>
      <c r="AU109" s="54"/>
      <c r="AV109" s="54"/>
      <c r="AW109" s="54"/>
      <c r="AX109" s="54"/>
      <c r="AY109" s="54"/>
      <c r="AZ109" s="54"/>
      <c r="BA109" s="54"/>
      <c r="BB109" s="54"/>
      <c r="BC109" s="54"/>
      <c r="BD109" s="51"/>
      <c r="BE109" s="131"/>
      <c r="BF109" s="131"/>
      <c r="BG109" s="131"/>
      <c r="BH109" s="131"/>
      <c r="BI109" s="131"/>
      <c r="BJ109" s="131"/>
      <c r="BK109" s="131"/>
      <c r="BL109" s="131"/>
      <c r="BM109" s="131"/>
      <c r="BN109" s="131"/>
      <c r="BO109" s="131"/>
      <c r="BP109" s="131"/>
      <c r="BQ109" s="131"/>
      <c r="BR109" s="131"/>
      <c r="BS109" s="131"/>
      <c r="BT109" s="131"/>
    </row>
    <row r="110" spans="1:72" s="130" customFormat="1" ht="15">
      <c r="A110" s="35"/>
      <c r="B110" s="35"/>
      <c r="C110" s="35"/>
      <c r="D110" s="35"/>
      <c r="E110" s="35"/>
      <c r="F110" s="35"/>
      <c r="G110" s="35"/>
      <c r="H110" s="35"/>
      <c r="I110" s="35"/>
      <c r="J110" s="35"/>
      <c r="K110" s="35"/>
      <c r="L110" s="35"/>
      <c r="M110" s="35"/>
      <c r="N110" s="35"/>
      <c r="O110" s="35"/>
      <c r="P110" s="35"/>
      <c r="Q110" s="35"/>
      <c r="R110" s="35"/>
      <c r="S110" s="54"/>
      <c r="T110" s="54"/>
      <c r="U110" s="54"/>
      <c r="V110" s="54"/>
      <c r="W110" s="35"/>
      <c r="X110" s="35"/>
      <c r="Y110" s="54"/>
      <c r="Z110" s="54"/>
      <c r="AA110" s="35"/>
      <c r="AB110" s="35"/>
      <c r="AC110" s="35"/>
      <c r="AD110" s="54"/>
      <c r="AE110" s="54"/>
      <c r="AF110" s="54"/>
      <c r="AG110" s="54"/>
      <c r="AH110" s="54"/>
      <c r="AI110" s="54"/>
      <c r="AJ110" s="54"/>
      <c r="AK110" s="54"/>
      <c r="AL110" s="54"/>
      <c r="AM110" s="54"/>
      <c r="AN110" s="54"/>
      <c r="AO110" s="54"/>
      <c r="AP110" s="54"/>
      <c r="AQ110" s="54"/>
      <c r="AR110" s="54"/>
      <c r="AS110" s="54"/>
      <c r="AT110" s="54"/>
      <c r="AU110" s="54"/>
      <c r="AV110" s="54"/>
      <c r="AW110" s="54"/>
      <c r="AX110" s="54"/>
      <c r="AY110" s="54"/>
      <c r="AZ110" s="54"/>
      <c r="BA110" s="54"/>
      <c r="BB110" s="54"/>
      <c r="BC110" s="54"/>
      <c r="BD110" s="51"/>
      <c r="BE110" s="131"/>
      <c r="BF110" s="131"/>
      <c r="BG110" s="131"/>
      <c r="BH110" s="131"/>
      <c r="BI110" s="131"/>
      <c r="BJ110" s="131"/>
      <c r="BK110" s="131"/>
      <c r="BL110" s="131"/>
      <c r="BM110" s="131"/>
      <c r="BN110" s="131"/>
      <c r="BO110" s="131"/>
      <c r="BP110" s="131"/>
      <c r="BQ110" s="131"/>
      <c r="BR110" s="131"/>
      <c r="BS110" s="131"/>
      <c r="BT110" s="131"/>
    </row>
    <row r="111" spans="1:72" s="130" customFormat="1" ht="15">
      <c r="A111" s="35"/>
      <c r="B111" s="35"/>
      <c r="C111" s="35"/>
      <c r="D111" s="35"/>
      <c r="E111" s="35"/>
      <c r="F111" s="35"/>
      <c r="G111" s="35"/>
      <c r="H111" s="35"/>
      <c r="I111" s="35"/>
      <c r="J111" s="35"/>
      <c r="K111" s="35"/>
      <c r="L111" s="35"/>
      <c r="M111" s="35"/>
      <c r="N111" s="35"/>
      <c r="O111" s="35"/>
      <c r="P111" s="35"/>
      <c r="Q111" s="35"/>
      <c r="R111" s="35"/>
      <c r="S111" s="54"/>
      <c r="T111" s="54"/>
      <c r="U111" s="54"/>
      <c r="V111" s="54"/>
      <c r="W111" s="35"/>
      <c r="X111" s="35"/>
      <c r="Y111" s="54"/>
      <c r="Z111" s="54"/>
      <c r="AA111" s="35"/>
      <c r="AB111" s="35"/>
      <c r="AC111" s="35"/>
      <c r="AD111" s="54"/>
      <c r="AE111" s="54"/>
      <c r="AF111" s="54"/>
      <c r="AG111" s="54"/>
      <c r="AH111" s="54"/>
      <c r="AI111" s="54"/>
      <c r="AJ111" s="54"/>
      <c r="AK111" s="54"/>
      <c r="AL111" s="54"/>
      <c r="AM111" s="54"/>
      <c r="AN111" s="54"/>
      <c r="AO111" s="54"/>
      <c r="AP111" s="54"/>
      <c r="AQ111" s="54"/>
      <c r="AR111" s="54"/>
      <c r="AS111" s="54"/>
      <c r="AT111" s="54"/>
      <c r="AU111" s="54"/>
      <c r="AV111" s="54"/>
      <c r="AW111" s="54"/>
      <c r="AX111" s="54"/>
      <c r="AY111" s="54"/>
      <c r="AZ111" s="54"/>
      <c r="BA111" s="54"/>
      <c r="BB111" s="54"/>
      <c r="BC111" s="54"/>
      <c r="BD111" s="51"/>
      <c r="BE111" s="131"/>
      <c r="BF111" s="131"/>
      <c r="BG111" s="131"/>
      <c r="BH111" s="131"/>
      <c r="BI111" s="131"/>
      <c r="BJ111" s="131"/>
      <c r="BK111" s="131"/>
      <c r="BL111" s="131"/>
      <c r="BM111" s="131"/>
      <c r="BN111" s="131"/>
      <c r="BO111" s="131"/>
      <c r="BP111" s="131"/>
      <c r="BQ111" s="131"/>
      <c r="BR111" s="131"/>
      <c r="BS111" s="131"/>
      <c r="BT111" s="131"/>
    </row>
    <row r="112" spans="1:72" s="130" customFormat="1" ht="15">
      <c r="A112" s="35"/>
      <c r="B112" s="35"/>
      <c r="C112" s="35"/>
      <c r="D112" s="35"/>
      <c r="E112" s="35"/>
      <c r="F112" s="35"/>
      <c r="G112" s="35"/>
      <c r="H112" s="35"/>
      <c r="I112" s="35"/>
      <c r="J112" s="35"/>
      <c r="K112" s="35"/>
      <c r="L112" s="35"/>
      <c r="M112" s="35"/>
      <c r="N112" s="35"/>
      <c r="O112" s="35"/>
      <c r="P112" s="35"/>
      <c r="Q112" s="35"/>
      <c r="R112" s="35"/>
      <c r="S112" s="54"/>
      <c r="T112" s="54"/>
      <c r="U112" s="54"/>
      <c r="V112" s="54"/>
      <c r="W112" s="35"/>
      <c r="X112" s="35"/>
      <c r="Y112" s="54"/>
      <c r="Z112" s="54"/>
      <c r="AA112" s="35"/>
      <c r="AB112" s="35"/>
      <c r="AC112" s="35"/>
      <c r="AD112" s="54"/>
      <c r="AE112" s="54"/>
      <c r="AF112" s="54"/>
      <c r="AG112" s="54"/>
      <c r="AH112" s="54"/>
      <c r="AI112" s="54"/>
      <c r="AJ112" s="54"/>
      <c r="AK112" s="54"/>
      <c r="AL112" s="54"/>
      <c r="AM112" s="54"/>
      <c r="AN112" s="54"/>
      <c r="AO112" s="54"/>
      <c r="AP112" s="54"/>
      <c r="AQ112" s="54"/>
      <c r="AR112" s="54"/>
      <c r="AS112" s="54"/>
      <c r="AT112" s="54"/>
      <c r="AU112" s="54"/>
      <c r="AV112" s="54"/>
      <c r="AW112" s="54"/>
      <c r="AX112" s="54"/>
      <c r="AY112" s="54"/>
      <c r="AZ112" s="54"/>
      <c r="BA112" s="54"/>
      <c r="BB112" s="54"/>
      <c r="BC112" s="54"/>
      <c r="BD112" s="51"/>
      <c r="BE112" s="131"/>
      <c r="BF112" s="131"/>
      <c r="BG112" s="131"/>
      <c r="BH112" s="131"/>
      <c r="BI112" s="131"/>
      <c r="BJ112" s="131"/>
      <c r="BK112" s="131"/>
      <c r="BL112" s="131"/>
      <c r="BM112" s="131"/>
      <c r="BN112" s="131"/>
      <c r="BO112" s="131"/>
      <c r="BP112" s="131"/>
      <c r="BQ112" s="131"/>
      <c r="BR112" s="131"/>
      <c r="BS112" s="131"/>
      <c r="BT112" s="131"/>
    </row>
    <row r="113" spans="1:72" s="130" customFormat="1" ht="15">
      <c r="A113" s="35"/>
      <c r="B113" s="35"/>
      <c r="C113" s="35"/>
      <c r="D113" s="35"/>
      <c r="E113" s="35"/>
      <c r="F113" s="35"/>
      <c r="G113" s="35"/>
      <c r="H113" s="35"/>
      <c r="I113" s="35"/>
      <c r="J113" s="35"/>
      <c r="K113" s="35"/>
      <c r="L113" s="35"/>
      <c r="M113" s="35"/>
      <c r="N113" s="35"/>
      <c r="O113" s="35"/>
      <c r="P113" s="35"/>
      <c r="Q113" s="35"/>
      <c r="R113" s="35"/>
      <c r="S113" s="54"/>
      <c r="T113" s="54"/>
      <c r="U113" s="54"/>
      <c r="V113" s="54"/>
      <c r="W113" s="35"/>
      <c r="X113" s="35"/>
      <c r="Y113" s="54"/>
      <c r="Z113" s="54"/>
      <c r="AA113" s="35"/>
      <c r="AB113" s="35"/>
      <c r="AC113" s="35"/>
      <c r="AD113" s="54"/>
      <c r="AE113" s="54"/>
      <c r="AF113" s="54"/>
      <c r="AG113" s="54"/>
      <c r="AH113" s="54"/>
      <c r="AI113" s="54"/>
      <c r="AJ113" s="54"/>
      <c r="AK113" s="54"/>
      <c r="AL113" s="54"/>
      <c r="AM113" s="54"/>
      <c r="AN113" s="54"/>
      <c r="AO113" s="54"/>
      <c r="AP113" s="54"/>
      <c r="AQ113" s="54"/>
      <c r="AR113" s="54"/>
      <c r="AS113" s="54"/>
      <c r="AT113" s="54"/>
      <c r="AU113" s="54"/>
      <c r="AV113" s="54"/>
      <c r="AW113" s="54"/>
      <c r="AX113" s="54"/>
      <c r="AY113" s="54"/>
      <c r="AZ113" s="54"/>
      <c r="BA113" s="54"/>
      <c r="BB113" s="54"/>
      <c r="BC113" s="54"/>
      <c r="BD113" s="51"/>
      <c r="BE113" s="131"/>
      <c r="BF113" s="131"/>
      <c r="BG113" s="131"/>
      <c r="BH113" s="131"/>
      <c r="BI113" s="131"/>
      <c r="BJ113" s="131"/>
      <c r="BK113" s="131"/>
      <c r="BL113" s="131"/>
      <c r="BM113" s="131"/>
      <c r="BN113" s="131"/>
      <c r="BO113" s="131"/>
      <c r="BP113" s="131"/>
      <c r="BQ113" s="131"/>
      <c r="BR113" s="131"/>
      <c r="BS113" s="131"/>
      <c r="BT113" s="131"/>
    </row>
    <row r="114" spans="1:72" s="130" customFormat="1" ht="15">
      <c r="A114" s="35"/>
      <c r="B114" s="35"/>
      <c r="C114" s="35"/>
      <c r="D114" s="35"/>
      <c r="E114" s="35"/>
      <c r="F114" s="35"/>
      <c r="G114" s="35"/>
      <c r="H114" s="35"/>
      <c r="I114" s="35"/>
      <c r="J114" s="35"/>
      <c r="K114" s="35"/>
      <c r="L114" s="35"/>
      <c r="M114" s="35"/>
      <c r="N114" s="35"/>
      <c r="O114" s="35"/>
      <c r="P114" s="35"/>
      <c r="Q114" s="35"/>
      <c r="R114" s="35"/>
      <c r="S114" s="54"/>
      <c r="T114" s="54"/>
      <c r="U114" s="54"/>
      <c r="V114" s="54"/>
      <c r="W114" s="35"/>
      <c r="X114" s="35"/>
      <c r="Y114" s="54"/>
      <c r="Z114" s="54"/>
      <c r="AA114" s="35"/>
      <c r="AB114" s="35"/>
      <c r="AC114" s="35"/>
      <c r="AD114" s="54"/>
      <c r="AE114" s="54"/>
      <c r="AF114" s="54"/>
      <c r="AG114" s="54"/>
      <c r="AH114" s="54"/>
      <c r="AI114" s="54"/>
      <c r="AJ114" s="54"/>
      <c r="AK114" s="54"/>
      <c r="AL114" s="54"/>
      <c r="AM114" s="54"/>
      <c r="AN114" s="54"/>
      <c r="AO114" s="54"/>
      <c r="AP114" s="54"/>
      <c r="AQ114" s="54"/>
      <c r="AR114" s="54"/>
      <c r="AS114" s="54"/>
      <c r="AT114" s="54"/>
      <c r="AU114" s="54"/>
      <c r="AV114" s="54"/>
      <c r="AW114" s="54"/>
      <c r="AX114" s="54"/>
      <c r="AY114" s="54"/>
      <c r="AZ114" s="54"/>
      <c r="BA114" s="54"/>
      <c r="BB114" s="54"/>
      <c r="BC114" s="54"/>
      <c r="BD114" s="51"/>
      <c r="BE114" s="131"/>
      <c r="BF114" s="131"/>
      <c r="BG114" s="131"/>
      <c r="BH114" s="131"/>
      <c r="BI114" s="131"/>
      <c r="BJ114" s="131"/>
      <c r="BK114" s="131"/>
      <c r="BL114" s="131"/>
      <c r="BM114" s="131"/>
      <c r="BN114" s="131"/>
      <c r="BO114" s="131"/>
      <c r="BP114" s="131"/>
      <c r="BQ114" s="131"/>
      <c r="BR114" s="131"/>
      <c r="BS114" s="131"/>
      <c r="BT114" s="131"/>
    </row>
    <row r="115" spans="1:72" s="130" customFormat="1" ht="15">
      <c r="A115" s="35"/>
      <c r="B115" s="35"/>
      <c r="C115" s="35"/>
      <c r="D115" s="35"/>
      <c r="E115" s="35"/>
      <c r="F115" s="35"/>
      <c r="G115" s="35"/>
      <c r="H115" s="35"/>
      <c r="I115" s="35"/>
      <c r="J115" s="35"/>
      <c r="K115" s="35"/>
      <c r="L115" s="35"/>
      <c r="M115" s="35"/>
      <c r="N115" s="35"/>
      <c r="O115" s="35"/>
      <c r="P115" s="35"/>
      <c r="Q115" s="35"/>
      <c r="R115" s="35"/>
      <c r="S115" s="54"/>
      <c r="T115" s="54"/>
      <c r="U115" s="54"/>
      <c r="V115" s="54"/>
      <c r="W115" s="35"/>
      <c r="X115" s="35"/>
      <c r="Y115" s="54"/>
      <c r="Z115" s="54"/>
      <c r="AA115" s="35"/>
      <c r="AB115" s="35"/>
      <c r="AC115" s="35"/>
      <c r="AD115" s="54"/>
      <c r="AE115" s="54"/>
      <c r="AF115" s="54"/>
      <c r="AG115" s="54"/>
      <c r="AH115" s="54"/>
      <c r="AI115" s="54"/>
      <c r="AJ115" s="54"/>
      <c r="AK115" s="54"/>
      <c r="AL115" s="54"/>
      <c r="AM115" s="54"/>
      <c r="AN115" s="54"/>
      <c r="AO115" s="54"/>
      <c r="AP115" s="54"/>
      <c r="AQ115" s="54"/>
      <c r="AR115" s="54"/>
      <c r="AS115" s="54"/>
      <c r="AT115" s="54"/>
      <c r="AU115" s="54"/>
      <c r="AV115" s="54"/>
      <c r="AW115" s="54"/>
      <c r="AX115" s="54"/>
      <c r="AY115" s="54"/>
      <c r="AZ115" s="54"/>
      <c r="BA115" s="54"/>
      <c r="BB115" s="54"/>
      <c r="BC115" s="54"/>
      <c r="BD115" s="51"/>
      <c r="BE115" s="131"/>
      <c r="BF115" s="131"/>
      <c r="BG115" s="131"/>
      <c r="BH115" s="131"/>
      <c r="BI115" s="131"/>
      <c r="BJ115" s="131"/>
      <c r="BK115" s="131"/>
      <c r="BL115" s="131"/>
      <c r="BM115" s="131"/>
      <c r="BN115" s="131"/>
      <c r="BO115" s="131"/>
      <c r="BP115" s="131"/>
      <c r="BQ115" s="131"/>
      <c r="BR115" s="131"/>
      <c r="BS115" s="131"/>
      <c r="BT115" s="131"/>
    </row>
    <row r="116" spans="1:72" s="130" customFormat="1" ht="15">
      <c r="A116" s="35"/>
      <c r="B116" s="35"/>
      <c r="C116" s="35"/>
      <c r="D116" s="35"/>
      <c r="E116" s="35"/>
      <c r="F116" s="35"/>
      <c r="G116" s="35"/>
      <c r="H116" s="35"/>
      <c r="I116" s="35"/>
      <c r="J116" s="35"/>
      <c r="K116" s="35"/>
      <c r="L116" s="35"/>
      <c r="M116" s="35"/>
      <c r="N116" s="35"/>
      <c r="O116" s="35"/>
      <c r="P116" s="35"/>
      <c r="Q116" s="35"/>
      <c r="R116" s="35"/>
      <c r="S116" s="54"/>
      <c r="T116" s="54"/>
      <c r="U116" s="54"/>
      <c r="V116" s="54"/>
      <c r="W116" s="35"/>
      <c r="X116" s="35"/>
      <c r="Y116" s="54"/>
      <c r="Z116" s="54"/>
      <c r="AA116" s="35"/>
      <c r="AB116" s="35"/>
      <c r="AC116" s="35"/>
      <c r="AD116" s="54"/>
      <c r="AE116" s="54"/>
      <c r="AF116" s="54"/>
      <c r="AG116" s="54"/>
      <c r="AH116" s="54"/>
      <c r="AI116" s="54"/>
      <c r="AJ116" s="54"/>
      <c r="AK116" s="54"/>
      <c r="AL116" s="54"/>
      <c r="AM116" s="54"/>
      <c r="AN116" s="54"/>
      <c r="AO116" s="54"/>
      <c r="AP116" s="54"/>
      <c r="AQ116" s="54"/>
      <c r="AR116" s="54"/>
      <c r="AS116" s="54"/>
      <c r="AT116" s="54"/>
      <c r="AU116" s="54"/>
      <c r="AV116" s="54"/>
      <c r="AW116" s="54"/>
      <c r="AX116" s="54"/>
      <c r="AY116" s="54"/>
      <c r="AZ116" s="54"/>
      <c r="BA116" s="54"/>
      <c r="BB116" s="54"/>
      <c r="BC116" s="54"/>
      <c r="BD116" s="51"/>
      <c r="BE116" s="131"/>
      <c r="BF116" s="131"/>
      <c r="BG116" s="131"/>
      <c r="BH116" s="131"/>
      <c r="BI116" s="131"/>
      <c r="BJ116" s="131"/>
      <c r="BK116" s="131"/>
      <c r="BL116" s="131"/>
      <c r="BM116" s="131"/>
      <c r="BN116" s="131"/>
      <c r="BO116" s="131"/>
      <c r="BP116" s="131"/>
      <c r="BQ116" s="131"/>
      <c r="BR116" s="131"/>
      <c r="BS116" s="131"/>
      <c r="BT116" s="131"/>
    </row>
    <row r="117" spans="1:72" s="130" customFormat="1" ht="15">
      <c r="A117" s="35"/>
      <c r="B117" s="35"/>
      <c r="C117" s="35"/>
      <c r="D117" s="35"/>
      <c r="E117" s="35"/>
      <c r="F117" s="35"/>
      <c r="G117" s="35"/>
      <c r="H117" s="35"/>
      <c r="I117" s="35"/>
      <c r="J117" s="35"/>
      <c r="K117" s="35"/>
      <c r="L117" s="35"/>
      <c r="M117" s="35"/>
      <c r="N117" s="35"/>
      <c r="O117" s="35"/>
      <c r="P117" s="35"/>
      <c r="Q117" s="35"/>
      <c r="R117" s="35"/>
      <c r="S117" s="54"/>
      <c r="T117" s="54"/>
      <c r="U117" s="54"/>
      <c r="V117" s="54"/>
      <c r="W117" s="35"/>
      <c r="X117" s="35"/>
      <c r="Y117" s="54"/>
      <c r="Z117" s="54"/>
      <c r="AA117" s="35"/>
      <c r="AB117" s="35"/>
      <c r="AC117" s="35"/>
      <c r="AD117" s="54"/>
      <c r="AE117" s="54"/>
      <c r="AF117" s="54"/>
      <c r="AG117" s="54"/>
      <c r="AH117" s="54"/>
      <c r="AI117" s="54"/>
      <c r="AJ117" s="54"/>
      <c r="AK117" s="54"/>
      <c r="AL117" s="54"/>
      <c r="AM117" s="54"/>
      <c r="AN117" s="54"/>
      <c r="AO117" s="54"/>
      <c r="AP117" s="54"/>
      <c r="AQ117" s="54"/>
      <c r="AR117" s="54"/>
      <c r="AS117" s="54"/>
      <c r="AT117" s="54"/>
      <c r="AU117" s="54"/>
      <c r="AV117" s="54"/>
      <c r="AW117" s="54"/>
      <c r="AX117" s="54"/>
      <c r="AY117" s="54"/>
      <c r="AZ117" s="54"/>
      <c r="BA117" s="54"/>
      <c r="BB117" s="54"/>
      <c r="BC117" s="54"/>
      <c r="BD117" s="51"/>
      <c r="BE117" s="131"/>
      <c r="BF117" s="131"/>
      <c r="BG117" s="131"/>
      <c r="BH117" s="131"/>
      <c r="BI117" s="131"/>
      <c r="BJ117" s="131"/>
      <c r="BK117" s="131"/>
      <c r="BL117" s="131"/>
      <c r="BM117" s="131"/>
      <c r="BN117" s="131"/>
      <c r="BO117" s="131"/>
      <c r="BP117" s="131"/>
      <c r="BQ117" s="131"/>
      <c r="BR117" s="131"/>
      <c r="BS117" s="131"/>
      <c r="BT117" s="131"/>
    </row>
    <row r="118" spans="1:72" s="130" customFormat="1" ht="15">
      <c r="A118" s="35"/>
      <c r="B118" s="35"/>
      <c r="C118" s="35"/>
      <c r="D118" s="35"/>
      <c r="E118" s="35"/>
      <c r="F118" s="35"/>
      <c r="G118" s="35"/>
      <c r="H118" s="35"/>
      <c r="I118" s="35"/>
      <c r="J118" s="35"/>
      <c r="K118" s="35"/>
      <c r="L118" s="35"/>
      <c r="M118" s="35"/>
      <c r="N118" s="35"/>
      <c r="O118" s="35"/>
      <c r="P118" s="35"/>
      <c r="Q118" s="35"/>
      <c r="R118" s="35"/>
      <c r="S118" s="54"/>
      <c r="T118" s="54"/>
      <c r="U118" s="54"/>
      <c r="V118" s="54"/>
      <c r="W118" s="35"/>
      <c r="X118" s="35"/>
      <c r="Y118" s="54"/>
      <c r="Z118" s="54"/>
      <c r="AA118" s="35"/>
      <c r="AB118" s="35"/>
      <c r="AC118" s="35"/>
      <c r="AD118" s="54"/>
      <c r="AE118" s="54"/>
      <c r="AF118" s="54"/>
      <c r="AG118" s="54"/>
      <c r="AH118" s="54"/>
      <c r="AI118" s="54"/>
      <c r="AJ118" s="54"/>
      <c r="AK118" s="54"/>
      <c r="AL118" s="54"/>
      <c r="AM118" s="54"/>
      <c r="AN118" s="54"/>
      <c r="AO118" s="54"/>
      <c r="AP118" s="54"/>
      <c r="AQ118" s="54"/>
      <c r="AR118" s="54"/>
      <c r="AS118" s="54"/>
      <c r="AT118" s="54"/>
      <c r="AU118" s="54"/>
      <c r="AV118" s="54"/>
      <c r="AW118" s="54"/>
      <c r="AX118" s="54"/>
      <c r="AY118" s="54"/>
      <c r="AZ118" s="54"/>
      <c r="BA118" s="54"/>
      <c r="BB118" s="54"/>
      <c r="BC118" s="54"/>
      <c r="BD118" s="51"/>
      <c r="BE118" s="131"/>
      <c r="BF118" s="131"/>
      <c r="BG118" s="131"/>
      <c r="BH118" s="131"/>
      <c r="BI118" s="131"/>
      <c r="BJ118" s="131"/>
      <c r="BK118" s="131"/>
      <c r="BL118" s="131"/>
      <c r="BM118" s="131"/>
      <c r="BN118" s="131"/>
      <c r="BO118" s="131"/>
      <c r="BP118" s="131"/>
      <c r="BQ118" s="131"/>
      <c r="BR118" s="131"/>
      <c r="BS118" s="131"/>
      <c r="BT118" s="131"/>
    </row>
    <row r="119" spans="1:72" s="130" customFormat="1" ht="15">
      <c r="A119" s="35"/>
      <c r="B119" s="35"/>
      <c r="C119" s="35"/>
      <c r="D119" s="35"/>
      <c r="E119" s="35"/>
      <c r="F119" s="35"/>
      <c r="G119" s="35"/>
      <c r="H119" s="35"/>
      <c r="I119" s="35"/>
      <c r="J119" s="35"/>
      <c r="K119" s="35"/>
      <c r="L119" s="35"/>
      <c r="M119" s="35"/>
      <c r="N119" s="35"/>
      <c r="O119" s="35"/>
      <c r="P119" s="35"/>
      <c r="Q119" s="35"/>
      <c r="R119" s="35"/>
      <c r="S119" s="54"/>
      <c r="T119" s="54"/>
      <c r="U119" s="54"/>
      <c r="V119" s="54"/>
      <c r="W119" s="35"/>
      <c r="X119" s="35"/>
      <c r="Y119" s="54"/>
      <c r="Z119" s="54"/>
      <c r="AA119" s="35"/>
      <c r="AB119" s="35"/>
      <c r="AC119" s="35"/>
      <c r="AD119" s="54"/>
      <c r="AE119" s="54"/>
      <c r="AF119" s="54"/>
      <c r="AG119" s="54"/>
      <c r="AH119" s="54"/>
      <c r="AI119" s="54"/>
      <c r="AJ119" s="54"/>
      <c r="AK119" s="54"/>
      <c r="AL119" s="54"/>
      <c r="AM119" s="54"/>
      <c r="AN119" s="54"/>
      <c r="AO119" s="54"/>
      <c r="AP119" s="54"/>
      <c r="AQ119" s="54"/>
      <c r="AR119" s="54"/>
      <c r="AS119" s="54"/>
      <c r="AT119" s="54"/>
      <c r="AU119" s="54"/>
      <c r="AV119" s="54"/>
      <c r="AW119" s="54"/>
      <c r="AX119" s="54"/>
      <c r="AY119" s="54"/>
      <c r="AZ119" s="54"/>
      <c r="BA119" s="54"/>
      <c r="BB119" s="54"/>
      <c r="BC119" s="54"/>
      <c r="BD119" s="51"/>
      <c r="BE119" s="131"/>
      <c r="BF119" s="131"/>
      <c r="BG119" s="131"/>
      <c r="BH119" s="131"/>
      <c r="BI119" s="131"/>
      <c r="BJ119" s="131"/>
      <c r="BK119" s="131"/>
      <c r="BL119" s="131"/>
      <c r="BM119" s="131"/>
      <c r="BN119" s="131"/>
      <c r="BO119" s="131"/>
      <c r="BP119" s="131"/>
      <c r="BQ119" s="131"/>
      <c r="BR119" s="131"/>
      <c r="BS119" s="131"/>
      <c r="BT119" s="131"/>
    </row>
    <row r="120" spans="1:72" s="130" customFormat="1" ht="15">
      <c r="A120" s="35"/>
      <c r="B120" s="35"/>
      <c r="C120" s="35"/>
      <c r="D120" s="35"/>
      <c r="E120" s="35"/>
      <c r="F120" s="35"/>
      <c r="G120" s="35"/>
      <c r="H120" s="35"/>
      <c r="I120" s="35"/>
      <c r="J120" s="35"/>
      <c r="K120" s="35"/>
      <c r="L120" s="35"/>
      <c r="M120" s="35"/>
      <c r="N120" s="35"/>
      <c r="O120" s="35"/>
      <c r="P120" s="35"/>
      <c r="Q120" s="35"/>
      <c r="R120" s="35"/>
      <c r="S120" s="54"/>
      <c r="T120" s="54"/>
      <c r="U120" s="54"/>
      <c r="V120" s="54"/>
      <c r="W120" s="35"/>
      <c r="X120" s="35"/>
      <c r="Y120" s="54"/>
      <c r="Z120" s="54"/>
      <c r="AA120" s="35"/>
      <c r="AB120" s="35"/>
      <c r="AC120" s="35"/>
      <c r="AD120" s="54"/>
      <c r="AE120" s="54"/>
      <c r="AF120" s="54"/>
      <c r="AG120" s="54"/>
      <c r="AH120" s="54"/>
      <c r="AI120" s="54"/>
      <c r="AJ120" s="54"/>
      <c r="AK120" s="54"/>
      <c r="AL120" s="54"/>
      <c r="AM120" s="54"/>
      <c r="AN120" s="54"/>
      <c r="AO120" s="54"/>
      <c r="AP120" s="54"/>
      <c r="AQ120" s="54"/>
      <c r="AR120" s="54"/>
      <c r="AS120" s="54"/>
      <c r="AT120" s="54"/>
      <c r="AU120" s="54"/>
      <c r="AV120" s="54"/>
      <c r="AW120" s="54"/>
      <c r="AX120" s="54"/>
      <c r="AY120" s="54"/>
      <c r="AZ120" s="54"/>
      <c r="BA120" s="54"/>
      <c r="BB120" s="54"/>
      <c r="BC120" s="54"/>
      <c r="BD120" s="51"/>
      <c r="BE120" s="131"/>
      <c r="BF120" s="131"/>
      <c r="BG120" s="131"/>
      <c r="BH120" s="131"/>
      <c r="BI120" s="131"/>
      <c r="BJ120" s="131"/>
      <c r="BK120" s="131"/>
      <c r="BL120" s="131"/>
      <c r="BM120" s="131"/>
      <c r="BN120" s="131"/>
      <c r="BO120" s="131"/>
      <c r="BP120" s="131"/>
      <c r="BQ120" s="131"/>
      <c r="BR120" s="131"/>
      <c r="BS120" s="131"/>
      <c r="BT120" s="131"/>
    </row>
    <row r="121" spans="1:72" s="130" customFormat="1" ht="15">
      <c r="A121" s="35"/>
      <c r="B121" s="35"/>
      <c r="C121" s="35"/>
      <c r="D121" s="35"/>
      <c r="E121" s="35"/>
      <c r="F121" s="35"/>
      <c r="G121" s="35"/>
      <c r="H121" s="35"/>
      <c r="I121" s="35"/>
      <c r="J121" s="35"/>
      <c r="K121" s="35"/>
      <c r="L121" s="35"/>
      <c r="M121" s="35"/>
      <c r="N121" s="35"/>
      <c r="O121" s="35"/>
      <c r="P121" s="35"/>
      <c r="Q121" s="35"/>
      <c r="R121" s="35"/>
      <c r="S121" s="54"/>
      <c r="T121" s="54"/>
      <c r="U121" s="54"/>
      <c r="V121" s="54"/>
      <c r="W121" s="35"/>
      <c r="X121" s="35"/>
      <c r="Y121" s="54"/>
      <c r="Z121" s="54"/>
      <c r="AA121" s="35"/>
      <c r="AB121" s="35"/>
      <c r="AC121" s="35"/>
      <c r="AD121" s="54"/>
      <c r="AE121" s="54"/>
      <c r="AF121" s="54"/>
      <c r="AG121" s="54"/>
      <c r="AH121" s="54"/>
      <c r="AI121" s="54"/>
      <c r="AJ121" s="54"/>
      <c r="AK121" s="54"/>
      <c r="AL121" s="54"/>
      <c r="AM121" s="54"/>
      <c r="AN121" s="54"/>
      <c r="AO121" s="54"/>
      <c r="AP121" s="54"/>
      <c r="AQ121" s="54"/>
      <c r="AR121" s="54"/>
      <c r="AS121" s="54"/>
      <c r="AT121" s="54"/>
      <c r="AU121" s="54"/>
      <c r="AV121" s="54"/>
      <c r="AW121" s="54"/>
      <c r="AX121" s="54"/>
      <c r="AY121" s="54"/>
      <c r="AZ121" s="54"/>
      <c r="BA121" s="54"/>
      <c r="BB121" s="54"/>
      <c r="BC121" s="54"/>
      <c r="BD121" s="51"/>
      <c r="BE121" s="131"/>
      <c r="BF121" s="131"/>
      <c r="BG121" s="131"/>
      <c r="BH121" s="131"/>
      <c r="BI121" s="131"/>
      <c r="BJ121" s="131"/>
      <c r="BK121" s="131"/>
      <c r="BL121" s="131"/>
      <c r="BM121" s="131"/>
      <c r="BN121" s="131"/>
      <c r="BO121" s="131"/>
      <c r="BP121" s="131"/>
      <c r="BQ121" s="131"/>
      <c r="BR121" s="131"/>
      <c r="BS121" s="131"/>
      <c r="BT121" s="131"/>
    </row>
    <row r="122" spans="1:72" s="130" customFormat="1" ht="15">
      <c r="A122" s="35"/>
      <c r="B122" s="35"/>
      <c r="C122" s="35"/>
      <c r="D122" s="35"/>
      <c r="E122" s="35"/>
      <c r="F122" s="35"/>
      <c r="G122" s="35"/>
      <c r="H122" s="35"/>
      <c r="I122" s="35"/>
      <c r="J122" s="35"/>
      <c r="K122" s="35"/>
      <c r="L122" s="35"/>
      <c r="M122" s="35"/>
      <c r="N122" s="35"/>
      <c r="O122" s="35"/>
      <c r="P122" s="35"/>
      <c r="Q122" s="35"/>
      <c r="R122" s="35"/>
      <c r="S122" s="54"/>
      <c r="T122" s="54"/>
      <c r="U122" s="54"/>
      <c r="V122" s="54"/>
      <c r="W122" s="35"/>
      <c r="X122" s="35"/>
      <c r="Y122" s="54"/>
      <c r="Z122" s="54"/>
      <c r="AA122" s="35"/>
      <c r="AB122" s="35"/>
      <c r="AC122" s="35"/>
      <c r="AD122" s="54"/>
      <c r="AE122" s="54"/>
      <c r="AF122" s="54"/>
      <c r="AG122" s="54"/>
      <c r="AH122" s="54"/>
      <c r="AI122" s="54"/>
      <c r="AJ122" s="54"/>
      <c r="AK122" s="54"/>
      <c r="AL122" s="54"/>
      <c r="AM122" s="54"/>
      <c r="AN122" s="54"/>
      <c r="AO122" s="54"/>
      <c r="AP122" s="54"/>
      <c r="AQ122" s="54"/>
      <c r="AR122" s="54"/>
      <c r="AS122" s="54"/>
      <c r="AT122" s="54"/>
      <c r="AU122" s="54"/>
      <c r="AV122" s="54"/>
      <c r="AW122" s="54"/>
      <c r="AX122" s="54"/>
      <c r="AY122" s="54"/>
      <c r="AZ122" s="54"/>
      <c r="BA122" s="54"/>
      <c r="BB122" s="54"/>
      <c r="BC122" s="54"/>
      <c r="BD122" s="51"/>
      <c r="BE122" s="131"/>
      <c r="BF122" s="131"/>
      <c r="BG122" s="131"/>
      <c r="BH122" s="131"/>
      <c r="BI122" s="131"/>
      <c r="BJ122" s="131"/>
      <c r="BK122" s="131"/>
      <c r="BL122" s="131"/>
      <c r="BM122" s="131"/>
      <c r="BN122" s="131"/>
      <c r="BO122" s="131"/>
      <c r="BP122" s="131"/>
      <c r="BQ122" s="131"/>
      <c r="BR122" s="131"/>
      <c r="BS122" s="131"/>
      <c r="BT122" s="131"/>
    </row>
    <row r="123" spans="1:72" s="130" customFormat="1" ht="15">
      <c r="A123" s="35"/>
      <c r="B123" s="35"/>
      <c r="C123" s="35"/>
      <c r="D123" s="35"/>
      <c r="E123" s="35"/>
      <c r="F123" s="35"/>
      <c r="G123" s="35"/>
      <c r="H123" s="35"/>
      <c r="I123" s="35"/>
      <c r="J123" s="35"/>
      <c r="K123" s="35"/>
      <c r="L123" s="35"/>
      <c r="M123" s="35"/>
      <c r="N123" s="35"/>
      <c r="O123" s="35"/>
      <c r="P123" s="35"/>
      <c r="Q123" s="35"/>
      <c r="R123" s="35"/>
      <c r="S123" s="54"/>
      <c r="T123" s="54"/>
      <c r="U123" s="54"/>
      <c r="V123" s="54"/>
      <c r="W123" s="35"/>
      <c r="X123" s="35"/>
      <c r="Y123" s="54"/>
      <c r="Z123" s="54"/>
      <c r="AA123" s="35"/>
      <c r="AB123" s="35"/>
      <c r="AC123" s="35"/>
      <c r="AD123" s="54"/>
      <c r="AE123" s="54"/>
      <c r="AF123" s="54"/>
      <c r="AG123" s="54"/>
      <c r="AH123" s="54"/>
      <c r="AI123" s="54"/>
      <c r="AJ123" s="54"/>
      <c r="AK123" s="54"/>
      <c r="AL123" s="54"/>
      <c r="AM123" s="54"/>
      <c r="AN123" s="54"/>
      <c r="AO123" s="54"/>
      <c r="AP123" s="54"/>
      <c r="AQ123" s="54"/>
      <c r="AR123" s="54"/>
      <c r="AS123" s="54"/>
      <c r="AT123" s="54"/>
      <c r="AU123" s="54"/>
      <c r="AV123" s="54"/>
      <c r="AW123" s="54"/>
      <c r="AX123" s="54"/>
      <c r="AY123" s="54"/>
      <c r="AZ123" s="54"/>
      <c r="BA123" s="54"/>
      <c r="BB123" s="54"/>
      <c r="BC123" s="54"/>
      <c r="BD123" s="51"/>
      <c r="BE123" s="131"/>
      <c r="BF123" s="131"/>
      <c r="BG123" s="131"/>
      <c r="BH123" s="131"/>
      <c r="BI123" s="131"/>
      <c r="BJ123" s="131"/>
      <c r="BK123" s="131"/>
      <c r="BL123" s="131"/>
      <c r="BM123" s="131"/>
      <c r="BN123" s="131"/>
      <c r="BO123" s="131"/>
      <c r="BP123" s="131"/>
      <c r="BQ123" s="131"/>
      <c r="BR123" s="131"/>
      <c r="BS123" s="131"/>
      <c r="BT123" s="131"/>
    </row>
    <row r="124" spans="1:72" s="130" customFormat="1" ht="15">
      <c r="A124" s="35"/>
      <c r="B124" s="35"/>
      <c r="C124" s="35"/>
      <c r="D124" s="35"/>
      <c r="E124" s="35"/>
      <c r="F124" s="35"/>
      <c r="G124" s="35"/>
      <c r="H124" s="35"/>
      <c r="I124" s="35"/>
      <c r="J124" s="35"/>
      <c r="K124" s="35"/>
      <c r="L124" s="35"/>
      <c r="M124" s="35"/>
      <c r="N124" s="35"/>
      <c r="O124" s="35"/>
      <c r="P124" s="35"/>
      <c r="Q124" s="35"/>
      <c r="R124" s="35"/>
      <c r="S124" s="54"/>
      <c r="T124" s="54"/>
      <c r="U124" s="54"/>
      <c r="V124" s="54"/>
      <c r="W124" s="35"/>
      <c r="X124" s="35"/>
      <c r="Y124" s="54"/>
      <c r="Z124" s="54"/>
      <c r="AA124" s="35"/>
      <c r="AB124" s="35"/>
      <c r="AC124" s="35"/>
      <c r="AD124" s="54"/>
      <c r="AE124" s="54"/>
      <c r="AF124" s="54"/>
      <c r="AG124" s="54"/>
      <c r="AH124" s="54"/>
      <c r="AI124" s="54"/>
      <c r="AJ124" s="54"/>
      <c r="AK124" s="54"/>
      <c r="AL124" s="54"/>
      <c r="AM124" s="54"/>
      <c r="AN124" s="54"/>
      <c r="AO124" s="54"/>
      <c r="AP124" s="54"/>
      <c r="AQ124" s="54"/>
      <c r="AR124" s="54"/>
      <c r="AS124" s="54"/>
      <c r="AT124" s="54"/>
      <c r="AU124" s="54"/>
      <c r="AV124" s="54"/>
      <c r="AW124" s="54"/>
      <c r="AX124" s="54"/>
      <c r="AY124" s="54"/>
      <c r="AZ124" s="54"/>
      <c r="BA124" s="54"/>
      <c r="BB124" s="54"/>
      <c r="BC124" s="54"/>
      <c r="BD124" s="51"/>
      <c r="BE124" s="131"/>
      <c r="BF124" s="131"/>
      <c r="BG124" s="131"/>
      <c r="BH124" s="131"/>
      <c r="BI124" s="131"/>
      <c r="BJ124" s="131"/>
      <c r="BK124" s="131"/>
      <c r="BL124" s="131"/>
      <c r="BM124" s="131"/>
      <c r="BN124" s="131"/>
      <c r="BO124" s="131"/>
      <c r="BP124" s="131"/>
      <c r="BQ124" s="131"/>
      <c r="BR124" s="131"/>
      <c r="BS124" s="131"/>
      <c r="BT124" s="131"/>
    </row>
    <row r="125" spans="1:72" s="130" customFormat="1" ht="15">
      <c r="A125" s="35"/>
      <c r="B125" s="35"/>
      <c r="C125" s="35"/>
      <c r="D125" s="35"/>
      <c r="E125" s="35"/>
      <c r="F125" s="35"/>
      <c r="G125" s="35"/>
      <c r="H125" s="35"/>
      <c r="I125" s="35"/>
      <c r="J125" s="35"/>
      <c r="K125" s="35"/>
      <c r="L125" s="35"/>
      <c r="M125" s="35"/>
      <c r="N125" s="35"/>
      <c r="O125" s="35"/>
      <c r="P125" s="35"/>
      <c r="Q125" s="35"/>
      <c r="R125" s="35"/>
      <c r="S125" s="54"/>
      <c r="T125" s="54"/>
      <c r="U125" s="54"/>
      <c r="V125" s="54"/>
      <c r="W125" s="35"/>
      <c r="X125" s="35"/>
      <c r="Y125" s="54"/>
      <c r="Z125" s="54"/>
      <c r="AA125" s="35"/>
      <c r="AB125" s="35"/>
      <c r="AC125" s="35"/>
      <c r="AD125" s="54"/>
      <c r="AE125" s="54"/>
      <c r="AF125" s="54"/>
      <c r="AG125" s="54"/>
      <c r="AH125" s="54"/>
      <c r="AI125" s="54"/>
      <c r="AJ125" s="54"/>
      <c r="AK125" s="54"/>
      <c r="AL125" s="54"/>
      <c r="AM125" s="54"/>
      <c r="AN125" s="54"/>
      <c r="AO125" s="54"/>
      <c r="AP125" s="54"/>
      <c r="AQ125" s="54"/>
      <c r="AR125" s="54"/>
      <c r="AS125" s="54"/>
      <c r="AT125" s="54"/>
      <c r="AU125" s="54"/>
      <c r="AV125" s="54"/>
      <c r="AW125" s="54"/>
      <c r="AX125" s="54"/>
      <c r="AY125" s="54"/>
      <c r="AZ125" s="54"/>
      <c r="BA125" s="54"/>
      <c r="BB125" s="54"/>
      <c r="BC125" s="54"/>
      <c r="BD125" s="51"/>
      <c r="BE125" s="131"/>
      <c r="BF125" s="131"/>
      <c r="BG125" s="131"/>
      <c r="BH125" s="131"/>
      <c r="BI125" s="131"/>
      <c r="BJ125" s="131"/>
      <c r="BK125" s="131"/>
      <c r="BL125" s="131"/>
      <c r="BM125" s="131"/>
      <c r="BN125" s="131"/>
      <c r="BO125" s="131"/>
      <c r="BP125" s="131"/>
      <c r="BQ125" s="131"/>
      <c r="BR125" s="131"/>
      <c r="BS125" s="131"/>
      <c r="BT125" s="131"/>
    </row>
    <row r="126" spans="1:72" s="130" customFormat="1" ht="15">
      <c r="A126" s="35"/>
      <c r="B126" s="35"/>
      <c r="C126" s="35"/>
      <c r="D126" s="35"/>
      <c r="E126" s="35"/>
      <c r="F126" s="35"/>
      <c r="G126" s="35"/>
      <c r="H126" s="35"/>
      <c r="I126" s="35"/>
      <c r="J126" s="35"/>
      <c r="K126" s="35"/>
      <c r="L126" s="35"/>
      <c r="M126" s="35"/>
      <c r="N126" s="35"/>
      <c r="O126" s="35"/>
      <c r="P126" s="35"/>
      <c r="Q126" s="35"/>
      <c r="R126" s="35"/>
      <c r="S126" s="54"/>
      <c r="T126" s="54"/>
      <c r="U126" s="54"/>
      <c r="V126" s="54"/>
      <c r="W126" s="35"/>
      <c r="X126" s="35"/>
      <c r="Y126" s="54"/>
      <c r="Z126" s="54"/>
      <c r="AA126" s="35"/>
      <c r="AB126" s="35"/>
      <c r="AC126" s="35"/>
      <c r="AD126" s="54"/>
      <c r="AE126" s="54"/>
      <c r="AF126" s="54"/>
      <c r="AG126" s="54"/>
      <c r="AH126" s="54"/>
      <c r="AI126" s="54"/>
      <c r="AJ126" s="54"/>
      <c r="AK126" s="54"/>
      <c r="AL126" s="54"/>
      <c r="AM126" s="54"/>
      <c r="AN126" s="54"/>
      <c r="AO126" s="54"/>
      <c r="AP126" s="54"/>
      <c r="AQ126" s="54"/>
      <c r="AR126" s="54"/>
      <c r="AS126" s="54"/>
      <c r="AT126" s="54"/>
      <c r="AU126" s="54"/>
      <c r="AV126" s="54"/>
      <c r="AW126" s="54"/>
      <c r="AX126" s="54"/>
      <c r="AY126" s="54"/>
      <c r="AZ126" s="54"/>
      <c r="BA126" s="54"/>
      <c r="BB126" s="54"/>
      <c r="BC126" s="54"/>
      <c r="BD126" s="51"/>
      <c r="BE126" s="131"/>
      <c r="BF126" s="131"/>
      <c r="BG126" s="131"/>
      <c r="BH126" s="131"/>
      <c r="BI126" s="131"/>
      <c r="BJ126" s="131"/>
      <c r="BK126" s="131"/>
      <c r="BL126" s="131"/>
      <c r="BM126" s="131"/>
      <c r="BN126" s="131"/>
      <c r="BO126" s="131"/>
      <c r="BP126" s="131"/>
      <c r="BQ126" s="131"/>
      <c r="BR126" s="131"/>
      <c r="BS126" s="131"/>
      <c r="BT126" s="131"/>
    </row>
    <row r="127" spans="1:72" s="130" customFormat="1" ht="15">
      <c r="A127" s="35"/>
      <c r="B127" s="35"/>
      <c r="C127" s="35"/>
      <c r="D127" s="35"/>
      <c r="E127" s="35"/>
      <c r="F127" s="35"/>
      <c r="G127" s="35"/>
      <c r="H127" s="35"/>
      <c r="I127" s="35"/>
      <c r="J127" s="35"/>
      <c r="K127" s="35"/>
      <c r="L127" s="35"/>
      <c r="M127" s="35"/>
      <c r="N127" s="35"/>
      <c r="O127" s="35"/>
      <c r="P127" s="35"/>
      <c r="Q127" s="35"/>
      <c r="R127" s="35"/>
      <c r="S127" s="54"/>
      <c r="T127" s="54"/>
      <c r="U127" s="54"/>
      <c r="V127" s="54"/>
      <c r="W127" s="35"/>
      <c r="X127" s="35"/>
      <c r="Y127" s="54"/>
      <c r="Z127" s="54"/>
      <c r="AA127" s="35"/>
      <c r="AB127" s="35"/>
      <c r="AC127" s="35"/>
      <c r="AD127" s="54"/>
      <c r="AE127" s="54"/>
      <c r="AF127" s="54"/>
      <c r="AG127" s="54"/>
      <c r="AH127" s="54"/>
      <c r="AI127" s="54"/>
      <c r="AJ127" s="54"/>
      <c r="AK127" s="54"/>
      <c r="AL127" s="54"/>
      <c r="AM127" s="54"/>
      <c r="AN127" s="54"/>
      <c r="AO127" s="54"/>
      <c r="AP127" s="54"/>
      <c r="AQ127" s="54"/>
      <c r="AR127" s="54"/>
      <c r="AS127" s="54"/>
      <c r="AT127" s="54"/>
      <c r="AU127" s="54"/>
      <c r="AV127" s="54"/>
      <c r="AW127" s="54"/>
      <c r="AX127" s="54"/>
      <c r="AY127" s="54"/>
      <c r="AZ127" s="54"/>
      <c r="BA127" s="54"/>
      <c r="BB127" s="54"/>
      <c r="BC127" s="54"/>
      <c r="BD127" s="51"/>
      <c r="BE127" s="131"/>
      <c r="BF127" s="131"/>
      <c r="BG127" s="131"/>
      <c r="BH127" s="131"/>
      <c r="BI127" s="131"/>
      <c r="BJ127" s="131"/>
      <c r="BK127" s="131"/>
      <c r="BL127" s="131"/>
      <c r="BM127" s="131"/>
      <c r="BN127" s="131"/>
      <c r="BO127" s="131"/>
      <c r="BP127" s="131"/>
      <c r="BQ127" s="131"/>
      <c r="BR127" s="131"/>
      <c r="BS127" s="131"/>
      <c r="BT127" s="131"/>
    </row>
    <row r="128" spans="1:72" s="130" customFormat="1" ht="15">
      <c r="A128" s="35"/>
      <c r="B128" s="35"/>
      <c r="C128" s="35"/>
      <c r="D128" s="35"/>
      <c r="E128" s="35"/>
      <c r="F128" s="35"/>
      <c r="G128" s="35"/>
      <c r="H128" s="35"/>
      <c r="I128" s="35"/>
      <c r="J128" s="35"/>
      <c r="K128" s="35"/>
      <c r="L128" s="35"/>
      <c r="M128" s="35"/>
      <c r="N128" s="35"/>
      <c r="O128" s="35"/>
      <c r="P128" s="35"/>
      <c r="Q128" s="35"/>
      <c r="R128" s="35"/>
      <c r="S128" s="54"/>
      <c r="T128" s="54"/>
      <c r="U128" s="54"/>
      <c r="V128" s="54"/>
      <c r="W128" s="35"/>
      <c r="X128" s="35"/>
      <c r="Y128" s="54"/>
      <c r="Z128" s="54"/>
      <c r="AA128" s="35"/>
      <c r="AB128" s="35"/>
      <c r="AC128" s="35"/>
      <c r="AD128" s="54"/>
      <c r="AE128" s="54"/>
      <c r="AF128" s="54"/>
      <c r="AG128" s="54"/>
      <c r="AH128" s="54"/>
      <c r="AI128" s="54"/>
      <c r="AJ128" s="54"/>
      <c r="AK128" s="54"/>
      <c r="AL128" s="54"/>
      <c r="AM128" s="54"/>
      <c r="AN128" s="54"/>
      <c r="AO128" s="54"/>
      <c r="AP128" s="54"/>
      <c r="AQ128" s="54"/>
      <c r="AR128" s="54"/>
      <c r="AS128" s="54"/>
      <c r="AT128" s="54"/>
      <c r="AU128" s="54"/>
      <c r="AV128" s="54"/>
      <c r="AW128" s="54"/>
      <c r="AX128" s="54"/>
      <c r="AY128" s="54"/>
      <c r="AZ128" s="54"/>
      <c r="BA128" s="54"/>
      <c r="BB128" s="54"/>
      <c r="BC128" s="54"/>
      <c r="BD128" s="51"/>
      <c r="BE128" s="131"/>
      <c r="BF128" s="131"/>
      <c r="BG128" s="131"/>
      <c r="BH128" s="131"/>
      <c r="BI128" s="131"/>
      <c r="BJ128" s="131"/>
      <c r="BK128" s="131"/>
      <c r="BL128" s="131"/>
      <c r="BM128" s="131"/>
      <c r="BN128" s="131"/>
      <c r="BO128" s="131"/>
      <c r="BP128" s="131"/>
      <c r="BQ128" s="131"/>
      <c r="BR128" s="131"/>
      <c r="BS128" s="131"/>
      <c r="BT128" s="131"/>
    </row>
    <row r="129" spans="1:72" s="130" customFormat="1" ht="15">
      <c r="A129" s="35"/>
      <c r="B129" s="35"/>
      <c r="C129" s="35"/>
      <c r="D129" s="35"/>
      <c r="E129" s="35"/>
      <c r="F129" s="35"/>
      <c r="G129" s="35"/>
      <c r="H129" s="35"/>
      <c r="I129" s="35"/>
      <c r="J129" s="35"/>
      <c r="K129" s="35"/>
      <c r="L129" s="35"/>
      <c r="M129" s="35"/>
      <c r="N129" s="35"/>
      <c r="O129" s="35"/>
      <c r="P129" s="35"/>
      <c r="Q129" s="35"/>
      <c r="R129" s="35"/>
      <c r="S129" s="54"/>
      <c r="T129" s="54"/>
      <c r="U129" s="54"/>
      <c r="V129" s="54"/>
      <c r="W129" s="35"/>
      <c r="X129" s="35"/>
      <c r="Y129" s="54"/>
      <c r="Z129" s="54"/>
      <c r="AA129" s="35"/>
      <c r="AB129" s="35"/>
      <c r="AC129" s="35"/>
      <c r="AD129" s="54"/>
      <c r="AE129" s="54"/>
      <c r="AF129" s="54"/>
      <c r="AG129" s="54"/>
      <c r="AH129" s="54"/>
      <c r="AI129" s="54"/>
      <c r="AJ129" s="54"/>
      <c r="AK129" s="54"/>
      <c r="AL129" s="54"/>
      <c r="AM129" s="54"/>
      <c r="AN129" s="54"/>
      <c r="AO129" s="54"/>
      <c r="AP129" s="54"/>
      <c r="AQ129" s="54"/>
      <c r="AR129" s="54"/>
      <c r="AS129" s="54"/>
      <c r="AT129" s="54"/>
      <c r="AU129" s="54"/>
      <c r="AV129" s="54"/>
      <c r="AW129" s="54"/>
      <c r="AX129" s="54"/>
      <c r="AY129" s="54"/>
      <c r="AZ129" s="54"/>
      <c r="BA129" s="54"/>
      <c r="BB129" s="54"/>
      <c r="BC129" s="54"/>
      <c r="BD129" s="51"/>
      <c r="BE129" s="131"/>
      <c r="BF129" s="131"/>
      <c r="BG129" s="131"/>
      <c r="BH129" s="131"/>
      <c r="BI129" s="131"/>
      <c r="BJ129" s="131"/>
      <c r="BK129" s="131"/>
      <c r="BL129" s="131"/>
      <c r="BM129" s="131"/>
      <c r="BN129" s="131"/>
      <c r="BO129" s="131"/>
      <c r="BP129" s="131"/>
      <c r="BQ129" s="131"/>
      <c r="BR129" s="131"/>
      <c r="BS129" s="131"/>
      <c r="BT129" s="131"/>
    </row>
    <row r="130" spans="1:72" s="130" customFormat="1" ht="15">
      <c r="A130" s="35"/>
      <c r="B130" s="35"/>
      <c r="C130" s="35"/>
      <c r="D130" s="35"/>
      <c r="E130" s="35"/>
      <c r="F130" s="35"/>
      <c r="G130" s="35"/>
      <c r="H130" s="35"/>
      <c r="I130" s="35"/>
      <c r="J130" s="35"/>
      <c r="K130" s="35"/>
      <c r="L130" s="35"/>
      <c r="M130" s="35"/>
      <c r="N130" s="35"/>
      <c r="O130" s="35"/>
      <c r="P130" s="35"/>
      <c r="Q130" s="35"/>
      <c r="R130" s="35"/>
      <c r="S130" s="54"/>
      <c r="T130" s="54"/>
      <c r="U130" s="54"/>
      <c r="V130" s="54"/>
      <c r="W130" s="35"/>
      <c r="X130" s="35"/>
      <c r="Y130" s="54"/>
      <c r="Z130" s="54"/>
      <c r="AA130" s="35"/>
      <c r="AB130" s="35"/>
      <c r="AC130" s="35"/>
      <c r="AD130" s="54"/>
      <c r="AE130" s="54"/>
      <c r="AF130" s="54"/>
      <c r="AG130" s="54"/>
      <c r="AH130" s="54"/>
      <c r="AI130" s="54"/>
      <c r="AJ130" s="54"/>
      <c r="AK130" s="54"/>
      <c r="AL130" s="54"/>
      <c r="AM130" s="54"/>
      <c r="AN130" s="54"/>
      <c r="AO130" s="54"/>
      <c r="AP130" s="54"/>
      <c r="AQ130" s="54"/>
      <c r="AR130" s="54"/>
      <c r="AS130" s="54"/>
      <c r="AT130" s="54"/>
      <c r="AU130" s="54"/>
      <c r="AV130" s="54"/>
      <c r="AW130" s="54"/>
      <c r="AX130" s="54"/>
      <c r="AY130" s="54"/>
      <c r="AZ130" s="54"/>
      <c r="BA130" s="54"/>
      <c r="BB130" s="54"/>
      <c r="BC130" s="54"/>
      <c r="BD130" s="51"/>
      <c r="BE130" s="131"/>
      <c r="BF130" s="131"/>
      <c r="BG130" s="131"/>
      <c r="BH130" s="131"/>
      <c r="BI130" s="131"/>
      <c r="BJ130" s="131"/>
      <c r="BK130" s="131"/>
      <c r="BL130" s="131"/>
      <c r="BM130" s="131"/>
      <c r="BN130" s="131"/>
      <c r="BO130" s="131"/>
      <c r="BP130" s="131"/>
      <c r="BQ130" s="131"/>
      <c r="BR130" s="131"/>
      <c r="BS130" s="131"/>
      <c r="BT130" s="131"/>
    </row>
    <row r="131" spans="1:72" s="130" customFormat="1" ht="15">
      <c r="A131" s="35"/>
      <c r="B131" s="35"/>
      <c r="C131" s="35"/>
      <c r="D131" s="35"/>
      <c r="E131" s="35"/>
      <c r="F131" s="35"/>
      <c r="G131" s="35"/>
      <c r="H131" s="35"/>
      <c r="I131" s="35"/>
      <c r="J131" s="35"/>
      <c r="K131" s="35"/>
      <c r="L131" s="35"/>
      <c r="M131" s="35"/>
      <c r="N131" s="35"/>
      <c r="O131" s="35"/>
      <c r="P131" s="35"/>
      <c r="Q131" s="35"/>
      <c r="R131" s="35"/>
      <c r="S131" s="54"/>
      <c r="T131" s="54"/>
      <c r="U131" s="54"/>
      <c r="V131" s="54"/>
      <c r="W131" s="35"/>
      <c r="X131" s="35"/>
      <c r="Y131" s="54"/>
      <c r="Z131" s="54"/>
      <c r="AA131" s="35"/>
      <c r="AB131" s="35"/>
      <c r="AC131" s="35"/>
      <c r="AD131" s="54"/>
      <c r="AE131" s="54"/>
      <c r="AF131" s="54"/>
      <c r="AG131" s="54"/>
      <c r="AH131" s="54"/>
      <c r="AI131" s="54"/>
      <c r="AJ131" s="54"/>
      <c r="AK131" s="54"/>
      <c r="AL131" s="54"/>
      <c r="AM131" s="54"/>
      <c r="AN131" s="54"/>
      <c r="AO131" s="54"/>
      <c r="AP131" s="54"/>
      <c r="AQ131" s="54"/>
      <c r="AR131" s="54"/>
      <c r="AS131" s="54"/>
      <c r="AT131" s="54"/>
      <c r="AU131" s="54"/>
      <c r="AV131" s="54"/>
      <c r="AW131" s="54"/>
      <c r="AX131" s="54"/>
      <c r="AY131" s="54"/>
      <c r="AZ131" s="54"/>
      <c r="BA131" s="54"/>
      <c r="BB131" s="54"/>
      <c r="BC131" s="54"/>
      <c r="BD131" s="51"/>
      <c r="BE131" s="131"/>
      <c r="BF131" s="131"/>
      <c r="BG131" s="131"/>
      <c r="BH131" s="131"/>
      <c r="BI131" s="131"/>
      <c r="BJ131" s="131"/>
      <c r="BK131" s="131"/>
      <c r="BL131" s="131"/>
      <c r="BM131" s="131"/>
      <c r="BN131" s="131"/>
      <c r="BO131" s="131"/>
      <c r="BP131" s="131"/>
      <c r="BQ131" s="131"/>
      <c r="BR131" s="131"/>
      <c r="BS131" s="131"/>
      <c r="BT131" s="131"/>
    </row>
    <row r="132" spans="1:72" s="130" customFormat="1" ht="15">
      <c r="A132" s="35"/>
      <c r="B132" s="35"/>
      <c r="C132" s="35"/>
      <c r="D132" s="35"/>
      <c r="E132" s="35"/>
      <c r="F132" s="35"/>
      <c r="G132" s="35"/>
      <c r="H132" s="35"/>
      <c r="I132" s="35"/>
      <c r="J132" s="35"/>
      <c r="K132" s="35"/>
      <c r="L132" s="35"/>
      <c r="M132" s="35"/>
      <c r="N132" s="35"/>
      <c r="O132" s="35"/>
      <c r="P132" s="35"/>
      <c r="Q132" s="35"/>
      <c r="R132" s="35"/>
      <c r="S132" s="54"/>
      <c r="T132" s="54"/>
      <c r="U132" s="54"/>
      <c r="V132" s="54"/>
      <c r="W132" s="35"/>
      <c r="X132" s="35"/>
      <c r="Y132" s="54"/>
      <c r="Z132" s="54"/>
      <c r="AA132" s="35"/>
      <c r="AB132" s="35"/>
      <c r="AC132" s="35"/>
      <c r="AD132" s="54"/>
      <c r="AE132" s="54"/>
      <c r="AF132" s="54"/>
      <c r="AG132" s="54"/>
      <c r="AH132" s="54"/>
      <c r="AI132" s="54"/>
      <c r="AJ132" s="54"/>
      <c r="AK132" s="54"/>
      <c r="AL132" s="54"/>
      <c r="AM132" s="54"/>
      <c r="AN132" s="54"/>
      <c r="AO132" s="54"/>
      <c r="AP132" s="54"/>
      <c r="AQ132" s="54"/>
      <c r="AR132" s="54"/>
      <c r="AS132" s="54"/>
      <c r="AT132" s="54"/>
      <c r="AU132" s="54"/>
      <c r="AV132" s="54"/>
      <c r="AW132" s="54"/>
      <c r="AX132" s="54"/>
      <c r="AY132" s="54"/>
      <c r="AZ132" s="54"/>
      <c r="BA132" s="54"/>
      <c r="BB132" s="54"/>
      <c r="BC132" s="54"/>
      <c r="BD132" s="51"/>
      <c r="BE132" s="131"/>
      <c r="BF132" s="131"/>
      <c r="BG132" s="131"/>
      <c r="BH132" s="131"/>
      <c r="BI132" s="131"/>
      <c r="BJ132" s="131"/>
      <c r="BK132" s="131"/>
      <c r="BL132" s="131"/>
      <c r="BM132" s="131"/>
      <c r="BN132" s="131"/>
      <c r="BO132" s="131"/>
      <c r="BP132" s="131"/>
      <c r="BQ132" s="131"/>
      <c r="BR132" s="131"/>
      <c r="BS132" s="131"/>
      <c r="BT132" s="131"/>
    </row>
    <row r="133" spans="1:72" s="130" customFormat="1" ht="15">
      <c r="A133" s="35"/>
      <c r="B133" s="35"/>
      <c r="C133" s="35"/>
      <c r="D133" s="35"/>
      <c r="E133" s="35"/>
      <c r="F133" s="35"/>
      <c r="G133" s="35"/>
      <c r="H133" s="35"/>
      <c r="I133" s="35"/>
      <c r="J133" s="35"/>
      <c r="K133" s="35"/>
      <c r="L133" s="35"/>
      <c r="M133" s="35"/>
      <c r="N133" s="35"/>
      <c r="O133" s="35"/>
      <c r="P133" s="35"/>
      <c r="Q133" s="35"/>
      <c r="R133" s="35"/>
      <c r="S133" s="54"/>
      <c r="T133" s="54"/>
      <c r="U133" s="54"/>
      <c r="V133" s="54"/>
      <c r="W133" s="35"/>
      <c r="X133" s="35"/>
      <c r="Y133" s="54"/>
      <c r="Z133" s="54"/>
      <c r="AA133" s="35"/>
      <c r="AB133" s="35"/>
      <c r="AC133" s="35"/>
      <c r="AD133" s="54"/>
      <c r="AE133" s="54"/>
      <c r="AF133" s="54"/>
      <c r="AG133" s="54"/>
      <c r="AH133" s="54"/>
      <c r="AI133" s="54"/>
      <c r="AJ133" s="54"/>
      <c r="AK133" s="54"/>
      <c r="AL133" s="54"/>
      <c r="AM133" s="54"/>
      <c r="AN133" s="54"/>
      <c r="AO133" s="54"/>
      <c r="AP133" s="54"/>
      <c r="AQ133" s="54"/>
      <c r="AR133" s="54"/>
      <c r="AS133" s="54"/>
      <c r="AT133" s="54"/>
      <c r="AU133" s="54"/>
      <c r="AV133" s="54"/>
      <c r="AW133" s="54"/>
      <c r="AX133" s="54"/>
      <c r="AY133" s="54"/>
      <c r="AZ133" s="54"/>
      <c r="BA133" s="54"/>
      <c r="BB133" s="54"/>
      <c r="BC133" s="54"/>
      <c r="BD133" s="51"/>
      <c r="BE133" s="131"/>
      <c r="BF133" s="131"/>
      <c r="BG133" s="131"/>
      <c r="BH133" s="131"/>
      <c r="BI133" s="131"/>
      <c r="BJ133" s="131"/>
      <c r="BK133" s="131"/>
      <c r="BL133" s="131"/>
      <c r="BM133" s="131"/>
      <c r="BN133" s="131"/>
      <c r="BO133" s="131"/>
      <c r="BP133" s="131"/>
      <c r="BQ133" s="131"/>
      <c r="BR133" s="131"/>
      <c r="BS133" s="131"/>
      <c r="BT133" s="131"/>
    </row>
    <row r="134" spans="1:72" s="130" customFormat="1" ht="15">
      <c r="A134" s="35"/>
      <c r="B134" s="35"/>
      <c r="C134" s="35"/>
      <c r="D134" s="35"/>
      <c r="E134" s="35"/>
      <c r="F134" s="35"/>
      <c r="G134" s="35"/>
      <c r="H134" s="35"/>
      <c r="I134" s="35"/>
      <c r="J134" s="35"/>
      <c r="K134" s="35"/>
      <c r="L134" s="35"/>
      <c r="M134" s="35"/>
      <c r="N134" s="35"/>
      <c r="O134" s="35"/>
      <c r="P134" s="35"/>
      <c r="Q134" s="35"/>
      <c r="R134" s="35"/>
      <c r="S134" s="54"/>
      <c r="T134" s="54"/>
      <c r="U134" s="54"/>
      <c r="V134" s="54"/>
      <c r="W134" s="35"/>
      <c r="X134" s="35"/>
      <c r="Y134" s="54"/>
      <c r="Z134" s="54"/>
      <c r="AA134" s="35"/>
      <c r="AB134" s="35"/>
      <c r="AC134" s="35"/>
      <c r="AD134" s="54"/>
      <c r="AE134" s="54"/>
      <c r="AF134" s="54"/>
      <c r="AG134" s="54"/>
      <c r="AH134" s="54"/>
      <c r="AI134" s="54"/>
      <c r="AJ134" s="54"/>
      <c r="AK134" s="54"/>
      <c r="AL134" s="54"/>
      <c r="AM134" s="54"/>
      <c r="AN134" s="54"/>
      <c r="AO134" s="54"/>
      <c r="AP134" s="54"/>
      <c r="AQ134" s="54"/>
      <c r="AR134" s="54"/>
      <c r="AS134" s="54"/>
      <c r="AT134" s="54"/>
      <c r="AU134" s="54"/>
      <c r="AV134" s="54"/>
      <c r="AW134" s="54"/>
      <c r="AX134" s="54"/>
      <c r="AY134" s="54"/>
      <c r="AZ134" s="54"/>
      <c r="BA134" s="54"/>
      <c r="BB134" s="54"/>
      <c r="BC134" s="54"/>
      <c r="BD134" s="51"/>
      <c r="BE134" s="131"/>
      <c r="BF134" s="131"/>
      <c r="BG134" s="131"/>
      <c r="BH134" s="131"/>
      <c r="BI134" s="131"/>
      <c r="BJ134" s="131"/>
      <c r="BK134" s="131"/>
      <c r="BL134" s="131"/>
      <c r="BM134" s="131"/>
      <c r="BN134" s="131"/>
      <c r="BO134" s="131"/>
      <c r="BP134" s="131"/>
      <c r="BQ134" s="131"/>
      <c r="BR134" s="131"/>
      <c r="BS134" s="131"/>
      <c r="BT134" s="131"/>
    </row>
    <row r="135" spans="1:72" s="130" customFormat="1" ht="15">
      <c r="A135" s="35"/>
      <c r="B135" s="35"/>
      <c r="C135" s="35"/>
      <c r="D135" s="35"/>
      <c r="E135" s="35"/>
      <c r="F135" s="35"/>
      <c r="G135" s="35"/>
      <c r="H135" s="35"/>
      <c r="I135" s="35"/>
      <c r="J135" s="35"/>
      <c r="K135" s="35"/>
      <c r="L135" s="35"/>
      <c r="M135" s="35"/>
      <c r="N135" s="35"/>
      <c r="O135" s="35"/>
      <c r="P135" s="35"/>
      <c r="Q135" s="35"/>
      <c r="R135" s="35"/>
      <c r="S135" s="54"/>
      <c r="T135" s="54"/>
      <c r="U135" s="54"/>
      <c r="V135" s="54"/>
      <c r="W135" s="35"/>
      <c r="X135" s="35"/>
      <c r="Y135" s="54"/>
      <c r="Z135" s="54"/>
      <c r="AA135" s="35"/>
      <c r="AB135" s="35"/>
      <c r="AC135" s="35"/>
      <c r="AD135" s="54"/>
      <c r="AE135" s="54"/>
      <c r="AF135" s="54"/>
      <c r="AG135" s="54"/>
      <c r="AH135" s="54"/>
      <c r="AI135" s="54"/>
      <c r="AJ135" s="54"/>
      <c r="AK135" s="54"/>
      <c r="AL135" s="54"/>
      <c r="AM135" s="54"/>
      <c r="AN135" s="54"/>
      <c r="AO135" s="54"/>
      <c r="AP135" s="54"/>
      <c r="AQ135" s="54"/>
      <c r="AR135" s="54"/>
      <c r="AS135" s="54"/>
      <c r="AT135" s="54"/>
      <c r="AU135" s="54"/>
      <c r="AV135" s="54"/>
      <c r="AW135" s="54"/>
      <c r="AX135" s="54"/>
      <c r="AY135" s="54"/>
      <c r="AZ135" s="54"/>
      <c r="BA135" s="54"/>
      <c r="BB135" s="54"/>
      <c r="BC135" s="54"/>
      <c r="BD135" s="51"/>
      <c r="BE135" s="131"/>
      <c r="BF135" s="131"/>
      <c r="BG135" s="131"/>
      <c r="BH135" s="131"/>
      <c r="BI135" s="131"/>
      <c r="BJ135" s="131"/>
      <c r="BK135" s="131"/>
      <c r="BL135" s="131"/>
      <c r="BM135" s="131"/>
      <c r="BN135" s="131"/>
      <c r="BO135" s="131"/>
      <c r="BP135" s="131"/>
      <c r="BQ135" s="131"/>
      <c r="BR135" s="131"/>
      <c r="BS135" s="131"/>
      <c r="BT135" s="131"/>
    </row>
    <row r="136" spans="1:72" s="130" customFormat="1" ht="15">
      <c r="A136" s="35"/>
      <c r="B136" s="35"/>
      <c r="C136" s="35"/>
      <c r="D136" s="35"/>
      <c r="E136" s="35"/>
      <c r="F136" s="35"/>
      <c r="G136" s="35"/>
      <c r="H136" s="35"/>
      <c r="I136" s="35"/>
      <c r="J136" s="35"/>
      <c r="K136" s="35"/>
      <c r="L136" s="35"/>
      <c r="M136" s="35"/>
      <c r="N136" s="35"/>
      <c r="O136" s="35"/>
      <c r="P136" s="35"/>
      <c r="Q136" s="35"/>
      <c r="R136" s="35"/>
      <c r="S136" s="54"/>
      <c r="T136" s="54"/>
      <c r="U136" s="54"/>
      <c r="V136" s="54"/>
      <c r="W136" s="35"/>
      <c r="X136" s="35"/>
      <c r="Y136" s="54"/>
      <c r="Z136" s="54"/>
      <c r="AA136" s="35"/>
      <c r="AB136" s="35"/>
      <c r="AC136" s="35"/>
      <c r="AD136" s="54"/>
      <c r="AE136" s="54"/>
      <c r="AF136" s="54"/>
      <c r="AG136" s="54"/>
      <c r="AH136" s="54"/>
      <c r="AI136" s="54"/>
      <c r="AJ136" s="54"/>
      <c r="AK136" s="54"/>
      <c r="AL136" s="54"/>
      <c r="AM136" s="54"/>
      <c r="AN136" s="54"/>
      <c r="AO136" s="54"/>
      <c r="AP136" s="54"/>
      <c r="AQ136" s="54"/>
      <c r="AR136" s="54"/>
      <c r="AS136" s="54"/>
      <c r="AT136" s="54"/>
      <c r="AU136" s="54"/>
      <c r="AV136" s="54"/>
      <c r="AW136" s="54"/>
      <c r="AX136" s="54"/>
      <c r="AY136" s="54"/>
      <c r="AZ136" s="54"/>
      <c r="BA136" s="54"/>
      <c r="BB136" s="54"/>
      <c r="BC136" s="54"/>
      <c r="BD136" s="51"/>
      <c r="BE136" s="131"/>
      <c r="BF136" s="131"/>
      <c r="BG136" s="131"/>
      <c r="BH136" s="131"/>
      <c r="BI136" s="131"/>
      <c r="BJ136" s="131"/>
      <c r="BK136" s="131"/>
      <c r="BL136" s="131"/>
      <c r="BM136" s="131"/>
      <c r="BN136" s="131"/>
      <c r="BO136" s="131"/>
      <c r="BP136" s="131"/>
      <c r="BQ136" s="131"/>
      <c r="BR136" s="131"/>
      <c r="BS136" s="131"/>
      <c r="BT136" s="131"/>
    </row>
    <row r="137" spans="1:72" s="130" customFormat="1" ht="15">
      <c r="A137" s="35"/>
      <c r="B137" s="35"/>
      <c r="C137" s="35"/>
      <c r="D137" s="35"/>
      <c r="E137" s="35"/>
      <c r="F137" s="35"/>
      <c r="G137" s="35"/>
      <c r="H137" s="35"/>
      <c r="I137" s="35"/>
      <c r="J137" s="35"/>
      <c r="K137" s="35"/>
      <c r="L137" s="35"/>
      <c r="M137" s="35"/>
      <c r="N137" s="35"/>
      <c r="O137" s="35"/>
      <c r="P137" s="35"/>
      <c r="Q137" s="35"/>
      <c r="R137" s="35"/>
      <c r="S137" s="54"/>
      <c r="T137" s="54"/>
      <c r="U137" s="54"/>
      <c r="V137" s="54"/>
      <c r="W137" s="35"/>
      <c r="X137" s="35"/>
      <c r="Y137" s="54"/>
      <c r="Z137" s="54"/>
      <c r="AA137" s="35"/>
      <c r="AB137" s="35"/>
      <c r="AC137" s="35"/>
      <c r="AD137" s="54"/>
      <c r="AE137" s="54"/>
      <c r="AF137" s="54"/>
      <c r="AG137" s="54"/>
      <c r="AH137" s="54"/>
      <c r="AI137" s="54"/>
      <c r="AJ137" s="54"/>
      <c r="AK137" s="54"/>
      <c r="AL137" s="54"/>
      <c r="AM137" s="54"/>
      <c r="AN137" s="54"/>
      <c r="AO137" s="54"/>
      <c r="AP137" s="54"/>
      <c r="AQ137" s="54"/>
      <c r="AR137" s="54"/>
      <c r="AS137" s="54"/>
      <c r="AT137" s="54"/>
      <c r="AU137" s="54"/>
      <c r="AV137" s="54"/>
      <c r="AW137" s="54"/>
      <c r="AX137" s="54"/>
      <c r="AY137" s="54"/>
      <c r="AZ137" s="54"/>
      <c r="BA137" s="54"/>
      <c r="BB137" s="54"/>
      <c r="BC137" s="54"/>
      <c r="BD137" s="51"/>
      <c r="BE137" s="131"/>
      <c r="BF137" s="131"/>
      <c r="BG137" s="131"/>
      <c r="BH137" s="131"/>
      <c r="BI137" s="131"/>
      <c r="BJ137" s="131"/>
      <c r="BK137" s="131"/>
      <c r="BL137" s="131"/>
      <c r="BM137" s="131"/>
      <c r="BN137" s="131"/>
      <c r="BO137" s="131"/>
      <c r="BP137" s="131"/>
      <c r="BQ137" s="131"/>
      <c r="BR137" s="131"/>
      <c r="BS137" s="131"/>
      <c r="BT137" s="131"/>
    </row>
    <row r="138" spans="1:72" s="130" customFormat="1" ht="15">
      <c r="A138" s="35"/>
      <c r="B138" s="35"/>
      <c r="C138" s="35"/>
      <c r="D138" s="35"/>
      <c r="E138" s="35"/>
      <c r="F138" s="35"/>
      <c r="G138" s="35"/>
      <c r="H138" s="35"/>
      <c r="I138" s="35"/>
      <c r="J138" s="35"/>
      <c r="K138" s="35"/>
      <c r="L138" s="35"/>
      <c r="M138" s="35"/>
      <c r="N138" s="35"/>
      <c r="O138" s="35"/>
      <c r="P138" s="35"/>
      <c r="Q138" s="35"/>
      <c r="R138" s="35"/>
      <c r="S138" s="54"/>
      <c r="T138" s="54"/>
      <c r="U138" s="54"/>
      <c r="V138" s="54"/>
      <c r="W138" s="35"/>
      <c r="X138" s="35"/>
      <c r="Y138" s="54"/>
      <c r="Z138" s="54"/>
      <c r="AA138" s="35"/>
      <c r="AB138" s="35"/>
      <c r="AC138" s="35"/>
      <c r="AD138" s="54"/>
      <c r="AE138" s="54"/>
      <c r="AF138" s="54"/>
      <c r="AG138" s="54"/>
      <c r="AH138" s="54"/>
      <c r="AI138" s="54"/>
      <c r="AJ138" s="54"/>
      <c r="AK138" s="54"/>
      <c r="AL138" s="54"/>
      <c r="AM138" s="54"/>
      <c r="AN138" s="54"/>
      <c r="AO138" s="54"/>
      <c r="AP138" s="54"/>
      <c r="AQ138" s="54"/>
      <c r="AR138" s="54"/>
      <c r="AS138" s="54"/>
      <c r="AT138" s="54"/>
      <c r="AU138" s="54"/>
      <c r="AV138" s="54"/>
      <c r="AW138" s="54"/>
      <c r="AX138" s="54"/>
      <c r="AY138" s="54"/>
      <c r="AZ138" s="54"/>
      <c r="BA138" s="54"/>
      <c r="BB138" s="54"/>
      <c r="BC138" s="54"/>
      <c r="BD138" s="51"/>
      <c r="BE138" s="131"/>
      <c r="BF138" s="131"/>
      <c r="BG138" s="131"/>
      <c r="BH138" s="131"/>
      <c r="BI138" s="131"/>
      <c r="BJ138" s="131"/>
      <c r="BK138" s="131"/>
      <c r="BL138" s="131"/>
      <c r="BM138" s="131"/>
      <c r="BN138" s="131"/>
      <c r="BO138" s="131"/>
      <c r="BP138" s="131"/>
      <c r="BQ138" s="131"/>
      <c r="BR138" s="131"/>
      <c r="BS138" s="131"/>
      <c r="BT138" s="131"/>
    </row>
    <row r="139" spans="1:72" s="130" customFormat="1" ht="15">
      <c r="A139" s="35"/>
      <c r="B139" s="35"/>
      <c r="C139" s="35"/>
      <c r="D139" s="35"/>
      <c r="E139" s="35"/>
      <c r="F139" s="35"/>
      <c r="G139" s="35"/>
      <c r="H139" s="35"/>
      <c r="I139" s="35"/>
      <c r="J139" s="35"/>
      <c r="K139" s="35"/>
      <c r="L139" s="35"/>
      <c r="M139" s="35"/>
      <c r="N139" s="35"/>
      <c r="O139" s="35"/>
      <c r="P139" s="35"/>
      <c r="Q139" s="35"/>
      <c r="R139" s="35"/>
      <c r="S139" s="54"/>
      <c r="T139" s="54"/>
      <c r="U139" s="54"/>
      <c r="V139" s="54"/>
      <c r="W139" s="35"/>
      <c r="X139" s="35"/>
      <c r="Y139" s="54"/>
      <c r="Z139" s="54"/>
      <c r="AA139" s="35"/>
      <c r="AB139" s="35"/>
      <c r="AC139" s="35"/>
      <c r="AD139" s="54"/>
      <c r="AE139" s="54"/>
      <c r="AF139" s="54"/>
      <c r="AG139" s="54"/>
      <c r="AH139" s="54"/>
      <c r="AI139" s="54"/>
      <c r="AJ139" s="54"/>
      <c r="AK139" s="54"/>
      <c r="AL139" s="54"/>
      <c r="AM139" s="54"/>
      <c r="AN139" s="54"/>
      <c r="AO139" s="54"/>
      <c r="AP139" s="54"/>
      <c r="AQ139" s="54"/>
      <c r="AR139" s="54"/>
      <c r="AS139" s="54"/>
      <c r="AT139" s="54"/>
      <c r="AU139" s="54"/>
      <c r="AV139" s="54"/>
      <c r="AW139" s="54"/>
      <c r="AX139" s="54"/>
      <c r="AY139" s="54"/>
      <c r="AZ139" s="54"/>
      <c r="BA139" s="54"/>
      <c r="BB139" s="54"/>
      <c r="BC139" s="54"/>
      <c r="BD139" s="51"/>
      <c r="BE139" s="131"/>
      <c r="BF139" s="131"/>
      <c r="BG139" s="131"/>
      <c r="BH139" s="131"/>
      <c r="BI139" s="131"/>
      <c r="BJ139" s="131"/>
      <c r="BK139" s="131"/>
      <c r="BL139" s="131"/>
      <c r="BM139" s="131"/>
      <c r="BN139" s="131"/>
      <c r="BO139" s="131"/>
      <c r="BP139" s="131"/>
      <c r="BQ139" s="131"/>
      <c r="BR139" s="131"/>
      <c r="BS139" s="131"/>
      <c r="BT139" s="131"/>
    </row>
    <row r="140" spans="1:72" s="130" customFormat="1" ht="15">
      <c r="A140" s="35"/>
      <c r="B140" s="35"/>
      <c r="C140" s="35"/>
      <c r="D140" s="35"/>
      <c r="E140" s="35"/>
      <c r="F140" s="35"/>
      <c r="G140" s="35"/>
      <c r="H140" s="35"/>
      <c r="I140" s="35"/>
      <c r="J140" s="35"/>
      <c r="K140" s="35"/>
      <c r="L140" s="35"/>
      <c r="M140" s="35"/>
      <c r="N140" s="35"/>
      <c r="O140" s="35"/>
      <c r="P140" s="35"/>
      <c r="Q140" s="35"/>
      <c r="R140" s="35"/>
      <c r="S140" s="54"/>
      <c r="T140" s="54"/>
      <c r="U140" s="54"/>
      <c r="V140" s="54"/>
      <c r="W140" s="35"/>
      <c r="X140" s="35"/>
      <c r="Y140" s="54"/>
      <c r="Z140" s="54"/>
      <c r="AA140" s="35"/>
      <c r="AB140" s="35"/>
      <c r="AC140" s="35"/>
      <c r="AD140" s="54"/>
      <c r="AE140" s="54"/>
      <c r="AF140" s="54"/>
      <c r="AG140" s="54"/>
      <c r="AH140" s="54"/>
      <c r="AI140" s="54"/>
      <c r="AJ140" s="54"/>
      <c r="AK140" s="54"/>
      <c r="AL140" s="54"/>
      <c r="AM140" s="54"/>
      <c r="AN140" s="54"/>
      <c r="AO140" s="54"/>
      <c r="AP140" s="54"/>
      <c r="AQ140" s="54"/>
      <c r="AR140" s="54"/>
      <c r="AS140" s="54"/>
      <c r="AT140" s="54"/>
      <c r="AU140" s="54"/>
      <c r="AV140" s="54"/>
      <c r="AW140" s="54"/>
      <c r="AX140" s="54"/>
      <c r="AY140" s="54"/>
      <c r="AZ140" s="54"/>
      <c r="BA140" s="54"/>
      <c r="BB140" s="54"/>
      <c r="BC140" s="54"/>
      <c r="BD140" s="51"/>
      <c r="BE140" s="131"/>
      <c r="BF140" s="131"/>
      <c r="BG140" s="131"/>
      <c r="BH140" s="131"/>
      <c r="BI140" s="131"/>
      <c r="BJ140" s="131"/>
      <c r="BK140" s="131"/>
      <c r="BL140" s="131"/>
      <c r="BM140" s="131"/>
      <c r="BN140" s="131"/>
      <c r="BO140" s="131"/>
      <c r="BP140" s="131"/>
      <c r="BQ140" s="131"/>
      <c r="BR140" s="131"/>
      <c r="BS140" s="131"/>
      <c r="BT140" s="131"/>
    </row>
    <row r="141" spans="1:72" s="130" customFormat="1" ht="15">
      <c r="A141" s="35"/>
      <c r="B141" s="35"/>
      <c r="C141" s="35"/>
      <c r="D141" s="35"/>
      <c r="E141" s="35"/>
      <c r="F141" s="35"/>
      <c r="G141" s="35"/>
      <c r="H141" s="35"/>
      <c r="I141" s="35"/>
      <c r="J141" s="35"/>
      <c r="K141" s="35"/>
      <c r="L141" s="35"/>
      <c r="M141" s="35"/>
      <c r="N141" s="35"/>
      <c r="O141" s="35"/>
      <c r="P141" s="35"/>
      <c r="Q141" s="35"/>
      <c r="R141" s="35"/>
      <c r="S141" s="54"/>
      <c r="T141" s="54"/>
      <c r="U141" s="54"/>
      <c r="V141" s="54"/>
      <c r="W141" s="35"/>
      <c r="X141" s="35"/>
      <c r="Y141" s="54"/>
      <c r="Z141" s="54"/>
      <c r="AA141" s="35"/>
      <c r="AB141" s="35"/>
      <c r="AC141" s="35"/>
      <c r="AD141" s="54"/>
      <c r="AE141" s="54"/>
      <c r="AF141" s="54"/>
      <c r="AG141" s="54"/>
      <c r="AH141" s="54"/>
      <c r="AI141" s="54"/>
      <c r="AJ141" s="54"/>
      <c r="AK141" s="54"/>
      <c r="AL141" s="54"/>
      <c r="AM141" s="54"/>
      <c r="AN141" s="54"/>
      <c r="AO141" s="54"/>
      <c r="AP141" s="54"/>
      <c r="AQ141" s="54"/>
      <c r="AR141" s="54"/>
      <c r="AS141" s="54"/>
      <c r="AT141" s="54"/>
      <c r="AU141" s="54"/>
      <c r="AV141" s="54"/>
      <c r="AW141" s="54"/>
      <c r="AX141" s="54"/>
      <c r="AY141" s="54"/>
      <c r="AZ141" s="54"/>
      <c r="BA141" s="54"/>
      <c r="BB141" s="54"/>
      <c r="BC141" s="54"/>
      <c r="BD141" s="51"/>
      <c r="BE141" s="131"/>
      <c r="BF141" s="131"/>
      <c r="BG141" s="131"/>
      <c r="BH141" s="131"/>
      <c r="BI141" s="131"/>
      <c r="BJ141" s="131"/>
      <c r="BK141" s="131"/>
      <c r="BL141" s="131"/>
      <c r="BM141" s="131"/>
      <c r="BN141" s="131"/>
      <c r="BO141" s="131"/>
      <c r="BP141" s="131"/>
      <c r="BQ141" s="131"/>
      <c r="BR141" s="131"/>
      <c r="BS141" s="131"/>
      <c r="BT141" s="131"/>
    </row>
    <row r="142" spans="1:72" s="130" customFormat="1" ht="15">
      <c r="A142" s="35"/>
      <c r="B142" s="35"/>
      <c r="C142" s="35"/>
      <c r="D142" s="35"/>
      <c r="E142" s="35"/>
      <c r="F142" s="35"/>
      <c r="G142" s="35"/>
      <c r="H142" s="35"/>
      <c r="I142" s="35"/>
      <c r="J142" s="35"/>
      <c r="K142" s="35"/>
      <c r="L142" s="35"/>
      <c r="M142" s="35"/>
      <c r="N142" s="35"/>
      <c r="O142" s="35"/>
      <c r="P142" s="35"/>
      <c r="Q142" s="35"/>
      <c r="R142" s="35"/>
      <c r="S142" s="54"/>
      <c r="T142" s="54"/>
      <c r="U142" s="54"/>
      <c r="V142" s="54"/>
      <c r="W142" s="35"/>
      <c r="X142" s="35"/>
      <c r="Y142" s="54"/>
      <c r="Z142" s="54"/>
      <c r="AA142" s="35"/>
      <c r="AB142" s="35"/>
      <c r="AC142" s="35"/>
      <c r="AD142" s="54"/>
      <c r="AE142" s="54"/>
      <c r="AF142" s="54"/>
      <c r="AG142" s="54"/>
      <c r="AH142" s="54"/>
      <c r="AI142" s="54"/>
      <c r="AJ142" s="54"/>
      <c r="AK142" s="54"/>
      <c r="AL142" s="54"/>
      <c r="AM142" s="54"/>
      <c r="AN142" s="54"/>
      <c r="AO142" s="54"/>
      <c r="AP142" s="54"/>
      <c r="AQ142" s="54"/>
      <c r="AR142" s="54"/>
      <c r="AS142" s="54"/>
      <c r="AT142" s="54"/>
      <c r="AU142" s="54"/>
      <c r="AV142" s="54"/>
      <c r="AW142" s="54"/>
      <c r="AX142" s="54"/>
      <c r="AY142" s="54"/>
      <c r="AZ142" s="54"/>
      <c r="BA142" s="54"/>
      <c r="BB142" s="54"/>
      <c r="BC142" s="54"/>
      <c r="BD142" s="51"/>
      <c r="BE142" s="131"/>
      <c r="BF142" s="131"/>
      <c r="BG142" s="131"/>
      <c r="BH142" s="131"/>
      <c r="BI142" s="131"/>
      <c r="BJ142" s="131"/>
      <c r="BK142" s="131"/>
      <c r="BL142" s="131"/>
      <c r="BM142" s="131"/>
      <c r="BN142" s="131"/>
      <c r="BO142" s="131"/>
      <c r="BP142" s="131"/>
      <c r="BQ142" s="131"/>
      <c r="BR142" s="131"/>
      <c r="BS142" s="131"/>
      <c r="BT142" s="131"/>
    </row>
    <row r="143" spans="1:72" s="130" customFormat="1" ht="15">
      <c r="A143" s="35"/>
      <c r="B143" s="35"/>
      <c r="C143" s="35"/>
      <c r="D143" s="35"/>
      <c r="E143" s="35"/>
      <c r="F143" s="35"/>
      <c r="G143" s="35"/>
      <c r="H143" s="35"/>
      <c r="I143" s="35"/>
      <c r="J143" s="35"/>
      <c r="K143" s="35"/>
      <c r="L143" s="35"/>
      <c r="M143" s="35"/>
      <c r="N143" s="35"/>
      <c r="O143" s="35"/>
      <c r="P143" s="35"/>
      <c r="Q143" s="35"/>
      <c r="R143" s="35"/>
      <c r="S143" s="54"/>
      <c r="T143" s="54"/>
      <c r="U143" s="54"/>
      <c r="V143" s="54"/>
      <c r="W143" s="35"/>
      <c r="X143" s="35"/>
      <c r="Y143" s="54"/>
      <c r="Z143" s="54"/>
      <c r="AA143" s="35"/>
      <c r="AB143" s="35"/>
      <c r="AC143" s="35"/>
      <c r="AD143" s="54"/>
      <c r="AE143" s="54"/>
      <c r="AF143" s="54"/>
      <c r="AG143" s="54"/>
      <c r="AH143" s="54"/>
      <c r="AI143" s="54"/>
      <c r="AJ143" s="54"/>
      <c r="AK143" s="54"/>
      <c r="AL143" s="54"/>
      <c r="AM143" s="54"/>
      <c r="AN143" s="54"/>
      <c r="AO143" s="54"/>
      <c r="AP143" s="54"/>
      <c r="AQ143" s="54"/>
      <c r="AR143" s="54"/>
      <c r="AS143" s="54"/>
      <c r="AT143" s="54"/>
      <c r="AU143" s="54"/>
      <c r="AV143" s="54"/>
      <c r="AW143" s="54"/>
      <c r="AX143" s="54"/>
      <c r="AY143" s="54"/>
      <c r="AZ143" s="54"/>
      <c r="BA143" s="54"/>
      <c r="BB143" s="54"/>
      <c r="BC143" s="54"/>
      <c r="BD143" s="51"/>
      <c r="BE143" s="131"/>
      <c r="BF143" s="131"/>
      <c r="BG143" s="131"/>
      <c r="BH143" s="131"/>
      <c r="BI143" s="131"/>
      <c r="BJ143" s="131"/>
      <c r="BK143" s="131"/>
      <c r="BL143" s="131"/>
      <c r="BM143" s="131"/>
      <c r="BN143" s="131"/>
      <c r="BO143" s="131"/>
      <c r="BP143" s="131"/>
      <c r="BQ143" s="131"/>
      <c r="BR143" s="131"/>
      <c r="BS143" s="131"/>
      <c r="BT143" s="131"/>
    </row>
    <row r="144" spans="1:72" s="130" customFormat="1" ht="15">
      <c r="A144" s="35"/>
      <c r="B144" s="35"/>
      <c r="C144" s="35"/>
      <c r="D144" s="35"/>
      <c r="E144" s="35"/>
      <c r="F144" s="35"/>
      <c r="G144" s="35"/>
      <c r="H144" s="35"/>
      <c r="I144" s="35"/>
      <c r="J144" s="35"/>
      <c r="K144" s="35"/>
      <c r="L144" s="35"/>
      <c r="M144" s="35"/>
      <c r="N144" s="35"/>
      <c r="O144" s="35"/>
      <c r="P144" s="35"/>
      <c r="Q144" s="35"/>
      <c r="R144" s="35"/>
      <c r="S144" s="54"/>
      <c r="T144" s="54"/>
      <c r="U144" s="54"/>
      <c r="V144" s="54"/>
      <c r="W144" s="35"/>
      <c r="X144" s="35"/>
      <c r="Y144" s="54"/>
      <c r="Z144" s="54"/>
      <c r="AA144" s="35"/>
      <c r="AB144" s="35"/>
      <c r="AC144" s="35"/>
      <c r="AD144" s="54"/>
      <c r="AE144" s="54"/>
      <c r="AF144" s="54"/>
      <c r="AG144" s="54"/>
      <c r="AH144" s="54"/>
      <c r="AI144" s="54"/>
      <c r="AJ144" s="54"/>
      <c r="AK144" s="54"/>
      <c r="AL144" s="54"/>
      <c r="AM144" s="54"/>
      <c r="AN144" s="54"/>
      <c r="AO144" s="54"/>
      <c r="AP144" s="54"/>
      <c r="AQ144" s="54"/>
      <c r="AR144" s="54"/>
      <c r="AS144" s="54"/>
      <c r="AT144" s="54"/>
      <c r="AU144" s="54"/>
      <c r="AV144" s="54"/>
      <c r="AW144" s="54"/>
      <c r="AX144" s="54"/>
      <c r="AY144" s="54"/>
      <c r="AZ144" s="54"/>
      <c r="BA144" s="54"/>
      <c r="BB144" s="54"/>
      <c r="BC144" s="54"/>
      <c r="BD144" s="51"/>
      <c r="BE144" s="131"/>
      <c r="BF144" s="131"/>
      <c r="BG144" s="131"/>
      <c r="BH144" s="131"/>
      <c r="BI144" s="131"/>
      <c r="BJ144" s="131"/>
      <c r="BK144" s="131"/>
      <c r="BL144" s="131"/>
      <c r="BM144" s="131"/>
      <c r="BN144" s="131"/>
      <c r="BO144" s="131"/>
      <c r="BP144" s="131"/>
      <c r="BQ144" s="131"/>
      <c r="BR144" s="131"/>
      <c r="BS144" s="131"/>
      <c r="BT144" s="131"/>
    </row>
    <row r="145" spans="1:72" s="130" customFormat="1" ht="15">
      <c r="A145" s="35"/>
      <c r="B145" s="35"/>
      <c r="C145" s="35"/>
      <c r="D145" s="35"/>
      <c r="E145" s="35"/>
      <c r="F145" s="35"/>
      <c r="G145" s="35"/>
      <c r="H145" s="35"/>
      <c r="I145" s="35"/>
      <c r="J145" s="35"/>
      <c r="K145" s="35"/>
      <c r="L145" s="35"/>
      <c r="M145" s="35"/>
      <c r="N145" s="35"/>
      <c r="O145" s="35"/>
      <c r="P145" s="35"/>
      <c r="Q145" s="35"/>
      <c r="R145" s="35"/>
      <c r="S145" s="54"/>
      <c r="T145" s="54"/>
      <c r="U145" s="54"/>
      <c r="V145" s="54"/>
      <c r="W145" s="35"/>
      <c r="X145" s="35"/>
      <c r="Y145" s="54"/>
      <c r="Z145" s="54"/>
      <c r="AA145" s="35"/>
      <c r="AB145" s="35"/>
      <c r="AC145" s="35"/>
      <c r="AD145" s="54"/>
      <c r="AE145" s="54"/>
      <c r="AF145" s="54"/>
      <c r="AG145" s="54"/>
      <c r="AH145" s="54"/>
      <c r="AI145" s="54"/>
      <c r="AJ145" s="54"/>
      <c r="AK145" s="54"/>
      <c r="AL145" s="54"/>
      <c r="AM145" s="54"/>
      <c r="AN145" s="54"/>
      <c r="AO145" s="54"/>
      <c r="AP145" s="54"/>
      <c r="AQ145" s="54"/>
      <c r="AR145" s="54"/>
      <c r="AS145" s="54"/>
      <c r="AT145" s="54"/>
      <c r="AU145" s="54"/>
      <c r="AV145" s="54"/>
      <c r="AW145" s="54"/>
      <c r="AX145" s="54"/>
      <c r="AY145" s="54"/>
      <c r="AZ145" s="54"/>
      <c r="BA145" s="54"/>
      <c r="BB145" s="54"/>
      <c r="BC145" s="54"/>
      <c r="BD145" s="51"/>
      <c r="BE145" s="131"/>
      <c r="BF145" s="131"/>
      <c r="BG145" s="131"/>
      <c r="BH145" s="131"/>
      <c r="BI145" s="131"/>
      <c r="BJ145" s="131"/>
      <c r="BK145" s="131"/>
      <c r="BL145" s="131"/>
      <c r="BM145" s="131"/>
      <c r="BN145" s="131"/>
      <c r="BO145" s="131"/>
      <c r="BP145" s="131"/>
      <c r="BQ145" s="131"/>
      <c r="BR145" s="131"/>
      <c r="BS145" s="131"/>
      <c r="BT145" s="131"/>
    </row>
    <row r="146" spans="1:72" s="130" customFormat="1" ht="15">
      <c r="A146" s="35"/>
      <c r="B146" s="35"/>
      <c r="C146" s="35"/>
      <c r="D146" s="35"/>
      <c r="E146" s="35"/>
      <c r="F146" s="35"/>
      <c r="G146" s="35"/>
      <c r="H146" s="35"/>
      <c r="I146" s="35"/>
      <c r="J146" s="35"/>
      <c r="K146" s="35"/>
      <c r="L146" s="35"/>
      <c r="M146" s="35"/>
      <c r="N146" s="35"/>
      <c r="O146" s="35"/>
      <c r="P146" s="35"/>
      <c r="Q146" s="35"/>
      <c r="R146" s="35"/>
      <c r="S146" s="54"/>
      <c r="T146" s="54"/>
      <c r="U146" s="54"/>
      <c r="V146" s="54"/>
      <c r="W146" s="35"/>
      <c r="X146" s="35"/>
      <c r="Y146" s="54"/>
      <c r="Z146" s="54"/>
      <c r="AA146" s="35"/>
      <c r="AB146" s="35"/>
      <c r="AC146" s="35"/>
      <c r="AD146" s="54"/>
      <c r="AE146" s="54"/>
      <c r="AF146" s="54"/>
      <c r="AG146" s="54"/>
      <c r="AH146" s="54"/>
      <c r="AI146" s="54"/>
      <c r="AJ146" s="54"/>
      <c r="AK146" s="54"/>
      <c r="AL146" s="54"/>
      <c r="AM146" s="54"/>
      <c r="AN146" s="54"/>
      <c r="AO146" s="54"/>
      <c r="AP146" s="54"/>
      <c r="AQ146" s="54"/>
      <c r="AR146" s="54"/>
      <c r="AS146" s="54"/>
      <c r="AT146" s="54"/>
      <c r="AU146" s="54"/>
      <c r="AV146" s="54"/>
      <c r="AW146" s="54"/>
      <c r="AX146" s="54"/>
      <c r="AY146" s="54"/>
      <c r="AZ146" s="54"/>
      <c r="BA146" s="54"/>
      <c r="BB146" s="54"/>
      <c r="BC146" s="54"/>
      <c r="BD146" s="51"/>
      <c r="BE146" s="131"/>
      <c r="BF146" s="131"/>
      <c r="BG146" s="131"/>
      <c r="BH146" s="131"/>
      <c r="BI146" s="131"/>
      <c r="BJ146" s="131"/>
      <c r="BK146" s="131"/>
      <c r="BL146" s="131"/>
      <c r="BM146" s="131"/>
      <c r="BN146" s="131"/>
      <c r="BO146" s="131"/>
      <c r="BP146" s="131"/>
      <c r="BQ146" s="131"/>
      <c r="BR146" s="131"/>
      <c r="BS146" s="131"/>
      <c r="BT146" s="131"/>
    </row>
    <row r="147" spans="1:72" s="130" customFormat="1" ht="15">
      <c r="A147" s="35"/>
      <c r="B147" s="35"/>
      <c r="C147" s="35"/>
      <c r="D147" s="35"/>
      <c r="E147" s="35"/>
      <c r="F147" s="35"/>
      <c r="G147" s="35"/>
      <c r="H147" s="35"/>
      <c r="I147" s="35"/>
      <c r="J147" s="35"/>
      <c r="K147" s="35"/>
      <c r="L147" s="35"/>
      <c r="M147" s="35"/>
      <c r="N147" s="35"/>
      <c r="O147" s="35"/>
      <c r="P147" s="35"/>
      <c r="Q147" s="35"/>
      <c r="R147" s="35"/>
      <c r="S147" s="54"/>
      <c r="T147" s="54"/>
      <c r="U147" s="54"/>
      <c r="V147" s="54"/>
      <c r="W147" s="35"/>
      <c r="X147" s="35"/>
      <c r="Y147" s="54"/>
      <c r="Z147" s="54"/>
      <c r="AA147" s="35"/>
      <c r="AB147" s="35"/>
      <c r="AC147" s="35"/>
      <c r="AD147" s="54"/>
      <c r="AE147" s="54"/>
      <c r="AF147" s="54"/>
      <c r="AG147" s="54"/>
      <c r="AH147" s="54"/>
      <c r="AI147" s="54"/>
      <c r="AJ147" s="54"/>
      <c r="AK147" s="54"/>
      <c r="AL147" s="54"/>
      <c r="AM147" s="54"/>
      <c r="AN147" s="54"/>
      <c r="AO147" s="54"/>
      <c r="AP147" s="54"/>
      <c r="AQ147" s="54"/>
      <c r="AR147" s="54"/>
      <c r="AS147" s="54"/>
      <c r="AT147" s="54"/>
      <c r="AU147" s="54"/>
      <c r="AV147" s="54"/>
      <c r="AW147" s="54"/>
      <c r="AX147" s="54"/>
      <c r="AY147" s="54"/>
      <c r="AZ147" s="54"/>
      <c r="BA147" s="54"/>
      <c r="BB147" s="54"/>
      <c r="BC147" s="54"/>
      <c r="BD147" s="51"/>
      <c r="BE147" s="131"/>
      <c r="BF147" s="131"/>
      <c r="BG147" s="131"/>
      <c r="BH147" s="131"/>
      <c r="BI147" s="131"/>
      <c r="BJ147" s="131"/>
      <c r="BK147" s="131"/>
      <c r="BL147" s="131"/>
      <c r="BM147" s="131"/>
      <c r="BN147" s="131"/>
      <c r="BO147" s="131"/>
      <c r="BP147" s="131"/>
      <c r="BQ147" s="131"/>
      <c r="BR147" s="131"/>
      <c r="BS147" s="131"/>
      <c r="BT147" s="131"/>
    </row>
    <row r="148" spans="1:72" s="130" customFormat="1" ht="15">
      <c r="A148" s="35"/>
      <c r="B148" s="35"/>
      <c r="C148" s="35"/>
      <c r="D148" s="35"/>
      <c r="E148" s="35"/>
      <c r="F148" s="35"/>
      <c r="G148" s="35"/>
      <c r="H148" s="35"/>
      <c r="I148" s="35"/>
      <c r="J148" s="35"/>
      <c r="K148" s="35"/>
      <c r="L148" s="35"/>
      <c r="M148" s="35"/>
      <c r="N148" s="35"/>
      <c r="O148" s="35"/>
      <c r="P148" s="35"/>
      <c r="Q148" s="35"/>
      <c r="R148" s="35"/>
      <c r="S148" s="54"/>
      <c r="T148" s="54"/>
      <c r="U148" s="54"/>
      <c r="V148" s="54"/>
      <c r="W148" s="35"/>
      <c r="X148" s="35"/>
      <c r="Y148" s="54"/>
      <c r="Z148" s="54"/>
      <c r="AA148" s="35"/>
      <c r="AB148" s="35"/>
      <c r="AC148" s="35"/>
      <c r="AD148" s="54"/>
      <c r="AE148" s="54"/>
      <c r="AF148" s="54"/>
      <c r="AG148" s="54"/>
      <c r="AH148" s="54"/>
      <c r="AI148" s="54"/>
      <c r="AJ148" s="54"/>
      <c r="AK148" s="54"/>
      <c r="AL148" s="54"/>
      <c r="AM148" s="54"/>
      <c r="AN148" s="54"/>
      <c r="AO148" s="54"/>
      <c r="AP148" s="54"/>
      <c r="AQ148" s="54"/>
      <c r="AR148" s="54"/>
      <c r="AS148" s="54"/>
      <c r="AT148" s="54"/>
      <c r="AU148" s="54"/>
      <c r="AV148" s="54"/>
      <c r="AW148" s="54"/>
      <c r="AX148" s="54"/>
      <c r="AY148" s="54"/>
      <c r="AZ148" s="54"/>
      <c r="BA148" s="54"/>
      <c r="BB148" s="54"/>
      <c r="BC148" s="54"/>
      <c r="BD148" s="51"/>
      <c r="BE148" s="131"/>
      <c r="BF148" s="131"/>
      <c r="BG148" s="131"/>
      <c r="BH148" s="131"/>
      <c r="BI148" s="131"/>
      <c r="BJ148" s="131"/>
      <c r="BK148" s="131"/>
      <c r="BL148" s="131"/>
      <c r="BM148" s="131"/>
      <c r="BN148" s="131"/>
      <c r="BO148" s="131"/>
      <c r="BP148" s="131"/>
      <c r="BQ148" s="131"/>
      <c r="BR148" s="131"/>
      <c r="BS148" s="131"/>
      <c r="BT148" s="131"/>
    </row>
    <row r="149" spans="1:72" s="130" customFormat="1" ht="15">
      <c r="A149" s="35"/>
      <c r="B149" s="35"/>
      <c r="C149" s="35"/>
      <c r="D149" s="35"/>
      <c r="E149" s="35"/>
      <c r="F149" s="35"/>
      <c r="G149" s="35"/>
      <c r="H149" s="35"/>
      <c r="I149" s="35"/>
      <c r="J149" s="35"/>
      <c r="K149" s="35"/>
      <c r="L149" s="35"/>
      <c r="M149" s="35"/>
      <c r="N149" s="35"/>
      <c r="O149" s="35"/>
      <c r="P149" s="35"/>
      <c r="Q149" s="35"/>
      <c r="R149" s="35"/>
      <c r="S149" s="54"/>
      <c r="T149" s="54"/>
      <c r="U149" s="54"/>
      <c r="V149" s="54"/>
      <c r="W149" s="35"/>
      <c r="X149" s="35"/>
      <c r="Y149" s="54"/>
      <c r="Z149" s="54"/>
      <c r="AA149" s="35"/>
      <c r="AB149" s="35"/>
      <c r="AC149" s="35"/>
      <c r="AD149" s="54"/>
      <c r="AE149" s="54"/>
      <c r="AF149" s="54"/>
      <c r="AG149" s="54"/>
      <c r="AH149" s="54"/>
      <c r="AI149" s="54"/>
      <c r="AJ149" s="54"/>
      <c r="AK149" s="54"/>
      <c r="AL149" s="54"/>
      <c r="AM149" s="54"/>
      <c r="AN149" s="54"/>
      <c r="AO149" s="54"/>
      <c r="AP149" s="54"/>
      <c r="AQ149" s="54"/>
      <c r="AR149" s="54"/>
      <c r="AS149" s="54"/>
      <c r="AT149" s="54"/>
      <c r="AU149" s="54"/>
      <c r="AV149" s="54"/>
      <c r="AW149" s="54"/>
      <c r="AX149" s="54"/>
      <c r="AY149" s="54"/>
      <c r="AZ149" s="54"/>
      <c r="BA149" s="54"/>
      <c r="BB149" s="54"/>
      <c r="BC149" s="54"/>
      <c r="BD149" s="51"/>
      <c r="BE149" s="131"/>
      <c r="BF149" s="131"/>
      <c r="BG149" s="131"/>
      <c r="BH149" s="131"/>
      <c r="BI149" s="131"/>
      <c r="BJ149" s="131"/>
      <c r="BK149" s="131"/>
      <c r="BL149" s="131"/>
      <c r="BM149" s="131"/>
      <c r="BN149" s="131"/>
      <c r="BO149" s="131"/>
      <c r="BP149" s="131"/>
      <c r="BQ149" s="131"/>
      <c r="BR149" s="131"/>
      <c r="BS149" s="131"/>
      <c r="BT149" s="131"/>
    </row>
    <row r="150" spans="1:72" s="130" customFormat="1" ht="15">
      <c r="A150" s="35"/>
      <c r="B150" s="35"/>
      <c r="C150" s="35"/>
      <c r="D150" s="35"/>
      <c r="E150" s="35"/>
      <c r="F150" s="35"/>
      <c r="G150" s="35"/>
      <c r="H150" s="35"/>
      <c r="I150" s="35"/>
      <c r="J150" s="35"/>
      <c r="K150" s="35"/>
      <c r="L150" s="35"/>
      <c r="M150" s="35"/>
      <c r="N150" s="35"/>
      <c r="O150" s="35"/>
      <c r="P150" s="35"/>
      <c r="Q150" s="35"/>
      <c r="R150" s="35"/>
      <c r="S150" s="54"/>
      <c r="T150" s="54"/>
      <c r="U150" s="54"/>
      <c r="V150" s="54"/>
      <c r="W150" s="35"/>
      <c r="X150" s="35"/>
      <c r="Y150" s="54"/>
      <c r="Z150" s="54"/>
      <c r="AA150" s="35"/>
      <c r="AB150" s="35"/>
      <c r="AC150" s="35"/>
      <c r="AD150" s="54"/>
      <c r="AE150" s="54"/>
      <c r="AF150" s="54"/>
      <c r="AG150" s="54"/>
      <c r="AH150" s="54"/>
      <c r="AI150" s="54"/>
      <c r="AJ150" s="54"/>
      <c r="AK150" s="54"/>
      <c r="AL150" s="54"/>
      <c r="AM150" s="54"/>
      <c r="AN150" s="54"/>
      <c r="AO150" s="54"/>
      <c r="AP150" s="54"/>
      <c r="AQ150" s="54"/>
      <c r="AR150" s="54"/>
      <c r="AS150" s="54"/>
      <c r="AT150" s="54"/>
      <c r="AU150" s="54"/>
      <c r="AV150" s="54"/>
      <c r="AW150" s="54"/>
      <c r="AX150" s="54"/>
      <c r="AY150" s="54"/>
      <c r="AZ150" s="54"/>
      <c r="BA150" s="54"/>
      <c r="BB150" s="54"/>
      <c r="BC150" s="54"/>
      <c r="BD150" s="51"/>
      <c r="BE150" s="131"/>
      <c r="BF150" s="131"/>
      <c r="BG150" s="131"/>
      <c r="BH150" s="131"/>
      <c r="BI150" s="131"/>
      <c r="BJ150" s="131"/>
      <c r="BK150" s="131"/>
      <c r="BL150" s="131"/>
      <c r="BM150" s="131"/>
      <c r="BN150" s="131"/>
      <c r="BO150" s="131"/>
      <c r="BP150" s="131"/>
      <c r="BQ150" s="131"/>
      <c r="BR150" s="131"/>
      <c r="BS150" s="131"/>
      <c r="BT150" s="131"/>
    </row>
    <row r="151" spans="1:72" s="130" customFormat="1" ht="15">
      <c r="A151" s="35"/>
      <c r="B151" s="35"/>
      <c r="C151" s="35"/>
      <c r="D151" s="35"/>
      <c r="E151" s="35"/>
      <c r="F151" s="35"/>
      <c r="G151" s="35"/>
      <c r="H151" s="35"/>
      <c r="I151" s="35"/>
      <c r="J151" s="35"/>
      <c r="K151" s="35"/>
      <c r="L151" s="35"/>
      <c r="M151" s="35"/>
      <c r="N151" s="35"/>
      <c r="O151" s="35"/>
      <c r="P151" s="35"/>
      <c r="Q151" s="35"/>
      <c r="R151" s="35"/>
      <c r="S151" s="54"/>
      <c r="T151" s="54"/>
      <c r="U151" s="54"/>
      <c r="V151" s="54"/>
      <c r="W151" s="35"/>
      <c r="X151" s="35"/>
      <c r="Y151" s="54"/>
      <c r="Z151" s="54"/>
      <c r="AA151" s="35"/>
      <c r="AB151" s="35"/>
      <c r="AC151" s="35"/>
      <c r="AD151" s="54"/>
      <c r="AE151" s="54"/>
      <c r="AF151" s="54"/>
      <c r="AG151" s="54"/>
      <c r="AH151" s="54"/>
      <c r="AI151" s="54"/>
      <c r="AJ151" s="54"/>
      <c r="AK151" s="54"/>
      <c r="AL151" s="54"/>
      <c r="AM151" s="54"/>
      <c r="AN151" s="54"/>
      <c r="AO151" s="54"/>
      <c r="AP151" s="54"/>
      <c r="AQ151" s="54"/>
      <c r="AR151" s="54"/>
      <c r="AS151" s="54"/>
      <c r="AT151" s="54"/>
      <c r="AU151" s="54"/>
      <c r="AV151" s="54"/>
      <c r="AW151" s="54"/>
      <c r="AX151" s="54"/>
      <c r="AY151" s="54"/>
      <c r="AZ151" s="54"/>
      <c r="BA151" s="54"/>
      <c r="BB151" s="54"/>
      <c r="BC151" s="54"/>
      <c r="BD151" s="51"/>
      <c r="BE151" s="131"/>
      <c r="BF151" s="131"/>
      <c r="BG151" s="131"/>
      <c r="BH151" s="131"/>
      <c r="BI151" s="131"/>
      <c r="BJ151" s="131"/>
      <c r="BK151" s="131"/>
      <c r="BL151" s="131"/>
      <c r="BM151" s="131"/>
      <c r="BN151" s="131"/>
      <c r="BO151" s="131"/>
      <c r="BP151" s="131"/>
      <c r="BQ151" s="131"/>
      <c r="BR151" s="131"/>
      <c r="BS151" s="131"/>
      <c r="BT151" s="131"/>
    </row>
    <row r="152" spans="1:72" s="130" customFormat="1" ht="15">
      <c r="A152" s="35"/>
      <c r="B152" s="35"/>
      <c r="C152" s="35"/>
      <c r="D152" s="35"/>
      <c r="E152" s="35"/>
      <c r="F152" s="35"/>
      <c r="G152" s="35"/>
      <c r="H152" s="35"/>
      <c r="I152" s="35"/>
      <c r="J152" s="35"/>
      <c r="K152" s="35"/>
      <c r="L152" s="35"/>
      <c r="M152" s="35"/>
      <c r="N152" s="35"/>
      <c r="O152" s="35"/>
      <c r="P152" s="35"/>
      <c r="Q152" s="35"/>
      <c r="R152" s="35"/>
      <c r="S152" s="54"/>
      <c r="T152" s="54"/>
      <c r="U152" s="54"/>
      <c r="V152" s="54"/>
      <c r="W152" s="35"/>
      <c r="X152" s="35"/>
      <c r="Y152" s="54"/>
      <c r="Z152" s="54"/>
      <c r="AA152" s="35"/>
      <c r="AB152" s="35"/>
      <c r="AC152" s="35"/>
      <c r="AD152" s="54"/>
      <c r="AE152" s="54"/>
      <c r="AF152" s="54"/>
      <c r="AG152" s="54"/>
      <c r="AH152" s="54"/>
      <c r="AI152" s="54"/>
      <c r="AJ152" s="54"/>
      <c r="AK152" s="54"/>
      <c r="AL152" s="54"/>
      <c r="AM152" s="54"/>
      <c r="AN152" s="54"/>
      <c r="AO152" s="54"/>
      <c r="AP152" s="54"/>
      <c r="AQ152" s="54"/>
      <c r="AR152" s="54"/>
      <c r="AS152" s="54"/>
      <c r="AT152" s="54"/>
      <c r="AU152" s="54"/>
      <c r="AV152" s="54"/>
      <c r="AW152" s="54"/>
      <c r="AX152" s="54"/>
      <c r="AY152" s="54"/>
      <c r="AZ152" s="54"/>
      <c r="BA152" s="54"/>
      <c r="BB152" s="54"/>
      <c r="BC152" s="54"/>
      <c r="BD152" s="51"/>
      <c r="BE152" s="131"/>
      <c r="BF152" s="131"/>
      <c r="BG152" s="131"/>
      <c r="BH152" s="131"/>
      <c r="BI152" s="131"/>
      <c r="BJ152" s="131"/>
      <c r="BK152" s="131"/>
      <c r="BL152" s="131"/>
      <c r="BM152" s="131"/>
      <c r="BN152" s="131"/>
      <c r="BO152" s="131"/>
      <c r="BP152" s="131"/>
      <c r="BQ152" s="131"/>
      <c r="BR152" s="131"/>
      <c r="BS152" s="131"/>
      <c r="BT152" s="131"/>
    </row>
    <row r="153" spans="1:72" s="130" customFormat="1" ht="15">
      <c r="A153" s="35"/>
      <c r="B153" s="35"/>
      <c r="C153" s="35"/>
      <c r="D153" s="35"/>
      <c r="E153" s="35"/>
      <c r="F153" s="35"/>
      <c r="G153" s="35"/>
      <c r="H153" s="35"/>
      <c r="I153" s="35"/>
      <c r="J153" s="35"/>
      <c r="K153" s="35"/>
      <c r="L153" s="35"/>
      <c r="M153" s="35"/>
      <c r="N153" s="35"/>
      <c r="O153" s="35"/>
      <c r="P153" s="35"/>
      <c r="Q153" s="35"/>
      <c r="R153" s="35"/>
      <c r="S153" s="54"/>
      <c r="T153" s="54"/>
      <c r="U153" s="54"/>
      <c r="V153" s="54"/>
      <c r="W153" s="35"/>
      <c r="X153" s="35"/>
      <c r="Y153" s="54"/>
      <c r="Z153" s="54"/>
      <c r="AA153" s="35"/>
      <c r="AB153" s="35"/>
      <c r="AC153" s="35"/>
      <c r="AD153" s="54"/>
      <c r="AE153" s="54"/>
      <c r="AF153" s="54"/>
      <c r="AG153" s="54"/>
      <c r="AH153" s="54"/>
      <c r="AI153" s="54"/>
      <c r="AJ153" s="54"/>
      <c r="AK153" s="54"/>
      <c r="AL153" s="54"/>
      <c r="AM153" s="54"/>
      <c r="AN153" s="54"/>
      <c r="AO153" s="54"/>
      <c r="AP153" s="54"/>
      <c r="AQ153" s="54"/>
      <c r="AR153" s="54"/>
      <c r="AS153" s="54"/>
      <c r="AT153" s="54"/>
      <c r="AU153" s="54"/>
      <c r="AV153" s="54"/>
      <c r="AW153" s="54"/>
      <c r="AX153" s="54"/>
      <c r="AY153" s="54"/>
      <c r="AZ153" s="54"/>
      <c r="BA153" s="54"/>
      <c r="BB153" s="54"/>
      <c r="BC153" s="54"/>
      <c r="BD153" s="51"/>
      <c r="BE153" s="131"/>
      <c r="BF153" s="131"/>
      <c r="BG153" s="131"/>
      <c r="BH153" s="131"/>
      <c r="BI153" s="131"/>
      <c r="BJ153" s="131"/>
      <c r="BK153" s="131"/>
      <c r="BL153" s="131"/>
      <c r="BM153" s="131"/>
      <c r="BN153" s="131"/>
      <c r="BO153" s="131"/>
      <c r="BP153" s="131"/>
      <c r="BQ153" s="131"/>
      <c r="BR153" s="131"/>
      <c r="BS153" s="131"/>
      <c r="BT153" s="131"/>
    </row>
    <row r="154" spans="1:72" s="130" customFormat="1" ht="15">
      <c r="A154" s="35"/>
      <c r="B154" s="35"/>
      <c r="C154" s="35"/>
      <c r="D154" s="35"/>
      <c r="E154" s="35"/>
      <c r="F154" s="35"/>
      <c r="G154" s="35"/>
      <c r="H154" s="35"/>
      <c r="I154" s="35"/>
      <c r="J154" s="35"/>
      <c r="K154" s="35"/>
      <c r="L154" s="35"/>
      <c r="M154" s="35"/>
      <c r="N154" s="35"/>
      <c r="O154" s="35"/>
      <c r="P154" s="35"/>
      <c r="Q154" s="35"/>
      <c r="R154" s="35"/>
      <c r="S154" s="54"/>
      <c r="T154" s="54"/>
      <c r="U154" s="54"/>
      <c r="V154" s="54"/>
      <c r="W154" s="35"/>
      <c r="X154" s="35"/>
      <c r="Y154" s="54"/>
      <c r="Z154" s="54"/>
      <c r="AA154" s="35"/>
      <c r="AB154" s="35"/>
      <c r="AC154" s="35"/>
      <c r="AD154" s="54"/>
      <c r="AE154" s="54"/>
      <c r="AF154" s="54"/>
      <c r="AG154" s="54"/>
      <c r="AH154" s="54"/>
      <c r="AI154" s="54"/>
      <c r="AJ154" s="54"/>
      <c r="AK154" s="54"/>
      <c r="AL154" s="54"/>
      <c r="AM154" s="54"/>
      <c r="AN154" s="54"/>
      <c r="AO154" s="54"/>
      <c r="AP154" s="54"/>
      <c r="AQ154" s="54"/>
      <c r="AR154" s="54"/>
      <c r="AS154" s="54"/>
      <c r="AT154" s="54"/>
      <c r="AU154" s="54"/>
      <c r="AV154" s="54"/>
      <c r="AW154" s="54"/>
      <c r="AX154" s="54"/>
      <c r="AY154" s="54"/>
      <c r="AZ154" s="54"/>
      <c r="BA154" s="54"/>
      <c r="BB154" s="54"/>
      <c r="BC154" s="54"/>
      <c r="BD154" s="51"/>
      <c r="BE154" s="131"/>
      <c r="BF154" s="131"/>
      <c r="BG154" s="131"/>
      <c r="BH154" s="131"/>
      <c r="BI154" s="131"/>
      <c r="BJ154" s="131"/>
      <c r="BK154" s="131"/>
      <c r="BL154" s="131"/>
      <c r="BM154" s="131"/>
      <c r="BN154" s="131"/>
      <c r="BO154" s="131"/>
      <c r="BP154" s="131"/>
      <c r="BQ154" s="131"/>
      <c r="BR154" s="131"/>
      <c r="BS154" s="131"/>
      <c r="BT154" s="131"/>
    </row>
    <row r="155" spans="1:72" s="130" customFormat="1" ht="15">
      <c r="A155" s="35"/>
      <c r="B155" s="35"/>
      <c r="C155" s="35"/>
      <c r="D155" s="35"/>
      <c r="E155" s="35"/>
      <c r="F155" s="35"/>
      <c r="G155" s="35"/>
      <c r="H155" s="35"/>
      <c r="I155" s="35"/>
      <c r="J155" s="35"/>
      <c r="K155" s="35"/>
      <c r="L155" s="35"/>
      <c r="M155" s="35"/>
      <c r="N155" s="35"/>
      <c r="O155" s="35"/>
      <c r="P155" s="35"/>
      <c r="Q155" s="35"/>
      <c r="R155" s="35"/>
      <c r="S155" s="54"/>
      <c r="T155" s="54"/>
      <c r="U155" s="54"/>
      <c r="V155" s="54"/>
      <c r="W155" s="35"/>
      <c r="X155" s="35"/>
      <c r="Y155" s="54"/>
      <c r="Z155" s="54"/>
      <c r="AA155" s="35"/>
      <c r="AB155" s="35"/>
      <c r="AC155" s="35"/>
      <c r="AD155" s="54"/>
      <c r="AE155" s="54"/>
      <c r="AF155" s="54"/>
      <c r="AG155" s="54"/>
      <c r="AH155" s="54"/>
      <c r="AI155" s="54"/>
      <c r="AJ155" s="54"/>
      <c r="AK155" s="54"/>
      <c r="AL155" s="54"/>
      <c r="AM155" s="54"/>
      <c r="AN155" s="54"/>
      <c r="AO155" s="54"/>
      <c r="AP155" s="54"/>
      <c r="AQ155" s="54"/>
      <c r="AR155" s="54"/>
      <c r="AS155" s="54"/>
      <c r="AT155" s="54"/>
      <c r="AU155" s="54"/>
      <c r="AV155" s="54"/>
      <c r="AW155" s="54"/>
      <c r="AX155" s="54"/>
      <c r="AY155" s="54"/>
      <c r="AZ155" s="54"/>
      <c r="BA155" s="54"/>
      <c r="BB155" s="54"/>
      <c r="BC155" s="54"/>
      <c r="BD155" s="51"/>
      <c r="BE155" s="131"/>
      <c r="BF155" s="131"/>
      <c r="BG155" s="131"/>
      <c r="BH155" s="131"/>
      <c r="BI155" s="131"/>
      <c r="BJ155" s="131"/>
      <c r="BK155" s="131"/>
      <c r="BL155" s="131"/>
      <c r="BM155" s="131"/>
      <c r="BN155" s="131"/>
      <c r="BO155" s="131"/>
      <c r="BP155" s="131"/>
      <c r="BQ155" s="131"/>
      <c r="BR155" s="131"/>
      <c r="BS155" s="131"/>
      <c r="BT155" s="131"/>
    </row>
    <row r="156" spans="1:72" s="130" customFormat="1" ht="15">
      <c r="A156" s="35"/>
      <c r="B156" s="35"/>
      <c r="C156" s="35"/>
      <c r="D156" s="35"/>
      <c r="E156" s="35"/>
      <c r="F156" s="35"/>
      <c r="G156" s="35"/>
      <c r="H156" s="35"/>
      <c r="I156" s="35"/>
      <c r="J156" s="35"/>
      <c r="K156" s="35"/>
      <c r="L156" s="35"/>
      <c r="M156" s="35"/>
      <c r="N156" s="35"/>
      <c r="O156" s="35"/>
      <c r="P156" s="35"/>
      <c r="Q156" s="35"/>
      <c r="R156" s="35"/>
      <c r="S156" s="54"/>
      <c r="T156" s="54"/>
      <c r="U156" s="54"/>
      <c r="V156" s="54"/>
      <c r="W156" s="35"/>
      <c r="X156" s="35"/>
      <c r="Y156" s="54"/>
      <c r="Z156" s="54"/>
      <c r="AA156" s="35"/>
      <c r="AB156" s="35"/>
      <c r="AC156" s="35"/>
      <c r="AD156" s="54"/>
      <c r="AE156" s="54"/>
      <c r="AF156" s="54"/>
      <c r="AG156" s="54"/>
      <c r="AH156" s="54"/>
      <c r="AI156" s="54"/>
      <c r="AJ156" s="54"/>
      <c r="AK156" s="54"/>
      <c r="AL156" s="54"/>
      <c r="AM156" s="54"/>
      <c r="AN156" s="54"/>
      <c r="AO156" s="54"/>
      <c r="AP156" s="54"/>
      <c r="AQ156" s="54"/>
      <c r="AR156" s="54"/>
      <c r="AS156" s="54"/>
      <c r="AT156" s="54"/>
      <c r="AU156" s="54"/>
      <c r="AV156" s="54"/>
      <c r="AW156" s="54"/>
      <c r="AX156" s="54"/>
      <c r="AY156" s="54"/>
      <c r="AZ156" s="54"/>
      <c r="BA156" s="54"/>
      <c r="BB156" s="54"/>
      <c r="BC156" s="54"/>
      <c r="BD156" s="51"/>
      <c r="BE156" s="131"/>
      <c r="BF156" s="131"/>
      <c r="BG156" s="131"/>
      <c r="BH156" s="131"/>
      <c r="BI156" s="131"/>
      <c r="BJ156" s="131"/>
      <c r="BK156" s="131"/>
      <c r="BL156" s="131"/>
      <c r="BM156" s="131"/>
      <c r="BN156" s="131"/>
      <c r="BO156" s="131"/>
      <c r="BP156" s="131"/>
      <c r="BQ156" s="131"/>
      <c r="BR156" s="131"/>
      <c r="BS156" s="131"/>
      <c r="BT156" s="131"/>
    </row>
    <row r="157" spans="1:72" s="130" customFormat="1" ht="15">
      <c r="A157" s="35"/>
      <c r="B157" s="35"/>
      <c r="C157" s="35"/>
      <c r="D157" s="35"/>
      <c r="E157" s="35"/>
      <c r="F157" s="35"/>
      <c r="G157" s="35"/>
      <c r="H157" s="35"/>
      <c r="I157" s="35"/>
      <c r="J157" s="35"/>
      <c r="K157" s="35"/>
      <c r="L157" s="35"/>
      <c r="M157" s="35"/>
      <c r="N157" s="35"/>
      <c r="O157" s="35"/>
      <c r="P157" s="35"/>
      <c r="Q157" s="35"/>
      <c r="R157" s="35"/>
      <c r="S157" s="54"/>
      <c r="T157" s="54"/>
      <c r="U157" s="54"/>
      <c r="V157" s="54"/>
      <c r="W157" s="35"/>
      <c r="X157" s="35"/>
      <c r="Y157" s="54"/>
      <c r="Z157" s="54"/>
      <c r="AA157" s="35"/>
      <c r="AB157" s="35"/>
      <c r="AC157" s="35"/>
      <c r="AD157" s="54"/>
      <c r="AE157" s="54"/>
      <c r="AF157" s="54"/>
      <c r="AG157" s="54"/>
      <c r="AH157" s="54"/>
      <c r="AI157" s="54"/>
      <c r="AJ157" s="54"/>
      <c r="AK157" s="54"/>
      <c r="AL157" s="54"/>
      <c r="AM157" s="54"/>
      <c r="AN157" s="54"/>
      <c r="AO157" s="54"/>
      <c r="AP157" s="54"/>
      <c r="AQ157" s="54"/>
      <c r="AR157" s="54"/>
      <c r="AS157" s="54"/>
      <c r="AT157" s="54"/>
      <c r="AU157" s="54"/>
      <c r="AV157" s="54"/>
      <c r="AW157" s="54"/>
      <c r="AX157" s="54"/>
      <c r="AY157" s="54"/>
      <c r="AZ157" s="54"/>
      <c r="BA157" s="54"/>
      <c r="BB157" s="54"/>
      <c r="BC157" s="54"/>
      <c r="BD157" s="51"/>
      <c r="BE157" s="131"/>
      <c r="BF157" s="131"/>
      <c r="BG157" s="131"/>
      <c r="BH157" s="131"/>
      <c r="BI157" s="131"/>
      <c r="BJ157" s="131"/>
      <c r="BK157" s="131"/>
      <c r="BL157" s="131"/>
      <c r="BM157" s="131"/>
      <c r="BN157" s="131"/>
      <c r="BO157" s="131"/>
      <c r="BP157" s="131"/>
      <c r="BQ157" s="131"/>
      <c r="BR157" s="131"/>
      <c r="BS157" s="131"/>
      <c r="BT157" s="131"/>
    </row>
    <row r="158" spans="1:72" s="130" customFormat="1" ht="15">
      <c r="A158" s="35"/>
      <c r="B158" s="35"/>
      <c r="C158" s="35"/>
      <c r="D158" s="35"/>
      <c r="E158" s="35"/>
      <c r="F158" s="35"/>
      <c r="G158" s="35"/>
      <c r="H158" s="35"/>
      <c r="I158" s="35"/>
      <c r="J158" s="35"/>
      <c r="K158" s="35"/>
      <c r="L158" s="35"/>
      <c r="M158" s="35"/>
      <c r="N158" s="35"/>
      <c r="O158" s="35"/>
      <c r="P158" s="35"/>
      <c r="Q158" s="35"/>
      <c r="R158" s="35"/>
      <c r="S158" s="54"/>
      <c r="T158" s="54"/>
      <c r="U158" s="54"/>
      <c r="V158" s="54"/>
      <c r="W158" s="35"/>
      <c r="X158" s="35"/>
      <c r="Y158" s="54"/>
      <c r="Z158" s="54"/>
      <c r="AA158" s="35"/>
      <c r="AB158" s="35"/>
      <c r="AC158" s="35"/>
      <c r="AD158" s="54"/>
      <c r="AE158" s="54"/>
      <c r="AF158" s="54"/>
      <c r="AG158" s="54"/>
      <c r="AH158" s="54"/>
      <c r="AI158" s="54"/>
      <c r="AJ158" s="54"/>
      <c r="AK158" s="54"/>
      <c r="AL158" s="54"/>
      <c r="AM158" s="54"/>
      <c r="AN158" s="54"/>
      <c r="AO158" s="54"/>
      <c r="AP158" s="54"/>
      <c r="AQ158" s="54"/>
      <c r="AR158" s="54"/>
      <c r="AS158" s="54"/>
      <c r="AT158" s="54"/>
      <c r="AU158" s="54"/>
      <c r="AV158" s="54"/>
      <c r="AW158" s="54"/>
      <c r="AX158" s="54"/>
      <c r="AY158" s="54"/>
      <c r="AZ158" s="54"/>
      <c r="BA158" s="54"/>
      <c r="BB158" s="54"/>
      <c r="BC158" s="54"/>
      <c r="BD158" s="51"/>
      <c r="BE158" s="131"/>
      <c r="BF158" s="131"/>
      <c r="BG158" s="131"/>
      <c r="BH158" s="131"/>
      <c r="BI158" s="131"/>
      <c r="BJ158" s="131"/>
      <c r="BK158" s="131"/>
      <c r="BL158" s="131"/>
      <c r="BM158" s="131"/>
      <c r="BN158" s="131"/>
      <c r="BO158" s="131"/>
      <c r="BP158" s="131"/>
      <c r="BQ158" s="131"/>
      <c r="BR158" s="131"/>
      <c r="BS158" s="131"/>
      <c r="BT158" s="131"/>
    </row>
    <row r="159" spans="1:72" s="130" customFormat="1" ht="15">
      <c r="A159" s="35"/>
      <c r="B159" s="35"/>
      <c r="C159" s="35"/>
      <c r="D159" s="35"/>
      <c r="E159" s="35"/>
      <c r="F159" s="35"/>
      <c r="G159" s="35"/>
      <c r="H159" s="35"/>
      <c r="I159" s="35"/>
      <c r="J159" s="35"/>
      <c r="K159" s="35"/>
      <c r="L159" s="35"/>
      <c r="M159" s="35"/>
      <c r="N159" s="35"/>
      <c r="O159" s="35"/>
      <c r="P159" s="35"/>
      <c r="Q159" s="35"/>
      <c r="R159" s="35"/>
      <c r="S159" s="54"/>
      <c r="T159" s="54"/>
      <c r="U159" s="54"/>
      <c r="V159" s="54"/>
      <c r="W159" s="35"/>
      <c r="X159" s="35"/>
      <c r="Y159" s="54"/>
      <c r="Z159" s="54"/>
      <c r="AA159" s="35"/>
      <c r="AB159" s="35"/>
      <c r="AC159" s="35"/>
      <c r="AD159" s="54"/>
      <c r="AE159" s="54"/>
      <c r="AF159" s="54"/>
      <c r="AG159" s="54"/>
      <c r="AH159" s="54"/>
      <c r="AI159" s="54"/>
      <c r="AJ159" s="54"/>
      <c r="AK159" s="54"/>
      <c r="AL159" s="54"/>
      <c r="AM159" s="54"/>
      <c r="AN159" s="54"/>
      <c r="AO159" s="54"/>
      <c r="AP159" s="54"/>
      <c r="AQ159" s="54"/>
      <c r="AR159" s="54"/>
      <c r="AS159" s="54"/>
      <c r="AT159" s="54"/>
      <c r="AU159" s="54"/>
      <c r="AV159" s="54"/>
      <c r="AW159" s="54"/>
      <c r="AX159" s="54"/>
      <c r="AY159" s="54"/>
      <c r="AZ159" s="54"/>
      <c r="BA159" s="54"/>
      <c r="BB159" s="54"/>
      <c r="BC159" s="54"/>
      <c r="BD159" s="51"/>
      <c r="BE159" s="131"/>
      <c r="BF159" s="131"/>
      <c r="BG159" s="131"/>
      <c r="BH159" s="131"/>
      <c r="BI159" s="131"/>
      <c r="BJ159" s="131"/>
      <c r="BK159" s="131"/>
      <c r="BL159" s="131"/>
      <c r="BM159" s="131"/>
      <c r="BN159" s="131"/>
      <c r="BO159" s="131"/>
      <c r="BP159" s="131"/>
      <c r="BQ159" s="131"/>
      <c r="BR159" s="131"/>
      <c r="BS159" s="131"/>
      <c r="BT159" s="131"/>
    </row>
    <row r="160" spans="1:72" s="130" customFormat="1" ht="15">
      <c r="A160" s="35"/>
      <c r="B160" s="35"/>
      <c r="C160" s="35"/>
      <c r="D160" s="35"/>
      <c r="E160" s="35"/>
      <c r="F160" s="35"/>
      <c r="G160" s="35"/>
      <c r="H160" s="35"/>
      <c r="I160" s="35"/>
      <c r="J160" s="35"/>
      <c r="K160" s="35"/>
      <c r="L160" s="35"/>
      <c r="M160" s="35"/>
      <c r="N160" s="35"/>
      <c r="O160" s="35"/>
      <c r="P160" s="35"/>
      <c r="Q160" s="35"/>
      <c r="R160" s="35"/>
      <c r="S160" s="54"/>
      <c r="T160" s="54"/>
      <c r="U160" s="54"/>
      <c r="V160" s="54"/>
      <c r="W160" s="35"/>
      <c r="X160" s="35"/>
      <c r="Y160" s="54"/>
      <c r="Z160" s="54"/>
      <c r="AA160" s="35"/>
      <c r="AB160" s="35"/>
      <c r="AC160" s="35"/>
      <c r="AD160" s="54"/>
      <c r="AE160" s="54"/>
      <c r="AF160" s="54"/>
      <c r="AG160" s="54"/>
      <c r="AH160" s="54"/>
      <c r="AI160" s="54"/>
      <c r="AJ160" s="54"/>
      <c r="AK160" s="54"/>
      <c r="AL160" s="54"/>
      <c r="AM160" s="54"/>
      <c r="AN160" s="54"/>
      <c r="AO160" s="54"/>
      <c r="AP160" s="54"/>
      <c r="AQ160" s="54"/>
      <c r="AR160" s="54"/>
      <c r="AS160" s="54"/>
      <c r="AT160" s="54"/>
      <c r="AU160" s="54"/>
      <c r="AV160" s="54"/>
      <c r="AW160" s="54"/>
      <c r="AX160" s="54"/>
      <c r="AY160" s="54"/>
      <c r="AZ160" s="54"/>
      <c r="BA160" s="54"/>
      <c r="BB160" s="54"/>
      <c r="BC160" s="54"/>
      <c r="BD160" s="51"/>
      <c r="BE160" s="131"/>
      <c r="BF160" s="131"/>
      <c r="BG160" s="131"/>
      <c r="BH160" s="131"/>
      <c r="BI160" s="131"/>
      <c r="BJ160" s="131"/>
      <c r="BK160" s="131"/>
      <c r="BL160" s="131"/>
      <c r="BM160" s="131"/>
      <c r="BN160" s="131"/>
      <c r="BO160" s="131"/>
      <c r="BP160" s="131"/>
      <c r="BQ160" s="131"/>
      <c r="BR160" s="131"/>
      <c r="BS160" s="131"/>
      <c r="BT160" s="131"/>
    </row>
    <row r="161" spans="1:72" s="130" customFormat="1" ht="15">
      <c r="A161" s="35"/>
      <c r="B161" s="35"/>
      <c r="C161" s="35"/>
      <c r="D161" s="35"/>
      <c r="E161" s="35"/>
      <c r="F161" s="35"/>
      <c r="G161" s="35"/>
      <c r="H161" s="35"/>
      <c r="I161" s="35"/>
      <c r="J161" s="35"/>
      <c r="K161" s="35"/>
      <c r="L161" s="35"/>
      <c r="M161" s="35"/>
      <c r="N161" s="35"/>
      <c r="O161" s="35"/>
      <c r="P161" s="35"/>
      <c r="Q161" s="35"/>
      <c r="R161" s="35"/>
      <c r="S161" s="54"/>
      <c r="T161" s="54"/>
      <c r="U161" s="54"/>
      <c r="V161" s="54"/>
      <c r="W161" s="35"/>
      <c r="X161" s="35"/>
      <c r="Y161" s="54"/>
      <c r="Z161" s="54"/>
      <c r="AA161" s="35"/>
      <c r="AB161" s="35"/>
      <c r="AC161" s="35"/>
      <c r="AD161" s="54"/>
      <c r="AE161" s="54"/>
      <c r="AF161" s="54"/>
      <c r="AG161" s="54"/>
      <c r="AH161" s="54"/>
      <c r="AI161" s="54"/>
      <c r="AJ161" s="54"/>
      <c r="AK161" s="54"/>
      <c r="AL161" s="54"/>
      <c r="AM161" s="54"/>
      <c r="AN161" s="54"/>
      <c r="AO161" s="54"/>
      <c r="AP161" s="54"/>
      <c r="AQ161" s="54"/>
      <c r="AR161" s="54"/>
      <c r="AS161" s="54"/>
      <c r="AT161" s="54"/>
      <c r="AU161" s="54"/>
      <c r="AV161" s="54"/>
      <c r="AW161" s="54"/>
      <c r="AX161" s="54"/>
      <c r="AY161" s="54"/>
      <c r="AZ161" s="54"/>
      <c r="BA161" s="54"/>
      <c r="BB161" s="54"/>
      <c r="BC161" s="54"/>
      <c r="BD161" s="51"/>
      <c r="BE161" s="131"/>
      <c r="BF161" s="131"/>
      <c r="BG161" s="131"/>
      <c r="BH161" s="131"/>
      <c r="BI161" s="131"/>
      <c r="BJ161" s="131"/>
      <c r="BK161" s="131"/>
      <c r="BL161" s="131"/>
      <c r="BM161" s="131"/>
      <c r="BN161" s="131"/>
      <c r="BO161" s="131"/>
      <c r="BP161" s="131"/>
      <c r="BQ161" s="131"/>
      <c r="BR161" s="131"/>
      <c r="BS161" s="131"/>
      <c r="BT161" s="131"/>
    </row>
    <row r="162" spans="1:72" s="130" customFormat="1" ht="15">
      <c r="A162" s="35"/>
      <c r="B162" s="35"/>
      <c r="C162" s="35"/>
      <c r="D162" s="35"/>
      <c r="E162" s="35"/>
      <c r="F162" s="35"/>
      <c r="G162" s="35"/>
      <c r="H162" s="35"/>
      <c r="I162" s="35"/>
      <c r="J162" s="35"/>
      <c r="K162" s="35"/>
      <c r="L162" s="35"/>
      <c r="M162" s="35"/>
      <c r="N162" s="35"/>
      <c r="O162" s="35"/>
      <c r="P162" s="35"/>
      <c r="Q162" s="35"/>
      <c r="R162" s="35"/>
      <c r="S162" s="54"/>
      <c r="T162" s="54"/>
      <c r="U162" s="54"/>
      <c r="V162" s="54"/>
      <c r="W162" s="35"/>
      <c r="X162" s="35"/>
      <c r="Y162" s="54"/>
      <c r="Z162" s="54"/>
      <c r="AA162" s="35"/>
      <c r="AB162" s="35"/>
      <c r="AC162" s="35"/>
      <c r="AD162" s="54"/>
      <c r="AE162" s="54"/>
      <c r="AF162" s="54"/>
      <c r="AG162" s="54"/>
      <c r="AH162" s="54"/>
      <c r="AI162" s="54"/>
      <c r="AJ162" s="54"/>
      <c r="AK162" s="54"/>
      <c r="AL162" s="54"/>
      <c r="AM162" s="54"/>
      <c r="AN162" s="54"/>
      <c r="AO162" s="54"/>
      <c r="AP162" s="54"/>
      <c r="AQ162" s="54"/>
      <c r="AR162" s="54"/>
      <c r="AS162" s="54"/>
      <c r="AT162" s="54"/>
      <c r="AU162" s="54"/>
      <c r="AV162" s="54"/>
      <c r="AW162" s="54"/>
      <c r="AX162" s="54"/>
      <c r="AY162" s="54"/>
      <c r="AZ162" s="54"/>
      <c r="BA162" s="54"/>
      <c r="BB162" s="54"/>
      <c r="BC162" s="54"/>
      <c r="BD162" s="51"/>
      <c r="BE162" s="131"/>
      <c r="BF162" s="131"/>
      <c r="BG162" s="131"/>
      <c r="BH162" s="131"/>
      <c r="BI162" s="131"/>
      <c r="BJ162" s="131"/>
      <c r="BK162" s="131"/>
      <c r="BL162" s="131"/>
      <c r="BM162" s="131"/>
      <c r="BN162" s="131"/>
      <c r="BO162" s="131"/>
      <c r="BP162" s="131"/>
      <c r="BQ162" s="131"/>
      <c r="BR162" s="131"/>
      <c r="BS162" s="131"/>
      <c r="BT162" s="131"/>
    </row>
    <row r="163" spans="1:72" s="130" customFormat="1" ht="15">
      <c r="A163" s="35"/>
      <c r="B163" s="35"/>
      <c r="C163" s="35"/>
      <c r="D163" s="35"/>
      <c r="E163" s="35"/>
      <c r="F163" s="35"/>
      <c r="G163" s="35"/>
      <c r="H163" s="35"/>
      <c r="I163" s="35"/>
      <c r="J163" s="35"/>
      <c r="K163" s="35"/>
      <c r="L163" s="35"/>
      <c r="M163" s="35"/>
      <c r="N163" s="35"/>
      <c r="O163" s="35"/>
      <c r="P163" s="35"/>
      <c r="Q163" s="35"/>
      <c r="R163" s="35"/>
      <c r="S163" s="54"/>
      <c r="T163" s="54"/>
      <c r="U163" s="54"/>
      <c r="V163" s="54"/>
      <c r="W163" s="35"/>
      <c r="X163" s="35"/>
      <c r="Y163" s="54"/>
      <c r="Z163" s="54"/>
      <c r="AA163" s="35"/>
      <c r="AB163" s="35"/>
      <c r="AC163" s="35"/>
      <c r="AD163" s="54"/>
      <c r="AE163" s="54"/>
      <c r="AF163" s="54"/>
      <c r="AG163" s="54"/>
      <c r="AH163" s="54"/>
      <c r="AI163" s="54"/>
      <c r="AJ163" s="54"/>
      <c r="AK163" s="54"/>
      <c r="AL163" s="54"/>
      <c r="AM163" s="54"/>
      <c r="AN163" s="54"/>
      <c r="AO163" s="54"/>
      <c r="AP163" s="54"/>
      <c r="AQ163" s="54"/>
      <c r="AR163" s="54"/>
      <c r="AS163" s="54"/>
      <c r="AT163" s="54"/>
      <c r="AU163" s="54"/>
      <c r="AV163" s="54"/>
      <c r="AW163" s="54"/>
      <c r="AX163" s="54"/>
      <c r="AY163" s="54"/>
      <c r="AZ163" s="54"/>
      <c r="BA163" s="54"/>
      <c r="BB163" s="54"/>
      <c r="BC163" s="54"/>
      <c r="BD163" s="51"/>
      <c r="BE163" s="131"/>
      <c r="BF163" s="131"/>
      <c r="BG163" s="131"/>
      <c r="BH163" s="131"/>
      <c r="BI163" s="131"/>
      <c r="BJ163" s="131"/>
      <c r="BK163" s="131"/>
      <c r="BL163" s="131"/>
      <c r="BM163" s="131"/>
      <c r="BN163" s="131"/>
      <c r="BO163" s="131"/>
      <c r="BP163" s="131"/>
      <c r="BQ163" s="131"/>
      <c r="BR163" s="131"/>
      <c r="BS163" s="131"/>
      <c r="BT163" s="131"/>
    </row>
    <row r="164" spans="1:72" s="130" customFormat="1" ht="15">
      <c r="A164" s="35"/>
      <c r="B164" s="35"/>
      <c r="C164" s="35"/>
      <c r="D164" s="35"/>
      <c r="E164" s="35"/>
      <c r="F164" s="35"/>
      <c r="G164" s="35"/>
      <c r="H164" s="35"/>
      <c r="I164" s="35"/>
      <c r="J164" s="35"/>
      <c r="K164" s="35"/>
      <c r="L164" s="35"/>
      <c r="M164" s="35"/>
      <c r="N164" s="35"/>
      <c r="O164" s="35"/>
      <c r="P164" s="35"/>
      <c r="Q164" s="35"/>
      <c r="R164" s="35"/>
      <c r="S164" s="54"/>
      <c r="T164" s="54"/>
      <c r="U164" s="54"/>
      <c r="V164" s="54"/>
      <c r="W164" s="35"/>
      <c r="X164" s="35"/>
      <c r="Y164" s="54"/>
      <c r="Z164" s="54"/>
      <c r="AA164" s="35"/>
      <c r="AB164" s="35"/>
      <c r="AC164" s="35"/>
      <c r="AD164" s="54"/>
      <c r="AE164" s="54"/>
      <c r="AF164" s="54"/>
      <c r="AG164" s="54"/>
      <c r="AH164" s="54"/>
      <c r="AI164" s="54"/>
      <c r="AJ164" s="54"/>
      <c r="AK164" s="54"/>
      <c r="AL164" s="54"/>
      <c r="AM164" s="54"/>
      <c r="AN164" s="54"/>
      <c r="AO164" s="54"/>
      <c r="AP164" s="54"/>
      <c r="AQ164" s="54"/>
      <c r="AR164" s="54"/>
      <c r="AS164" s="54"/>
      <c r="AT164" s="54"/>
      <c r="AU164" s="54"/>
      <c r="AV164" s="54"/>
      <c r="AW164" s="54"/>
      <c r="AX164" s="54"/>
      <c r="AY164" s="54"/>
      <c r="AZ164" s="54"/>
      <c r="BA164" s="54"/>
      <c r="BB164" s="54"/>
      <c r="BC164" s="54"/>
      <c r="BD164" s="51"/>
      <c r="BE164" s="131"/>
      <c r="BF164" s="131"/>
      <c r="BG164" s="131"/>
      <c r="BH164" s="131"/>
      <c r="BI164" s="131"/>
      <c r="BJ164" s="131"/>
      <c r="BK164" s="131"/>
      <c r="BL164" s="131"/>
      <c r="BM164" s="131"/>
      <c r="BN164" s="131"/>
      <c r="BO164" s="131"/>
      <c r="BP164" s="131"/>
      <c r="BQ164" s="131"/>
      <c r="BR164" s="131"/>
      <c r="BS164" s="131"/>
      <c r="BT164" s="131"/>
    </row>
    <row r="165" spans="1:72" s="130" customFormat="1" ht="15">
      <c r="A165" s="35"/>
      <c r="B165" s="35"/>
      <c r="C165" s="35"/>
      <c r="D165" s="35"/>
      <c r="E165" s="35"/>
      <c r="F165" s="35"/>
      <c r="G165" s="35"/>
      <c r="H165" s="35"/>
      <c r="I165" s="35"/>
      <c r="J165" s="35"/>
      <c r="K165" s="35"/>
      <c r="L165" s="35"/>
      <c r="M165" s="35"/>
      <c r="N165" s="35"/>
      <c r="O165" s="35"/>
      <c r="P165" s="35"/>
      <c r="Q165" s="35"/>
      <c r="R165" s="35"/>
      <c r="S165" s="54"/>
      <c r="T165" s="54"/>
      <c r="U165" s="54"/>
      <c r="V165" s="54"/>
      <c r="W165" s="35"/>
      <c r="X165" s="35"/>
      <c r="Y165" s="54"/>
      <c r="Z165" s="54"/>
      <c r="AA165" s="35"/>
      <c r="AB165" s="35"/>
      <c r="AC165" s="35"/>
      <c r="AD165" s="54"/>
      <c r="AE165" s="54"/>
      <c r="AF165" s="54"/>
      <c r="AG165" s="54"/>
      <c r="AH165" s="54"/>
      <c r="AI165" s="54"/>
      <c r="AJ165" s="54"/>
      <c r="AK165" s="54"/>
      <c r="AL165" s="54"/>
      <c r="AM165" s="54"/>
      <c r="AN165" s="54"/>
      <c r="AO165" s="54"/>
      <c r="AP165" s="54"/>
      <c r="AQ165" s="54"/>
      <c r="AR165" s="54"/>
      <c r="AS165" s="54"/>
      <c r="AT165" s="54"/>
      <c r="AU165" s="54"/>
      <c r="AV165" s="54"/>
      <c r="AW165" s="54"/>
      <c r="AX165" s="54"/>
      <c r="AY165" s="54"/>
      <c r="AZ165" s="54"/>
      <c r="BA165" s="54"/>
      <c r="BB165" s="54"/>
      <c r="BC165" s="54"/>
      <c r="BD165" s="51"/>
      <c r="BE165" s="131"/>
      <c r="BF165" s="131"/>
      <c r="BG165" s="131"/>
      <c r="BH165" s="131"/>
      <c r="BI165" s="131"/>
      <c r="BJ165" s="131"/>
      <c r="BK165" s="131"/>
      <c r="BL165" s="131"/>
      <c r="BM165" s="131"/>
      <c r="BN165" s="131"/>
      <c r="BO165" s="131"/>
      <c r="BP165" s="131"/>
      <c r="BQ165" s="131"/>
      <c r="BR165" s="131"/>
      <c r="BS165" s="131"/>
      <c r="BT165" s="131"/>
    </row>
    <row r="166" spans="1:72" s="130" customFormat="1" ht="15">
      <c r="A166" s="35"/>
      <c r="B166" s="35"/>
      <c r="C166" s="35"/>
      <c r="D166" s="35"/>
      <c r="E166" s="35"/>
      <c r="F166" s="35"/>
      <c r="G166" s="35"/>
      <c r="H166" s="35"/>
      <c r="I166" s="35"/>
      <c r="J166" s="35"/>
      <c r="K166" s="35"/>
      <c r="L166" s="35"/>
      <c r="M166" s="35"/>
      <c r="N166" s="35"/>
      <c r="O166" s="35"/>
      <c r="P166" s="35"/>
      <c r="Q166" s="35"/>
      <c r="R166" s="35"/>
      <c r="S166" s="54"/>
      <c r="T166" s="54"/>
      <c r="U166" s="54"/>
      <c r="V166" s="54"/>
      <c r="W166" s="35"/>
      <c r="X166" s="35"/>
      <c r="Y166" s="54"/>
      <c r="Z166" s="54"/>
      <c r="AA166" s="35"/>
      <c r="AB166" s="35"/>
      <c r="AC166" s="35"/>
      <c r="AD166" s="54"/>
      <c r="AE166" s="54"/>
      <c r="AF166" s="54"/>
      <c r="AG166" s="54"/>
      <c r="AH166" s="54"/>
      <c r="AI166" s="54"/>
      <c r="AJ166" s="54"/>
      <c r="AK166" s="54"/>
      <c r="AL166" s="54"/>
      <c r="AM166" s="54"/>
      <c r="AN166" s="54"/>
      <c r="AO166" s="54"/>
      <c r="AP166" s="54"/>
      <c r="AQ166" s="54"/>
      <c r="AR166" s="54"/>
      <c r="AS166" s="54"/>
      <c r="AT166" s="54"/>
      <c r="AU166" s="54"/>
      <c r="AV166" s="54"/>
      <c r="AW166" s="54"/>
      <c r="AX166" s="54"/>
      <c r="AY166" s="54"/>
      <c r="AZ166" s="54"/>
      <c r="BA166" s="54"/>
      <c r="BB166" s="54"/>
      <c r="BC166" s="54"/>
      <c r="BD166" s="51"/>
      <c r="BE166" s="131"/>
      <c r="BF166" s="131"/>
      <c r="BG166" s="131"/>
      <c r="BH166" s="131"/>
      <c r="BI166" s="131"/>
      <c r="BJ166" s="131"/>
      <c r="BK166" s="131"/>
      <c r="BL166" s="131"/>
      <c r="BM166" s="131"/>
      <c r="BN166" s="131"/>
      <c r="BO166" s="131"/>
      <c r="BP166" s="131"/>
      <c r="BQ166" s="131"/>
      <c r="BR166" s="131"/>
      <c r="BS166" s="131"/>
      <c r="BT166" s="131"/>
    </row>
    <row r="167" spans="1:72" s="130" customFormat="1" ht="15">
      <c r="A167" s="35"/>
      <c r="B167" s="35"/>
      <c r="C167" s="35"/>
      <c r="D167" s="35"/>
      <c r="E167" s="35"/>
      <c r="F167" s="35"/>
      <c r="G167" s="35"/>
      <c r="H167" s="35"/>
      <c r="I167" s="35"/>
      <c r="J167" s="35"/>
      <c r="K167" s="35"/>
      <c r="L167" s="35"/>
      <c r="M167" s="35"/>
      <c r="N167" s="35"/>
      <c r="O167" s="35"/>
      <c r="P167" s="35"/>
      <c r="Q167" s="35"/>
      <c r="R167" s="35"/>
      <c r="S167" s="54"/>
      <c r="T167" s="54"/>
      <c r="U167" s="54"/>
      <c r="V167" s="54"/>
      <c r="W167" s="35"/>
      <c r="X167" s="35"/>
      <c r="Y167" s="54"/>
      <c r="Z167" s="54"/>
      <c r="AA167" s="35"/>
      <c r="AB167" s="35"/>
      <c r="AC167" s="35"/>
      <c r="AD167" s="54"/>
      <c r="AE167" s="54"/>
      <c r="AF167" s="54"/>
      <c r="AG167" s="54"/>
      <c r="AH167" s="54"/>
      <c r="AI167" s="54"/>
      <c r="AJ167" s="54"/>
      <c r="AK167" s="54"/>
      <c r="AL167" s="54"/>
      <c r="AM167" s="54"/>
      <c r="AN167" s="54"/>
      <c r="AO167" s="54"/>
      <c r="AP167" s="54"/>
      <c r="AQ167" s="54"/>
      <c r="AR167" s="54"/>
      <c r="AS167" s="54"/>
      <c r="AT167" s="54"/>
      <c r="AU167" s="54"/>
      <c r="AV167" s="54"/>
      <c r="AW167" s="54"/>
      <c r="AX167" s="54"/>
      <c r="AY167" s="54"/>
      <c r="AZ167" s="54"/>
      <c r="BA167" s="54"/>
      <c r="BB167" s="54"/>
      <c r="BC167" s="54"/>
      <c r="BD167" s="51"/>
      <c r="BE167" s="131"/>
      <c r="BF167" s="131"/>
      <c r="BG167" s="131"/>
      <c r="BH167" s="131"/>
      <c r="BI167" s="131"/>
      <c r="BJ167" s="131"/>
      <c r="BK167" s="131"/>
      <c r="BL167" s="131"/>
      <c r="BM167" s="131"/>
      <c r="BN167" s="131"/>
      <c r="BO167" s="131"/>
      <c r="BP167" s="131"/>
      <c r="BQ167" s="131"/>
      <c r="BR167" s="131"/>
      <c r="BS167" s="131"/>
      <c r="BT167" s="131"/>
    </row>
    <row r="168" spans="1:72" s="130" customFormat="1" ht="15">
      <c r="A168" s="35"/>
      <c r="B168" s="35"/>
      <c r="C168" s="35"/>
      <c r="D168" s="35"/>
      <c r="E168" s="35"/>
      <c r="F168" s="35"/>
      <c r="G168" s="35"/>
      <c r="H168" s="35"/>
      <c r="I168" s="35"/>
      <c r="J168" s="35"/>
      <c r="K168" s="35"/>
      <c r="L168" s="35"/>
      <c r="M168" s="35"/>
      <c r="N168" s="35"/>
      <c r="O168" s="35"/>
      <c r="P168" s="35"/>
      <c r="Q168" s="35"/>
      <c r="R168" s="35"/>
      <c r="S168" s="54"/>
      <c r="T168" s="54"/>
      <c r="U168" s="54"/>
      <c r="V168" s="54"/>
      <c r="W168" s="35"/>
      <c r="X168" s="35"/>
      <c r="Y168" s="54"/>
      <c r="Z168" s="54"/>
      <c r="AA168" s="35"/>
      <c r="AB168" s="35"/>
      <c r="AC168" s="35"/>
      <c r="AD168" s="54"/>
      <c r="AE168" s="54"/>
      <c r="AF168" s="54"/>
      <c r="AG168" s="54"/>
      <c r="AH168" s="54"/>
      <c r="AI168" s="54"/>
      <c r="AJ168" s="54"/>
      <c r="AK168" s="54"/>
      <c r="AL168" s="54"/>
      <c r="AM168" s="54"/>
      <c r="AN168" s="54"/>
      <c r="AO168" s="54"/>
      <c r="AP168" s="54"/>
      <c r="AQ168" s="54"/>
      <c r="AR168" s="54"/>
      <c r="AS168" s="54"/>
      <c r="AT168" s="54"/>
      <c r="AU168" s="54"/>
      <c r="AV168" s="54"/>
      <c r="AW168" s="54"/>
      <c r="AX168" s="54"/>
      <c r="AY168" s="54"/>
      <c r="AZ168" s="54"/>
      <c r="BA168" s="54"/>
      <c r="BB168" s="54"/>
      <c r="BC168" s="54"/>
      <c r="BD168" s="51"/>
      <c r="BE168" s="131"/>
      <c r="BF168" s="131"/>
      <c r="BG168" s="131"/>
      <c r="BH168" s="131"/>
      <c r="BI168" s="131"/>
      <c r="BJ168" s="131"/>
      <c r="BK168" s="131"/>
      <c r="BL168" s="131"/>
      <c r="BM168" s="131"/>
      <c r="BN168" s="131"/>
      <c r="BO168" s="131"/>
      <c r="BP168" s="131"/>
      <c r="BQ168" s="131"/>
      <c r="BR168" s="131"/>
      <c r="BS168" s="131"/>
      <c r="BT168" s="131"/>
    </row>
    <row r="169" spans="1:72" s="130" customFormat="1" ht="15">
      <c r="A169" s="35"/>
      <c r="B169" s="35"/>
      <c r="C169" s="35"/>
      <c r="D169" s="35"/>
      <c r="E169" s="35"/>
      <c r="F169" s="35"/>
      <c r="G169" s="35"/>
      <c r="H169" s="35"/>
      <c r="I169" s="35"/>
      <c r="J169" s="35"/>
      <c r="K169" s="35"/>
      <c r="L169" s="35"/>
      <c r="M169" s="35"/>
      <c r="N169" s="35"/>
      <c r="O169" s="35"/>
      <c r="P169" s="35"/>
      <c r="Q169" s="35"/>
      <c r="R169" s="35"/>
      <c r="S169" s="54"/>
      <c r="T169" s="54"/>
      <c r="U169" s="54"/>
      <c r="V169" s="54"/>
      <c r="W169" s="35"/>
      <c r="X169" s="35"/>
      <c r="Y169" s="54"/>
      <c r="Z169" s="54"/>
      <c r="AA169" s="35"/>
      <c r="AB169" s="35"/>
      <c r="AC169" s="35"/>
      <c r="AD169" s="54"/>
      <c r="AE169" s="54"/>
      <c r="AF169" s="54"/>
      <c r="AG169" s="54"/>
      <c r="AH169" s="54"/>
      <c r="AI169" s="54"/>
      <c r="AJ169" s="54"/>
      <c r="AK169" s="54"/>
      <c r="AL169" s="54"/>
      <c r="AM169" s="54"/>
      <c r="AN169" s="54"/>
      <c r="AO169" s="54"/>
      <c r="AP169" s="54"/>
      <c r="AQ169" s="54"/>
      <c r="AR169" s="54"/>
      <c r="AS169" s="54"/>
      <c r="AT169" s="54"/>
      <c r="AU169" s="54"/>
      <c r="AV169" s="54"/>
      <c r="AW169" s="54"/>
      <c r="AX169" s="54"/>
      <c r="AY169" s="54"/>
      <c r="AZ169" s="54"/>
      <c r="BA169" s="54"/>
      <c r="BB169" s="54"/>
      <c r="BC169" s="54"/>
      <c r="BD169" s="51"/>
      <c r="BE169" s="131"/>
      <c r="BF169" s="131"/>
      <c r="BG169" s="131"/>
      <c r="BH169" s="131"/>
      <c r="BI169" s="131"/>
      <c r="BJ169" s="131"/>
      <c r="BK169" s="131"/>
      <c r="BL169" s="131"/>
      <c r="BM169" s="131"/>
      <c r="BN169" s="131"/>
      <c r="BO169" s="131"/>
      <c r="BP169" s="131"/>
      <c r="BQ169" s="131"/>
      <c r="BR169" s="131"/>
      <c r="BS169" s="131"/>
      <c r="BT169" s="131"/>
    </row>
    <row r="170" spans="1:72" s="130" customFormat="1" ht="15">
      <c r="A170" s="35"/>
      <c r="B170" s="35"/>
      <c r="C170" s="35"/>
      <c r="D170" s="35"/>
      <c r="E170" s="35"/>
      <c r="F170" s="35"/>
      <c r="G170" s="35"/>
      <c r="H170" s="35"/>
      <c r="I170" s="35"/>
      <c r="J170" s="35"/>
      <c r="K170" s="35"/>
      <c r="L170" s="35"/>
      <c r="M170" s="35"/>
      <c r="N170" s="35"/>
      <c r="O170" s="35"/>
      <c r="P170" s="35"/>
      <c r="Q170" s="35"/>
      <c r="R170" s="35"/>
      <c r="S170" s="54"/>
      <c r="T170" s="54"/>
      <c r="U170" s="54"/>
      <c r="V170" s="54"/>
      <c r="W170" s="35"/>
      <c r="X170" s="35"/>
      <c r="Y170" s="54"/>
      <c r="Z170" s="54"/>
      <c r="AA170" s="35"/>
      <c r="AB170" s="35"/>
      <c r="AC170" s="35"/>
      <c r="AD170" s="54"/>
      <c r="AE170" s="54"/>
      <c r="AF170" s="54"/>
      <c r="AG170" s="54"/>
      <c r="AH170" s="54"/>
      <c r="AI170" s="54"/>
      <c r="AJ170" s="54"/>
      <c r="AK170" s="54"/>
      <c r="AL170" s="54"/>
      <c r="AM170" s="54"/>
      <c r="AN170" s="54"/>
      <c r="AO170" s="54"/>
      <c r="AP170" s="54"/>
      <c r="AQ170" s="54"/>
      <c r="AR170" s="54"/>
      <c r="AS170" s="54"/>
      <c r="AT170" s="54"/>
      <c r="AU170" s="54"/>
      <c r="AV170" s="54"/>
      <c r="AW170" s="54"/>
      <c r="AX170" s="54"/>
      <c r="AY170" s="54"/>
      <c r="AZ170" s="54"/>
      <c r="BA170" s="54"/>
      <c r="BB170" s="54"/>
      <c r="BC170" s="54"/>
      <c r="BD170" s="51"/>
      <c r="BE170" s="131"/>
      <c r="BF170" s="131"/>
      <c r="BG170" s="131"/>
      <c r="BH170" s="131"/>
      <c r="BI170" s="131"/>
      <c r="BJ170" s="131"/>
      <c r="BK170" s="131"/>
      <c r="BL170" s="131"/>
      <c r="BM170" s="131"/>
      <c r="BN170" s="131"/>
      <c r="BO170" s="131"/>
      <c r="BP170" s="131"/>
      <c r="BQ170" s="131"/>
      <c r="BR170" s="131"/>
      <c r="BS170" s="131"/>
      <c r="BT170" s="131"/>
    </row>
    <row r="171" spans="1:72" s="130" customFormat="1" ht="15">
      <c r="A171" s="35"/>
      <c r="B171" s="35"/>
      <c r="C171" s="35"/>
      <c r="D171" s="35"/>
      <c r="E171" s="35"/>
      <c r="F171" s="35"/>
      <c r="G171" s="35"/>
      <c r="H171" s="35"/>
      <c r="I171" s="35"/>
      <c r="J171" s="35"/>
      <c r="K171" s="35"/>
      <c r="L171" s="35"/>
      <c r="M171" s="35"/>
      <c r="N171" s="35"/>
      <c r="O171" s="35"/>
      <c r="P171" s="35"/>
      <c r="Q171" s="35"/>
      <c r="R171" s="35"/>
      <c r="S171" s="54"/>
      <c r="T171" s="54"/>
      <c r="U171" s="54"/>
      <c r="V171" s="54"/>
      <c r="W171" s="35"/>
      <c r="X171" s="35"/>
      <c r="Y171" s="54"/>
      <c r="Z171" s="54"/>
      <c r="AA171" s="35"/>
      <c r="AB171" s="35"/>
      <c r="AC171" s="35"/>
      <c r="AD171" s="54"/>
      <c r="AE171" s="54"/>
      <c r="AF171" s="54"/>
      <c r="AG171" s="54"/>
      <c r="AH171" s="54"/>
      <c r="AI171" s="54"/>
      <c r="AJ171" s="54"/>
      <c r="AK171" s="54"/>
      <c r="AL171" s="54"/>
      <c r="AM171" s="54"/>
      <c r="AN171" s="54"/>
      <c r="AO171" s="54"/>
      <c r="AP171" s="54"/>
      <c r="AQ171" s="54"/>
      <c r="AR171" s="54"/>
      <c r="AS171" s="54"/>
      <c r="AT171" s="54"/>
      <c r="AU171" s="54"/>
      <c r="AV171" s="54"/>
      <c r="AW171" s="54"/>
      <c r="AX171" s="54"/>
      <c r="AY171" s="54"/>
      <c r="AZ171" s="54"/>
      <c r="BA171" s="54"/>
      <c r="BB171" s="54"/>
      <c r="BC171" s="54"/>
      <c r="BD171" s="51"/>
      <c r="BE171" s="131"/>
      <c r="BF171" s="131"/>
      <c r="BG171" s="131"/>
      <c r="BH171" s="131"/>
      <c r="BI171" s="131"/>
      <c r="BJ171" s="131"/>
      <c r="BK171" s="131"/>
      <c r="BL171" s="131"/>
      <c r="BM171" s="131"/>
      <c r="BN171" s="131"/>
      <c r="BO171" s="131"/>
      <c r="BP171" s="131"/>
      <c r="BQ171" s="131"/>
      <c r="BR171" s="131"/>
      <c r="BS171" s="131"/>
      <c r="BT171" s="131"/>
    </row>
    <row r="172" spans="1:72" s="130" customFormat="1" ht="15">
      <c r="A172" s="35"/>
      <c r="B172" s="35"/>
      <c r="C172" s="35"/>
      <c r="D172" s="35"/>
      <c r="E172" s="35"/>
      <c r="F172" s="35"/>
      <c r="G172" s="35"/>
      <c r="H172" s="35"/>
      <c r="I172" s="35"/>
      <c r="J172" s="35"/>
      <c r="K172" s="35"/>
      <c r="L172" s="35"/>
      <c r="M172" s="35"/>
      <c r="N172" s="35"/>
      <c r="O172" s="35"/>
      <c r="P172" s="35"/>
      <c r="Q172" s="35"/>
      <c r="R172" s="35"/>
      <c r="S172" s="54"/>
      <c r="T172" s="54"/>
      <c r="U172" s="54"/>
      <c r="V172" s="54"/>
      <c r="W172" s="35"/>
      <c r="X172" s="35"/>
      <c r="Y172" s="54"/>
      <c r="Z172" s="54"/>
      <c r="AA172" s="35"/>
      <c r="AB172" s="35"/>
      <c r="AC172" s="35"/>
      <c r="AD172" s="54"/>
      <c r="AE172" s="54"/>
      <c r="AF172" s="54"/>
      <c r="AG172" s="54"/>
      <c r="AH172" s="54"/>
      <c r="AI172" s="54"/>
      <c r="AJ172" s="54"/>
      <c r="AK172" s="54"/>
      <c r="AL172" s="54"/>
      <c r="AM172" s="54"/>
      <c r="AN172" s="54"/>
      <c r="AO172" s="54"/>
      <c r="AP172" s="54"/>
      <c r="AQ172" s="54"/>
      <c r="AR172" s="54"/>
      <c r="AS172" s="54"/>
      <c r="AT172" s="54"/>
      <c r="AU172" s="54"/>
      <c r="AV172" s="54"/>
      <c r="AW172" s="54"/>
      <c r="AX172" s="54"/>
      <c r="AY172" s="54"/>
      <c r="AZ172" s="54"/>
      <c r="BA172" s="54"/>
      <c r="BB172" s="54"/>
      <c r="BC172" s="54"/>
      <c r="BD172" s="51"/>
      <c r="BE172" s="131"/>
      <c r="BF172" s="131"/>
      <c r="BG172" s="131"/>
      <c r="BH172" s="131"/>
      <c r="BI172" s="131"/>
      <c r="BJ172" s="131"/>
      <c r="BK172" s="131"/>
      <c r="BL172" s="131"/>
      <c r="BM172" s="131"/>
      <c r="BN172" s="131"/>
      <c r="BO172" s="131"/>
      <c r="BP172" s="131"/>
      <c r="BQ172" s="131"/>
      <c r="BR172" s="131"/>
      <c r="BS172" s="131"/>
      <c r="BT172" s="131"/>
    </row>
    <row r="173" spans="1:72" s="130" customFormat="1" ht="15">
      <c r="A173" s="35"/>
      <c r="B173" s="35"/>
      <c r="C173" s="35"/>
      <c r="D173" s="35"/>
      <c r="E173" s="35"/>
      <c r="F173" s="35"/>
      <c r="G173" s="35"/>
      <c r="H173" s="35"/>
      <c r="I173" s="35"/>
      <c r="J173" s="35"/>
      <c r="K173" s="35"/>
      <c r="L173" s="35"/>
      <c r="M173" s="35"/>
      <c r="N173" s="35"/>
      <c r="O173" s="35"/>
      <c r="P173" s="35"/>
      <c r="Q173" s="35"/>
      <c r="R173" s="35"/>
      <c r="S173" s="54"/>
      <c r="T173" s="54"/>
      <c r="U173" s="54"/>
      <c r="V173" s="54"/>
      <c r="W173" s="35"/>
      <c r="X173" s="35"/>
      <c r="Y173" s="54"/>
      <c r="Z173" s="54"/>
      <c r="AA173" s="35"/>
      <c r="AB173" s="35"/>
      <c r="AC173" s="35"/>
      <c r="AD173" s="54"/>
      <c r="AE173" s="54"/>
      <c r="AF173" s="54"/>
      <c r="AG173" s="54"/>
      <c r="AH173" s="54"/>
      <c r="AI173" s="54"/>
      <c r="AJ173" s="54"/>
      <c r="AK173" s="54"/>
      <c r="AL173" s="54"/>
      <c r="AM173" s="54"/>
      <c r="AN173" s="54"/>
      <c r="AO173" s="54"/>
      <c r="AP173" s="54"/>
      <c r="AQ173" s="54"/>
      <c r="AR173" s="54"/>
      <c r="AS173" s="54"/>
      <c r="AT173" s="54"/>
      <c r="AU173" s="54"/>
      <c r="AV173" s="54"/>
      <c r="AW173" s="54"/>
      <c r="AX173" s="54"/>
      <c r="AY173" s="54"/>
      <c r="AZ173" s="54"/>
      <c r="BA173" s="54"/>
      <c r="BB173" s="54"/>
      <c r="BC173" s="54"/>
      <c r="BD173" s="51"/>
      <c r="BE173" s="131"/>
      <c r="BF173" s="131"/>
      <c r="BG173" s="131"/>
      <c r="BH173" s="131"/>
      <c r="BI173" s="131"/>
      <c r="BJ173" s="131"/>
      <c r="BK173" s="131"/>
      <c r="BL173" s="131"/>
      <c r="BM173" s="131"/>
      <c r="BN173" s="131"/>
      <c r="BO173" s="131"/>
      <c r="BP173" s="131"/>
      <c r="BQ173" s="131"/>
      <c r="BR173" s="131"/>
      <c r="BS173" s="131"/>
      <c r="BT173" s="131"/>
    </row>
    <row r="174" spans="1:72" s="130" customFormat="1" ht="15">
      <c r="A174" s="35"/>
      <c r="B174" s="35"/>
      <c r="C174" s="35"/>
      <c r="D174" s="35"/>
      <c r="E174" s="35"/>
      <c r="F174" s="35"/>
      <c r="G174" s="35"/>
      <c r="H174" s="35"/>
      <c r="I174" s="35"/>
      <c r="J174" s="35"/>
      <c r="K174" s="35"/>
      <c r="L174" s="35"/>
      <c r="M174" s="35"/>
      <c r="N174" s="35"/>
      <c r="O174" s="35"/>
      <c r="P174" s="35"/>
      <c r="Q174" s="35"/>
      <c r="R174" s="35"/>
      <c r="S174" s="54"/>
      <c r="T174" s="54"/>
      <c r="U174" s="54"/>
      <c r="V174" s="54"/>
      <c r="W174" s="35"/>
      <c r="X174" s="35"/>
      <c r="Y174" s="54"/>
      <c r="Z174" s="54"/>
      <c r="AA174" s="35"/>
      <c r="AB174" s="35"/>
      <c r="AC174" s="35"/>
      <c r="AD174" s="54"/>
      <c r="AE174" s="54"/>
      <c r="AF174" s="54"/>
      <c r="AG174" s="54"/>
      <c r="AH174" s="54"/>
      <c r="AI174" s="54"/>
      <c r="AJ174" s="54"/>
      <c r="AK174" s="54"/>
      <c r="AL174" s="54"/>
      <c r="AM174" s="54"/>
      <c r="AN174" s="54"/>
      <c r="AO174" s="54"/>
      <c r="AP174" s="54"/>
      <c r="AQ174" s="54"/>
      <c r="AR174" s="54"/>
      <c r="AS174" s="54"/>
      <c r="AT174" s="54"/>
      <c r="AU174" s="54"/>
      <c r="AV174" s="54"/>
      <c r="AW174" s="54"/>
      <c r="AX174" s="54"/>
      <c r="AY174" s="54"/>
      <c r="AZ174" s="54"/>
      <c r="BA174" s="54"/>
      <c r="BB174" s="54"/>
      <c r="BC174" s="54"/>
      <c r="BD174" s="51"/>
      <c r="BE174" s="131"/>
      <c r="BF174" s="131"/>
      <c r="BG174" s="131"/>
      <c r="BH174" s="131"/>
      <c r="BI174" s="131"/>
      <c r="BJ174" s="131"/>
      <c r="BK174" s="131"/>
      <c r="BL174" s="131"/>
      <c r="BM174" s="131"/>
      <c r="BN174" s="131"/>
      <c r="BO174" s="131"/>
      <c r="BP174" s="131"/>
      <c r="BQ174" s="131"/>
      <c r="BR174" s="131"/>
      <c r="BS174" s="131"/>
      <c r="BT174" s="131"/>
    </row>
    <row r="175" spans="1:72" s="130" customFormat="1" ht="15">
      <c r="A175" s="35"/>
      <c r="B175" s="35"/>
      <c r="C175" s="35"/>
      <c r="D175" s="35"/>
      <c r="E175" s="35"/>
      <c r="F175" s="35"/>
      <c r="G175" s="35"/>
      <c r="H175" s="35"/>
      <c r="I175" s="35"/>
      <c r="J175" s="35"/>
      <c r="K175" s="35"/>
      <c r="L175" s="35"/>
      <c r="M175" s="35"/>
      <c r="N175" s="35"/>
      <c r="O175" s="35"/>
      <c r="P175" s="35"/>
      <c r="Q175" s="35"/>
      <c r="R175" s="35"/>
      <c r="S175" s="54"/>
      <c r="T175" s="54"/>
      <c r="U175" s="54"/>
      <c r="V175" s="54"/>
      <c r="W175" s="35"/>
      <c r="X175" s="35"/>
      <c r="Y175" s="54"/>
      <c r="Z175" s="54"/>
      <c r="AA175" s="35"/>
      <c r="AB175" s="35"/>
      <c r="AC175" s="35"/>
      <c r="AD175" s="54"/>
      <c r="AE175" s="54"/>
      <c r="AF175" s="54"/>
      <c r="AG175" s="54"/>
      <c r="AH175" s="54"/>
      <c r="AI175" s="54"/>
      <c r="AJ175" s="54"/>
      <c r="AK175" s="54"/>
      <c r="AL175" s="54"/>
      <c r="AM175" s="54"/>
      <c r="AN175" s="54"/>
      <c r="AO175" s="54"/>
      <c r="AP175" s="54"/>
      <c r="AQ175" s="54"/>
      <c r="AR175" s="54"/>
      <c r="AS175" s="54"/>
      <c r="AT175" s="54"/>
      <c r="AU175" s="54"/>
      <c r="AV175" s="54"/>
      <c r="AW175" s="54"/>
      <c r="AX175" s="54"/>
      <c r="AY175" s="54"/>
      <c r="AZ175" s="54"/>
      <c r="BA175" s="54"/>
      <c r="BB175" s="54"/>
      <c r="BC175" s="54"/>
      <c r="BD175" s="51"/>
      <c r="BE175" s="131"/>
      <c r="BF175" s="131"/>
      <c r="BG175" s="131"/>
      <c r="BH175" s="131"/>
      <c r="BI175" s="131"/>
      <c r="BJ175" s="131"/>
      <c r="BK175" s="131"/>
      <c r="BL175" s="131"/>
      <c r="BM175" s="131"/>
      <c r="BN175" s="131"/>
      <c r="BO175" s="131"/>
      <c r="BP175" s="131"/>
      <c r="BQ175" s="131"/>
      <c r="BR175" s="131"/>
      <c r="BS175" s="131"/>
      <c r="BT175" s="131"/>
    </row>
    <row r="176" spans="1:72" s="130" customFormat="1" ht="15">
      <c r="A176" s="35"/>
      <c r="B176" s="35"/>
      <c r="C176" s="35"/>
      <c r="D176" s="35"/>
      <c r="E176" s="35"/>
      <c r="F176" s="35"/>
      <c r="G176" s="35"/>
      <c r="H176" s="35"/>
      <c r="I176" s="35"/>
      <c r="J176" s="35"/>
      <c r="K176" s="35"/>
      <c r="L176" s="35"/>
      <c r="M176" s="35"/>
      <c r="N176" s="35"/>
      <c r="O176" s="35"/>
      <c r="P176" s="35"/>
      <c r="Q176" s="35"/>
      <c r="R176" s="35"/>
      <c r="S176" s="54"/>
      <c r="T176" s="54"/>
      <c r="U176" s="54"/>
      <c r="V176" s="54"/>
      <c r="W176" s="35"/>
      <c r="X176" s="35"/>
      <c r="Y176" s="54"/>
      <c r="Z176" s="54"/>
      <c r="AA176" s="35"/>
      <c r="AB176" s="35"/>
      <c r="AC176" s="35"/>
      <c r="AD176" s="54"/>
      <c r="AE176" s="54"/>
      <c r="AF176" s="54"/>
      <c r="AG176" s="54"/>
      <c r="AH176" s="54"/>
      <c r="AI176" s="54"/>
      <c r="AJ176" s="54"/>
      <c r="AK176" s="54"/>
      <c r="AL176" s="54"/>
      <c r="AM176" s="54"/>
      <c r="AN176" s="54"/>
      <c r="AO176" s="54"/>
      <c r="AP176" s="54"/>
      <c r="AQ176" s="54"/>
      <c r="AR176" s="54"/>
      <c r="AS176" s="54"/>
      <c r="AT176" s="54"/>
      <c r="AU176" s="54"/>
      <c r="AV176" s="54"/>
      <c r="AW176" s="54"/>
      <c r="AX176" s="54"/>
      <c r="AY176" s="54"/>
      <c r="AZ176" s="54"/>
      <c r="BA176" s="54"/>
      <c r="BB176" s="54"/>
      <c r="BC176" s="54"/>
      <c r="BD176" s="51"/>
      <c r="BE176" s="131"/>
      <c r="BF176" s="131"/>
      <c r="BG176" s="131"/>
      <c r="BH176" s="131"/>
      <c r="BI176" s="131"/>
      <c r="BJ176" s="131"/>
      <c r="BK176" s="131"/>
      <c r="BL176" s="131"/>
      <c r="BM176" s="131"/>
      <c r="BN176" s="131"/>
      <c r="BO176" s="131"/>
      <c r="BP176" s="131"/>
      <c r="BQ176" s="131"/>
      <c r="BR176" s="131"/>
      <c r="BS176" s="131"/>
      <c r="BT176" s="131"/>
    </row>
    <row r="177" spans="1:72" s="130" customFormat="1" ht="15">
      <c r="A177" s="35"/>
      <c r="B177" s="35"/>
      <c r="C177" s="35"/>
      <c r="D177" s="35"/>
      <c r="E177" s="35"/>
      <c r="F177" s="35"/>
      <c r="G177" s="35"/>
      <c r="H177" s="35"/>
      <c r="I177" s="35"/>
      <c r="J177" s="35"/>
      <c r="K177" s="35"/>
      <c r="L177" s="35"/>
      <c r="M177" s="35"/>
      <c r="N177" s="35"/>
      <c r="O177" s="35"/>
      <c r="P177" s="35"/>
      <c r="Q177" s="35"/>
      <c r="R177" s="35"/>
      <c r="S177" s="54"/>
      <c r="T177" s="54"/>
      <c r="U177" s="54"/>
      <c r="V177" s="54"/>
      <c r="W177" s="35"/>
      <c r="X177" s="35"/>
      <c r="Y177" s="54"/>
      <c r="Z177" s="54"/>
      <c r="AA177" s="35"/>
      <c r="AB177" s="35"/>
      <c r="AC177" s="35"/>
      <c r="AD177" s="54"/>
      <c r="AE177" s="54"/>
      <c r="AF177" s="54"/>
      <c r="AG177" s="54"/>
      <c r="AH177" s="54"/>
      <c r="AI177" s="54"/>
      <c r="AJ177" s="54"/>
      <c r="AK177" s="54"/>
      <c r="AL177" s="54"/>
      <c r="AM177" s="54"/>
      <c r="AN177" s="54"/>
      <c r="AO177" s="54"/>
      <c r="AP177" s="54"/>
      <c r="AQ177" s="54"/>
      <c r="AR177" s="54"/>
      <c r="AS177" s="54"/>
      <c r="AT177" s="54"/>
      <c r="AU177" s="54"/>
      <c r="AV177" s="54"/>
      <c r="AW177" s="54"/>
      <c r="AX177" s="54"/>
      <c r="AY177" s="54"/>
      <c r="AZ177" s="54"/>
      <c r="BA177" s="54"/>
      <c r="BB177" s="54"/>
      <c r="BC177" s="54"/>
      <c r="BD177" s="51"/>
      <c r="BE177" s="131"/>
      <c r="BF177" s="131"/>
      <c r="BG177" s="131"/>
      <c r="BH177" s="131"/>
      <c r="BI177" s="131"/>
      <c r="BJ177" s="131"/>
      <c r="BK177" s="131"/>
      <c r="BL177" s="131"/>
      <c r="BM177" s="131"/>
      <c r="BN177" s="131"/>
      <c r="BO177" s="131"/>
      <c r="BP177" s="131"/>
      <c r="BQ177" s="131"/>
      <c r="BR177" s="131"/>
      <c r="BS177" s="131"/>
      <c r="BT177" s="131"/>
    </row>
    <row r="178" spans="1:72" s="130" customFormat="1" ht="15">
      <c r="A178" s="35"/>
      <c r="B178" s="35"/>
      <c r="C178" s="35"/>
      <c r="D178" s="35"/>
      <c r="E178" s="35"/>
      <c r="F178" s="35"/>
      <c r="G178" s="35"/>
      <c r="H178" s="35"/>
      <c r="I178" s="35"/>
      <c r="J178" s="35"/>
      <c r="K178" s="35"/>
      <c r="L178" s="35"/>
      <c r="M178" s="35"/>
      <c r="N178" s="35"/>
      <c r="O178" s="35"/>
      <c r="P178" s="35"/>
      <c r="Q178" s="35"/>
      <c r="R178" s="35"/>
      <c r="S178" s="54"/>
      <c r="T178" s="54"/>
      <c r="U178" s="54"/>
      <c r="V178" s="54"/>
      <c r="W178" s="35"/>
      <c r="X178" s="35"/>
      <c r="Y178" s="54"/>
      <c r="Z178" s="54"/>
      <c r="AA178" s="35"/>
      <c r="AB178" s="35"/>
      <c r="AC178" s="35"/>
      <c r="AD178" s="54"/>
      <c r="AE178" s="54"/>
      <c r="AF178" s="54"/>
      <c r="AG178" s="54"/>
      <c r="AH178" s="54"/>
      <c r="AI178" s="54"/>
      <c r="AJ178" s="54"/>
      <c r="AK178" s="54"/>
      <c r="AL178" s="54"/>
      <c r="AM178" s="54"/>
      <c r="AN178" s="54"/>
      <c r="AO178" s="54"/>
      <c r="AP178" s="54"/>
      <c r="AQ178" s="54"/>
      <c r="AR178" s="54"/>
      <c r="AS178" s="54"/>
      <c r="AT178" s="54"/>
      <c r="AU178" s="54"/>
      <c r="AV178" s="54"/>
      <c r="AW178" s="54"/>
      <c r="AX178" s="54"/>
      <c r="AY178" s="54"/>
      <c r="AZ178" s="54"/>
      <c r="BA178" s="54"/>
      <c r="BB178" s="54"/>
      <c r="BC178" s="54"/>
      <c r="BD178" s="51"/>
      <c r="BE178" s="131"/>
      <c r="BF178" s="131"/>
      <c r="BG178" s="131"/>
      <c r="BH178" s="131"/>
      <c r="BI178" s="131"/>
      <c r="BJ178" s="131"/>
      <c r="BK178" s="131"/>
      <c r="BL178" s="131"/>
      <c r="BM178" s="131"/>
      <c r="BN178" s="131"/>
      <c r="BO178" s="131"/>
      <c r="BP178" s="131"/>
      <c r="BQ178" s="131"/>
      <c r="BR178" s="131"/>
      <c r="BS178" s="131"/>
      <c r="BT178" s="131"/>
    </row>
    <row r="179" spans="1:72" s="130" customFormat="1" ht="15">
      <c r="A179" s="35"/>
      <c r="B179" s="35"/>
      <c r="C179" s="35"/>
      <c r="D179" s="35"/>
      <c r="E179" s="35"/>
      <c r="F179" s="35"/>
      <c r="G179" s="35"/>
      <c r="H179" s="35"/>
      <c r="I179" s="35"/>
      <c r="J179" s="35"/>
      <c r="K179" s="35"/>
      <c r="L179" s="35"/>
      <c r="M179" s="35"/>
      <c r="N179" s="35"/>
      <c r="O179" s="35"/>
      <c r="P179" s="35"/>
      <c r="Q179" s="35"/>
      <c r="R179" s="35"/>
      <c r="S179" s="54"/>
      <c r="T179" s="54"/>
      <c r="U179" s="54"/>
      <c r="V179" s="54"/>
      <c r="W179" s="35"/>
      <c r="X179" s="35"/>
      <c r="Y179" s="54"/>
      <c r="Z179" s="54"/>
      <c r="AA179" s="35"/>
      <c r="AB179" s="35"/>
      <c r="AC179" s="35"/>
      <c r="AD179" s="54"/>
      <c r="AE179" s="54"/>
      <c r="AF179" s="54"/>
      <c r="AG179" s="54"/>
      <c r="AH179" s="54"/>
      <c r="AI179" s="54"/>
      <c r="AJ179" s="54"/>
      <c r="AK179" s="54"/>
      <c r="AL179" s="54"/>
      <c r="AM179" s="54"/>
      <c r="AN179" s="54"/>
      <c r="AO179" s="54"/>
      <c r="AP179" s="54"/>
      <c r="AQ179" s="54"/>
      <c r="AR179" s="54"/>
      <c r="AS179" s="54"/>
      <c r="AT179" s="54"/>
      <c r="AU179" s="54"/>
      <c r="AV179" s="54"/>
      <c r="AW179" s="54"/>
      <c r="AX179" s="54"/>
      <c r="AY179" s="54"/>
      <c r="AZ179" s="54"/>
      <c r="BA179" s="54"/>
      <c r="BB179" s="54"/>
      <c r="BC179" s="54"/>
      <c r="BD179" s="51"/>
      <c r="BE179" s="131"/>
      <c r="BF179" s="131"/>
      <c r="BG179" s="131"/>
      <c r="BH179" s="131"/>
      <c r="BI179" s="131"/>
      <c r="BJ179" s="131"/>
      <c r="BK179" s="131"/>
      <c r="BL179" s="131"/>
      <c r="BM179" s="131"/>
      <c r="BN179" s="131"/>
      <c r="BO179" s="131"/>
      <c r="BP179" s="131"/>
      <c r="BQ179" s="131"/>
      <c r="BR179" s="131"/>
      <c r="BS179" s="131"/>
      <c r="BT179" s="131"/>
    </row>
    <row r="180" spans="1:72" s="130" customFormat="1" ht="15">
      <c r="A180" s="35"/>
      <c r="B180" s="35"/>
      <c r="C180" s="35"/>
      <c r="D180" s="35"/>
      <c r="E180" s="35"/>
      <c r="F180" s="35"/>
      <c r="G180" s="35"/>
      <c r="H180" s="35"/>
      <c r="I180" s="35"/>
      <c r="J180" s="35"/>
      <c r="K180" s="35"/>
      <c r="L180" s="35"/>
      <c r="M180" s="35"/>
      <c r="N180" s="35"/>
      <c r="O180" s="35"/>
      <c r="P180" s="35"/>
      <c r="Q180" s="35"/>
      <c r="R180" s="35"/>
      <c r="S180" s="54"/>
      <c r="T180" s="54"/>
      <c r="U180" s="54"/>
      <c r="V180" s="54"/>
      <c r="W180" s="35"/>
      <c r="X180" s="35"/>
      <c r="Y180" s="54"/>
      <c r="Z180" s="54"/>
      <c r="AA180" s="35"/>
      <c r="AB180" s="35"/>
      <c r="AC180" s="35"/>
      <c r="AD180" s="54"/>
      <c r="AE180" s="54"/>
      <c r="AF180" s="54"/>
      <c r="AG180" s="54"/>
      <c r="AH180" s="54"/>
      <c r="AI180" s="54"/>
      <c r="AJ180" s="54"/>
      <c r="AK180" s="54"/>
      <c r="AL180" s="54"/>
      <c r="AM180" s="54"/>
      <c r="AN180" s="54"/>
      <c r="AO180" s="54"/>
      <c r="AP180" s="54"/>
      <c r="AQ180" s="54"/>
      <c r="AR180" s="54"/>
      <c r="AS180" s="54"/>
      <c r="AT180" s="54"/>
      <c r="AU180" s="54"/>
      <c r="AV180" s="54"/>
      <c r="AW180" s="54"/>
      <c r="AX180" s="54"/>
      <c r="AY180" s="54"/>
      <c r="AZ180" s="54"/>
      <c r="BA180" s="54"/>
      <c r="BB180" s="54"/>
      <c r="BC180" s="54"/>
      <c r="BD180" s="51"/>
      <c r="BE180" s="131"/>
      <c r="BF180" s="131"/>
      <c r="BG180" s="131"/>
      <c r="BH180" s="131"/>
      <c r="BI180" s="131"/>
      <c r="BJ180" s="131"/>
      <c r="BK180" s="131"/>
      <c r="BL180" s="131"/>
      <c r="BM180" s="131"/>
      <c r="BN180" s="131"/>
      <c r="BO180" s="131"/>
      <c r="BP180" s="131"/>
      <c r="BQ180" s="131"/>
      <c r="BR180" s="131"/>
      <c r="BS180" s="131"/>
      <c r="BT180" s="131"/>
    </row>
    <row r="181" spans="1:72" s="130" customFormat="1" ht="15">
      <c r="A181" s="35"/>
      <c r="B181" s="35"/>
      <c r="C181" s="35"/>
      <c r="D181" s="35"/>
      <c r="E181" s="35"/>
      <c r="F181" s="35"/>
      <c r="G181" s="35"/>
      <c r="H181" s="35"/>
      <c r="I181" s="35"/>
      <c r="J181" s="35"/>
      <c r="K181" s="35"/>
      <c r="L181" s="35"/>
      <c r="M181" s="35"/>
      <c r="N181" s="35"/>
      <c r="O181" s="35"/>
      <c r="P181" s="35"/>
      <c r="Q181" s="35"/>
      <c r="R181" s="35"/>
      <c r="S181" s="54"/>
      <c r="T181" s="54"/>
      <c r="U181" s="54"/>
      <c r="V181" s="54"/>
      <c r="W181" s="35"/>
      <c r="X181" s="35"/>
      <c r="Y181" s="54"/>
      <c r="Z181" s="54"/>
      <c r="AA181" s="35"/>
      <c r="AB181" s="35"/>
      <c r="AC181" s="35"/>
      <c r="AD181" s="54"/>
      <c r="AE181" s="54"/>
      <c r="AF181" s="54"/>
      <c r="AG181" s="54"/>
      <c r="AH181" s="54"/>
      <c r="AI181" s="54"/>
      <c r="AJ181" s="54"/>
      <c r="AK181" s="54"/>
      <c r="AL181" s="54"/>
      <c r="AM181" s="54"/>
      <c r="AN181" s="54"/>
      <c r="AO181" s="54"/>
      <c r="AP181" s="54"/>
      <c r="AQ181" s="54"/>
      <c r="AR181" s="54"/>
      <c r="AS181" s="54"/>
      <c r="AT181" s="54"/>
      <c r="AU181" s="54"/>
      <c r="AV181" s="54"/>
      <c r="AW181" s="54"/>
      <c r="AX181" s="54"/>
      <c r="AY181" s="54"/>
      <c r="AZ181" s="54"/>
      <c r="BA181" s="54"/>
      <c r="BB181" s="54"/>
      <c r="BC181" s="54"/>
      <c r="BD181" s="51"/>
      <c r="BE181" s="131"/>
      <c r="BF181" s="131"/>
      <c r="BG181" s="131"/>
      <c r="BH181" s="131"/>
      <c r="BI181" s="131"/>
      <c r="BJ181" s="131"/>
      <c r="BK181" s="131"/>
      <c r="BL181" s="131"/>
      <c r="BM181" s="131"/>
      <c r="BN181" s="131"/>
      <c r="BO181" s="131"/>
      <c r="BP181" s="131"/>
      <c r="BQ181" s="131"/>
      <c r="BR181" s="131"/>
      <c r="BS181" s="131"/>
      <c r="BT181" s="131"/>
    </row>
    <row r="182" spans="1:72" s="130" customFormat="1" ht="15">
      <c r="A182" s="35"/>
      <c r="B182" s="35"/>
      <c r="C182" s="35"/>
      <c r="D182" s="35"/>
      <c r="E182" s="35"/>
      <c r="F182" s="35"/>
      <c r="G182" s="35"/>
      <c r="H182" s="35"/>
      <c r="I182" s="35"/>
      <c r="J182" s="35"/>
      <c r="K182" s="35"/>
      <c r="L182" s="35"/>
      <c r="M182" s="35"/>
      <c r="N182" s="35"/>
      <c r="O182" s="35"/>
      <c r="P182" s="35"/>
      <c r="Q182" s="35"/>
      <c r="R182" s="35"/>
      <c r="S182" s="54"/>
      <c r="T182" s="54"/>
      <c r="U182" s="54"/>
      <c r="V182" s="54"/>
      <c r="W182" s="35"/>
      <c r="X182" s="35"/>
      <c r="Y182" s="54"/>
      <c r="Z182" s="54"/>
      <c r="AA182" s="35"/>
      <c r="AB182" s="35"/>
      <c r="AC182" s="35"/>
      <c r="AD182" s="54"/>
      <c r="AE182" s="54"/>
      <c r="AF182" s="54"/>
      <c r="AG182" s="54"/>
      <c r="AH182" s="54"/>
      <c r="AI182" s="54"/>
      <c r="AJ182" s="54"/>
      <c r="AK182" s="54"/>
      <c r="AL182" s="54"/>
      <c r="AM182" s="54"/>
      <c r="AN182" s="54"/>
      <c r="AO182" s="54"/>
      <c r="AP182" s="54"/>
      <c r="AQ182" s="54"/>
      <c r="AR182" s="54"/>
      <c r="AS182" s="54"/>
      <c r="AT182" s="54"/>
      <c r="AU182" s="54"/>
      <c r="AV182" s="54"/>
      <c r="AW182" s="54"/>
      <c r="AX182" s="54"/>
      <c r="AY182" s="54"/>
      <c r="AZ182" s="54"/>
      <c r="BA182" s="54"/>
      <c r="BB182" s="54"/>
      <c r="BC182" s="54"/>
      <c r="BD182" s="51"/>
      <c r="BE182" s="131"/>
      <c r="BF182" s="131"/>
      <c r="BG182" s="131"/>
      <c r="BH182" s="131"/>
      <c r="BI182" s="131"/>
      <c r="BJ182" s="131"/>
      <c r="BK182" s="131"/>
      <c r="BL182" s="131"/>
      <c r="BM182" s="131"/>
      <c r="BN182" s="131"/>
      <c r="BO182" s="131"/>
      <c r="BP182" s="131"/>
      <c r="BQ182" s="131"/>
      <c r="BR182" s="131"/>
      <c r="BS182" s="131"/>
      <c r="BT182" s="131"/>
    </row>
    <row r="183" spans="1:72" s="130" customFormat="1" ht="15">
      <c r="A183" s="35"/>
      <c r="B183" s="35"/>
      <c r="C183" s="35"/>
      <c r="D183" s="35"/>
      <c r="E183" s="35"/>
      <c r="F183" s="35"/>
      <c r="G183" s="35"/>
      <c r="H183" s="35"/>
      <c r="I183" s="35"/>
      <c r="J183" s="35"/>
      <c r="K183" s="35"/>
      <c r="L183" s="35"/>
      <c r="M183" s="35"/>
      <c r="N183" s="35"/>
      <c r="O183" s="35"/>
      <c r="P183" s="35"/>
      <c r="Q183" s="35"/>
      <c r="R183" s="35"/>
      <c r="S183" s="54"/>
      <c r="T183" s="54"/>
      <c r="U183" s="54"/>
      <c r="V183" s="54"/>
      <c r="W183" s="35"/>
      <c r="X183" s="35"/>
      <c r="Y183" s="54"/>
      <c r="Z183" s="54"/>
      <c r="AA183" s="35"/>
      <c r="AB183" s="35"/>
      <c r="AC183" s="35"/>
      <c r="AD183" s="54"/>
      <c r="AE183" s="54"/>
      <c r="AF183" s="54"/>
      <c r="AG183" s="54"/>
      <c r="AH183" s="54"/>
      <c r="AI183" s="54"/>
      <c r="AJ183" s="54"/>
      <c r="AK183" s="54"/>
      <c r="AL183" s="54"/>
      <c r="AM183" s="54"/>
      <c r="AN183" s="54"/>
      <c r="AO183" s="54"/>
      <c r="AP183" s="54"/>
      <c r="AQ183" s="54"/>
      <c r="AR183" s="54"/>
      <c r="AS183" s="54"/>
      <c r="AT183" s="54"/>
      <c r="AU183" s="54"/>
      <c r="AV183" s="54"/>
      <c r="AW183" s="54"/>
      <c r="AX183" s="54"/>
      <c r="AY183" s="54"/>
      <c r="AZ183" s="54"/>
      <c r="BA183" s="54"/>
      <c r="BB183" s="54"/>
      <c r="BC183" s="54"/>
      <c r="BD183" s="51"/>
      <c r="BE183" s="131"/>
      <c r="BF183" s="131"/>
      <c r="BG183" s="131"/>
      <c r="BH183" s="131"/>
      <c r="BI183" s="131"/>
      <c r="BJ183" s="131"/>
      <c r="BK183" s="131"/>
      <c r="BL183" s="131"/>
      <c r="BM183" s="131"/>
      <c r="BN183" s="131"/>
      <c r="BO183" s="131"/>
      <c r="BP183" s="131"/>
      <c r="BQ183" s="131"/>
      <c r="BR183" s="131"/>
      <c r="BS183" s="131"/>
      <c r="BT183" s="131"/>
    </row>
    <row r="184" spans="1:72" s="130" customFormat="1" ht="15">
      <c r="A184" s="35"/>
      <c r="B184" s="35"/>
      <c r="C184" s="35"/>
      <c r="D184" s="35"/>
      <c r="E184" s="35"/>
      <c r="F184" s="35"/>
      <c r="G184" s="35"/>
      <c r="H184" s="35"/>
      <c r="I184" s="35"/>
      <c r="J184" s="35"/>
      <c r="K184" s="35"/>
      <c r="L184" s="35"/>
      <c r="M184" s="35"/>
      <c r="N184" s="35"/>
      <c r="O184" s="35"/>
      <c r="P184" s="35"/>
      <c r="Q184" s="35"/>
      <c r="R184" s="35"/>
      <c r="S184" s="54"/>
      <c r="T184" s="54"/>
      <c r="U184" s="54"/>
      <c r="V184" s="54"/>
      <c r="W184" s="35"/>
      <c r="X184" s="35"/>
      <c r="Y184" s="54"/>
      <c r="Z184" s="54"/>
      <c r="AA184" s="35"/>
      <c r="AB184" s="35"/>
      <c r="AC184" s="35"/>
      <c r="AD184" s="54"/>
      <c r="AE184" s="54"/>
      <c r="AF184" s="54"/>
      <c r="AG184" s="54"/>
      <c r="AH184" s="54"/>
      <c r="AI184" s="54"/>
      <c r="AJ184" s="54"/>
      <c r="AK184" s="54"/>
      <c r="AL184" s="54"/>
      <c r="AM184" s="54"/>
      <c r="AN184" s="54"/>
      <c r="AO184" s="54"/>
      <c r="AP184" s="54"/>
      <c r="AQ184" s="54"/>
      <c r="AR184" s="54"/>
      <c r="AS184" s="54"/>
      <c r="AT184" s="54"/>
      <c r="AU184" s="54"/>
      <c r="AV184" s="54"/>
      <c r="AW184" s="54"/>
      <c r="AX184" s="54"/>
      <c r="AY184" s="54"/>
      <c r="AZ184" s="54"/>
      <c r="BA184" s="54"/>
      <c r="BB184" s="54"/>
      <c r="BC184" s="54"/>
      <c r="BD184" s="51"/>
      <c r="BE184" s="131"/>
      <c r="BF184" s="131"/>
      <c r="BG184" s="131"/>
      <c r="BH184" s="131"/>
      <c r="BI184" s="131"/>
      <c r="BJ184" s="131"/>
      <c r="BK184" s="131"/>
      <c r="BL184" s="131"/>
      <c r="BM184" s="131"/>
      <c r="BN184" s="131"/>
      <c r="BO184" s="131"/>
      <c r="BP184" s="131"/>
      <c r="BQ184" s="131"/>
      <c r="BR184" s="131"/>
      <c r="BS184" s="131"/>
      <c r="BT184" s="131"/>
    </row>
    <row r="185" spans="1:72" s="130" customFormat="1" ht="15">
      <c r="A185" s="35"/>
      <c r="B185" s="35"/>
      <c r="C185" s="35"/>
      <c r="D185" s="35"/>
      <c r="E185" s="35"/>
      <c r="F185" s="35"/>
      <c r="G185" s="35"/>
      <c r="H185" s="35"/>
      <c r="I185" s="35"/>
      <c r="J185" s="35"/>
      <c r="K185" s="35"/>
      <c r="L185" s="35"/>
      <c r="M185" s="35"/>
      <c r="N185" s="35"/>
      <c r="O185" s="35"/>
      <c r="P185" s="35"/>
      <c r="Q185" s="35"/>
      <c r="R185" s="35"/>
      <c r="S185" s="54"/>
      <c r="T185" s="54"/>
      <c r="U185" s="54"/>
      <c r="V185" s="54"/>
      <c r="W185" s="35"/>
      <c r="X185" s="35"/>
      <c r="Y185" s="54"/>
      <c r="Z185" s="54"/>
      <c r="AA185" s="35"/>
      <c r="AB185" s="35"/>
      <c r="AC185" s="35"/>
      <c r="AD185" s="54"/>
      <c r="AE185" s="54"/>
      <c r="AF185" s="54"/>
      <c r="AG185" s="54"/>
      <c r="AH185" s="54"/>
      <c r="AI185" s="54"/>
      <c r="AJ185" s="54"/>
      <c r="AK185" s="54"/>
      <c r="AL185" s="54"/>
      <c r="AM185" s="54"/>
      <c r="AN185" s="54"/>
      <c r="AO185" s="54"/>
      <c r="AP185" s="54"/>
      <c r="AQ185" s="54"/>
      <c r="AR185" s="54"/>
      <c r="AS185" s="54"/>
      <c r="AT185" s="54"/>
      <c r="AU185" s="54"/>
      <c r="AV185" s="54"/>
      <c r="AW185" s="54"/>
      <c r="AX185" s="54"/>
      <c r="AY185" s="54"/>
      <c r="AZ185" s="54"/>
      <c r="BA185" s="54"/>
      <c r="BB185" s="54"/>
      <c r="BC185" s="54"/>
      <c r="BD185" s="51"/>
      <c r="BE185" s="131"/>
      <c r="BF185" s="131"/>
      <c r="BG185" s="131"/>
      <c r="BH185" s="131"/>
      <c r="BI185" s="131"/>
      <c r="BJ185" s="131"/>
      <c r="BK185" s="131"/>
      <c r="BL185" s="131"/>
      <c r="BM185" s="131"/>
      <c r="BN185" s="131"/>
      <c r="BO185" s="131"/>
      <c r="BP185" s="131"/>
      <c r="BQ185" s="131"/>
      <c r="BR185" s="131"/>
      <c r="BS185" s="131"/>
      <c r="BT185" s="131"/>
    </row>
    <row r="186" spans="1:72" s="130" customFormat="1" ht="15">
      <c r="A186" s="35"/>
      <c r="B186" s="35"/>
      <c r="C186" s="35"/>
      <c r="D186" s="35"/>
      <c r="E186" s="35"/>
      <c r="F186" s="35"/>
      <c r="G186" s="35"/>
      <c r="H186" s="35"/>
      <c r="I186" s="35"/>
      <c r="J186" s="35"/>
      <c r="K186" s="35"/>
      <c r="L186" s="35"/>
      <c r="M186" s="35"/>
      <c r="N186" s="35"/>
      <c r="O186" s="35"/>
      <c r="P186" s="35"/>
      <c r="Q186" s="35"/>
      <c r="R186" s="35"/>
      <c r="S186" s="54"/>
      <c r="T186" s="54"/>
      <c r="U186" s="54"/>
      <c r="V186" s="54"/>
      <c r="W186" s="35"/>
      <c r="X186" s="35"/>
      <c r="Y186" s="54"/>
      <c r="Z186" s="54"/>
      <c r="AA186" s="35"/>
      <c r="AB186" s="35"/>
      <c r="AC186" s="35"/>
      <c r="AD186" s="54"/>
      <c r="AE186" s="54"/>
      <c r="AF186" s="54"/>
      <c r="AG186" s="54"/>
      <c r="AH186" s="54"/>
      <c r="AI186" s="54"/>
      <c r="AJ186" s="54"/>
      <c r="AK186" s="54"/>
      <c r="AL186" s="54"/>
      <c r="AM186" s="54"/>
      <c r="AN186" s="54"/>
      <c r="AO186" s="54"/>
      <c r="AP186" s="54"/>
      <c r="AQ186" s="54"/>
      <c r="AR186" s="54"/>
      <c r="AS186" s="54"/>
      <c r="AT186" s="54"/>
      <c r="AU186" s="54"/>
      <c r="AV186" s="54"/>
      <c r="AW186" s="54"/>
      <c r="AX186" s="54"/>
      <c r="AY186" s="54"/>
      <c r="AZ186" s="54"/>
      <c r="BA186" s="54"/>
      <c r="BB186" s="54"/>
      <c r="BC186" s="54"/>
      <c r="BD186" s="51"/>
      <c r="BE186" s="131"/>
      <c r="BF186" s="131"/>
      <c r="BG186" s="131"/>
      <c r="BH186" s="131"/>
      <c r="BI186" s="131"/>
      <c r="BJ186" s="131"/>
      <c r="BK186" s="131"/>
      <c r="BL186" s="131"/>
      <c r="BM186" s="131"/>
      <c r="BN186" s="131"/>
      <c r="BO186" s="131"/>
      <c r="BP186" s="131"/>
      <c r="BQ186" s="131"/>
      <c r="BR186" s="131"/>
      <c r="BS186" s="131"/>
      <c r="BT186" s="131"/>
    </row>
    <row r="187" spans="1:72" s="130" customFormat="1" ht="15">
      <c r="A187" s="35"/>
      <c r="B187" s="35"/>
      <c r="C187" s="35"/>
      <c r="D187" s="35"/>
      <c r="E187" s="35"/>
      <c r="F187" s="35"/>
      <c r="G187" s="35"/>
      <c r="H187" s="35"/>
      <c r="I187" s="35"/>
      <c r="J187" s="35"/>
      <c r="K187" s="35"/>
      <c r="L187" s="35"/>
      <c r="M187" s="35"/>
      <c r="N187" s="35"/>
      <c r="O187" s="35"/>
      <c r="P187" s="35"/>
      <c r="Q187" s="35"/>
      <c r="R187" s="35"/>
      <c r="S187" s="54"/>
      <c r="T187" s="54"/>
      <c r="U187" s="54"/>
      <c r="V187" s="54"/>
      <c r="W187" s="35"/>
      <c r="X187" s="35"/>
      <c r="Y187" s="54"/>
      <c r="Z187" s="54"/>
      <c r="AA187" s="35"/>
      <c r="AB187" s="35"/>
      <c r="AC187" s="35"/>
      <c r="AD187" s="54"/>
      <c r="AE187" s="54"/>
      <c r="AF187" s="54"/>
      <c r="AG187" s="54"/>
      <c r="AH187" s="54"/>
      <c r="AI187" s="54"/>
      <c r="AJ187" s="54"/>
      <c r="AK187" s="54"/>
      <c r="AL187" s="54"/>
      <c r="AM187" s="54"/>
      <c r="AN187" s="54"/>
      <c r="AO187" s="54"/>
      <c r="AP187" s="54"/>
      <c r="AQ187" s="54"/>
      <c r="AR187" s="54"/>
      <c r="AS187" s="54"/>
      <c r="AT187" s="54"/>
      <c r="AU187" s="54"/>
      <c r="AV187" s="54"/>
      <c r="AW187" s="54"/>
      <c r="AX187" s="54"/>
      <c r="AY187" s="54"/>
      <c r="AZ187" s="54"/>
      <c r="BA187" s="54"/>
      <c r="BB187" s="54"/>
      <c r="BC187" s="54"/>
      <c r="BD187" s="51"/>
      <c r="BE187" s="131"/>
      <c r="BF187" s="131"/>
      <c r="BG187" s="131"/>
      <c r="BH187" s="131"/>
      <c r="BI187" s="131"/>
      <c r="BJ187" s="131"/>
      <c r="BK187" s="131"/>
      <c r="BL187" s="131"/>
      <c r="BM187" s="131"/>
      <c r="BN187" s="131"/>
      <c r="BO187" s="131"/>
      <c r="BP187" s="131"/>
      <c r="BQ187" s="131"/>
      <c r="BR187" s="131"/>
      <c r="BS187" s="131"/>
      <c r="BT187" s="131"/>
    </row>
    <row r="188" spans="1:72" s="130" customFormat="1" ht="15">
      <c r="A188" s="35"/>
      <c r="B188" s="35"/>
      <c r="C188" s="35"/>
      <c r="D188" s="35"/>
      <c r="E188" s="35"/>
      <c r="F188" s="35"/>
      <c r="G188" s="35"/>
      <c r="H188" s="35"/>
      <c r="I188" s="35"/>
      <c r="J188" s="35"/>
      <c r="K188" s="35"/>
      <c r="L188" s="35"/>
      <c r="M188" s="35"/>
      <c r="N188" s="35"/>
      <c r="O188" s="35"/>
      <c r="P188" s="35"/>
      <c r="Q188" s="35"/>
      <c r="R188" s="35"/>
      <c r="S188" s="54"/>
      <c r="T188" s="54"/>
      <c r="U188" s="54"/>
      <c r="V188" s="54"/>
      <c r="W188" s="35"/>
      <c r="X188" s="35"/>
      <c r="Y188" s="54"/>
      <c r="Z188" s="54"/>
      <c r="AA188" s="35"/>
      <c r="AB188" s="35"/>
      <c r="AC188" s="35"/>
      <c r="AD188" s="54"/>
      <c r="AE188" s="54"/>
      <c r="AF188" s="54"/>
      <c r="AG188" s="54"/>
      <c r="AH188" s="54"/>
      <c r="AI188" s="54"/>
      <c r="AJ188" s="54"/>
      <c r="AK188" s="54"/>
      <c r="AL188" s="54"/>
      <c r="AM188" s="54"/>
      <c r="AN188" s="54"/>
      <c r="AO188" s="54"/>
      <c r="AP188" s="54"/>
      <c r="AQ188" s="54"/>
      <c r="AR188" s="54"/>
      <c r="AS188" s="54"/>
      <c r="AT188" s="54"/>
      <c r="AU188" s="54"/>
      <c r="AV188" s="54"/>
      <c r="AW188" s="54"/>
      <c r="AX188" s="54"/>
      <c r="AY188" s="54"/>
      <c r="AZ188" s="54"/>
      <c r="BA188" s="54"/>
      <c r="BB188" s="54"/>
      <c r="BC188" s="54"/>
      <c r="BD188" s="51"/>
      <c r="BE188" s="131"/>
      <c r="BF188" s="131"/>
      <c r="BG188" s="131"/>
      <c r="BH188" s="131"/>
      <c r="BI188" s="131"/>
      <c r="BJ188" s="131"/>
      <c r="BK188" s="131"/>
      <c r="BL188" s="131"/>
      <c r="BM188" s="131"/>
      <c r="BN188" s="131"/>
      <c r="BO188" s="131"/>
      <c r="BP188" s="131"/>
      <c r="BQ188" s="131"/>
      <c r="BR188" s="131"/>
      <c r="BS188" s="131"/>
      <c r="BT188" s="131"/>
    </row>
    <row r="189" spans="1:72" s="130" customFormat="1" ht="15">
      <c r="A189" s="35"/>
      <c r="B189" s="35"/>
      <c r="C189" s="35"/>
      <c r="D189" s="35"/>
      <c r="E189" s="35"/>
      <c r="F189" s="35"/>
      <c r="G189" s="35"/>
      <c r="H189" s="35"/>
      <c r="I189" s="35"/>
      <c r="J189" s="35"/>
      <c r="K189" s="35"/>
      <c r="L189" s="35"/>
      <c r="M189" s="35"/>
      <c r="N189" s="35"/>
      <c r="O189" s="35"/>
      <c r="P189" s="35"/>
      <c r="Q189" s="35"/>
      <c r="R189" s="35"/>
      <c r="S189" s="54"/>
      <c r="T189" s="54"/>
      <c r="U189" s="54"/>
      <c r="V189" s="54"/>
      <c r="W189" s="35"/>
      <c r="X189" s="35"/>
      <c r="Y189" s="54"/>
      <c r="Z189" s="54"/>
      <c r="AA189" s="35"/>
      <c r="AB189" s="35"/>
      <c r="AC189" s="35"/>
      <c r="AD189" s="54"/>
      <c r="AE189" s="54"/>
      <c r="AF189" s="54"/>
      <c r="AG189" s="54"/>
      <c r="AH189" s="54"/>
      <c r="AI189" s="54"/>
      <c r="AJ189" s="54"/>
      <c r="AK189" s="54"/>
      <c r="AL189" s="54"/>
      <c r="AM189" s="54"/>
      <c r="AN189" s="54"/>
      <c r="AO189" s="54"/>
      <c r="AP189" s="54"/>
      <c r="AQ189" s="54"/>
      <c r="AR189" s="54"/>
      <c r="AS189" s="54"/>
      <c r="AT189" s="54"/>
      <c r="AU189" s="54"/>
      <c r="AV189" s="54"/>
      <c r="AW189" s="54"/>
      <c r="AX189" s="54"/>
      <c r="AY189" s="54"/>
      <c r="AZ189" s="54"/>
      <c r="BA189" s="54"/>
      <c r="BB189" s="54"/>
      <c r="BC189" s="54"/>
      <c r="BD189" s="51"/>
      <c r="BE189" s="131"/>
      <c r="BF189" s="131"/>
      <c r="BG189" s="131"/>
      <c r="BH189" s="131"/>
      <c r="BI189" s="131"/>
      <c r="BJ189" s="131"/>
      <c r="BK189" s="131"/>
      <c r="BL189" s="131"/>
      <c r="BM189" s="131"/>
      <c r="BN189" s="131"/>
      <c r="BO189" s="131"/>
      <c r="BP189" s="131"/>
      <c r="BQ189" s="131"/>
      <c r="BR189" s="131"/>
      <c r="BS189" s="131"/>
      <c r="BT189" s="131"/>
    </row>
    <row r="190" spans="1:72" s="130" customFormat="1" ht="15">
      <c r="A190" s="35"/>
      <c r="B190" s="35"/>
      <c r="C190" s="35"/>
      <c r="D190" s="35"/>
      <c r="E190" s="35"/>
      <c r="F190" s="35"/>
      <c r="G190" s="35"/>
      <c r="H190" s="35"/>
      <c r="I190" s="35"/>
      <c r="J190" s="35"/>
      <c r="K190" s="35"/>
      <c r="L190" s="35"/>
      <c r="M190" s="35"/>
      <c r="N190" s="35"/>
      <c r="O190" s="35"/>
      <c r="P190" s="35"/>
      <c r="Q190" s="35"/>
      <c r="R190" s="35"/>
      <c r="S190" s="54"/>
      <c r="T190" s="54"/>
      <c r="U190" s="54"/>
      <c r="V190" s="54"/>
      <c r="W190" s="35"/>
      <c r="X190" s="35"/>
      <c r="Y190" s="54"/>
      <c r="Z190" s="54"/>
      <c r="AA190" s="35"/>
      <c r="AB190" s="35"/>
      <c r="AC190" s="35"/>
      <c r="AD190" s="54"/>
      <c r="AE190" s="54"/>
      <c r="AF190" s="54"/>
      <c r="AG190" s="54"/>
      <c r="AH190" s="54"/>
      <c r="AI190" s="54"/>
      <c r="AJ190" s="54"/>
      <c r="AK190" s="54"/>
      <c r="AL190" s="54"/>
      <c r="AM190" s="54"/>
      <c r="AN190" s="54"/>
      <c r="AO190" s="54"/>
      <c r="AP190" s="54"/>
      <c r="AQ190" s="54"/>
      <c r="AR190" s="54"/>
      <c r="AS190" s="54"/>
      <c r="AT190" s="54"/>
      <c r="AU190" s="54"/>
      <c r="AV190" s="54"/>
      <c r="AW190" s="54"/>
      <c r="AX190" s="54"/>
      <c r="AY190" s="54"/>
      <c r="AZ190" s="54"/>
      <c r="BA190" s="54"/>
      <c r="BB190" s="54"/>
      <c r="BC190" s="54"/>
      <c r="BD190" s="51"/>
      <c r="BE190" s="131"/>
      <c r="BF190" s="131"/>
      <c r="BG190" s="131"/>
      <c r="BH190" s="131"/>
      <c r="BI190" s="131"/>
      <c r="BJ190" s="131"/>
      <c r="BK190" s="131"/>
      <c r="BL190" s="131"/>
      <c r="BM190" s="131"/>
      <c r="BN190" s="131"/>
      <c r="BO190" s="131"/>
      <c r="BP190" s="131"/>
      <c r="BQ190" s="131"/>
      <c r="BR190" s="131"/>
      <c r="BS190" s="131"/>
      <c r="BT190" s="131"/>
    </row>
    <row r="191" spans="1:72" s="130" customFormat="1" ht="15">
      <c r="A191" s="35"/>
      <c r="B191" s="35"/>
      <c r="C191" s="35"/>
      <c r="D191" s="35"/>
      <c r="E191" s="35"/>
      <c r="F191" s="35"/>
      <c r="G191" s="35"/>
      <c r="H191" s="35"/>
      <c r="I191" s="35"/>
      <c r="J191" s="35"/>
      <c r="K191" s="35"/>
      <c r="L191" s="35"/>
      <c r="M191" s="35"/>
      <c r="N191" s="35"/>
      <c r="O191" s="35"/>
      <c r="P191" s="35"/>
      <c r="Q191" s="35"/>
      <c r="R191" s="35"/>
      <c r="S191" s="54"/>
      <c r="T191" s="54"/>
      <c r="U191" s="54"/>
      <c r="V191" s="54"/>
      <c r="W191" s="35"/>
      <c r="X191" s="35"/>
      <c r="Y191" s="54"/>
      <c r="Z191" s="54"/>
      <c r="AA191" s="35"/>
      <c r="AB191" s="35"/>
      <c r="AC191" s="35"/>
      <c r="AD191" s="54"/>
      <c r="AE191" s="54"/>
      <c r="AF191" s="54"/>
      <c r="AG191" s="54"/>
      <c r="AH191" s="54"/>
      <c r="AI191" s="54"/>
      <c r="AJ191" s="54"/>
      <c r="AK191" s="54"/>
      <c r="AL191" s="54"/>
      <c r="AM191" s="54"/>
      <c r="AN191" s="54"/>
      <c r="AO191" s="54"/>
      <c r="AP191" s="54"/>
      <c r="AQ191" s="54"/>
      <c r="AR191" s="54"/>
      <c r="AS191" s="54"/>
      <c r="AT191" s="54"/>
      <c r="AU191" s="54"/>
      <c r="AV191" s="54"/>
      <c r="AW191" s="54"/>
      <c r="AX191" s="54"/>
      <c r="AY191" s="54"/>
      <c r="AZ191" s="54"/>
      <c r="BA191" s="54"/>
      <c r="BB191" s="54"/>
      <c r="BC191" s="54"/>
      <c r="BD191" s="51"/>
      <c r="BE191" s="131"/>
      <c r="BF191" s="131"/>
      <c r="BG191" s="131"/>
      <c r="BH191" s="131"/>
      <c r="BI191" s="131"/>
      <c r="BJ191" s="131"/>
      <c r="BK191" s="131"/>
      <c r="BL191" s="131"/>
      <c r="BM191" s="131"/>
      <c r="BN191" s="131"/>
      <c r="BO191" s="131"/>
      <c r="BP191" s="131"/>
      <c r="BQ191" s="131"/>
      <c r="BR191" s="131"/>
      <c r="BS191" s="131"/>
      <c r="BT191" s="131"/>
    </row>
    <row r="192" spans="1:72" s="130" customFormat="1" ht="15">
      <c r="A192" s="35"/>
      <c r="B192" s="35"/>
      <c r="C192" s="35"/>
      <c r="D192" s="35"/>
      <c r="E192" s="35"/>
      <c r="F192" s="35"/>
      <c r="G192" s="35"/>
      <c r="H192" s="35"/>
      <c r="I192" s="35"/>
      <c r="J192" s="35"/>
      <c r="K192" s="35"/>
      <c r="L192" s="35"/>
      <c r="M192" s="35"/>
      <c r="N192" s="35"/>
      <c r="O192" s="35"/>
      <c r="P192" s="35"/>
      <c r="Q192" s="35"/>
      <c r="R192" s="35"/>
      <c r="S192" s="54"/>
      <c r="T192" s="54"/>
      <c r="U192" s="54"/>
      <c r="V192" s="54"/>
      <c r="W192" s="35"/>
      <c r="X192" s="35"/>
      <c r="Y192" s="54"/>
      <c r="Z192" s="54"/>
      <c r="AA192" s="35"/>
      <c r="AB192" s="35"/>
      <c r="AC192" s="35"/>
      <c r="AD192" s="54"/>
      <c r="AE192" s="54"/>
      <c r="AF192" s="54"/>
      <c r="AG192" s="54"/>
      <c r="AH192" s="54"/>
      <c r="AI192" s="54"/>
      <c r="AJ192" s="54"/>
      <c r="AK192" s="54"/>
      <c r="AL192" s="54"/>
      <c r="AM192" s="54"/>
      <c r="AN192" s="54"/>
      <c r="AO192" s="54"/>
      <c r="AP192" s="54"/>
      <c r="AQ192" s="54"/>
      <c r="AR192" s="54"/>
      <c r="AS192" s="54"/>
      <c r="AT192" s="54"/>
      <c r="AU192" s="54"/>
      <c r="AV192" s="54"/>
      <c r="AW192" s="54"/>
      <c r="AX192" s="54"/>
      <c r="AY192" s="54"/>
      <c r="AZ192" s="54"/>
      <c r="BA192" s="54"/>
      <c r="BB192" s="54"/>
      <c r="BC192" s="54"/>
      <c r="BD192" s="51"/>
      <c r="BE192" s="131"/>
      <c r="BF192" s="131"/>
      <c r="BG192" s="131"/>
      <c r="BH192" s="131"/>
      <c r="BI192" s="131"/>
      <c r="BJ192" s="131"/>
      <c r="BK192" s="131"/>
      <c r="BL192" s="131"/>
      <c r="BM192" s="131"/>
      <c r="BN192" s="131"/>
      <c r="BO192" s="131"/>
      <c r="BP192" s="131"/>
      <c r="BQ192" s="131"/>
      <c r="BR192" s="131"/>
      <c r="BS192" s="131"/>
      <c r="BT192" s="131"/>
    </row>
    <row r="193" spans="1:72" s="130" customFormat="1" ht="15">
      <c r="A193" s="35"/>
      <c r="B193" s="35"/>
      <c r="C193" s="35"/>
      <c r="D193" s="35"/>
      <c r="E193" s="35"/>
      <c r="F193" s="35"/>
      <c r="G193" s="35"/>
      <c r="H193" s="35"/>
      <c r="I193" s="35"/>
      <c r="J193" s="35"/>
      <c r="K193" s="35"/>
      <c r="L193" s="35"/>
      <c r="M193" s="35"/>
      <c r="N193" s="35"/>
      <c r="O193" s="35"/>
      <c r="P193" s="35"/>
      <c r="Q193" s="35"/>
      <c r="R193" s="35"/>
      <c r="S193" s="54"/>
      <c r="T193" s="54"/>
      <c r="U193" s="54"/>
      <c r="V193" s="54"/>
      <c r="W193" s="35"/>
      <c r="X193" s="35"/>
      <c r="Y193" s="54"/>
      <c r="Z193" s="54"/>
      <c r="AA193" s="35"/>
      <c r="AB193" s="35"/>
      <c r="AC193" s="35"/>
      <c r="AD193" s="54"/>
      <c r="AE193" s="54"/>
      <c r="AF193" s="54"/>
      <c r="AG193" s="54"/>
      <c r="AH193" s="54"/>
      <c r="AI193" s="54"/>
      <c r="AJ193" s="54"/>
      <c r="AK193" s="54"/>
      <c r="AL193" s="54"/>
      <c r="AM193" s="54"/>
      <c r="AN193" s="54"/>
      <c r="AO193" s="54"/>
      <c r="AP193" s="54"/>
      <c r="AQ193" s="54"/>
      <c r="AR193" s="54"/>
      <c r="AS193" s="54"/>
      <c r="AT193" s="54"/>
      <c r="AU193" s="54"/>
      <c r="AV193" s="54"/>
      <c r="AW193" s="54"/>
      <c r="AX193" s="54"/>
      <c r="AY193" s="54"/>
      <c r="AZ193" s="54"/>
      <c r="BA193" s="54"/>
      <c r="BB193" s="54"/>
      <c r="BC193" s="54"/>
      <c r="BD193" s="51"/>
      <c r="BE193" s="131"/>
      <c r="BF193" s="131"/>
      <c r="BG193" s="131"/>
      <c r="BH193" s="131"/>
      <c r="BI193" s="131"/>
      <c r="BJ193" s="131"/>
      <c r="BK193" s="131"/>
      <c r="BL193" s="131"/>
      <c r="BM193" s="131"/>
      <c r="BN193" s="131"/>
      <c r="BO193" s="131"/>
      <c r="BP193" s="131"/>
      <c r="BQ193" s="131"/>
      <c r="BR193" s="131"/>
      <c r="BS193" s="131"/>
      <c r="BT193" s="131"/>
    </row>
    <row r="194" spans="1:72" s="130" customFormat="1" ht="15">
      <c r="A194" s="35"/>
      <c r="B194" s="35"/>
      <c r="C194" s="35"/>
      <c r="D194" s="35"/>
      <c r="E194" s="35"/>
      <c r="F194" s="35"/>
      <c r="G194" s="35"/>
      <c r="H194" s="35"/>
      <c r="I194" s="35"/>
      <c r="J194" s="35"/>
      <c r="K194" s="35"/>
      <c r="L194" s="35"/>
      <c r="M194" s="35"/>
      <c r="N194" s="35"/>
      <c r="O194" s="35"/>
      <c r="P194" s="35"/>
      <c r="Q194" s="35"/>
      <c r="R194" s="35"/>
      <c r="S194" s="54"/>
      <c r="T194" s="54"/>
      <c r="U194" s="54"/>
      <c r="V194" s="54"/>
      <c r="W194" s="35"/>
      <c r="X194" s="35"/>
      <c r="Y194" s="54"/>
      <c r="Z194" s="54"/>
      <c r="AA194" s="35"/>
      <c r="AB194" s="35"/>
      <c r="AC194" s="35"/>
      <c r="AD194" s="54"/>
      <c r="AE194" s="54"/>
      <c r="AF194" s="54"/>
      <c r="AG194" s="54"/>
      <c r="AH194" s="54"/>
      <c r="AI194" s="54"/>
      <c r="AJ194" s="54"/>
      <c r="AK194" s="54"/>
      <c r="AL194" s="54"/>
      <c r="AM194" s="54"/>
      <c r="AN194" s="54"/>
      <c r="AO194" s="54"/>
      <c r="AP194" s="54"/>
      <c r="AQ194" s="54"/>
      <c r="AR194" s="54"/>
      <c r="AS194" s="54"/>
      <c r="AT194" s="54"/>
      <c r="AU194" s="54"/>
      <c r="AV194" s="54"/>
      <c r="AW194" s="54"/>
      <c r="AX194" s="54"/>
      <c r="AY194" s="54"/>
      <c r="AZ194" s="54"/>
      <c r="BA194" s="54"/>
      <c r="BB194" s="54"/>
      <c r="BC194" s="54"/>
      <c r="BD194" s="51"/>
      <c r="BE194" s="131"/>
      <c r="BF194" s="131"/>
      <c r="BG194" s="131"/>
      <c r="BH194" s="131"/>
      <c r="BI194" s="131"/>
      <c r="BJ194" s="131"/>
      <c r="BK194" s="131"/>
      <c r="BL194" s="131"/>
      <c r="BM194" s="131"/>
      <c r="BN194" s="131"/>
      <c r="BO194" s="131"/>
      <c r="BP194" s="131"/>
      <c r="BQ194" s="131"/>
      <c r="BR194" s="131"/>
      <c r="BS194" s="131"/>
      <c r="BT194" s="131"/>
    </row>
    <row r="195" spans="1:72" s="130" customFormat="1" ht="15">
      <c r="A195" s="35"/>
      <c r="B195" s="35"/>
      <c r="C195" s="35"/>
      <c r="D195" s="35"/>
      <c r="E195" s="35"/>
      <c r="F195" s="35"/>
      <c r="G195" s="35"/>
      <c r="H195" s="35"/>
      <c r="I195" s="35"/>
      <c r="J195" s="35"/>
      <c r="K195" s="35"/>
      <c r="L195" s="35"/>
      <c r="M195" s="35"/>
      <c r="N195" s="35"/>
      <c r="O195" s="35"/>
      <c r="P195" s="35"/>
      <c r="Q195" s="35"/>
      <c r="R195" s="35"/>
      <c r="S195" s="54"/>
      <c r="T195" s="54"/>
      <c r="U195" s="54"/>
      <c r="V195" s="54"/>
      <c r="W195" s="35"/>
      <c r="X195" s="35"/>
      <c r="Y195" s="54"/>
      <c r="Z195" s="54"/>
      <c r="AA195" s="35"/>
      <c r="AB195" s="35"/>
      <c r="AC195" s="35"/>
      <c r="AD195" s="54"/>
      <c r="AE195" s="54"/>
      <c r="AF195" s="54"/>
      <c r="AG195" s="54"/>
      <c r="AH195" s="54"/>
      <c r="AI195" s="54"/>
      <c r="AJ195" s="54"/>
      <c r="AK195" s="54"/>
      <c r="AL195" s="54"/>
      <c r="AM195" s="54"/>
      <c r="AN195" s="54"/>
      <c r="AO195" s="54"/>
      <c r="AP195" s="54"/>
      <c r="AQ195" s="54"/>
      <c r="AR195" s="54"/>
      <c r="AS195" s="54"/>
      <c r="AT195" s="54"/>
      <c r="AU195" s="54"/>
      <c r="AV195" s="54"/>
      <c r="AW195" s="54"/>
      <c r="AX195" s="54"/>
      <c r="AY195" s="54"/>
      <c r="AZ195" s="54"/>
      <c r="BA195" s="54"/>
      <c r="BB195" s="54"/>
      <c r="BC195" s="54"/>
      <c r="BD195" s="51"/>
      <c r="BE195" s="131"/>
      <c r="BF195" s="131"/>
      <c r="BG195" s="131"/>
      <c r="BH195" s="131"/>
      <c r="BI195" s="131"/>
      <c r="BJ195" s="131"/>
      <c r="BK195" s="131"/>
      <c r="BL195" s="131"/>
      <c r="BM195" s="131"/>
      <c r="BN195" s="131"/>
      <c r="BO195" s="131"/>
      <c r="BP195" s="131"/>
      <c r="BQ195" s="131"/>
      <c r="BR195" s="131"/>
      <c r="BS195" s="131"/>
      <c r="BT195" s="131"/>
    </row>
    <row r="196" spans="1:72" s="130" customFormat="1" ht="15">
      <c r="A196" s="35"/>
      <c r="B196" s="35"/>
      <c r="C196" s="35"/>
      <c r="D196" s="35"/>
      <c r="E196" s="35"/>
      <c r="F196" s="35"/>
      <c r="G196" s="35"/>
      <c r="H196" s="35"/>
      <c r="I196" s="35"/>
      <c r="J196" s="35"/>
      <c r="K196" s="35"/>
      <c r="L196" s="35"/>
      <c r="M196" s="35"/>
      <c r="N196" s="35"/>
      <c r="O196" s="35"/>
      <c r="P196" s="35"/>
      <c r="Q196" s="35"/>
      <c r="R196" s="35"/>
      <c r="S196" s="54"/>
      <c r="T196" s="54"/>
      <c r="U196" s="54"/>
      <c r="V196" s="54"/>
      <c r="W196" s="35"/>
      <c r="X196" s="35"/>
      <c r="Y196" s="54"/>
      <c r="Z196" s="54"/>
      <c r="AA196" s="35"/>
      <c r="AB196" s="35"/>
      <c r="AC196" s="35"/>
      <c r="AD196" s="54"/>
      <c r="AE196" s="54"/>
      <c r="AF196" s="54"/>
      <c r="AG196" s="54"/>
      <c r="AH196" s="54"/>
      <c r="AI196" s="54"/>
      <c r="AJ196" s="54"/>
      <c r="AK196" s="54"/>
      <c r="AL196" s="54"/>
      <c r="AM196" s="54"/>
      <c r="AN196" s="54"/>
      <c r="AO196" s="54"/>
      <c r="AP196" s="54"/>
      <c r="AQ196" s="54"/>
      <c r="AR196" s="54"/>
      <c r="AS196" s="54"/>
      <c r="AT196" s="54"/>
      <c r="AU196" s="54"/>
      <c r="AV196" s="54"/>
      <c r="AW196" s="54"/>
      <c r="AX196" s="54"/>
      <c r="AY196" s="54"/>
      <c r="AZ196" s="54"/>
      <c r="BA196" s="54"/>
      <c r="BB196" s="54"/>
      <c r="BC196" s="54"/>
      <c r="BD196" s="51"/>
      <c r="BE196" s="131"/>
      <c r="BF196" s="131"/>
      <c r="BG196" s="131"/>
      <c r="BH196" s="131"/>
      <c r="BI196" s="131"/>
      <c r="BJ196" s="131"/>
      <c r="BK196" s="131"/>
      <c r="BL196" s="131"/>
      <c r="BM196" s="131"/>
      <c r="BN196" s="131"/>
      <c r="BO196" s="131"/>
      <c r="BP196" s="131"/>
      <c r="BQ196" s="131"/>
      <c r="BR196" s="131"/>
      <c r="BS196" s="131"/>
      <c r="BT196" s="131"/>
    </row>
    <row r="197" spans="1:72" s="130" customFormat="1" ht="15">
      <c r="A197" s="35"/>
      <c r="B197" s="35"/>
      <c r="C197" s="35"/>
      <c r="D197" s="35"/>
      <c r="E197" s="35"/>
      <c r="F197" s="35"/>
      <c r="G197" s="35"/>
      <c r="H197" s="35"/>
      <c r="I197" s="35"/>
      <c r="J197" s="35"/>
      <c r="K197" s="35"/>
      <c r="L197" s="35"/>
      <c r="M197" s="35"/>
      <c r="N197" s="35"/>
      <c r="O197" s="35"/>
      <c r="P197" s="35"/>
      <c r="Q197" s="35"/>
      <c r="R197" s="35"/>
      <c r="S197" s="54"/>
      <c r="T197" s="54"/>
      <c r="U197" s="54"/>
      <c r="V197" s="54"/>
      <c r="W197" s="35"/>
      <c r="X197" s="35"/>
      <c r="Y197" s="54"/>
      <c r="Z197" s="54"/>
      <c r="AA197" s="35"/>
      <c r="AB197" s="35"/>
      <c r="AC197" s="35"/>
      <c r="AD197" s="54"/>
      <c r="AE197" s="54"/>
      <c r="AF197" s="54"/>
      <c r="AG197" s="54"/>
      <c r="AH197" s="54"/>
      <c r="AI197" s="54"/>
      <c r="AJ197" s="54"/>
      <c r="AK197" s="54"/>
      <c r="AL197" s="54"/>
      <c r="AM197" s="54"/>
      <c r="AN197" s="54"/>
      <c r="AO197" s="54"/>
      <c r="AP197" s="54"/>
      <c r="AQ197" s="54"/>
      <c r="AR197" s="54"/>
      <c r="AS197" s="54"/>
      <c r="AT197" s="54"/>
      <c r="AU197" s="54"/>
      <c r="AV197" s="54"/>
      <c r="AW197" s="54"/>
      <c r="AX197" s="54"/>
      <c r="AY197" s="54"/>
      <c r="AZ197" s="54"/>
      <c r="BA197" s="54"/>
      <c r="BB197" s="54"/>
      <c r="BC197" s="54"/>
      <c r="BD197" s="51"/>
      <c r="BE197" s="131"/>
      <c r="BF197" s="131"/>
      <c r="BG197" s="131"/>
      <c r="BH197" s="131"/>
      <c r="BI197" s="131"/>
      <c r="BJ197" s="131"/>
      <c r="BK197" s="131"/>
      <c r="BL197" s="131"/>
      <c r="BM197" s="131"/>
      <c r="BN197" s="131"/>
      <c r="BO197" s="131"/>
      <c r="BP197" s="131"/>
      <c r="BQ197" s="131"/>
      <c r="BR197" s="131"/>
      <c r="BS197" s="131"/>
      <c r="BT197" s="131"/>
    </row>
    <row r="198" spans="1:72" s="130" customFormat="1" ht="15">
      <c r="A198" s="35"/>
      <c r="B198" s="35"/>
      <c r="C198" s="35"/>
      <c r="D198" s="35"/>
      <c r="E198" s="35"/>
      <c r="F198" s="35"/>
      <c r="G198" s="35"/>
      <c r="H198" s="35"/>
      <c r="I198" s="35"/>
      <c r="J198" s="35"/>
      <c r="K198" s="35"/>
      <c r="L198" s="35"/>
      <c r="M198" s="35"/>
      <c r="N198" s="35"/>
      <c r="O198" s="35"/>
      <c r="P198" s="35"/>
      <c r="Q198" s="35"/>
      <c r="R198" s="35"/>
      <c r="S198" s="54"/>
      <c r="T198" s="54"/>
      <c r="U198" s="54"/>
      <c r="V198" s="54"/>
      <c r="W198" s="35"/>
      <c r="X198" s="35"/>
      <c r="Y198" s="54"/>
      <c r="Z198" s="54"/>
      <c r="AA198" s="35"/>
      <c r="AB198" s="35"/>
      <c r="AC198" s="35"/>
      <c r="AD198" s="54"/>
      <c r="AE198" s="54"/>
      <c r="AF198" s="54"/>
      <c r="AG198" s="54"/>
      <c r="AH198" s="54"/>
      <c r="AI198" s="54"/>
      <c r="AJ198" s="54"/>
      <c r="AK198" s="54"/>
      <c r="AL198" s="54"/>
      <c r="AM198" s="54"/>
      <c r="AN198" s="54"/>
      <c r="AO198" s="54"/>
      <c r="AP198" s="54"/>
      <c r="AQ198" s="54"/>
      <c r="AR198" s="54"/>
      <c r="AS198" s="54"/>
      <c r="AT198" s="54"/>
      <c r="AU198" s="54"/>
      <c r="AV198" s="54"/>
      <c r="AW198" s="54"/>
      <c r="AX198" s="54"/>
      <c r="AY198" s="54"/>
      <c r="AZ198" s="54"/>
      <c r="BA198" s="54"/>
      <c r="BB198" s="54"/>
      <c r="BC198" s="54"/>
      <c r="BD198" s="51"/>
      <c r="BE198" s="131"/>
      <c r="BF198" s="131"/>
      <c r="BG198" s="131"/>
      <c r="BH198" s="131"/>
      <c r="BI198" s="131"/>
      <c r="BJ198" s="131"/>
      <c r="BK198" s="131"/>
      <c r="BL198" s="131"/>
      <c r="BM198" s="131"/>
      <c r="BN198" s="131"/>
      <c r="BO198" s="131"/>
      <c r="BP198" s="131"/>
      <c r="BQ198" s="131"/>
      <c r="BR198" s="131"/>
      <c r="BS198" s="131"/>
      <c r="BT198" s="131"/>
    </row>
    <row r="199" spans="1:72" s="130" customFormat="1" ht="15">
      <c r="A199" s="35"/>
      <c r="B199" s="35"/>
      <c r="C199" s="35"/>
      <c r="D199" s="35"/>
      <c r="E199" s="35"/>
      <c r="F199" s="35"/>
      <c r="G199" s="35"/>
      <c r="H199" s="35"/>
      <c r="I199" s="35"/>
      <c r="J199" s="35"/>
      <c r="K199" s="35"/>
      <c r="L199" s="35"/>
      <c r="M199" s="35"/>
      <c r="N199" s="35"/>
      <c r="O199" s="35"/>
      <c r="P199" s="35"/>
      <c r="Q199" s="35"/>
      <c r="R199" s="35"/>
      <c r="S199" s="54"/>
      <c r="T199" s="54"/>
      <c r="U199" s="54"/>
      <c r="V199" s="54"/>
      <c r="W199" s="35"/>
      <c r="X199" s="35"/>
      <c r="Y199" s="54"/>
      <c r="Z199" s="54"/>
      <c r="AA199" s="35"/>
      <c r="AB199" s="35"/>
      <c r="AC199" s="35"/>
      <c r="AD199" s="54"/>
      <c r="AE199" s="54"/>
      <c r="AF199" s="54"/>
      <c r="AG199" s="54"/>
      <c r="AH199" s="54"/>
      <c r="AI199" s="54"/>
      <c r="AJ199" s="54"/>
      <c r="AK199" s="54"/>
      <c r="AL199" s="54"/>
      <c r="AM199" s="54"/>
      <c r="AN199" s="54"/>
      <c r="AO199" s="54"/>
      <c r="AP199" s="54"/>
      <c r="AQ199" s="54"/>
      <c r="AR199" s="54"/>
      <c r="AS199" s="54"/>
      <c r="AT199" s="54"/>
      <c r="AU199" s="54"/>
      <c r="AV199" s="54"/>
      <c r="AW199" s="54"/>
      <c r="AX199" s="54"/>
      <c r="AY199" s="54"/>
      <c r="AZ199" s="54"/>
      <c r="BA199" s="54"/>
      <c r="BB199" s="54"/>
      <c r="BC199" s="54"/>
      <c r="BD199" s="51"/>
      <c r="BE199" s="131"/>
      <c r="BF199" s="131"/>
      <c r="BG199" s="131"/>
      <c r="BH199" s="131"/>
      <c r="BI199" s="131"/>
      <c r="BJ199" s="131"/>
      <c r="BK199" s="131"/>
      <c r="BL199" s="131"/>
      <c r="BM199" s="131"/>
      <c r="BN199" s="131"/>
      <c r="BO199" s="131"/>
      <c r="BP199" s="131"/>
      <c r="BQ199" s="131"/>
      <c r="BR199" s="131"/>
      <c r="BS199" s="131"/>
      <c r="BT199" s="131"/>
    </row>
    <row r="200" spans="1:72" s="130" customFormat="1" ht="15">
      <c r="A200" s="35"/>
      <c r="B200" s="35"/>
      <c r="C200" s="35"/>
      <c r="D200" s="35"/>
      <c r="E200" s="35"/>
      <c r="F200" s="35"/>
      <c r="G200" s="35"/>
      <c r="H200" s="35"/>
      <c r="I200" s="35"/>
      <c r="J200" s="35"/>
      <c r="K200" s="35"/>
      <c r="L200" s="35"/>
      <c r="M200" s="35"/>
      <c r="N200" s="35"/>
      <c r="O200" s="35"/>
      <c r="P200" s="35"/>
      <c r="Q200" s="35"/>
      <c r="R200" s="35"/>
      <c r="S200" s="54"/>
      <c r="T200" s="54"/>
      <c r="U200" s="54"/>
      <c r="V200" s="54"/>
      <c r="W200" s="35"/>
      <c r="X200" s="35"/>
      <c r="Y200" s="54"/>
      <c r="Z200" s="54"/>
      <c r="AA200" s="35"/>
      <c r="AB200" s="35"/>
      <c r="AC200" s="35"/>
      <c r="AD200" s="54"/>
      <c r="AE200" s="54"/>
      <c r="AF200" s="54"/>
      <c r="AG200" s="54"/>
      <c r="AH200" s="54"/>
      <c r="AI200" s="54"/>
      <c r="AJ200" s="54"/>
      <c r="AK200" s="54"/>
      <c r="AL200" s="54"/>
      <c r="AM200" s="54"/>
      <c r="AN200" s="54"/>
      <c r="AO200" s="54"/>
      <c r="AP200" s="54"/>
      <c r="AQ200" s="54"/>
      <c r="AR200" s="54"/>
      <c r="AS200" s="54"/>
      <c r="AT200" s="54"/>
      <c r="AU200" s="54"/>
      <c r="AV200" s="54"/>
      <c r="AW200" s="54"/>
      <c r="AX200" s="54"/>
      <c r="AY200" s="54"/>
      <c r="AZ200" s="54"/>
      <c r="BA200" s="54"/>
      <c r="BB200" s="54"/>
      <c r="BC200" s="54"/>
      <c r="BD200" s="51"/>
      <c r="BE200" s="131"/>
      <c r="BF200" s="131"/>
      <c r="BG200" s="131"/>
      <c r="BH200" s="131"/>
      <c r="BI200" s="131"/>
      <c r="BJ200" s="131"/>
      <c r="BK200" s="131"/>
      <c r="BL200" s="131"/>
      <c r="BM200" s="131"/>
      <c r="BN200" s="131"/>
      <c r="BO200" s="131"/>
      <c r="BP200" s="131"/>
      <c r="BQ200" s="131"/>
      <c r="BR200" s="131"/>
      <c r="BS200" s="131"/>
      <c r="BT200" s="131"/>
    </row>
    <row r="201" spans="1:72" s="130" customFormat="1" ht="15">
      <c r="A201" s="35"/>
      <c r="B201" s="35"/>
      <c r="C201" s="35"/>
      <c r="D201" s="35"/>
      <c r="E201" s="35"/>
      <c r="F201" s="35"/>
      <c r="G201" s="35"/>
      <c r="H201" s="35"/>
      <c r="I201" s="35"/>
      <c r="J201" s="35"/>
      <c r="K201" s="35"/>
      <c r="L201" s="35"/>
      <c r="M201" s="35"/>
      <c r="N201" s="35"/>
      <c r="O201" s="35"/>
      <c r="P201" s="35"/>
      <c r="Q201" s="35"/>
      <c r="R201" s="35"/>
      <c r="S201" s="54"/>
      <c r="T201" s="54"/>
      <c r="U201" s="54"/>
      <c r="V201" s="54"/>
      <c r="W201" s="35"/>
      <c r="X201" s="35"/>
      <c r="Y201" s="54"/>
      <c r="Z201" s="54"/>
      <c r="AA201" s="35"/>
      <c r="AB201" s="35"/>
      <c r="AC201" s="35"/>
      <c r="AD201" s="54"/>
      <c r="AE201" s="54"/>
      <c r="AF201" s="54"/>
      <c r="AG201" s="54"/>
      <c r="AH201" s="54"/>
      <c r="AI201" s="54"/>
      <c r="AJ201" s="54"/>
      <c r="AK201" s="54"/>
      <c r="AL201" s="54"/>
      <c r="AM201" s="54"/>
      <c r="AN201" s="54"/>
      <c r="AO201" s="54"/>
      <c r="AP201" s="54"/>
      <c r="AQ201" s="54"/>
      <c r="AR201" s="54"/>
      <c r="AS201" s="54"/>
      <c r="AT201" s="54"/>
      <c r="AU201" s="54"/>
      <c r="AV201" s="54"/>
      <c r="AW201" s="54"/>
      <c r="AX201" s="54"/>
      <c r="AY201" s="54"/>
      <c r="AZ201" s="54"/>
      <c r="BA201" s="54"/>
      <c r="BB201" s="54"/>
      <c r="BC201" s="54"/>
      <c r="BD201" s="51"/>
      <c r="BE201" s="131"/>
      <c r="BF201" s="131"/>
      <c r="BG201" s="131"/>
      <c r="BH201" s="131"/>
      <c r="BI201" s="131"/>
      <c r="BJ201" s="131"/>
      <c r="BK201" s="131"/>
      <c r="BL201" s="131"/>
      <c r="BM201" s="131"/>
      <c r="BN201" s="131"/>
      <c r="BO201" s="131"/>
      <c r="BP201" s="131"/>
      <c r="BQ201" s="131"/>
      <c r="BR201" s="131"/>
      <c r="BS201" s="131"/>
      <c r="BT201" s="131"/>
    </row>
    <row r="202" spans="1:72" s="130" customFormat="1" ht="15">
      <c r="A202" s="35"/>
      <c r="B202" s="35"/>
      <c r="C202" s="35"/>
      <c r="D202" s="35"/>
      <c r="E202" s="35"/>
      <c r="F202" s="35"/>
      <c r="G202" s="35"/>
      <c r="H202" s="35"/>
      <c r="I202" s="35"/>
      <c r="J202" s="35"/>
      <c r="K202" s="35"/>
      <c r="L202" s="35"/>
      <c r="M202" s="35"/>
      <c r="N202" s="35"/>
      <c r="O202" s="35"/>
      <c r="P202" s="35"/>
      <c r="Q202" s="35"/>
      <c r="R202" s="35"/>
      <c r="S202" s="54"/>
      <c r="T202" s="54"/>
      <c r="U202" s="54"/>
      <c r="V202" s="54"/>
      <c r="W202" s="35"/>
      <c r="X202" s="35"/>
      <c r="Y202" s="54"/>
      <c r="Z202" s="54"/>
      <c r="AA202" s="35"/>
      <c r="AB202" s="35"/>
      <c r="AC202" s="35"/>
      <c r="AD202" s="54"/>
      <c r="AE202" s="54"/>
      <c r="AF202" s="54"/>
      <c r="AG202" s="54"/>
      <c r="AH202" s="54"/>
      <c r="AI202" s="54"/>
      <c r="AJ202" s="54"/>
      <c r="AK202" s="54"/>
      <c r="AL202" s="54"/>
      <c r="AM202" s="54"/>
      <c r="AN202" s="54"/>
      <c r="AO202" s="54"/>
      <c r="AP202" s="54"/>
      <c r="AQ202" s="54"/>
      <c r="AR202" s="54"/>
      <c r="AS202" s="54"/>
      <c r="AT202" s="54"/>
      <c r="AU202" s="54"/>
      <c r="AV202" s="54"/>
      <c r="AW202" s="54"/>
      <c r="AX202" s="54"/>
      <c r="AY202" s="54"/>
      <c r="AZ202" s="54"/>
      <c r="BA202" s="54"/>
      <c r="BB202" s="54"/>
      <c r="BC202" s="54"/>
      <c r="BD202" s="51"/>
      <c r="BE202" s="131"/>
      <c r="BF202" s="131"/>
      <c r="BG202" s="131"/>
      <c r="BH202" s="131"/>
      <c r="BI202" s="131"/>
      <c r="BJ202" s="131"/>
      <c r="BK202" s="131"/>
      <c r="BL202" s="131"/>
      <c r="BM202" s="131"/>
      <c r="BN202" s="131"/>
      <c r="BO202" s="131"/>
      <c r="BP202" s="131"/>
      <c r="BQ202" s="131"/>
      <c r="BR202" s="131"/>
      <c r="BS202" s="131"/>
      <c r="BT202" s="131"/>
    </row>
    <row r="203" spans="1:72" s="130" customFormat="1" ht="15">
      <c r="A203" s="35"/>
      <c r="B203" s="35"/>
      <c r="C203" s="35"/>
      <c r="D203" s="35"/>
      <c r="E203" s="35"/>
      <c r="F203" s="35"/>
      <c r="G203" s="35"/>
      <c r="H203" s="35"/>
      <c r="I203" s="35"/>
      <c r="J203" s="35"/>
      <c r="K203" s="35"/>
      <c r="L203" s="35"/>
      <c r="M203" s="35"/>
      <c r="N203" s="35"/>
      <c r="O203" s="35"/>
      <c r="P203" s="35"/>
      <c r="Q203" s="35"/>
      <c r="R203" s="35"/>
      <c r="S203" s="54"/>
      <c r="T203" s="54"/>
      <c r="U203" s="54"/>
      <c r="V203" s="54"/>
      <c r="W203" s="35"/>
      <c r="X203" s="35"/>
      <c r="Y203" s="54"/>
      <c r="Z203" s="54"/>
      <c r="AA203" s="35"/>
      <c r="AB203" s="35"/>
      <c r="AC203" s="35"/>
      <c r="AD203" s="54"/>
      <c r="AE203" s="54"/>
      <c r="AF203" s="54"/>
      <c r="AG203" s="54"/>
      <c r="AH203" s="54"/>
      <c r="AI203" s="54"/>
      <c r="AJ203" s="54"/>
      <c r="AK203" s="54"/>
      <c r="AL203" s="54"/>
      <c r="AM203" s="54"/>
      <c r="AN203" s="54"/>
      <c r="AO203" s="54"/>
      <c r="AP203" s="54"/>
      <c r="AQ203" s="54"/>
      <c r="AR203" s="54"/>
      <c r="AS203" s="54"/>
      <c r="AT203" s="54"/>
      <c r="AU203" s="54"/>
      <c r="AV203" s="54"/>
      <c r="AW203" s="54"/>
      <c r="AX203" s="54"/>
      <c r="AY203" s="54"/>
      <c r="AZ203" s="54"/>
      <c r="BA203" s="54"/>
      <c r="BB203" s="54"/>
      <c r="BC203" s="54"/>
      <c r="BD203" s="51"/>
    </row>
    <row r="204" spans="1:72" s="130" customFormat="1" ht="15">
      <c r="A204" s="35"/>
      <c r="B204" s="35"/>
      <c r="C204" s="35"/>
      <c r="D204" s="35"/>
      <c r="E204" s="35"/>
      <c r="F204" s="35"/>
      <c r="G204" s="35"/>
      <c r="H204" s="35"/>
      <c r="I204" s="35"/>
      <c r="J204" s="35"/>
      <c r="K204" s="35"/>
      <c r="L204" s="35"/>
      <c r="M204" s="35"/>
      <c r="N204" s="35"/>
      <c r="O204" s="35"/>
      <c r="P204" s="35"/>
      <c r="Q204" s="35"/>
      <c r="R204" s="35"/>
      <c r="S204" s="54"/>
      <c r="T204" s="54"/>
      <c r="U204" s="54"/>
      <c r="V204" s="54"/>
      <c r="W204" s="35"/>
      <c r="X204" s="35"/>
      <c r="Y204" s="54"/>
      <c r="Z204" s="54"/>
      <c r="AA204" s="35"/>
      <c r="AB204" s="35"/>
      <c r="AC204" s="35"/>
      <c r="AD204" s="54"/>
      <c r="AE204" s="54"/>
      <c r="AF204" s="54"/>
      <c r="AG204" s="54"/>
      <c r="AH204" s="54"/>
      <c r="AI204" s="54"/>
      <c r="AJ204" s="54"/>
      <c r="AK204" s="54"/>
      <c r="AL204" s="54"/>
      <c r="AM204" s="54"/>
      <c r="AN204" s="54"/>
      <c r="AO204" s="54"/>
      <c r="AP204" s="54"/>
      <c r="AQ204" s="54"/>
      <c r="AR204" s="54"/>
      <c r="AS204" s="54"/>
      <c r="AT204" s="54"/>
      <c r="AU204" s="54"/>
      <c r="AV204" s="54"/>
      <c r="AW204" s="54"/>
      <c r="AX204" s="54"/>
      <c r="AY204" s="54"/>
      <c r="AZ204" s="54"/>
      <c r="BA204" s="54"/>
      <c r="BB204" s="54"/>
      <c r="BC204" s="54"/>
      <c r="BD204" s="51"/>
    </row>
    <row r="205" spans="1:72" s="130" customFormat="1" ht="15">
      <c r="A205" s="35"/>
      <c r="B205" s="35"/>
      <c r="C205" s="35"/>
      <c r="D205" s="35"/>
      <c r="E205" s="35"/>
      <c r="F205" s="35"/>
      <c r="G205" s="35"/>
      <c r="H205" s="35"/>
      <c r="I205" s="35"/>
      <c r="J205" s="35"/>
      <c r="K205" s="35"/>
      <c r="L205" s="35"/>
      <c r="M205" s="35"/>
      <c r="N205" s="35"/>
      <c r="O205" s="35"/>
      <c r="P205" s="35"/>
      <c r="Q205" s="35"/>
      <c r="R205" s="35"/>
      <c r="S205" s="54"/>
      <c r="T205" s="54"/>
      <c r="U205" s="54"/>
      <c r="V205" s="54"/>
      <c r="W205" s="35"/>
      <c r="X205" s="35"/>
      <c r="Y205" s="54"/>
      <c r="Z205" s="54"/>
      <c r="AA205" s="35"/>
      <c r="AB205" s="35"/>
      <c r="AC205" s="35"/>
      <c r="AD205" s="54"/>
      <c r="AE205" s="54"/>
      <c r="AF205" s="54"/>
      <c r="AG205" s="54"/>
      <c r="AH205" s="54"/>
      <c r="AI205" s="54"/>
      <c r="AJ205" s="54"/>
      <c r="AK205" s="54"/>
      <c r="AL205" s="54"/>
      <c r="AM205" s="54"/>
      <c r="AN205" s="54"/>
      <c r="AO205" s="54"/>
      <c r="AP205" s="54"/>
      <c r="AQ205" s="54"/>
      <c r="AR205" s="54"/>
      <c r="AS205" s="54"/>
      <c r="AT205" s="54"/>
      <c r="AU205" s="54"/>
      <c r="AV205" s="54"/>
      <c r="AW205" s="54"/>
      <c r="AX205" s="54"/>
      <c r="AY205" s="54"/>
      <c r="AZ205" s="54"/>
      <c r="BA205" s="54"/>
      <c r="BB205" s="54"/>
      <c r="BC205" s="54"/>
      <c r="BD205" s="51"/>
    </row>
    <row r="206" spans="1:72" s="130" customFormat="1" ht="15">
      <c r="A206" s="35"/>
      <c r="B206" s="35"/>
      <c r="C206" s="35"/>
      <c r="D206" s="35"/>
      <c r="E206" s="35"/>
      <c r="F206" s="35"/>
      <c r="G206" s="35"/>
      <c r="H206" s="35"/>
      <c r="I206" s="35"/>
      <c r="J206" s="35"/>
      <c r="K206" s="35"/>
      <c r="L206" s="35"/>
      <c r="M206" s="35"/>
      <c r="N206" s="35"/>
      <c r="O206" s="35"/>
      <c r="P206" s="35"/>
      <c r="Q206" s="35"/>
      <c r="R206" s="35"/>
      <c r="S206" s="54"/>
      <c r="T206" s="54"/>
      <c r="U206" s="54"/>
      <c r="V206" s="54"/>
      <c r="W206" s="35"/>
      <c r="X206" s="35"/>
      <c r="Y206" s="54"/>
      <c r="Z206" s="54"/>
      <c r="AA206" s="35"/>
      <c r="AB206" s="35"/>
      <c r="AC206" s="35"/>
      <c r="AD206" s="54"/>
      <c r="AE206" s="54"/>
      <c r="AF206" s="54"/>
      <c r="AG206" s="54"/>
      <c r="AH206" s="54"/>
      <c r="AI206" s="54"/>
      <c r="AJ206" s="54"/>
      <c r="AK206" s="54"/>
      <c r="AL206" s="54"/>
      <c r="AM206" s="54"/>
      <c r="AN206" s="54"/>
      <c r="AO206" s="54"/>
      <c r="AP206" s="54"/>
      <c r="AQ206" s="54"/>
      <c r="AR206" s="54"/>
      <c r="AS206" s="54"/>
      <c r="AT206" s="54"/>
      <c r="AU206" s="54"/>
      <c r="AV206" s="54"/>
      <c r="AW206" s="54"/>
      <c r="AX206" s="54"/>
      <c r="AY206" s="54"/>
      <c r="AZ206" s="54"/>
      <c r="BA206" s="54"/>
      <c r="BB206" s="54"/>
      <c r="BC206" s="54"/>
      <c r="BD206" s="51"/>
    </row>
    <row r="207" spans="1:72" s="130" customFormat="1" ht="15">
      <c r="A207" s="35"/>
      <c r="B207" s="35"/>
      <c r="C207" s="35"/>
      <c r="D207" s="35"/>
      <c r="E207" s="35"/>
      <c r="F207" s="35"/>
      <c r="G207" s="35"/>
      <c r="H207" s="35"/>
      <c r="I207" s="35"/>
      <c r="J207" s="35"/>
      <c r="K207" s="35"/>
      <c r="L207" s="35"/>
      <c r="M207" s="35"/>
      <c r="N207" s="35"/>
      <c r="O207" s="35"/>
      <c r="P207" s="35"/>
      <c r="Q207" s="35"/>
      <c r="R207" s="35"/>
      <c r="S207" s="54"/>
      <c r="T207" s="54"/>
      <c r="U207" s="54"/>
      <c r="V207" s="54"/>
      <c r="W207" s="35"/>
      <c r="X207" s="35"/>
      <c r="Y207" s="54"/>
      <c r="Z207" s="54"/>
      <c r="AA207" s="35"/>
      <c r="AB207" s="35"/>
      <c r="AC207" s="35"/>
      <c r="AD207" s="54"/>
      <c r="AE207" s="54"/>
      <c r="AF207" s="54"/>
      <c r="AG207" s="54"/>
      <c r="AH207" s="54"/>
      <c r="AI207" s="54"/>
      <c r="AJ207" s="54"/>
      <c r="AK207" s="54"/>
      <c r="AL207" s="54"/>
      <c r="AM207" s="54"/>
      <c r="AN207" s="54"/>
      <c r="AO207" s="54"/>
      <c r="AP207" s="54"/>
      <c r="AQ207" s="54"/>
      <c r="AR207" s="54"/>
      <c r="AS207" s="54"/>
      <c r="AT207" s="54"/>
      <c r="AU207" s="54"/>
      <c r="AV207" s="54"/>
      <c r="AW207" s="54"/>
      <c r="AX207" s="54"/>
      <c r="AY207" s="54"/>
      <c r="AZ207" s="54"/>
      <c r="BA207" s="54"/>
      <c r="BB207" s="54"/>
      <c r="BC207" s="54"/>
      <c r="BD207" s="51"/>
      <c r="BE207" s="131"/>
      <c r="BF207" s="131"/>
      <c r="BG207" s="131"/>
      <c r="BH207" s="131"/>
      <c r="BI207" s="131"/>
      <c r="BJ207" s="131"/>
      <c r="BK207" s="131"/>
      <c r="BL207" s="131"/>
      <c r="BM207" s="131"/>
      <c r="BN207" s="131"/>
      <c r="BO207" s="131"/>
      <c r="BP207" s="131"/>
      <c r="BQ207" s="131"/>
      <c r="BR207" s="131"/>
      <c r="BS207" s="131"/>
      <c r="BT207" s="131"/>
    </row>
    <row r="208" spans="1:72" s="130" customFormat="1" ht="15">
      <c r="A208" s="35"/>
      <c r="B208" s="35"/>
      <c r="C208" s="35"/>
      <c r="D208" s="35"/>
      <c r="E208" s="35"/>
      <c r="F208" s="35"/>
      <c r="G208" s="35"/>
      <c r="H208" s="35"/>
      <c r="I208" s="35"/>
      <c r="J208" s="35"/>
      <c r="K208" s="35"/>
      <c r="L208" s="35"/>
      <c r="M208" s="35"/>
      <c r="N208" s="35"/>
      <c r="O208" s="35"/>
      <c r="P208" s="35"/>
      <c r="Q208" s="35"/>
      <c r="R208" s="35"/>
      <c r="S208" s="54"/>
      <c r="T208" s="54"/>
      <c r="U208" s="54"/>
      <c r="V208" s="54"/>
      <c r="W208" s="35"/>
      <c r="X208" s="35"/>
      <c r="Y208" s="54"/>
      <c r="Z208" s="54"/>
      <c r="AA208" s="35"/>
      <c r="AB208" s="35"/>
      <c r="AC208" s="35"/>
      <c r="AD208" s="54"/>
      <c r="AE208" s="54"/>
      <c r="AF208" s="54"/>
      <c r="AG208" s="54"/>
      <c r="AH208" s="54"/>
      <c r="AI208" s="54"/>
      <c r="AJ208" s="54"/>
      <c r="AK208" s="54"/>
      <c r="AL208" s="54"/>
      <c r="AM208" s="54"/>
      <c r="AN208" s="54"/>
      <c r="AO208" s="54"/>
      <c r="AP208" s="54"/>
      <c r="AQ208" s="54"/>
      <c r="AR208" s="54"/>
      <c r="AS208" s="54"/>
      <c r="AT208" s="54"/>
      <c r="AU208" s="54"/>
      <c r="AV208" s="54"/>
      <c r="AW208" s="54"/>
      <c r="AX208" s="54"/>
      <c r="AY208" s="54"/>
      <c r="AZ208" s="54"/>
      <c r="BA208" s="54"/>
      <c r="BB208" s="54"/>
      <c r="BC208" s="54"/>
      <c r="BD208" s="51"/>
      <c r="BE208" s="131"/>
      <c r="BF208" s="131"/>
      <c r="BG208" s="131"/>
      <c r="BH208" s="131"/>
      <c r="BI208" s="131"/>
      <c r="BJ208" s="131"/>
      <c r="BK208" s="131"/>
      <c r="BL208" s="131"/>
      <c r="BM208" s="131"/>
      <c r="BN208" s="131"/>
      <c r="BO208" s="131"/>
      <c r="BP208" s="131"/>
      <c r="BQ208" s="131"/>
      <c r="BR208" s="131"/>
      <c r="BS208" s="131"/>
      <c r="BT208" s="131"/>
    </row>
    <row r="209" spans="1:72" s="130" customFormat="1" ht="15">
      <c r="A209" s="35"/>
      <c r="B209" s="35"/>
      <c r="C209" s="35"/>
      <c r="D209" s="35"/>
      <c r="E209" s="35"/>
      <c r="F209" s="35"/>
      <c r="G209" s="35"/>
      <c r="H209" s="35"/>
      <c r="I209" s="35"/>
      <c r="J209" s="35"/>
      <c r="K209" s="35"/>
      <c r="L209" s="35"/>
      <c r="M209" s="35"/>
      <c r="N209" s="35"/>
      <c r="O209" s="35"/>
      <c r="P209" s="35"/>
      <c r="Q209" s="35"/>
      <c r="R209" s="35"/>
      <c r="S209" s="54"/>
      <c r="T209" s="54"/>
      <c r="U209" s="54"/>
      <c r="V209" s="54"/>
      <c r="W209" s="35"/>
      <c r="X209" s="35"/>
      <c r="Y209" s="54"/>
      <c r="Z209" s="54"/>
      <c r="AA209" s="35"/>
      <c r="AB209" s="35"/>
      <c r="AC209" s="35"/>
      <c r="AD209" s="54"/>
      <c r="AE209" s="54"/>
      <c r="AF209" s="54"/>
      <c r="AG209" s="54"/>
      <c r="AH209" s="54"/>
      <c r="AI209" s="54"/>
      <c r="AJ209" s="54"/>
      <c r="AK209" s="54"/>
      <c r="AL209" s="54"/>
      <c r="AM209" s="54"/>
      <c r="AN209" s="54"/>
      <c r="AO209" s="54"/>
      <c r="AP209" s="54"/>
      <c r="AQ209" s="54"/>
      <c r="AR209" s="54"/>
      <c r="AS209" s="54"/>
      <c r="AT209" s="54"/>
      <c r="AU209" s="54"/>
      <c r="AV209" s="54"/>
      <c r="AW209" s="54"/>
      <c r="AX209" s="54"/>
      <c r="AY209" s="54"/>
      <c r="AZ209" s="54"/>
      <c r="BA209" s="54"/>
      <c r="BB209" s="54"/>
      <c r="BC209" s="54"/>
      <c r="BD209" s="51"/>
      <c r="BE209" s="131"/>
      <c r="BF209" s="131"/>
      <c r="BG209" s="131"/>
      <c r="BH209" s="131"/>
      <c r="BI209" s="131"/>
      <c r="BJ209" s="131"/>
      <c r="BK209" s="131"/>
      <c r="BL209" s="131"/>
      <c r="BM209" s="131"/>
      <c r="BN209" s="131"/>
      <c r="BO209" s="131"/>
      <c r="BP209" s="131"/>
      <c r="BQ209" s="131"/>
      <c r="BR209" s="131"/>
      <c r="BS209" s="131"/>
      <c r="BT209" s="131"/>
    </row>
    <row r="210" spans="1:72" s="130" customFormat="1" ht="15">
      <c r="A210" s="35"/>
      <c r="B210" s="35"/>
      <c r="C210" s="35"/>
      <c r="D210" s="35"/>
      <c r="E210" s="35"/>
      <c r="F210" s="35"/>
      <c r="G210" s="35"/>
      <c r="H210" s="35"/>
      <c r="I210" s="35"/>
      <c r="J210" s="35"/>
      <c r="K210" s="35"/>
      <c r="L210" s="35"/>
      <c r="M210" s="35"/>
      <c r="N210" s="35"/>
      <c r="O210" s="35"/>
      <c r="P210" s="35"/>
      <c r="Q210" s="35"/>
      <c r="R210" s="35"/>
      <c r="S210" s="54"/>
      <c r="T210" s="54"/>
      <c r="U210" s="54"/>
      <c r="V210" s="54"/>
      <c r="W210" s="35"/>
      <c r="X210" s="35"/>
      <c r="Y210" s="54"/>
      <c r="Z210" s="54"/>
      <c r="AA210" s="35"/>
      <c r="AB210" s="35"/>
      <c r="AC210" s="35"/>
      <c r="AD210" s="54"/>
      <c r="AE210" s="54"/>
      <c r="AF210" s="54"/>
      <c r="AG210" s="54"/>
      <c r="AH210" s="54"/>
      <c r="AI210" s="54"/>
      <c r="AJ210" s="54"/>
      <c r="AK210" s="54"/>
      <c r="AL210" s="54"/>
      <c r="AM210" s="54"/>
      <c r="AN210" s="54"/>
      <c r="AO210" s="54"/>
      <c r="AP210" s="54"/>
      <c r="AQ210" s="54"/>
      <c r="AR210" s="54"/>
      <c r="AS210" s="54"/>
      <c r="AT210" s="54"/>
      <c r="AU210" s="54"/>
      <c r="AV210" s="54"/>
      <c r="AW210" s="54"/>
      <c r="AX210" s="54"/>
      <c r="AY210" s="54"/>
      <c r="AZ210" s="54"/>
      <c r="BA210" s="54"/>
      <c r="BB210" s="54"/>
      <c r="BC210" s="54"/>
      <c r="BD210" s="51"/>
      <c r="BE210" s="131"/>
      <c r="BF210" s="131"/>
      <c r="BG210" s="131"/>
      <c r="BH210" s="131"/>
      <c r="BI210" s="131"/>
      <c r="BJ210" s="131"/>
      <c r="BK210" s="131"/>
      <c r="BL210" s="131"/>
      <c r="BM210" s="131"/>
      <c r="BN210" s="131"/>
      <c r="BO210" s="131"/>
      <c r="BP210" s="131"/>
      <c r="BQ210" s="131"/>
      <c r="BR210" s="131"/>
      <c r="BS210" s="131"/>
      <c r="BT210" s="131"/>
    </row>
    <row r="211" spans="1:72" s="130" customFormat="1" ht="15">
      <c r="A211" s="35"/>
      <c r="B211" s="35"/>
      <c r="C211" s="35"/>
      <c r="D211" s="35"/>
      <c r="E211" s="35"/>
      <c r="F211" s="35"/>
      <c r="G211" s="35"/>
      <c r="H211" s="35"/>
      <c r="I211" s="35"/>
      <c r="J211" s="35"/>
      <c r="K211" s="35"/>
      <c r="L211" s="35"/>
      <c r="M211" s="35"/>
      <c r="N211" s="35"/>
      <c r="O211" s="35"/>
      <c r="P211" s="35"/>
      <c r="Q211" s="35"/>
      <c r="R211" s="35"/>
      <c r="S211" s="54"/>
      <c r="T211" s="54"/>
      <c r="U211" s="54"/>
      <c r="V211" s="54"/>
      <c r="W211" s="35"/>
      <c r="X211" s="35"/>
      <c r="Y211" s="54"/>
      <c r="Z211" s="54"/>
      <c r="AA211" s="35"/>
      <c r="AB211" s="35"/>
      <c r="AC211" s="35"/>
      <c r="AD211" s="54"/>
      <c r="AE211" s="54"/>
      <c r="AF211" s="54"/>
      <c r="AG211" s="54"/>
      <c r="AH211" s="54"/>
      <c r="AI211" s="54"/>
      <c r="AJ211" s="54"/>
      <c r="AK211" s="54"/>
      <c r="AL211" s="54"/>
      <c r="AM211" s="54"/>
      <c r="AN211" s="54"/>
      <c r="AO211" s="54"/>
      <c r="AP211" s="54"/>
      <c r="AQ211" s="54"/>
      <c r="AR211" s="54"/>
      <c r="AS211" s="54"/>
      <c r="AT211" s="54"/>
      <c r="AU211" s="54"/>
      <c r="AV211" s="54"/>
      <c r="AW211" s="54"/>
      <c r="AX211" s="54"/>
      <c r="AY211" s="54"/>
      <c r="AZ211" s="54"/>
      <c r="BA211" s="54"/>
      <c r="BB211" s="54"/>
      <c r="BC211" s="54"/>
      <c r="BD211" s="51"/>
      <c r="BE211" s="131"/>
      <c r="BF211" s="131"/>
      <c r="BG211" s="131"/>
      <c r="BH211" s="131"/>
      <c r="BI211" s="131"/>
      <c r="BJ211" s="131"/>
      <c r="BK211" s="131"/>
      <c r="BL211" s="131"/>
      <c r="BM211" s="131"/>
      <c r="BN211" s="131"/>
      <c r="BO211" s="131"/>
      <c r="BP211" s="131"/>
      <c r="BQ211" s="131"/>
      <c r="BR211" s="131"/>
      <c r="BS211" s="131"/>
      <c r="BT211" s="131"/>
    </row>
    <row r="212" spans="1:72" s="130" customFormat="1" ht="15">
      <c r="A212" s="35"/>
      <c r="B212" s="35"/>
      <c r="C212" s="35"/>
      <c r="D212" s="35"/>
      <c r="E212" s="35"/>
      <c r="F212" s="35"/>
      <c r="G212" s="35"/>
      <c r="H212" s="35"/>
      <c r="I212" s="35"/>
      <c r="J212" s="35"/>
      <c r="K212" s="35"/>
      <c r="L212" s="35"/>
      <c r="M212" s="35"/>
      <c r="N212" s="35"/>
      <c r="O212" s="35"/>
      <c r="P212" s="35"/>
      <c r="Q212" s="35"/>
      <c r="R212" s="35"/>
      <c r="S212" s="54"/>
      <c r="T212" s="54"/>
      <c r="U212" s="54"/>
      <c r="V212" s="54"/>
      <c r="W212" s="35"/>
      <c r="X212" s="35"/>
      <c r="Y212" s="54"/>
      <c r="Z212" s="54"/>
      <c r="AA212" s="35"/>
      <c r="AB212" s="35"/>
      <c r="AC212" s="35"/>
      <c r="AD212" s="54"/>
      <c r="AE212" s="54"/>
      <c r="AF212" s="54"/>
      <c r="AG212" s="54"/>
      <c r="AH212" s="54"/>
      <c r="AI212" s="54"/>
      <c r="AJ212" s="54"/>
      <c r="AK212" s="54"/>
      <c r="AL212" s="54"/>
      <c r="AM212" s="54"/>
      <c r="AN212" s="54"/>
      <c r="AO212" s="54"/>
      <c r="AP212" s="54"/>
      <c r="AQ212" s="54"/>
      <c r="AR212" s="54"/>
      <c r="AS212" s="54"/>
      <c r="AT212" s="54"/>
      <c r="AU212" s="54"/>
      <c r="AV212" s="54"/>
      <c r="AW212" s="54"/>
      <c r="AX212" s="54"/>
      <c r="AY212" s="54"/>
      <c r="AZ212" s="54"/>
      <c r="BA212" s="54"/>
      <c r="BB212" s="54"/>
      <c r="BC212" s="54"/>
      <c r="BD212" s="51"/>
      <c r="BE212" s="131"/>
      <c r="BF212" s="131"/>
      <c r="BG212" s="131"/>
      <c r="BH212" s="131"/>
      <c r="BI212" s="131"/>
      <c r="BJ212" s="131"/>
      <c r="BK212" s="131"/>
      <c r="BL212" s="131"/>
      <c r="BM212" s="131"/>
      <c r="BN212" s="131"/>
      <c r="BO212" s="131"/>
      <c r="BP212" s="131"/>
      <c r="BQ212" s="131"/>
      <c r="BR212" s="131"/>
      <c r="BS212" s="131"/>
      <c r="BT212" s="131"/>
    </row>
    <row r="213" spans="1:72" s="130" customFormat="1" ht="15">
      <c r="A213" s="35"/>
      <c r="B213" s="35"/>
      <c r="C213" s="35"/>
      <c r="D213" s="35"/>
      <c r="E213" s="35"/>
      <c r="F213" s="35"/>
      <c r="G213" s="35"/>
      <c r="H213" s="35"/>
      <c r="I213" s="35"/>
      <c r="J213" s="35"/>
      <c r="K213" s="35"/>
      <c r="L213" s="35"/>
      <c r="M213" s="35"/>
      <c r="N213" s="35"/>
      <c r="O213" s="35"/>
      <c r="P213" s="35"/>
      <c r="Q213" s="35"/>
      <c r="R213" s="35"/>
      <c r="S213" s="54"/>
      <c r="T213" s="54"/>
      <c r="U213" s="54"/>
      <c r="V213" s="54"/>
      <c r="W213" s="35"/>
      <c r="X213" s="35"/>
      <c r="Y213" s="54"/>
      <c r="Z213" s="54"/>
      <c r="AA213" s="35"/>
      <c r="AB213" s="35"/>
      <c r="AC213" s="35"/>
      <c r="AD213" s="54"/>
      <c r="AE213" s="54"/>
      <c r="AF213" s="54"/>
      <c r="AG213" s="54"/>
      <c r="AH213" s="54"/>
      <c r="AI213" s="54"/>
      <c r="AJ213" s="54"/>
      <c r="AK213" s="54"/>
      <c r="AL213" s="54"/>
      <c r="AM213" s="54"/>
      <c r="AN213" s="54"/>
      <c r="AO213" s="54"/>
      <c r="AP213" s="54"/>
      <c r="AQ213" s="54"/>
      <c r="AR213" s="54"/>
      <c r="AS213" s="54"/>
      <c r="AT213" s="54"/>
      <c r="AU213" s="54"/>
      <c r="AV213" s="54"/>
      <c r="AW213" s="54"/>
      <c r="AX213" s="54"/>
      <c r="AY213" s="54"/>
      <c r="AZ213" s="54"/>
      <c r="BA213" s="54"/>
      <c r="BB213" s="54"/>
      <c r="BC213" s="54"/>
      <c r="BD213" s="51"/>
      <c r="BE213" s="131"/>
      <c r="BF213" s="131"/>
      <c r="BG213" s="131"/>
      <c r="BH213" s="131"/>
      <c r="BI213" s="131"/>
      <c r="BJ213" s="131"/>
      <c r="BK213" s="131"/>
      <c r="BL213" s="131"/>
      <c r="BM213" s="131"/>
      <c r="BN213" s="131"/>
      <c r="BO213" s="131"/>
      <c r="BP213" s="131"/>
      <c r="BQ213" s="131"/>
      <c r="BR213" s="131"/>
      <c r="BS213" s="131"/>
      <c r="BT213" s="131"/>
    </row>
    <row r="214" spans="1:72" s="130" customFormat="1" ht="15">
      <c r="A214" s="35"/>
      <c r="B214" s="35"/>
      <c r="C214" s="35"/>
      <c r="D214" s="35"/>
      <c r="E214" s="35"/>
      <c r="F214" s="35"/>
      <c r="G214" s="35"/>
      <c r="H214" s="35"/>
      <c r="I214" s="35"/>
      <c r="J214" s="35"/>
      <c r="K214" s="35"/>
      <c r="L214" s="35"/>
      <c r="M214" s="35"/>
      <c r="N214" s="35"/>
      <c r="O214" s="35"/>
      <c r="P214" s="35"/>
      <c r="Q214" s="35"/>
      <c r="R214" s="35"/>
      <c r="S214" s="54"/>
      <c r="T214" s="54"/>
      <c r="U214" s="54"/>
      <c r="V214" s="54"/>
      <c r="W214" s="35"/>
      <c r="X214" s="35"/>
      <c r="Y214" s="54"/>
      <c r="Z214" s="54"/>
      <c r="AA214" s="35"/>
      <c r="AB214" s="35"/>
      <c r="AC214" s="35"/>
      <c r="AD214" s="54"/>
      <c r="AE214" s="54"/>
      <c r="AF214" s="54"/>
      <c r="AG214" s="54"/>
      <c r="AH214" s="54"/>
      <c r="AI214" s="54"/>
      <c r="AJ214" s="54"/>
      <c r="AK214" s="54"/>
      <c r="AL214" s="54"/>
      <c r="AM214" s="54"/>
      <c r="AN214" s="54"/>
      <c r="AO214" s="54"/>
      <c r="AP214" s="54"/>
      <c r="AQ214" s="54"/>
      <c r="AR214" s="54"/>
      <c r="AS214" s="54"/>
      <c r="AT214" s="54"/>
      <c r="AU214" s="54"/>
      <c r="AV214" s="54"/>
      <c r="AW214" s="54"/>
      <c r="AX214" s="54"/>
      <c r="AY214" s="54"/>
      <c r="AZ214" s="54"/>
      <c r="BA214" s="54"/>
      <c r="BB214" s="54"/>
      <c r="BC214" s="54"/>
      <c r="BD214" s="51"/>
      <c r="BE214" s="131"/>
      <c r="BF214" s="131"/>
      <c r="BG214" s="131"/>
      <c r="BH214" s="131"/>
      <c r="BI214" s="131"/>
      <c r="BJ214" s="131"/>
      <c r="BK214" s="131"/>
      <c r="BL214" s="131"/>
      <c r="BM214" s="131"/>
      <c r="BN214" s="131"/>
      <c r="BO214" s="131"/>
      <c r="BP214" s="131"/>
      <c r="BQ214" s="131"/>
      <c r="BR214" s="131"/>
      <c r="BS214" s="131"/>
      <c r="BT214" s="131"/>
    </row>
    <row r="215" spans="1:72" s="130" customFormat="1" ht="15">
      <c r="A215" s="35"/>
      <c r="B215" s="35"/>
      <c r="C215" s="35"/>
      <c r="D215" s="35"/>
      <c r="E215" s="35"/>
      <c r="F215" s="35"/>
      <c r="G215" s="35"/>
      <c r="H215" s="35"/>
      <c r="I215" s="35"/>
      <c r="J215" s="35"/>
      <c r="K215" s="35"/>
      <c r="L215" s="35"/>
      <c r="M215" s="35"/>
      <c r="N215" s="35"/>
      <c r="O215" s="35"/>
      <c r="P215" s="35"/>
      <c r="Q215" s="35"/>
      <c r="R215" s="35"/>
      <c r="S215" s="54"/>
      <c r="T215" s="54"/>
      <c r="U215" s="54"/>
      <c r="V215" s="54"/>
      <c r="W215" s="35"/>
      <c r="X215" s="35"/>
      <c r="Y215" s="54"/>
      <c r="Z215" s="54"/>
      <c r="AA215" s="35"/>
      <c r="AB215" s="35"/>
      <c r="AC215" s="35"/>
      <c r="AD215" s="54"/>
      <c r="AE215" s="54"/>
      <c r="AF215" s="54"/>
      <c r="AG215" s="54"/>
      <c r="AH215" s="54"/>
      <c r="AI215" s="54"/>
      <c r="AJ215" s="54"/>
      <c r="AK215" s="54"/>
      <c r="AL215" s="54"/>
      <c r="AM215" s="54"/>
      <c r="AN215" s="54"/>
      <c r="AO215" s="54"/>
      <c r="AP215" s="54"/>
      <c r="AQ215" s="54"/>
      <c r="AR215" s="54"/>
      <c r="AS215" s="54"/>
      <c r="AT215" s="54"/>
      <c r="AU215" s="54"/>
      <c r="AV215" s="54"/>
      <c r="AW215" s="54"/>
      <c r="AX215" s="54"/>
      <c r="AY215" s="54"/>
      <c r="AZ215" s="54"/>
      <c r="BA215" s="54"/>
      <c r="BB215" s="54"/>
      <c r="BC215" s="54"/>
      <c r="BD215" s="51"/>
      <c r="BE215" s="131"/>
      <c r="BF215" s="131"/>
      <c r="BG215" s="131"/>
      <c r="BH215" s="131"/>
      <c r="BI215" s="131"/>
      <c r="BJ215" s="131"/>
      <c r="BK215" s="131"/>
      <c r="BL215" s="131"/>
      <c r="BM215" s="131"/>
      <c r="BN215" s="131"/>
      <c r="BO215" s="131"/>
      <c r="BP215" s="131"/>
      <c r="BQ215" s="131"/>
      <c r="BR215" s="131"/>
      <c r="BS215" s="131"/>
      <c r="BT215" s="131"/>
    </row>
  </sheetData>
  <mergeCells count="97">
    <mergeCell ref="I25:AS26"/>
    <mergeCell ref="AN29:AS30"/>
    <mergeCell ref="A5:BA5"/>
    <mergeCell ref="BB5:BC5"/>
    <mergeCell ref="J24:M24"/>
    <mergeCell ref="H29:L30"/>
    <mergeCell ref="M29:Q30"/>
    <mergeCell ref="R29:V30"/>
    <mergeCell ref="W29:Z30"/>
    <mergeCell ref="AA29:AD30"/>
    <mergeCell ref="AE29:AH30"/>
    <mergeCell ref="AI29:AM30"/>
    <mergeCell ref="AV2:AY2"/>
    <mergeCell ref="AZ2:BC3"/>
    <mergeCell ref="A3:H3"/>
    <mergeCell ref="I3:L3"/>
    <mergeCell ref="M3:W3"/>
    <mergeCell ref="X3:Z3"/>
    <mergeCell ref="AA3:AR3"/>
    <mergeCell ref="AS3:AU3"/>
    <mergeCell ref="AV3:AY3"/>
    <mergeCell ref="AN1:AR1"/>
    <mergeCell ref="AS1:AU1"/>
    <mergeCell ref="AV1:AY1"/>
    <mergeCell ref="AZ1:BC1"/>
    <mergeCell ref="A2:H2"/>
    <mergeCell ref="I2:L2"/>
    <mergeCell ref="M2:W2"/>
    <mergeCell ref="AK2:AM2"/>
    <mergeCell ref="AN2:AR2"/>
    <mergeCell ref="AS2:AU2"/>
    <mergeCell ref="A1:H1"/>
    <mergeCell ref="I1:L1"/>
    <mergeCell ref="M1:W1"/>
    <mergeCell ref="X1:Z2"/>
    <mergeCell ref="AA1:AJ2"/>
    <mergeCell ref="AK1:AM1"/>
    <mergeCell ref="AD40:AG41"/>
    <mergeCell ref="AH40:AK41"/>
    <mergeCell ref="AL40:AO41"/>
    <mergeCell ref="B40:E41"/>
    <mergeCell ref="F40:I41"/>
    <mergeCell ref="J40:M41"/>
    <mergeCell ref="N40:Q41"/>
    <mergeCell ref="R40:U41"/>
    <mergeCell ref="AP40:AS41"/>
    <mergeCell ref="AT40:AW41"/>
    <mergeCell ref="B42:E43"/>
    <mergeCell ref="F42:I43"/>
    <mergeCell ref="J42:M43"/>
    <mergeCell ref="N42:Q43"/>
    <mergeCell ref="R42:U43"/>
    <mergeCell ref="V42:Y43"/>
    <mergeCell ref="Z42:AC43"/>
    <mergeCell ref="AD42:AG43"/>
    <mergeCell ref="AH42:AK43"/>
    <mergeCell ref="AL42:AO43"/>
    <mergeCell ref="AP42:AS43"/>
    <mergeCell ref="AT42:AW43"/>
    <mergeCell ref="V40:Y41"/>
    <mergeCell ref="Z40:AC41"/>
    <mergeCell ref="AD44:AG45"/>
    <mergeCell ref="AH44:AK45"/>
    <mergeCell ref="AL44:AO45"/>
    <mergeCell ref="B44:E45"/>
    <mergeCell ref="F44:I45"/>
    <mergeCell ref="J44:M45"/>
    <mergeCell ref="N44:Q45"/>
    <mergeCell ref="R44:U45"/>
    <mergeCell ref="AP44:AS45"/>
    <mergeCell ref="AT44:AW45"/>
    <mergeCell ref="B46:E47"/>
    <mergeCell ref="F46:I47"/>
    <mergeCell ref="J46:M47"/>
    <mergeCell ref="N46:Q47"/>
    <mergeCell ref="R46:U47"/>
    <mergeCell ref="V46:Y47"/>
    <mergeCell ref="Z46:AC47"/>
    <mergeCell ref="AD46:AG47"/>
    <mergeCell ref="AH46:AK47"/>
    <mergeCell ref="AL46:AO47"/>
    <mergeCell ref="AP46:AS47"/>
    <mergeCell ref="AT46:AW47"/>
    <mergeCell ref="V44:Y45"/>
    <mergeCell ref="Z44:AC45"/>
    <mergeCell ref="B48:E49"/>
    <mergeCell ref="F48:I49"/>
    <mergeCell ref="J48:M49"/>
    <mergeCell ref="N48:Q49"/>
    <mergeCell ref="R48:U49"/>
    <mergeCell ref="AP48:AS49"/>
    <mergeCell ref="AT48:AW49"/>
    <mergeCell ref="V48:Y49"/>
    <mergeCell ref="Z48:AC49"/>
    <mergeCell ref="AD48:AG49"/>
    <mergeCell ref="AH48:AK49"/>
    <mergeCell ref="AL48:AO49"/>
  </mergeCells>
  <phoneticPr fontId="53"/>
  <pageMargins left="0.39370078740157483" right="0.39370078740157483" top="0.39370078740157483" bottom="0.19685039370078741" header="0.19685039370078741" footer="0.19685039370078741"/>
  <pageSetup paperSize="9" scale="68" fitToHeight="6" orientation="portrait" r:id="rId1"/>
  <headerFooter>
    <oddFooter>&amp;L&amp;"-,太字"&amp;12©2016 Amazing-Activity Corporation All Rights Reserved&amp;C- &amp;P &amp; -&amp;R&amp;F_&amp;A</oddFooter>
  </headerFooter>
  <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C281ED-0271-46B4-A226-13FB54362481}">
  <sheetPr>
    <pageSetUpPr fitToPage="1"/>
  </sheetPr>
  <dimension ref="A1:CS62"/>
  <sheetViews>
    <sheetView showGridLines="0" view="pageBreakPreview" zoomScale="80" zoomScaleNormal="70" zoomScaleSheetLayoutView="80" workbookViewId="0">
      <selection sqref="A1:I1"/>
    </sheetView>
  </sheetViews>
  <sheetFormatPr defaultColWidth="2.54296875" defaultRowHeight="15"/>
  <cols>
    <col min="1" max="10" width="2.54296875" style="148" customWidth="1"/>
    <col min="11" max="16" width="3.26953125" style="148" customWidth="1"/>
    <col min="17" max="46" width="2.54296875" style="148"/>
    <col min="47" max="47" width="2.54296875" style="148" customWidth="1"/>
    <col min="48" max="233" width="2.54296875" style="148"/>
    <col min="234" max="234" width="4" style="148" customWidth="1"/>
    <col min="235" max="266" width="2.54296875" style="148"/>
    <col min="267" max="267" width="2.54296875" style="148" customWidth="1"/>
    <col min="268" max="489" width="2.54296875" style="148"/>
    <col min="490" max="490" width="4" style="148" customWidth="1"/>
    <col min="491" max="522" width="2.54296875" style="148"/>
    <col min="523" max="523" width="2.54296875" style="148" customWidth="1"/>
    <col min="524" max="745" width="2.54296875" style="148"/>
    <col min="746" max="746" width="4" style="148" customWidth="1"/>
    <col min="747" max="778" width="2.54296875" style="148"/>
    <col min="779" max="779" width="2.54296875" style="148" customWidth="1"/>
    <col min="780" max="1001" width="2.54296875" style="148"/>
    <col min="1002" max="1002" width="4" style="148" customWidth="1"/>
    <col min="1003" max="1034" width="2.54296875" style="148"/>
    <col min="1035" max="1035" width="2.54296875" style="148" customWidth="1"/>
    <col min="1036" max="1257" width="2.54296875" style="148"/>
    <col min="1258" max="1258" width="4" style="148" customWidth="1"/>
    <col min="1259" max="1290" width="2.54296875" style="148"/>
    <col min="1291" max="1291" width="2.54296875" style="148" customWidth="1"/>
    <col min="1292" max="1513" width="2.54296875" style="148"/>
    <col min="1514" max="1514" width="4" style="148" customWidth="1"/>
    <col min="1515" max="1546" width="2.54296875" style="148"/>
    <col min="1547" max="1547" width="2.54296875" style="148" customWidth="1"/>
    <col min="1548" max="1769" width="2.54296875" style="148"/>
    <col min="1770" max="1770" width="4" style="148" customWidth="1"/>
    <col min="1771" max="1802" width="2.54296875" style="148"/>
    <col min="1803" max="1803" width="2.54296875" style="148" customWidth="1"/>
    <col min="1804" max="2025" width="2.54296875" style="148"/>
    <col min="2026" max="2026" width="4" style="148" customWidth="1"/>
    <col min="2027" max="2058" width="2.54296875" style="148"/>
    <col min="2059" max="2059" width="2.54296875" style="148" customWidth="1"/>
    <col min="2060" max="2281" width="2.54296875" style="148"/>
    <col min="2282" max="2282" width="4" style="148" customWidth="1"/>
    <col min="2283" max="2314" width="2.54296875" style="148"/>
    <col min="2315" max="2315" width="2.54296875" style="148" customWidth="1"/>
    <col min="2316" max="2537" width="2.54296875" style="148"/>
    <col min="2538" max="2538" width="4" style="148" customWidth="1"/>
    <col min="2539" max="2570" width="2.54296875" style="148"/>
    <col min="2571" max="2571" width="2.54296875" style="148" customWidth="1"/>
    <col min="2572" max="2793" width="2.54296875" style="148"/>
    <col min="2794" max="2794" width="4" style="148" customWidth="1"/>
    <col min="2795" max="2826" width="2.54296875" style="148"/>
    <col min="2827" max="2827" width="2.54296875" style="148" customWidth="1"/>
    <col min="2828" max="3049" width="2.54296875" style="148"/>
    <col min="3050" max="3050" width="4" style="148" customWidth="1"/>
    <col min="3051" max="3082" width="2.54296875" style="148"/>
    <col min="3083" max="3083" width="2.54296875" style="148" customWidth="1"/>
    <col min="3084" max="3305" width="2.54296875" style="148"/>
    <col min="3306" max="3306" width="4" style="148" customWidth="1"/>
    <col min="3307" max="3338" width="2.54296875" style="148"/>
    <col min="3339" max="3339" width="2.54296875" style="148" customWidth="1"/>
    <col min="3340" max="3561" width="2.54296875" style="148"/>
    <col min="3562" max="3562" width="4" style="148" customWidth="1"/>
    <col min="3563" max="3594" width="2.54296875" style="148"/>
    <col min="3595" max="3595" width="2.54296875" style="148" customWidth="1"/>
    <col min="3596" max="3817" width="2.54296875" style="148"/>
    <col min="3818" max="3818" width="4" style="148" customWidth="1"/>
    <col min="3819" max="3850" width="2.54296875" style="148"/>
    <col min="3851" max="3851" width="2.54296875" style="148" customWidth="1"/>
    <col min="3852" max="4073" width="2.54296875" style="148"/>
    <col min="4074" max="4074" width="4" style="148" customWidth="1"/>
    <col min="4075" max="4106" width="2.54296875" style="148"/>
    <col min="4107" max="4107" width="2.54296875" style="148" customWidth="1"/>
    <col min="4108" max="4329" width="2.54296875" style="148"/>
    <col min="4330" max="4330" width="4" style="148" customWidth="1"/>
    <col min="4331" max="4362" width="2.54296875" style="148"/>
    <col min="4363" max="4363" width="2.54296875" style="148" customWidth="1"/>
    <col min="4364" max="4585" width="2.54296875" style="148"/>
    <col min="4586" max="4586" width="4" style="148" customWidth="1"/>
    <col min="4587" max="4618" width="2.54296875" style="148"/>
    <col min="4619" max="4619" width="2.54296875" style="148" customWidth="1"/>
    <col min="4620" max="4841" width="2.54296875" style="148"/>
    <col min="4842" max="4842" width="4" style="148" customWidth="1"/>
    <col min="4843" max="4874" width="2.54296875" style="148"/>
    <col min="4875" max="4875" width="2.54296875" style="148" customWidth="1"/>
    <col min="4876" max="5097" width="2.54296875" style="148"/>
    <col min="5098" max="5098" width="4" style="148" customWidth="1"/>
    <col min="5099" max="5130" width="2.54296875" style="148"/>
    <col min="5131" max="5131" width="2.54296875" style="148" customWidth="1"/>
    <col min="5132" max="5353" width="2.54296875" style="148"/>
    <col min="5354" max="5354" width="4" style="148" customWidth="1"/>
    <col min="5355" max="5386" width="2.54296875" style="148"/>
    <col min="5387" max="5387" width="2.54296875" style="148" customWidth="1"/>
    <col min="5388" max="5609" width="2.54296875" style="148"/>
    <col min="5610" max="5610" width="4" style="148" customWidth="1"/>
    <col min="5611" max="5642" width="2.54296875" style="148"/>
    <col min="5643" max="5643" width="2.54296875" style="148" customWidth="1"/>
    <col min="5644" max="5865" width="2.54296875" style="148"/>
    <col min="5866" max="5866" width="4" style="148" customWidth="1"/>
    <col min="5867" max="5898" width="2.54296875" style="148"/>
    <col min="5899" max="5899" width="2.54296875" style="148" customWidth="1"/>
    <col min="5900" max="6121" width="2.54296875" style="148"/>
    <col min="6122" max="6122" width="4" style="148" customWidth="1"/>
    <col min="6123" max="6154" width="2.54296875" style="148"/>
    <col min="6155" max="6155" width="2.54296875" style="148" customWidth="1"/>
    <col min="6156" max="6377" width="2.54296875" style="148"/>
    <col min="6378" max="6378" width="4" style="148" customWidth="1"/>
    <col min="6379" max="6410" width="2.54296875" style="148"/>
    <col min="6411" max="6411" width="2.54296875" style="148" customWidth="1"/>
    <col min="6412" max="6633" width="2.54296875" style="148"/>
    <col min="6634" max="6634" width="4" style="148" customWidth="1"/>
    <col min="6635" max="6666" width="2.54296875" style="148"/>
    <col min="6667" max="6667" width="2.54296875" style="148" customWidth="1"/>
    <col min="6668" max="6889" width="2.54296875" style="148"/>
    <col min="6890" max="6890" width="4" style="148" customWidth="1"/>
    <col min="6891" max="6922" width="2.54296875" style="148"/>
    <col min="6923" max="6923" width="2.54296875" style="148" customWidth="1"/>
    <col min="6924" max="7145" width="2.54296875" style="148"/>
    <col min="7146" max="7146" width="4" style="148" customWidth="1"/>
    <col min="7147" max="7178" width="2.54296875" style="148"/>
    <col min="7179" max="7179" width="2.54296875" style="148" customWidth="1"/>
    <col min="7180" max="7401" width="2.54296875" style="148"/>
    <col min="7402" max="7402" width="4" style="148" customWidth="1"/>
    <col min="7403" max="7434" width="2.54296875" style="148"/>
    <col min="7435" max="7435" width="2.54296875" style="148" customWidth="1"/>
    <col min="7436" max="7657" width="2.54296875" style="148"/>
    <col min="7658" max="7658" width="4" style="148" customWidth="1"/>
    <col min="7659" max="7690" width="2.54296875" style="148"/>
    <col min="7691" max="7691" width="2.54296875" style="148" customWidth="1"/>
    <col min="7692" max="7913" width="2.54296875" style="148"/>
    <col min="7914" max="7914" width="4" style="148" customWidth="1"/>
    <col min="7915" max="7946" width="2.54296875" style="148"/>
    <col min="7947" max="7947" width="2.54296875" style="148" customWidth="1"/>
    <col min="7948" max="8169" width="2.54296875" style="148"/>
    <col min="8170" max="8170" width="4" style="148" customWidth="1"/>
    <col min="8171" max="8202" width="2.54296875" style="148"/>
    <col min="8203" max="8203" width="2.54296875" style="148" customWidth="1"/>
    <col min="8204" max="8425" width="2.54296875" style="148"/>
    <col min="8426" max="8426" width="4" style="148" customWidth="1"/>
    <col min="8427" max="8458" width="2.54296875" style="148"/>
    <col min="8459" max="8459" width="2.54296875" style="148" customWidth="1"/>
    <col min="8460" max="8681" width="2.54296875" style="148"/>
    <col min="8682" max="8682" width="4" style="148" customWidth="1"/>
    <col min="8683" max="8714" width="2.54296875" style="148"/>
    <col min="8715" max="8715" width="2.54296875" style="148" customWidth="1"/>
    <col min="8716" max="8937" width="2.54296875" style="148"/>
    <col min="8938" max="8938" width="4" style="148" customWidth="1"/>
    <col min="8939" max="8970" width="2.54296875" style="148"/>
    <col min="8971" max="8971" width="2.54296875" style="148" customWidth="1"/>
    <col min="8972" max="9193" width="2.54296875" style="148"/>
    <col min="9194" max="9194" width="4" style="148" customWidth="1"/>
    <col min="9195" max="9226" width="2.54296875" style="148"/>
    <col min="9227" max="9227" width="2.54296875" style="148" customWidth="1"/>
    <col min="9228" max="9449" width="2.54296875" style="148"/>
    <col min="9450" max="9450" width="4" style="148" customWidth="1"/>
    <col min="9451" max="9482" width="2.54296875" style="148"/>
    <col min="9483" max="9483" width="2.54296875" style="148" customWidth="1"/>
    <col min="9484" max="9705" width="2.54296875" style="148"/>
    <col min="9706" max="9706" width="4" style="148" customWidth="1"/>
    <col min="9707" max="9738" width="2.54296875" style="148"/>
    <col min="9739" max="9739" width="2.54296875" style="148" customWidth="1"/>
    <col min="9740" max="9961" width="2.54296875" style="148"/>
    <col min="9962" max="9962" width="4" style="148" customWidth="1"/>
    <col min="9963" max="9994" width="2.54296875" style="148"/>
    <col min="9995" max="9995" width="2.54296875" style="148" customWidth="1"/>
    <col min="9996" max="10217" width="2.54296875" style="148"/>
    <col min="10218" max="10218" width="4" style="148" customWidth="1"/>
    <col min="10219" max="10250" width="2.54296875" style="148"/>
    <col min="10251" max="10251" width="2.54296875" style="148" customWidth="1"/>
    <col min="10252" max="10473" width="2.54296875" style="148"/>
    <col min="10474" max="10474" width="4" style="148" customWidth="1"/>
    <col min="10475" max="10506" width="2.54296875" style="148"/>
    <col min="10507" max="10507" width="2.54296875" style="148" customWidth="1"/>
    <col min="10508" max="10729" width="2.54296875" style="148"/>
    <col min="10730" max="10730" width="4" style="148" customWidth="1"/>
    <col min="10731" max="10762" width="2.54296875" style="148"/>
    <col min="10763" max="10763" width="2.54296875" style="148" customWidth="1"/>
    <col min="10764" max="10985" width="2.54296875" style="148"/>
    <col min="10986" max="10986" width="4" style="148" customWidth="1"/>
    <col min="10987" max="11018" width="2.54296875" style="148"/>
    <col min="11019" max="11019" width="2.54296875" style="148" customWidth="1"/>
    <col min="11020" max="11241" width="2.54296875" style="148"/>
    <col min="11242" max="11242" width="4" style="148" customWidth="1"/>
    <col min="11243" max="11274" width="2.54296875" style="148"/>
    <col min="11275" max="11275" width="2.54296875" style="148" customWidth="1"/>
    <col min="11276" max="11497" width="2.54296875" style="148"/>
    <col min="11498" max="11498" width="4" style="148" customWidth="1"/>
    <col min="11499" max="11530" width="2.54296875" style="148"/>
    <col min="11531" max="11531" width="2.54296875" style="148" customWidth="1"/>
    <col min="11532" max="11753" width="2.54296875" style="148"/>
    <col min="11754" max="11754" width="4" style="148" customWidth="1"/>
    <col min="11755" max="11786" width="2.54296875" style="148"/>
    <col min="11787" max="11787" width="2.54296875" style="148" customWidth="1"/>
    <col min="11788" max="12009" width="2.54296875" style="148"/>
    <col min="12010" max="12010" width="4" style="148" customWidth="1"/>
    <col min="12011" max="12042" width="2.54296875" style="148"/>
    <col min="12043" max="12043" width="2.54296875" style="148" customWidth="1"/>
    <col min="12044" max="12265" width="2.54296875" style="148"/>
    <col min="12266" max="12266" width="4" style="148" customWidth="1"/>
    <col min="12267" max="12298" width="2.54296875" style="148"/>
    <col min="12299" max="12299" width="2.54296875" style="148" customWidth="1"/>
    <col min="12300" max="12521" width="2.54296875" style="148"/>
    <col min="12522" max="12522" width="4" style="148" customWidth="1"/>
    <col min="12523" max="12554" width="2.54296875" style="148"/>
    <col min="12555" max="12555" width="2.54296875" style="148" customWidth="1"/>
    <col min="12556" max="12777" width="2.54296875" style="148"/>
    <col min="12778" max="12778" width="4" style="148" customWidth="1"/>
    <col min="12779" max="12810" width="2.54296875" style="148"/>
    <col min="12811" max="12811" width="2.54296875" style="148" customWidth="1"/>
    <col min="12812" max="13033" width="2.54296875" style="148"/>
    <col min="13034" max="13034" width="4" style="148" customWidth="1"/>
    <col min="13035" max="13066" width="2.54296875" style="148"/>
    <col min="13067" max="13067" width="2.54296875" style="148" customWidth="1"/>
    <col min="13068" max="13289" width="2.54296875" style="148"/>
    <col min="13290" max="13290" width="4" style="148" customWidth="1"/>
    <col min="13291" max="13322" width="2.54296875" style="148"/>
    <col min="13323" max="13323" width="2.54296875" style="148" customWidth="1"/>
    <col min="13324" max="13545" width="2.54296875" style="148"/>
    <col min="13546" max="13546" width="4" style="148" customWidth="1"/>
    <col min="13547" max="13578" width="2.54296875" style="148"/>
    <col min="13579" max="13579" width="2.54296875" style="148" customWidth="1"/>
    <col min="13580" max="13801" width="2.54296875" style="148"/>
    <col min="13802" max="13802" width="4" style="148" customWidth="1"/>
    <col min="13803" max="13834" width="2.54296875" style="148"/>
    <col min="13835" max="13835" width="2.54296875" style="148" customWidth="1"/>
    <col min="13836" max="14057" width="2.54296875" style="148"/>
    <col min="14058" max="14058" width="4" style="148" customWidth="1"/>
    <col min="14059" max="14090" width="2.54296875" style="148"/>
    <col min="14091" max="14091" width="2.54296875" style="148" customWidth="1"/>
    <col min="14092" max="14313" width="2.54296875" style="148"/>
    <col min="14314" max="14314" width="4" style="148" customWidth="1"/>
    <col min="14315" max="14346" width="2.54296875" style="148"/>
    <col min="14347" max="14347" width="2.54296875" style="148" customWidth="1"/>
    <col min="14348" max="14569" width="2.54296875" style="148"/>
    <col min="14570" max="14570" width="4" style="148" customWidth="1"/>
    <col min="14571" max="14602" width="2.54296875" style="148"/>
    <col min="14603" max="14603" width="2.54296875" style="148" customWidth="1"/>
    <col min="14604" max="14825" width="2.54296875" style="148"/>
    <col min="14826" max="14826" width="4" style="148" customWidth="1"/>
    <col min="14827" max="14858" width="2.54296875" style="148"/>
    <col min="14859" max="14859" width="2.54296875" style="148" customWidth="1"/>
    <col min="14860" max="15081" width="2.54296875" style="148"/>
    <col min="15082" max="15082" width="4" style="148" customWidth="1"/>
    <col min="15083" max="15114" width="2.54296875" style="148"/>
    <col min="15115" max="15115" width="2.54296875" style="148" customWidth="1"/>
    <col min="15116" max="15337" width="2.54296875" style="148"/>
    <col min="15338" max="15338" width="4" style="148" customWidth="1"/>
    <col min="15339" max="15370" width="2.54296875" style="148"/>
    <col min="15371" max="15371" width="2.54296875" style="148" customWidth="1"/>
    <col min="15372" max="15593" width="2.54296875" style="148"/>
    <col min="15594" max="15594" width="4" style="148" customWidth="1"/>
    <col min="15595" max="15626" width="2.54296875" style="148"/>
    <col min="15627" max="15627" width="2.54296875" style="148" customWidth="1"/>
    <col min="15628" max="15849" width="2.54296875" style="148"/>
    <col min="15850" max="15850" width="4" style="148" customWidth="1"/>
    <col min="15851" max="15882" width="2.54296875" style="148"/>
    <col min="15883" max="15883" width="2.54296875" style="148" customWidth="1"/>
    <col min="15884" max="16105" width="2.54296875" style="148"/>
    <col min="16106" max="16106" width="4" style="148" customWidth="1"/>
    <col min="16107" max="16138" width="2.54296875" style="148"/>
    <col min="16139" max="16139" width="2.54296875" style="148" customWidth="1"/>
    <col min="16140" max="16384" width="2.54296875" style="148"/>
  </cols>
  <sheetData>
    <row r="1" spans="1:72" ht="12.75" customHeight="1">
      <c r="A1" s="346" t="s">
        <v>119</v>
      </c>
      <c r="B1" s="346"/>
      <c r="C1" s="346"/>
      <c r="D1" s="346"/>
      <c r="E1" s="346"/>
      <c r="F1" s="346"/>
      <c r="G1" s="346"/>
      <c r="H1" s="346"/>
      <c r="I1" s="346"/>
      <c r="J1" s="146"/>
      <c r="K1" s="146"/>
      <c r="L1" s="146"/>
      <c r="M1" s="146"/>
      <c r="N1" s="146"/>
      <c r="O1" s="146"/>
      <c r="P1" s="146"/>
      <c r="Q1" s="146"/>
      <c r="R1" s="146"/>
      <c r="S1" s="146"/>
      <c r="T1" s="146"/>
      <c r="U1" s="146"/>
      <c r="V1" s="146"/>
      <c r="W1" s="146"/>
      <c r="X1" s="146"/>
      <c r="Y1" s="146"/>
      <c r="Z1" s="146"/>
      <c r="AA1" s="146"/>
      <c r="AB1" s="146"/>
      <c r="AC1" s="146"/>
      <c r="AD1" s="146"/>
      <c r="AE1" s="146"/>
      <c r="AF1" s="146"/>
      <c r="AG1" s="146"/>
      <c r="AH1" s="146"/>
      <c r="AI1" s="146"/>
      <c r="AJ1" s="146"/>
      <c r="AK1" s="146"/>
      <c r="AL1" s="146"/>
      <c r="AM1" s="146"/>
      <c r="AN1" s="146"/>
      <c r="AO1" s="146"/>
      <c r="AP1" s="146"/>
      <c r="AQ1" s="146"/>
      <c r="AR1" s="146"/>
      <c r="AS1" s="146"/>
      <c r="AT1" s="146"/>
      <c r="AU1" s="146"/>
      <c r="AV1" s="146"/>
      <c r="AW1" s="146"/>
      <c r="AX1" s="146"/>
      <c r="AY1" s="146"/>
      <c r="AZ1" s="146"/>
      <c r="BA1" s="146"/>
      <c r="BB1" s="146"/>
      <c r="BC1" s="146"/>
      <c r="BD1" s="146"/>
      <c r="BE1" s="146"/>
      <c r="BF1" s="146"/>
      <c r="BG1" s="146"/>
      <c r="BH1" s="146"/>
      <c r="BI1" s="146"/>
      <c r="BJ1" s="146"/>
      <c r="BK1" s="146"/>
      <c r="BL1" s="146"/>
      <c r="BM1" s="146"/>
      <c r="BN1" s="146"/>
      <c r="BO1" s="146"/>
      <c r="BP1" s="146"/>
      <c r="BQ1" s="146"/>
      <c r="BR1" s="146"/>
      <c r="BS1" s="147"/>
      <c r="BT1" s="147"/>
    </row>
    <row r="2" spans="1:72" ht="12.75" customHeight="1">
      <c r="A2" s="347" t="s">
        <v>120</v>
      </c>
      <c r="B2" s="347"/>
      <c r="C2" s="347"/>
      <c r="D2" s="347"/>
      <c r="E2" s="347"/>
      <c r="F2" s="347"/>
      <c r="G2" s="347"/>
      <c r="H2" s="347"/>
      <c r="I2" s="347"/>
      <c r="J2" s="347"/>
      <c r="K2" s="347"/>
      <c r="L2" s="347"/>
      <c r="M2" s="347"/>
      <c r="N2" s="347"/>
      <c r="O2" s="347"/>
      <c r="P2" s="347"/>
      <c r="Q2" s="348"/>
      <c r="R2" s="348"/>
      <c r="S2" s="348"/>
      <c r="T2" s="348"/>
      <c r="U2" s="348"/>
      <c r="V2" s="348"/>
      <c r="W2" s="348"/>
      <c r="X2" s="348"/>
      <c r="Y2" s="348"/>
      <c r="Z2" s="348"/>
      <c r="AA2" s="348"/>
      <c r="AB2" s="348"/>
      <c r="AC2" s="348"/>
      <c r="AD2" s="348"/>
      <c r="AE2" s="348"/>
      <c r="AF2" s="348"/>
      <c r="AG2" s="348"/>
      <c r="AH2" s="348"/>
      <c r="AI2" s="348"/>
      <c r="AJ2" s="348"/>
      <c r="AK2" s="348"/>
      <c r="AL2" s="348"/>
      <c r="AM2" s="348"/>
      <c r="AN2" s="348"/>
      <c r="AO2" s="348"/>
      <c r="AP2" s="348"/>
      <c r="AQ2" s="348"/>
      <c r="AR2" s="348"/>
      <c r="AS2" s="348"/>
      <c r="AT2" s="348"/>
      <c r="AU2" s="348"/>
      <c r="AV2" s="348"/>
      <c r="AW2" s="348"/>
      <c r="AX2" s="348"/>
      <c r="AY2" s="348"/>
      <c r="AZ2" s="348"/>
      <c r="BA2" s="348"/>
      <c r="BB2" s="348"/>
      <c r="BC2" s="348"/>
      <c r="BD2" s="348"/>
      <c r="BE2" s="348"/>
      <c r="BF2" s="348"/>
      <c r="BG2" s="348"/>
      <c r="BH2" s="348"/>
      <c r="BI2" s="348"/>
      <c r="BJ2" s="348"/>
      <c r="BK2" s="348"/>
      <c r="BL2" s="348"/>
      <c r="BM2" s="348"/>
      <c r="BN2" s="348"/>
      <c r="BO2" s="348"/>
      <c r="BP2" s="348"/>
      <c r="BQ2" s="348"/>
      <c r="BR2" s="348"/>
      <c r="BS2" s="348"/>
      <c r="BT2" s="348"/>
    </row>
    <row r="3" spans="1:72" ht="27.75" customHeight="1">
      <c r="A3" s="345" t="s">
        <v>121</v>
      </c>
      <c r="B3" s="349"/>
      <c r="C3" s="349" t="s">
        <v>122</v>
      </c>
      <c r="D3" s="349"/>
      <c r="E3" s="349"/>
      <c r="F3" s="349"/>
      <c r="G3" s="349"/>
      <c r="H3" s="349"/>
      <c r="I3" s="349"/>
      <c r="J3" s="349"/>
      <c r="K3" s="349"/>
      <c r="L3" s="349"/>
      <c r="M3" s="349"/>
      <c r="N3" s="349"/>
      <c r="O3" s="349"/>
      <c r="P3" s="349"/>
      <c r="Q3" s="322" t="s">
        <v>123</v>
      </c>
      <c r="R3" s="323"/>
      <c r="S3" s="323"/>
      <c r="T3" s="323"/>
      <c r="U3" s="323"/>
      <c r="V3" s="323"/>
      <c r="W3" s="323"/>
      <c r="X3" s="323"/>
      <c r="Y3" s="323"/>
      <c r="Z3" s="323"/>
      <c r="AA3" s="324"/>
      <c r="AB3" s="322" t="s">
        <v>249</v>
      </c>
      <c r="AC3" s="323"/>
      <c r="AD3" s="323"/>
      <c r="AE3" s="323"/>
      <c r="AF3" s="323"/>
      <c r="AG3" s="323"/>
      <c r="AH3" s="323"/>
      <c r="AI3" s="323"/>
      <c r="AJ3" s="323"/>
      <c r="AK3" s="323"/>
      <c r="AL3" s="345" t="s">
        <v>124</v>
      </c>
      <c r="AM3" s="345"/>
      <c r="AN3" s="345"/>
      <c r="AO3" s="345"/>
      <c r="AP3" s="345"/>
      <c r="AQ3" s="345"/>
      <c r="AR3" s="345"/>
      <c r="AS3" s="345"/>
      <c r="AT3" s="345"/>
      <c r="AU3" s="345"/>
      <c r="AV3" s="345"/>
      <c r="AW3" s="345"/>
      <c r="AX3" s="345"/>
      <c r="AY3" s="345"/>
      <c r="AZ3" s="345"/>
      <c r="BA3" s="345"/>
      <c r="BB3" s="345"/>
      <c r="BC3" s="345"/>
      <c r="BD3" s="345"/>
      <c r="BE3" s="345"/>
      <c r="BF3" s="345"/>
      <c r="BG3" s="345"/>
      <c r="BH3" s="345"/>
      <c r="BI3" s="345"/>
      <c r="BJ3" s="345"/>
      <c r="BK3" s="345"/>
      <c r="BL3" s="345"/>
      <c r="BM3" s="345"/>
      <c r="BN3" s="345"/>
      <c r="BO3" s="345"/>
      <c r="BP3" s="345"/>
      <c r="BQ3" s="345"/>
      <c r="BR3" s="345"/>
      <c r="BS3" s="345"/>
      <c r="BT3" s="345"/>
    </row>
    <row r="4" spans="1:72" ht="27.75" customHeight="1">
      <c r="A4" s="349"/>
      <c r="B4" s="349"/>
      <c r="C4" s="350" t="s">
        <v>125</v>
      </c>
      <c r="D4" s="350"/>
      <c r="E4" s="350"/>
      <c r="F4" s="350"/>
      <c r="G4" s="350"/>
      <c r="H4" s="350"/>
      <c r="I4" s="350"/>
      <c r="J4" s="350" t="s">
        <v>126</v>
      </c>
      <c r="K4" s="350"/>
      <c r="L4" s="350"/>
      <c r="M4" s="350"/>
      <c r="N4" s="350"/>
      <c r="O4" s="350"/>
      <c r="P4" s="350"/>
      <c r="Q4" s="325"/>
      <c r="R4" s="326"/>
      <c r="S4" s="326"/>
      <c r="T4" s="326"/>
      <c r="U4" s="326"/>
      <c r="V4" s="326"/>
      <c r="W4" s="326"/>
      <c r="X4" s="326"/>
      <c r="Y4" s="326"/>
      <c r="Z4" s="326"/>
      <c r="AA4" s="327"/>
      <c r="AB4" s="325"/>
      <c r="AC4" s="326"/>
      <c r="AD4" s="326"/>
      <c r="AE4" s="326"/>
      <c r="AF4" s="326"/>
      <c r="AG4" s="326"/>
      <c r="AH4" s="326"/>
      <c r="AI4" s="326"/>
      <c r="AJ4" s="326"/>
      <c r="AK4" s="326"/>
      <c r="AL4" s="345"/>
      <c r="AM4" s="345"/>
      <c r="AN4" s="345"/>
      <c r="AO4" s="345"/>
      <c r="AP4" s="345"/>
      <c r="AQ4" s="345"/>
      <c r="AR4" s="345"/>
      <c r="AS4" s="345"/>
      <c r="AT4" s="345"/>
      <c r="AU4" s="345"/>
      <c r="AV4" s="345"/>
      <c r="AW4" s="345"/>
      <c r="AX4" s="345"/>
      <c r="AY4" s="345"/>
      <c r="AZ4" s="345"/>
      <c r="BA4" s="345"/>
      <c r="BB4" s="345"/>
      <c r="BC4" s="345"/>
      <c r="BD4" s="345"/>
      <c r="BE4" s="345"/>
      <c r="BF4" s="345"/>
      <c r="BG4" s="345"/>
      <c r="BH4" s="345"/>
      <c r="BI4" s="345"/>
      <c r="BJ4" s="345"/>
      <c r="BK4" s="345"/>
      <c r="BL4" s="345"/>
      <c r="BM4" s="345"/>
      <c r="BN4" s="345"/>
      <c r="BO4" s="345"/>
      <c r="BP4" s="345"/>
      <c r="BQ4" s="345"/>
      <c r="BR4" s="345"/>
      <c r="BS4" s="345"/>
      <c r="BT4" s="345"/>
    </row>
    <row r="5" spans="1:72">
      <c r="A5" s="335" t="s">
        <v>127</v>
      </c>
      <c r="B5" s="336"/>
      <c r="C5" s="277" t="s">
        <v>128</v>
      </c>
      <c r="D5" s="278"/>
      <c r="E5" s="278"/>
      <c r="F5" s="278"/>
      <c r="G5" s="278"/>
      <c r="H5" s="278"/>
      <c r="I5" s="279"/>
      <c r="J5" s="274"/>
      <c r="K5" s="275"/>
      <c r="L5" s="275"/>
      <c r="M5" s="275"/>
      <c r="N5" s="275"/>
      <c r="O5" s="275"/>
      <c r="P5" s="276"/>
      <c r="Q5" s="337"/>
      <c r="R5" s="333"/>
      <c r="S5" s="333"/>
      <c r="T5" s="333"/>
      <c r="U5" s="333"/>
      <c r="V5" s="333"/>
      <c r="W5" s="333"/>
      <c r="X5" s="333"/>
      <c r="Y5" s="333"/>
      <c r="Z5" s="333"/>
      <c r="AA5" s="338"/>
      <c r="AB5" s="337"/>
      <c r="AC5" s="333"/>
      <c r="AD5" s="333"/>
      <c r="AE5" s="333"/>
      <c r="AF5" s="333"/>
      <c r="AG5" s="333"/>
      <c r="AH5" s="333"/>
      <c r="AI5" s="333"/>
      <c r="AJ5" s="333"/>
      <c r="AK5" s="333"/>
      <c r="AL5" s="332"/>
      <c r="AM5" s="333"/>
      <c r="AN5" s="333"/>
      <c r="AO5" s="333"/>
      <c r="AP5" s="333"/>
      <c r="AQ5" s="333"/>
      <c r="AR5" s="333"/>
      <c r="AS5" s="333"/>
      <c r="AT5" s="333"/>
      <c r="AU5" s="333"/>
      <c r="AV5" s="333"/>
      <c r="AW5" s="333"/>
      <c r="AX5" s="333"/>
      <c r="AY5" s="333"/>
      <c r="AZ5" s="333"/>
      <c r="BA5" s="333"/>
      <c r="BB5" s="333"/>
      <c r="BC5" s="333"/>
      <c r="BD5" s="333"/>
      <c r="BE5" s="333"/>
      <c r="BF5" s="333"/>
      <c r="BG5" s="333"/>
      <c r="BH5" s="333"/>
      <c r="BI5" s="333"/>
      <c r="BJ5" s="333"/>
      <c r="BK5" s="333"/>
      <c r="BL5" s="333"/>
      <c r="BM5" s="333"/>
      <c r="BN5" s="333"/>
      <c r="BO5" s="333"/>
      <c r="BP5" s="333"/>
      <c r="BQ5" s="333"/>
      <c r="BR5" s="333"/>
      <c r="BS5" s="333"/>
      <c r="BT5" s="334"/>
    </row>
    <row r="6" spans="1:72">
      <c r="A6" s="335" t="s">
        <v>129</v>
      </c>
      <c r="B6" s="336"/>
      <c r="C6" s="277"/>
      <c r="D6" s="278"/>
      <c r="E6" s="278"/>
      <c r="F6" s="278"/>
      <c r="G6" s="278"/>
      <c r="H6" s="278"/>
      <c r="I6" s="279"/>
      <c r="J6" s="274" t="s">
        <v>130</v>
      </c>
      <c r="K6" s="275"/>
      <c r="L6" s="275"/>
      <c r="M6" s="275"/>
      <c r="N6" s="275"/>
      <c r="O6" s="275"/>
      <c r="P6" s="276"/>
      <c r="Q6" s="337" t="s">
        <v>102</v>
      </c>
      <c r="R6" s="333"/>
      <c r="S6" s="333"/>
      <c r="T6" s="333"/>
      <c r="U6" s="333"/>
      <c r="V6" s="333"/>
      <c r="W6" s="333"/>
      <c r="X6" s="333"/>
      <c r="Y6" s="333"/>
      <c r="Z6" s="333"/>
      <c r="AA6" s="338"/>
      <c r="AB6" s="337"/>
      <c r="AC6" s="333"/>
      <c r="AD6" s="333"/>
      <c r="AE6" s="333"/>
      <c r="AF6" s="333"/>
      <c r="AG6" s="333"/>
      <c r="AH6" s="333"/>
      <c r="AI6" s="333"/>
      <c r="AJ6" s="333"/>
      <c r="AK6" s="333"/>
      <c r="AL6" s="332"/>
      <c r="AM6" s="333"/>
      <c r="AN6" s="333"/>
      <c r="AO6" s="333"/>
      <c r="AP6" s="333"/>
      <c r="AQ6" s="333"/>
      <c r="AR6" s="333"/>
      <c r="AS6" s="333"/>
      <c r="AT6" s="333"/>
      <c r="AU6" s="333"/>
      <c r="AV6" s="333"/>
      <c r="AW6" s="333"/>
      <c r="AX6" s="333"/>
      <c r="AY6" s="333"/>
      <c r="AZ6" s="333"/>
      <c r="BA6" s="333"/>
      <c r="BB6" s="333"/>
      <c r="BC6" s="333"/>
      <c r="BD6" s="333"/>
      <c r="BE6" s="333"/>
      <c r="BF6" s="333"/>
      <c r="BG6" s="333"/>
      <c r="BH6" s="333"/>
      <c r="BI6" s="333"/>
      <c r="BJ6" s="333"/>
      <c r="BK6" s="333"/>
      <c r="BL6" s="333"/>
      <c r="BM6" s="333"/>
      <c r="BN6" s="333"/>
      <c r="BO6" s="333"/>
      <c r="BP6" s="333"/>
      <c r="BQ6" s="333"/>
      <c r="BR6" s="333"/>
      <c r="BS6" s="333"/>
      <c r="BT6" s="334"/>
    </row>
    <row r="7" spans="1:72" ht="15.75" customHeight="1">
      <c r="A7" s="310">
        <v>2</v>
      </c>
      <c r="B7" s="339"/>
      <c r="C7" s="285" t="s">
        <v>244</v>
      </c>
      <c r="D7" s="286"/>
      <c r="E7" s="286"/>
      <c r="F7" s="286"/>
      <c r="G7" s="286"/>
      <c r="H7" s="286"/>
      <c r="I7" s="287"/>
      <c r="J7" s="157"/>
      <c r="K7" s="340"/>
      <c r="L7" s="340"/>
      <c r="M7" s="340"/>
      <c r="N7" s="340"/>
      <c r="O7" s="340"/>
      <c r="P7" s="341"/>
      <c r="Q7" s="337"/>
      <c r="R7" s="333"/>
      <c r="S7" s="333"/>
      <c r="T7" s="333"/>
      <c r="U7" s="333"/>
      <c r="V7" s="333"/>
      <c r="W7" s="333"/>
      <c r="X7" s="333"/>
      <c r="Y7" s="333"/>
      <c r="Z7" s="333"/>
      <c r="AA7" s="338"/>
      <c r="AB7" s="337"/>
      <c r="AC7" s="333"/>
      <c r="AD7" s="333"/>
      <c r="AE7" s="333"/>
      <c r="AF7" s="333"/>
      <c r="AG7" s="333"/>
      <c r="AH7" s="333"/>
      <c r="AI7" s="333"/>
      <c r="AJ7" s="333"/>
      <c r="AK7" s="333"/>
      <c r="AL7" s="332"/>
      <c r="AM7" s="333"/>
      <c r="AN7" s="333"/>
      <c r="AO7" s="333"/>
      <c r="AP7" s="333"/>
      <c r="AQ7" s="333"/>
      <c r="AR7" s="333"/>
      <c r="AS7" s="333"/>
      <c r="AT7" s="333"/>
      <c r="AU7" s="333"/>
      <c r="AV7" s="333"/>
      <c r="AW7" s="333"/>
      <c r="AX7" s="333"/>
      <c r="AY7" s="333"/>
      <c r="AZ7" s="333"/>
      <c r="BA7" s="333"/>
      <c r="BB7" s="333"/>
      <c r="BC7" s="333"/>
      <c r="BD7" s="333"/>
      <c r="BE7" s="333"/>
      <c r="BF7" s="333"/>
      <c r="BG7" s="333"/>
      <c r="BH7" s="333"/>
      <c r="BI7" s="333"/>
      <c r="BJ7" s="333"/>
      <c r="BK7" s="333"/>
      <c r="BL7" s="333"/>
      <c r="BM7" s="333"/>
      <c r="BN7" s="333"/>
      <c r="BO7" s="333"/>
      <c r="BP7" s="333"/>
      <c r="BQ7" s="333"/>
      <c r="BR7" s="333"/>
      <c r="BS7" s="333"/>
      <c r="BT7" s="334"/>
    </row>
    <row r="8" spans="1:72" ht="15.75" customHeight="1">
      <c r="A8" s="335" t="s">
        <v>245</v>
      </c>
      <c r="B8" s="336"/>
      <c r="C8" s="149"/>
      <c r="D8" s="150"/>
      <c r="E8" s="150"/>
      <c r="F8" s="150"/>
      <c r="G8" s="150"/>
      <c r="H8" s="150"/>
      <c r="I8" s="151"/>
      <c r="J8" s="285" t="s">
        <v>247</v>
      </c>
      <c r="K8" s="286"/>
      <c r="L8" s="286"/>
      <c r="M8" s="286"/>
      <c r="N8" s="286"/>
      <c r="O8" s="286"/>
      <c r="P8" s="287"/>
      <c r="Q8" s="330" t="s">
        <v>44</v>
      </c>
      <c r="R8" s="331"/>
      <c r="S8" s="331"/>
      <c r="T8" s="331"/>
      <c r="U8" s="331"/>
      <c r="V8" s="331"/>
      <c r="W8" s="331"/>
      <c r="X8" s="331"/>
      <c r="Y8" s="331"/>
      <c r="Z8" s="331"/>
      <c r="AA8" s="154"/>
      <c r="AB8" s="330"/>
      <c r="AC8" s="331"/>
      <c r="AD8" s="331"/>
      <c r="AE8" s="331"/>
      <c r="AF8" s="331"/>
      <c r="AG8" s="331"/>
      <c r="AH8" s="331"/>
      <c r="AI8" s="331"/>
      <c r="AJ8" s="331"/>
      <c r="AK8" s="331"/>
      <c r="AL8" s="332"/>
      <c r="AM8" s="333"/>
      <c r="AN8" s="333"/>
      <c r="AO8" s="333"/>
      <c r="AP8" s="333"/>
      <c r="AQ8" s="333"/>
      <c r="AR8" s="333"/>
      <c r="AS8" s="333"/>
      <c r="AT8" s="333"/>
      <c r="AU8" s="333"/>
      <c r="AV8" s="333"/>
      <c r="AW8" s="333"/>
      <c r="AX8" s="333"/>
      <c r="AY8" s="333"/>
      <c r="AZ8" s="333"/>
      <c r="BA8" s="333"/>
      <c r="BB8" s="333"/>
      <c r="BC8" s="333"/>
      <c r="BD8" s="333"/>
      <c r="BE8" s="333"/>
      <c r="BF8" s="333"/>
      <c r="BG8" s="333"/>
      <c r="BH8" s="333"/>
      <c r="BI8" s="333"/>
      <c r="BJ8" s="333"/>
      <c r="BK8" s="333"/>
      <c r="BL8" s="333"/>
      <c r="BM8" s="333"/>
      <c r="BN8" s="333"/>
      <c r="BO8" s="333"/>
      <c r="BP8" s="333"/>
      <c r="BQ8" s="333"/>
      <c r="BR8" s="333"/>
      <c r="BS8" s="333"/>
      <c r="BT8" s="334"/>
    </row>
    <row r="9" spans="1:72" ht="15.75" customHeight="1">
      <c r="A9" s="335" t="s">
        <v>246</v>
      </c>
      <c r="B9" s="336"/>
      <c r="C9" s="149"/>
      <c r="D9" s="150"/>
      <c r="E9" s="150"/>
      <c r="F9" s="150"/>
      <c r="G9" s="150"/>
      <c r="H9" s="150"/>
      <c r="I9" s="151"/>
      <c r="J9" s="285" t="s">
        <v>248</v>
      </c>
      <c r="K9" s="286"/>
      <c r="L9" s="286"/>
      <c r="M9" s="286"/>
      <c r="N9" s="286"/>
      <c r="O9" s="286"/>
      <c r="P9" s="287"/>
      <c r="Q9" s="330" t="s">
        <v>44</v>
      </c>
      <c r="R9" s="331"/>
      <c r="S9" s="331"/>
      <c r="T9" s="331"/>
      <c r="U9" s="331"/>
      <c r="V9" s="331"/>
      <c r="W9" s="331"/>
      <c r="X9" s="331"/>
      <c r="Y9" s="331"/>
      <c r="Z9" s="331"/>
      <c r="AA9" s="154"/>
      <c r="AB9" s="330"/>
      <c r="AC9" s="331"/>
      <c r="AD9" s="331"/>
      <c r="AE9" s="331"/>
      <c r="AF9" s="331"/>
      <c r="AG9" s="331"/>
      <c r="AH9" s="331"/>
      <c r="AI9" s="331"/>
      <c r="AJ9" s="331"/>
      <c r="AK9" s="331"/>
      <c r="AL9" s="332"/>
      <c r="AM9" s="333"/>
      <c r="AN9" s="333"/>
      <c r="AO9" s="333"/>
      <c r="AP9" s="333"/>
      <c r="AQ9" s="333"/>
      <c r="AR9" s="333"/>
      <c r="AS9" s="333"/>
      <c r="AT9" s="333"/>
      <c r="AU9" s="333"/>
      <c r="AV9" s="333"/>
      <c r="AW9" s="333"/>
      <c r="AX9" s="333"/>
      <c r="AY9" s="333"/>
      <c r="AZ9" s="333"/>
      <c r="BA9" s="333"/>
      <c r="BB9" s="333"/>
      <c r="BC9" s="333"/>
      <c r="BD9" s="333"/>
      <c r="BE9" s="333"/>
      <c r="BF9" s="333"/>
      <c r="BG9" s="333"/>
      <c r="BH9" s="333"/>
      <c r="BI9" s="333"/>
      <c r="BJ9" s="333"/>
      <c r="BK9" s="333"/>
      <c r="BL9" s="333"/>
      <c r="BM9" s="333"/>
      <c r="BN9" s="333"/>
      <c r="BO9" s="333"/>
      <c r="BP9" s="333"/>
      <c r="BQ9" s="333"/>
      <c r="BR9" s="333"/>
      <c r="BS9" s="333"/>
      <c r="BT9" s="334"/>
    </row>
    <row r="10" spans="1:72" ht="15.75" customHeight="1">
      <c r="A10" s="310">
        <v>3</v>
      </c>
      <c r="B10" s="339"/>
      <c r="C10" s="285" t="s">
        <v>132</v>
      </c>
      <c r="D10" s="286"/>
      <c r="E10" s="286"/>
      <c r="F10" s="286"/>
      <c r="G10" s="286"/>
      <c r="H10" s="286"/>
      <c r="I10" s="287"/>
      <c r="J10" s="157"/>
      <c r="K10" s="340"/>
      <c r="L10" s="340"/>
      <c r="M10" s="340"/>
      <c r="N10" s="340"/>
      <c r="O10" s="340"/>
      <c r="P10" s="341"/>
      <c r="Q10" s="337"/>
      <c r="R10" s="333"/>
      <c r="S10" s="333"/>
      <c r="T10" s="333"/>
      <c r="U10" s="333"/>
      <c r="V10" s="333"/>
      <c r="W10" s="333"/>
      <c r="X10" s="333"/>
      <c r="Y10" s="333"/>
      <c r="Z10" s="333"/>
      <c r="AA10" s="338"/>
      <c r="AB10" s="337"/>
      <c r="AC10" s="333"/>
      <c r="AD10" s="333"/>
      <c r="AE10" s="333"/>
      <c r="AF10" s="333"/>
      <c r="AG10" s="333"/>
      <c r="AH10" s="333"/>
      <c r="AI10" s="333"/>
      <c r="AJ10" s="333"/>
      <c r="AK10" s="333"/>
      <c r="AL10" s="332" t="s">
        <v>133</v>
      </c>
      <c r="AM10" s="333"/>
      <c r="AN10" s="333"/>
      <c r="AO10" s="333"/>
      <c r="AP10" s="333"/>
      <c r="AQ10" s="333"/>
      <c r="AR10" s="333"/>
      <c r="AS10" s="333"/>
      <c r="AT10" s="333"/>
      <c r="AU10" s="333"/>
      <c r="AV10" s="333"/>
      <c r="AW10" s="333"/>
      <c r="AX10" s="333"/>
      <c r="AY10" s="333"/>
      <c r="AZ10" s="333"/>
      <c r="BA10" s="333"/>
      <c r="BB10" s="333"/>
      <c r="BC10" s="333"/>
      <c r="BD10" s="333"/>
      <c r="BE10" s="333"/>
      <c r="BF10" s="333"/>
      <c r="BG10" s="333"/>
      <c r="BH10" s="333"/>
      <c r="BI10" s="333"/>
      <c r="BJ10" s="333"/>
      <c r="BK10" s="333"/>
      <c r="BL10" s="333"/>
      <c r="BM10" s="333"/>
      <c r="BN10" s="333"/>
      <c r="BO10" s="333"/>
      <c r="BP10" s="333"/>
      <c r="BQ10" s="333"/>
      <c r="BR10" s="333"/>
      <c r="BS10" s="333"/>
      <c r="BT10" s="334"/>
    </row>
    <row r="11" spans="1:72" ht="15.75" customHeight="1">
      <c r="A11" s="335" t="s">
        <v>134</v>
      </c>
      <c r="B11" s="336"/>
      <c r="C11" s="149"/>
      <c r="D11" s="150"/>
      <c r="E11" s="150"/>
      <c r="F11" s="150"/>
      <c r="G11" s="150"/>
      <c r="H11" s="150"/>
      <c r="I11" s="151"/>
      <c r="J11" s="285" t="s">
        <v>135</v>
      </c>
      <c r="K11" s="286"/>
      <c r="L11" s="286"/>
      <c r="M11" s="286"/>
      <c r="N11" s="286"/>
      <c r="O11" s="286"/>
      <c r="P11" s="287"/>
      <c r="Q11" s="330" t="s">
        <v>102</v>
      </c>
      <c r="R11" s="331"/>
      <c r="S11" s="331"/>
      <c r="T11" s="331"/>
      <c r="U11" s="331"/>
      <c r="V11" s="331"/>
      <c r="W11" s="331"/>
      <c r="X11" s="331"/>
      <c r="Y11" s="331"/>
      <c r="Z11" s="331"/>
      <c r="AA11" s="154"/>
      <c r="AB11" s="330"/>
      <c r="AC11" s="331"/>
      <c r="AD11" s="331"/>
      <c r="AE11" s="331"/>
      <c r="AF11" s="331"/>
      <c r="AG11" s="331"/>
      <c r="AH11" s="331"/>
      <c r="AI11" s="331"/>
      <c r="AJ11" s="331"/>
      <c r="AK11" s="331"/>
      <c r="AL11" s="332" t="s">
        <v>136</v>
      </c>
      <c r="AM11" s="333"/>
      <c r="AN11" s="333"/>
      <c r="AO11" s="333"/>
      <c r="AP11" s="333"/>
      <c r="AQ11" s="333"/>
      <c r="AR11" s="333"/>
      <c r="AS11" s="333"/>
      <c r="AT11" s="333"/>
      <c r="AU11" s="333"/>
      <c r="AV11" s="333"/>
      <c r="AW11" s="333"/>
      <c r="AX11" s="333"/>
      <c r="AY11" s="333"/>
      <c r="AZ11" s="333"/>
      <c r="BA11" s="333"/>
      <c r="BB11" s="333"/>
      <c r="BC11" s="333"/>
      <c r="BD11" s="333"/>
      <c r="BE11" s="333"/>
      <c r="BF11" s="333"/>
      <c r="BG11" s="333"/>
      <c r="BH11" s="333"/>
      <c r="BI11" s="333"/>
      <c r="BJ11" s="333"/>
      <c r="BK11" s="333"/>
      <c r="BL11" s="333"/>
      <c r="BM11" s="333"/>
      <c r="BN11" s="333"/>
      <c r="BO11" s="333"/>
      <c r="BP11" s="333"/>
      <c r="BQ11" s="333"/>
      <c r="BR11" s="333"/>
      <c r="BS11" s="333"/>
      <c r="BT11" s="334"/>
    </row>
    <row r="12" spans="1:72" ht="15.75" customHeight="1">
      <c r="A12" s="335" t="s">
        <v>137</v>
      </c>
      <c r="B12" s="336"/>
      <c r="C12" s="149"/>
      <c r="D12" s="150"/>
      <c r="E12" s="150"/>
      <c r="F12" s="150"/>
      <c r="G12" s="150"/>
      <c r="H12" s="150"/>
      <c r="I12" s="151"/>
      <c r="J12" s="285" t="s">
        <v>138</v>
      </c>
      <c r="K12" s="286"/>
      <c r="L12" s="286"/>
      <c r="M12" s="286"/>
      <c r="N12" s="286"/>
      <c r="O12" s="286"/>
      <c r="P12" s="287"/>
      <c r="Q12" s="330" t="s">
        <v>102</v>
      </c>
      <c r="R12" s="331"/>
      <c r="S12" s="331"/>
      <c r="T12" s="331"/>
      <c r="U12" s="331"/>
      <c r="V12" s="331"/>
      <c r="W12" s="331"/>
      <c r="X12" s="331"/>
      <c r="Y12" s="331"/>
      <c r="Z12" s="331"/>
      <c r="AA12" s="154"/>
      <c r="AB12" s="330"/>
      <c r="AC12" s="331"/>
      <c r="AD12" s="331"/>
      <c r="AE12" s="331"/>
      <c r="AF12" s="331"/>
      <c r="AG12" s="331"/>
      <c r="AH12" s="331"/>
      <c r="AI12" s="331"/>
      <c r="AJ12" s="331"/>
      <c r="AK12" s="331"/>
      <c r="AL12" s="332" t="s">
        <v>139</v>
      </c>
      <c r="AM12" s="333"/>
      <c r="AN12" s="333"/>
      <c r="AO12" s="333"/>
      <c r="AP12" s="333"/>
      <c r="AQ12" s="333"/>
      <c r="AR12" s="333"/>
      <c r="AS12" s="333"/>
      <c r="AT12" s="333"/>
      <c r="AU12" s="333"/>
      <c r="AV12" s="333"/>
      <c r="AW12" s="333"/>
      <c r="AX12" s="333"/>
      <c r="AY12" s="333"/>
      <c r="AZ12" s="333"/>
      <c r="BA12" s="333"/>
      <c r="BB12" s="333"/>
      <c r="BC12" s="333"/>
      <c r="BD12" s="333"/>
      <c r="BE12" s="333"/>
      <c r="BF12" s="333"/>
      <c r="BG12" s="333"/>
      <c r="BH12" s="333"/>
      <c r="BI12" s="333"/>
      <c r="BJ12" s="333"/>
      <c r="BK12" s="333"/>
      <c r="BL12" s="333"/>
      <c r="BM12" s="333"/>
      <c r="BN12" s="333"/>
      <c r="BO12" s="333"/>
      <c r="BP12" s="333"/>
      <c r="BQ12" s="333"/>
      <c r="BR12" s="333"/>
      <c r="BS12" s="333"/>
      <c r="BT12" s="334"/>
    </row>
    <row r="13" spans="1:72" ht="96" customHeight="1">
      <c r="A13" s="335" t="s">
        <v>140</v>
      </c>
      <c r="B13" s="336"/>
      <c r="C13" s="149"/>
      <c r="D13" s="150"/>
      <c r="E13" s="150"/>
      <c r="F13" s="150"/>
      <c r="G13" s="150"/>
      <c r="H13" s="150"/>
      <c r="I13" s="151"/>
      <c r="J13" s="285" t="s">
        <v>141</v>
      </c>
      <c r="K13" s="286"/>
      <c r="L13" s="286"/>
      <c r="M13" s="286"/>
      <c r="N13" s="286"/>
      <c r="O13" s="286"/>
      <c r="P13" s="287"/>
      <c r="Q13" s="152"/>
      <c r="R13" s="153"/>
      <c r="S13" s="153"/>
      <c r="T13" s="153"/>
      <c r="U13" s="153"/>
      <c r="V13" s="153"/>
      <c r="W13" s="153"/>
      <c r="X13" s="153"/>
      <c r="Y13" s="153"/>
      <c r="Z13" s="153"/>
      <c r="AA13" s="154"/>
      <c r="AB13" s="337"/>
      <c r="AC13" s="333"/>
      <c r="AD13" s="333"/>
      <c r="AE13" s="333"/>
      <c r="AF13" s="333"/>
      <c r="AG13" s="333"/>
      <c r="AH13" s="333"/>
      <c r="AI13" s="333"/>
      <c r="AJ13" s="333"/>
      <c r="AK13" s="333"/>
      <c r="AL13" s="332" t="s">
        <v>142</v>
      </c>
      <c r="AM13" s="333"/>
      <c r="AN13" s="333"/>
      <c r="AO13" s="333"/>
      <c r="AP13" s="333"/>
      <c r="AQ13" s="333"/>
      <c r="AR13" s="333"/>
      <c r="AS13" s="333"/>
      <c r="AT13" s="333"/>
      <c r="AU13" s="333"/>
      <c r="AV13" s="333"/>
      <c r="AW13" s="333"/>
      <c r="AX13" s="333"/>
      <c r="AY13" s="333"/>
      <c r="AZ13" s="333"/>
      <c r="BA13" s="333"/>
      <c r="BB13" s="333"/>
      <c r="BC13" s="333"/>
      <c r="BD13" s="333"/>
      <c r="BE13" s="333"/>
      <c r="BF13" s="333"/>
      <c r="BG13" s="333"/>
      <c r="BH13" s="333"/>
      <c r="BI13" s="333"/>
      <c r="BJ13" s="333"/>
      <c r="BK13" s="333"/>
      <c r="BL13" s="333"/>
      <c r="BM13" s="333"/>
      <c r="BN13" s="333"/>
      <c r="BO13" s="333"/>
      <c r="BP13" s="333"/>
      <c r="BQ13" s="333"/>
      <c r="BR13" s="333"/>
      <c r="BS13" s="333"/>
      <c r="BT13" s="334"/>
    </row>
    <row r="14" spans="1:72" ht="25" customHeight="1">
      <c r="A14" s="335" t="s">
        <v>143</v>
      </c>
      <c r="B14" s="336"/>
      <c r="C14" s="149"/>
      <c r="D14" s="150"/>
      <c r="E14" s="150"/>
      <c r="F14" s="150"/>
      <c r="G14" s="150"/>
      <c r="H14" s="150"/>
      <c r="I14" s="151"/>
      <c r="J14" s="285" t="s">
        <v>255</v>
      </c>
      <c r="K14" s="286"/>
      <c r="L14" s="286"/>
      <c r="M14" s="286"/>
      <c r="N14" s="286"/>
      <c r="O14" s="286"/>
      <c r="P14" s="287"/>
      <c r="Q14" s="152"/>
      <c r="R14" s="153"/>
      <c r="S14" s="153"/>
      <c r="T14" s="153"/>
      <c r="U14" s="153"/>
      <c r="V14" s="153"/>
      <c r="W14" s="153"/>
      <c r="X14" s="153"/>
      <c r="Y14" s="153"/>
      <c r="Z14" s="153"/>
      <c r="AA14" s="154"/>
      <c r="AB14" s="337"/>
      <c r="AC14" s="333"/>
      <c r="AD14" s="333"/>
      <c r="AE14" s="333"/>
      <c r="AF14" s="333"/>
      <c r="AG14" s="333"/>
      <c r="AH14" s="333"/>
      <c r="AI14" s="333"/>
      <c r="AJ14" s="333"/>
      <c r="AK14" s="333"/>
      <c r="AL14" s="155"/>
      <c r="AM14" s="153"/>
      <c r="AN14" s="153"/>
      <c r="AO14" s="153"/>
      <c r="AP14" s="153"/>
      <c r="AQ14" s="153"/>
      <c r="AR14" s="153"/>
      <c r="AS14" s="153"/>
      <c r="AT14" s="153"/>
      <c r="AU14" s="153"/>
      <c r="AV14" s="153"/>
      <c r="AW14" s="153"/>
      <c r="AX14" s="153"/>
      <c r="AY14" s="153"/>
      <c r="AZ14" s="153"/>
      <c r="BA14" s="153"/>
      <c r="BB14" s="153"/>
      <c r="BC14" s="153"/>
      <c r="BD14" s="153"/>
      <c r="BE14" s="153"/>
      <c r="BF14" s="153"/>
      <c r="BG14" s="153"/>
      <c r="BH14" s="153"/>
      <c r="BI14" s="153"/>
      <c r="BJ14" s="153"/>
      <c r="BK14" s="153"/>
      <c r="BL14" s="153"/>
      <c r="BM14" s="153"/>
      <c r="BN14" s="153"/>
      <c r="BO14" s="153"/>
      <c r="BP14" s="153"/>
      <c r="BQ14" s="153"/>
      <c r="BR14" s="153"/>
      <c r="BS14" s="153"/>
      <c r="BT14" s="156"/>
    </row>
    <row r="15" spans="1:72" ht="26.5" customHeight="1">
      <c r="A15" s="335" t="s">
        <v>145</v>
      </c>
      <c r="B15" s="336"/>
      <c r="C15" s="149"/>
      <c r="D15" s="150"/>
      <c r="E15" s="150"/>
      <c r="F15" s="150"/>
      <c r="G15" s="150"/>
      <c r="H15" s="150"/>
      <c r="I15" s="151"/>
      <c r="J15" s="285" t="s">
        <v>256</v>
      </c>
      <c r="K15" s="286"/>
      <c r="L15" s="286"/>
      <c r="M15" s="286"/>
      <c r="N15" s="286"/>
      <c r="O15" s="286"/>
      <c r="P15" s="287"/>
      <c r="Q15" s="152"/>
      <c r="R15" s="153"/>
      <c r="S15" s="153"/>
      <c r="T15" s="153"/>
      <c r="U15" s="153"/>
      <c r="V15" s="153"/>
      <c r="W15" s="153"/>
      <c r="X15" s="153"/>
      <c r="Y15" s="153"/>
      <c r="Z15" s="153"/>
      <c r="AA15" s="154"/>
      <c r="AB15" s="152"/>
      <c r="AC15" s="153"/>
      <c r="AD15" s="153"/>
      <c r="AE15" s="153"/>
      <c r="AF15" s="153"/>
      <c r="AG15" s="153"/>
      <c r="AH15" s="153"/>
      <c r="AI15" s="153"/>
      <c r="AJ15" s="153"/>
      <c r="AK15" s="153"/>
      <c r="AL15" s="155"/>
      <c r="AM15" s="153"/>
      <c r="AN15" s="153"/>
      <c r="AO15" s="153"/>
      <c r="AP15" s="153"/>
      <c r="AQ15" s="153"/>
      <c r="AR15" s="153"/>
      <c r="AS15" s="153"/>
      <c r="AT15" s="153"/>
      <c r="AU15" s="153"/>
      <c r="AV15" s="153"/>
      <c r="AW15" s="153"/>
      <c r="AX15" s="153"/>
      <c r="AY15" s="153"/>
      <c r="AZ15" s="153"/>
      <c r="BA15" s="153"/>
      <c r="BB15" s="153"/>
      <c r="BC15" s="153"/>
      <c r="BD15" s="153"/>
      <c r="BE15" s="153"/>
      <c r="BF15" s="153"/>
      <c r="BG15" s="153"/>
      <c r="BH15" s="153"/>
      <c r="BI15" s="153"/>
      <c r="BJ15" s="153"/>
      <c r="BK15" s="153"/>
      <c r="BL15" s="153"/>
      <c r="BM15" s="153"/>
      <c r="BN15" s="153"/>
      <c r="BO15" s="153"/>
      <c r="BP15" s="153"/>
      <c r="BQ15" s="153"/>
      <c r="BR15" s="153"/>
      <c r="BS15" s="153"/>
      <c r="BT15" s="156"/>
    </row>
    <row r="16" spans="1:72" ht="27" customHeight="1">
      <c r="A16" s="335" t="s">
        <v>146</v>
      </c>
      <c r="B16" s="336"/>
      <c r="C16" s="149"/>
      <c r="D16" s="150"/>
      <c r="E16" s="150"/>
      <c r="F16" s="150"/>
      <c r="G16" s="150"/>
      <c r="H16" s="150"/>
      <c r="I16" s="151"/>
      <c r="J16" s="285" t="s">
        <v>257</v>
      </c>
      <c r="K16" s="286"/>
      <c r="L16" s="286"/>
      <c r="M16" s="286"/>
      <c r="N16" s="286"/>
      <c r="O16" s="286"/>
      <c r="P16" s="287"/>
      <c r="Q16" s="152"/>
      <c r="R16" s="153"/>
      <c r="S16" s="153"/>
      <c r="T16" s="153"/>
      <c r="U16" s="153"/>
      <c r="V16" s="153"/>
      <c r="W16" s="153"/>
      <c r="X16" s="153"/>
      <c r="Y16" s="153"/>
      <c r="Z16" s="153"/>
      <c r="AA16" s="154"/>
      <c r="AB16" s="152"/>
      <c r="AC16" s="153"/>
      <c r="AD16" s="153"/>
      <c r="AE16" s="153"/>
      <c r="AF16" s="153"/>
      <c r="AG16" s="153"/>
      <c r="AH16" s="153"/>
      <c r="AI16" s="153"/>
      <c r="AJ16" s="153"/>
      <c r="AK16" s="153"/>
      <c r="AL16" s="155"/>
      <c r="AM16" s="153"/>
      <c r="AN16" s="153"/>
      <c r="AO16" s="153"/>
      <c r="AP16" s="153"/>
      <c r="AQ16" s="153"/>
      <c r="AR16" s="153"/>
      <c r="AS16" s="153"/>
      <c r="AT16" s="153"/>
      <c r="AU16" s="153"/>
      <c r="AV16" s="153"/>
      <c r="AW16" s="153"/>
      <c r="AX16" s="153"/>
      <c r="AY16" s="153"/>
      <c r="AZ16" s="153"/>
      <c r="BA16" s="153"/>
      <c r="BB16" s="153"/>
      <c r="BC16" s="153"/>
      <c r="BD16" s="153"/>
      <c r="BE16" s="153"/>
      <c r="BF16" s="153"/>
      <c r="BG16" s="153"/>
      <c r="BH16" s="153"/>
      <c r="BI16" s="153"/>
      <c r="BJ16" s="153"/>
      <c r="BK16" s="153"/>
      <c r="BL16" s="153"/>
      <c r="BM16" s="153"/>
      <c r="BN16" s="153"/>
      <c r="BO16" s="153"/>
      <c r="BP16" s="153"/>
      <c r="BQ16" s="153"/>
      <c r="BR16" s="153"/>
      <c r="BS16" s="153"/>
      <c r="BT16" s="156"/>
    </row>
    <row r="17" spans="1:97" ht="26.5" customHeight="1">
      <c r="A17" s="335" t="s">
        <v>147</v>
      </c>
      <c r="B17" s="336"/>
      <c r="C17" s="149"/>
      <c r="D17" s="150"/>
      <c r="E17" s="150"/>
      <c r="F17" s="150"/>
      <c r="G17" s="150"/>
      <c r="H17" s="150"/>
      <c r="I17" s="151"/>
      <c r="J17" s="285" t="s">
        <v>258</v>
      </c>
      <c r="K17" s="286"/>
      <c r="L17" s="286"/>
      <c r="M17" s="286"/>
      <c r="N17" s="286"/>
      <c r="O17" s="286"/>
      <c r="P17" s="287"/>
      <c r="Q17" s="152"/>
      <c r="R17" s="153"/>
      <c r="S17" s="153"/>
      <c r="T17" s="153"/>
      <c r="U17" s="153"/>
      <c r="V17" s="153"/>
      <c r="W17" s="153"/>
      <c r="X17" s="153"/>
      <c r="Y17" s="153"/>
      <c r="Z17" s="153"/>
      <c r="AA17" s="154"/>
      <c r="AB17" s="152"/>
      <c r="AC17" s="153"/>
      <c r="AD17" s="153"/>
      <c r="AE17" s="153"/>
      <c r="AF17" s="153"/>
      <c r="AG17" s="153"/>
      <c r="AH17" s="153"/>
      <c r="AI17" s="153"/>
      <c r="AJ17" s="153"/>
      <c r="AK17" s="153"/>
      <c r="AL17" s="155"/>
      <c r="AM17" s="153"/>
      <c r="AN17" s="153"/>
      <c r="AO17" s="153"/>
      <c r="AP17" s="153"/>
      <c r="AQ17" s="153"/>
      <c r="AR17" s="153"/>
      <c r="AS17" s="153"/>
      <c r="AT17" s="153"/>
      <c r="AU17" s="153"/>
      <c r="AV17" s="153"/>
      <c r="AW17" s="153"/>
      <c r="AX17" s="153"/>
      <c r="AY17" s="153"/>
      <c r="AZ17" s="153"/>
      <c r="BA17" s="153"/>
      <c r="BB17" s="153"/>
      <c r="BC17" s="153"/>
      <c r="BD17" s="153"/>
      <c r="BE17" s="153"/>
      <c r="BF17" s="153"/>
      <c r="BG17" s="153"/>
      <c r="BH17" s="153"/>
      <c r="BI17" s="153"/>
      <c r="BJ17" s="153"/>
      <c r="BK17" s="153"/>
      <c r="BL17" s="153"/>
      <c r="BM17" s="153"/>
      <c r="BN17" s="153"/>
      <c r="BO17" s="153"/>
      <c r="BP17" s="153"/>
      <c r="BQ17" s="153"/>
      <c r="BR17" s="153"/>
      <c r="BS17" s="153"/>
      <c r="BT17" s="156"/>
    </row>
    <row r="18" spans="1:97" ht="30.5" customHeight="1">
      <c r="A18" s="335" t="s">
        <v>148</v>
      </c>
      <c r="B18" s="336"/>
      <c r="C18" s="149"/>
      <c r="D18" s="150"/>
      <c r="E18" s="150"/>
      <c r="F18" s="150"/>
      <c r="G18" s="150"/>
      <c r="H18" s="150"/>
      <c r="I18" s="151"/>
      <c r="J18" s="285" t="s">
        <v>259</v>
      </c>
      <c r="K18" s="286"/>
      <c r="L18" s="286"/>
      <c r="M18" s="286"/>
      <c r="N18" s="286"/>
      <c r="O18" s="286"/>
      <c r="P18" s="287"/>
      <c r="Q18" s="152"/>
      <c r="R18" s="153"/>
      <c r="S18" s="153"/>
      <c r="T18" s="153"/>
      <c r="U18" s="153"/>
      <c r="V18" s="153"/>
      <c r="W18" s="153"/>
      <c r="X18" s="153"/>
      <c r="Y18" s="153"/>
      <c r="Z18" s="153"/>
      <c r="AA18" s="154"/>
      <c r="AB18" s="152"/>
      <c r="AC18" s="153"/>
      <c r="AD18" s="153"/>
      <c r="AE18" s="153"/>
      <c r="AF18" s="153"/>
      <c r="AG18" s="153"/>
      <c r="AH18" s="153"/>
      <c r="AI18" s="153"/>
      <c r="AJ18" s="153"/>
      <c r="AK18" s="153"/>
      <c r="AL18" s="332" t="s">
        <v>149</v>
      </c>
      <c r="AM18" s="333"/>
      <c r="AN18" s="333"/>
      <c r="AO18" s="333"/>
      <c r="AP18" s="333"/>
      <c r="AQ18" s="333"/>
      <c r="AR18" s="333"/>
      <c r="AS18" s="333"/>
      <c r="AT18" s="333"/>
      <c r="AU18" s="333"/>
      <c r="AV18" s="333"/>
      <c r="AW18" s="333"/>
      <c r="AX18" s="333"/>
      <c r="AY18" s="333"/>
      <c r="AZ18" s="333"/>
      <c r="BA18" s="333"/>
      <c r="BB18" s="333"/>
      <c r="BC18" s="333"/>
      <c r="BD18" s="333"/>
      <c r="BE18" s="333"/>
      <c r="BF18" s="333"/>
      <c r="BG18" s="333"/>
      <c r="BH18" s="333"/>
      <c r="BI18" s="333"/>
      <c r="BJ18" s="333"/>
      <c r="BK18" s="333"/>
      <c r="BL18" s="333"/>
      <c r="BM18" s="333"/>
      <c r="BN18" s="333"/>
      <c r="BO18" s="333"/>
      <c r="BP18" s="333"/>
      <c r="BQ18" s="333"/>
      <c r="BR18" s="333"/>
      <c r="BS18" s="333"/>
      <c r="BT18" s="334"/>
    </row>
    <row r="19" spans="1:97" ht="117" customHeight="1">
      <c r="A19" s="335" t="s">
        <v>150</v>
      </c>
      <c r="B19" s="336"/>
      <c r="C19" s="149"/>
      <c r="D19" s="150"/>
      <c r="E19" s="150"/>
      <c r="F19" s="150"/>
      <c r="G19" s="150"/>
      <c r="H19" s="150"/>
      <c r="I19" s="151"/>
      <c r="J19" s="285" t="s">
        <v>260</v>
      </c>
      <c r="K19" s="286"/>
      <c r="L19" s="286"/>
      <c r="M19" s="286"/>
      <c r="N19" s="286"/>
      <c r="O19" s="286"/>
      <c r="P19" s="287"/>
      <c r="Q19" s="152"/>
      <c r="R19" s="153"/>
      <c r="S19" s="153"/>
      <c r="T19" s="153"/>
      <c r="U19" s="153"/>
      <c r="V19" s="153"/>
      <c r="W19" s="153"/>
      <c r="X19" s="153"/>
      <c r="Y19" s="153"/>
      <c r="Z19" s="153"/>
      <c r="AA19" s="154"/>
      <c r="AB19" s="152"/>
      <c r="AC19" s="153"/>
      <c r="AD19" s="153"/>
      <c r="AE19" s="153"/>
      <c r="AF19" s="153"/>
      <c r="AG19" s="153"/>
      <c r="AH19" s="153"/>
      <c r="AI19" s="153"/>
      <c r="AJ19" s="153"/>
      <c r="AK19" s="153"/>
      <c r="AL19" s="332" t="s">
        <v>151</v>
      </c>
      <c r="AM19" s="333"/>
      <c r="AN19" s="333"/>
      <c r="AO19" s="333"/>
      <c r="AP19" s="333"/>
      <c r="AQ19" s="333"/>
      <c r="AR19" s="333"/>
      <c r="AS19" s="333"/>
      <c r="AT19" s="333"/>
      <c r="AU19" s="333"/>
      <c r="AV19" s="333"/>
      <c r="AW19" s="333"/>
      <c r="AX19" s="333"/>
      <c r="AY19" s="333"/>
      <c r="AZ19" s="333"/>
      <c r="BA19" s="333"/>
      <c r="BB19" s="333"/>
      <c r="BC19" s="333"/>
      <c r="BD19" s="333"/>
      <c r="BE19" s="333"/>
      <c r="BF19" s="333"/>
      <c r="BG19" s="333"/>
      <c r="BH19" s="333"/>
      <c r="BI19" s="333"/>
      <c r="BJ19" s="333"/>
      <c r="BK19" s="333"/>
      <c r="BL19" s="333"/>
      <c r="BM19" s="333"/>
      <c r="BN19" s="333"/>
      <c r="BO19" s="333"/>
      <c r="BP19" s="333"/>
      <c r="BQ19" s="333"/>
      <c r="BR19" s="333"/>
      <c r="BS19" s="333"/>
      <c r="BT19" s="334"/>
    </row>
    <row r="20" spans="1:97" ht="130.5" customHeight="1">
      <c r="A20" s="335" t="s">
        <v>152</v>
      </c>
      <c r="B20" s="336"/>
      <c r="C20" s="277"/>
      <c r="D20" s="278"/>
      <c r="E20" s="278"/>
      <c r="F20" s="278"/>
      <c r="G20" s="278"/>
      <c r="H20" s="278"/>
      <c r="I20" s="279"/>
      <c r="J20" s="285" t="s">
        <v>261</v>
      </c>
      <c r="K20" s="286"/>
      <c r="L20" s="286"/>
      <c r="M20" s="286"/>
      <c r="N20" s="286"/>
      <c r="O20" s="286"/>
      <c r="P20" s="287"/>
      <c r="Q20" s="337"/>
      <c r="R20" s="333"/>
      <c r="S20" s="333"/>
      <c r="T20" s="333"/>
      <c r="U20" s="333"/>
      <c r="V20" s="333"/>
      <c r="W20" s="333"/>
      <c r="X20" s="333"/>
      <c r="Y20" s="333"/>
      <c r="Z20" s="333"/>
      <c r="AA20" s="338"/>
      <c r="AB20" s="337"/>
      <c r="AC20" s="333"/>
      <c r="AD20" s="333"/>
      <c r="AE20" s="333"/>
      <c r="AF20" s="333"/>
      <c r="AG20" s="333"/>
      <c r="AH20" s="333"/>
      <c r="AI20" s="333"/>
      <c r="AJ20" s="333"/>
      <c r="AK20" s="333"/>
      <c r="AL20" s="332" t="s">
        <v>270</v>
      </c>
      <c r="AM20" s="333"/>
      <c r="AN20" s="333"/>
      <c r="AO20" s="333"/>
      <c r="AP20" s="333"/>
      <c r="AQ20" s="333"/>
      <c r="AR20" s="333"/>
      <c r="AS20" s="333"/>
      <c r="AT20" s="333"/>
      <c r="AU20" s="333"/>
      <c r="AV20" s="333"/>
      <c r="AW20" s="333"/>
      <c r="AX20" s="333"/>
      <c r="AY20" s="333"/>
      <c r="AZ20" s="333"/>
      <c r="BA20" s="333"/>
      <c r="BB20" s="333"/>
      <c r="BC20" s="333"/>
      <c r="BD20" s="333"/>
      <c r="BE20" s="333"/>
      <c r="BF20" s="333"/>
      <c r="BG20" s="333"/>
      <c r="BH20" s="333"/>
      <c r="BI20" s="333"/>
      <c r="BJ20" s="333"/>
      <c r="BK20" s="333"/>
      <c r="BL20" s="333"/>
      <c r="BM20" s="333"/>
      <c r="BN20" s="333"/>
      <c r="BO20" s="333"/>
      <c r="BP20" s="333"/>
      <c r="BQ20" s="333"/>
      <c r="BR20" s="333"/>
      <c r="BS20" s="333"/>
      <c r="BT20" s="334"/>
    </row>
    <row r="21" spans="1:97" ht="40.75" customHeight="1">
      <c r="A21" s="335" t="s">
        <v>153</v>
      </c>
      <c r="B21" s="336"/>
      <c r="C21" s="274"/>
      <c r="D21" s="275"/>
      <c r="E21" s="275"/>
      <c r="F21" s="275"/>
      <c r="G21" s="275"/>
      <c r="H21" s="275"/>
      <c r="I21" s="276"/>
      <c r="J21" s="285" t="s">
        <v>262</v>
      </c>
      <c r="K21" s="286"/>
      <c r="L21" s="286"/>
      <c r="M21" s="286"/>
      <c r="N21" s="286"/>
      <c r="O21" s="286"/>
      <c r="P21" s="287"/>
      <c r="Q21" s="337"/>
      <c r="R21" s="333"/>
      <c r="S21" s="333"/>
      <c r="T21" s="333"/>
      <c r="U21" s="333"/>
      <c r="V21" s="333"/>
      <c r="W21" s="333"/>
      <c r="X21" s="333"/>
      <c r="Y21" s="333"/>
      <c r="Z21" s="333"/>
      <c r="AA21" s="338"/>
      <c r="AB21" s="337"/>
      <c r="AC21" s="333"/>
      <c r="AD21" s="333"/>
      <c r="AE21" s="333"/>
      <c r="AF21" s="333"/>
      <c r="AG21" s="333"/>
      <c r="AH21" s="333"/>
      <c r="AI21" s="333"/>
      <c r="AJ21" s="333"/>
      <c r="AK21" s="333"/>
      <c r="AL21" s="342" t="s">
        <v>154</v>
      </c>
      <c r="AM21" s="343"/>
      <c r="AN21" s="343"/>
      <c r="AO21" s="343"/>
      <c r="AP21" s="343"/>
      <c r="AQ21" s="343"/>
      <c r="AR21" s="343"/>
      <c r="AS21" s="343"/>
      <c r="AT21" s="343"/>
      <c r="AU21" s="343"/>
      <c r="AV21" s="343"/>
      <c r="AW21" s="343"/>
      <c r="AX21" s="343"/>
      <c r="AY21" s="343"/>
      <c r="AZ21" s="343"/>
      <c r="BA21" s="343"/>
      <c r="BB21" s="343"/>
      <c r="BC21" s="343"/>
      <c r="BD21" s="343"/>
      <c r="BE21" s="343"/>
      <c r="BF21" s="343"/>
      <c r="BG21" s="343"/>
      <c r="BH21" s="343"/>
      <c r="BI21" s="343"/>
      <c r="BJ21" s="343"/>
      <c r="BK21" s="343"/>
      <c r="BL21" s="343"/>
      <c r="BM21" s="343"/>
      <c r="BN21" s="343"/>
      <c r="BO21" s="343"/>
      <c r="BP21" s="343"/>
      <c r="BQ21" s="343"/>
      <c r="BR21" s="343"/>
      <c r="BS21" s="343"/>
      <c r="BT21" s="344"/>
    </row>
    <row r="22" spans="1:97">
      <c r="A22" s="335" t="s">
        <v>155</v>
      </c>
      <c r="B22" s="336"/>
      <c r="C22" s="285"/>
      <c r="D22" s="286"/>
      <c r="E22" s="286"/>
      <c r="F22" s="286"/>
      <c r="G22" s="286"/>
      <c r="H22" s="286"/>
      <c r="I22" s="287"/>
      <c r="J22" s="285" t="s">
        <v>156</v>
      </c>
      <c r="K22" s="286"/>
      <c r="L22" s="286"/>
      <c r="M22" s="286"/>
      <c r="N22" s="286"/>
      <c r="O22" s="286"/>
      <c r="P22" s="287"/>
      <c r="Q22" s="337"/>
      <c r="R22" s="333"/>
      <c r="S22" s="333"/>
      <c r="T22" s="333"/>
      <c r="U22" s="333"/>
      <c r="V22" s="333"/>
      <c r="W22" s="333"/>
      <c r="X22" s="333"/>
      <c r="Y22" s="333"/>
      <c r="Z22" s="333"/>
      <c r="AA22" s="338"/>
      <c r="AB22" s="337"/>
      <c r="AC22" s="333"/>
      <c r="AD22" s="333"/>
      <c r="AE22" s="333"/>
      <c r="AF22" s="333"/>
      <c r="AG22" s="333"/>
      <c r="AH22" s="333"/>
      <c r="AI22" s="333"/>
      <c r="AJ22" s="333"/>
      <c r="AK22" s="333"/>
      <c r="AL22" s="332" t="s">
        <v>263</v>
      </c>
      <c r="AM22" s="333"/>
      <c r="AN22" s="333"/>
      <c r="AO22" s="333"/>
      <c r="AP22" s="333"/>
      <c r="AQ22" s="333"/>
      <c r="AR22" s="333"/>
      <c r="AS22" s="333"/>
      <c r="AT22" s="333"/>
      <c r="AU22" s="333"/>
      <c r="AV22" s="333"/>
      <c r="AW22" s="333"/>
      <c r="AX22" s="333"/>
      <c r="AY22" s="333"/>
      <c r="AZ22" s="333"/>
      <c r="BA22" s="333"/>
      <c r="BB22" s="333"/>
      <c r="BC22" s="333"/>
      <c r="BD22" s="333"/>
      <c r="BE22" s="333"/>
      <c r="BF22" s="333"/>
      <c r="BG22" s="333"/>
      <c r="BH22" s="333"/>
      <c r="BI22" s="333"/>
      <c r="BJ22" s="333"/>
      <c r="BK22" s="333"/>
      <c r="BL22" s="333"/>
      <c r="BM22" s="333"/>
      <c r="BN22" s="333"/>
      <c r="BO22" s="333"/>
      <c r="BP22" s="333"/>
      <c r="BQ22" s="333"/>
      <c r="BR22" s="333"/>
      <c r="BS22" s="333"/>
      <c r="BT22" s="334"/>
    </row>
    <row r="23" spans="1:97" ht="15.75" customHeight="1">
      <c r="A23" s="310">
        <v>4</v>
      </c>
      <c r="B23" s="339"/>
      <c r="C23" s="285" t="s">
        <v>157</v>
      </c>
      <c r="D23" s="286"/>
      <c r="E23" s="286"/>
      <c r="F23" s="286"/>
      <c r="G23" s="286"/>
      <c r="H23" s="286"/>
      <c r="I23" s="287"/>
      <c r="J23" s="157"/>
      <c r="K23" s="340"/>
      <c r="L23" s="340"/>
      <c r="M23" s="340"/>
      <c r="N23" s="340"/>
      <c r="O23" s="340"/>
      <c r="P23" s="341"/>
      <c r="Q23" s="337"/>
      <c r="R23" s="333"/>
      <c r="S23" s="333"/>
      <c r="T23" s="333"/>
      <c r="U23" s="333"/>
      <c r="V23" s="333"/>
      <c r="W23" s="333"/>
      <c r="X23" s="333"/>
      <c r="Y23" s="333"/>
      <c r="Z23" s="333"/>
      <c r="AA23" s="338"/>
      <c r="AB23" s="337"/>
      <c r="AC23" s="333"/>
      <c r="AD23" s="333"/>
      <c r="AE23" s="333"/>
      <c r="AF23" s="333"/>
      <c r="AG23" s="333"/>
      <c r="AH23" s="333"/>
      <c r="AI23" s="333"/>
      <c r="AJ23" s="333"/>
      <c r="AK23" s="333"/>
      <c r="AL23" s="332"/>
      <c r="AM23" s="333"/>
      <c r="AN23" s="333"/>
      <c r="AO23" s="333"/>
      <c r="AP23" s="333"/>
      <c r="AQ23" s="333"/>
      <c r="AR23" s="333"/>
      <c r="AS23" s="333"/>
      <c r="AT23" s="333"/>
      <c r="AU23" s="333"/>
      <c r="AV23" s="333"/>
      <c r="AW23" s="333"/>
      <c r="AX23" s="333"/>
      <c r="AY23" s="333"/>
      <c r="AZ23" s="333"/>
      <c r="BA23" s="333"/>
      <c r="BB23" s="333"/>
      <c r="BC23" s="333"/>
      <c r="BD23" s="333"/>
      <c r="BE23" s="333"/>
      <c r="BF23" s="333"/>
      <c r="BG23" s="333"/>
      <c r="BH23" s="333"/>
      <c r="BI23" s="333"/>
      <c r="BJ23" s="333"/>
      <c r="BK23" s="333"/>
      <c r="BL23" s="333"/>
      <c r="BM23" s="333"/>
      <c r="BN23" s="333"/>
      <c r="BO23" s="333"/>
      <c r="BP23" s="333"/>
      <c r="BQ23" s="333"/>
      <c r="BR23" s="333"/>
      <c r="BS23" s="333"/>
      <c r="BT23" s="334"/>
    </row>
    <row r="24" spans="1:97" ht="36" customHeight="1">
      <c r="A24" s="335" t="s">
        <v>250</v>
      </c>
      <c r="B24" s="336"/>
      <c r="C24" s="149"/>
      <c r="D24" s="150"/>
      <c r="E24" s="150"/>
      <c r="F24" s="150"/>
      <c r="G24" s="150"/>
      <c r="H24" s="150"/>
      <c r="I24" s="151"/>
      <c r="J24" s="285" t="s">
        <v>84</v>
      </c>
      <c r="K24" s="286"/>
      <c r="L24" s="286"/>
      <c r="M24" s="286"/>
      <c r="N24" s="286"/>
      <c r="O24" s="286"/>
      <c r="P24" s="287"/>
      <c r="Q24" s="330" t="s">
        <v>102</v>
      </c>
      <c r="R24" s="331"/>
      <c r="S24" s="331"/>
      <c r="T24" s="331"/>
      <c r="U24" s="331"/>
      <c r="V24" s="331"/>
      <c r="W24" s="331"/>
      <c r="X24" s="331"/>
      <c r="Y24" s="331"/>
      <c r="Z24" s="331"/>
      <c r="AA24" s="154"/>
      <c r="AB24" s="330" t="s">
        <v>102</v>
      </c>
      <c r="AC24" s="331"/>
      <c r="AD24" s="331"/>
      <c r="AE24" s="331"/>
      <c r="AF24" s="331"/>
      <c r="AG24" s="331"/>
      <c r="AH24" s="331"/>
      <c r="AI24" s="331"/>
      <c r="AJ24" s="331"/>
      <c r="AK24" s="331"/>
      <c r="AL24" s="332" t="s">
        <v>264</v>
      </c>
      <c r="AM24" s="333"/>
      <c r="AN24" s="333"/>
      <c r="AO24" s="333"/>
      <c r="AP24" s="333"/>
      <c r="AQ24" s="333"/>
      <c r="AR24" s="333"/>
      <c r="AS24" s="333"/>
      <c r="AT24" s="333"/>
      <c r="AU24" s="333"/>
      <c r="AV24" s="333"/>
      <c r="AW24" s="333"/>
      <c r="AX24" s="333"/>
      <c r="AY24" s="333"/>
      <c r="AZ24" s="333"/>
      <c r="BA24" s="333"/>
      <c r="BB24" s="333"/>
      <c r="BC24" s="333"/>
      <c r="BD24" s="333"/>
      <c r="BE24" s="333"/>
      <c r="BF24" s="333"/>
      <c r="BG24" s="333"/>
      <c r="BH24" s="333"/>
      <c r="BI24" s="333"/>
      <c r="BJ24" s="333"/>
      <c r="BK24" s="333"/>
      <c r="BL24" s="333"/>
      <c r="BM24" s="333"/>
      <c r="BN24" s="333"/>
      <c r="BO24" s="333"/>
      <c r="BP24" s="333"/>
      <c r="BQ24" s="333"/>
      <c r="BR24" s="333"/>
      <c r="BS24" s="333"/>
      <c r="BT24" s="334"/>
    </row>
    <row r="25" spans="1:97" ht="36" customHeight="1">
      <c r="A25" s="335" t="s">
        <v>158</v>
      </c>
      <c r="B25" s="336"/>
      <c r="C25" s="149"/>
      <c r="D25" s="150"/>
      <c r="E25" s="150"/>
      <c r="F25" s="150"/>
      <c r="G25" s="150"/>
      <c r="H25" s="150"/>
      <c r="I25" s="151"/>
      <c r="J25" s="285" t="s">
        <v>159</v>
      </c>
      <c r="K25" s="286"/>
      <c r="L25" s="286"/>
      <c r="M25" s="286"/>
      <c r="N25" s="286"/>
      <c r="O25" s="286"/>
      <c r="P25" s="287"/>
      <c r="Q25" s="330" t="s">
        <v>102</v>
      </c>
      <c r="R25" s="331"/>
      <c r="S25" s="331"/>
      <c r="T25" s="331"/>
      <c r="U25" s="331"/>
      <c r="V25" s="331"/>
      <c r="W25" s="331"/>
      <c r="X25" s="331"/>
      <c r="Y25" s="331"/>
      <c r="Z25" s="331"/>
      <c r="AA25" s="154"/>
      <c r="AB25" s="330" t="s">
        <v>102</v>
      </c>
      <c r="AC25" s="331"/>
      <c r="AD25" s="331"/>
      <c r="AE25" s="331"/>
      <c r="AF25" s="331"/>
      <c r="AG25" s="331"/>
      <c r="AH25" s="331"/>
      <c r="AI25" s="331"/>
      <c r="AJ25" s="331"/>
      <c r="AK25" s="331"/>
      <c r="AL25" s="332" t="s">
        <v>265</v>
      </c>
      <c r="AM25" s="333"/>
      <c r="AN25" s="333"/>
      <c r="AO25" s="333"/>
      <c r="AP25" s="333"/>
      <c r="AQ25" s="333"/>
      <c r="AR25" s="333"/>
      <c r="AS25" s="333"/>
      <c r="AT25" s="333"/>
      <c r="AU25" s="333"/>
      <c r="AV25" s="333"/>
      <c r="AW25" s="333"/>
      <c r="AX25" s="333"/>
      <c r="AY25" s="333"/>
      <c r="AZ25" s="333"/>
      <c r="BA25" s="333"/>
      <c r="BB25" s="333"/>
      <c r="BC25" s="333"/>
      <c r="BD25" s="333"/>
      <c r="BE25" s="333"/>
      <c r="BF25" s="333"/>
      <c r="BG25" s="333"/>
      <c r="BH25" s="333"/>
      <c r="BI25" s="333"/>
      <c r="BJ25" s="333"/>
      <c r="BK25" s="333"/>
      <c r="BL25" s="333"/>
      <c r="BM25" s="333"/>
      <c r="BN25" s="333"/>
      <c r="BO25" s="333"/>
      <c r="BP25" s="333"/>
      <c r="BQ25" s="333"/>
      <c r="BR25" s="333"/>
      <c r="BS25" s="333"/>
      <c r="BT25" s="334"/>
    </row>
    <row r="26" spans="1:97" ht="36" customHeight="1">
      <c r="A26" s="335" t="s">
        <v>251</v>
      </c>
      <c r="B26" s="336"/>
      <c r="C26" s="149"/>
      <c r="D26" s="150"/>
      <c r="E26" s="150"/>
      <c r="F26" s="150"/>
      <c r="G26" s="150"/>
      <c r="H26" s="150"/>
      <c r="I26" s="151"/>
      <c r="J26" s="285" t="s">
        <v>86</v>
      </c>
      <c r="K26" s="286"/>
      <c r="L26" s="286"/>
      <c r="M26" s="286"/>
      <c r="N26" s="286"/>
      <c r="O26" s="286"/>
      <c r="P26" s="287"/>
      <c r="Q26" s="330" t="s">
        <v>102</v>
      </c>
      <c r="R26" s="331"/>
      <c r="S26" s="331"/>
      <c r="T26" s="331"/>
      <c r="U26" s="331"/>
      <c r="V26" s="331"/>
      <c r="W26" s="331"/>
      <c r="X26" s="331"/>
      <c r="Y26" s="331"/>
      <c r="Z26" s="331"/>
      <c r="AA26" s="154"/>
      <c r="AB26" s="330" t="s">
        <v>102</v>
      </c>
      <c r="AC26" s="331"/>
      <c r="AD26" s="331"/>
      <c r="AE26" s="331"/>
      <c r="AF26" s="331"/>
      <c r="AG26" s="331"/>
      <c r="AH26" s="331"/>
      <c r="AI26" s="331"/>
      <c r="AJ26" s="331"/>
      <c r="AK26" s="331"/>
      <c r="AL26" s="332" t="s">
        <v>266</v>
      </c>
      <c r="AM26" s="333"/>
      <c r="AN26" s="333"/>
      <c r="AO26" s="333"/>
      <c r="AP26" s="333"/>
      <c r="AQ26" s="333"/>
      <c r="AR26" s="333"/>
      <c r="AS26" s="333"/>
      <c r="AT26" s="333"/>
      <c r="AU26" s="333"/>
      <c r="AV26" s="333"/>
      <c r="AW26" s="333"/>
      <c r="AX26" s="333"/>
      <c r="AY26" s="333"/>
      <c r="AZ26" s="333"/>
      <c r="BA26" s="333"/>
      <c r="BB26" s="333"/>
      <c r="BC26" s="333"/>
      <c r="BD26" s="333"/>
      <c r="BE26" s="333"/>
      <c r="BF26" s="333"/>
      <c r="BG26" s="333"/>
      <c r="BH26" s="333"/>
      <c r="BI26" s="333"/>
      <c r="BJ26" s="333"/>
      <c r="BK26" s="333"/>
      <c r="BL26" s="333"/>
      <c r="BM26" s="333"/>
      <c r="BN26" s="333"/>
      <c r="BO26" s="333"/>
      <c r="BP26" s="333"/>
      <c r="BQ26" s="333"/>
      <c r="BR26" s="333"/>
      <c r="BS26" s="333"/>
      <c r="BT26" s="334"/>
    </row>
    <row r="27" spans="1:97" ht="36" customHeight="1">
      <c r="A27" s="335" t="s">
        <v>252</v>
      </c>
      <c r="B27" s="336"/>
      <c r="C27" s="149"/>
      <c r="D27" s="150"/>
      <c r="E27" s="150"/>
      <c r="F27" s="150"/>
      <c r="G27" s="150"/>
      <c r="H27" s="150"/>
      <c r="I27" s="151"/>
      <c r="J27" s="285" t="s">
        <v>254</v>
      </c>
      <c r="K27" s="286"/>
      <c r="L27" s="286"/>
      <c r="M27" s="286"/>
      <c r="N27" s="286"/>
      <c r="O27" s="286"/>
      <c r="P27" s="287"/>
      <c r="Q27" s="330" t="s">
        <v>102</v>
      </c>
      <c r="R27" s="331"/>
      <c r="S27" s="331"/>
      <c r="T27" s="331"/>
      <c r="U27" s="331"/>
      <c r="V27" s="331"/>
      <c r="W27" s="331"/>
      <c r="X27" s="331"/>
      <c r="Y27" s="331"/>
      <c r="Z27" s="331"/>
      <c r="AA27" s="154"/>
      <c r="AB27" s="330" t="s">
        <v>102</v>
      </c>
      <c r="AC27" s="331"/>
      <c r="AD27" s="331"/>
      <c r="AE27" s="331"/>
      <c r="AF27" s="331"/>
      <c r="AG27" s="331"/>
      <c r="AH27" s="331"/>
      <c r="AI27" s="331"/>
      <c r="AJ27" s="331"/>
      <c r="AK27" s="331"/>
      <c r="AL27" s="332" t="s">
        <v>267</v>
      </c>
      <c r="AM27" s="333"/>
      <c r="AN27" s="333"/>
      <c r="AO27" s="333"/>
      <c r="AP27" s="333"/>
      <c r="AQ27" s="333"/>
      <c r="AR27" s="333"/>
      <c r="AS27" s="333"/>
      <c r="AT27" s="333"/>
      <c r="AU27" s="333"/>
      <c r="AV27" s="333"/>
      <c r="AW27" s="333"/>
      <c r="AX27" s="333"/>
      <c r="AY27" s="333"/>
      <c r="AZ27" s="333"/>
      <c r="BA27" s="333"/>
      <c r="BB27" s="333"/>
      <c r="BC27" s="333"/>
      <c r="BD27" s="333"/>
      <c r="BE27" s="333"/>
      <c r="BF27" s="333"/>
      <c r="BG27" s="333"/>
      <c r="BH27" s="333"/>
      <c r="BI27" s="333"/>
      <c r="BJ27" s="333"/>
      <c r="BK27" s="333"/>
      <c r="BL27" s="333"/>
      <c r="BM27" s="333"/>
      <c r="BN27" s="333"/>
      <c r="BO27" s="333"/>
      <c r="BP27" s="333"/>
      <c r="BQ27" s="333"/>
      <c r="BR27" s="333"/>
      <c r="BS27" s="333"/>
      <c r="BT27" s="334"/>
    </row>
    <row r="28" spans="1:97" ht="36" customHeight="1">
      <c r="A28" s="335" t="s">
        <v>253</v>
      </c>
      <c r="B28" s="336"/>
      <c r="C28" s="149"/>
      <c r="D28" s="150"/>
      <c r="E28" s="150"/>
      <c r="F28" s="150"/>
      <c r="G28" s="150"/>
      <c r="H28" s="150"/>
      <c r="I28" s="151"/>
      <c r="J28" s="285" t="s">
        <v>88</v>
      </c>
      <c r="K28" s="286"/>
      <c r="L28" s="286"/>
      <c r="M28" s="286"/>
      <c r="N28" s="286"/>
      <c r="O28" s="286"/>
      <c r="P28" s="287"/>
      <c r="Q28" s="330" t="s">
        <v>102</v>
      </c>
      <c r="R28" s="331"/>
      <c r="S28" s="331"/>
      <c r="T28" s="331"/>
      <c r="U28" s="331"/>
      <c r="V28" s="331"/>
      <c r="W28" s="331"/>
      <c r="X28" s="331"/>
      <c r="Y28" s="331"/>
      <c r="Z28" s="331"/>
      <c r="AA28" s="154"/>
      <c r="AB28" s="330" t="s">
        <v>102</v>
      </c>
      <c r="AC28" s="331"/>
      <c r="AD28" s="331"/>
      <c r="AE28" s="331"/>
      <c r="AF28" s="331"/>
      <c r="AG28" s="331"/>
      <c r="AH28" s="331"/>
      <c r="AI28" s="331"/>
      <c r="AJ28" s="331"/>
      <c r="AK28" s="331"/>
      <c r="AL28" s="332" t="s">
        <v>268</v>
      </c>
      <c r="AM28" s="333"/>
      <c r="AN28" s="333"/>
      <c r="AO28" s="333"/>
      <c r="AP28" s="333"/>
      <c r="AQ28" s="333"/>
      <c r="AR28" s="333"/>
      <c r="AS28" s="333"/>
      <c r="AT28" s="333"/>
      <c r="AU28" s="333"/>
      <c r="AV28" s="333"/>
      <c r="AW28" s="333"/>
      <c r="AX28" s="333"/>
      <c r="AY28" s="333"/>
      <c r="AZ28" s="333"/>
      <c r="BA28" s="333"/>
      <c r="BB28" s="333"/>
      <c r="BC28" s="333"/>
      <c r="BD28" s="333"/>
      <c r="BE28" s="333"/>
      <c r="BF28" s="333"/>
      <c r="BG28" s="333"/>
      <c r="BH28" s="333"/>
      <c r="BI28" s="333"/>
      <c r="BJ28" s="333"/>
      <c r="BK28" s="333"/>
      <c r="BL28" s="333"/>
      <c r="BM28" s="333"/>
      <c r="BN28" s="333"/>
      <c r="BO28" s="333"/>
      <c r="BP28" s="333"/>
      <c r="BQ28" s="333"/>
      <c r="BR28" s="333"/>
      <c r="BS28" s="333"/>
      <c r="BT28" s="334"/>
    </row>
    <row r="29" spans="1:97" ht="74.5" customHeight="1">
      <c r="A29" s="335" t="s">
        <v>160</v>
      </c>
      <c r="B29" s="336"/>
      <c r="C29" s="149"/>
      <c r="D29" s="150"/>
      <c r="E29" s="150"/>
      <c r="F29" s="150"/>
      <c r="G29" s="150"/>
      <c r="H29" s="150"/>
      <c r="I29" s="151"/>
      <c r="J29" s="285" t="s">
        <v>161</v>
      </c>
      <c r="K29" s="286"/>
      <c r="L29" s="286"/>
      <c r="M29" s="286"/>
      <c r="N29" s="286"/>
      <c r="O29" s="286"/>
      <c r="P29" s="287"/>
      <c r="Q29" s="330" t="s">
        <v>102</v>
      </c>
      <c r="R29" s="331"/>
      <c r="S29" s="331"/>
      <c r="T29" s="331"/>
      <c r="U29" s="331"/>
      <c r="V29" s="331"/>
      <c r="W29" s="331"/>
      <c r="X29" s="331"/>
      <c r="Y29" s="331"/>
      <c r="Z29" s="331"/>
      <c r="AA29" s="154"/>
      <c r="AB29" s="330" t="s">
        <v>102</v>
      </c>
      <c r="AC29" s="331"/>
      <c r="AD29" s="331"/>
      <c r="AE29" s="331"/>
      <c r="AF29" s="331"/>
      <c r="AG29" s="331"/>
      <c r="AH29" s="331"/>
      <c r="AI29" s="331"/>
      <c r="AJ29" s="331"/>
      <c r="AK29" s="331"/>
      <c r="AL29" s="332" t="s">
        <v>269</v>
      </c>
      <c r="AM29" s="333"/>
      <c r="AN29" s="333"/>
      <c r="AO29" s="333"/>
      <c r="AP29" s="333"/>
      <c r="AQ29" s="333"/>
      <c r="AR29" s="333"/>
      <c r="AS29" s="333"/>
      <c r="AT29" s="333"/>
      <c r="AU29" s="333"/>
      <c r="AV29" s="333"/>
      <c r="AW29" s="333"/>
      <c r="AX29" s="333"/>
      <c r="AY29" s="333"/>
      <c r="AZ29" s="333"/>
      <c r="BA29" s="333"/>
      <c r="BB29" s="333"/>
      <c r="BC29" s="333"/>
      <c r="BD29" s="333"/>
      <c r="BE29" s="333"/>
      <c r="BF29" s="333"/>
      <c r="BG29" s="333"/>
      <c r="BH29" s="333"/>
      <c r="BI29" s="333"/>
      <c r="BJ29" s="333"/>
      <c r="BK29" s="333"/>
      <c r="BL29" s="333"/>
      <c r="BM29" s="333"/>
      <c r="BN29" s="333"/>
      <c r="BO29" s="333"/>
      <c r="BP29" s="333"/>
      <c r="BQ29" s="333"/>
      <c r="BR29" s="333"/>
      <c r="BS29" s="333"/>
      <c r="BT29" s="334"/>
    </row>
    <row r="30" spans="1:97">
      <c r="A30" s="146"/>
      <c r="B30" s="146"/>
      <c r="C30" s="146"/>
      <c r="D30" s="146"/>
      <c r="E30" s="146"/>
      <c r="F30" s="146"/>
      <c r="G30" s="146"/>
      <c r="H30" s="146"/>
      <c r="I30" s="146"/>
      <c r="J30" s="146"/>
      <c r="K30" s="146"/>
      <c r="L30" s="146"/>
      <c r="M30" s="146"/>
      <c r="N30" s="146"/>
      <c r="O30" s="146"/>
      <c r="P30" s="146"/>
      <c r="Q30" s="146"/>
      <c r="R30" s="146"/>
      <c r="S30" s="146"/>
      <c r="T30" s="146"/>
      <c r="U30" s="146"/>
      <c r="V30" s="146"/>
      <c r="W30" s="146"/>
      <c r="X30" s="146"/>
      <c r="Y30" s="146"/>
      <c r="Z30" s="146"/>
      <c r="AA30" s="146"/>
      <c r="AB30" s="146"/>
      <c r="AC30" s="146"/>
      <c r="AD30" s="146"/>
      <c r="AE30" s="146"/>
      <c r="AF30" s="146"/>
      <c r="AG30" s="146"/>
      <c r="AH30" s="146"/>
      <c r="AI30" s="146"/>
      <c r="AJ30" s="146"/>
      <c r="AK30" s="146"/>
      <c r="AL30" s="146"/>
      <c r="AM30" s="146"/>
      <c r="AN30" s="146"/>
      <c r="AO30" s="146"/>
      <c r="AP30" s="146"/>
      <c r="AQ30" s="146"/>
      <c r="AR30" s="146"/>
      <c r="AS30" s="146"/>
      <c r="AT30" s="146"/>
      <c r="AU30" s="146"/>
      <c r="AV30" s="146"/>
      <c r="AW30" s="146"/>
      <c r="AX30" s="146"/>
      <c r="AY30" s="146"/>
      <c r="AZ30" s="146"/>
      <c r="BA30" s="146"/>
      <c r="BB30" s="146"/>
      <c r="BC30" s="146"/>
      <c r="BD30" s="146"/>
      <c r="BE30" s="146"/>
      <c r="BF30" s="146"/>
      <c r="BG30" s="146"/>
      <c r="BH30" s="146"/>
      <c r="BI30" s="146"/>
      <c r="BJ30" s="146"/>
      <c r="BK30" s="146"/>
      <c r="BL30" s="146"/>
      <c r="BM30" s="146"/>
      <c r="BN30" s="146"/>
      <c r="BO30" s="146"/>
      <c r="BP30" s="146"/>
      <c r="BQ30" s="146"/>
      <c r="BR30" s="146"/>
      <c r="BS30" s="146"/>
      <c r="BT30" s="146"/>
    </row>
    <row r="31" spans="1:97">
      <c r="A31" s="313" t="s">
        <v>162</v>
      </c>
      <c r="B31" s="313"/>
      <c r="C31" s="313"/>
      <c r="D31" s="313"/>
      <c r="E31" s="313"/>
      <c r="F31" s="313"/>
      <c r="G31" s="313"/>
      <c r="H31" s="313"/>
      <c r="I31" s="146"/>
      <c r="J31" s="146"/>
      <c r="K31" s="146"/>
      <c r="L31" s="146"/>
      <c r="M31" s="146"/>
      <c r="N31" s="146"/>
      <c r="O31" s="146"/>
      <c r="P31" s="146"/>
      <c r="Q31" s="146"/>
      <c r="R31" s="146"/>
      <c r="S31" s="146"/>
      <c r="T31" s="146"/>
      <c r="U31" s="146"/>
      <c r="V31" s="146"/>
      <c r="W31" s="146"/>
      <c r="X31" s="146"/>
      <c r="Y31" s="146"/>
      <c r="Z31" s="146"/>
      <c r="AA31" s="146"/>
      <c r="AB31" s="146"/>
      <c r="AC31" s="146"/>
      <c r="AD31" s="146"/>
      <c r="AE31" s="146"/>
      <c r="AF31" s="146"/>
      <c r="AG31" s="146"/>
      <c r="AH31" s="146"/>
      <c r="AI31" s="146"/>
      <c r="AJ31" s="146"/>
      <c r="AK31" s="146"/>
      <c r="AL31" s="146"/>
      <c r="AM31" s="146"/>
      <c r="AN31" s="146"/>
      <c r="AO31" s="146"/>
      <c r="AP31" s="146"/>
      <c r="AQ31" s="146"/>
      <c r="AR31" s="146"/>
      <c r="AS31" s="146"/>
      <c r="AT31" s="146"/>
      <c r="AU31" s="146"/>
      <c r="AV31" s="146"/>
      <c r="AW31" s="146"/>
      <c r="AX31" s="146"/>
      <c r="AY31" s="146"/>
      <c r="AZ31" s="146"/>
      <c r="BA31" s="146"/>
      <c r="BB31" s="146"/>
      <c r="BC31" s="146"/>
      <c r="BD31" s="146"/>
      <c r="BE31" s="146"/>
      <c r="BF31" s="146"/>
      <c r="BG31" s="146"/>
      <c r="BH31" s="146"/>
      <c r="BI31" s="146"/>
      <c r="BJ31" s="146"/>
      <c r="BK31" s="146"/>
      <c r="BL31" s="146"/>
      <c r="BM31" s="146"/>
      <c r="BN31" s="146"/>
      <c r="BO31" s="146"/>
      <c r="BP31" s="146"/>
      <c r="BQ31" s="146"/>
      <c r="BR31" s="146"/>
      <c r="BS31" s="147"/>
      <c r="BT31" s="147"/>
    </row>
    <row r="32" spans="1:97" ht="29.5" customHeight="1">
      <c r="A32" s="314" t="s">
        <v>163</v>
      </c>
      <c r="B32" s="315"/>
      <c r="C32" s="318" t="s">
        <v>164</v>
      </c>
      <c r="D32" s="319"/>
      <c r="E32" s="319"/>
      <c r="F32" s="319"/>
      <c r="G32" s="319"/>
      <c r="H32" s="319"/>
      <c r="I32" s="319"/>
      <c r="J32" s="322" t="s">
        <v>165</v>
      </c>
      <c r="K32" s="323"/>
      <c r="L32" s="323"/>
      <c r="M32" s="323"/>
      <c r="N32" s="323"/>
      <c r="O32" s="323"/>
      <c r="P32" s="323"/>
      <c r="Q32" s="323"/>
      <c r="R32" s="323"/>
      <c r="S32" s="323"/>
      <c r="T32" s="323"/>
      <c r="U32" s="323"/>
      <c r="V32" s="323"/>
      <c r="W32" s="324"/>
      <c r="X32" s="322" t="s">
        <v>166</v>
      </c>
      <c r="Y32" s="323"/>
      <c r="Z32" s="323"/>
      <c r="AA32" s="323"/>
      <c r="AB32" s="323"/>
      <c r="AC32" s="323"/>
      <c r="AD32" s="323"/>
      <c r="AE32" s="314" t="s">
        <v>167</v>
      </c>
      <c r="AF32" s="328"/>
      <c r="AG32" s="328"/>
      <c r="AH32" s="328"/>
      <c r="AI32" s="328"/>
      <c r="AJ32" s="328"/>
      <c r="AK32" s="328"/>
      <c r="AL32" s="315"/>
      <c r="AM32" s="322" t="s">
        <v>168</v>
      </c>
      <c r="AN32" s="323"/>
      <c r="AO32" s="323"/>
      <c r="AP32" s="323"/>
      <c r="AQ32" s="323"/>
      <c r="AR32" s="323"/>
      <c r="AS32" s="323"/>
      <c r="AT32" s="323"/>
      <c r="AU32" s="323"/>
      <c r="AV32" s="324"/>
      <c r="AW32" s="322" t="s">
        <v>169</v>
      </c>
      <c r="AX32" s="323"/>
      <c r="AY32" s="323"/>
      <c r="AZ32" s="323"/>
      <c r="BA32" s="323"/>
      <c r="BB32" s="323"/>
      <c r="BC32" s="323"/>
      <c r="BD32" s="323"/>
      <c r="BE32" s="323"/>
      <c r="BF32" s="323"/>
      <c r="BG32" s="323"/>
      <c r="BH32" s="323"/>
      <c r="BI32" s="323"/>
      <c r="BJ32" s="323"/>
      <c r="BK32" s="323"/>
      <c r="BL32" s="323"/>
      <c r="BM32" s="323"/>
      <c r="BN32" s="323"/>
      <c r="BO32" s="323"/>
      <c r="BP32" s="323"/>
      <c r="BQ32" s="323"/>
      <c r="BR32" s="323"/>
      <c r="BS32" s="323"/>
      <c r="BT32" s="323"/>
      <c r="BU32" s="323"/>
      <c r="BV32" s="323"/>
      <c r="BW32" s="323"/>
      <c r="BX32" s="323"/>
      <c r="BY32" s="323"/>
      <c r="BZ32" s="323"/>
      <c r="CA32" s="323"/>
      <c r="CB32" s="323"/>
      <c r="CC32" s="323"/>
      <c r="CD32" s="323"/>
      <c r="CE32" s="323"/>
      <c r="CF32" s="323"/>
      <c r="CG32" s="323"/>
      <c r="CH32" s="323"/>
      <c r="CI32" s="323"/>
      <c r="CJ32" s="323"/>
      <c r="CK32" s="323"/>
      <c r="CL32" s="323"/>
      <c r="CM32" s="323"/>
      <c r="CN32" s="323"/>
      <c r="CO32" s="323"/>
      <c r="CP32" s="323"/>
      <c r="CQ32" s="323"/>
      <c r="CR32" s="323"/>
      <c r="CS32" s="324"/>
    </row>
    <row r="33" spans="1:97" ht="21.25" customHeight="1">
      <c r="A33" s="316"/>
      <c r="B33" s="317"/>
      <c r="C33" s="320"/>
      <c r="D33" s="321"/>
      <c r="E33" s="321"/>
      <c r="F33" s="321"/>
      <c r="G33" s="321"/>
      <c r="H33" s="321"/>
      <c r="I33" s="321"/>
      <c r="J33" s="325"/>
      <c r="K33" s="326"/>
      <c r="L33" s="326"/>
      <c r="M33" s="326"/>
      <c r="N33" s="326"/>
      <c r="O33" s="326"/>
      <c r="P33" s="326"/>
      <c r="Q33" s="326"/>
      <c r="R33" s="326"/>
      <c r="S33" s="326"/>
      <c r="T33" s="326"/>
      <c r="U33" s="326"/>
      <c r="V33" s="326"/>
      <c r="W33" s="327"/>
      <c r="X33" s="325"/>
      <c r="Y33" s="326"/>
      <c r="Z33" s="326"/>
      <c r="AA33" s="326"/>
      <c r="AB33" s="326"/>
      <c r="AC33" s="326"/>
      <c r="AD33" s="326"/>
      <c r="AE33" s="316"/>
      <c r="AF33" s="329"/>
      <c r="AG33" s="329"/>
      <c r="AH33" s="329"/>
      <c r="AI33" s="329"/>
      <c r="AJ33" s="329"/>
      <c r="AK33" s="329"/>
      <c r="AL33" s="317"/>
      <c r="AM33" s="325"/>
      <c r="AN33" s="326"/>
      <c r="AO33" s="326"/>
      <c r="AP33" s="326"/>
      <c r="AQ33" s="326"/>
      <c r="AR33" s="326"/>
      <c r="AS33" s="326"/>
      <c r="AT33" s="326"/>
      <c r="AU33" s="326"/>
      <c r="AV33" s="327"/>
      <c r="AW33" s="325"/>
      <c r="AX33" s="326"/>
      <c r="AY33" s="326"/>
      <c r="AZ33" s="326"/>
      <c r="BA33" s="326"/>
      <c r="BB33" s="326"/>
      <c r="BC33" s="326"/>
      <c r="BD33" s="326"/>
      <c r="BE33" s="326"/>
      <c r="BF33" s="326"/>
      <c r="BG33" s="326"/>
      <c r="BH33" s="326"/>
      <c r="BI33" s="326"/>
      <c r="BJ33" s="326"/>
      <c r="BK33" s="326"/>
      <c r="BL33" s="326"/>
      <c r="BM33" s="326"/>
      <c r="BN33" s="326"/>
      <c r="BO33" s="326"/>
      <c r="BP33" s="326"/>
      <c r="BQ33" s="326"/>
      <c r="BR33" s="326"/>
      <c r="BS33" s="326"/>
      <c r="BT33" s="326"/>
      <c r="BU33" s="326"/>
      <c r="BV33" s="326"/>
      <c r="BW33" s="326"/>
      <c r="BX33" s="326"/>
      <c r="BY33" s="326"/>
      <c r="BZ33" s="326"/>
      <c r="CA33" s="326"/>
      <c r="CB33" s="326"/>
      <c r="CC33" s="326"/>
      <c r="CD33" s="326"/>
      <c r="CE33" s="326"/>
      <c r="CF33" s="326"/>
      <c r="CG33" s="326"/>
      <c r="CH33" s="326"/>
      <c r="CI33" s="326"/>
      <c r="CJ33" s="326"/>
      <c r="CK33" s="326"/>
      <c r="CL33" s="326"/>
      <c r="CM33" s="326"/>
      <c r="CN33" s="326"/>
      <c r="CO33" s="326"/>
      <c r="CP33" s="326"/>
      <c r="CQ33" s="326"/>
      <c r="CR33" s="326"/>
      <c r="CS33" s="327"/>
    </row>
    <row r="34" spans="1:97" s="158" customFormat="1" ht="50.25" customHeight="1">
      <c r="A34" s="272">
        <v>1</v>
      </c>
      <c r="B34" s="273"/>
      <c r="C34" s="298" t="s">
        <v>170</v>
      </c>
      <c r="D34" s="299"/>
      <c r="E34" s="299"/>
      <c r="F34" s="299"/>
      <c r="G34" s="299"/>
      <c r="H34" s="299"/>
      <c r="I34" s="300"/>
      <c r="J34" s="301"/>
      <c r="K34" s="302"/>
      <c r="L34" s="302"/>
      <c r="M34" s="302"/>
      <c r="N34" s="302"/>
      <c r="O34" s="302"/>
      <c r="P34" s="303"/>
      <c r="Q34" s="308" t="s">
        <v>271</v>
      </c>
      <c r="R34" s="308"/>
      <c r="S34" s="308"/>
      <c r="T34" s="308"/>
      <c r="U34" s="308"/>
      <c r="V34" s="308"/>
      <c r="W34" s="309"/>
      <c r="X34" s="272" t="s">
        <v>171</v>
      </c>
      <c r="Y34" s="304"/>
      <c r="Z34" s="304"/>
      <c r="AA34" s="304"/>
      <c r="AB34" s="304"/>
      <c r="AC34" s="304"/>
      <c r="AD34" s="305"/>
      <c r="AE34" s="306" t="s">
        <v>172</v>
      </c>
      <c r="AF34" s="304"/>
      <c r="AG34" s="304"/>
      <c r="AH34" s="304"/>
      <c r="AI34" s="304"/>
      <c r="AJ34" s="304"/>
      <c r="AK34" s="304"/>
      <c r="AL34" s="273"/>
      <c r="AM34" s="307" t="s">
        <v>102</v>
      </c>
      <c r="AN34" s="308"/>
      <c r="AO34" s="308"/>
      <c r="AP34" s="308"/>
      <c r="AQ34" s="308"/>
      <c r="AR34" s="308"/>
      <c r="AS34" s="308"/>
      <c r="AT34" s="308"/>
      <c r="AU34" s="308"/>
      <c r="AV34" s="309"/>
      <c r="AW34" s="310" t="s">
        <v>173</v>
      </c>
      <c r="AX34" s="311"/>
      <c r="AY34" s="311"/>
      <c r="AZ34" s="311"/>
      <c r="BA34" s="311"/>
      <c r="BB34" s="311"/>
      <c r="BC34" s="311"/>
      <c r="BD34" s="311"/>
      <c r="BE34" s="311"/>
      <c r="BF34" s="311"/>
      <c r="BG34" s="311"/>
      <c r="BH34" s="311"/>
      <c r="BI34" s="311"/>
      <c r="BJ34" s="311"/>
      <c r="BK34" s="311"/>
      <c r="BL34" s="311"/>
      <c r="BM34" s="311"/>
      <c r="BN34" s="311"/>
      <c r="BO34" s="311"/>
      <c r="BP34" s="311"/>
      <c r="BQ34" s="311"/>
      <c r="BR34" s="311"/>
      <c r="BS34" s="311"/>
      <c r="BT34" s="311"/>
      <c r="BU34" s="311"/>
      <c r="BV34" s="311"/>
      <c r="BW34" s="311"/>
      <c r="BX34" s="311"/>
      <c r="BY34" s="311"/>
      <c r="BZ34" s="311"/>
      <c r="CA34" s="311"/>
      <c r="CB34" s="311"/>
      <c r="CC34" s="311"/>
      <c r="CD34" s="311"/>
      <c r="CE34" s="311"/>
      <c r="CF34" s="311"/>
      <c r="CG34" s="311"/>
      <c r="CH34" s="311"/>
      <c r="CI34" s="311"/>
      <c r="CJ34" s="311"/>
      <c r="CK34" s="311"/>
      <c r="CL34" s="311"/>
      <c r="CM34" s="311"/>
      <c r="CN34" s="311"/>
      <c r="CO34" s="311"/>
      <c r="CP34" s="311"/>
      <c r="CQ34" s="311"/>
      <c r="CR34" s="311"/>
      <c r="CS34" s="312"/>
    </row>
    <row r="35" spans="1:97" s="147" customFormat="1" ht="60.75" customHeight="1">
      <c r="A35" s="272">
        <v>2</v>
      </c>
      <c r="B35" s="273"/>
      <c r="C35" s="292" t="s">
        <v>175</v>
      </c>
      <c r="D35" s="293"/>
      <c r="E35" s="293"/>
      <c r="F35" s="293"/>
      <c r="G35" s="293"/>
      <c r="H35" s="293"/>
      <c r="I35" s="294"/>
      <c r="J35" s="277"/>
      <c r="K35" s="278"/>
      <c r="L35" s="278"/>
      <c r="M35" s="278"/>
      <c r="N35" s="278"/>
      <c r="O35" s="278"/>
      <c r="P35" s="279"/>
      <c r="Q35" s="269"/>
      <c r="R35" s="269"/>
      <c r="S35" s="269"/>
      <c r="T35" s="269"/>
      <c r="U35" s="269"/>
      <c r="V35" s="269"/>
      <c r="W35" s="270"/>
      <c r="X35" s="280" t="s">
        <v>176</v>
      </c>
      <c r="Y35" s="281"/>
      <c r="Z35" s="281"/>
      <c r="AA35" s="281"/>
      <c r="AB35" s="281"/>
      <c r="AC35" s="281"/>
      <c r="AD35" s="282"/>
      <c r="AE35" s="283" t="s">
        <v>177</v>
      </c>
      <c r="AF35" s="281"/>
      <c r="AG35" s="281"/>
      <c r="AH35" s="281"/>
      <c r="AI35" s="281"/>
      <c r="AJ35" s="281"/>
      <c r="AK35" s="281"/>
      <c r="AL35" s="284"/>
      <c r="AM35" s="268" t="s">
        <v>102</v>
      </c>
      <c r="AN35" s="269"/>
      <c r="AO35" s="269"/>
      <c r="AP35" s="269"/>
      <c r="AQ35" s="269"/>
      <c r="AR35" s="269"/>
      <c r="AS35" s="269"/>
      <c r="AT35" s="269"/>
      <c r="AU35" s="269"/>
      <c r="AV35" s="270"/>
      <c r="AW35" s="295" t="s">
        <v>205</v>
      </c>
      <c r="AX35" s="296"/>
      <c r="AY35" s="296"/>
      <c r="AZ35" s="296"/>
      <c r="BA35" s="296"/>
      <c r="BB35" s="296"/>
      <c r="BC35" s="296"/>
      <c r="BD35" s="296"/>
      <c r="BE35" s="296"/>
      <c r="BF35" s="296"/>
      <c r="BG35" s="296"/>
      <c r="BH35" s="296"/>
      <c r="BI35" s="296"/>
      <c r="BJ35" s="296"/>
      <c r="BK35" s="296"/>
      <c r="BL35" s="296"/>
      <c r="BM35" s="296"/>
      <c r="BN35" s="296"/>
      <c r="BO35" s="296"/>
      <c r="BP35" s="296"/>
      <c r="BQ35" s="296"/>
      <c r="BR35" s="296"/>
      <c r="BS35" s="296"/>
      <c r="BT35" s="296"/>
      <c r="BU35" s="296"/>
      <c r="BV35" s="296"/>
      <c r="BW35" s="296"/>
      <c r="BX35" s="296"/>
      <c r="BY35" s="296"/>
      <c r="BZ35" s="296"/>
      <c r="CA35" s="296"/>
      <c r="CB35" s="296"/>
      <c r="CC35" s="296"/>
      <c r="CD35" s="296"/>
      <c r="CE35" s="296"/>
      <c r="CF35" s="296"/>
      <c r="CG35" s="296"/>
      <c r="CH35" s="296"/>
      <c r="CI35" s="296"/>
      <c r="CJ35" s="296"/>
      <c r="CK35" s="296"/>
      <c r="CL35" s="296"/>
      <c r="CM35" s="296"/>
      <c r="CN35" s="296"/>
      <c r="CO35" s="296"/>
      <c r="CP35" s="296"/>
      <c r="CQ35" s="296"/>
      <c r="CR35" s="296"/>
      <c r="CS35" s="297"/>
    </row>
    <row r="36" spans="1:97" s="147" customFormat="1" ht="46.5" customHeight="1">
      <c r="A36" s="272">
        <v>3</v>
      </c>
      <c r="B36" s="273"/>
      <c r="C36" s="292" t="s">
        <v>178</v>
      </c>
      <c r="D36" s="293"/>
      <c r="E36" s="293"/>
      <c r="F36" s="293"/>
      <c r="G36" s="293"/>
      <c r="H36" s="293"/>
      <c r="I36" s="294"/>
      <c r="J36" s="277"/>
      <c r="K36" s="278"/>
      <c r="L36" s="278"/>
      <c r="M36" s="278"/>
      <c r="N36" s="278"/>
      <c r="O36" s="278"/>
      <c r="P36" s="279"/>
      <c r="Q36" s="269"/>
      <c r="R36" s="269"/>
      <c r="S36" s="269"/>
      <c r="T36" s="269"/>
      <c r="U36" s="269"/>
      <c r="V36" s="269"/>
      <c r="W36" s="270"/>
      <c r="X36" s="280" t="s">
        <v>176</v>
      </c>
      <c r="Y36" s="281"/>
      <c r="Z36" s="281"/>
      <c r="AA36" s="281"/>
      <c r="AB36" s="281"/>
      <c r="AC36" s="281"/>
      <c r="AD36" s="282"/>
      <c r="AE36" s="283" t="s">
        <v>177</v>
      </c>
      <c r="AF36" s="281"/>
      <c r="AG36" s="281"/>
      <c r="AH36" s="281"/>
      <c r="AI36" s="281"/>
      <c r="AJ36" s="281"/>
      <c r="AK36" s="281"/>
      <c r="AL36" s="284"/>
      <c r="AM36" s="268" t="s">
        <v>102</v>
      </c>
      <c r="AN36" s="269"/>
      <c r="AO36" s="269"/>
      <c r="AP36" s="269"/>
      <c r="AQ36" s="269"/>
      <c r="AR36" s="269"/>
      <c r="AS36" s="269"/>
      <c r="AT36" s="269"/>
      <c r="AU36" s="269"/>
      <c r="AV36" s="270"/>
      <c r="AW36" s="291" t="s">
        <v>206</v>
      </c>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c r="CS36" s="271"/>
    </row>
    <row r="37" spans="1:97" s="147" customFormat="1" ht="33" customHeight="1">
      <c r="A37" s="272">
        <v>4</v>
      </c>
      <c r="B37" s="273"/>
      <c r="C37" s="274" t="s">
        <v>179</v>
      </c>
      <c r="D37" s="275"/>
      <c r="E37" s="275"/>
      <c r="F37" s="275"/>
      <c r="G37" s="275"/>
      <c r="H37" s="275"/>
      <c r="I37" s="276"/>
      <c r="J37" s="277"/>
      <c r="K37" s="278"/>
      <c r="L37" s="278"/>
      <c r="M37" s="278"/>
      <c r="N37" s="278"/>
      <c r="O37" s="278"/>
      <c r="P37" s="279"/>
      <c r="Q37" s="289"/>
      <c r="R37" s="289"/>
      <c r="S37" s="289"/>
      <c r="T37" s="289"/>
      <c r="U37" s="289"/>
      <c r="V37" s="289"/>
      <c r="W37" s="290"/>
      <c r="X37" s="280" t="s">
        <v>174</v>
      </c>
      <c r="Y37" s="281"/>
      <c r="Z37" s="281"/>
      <c r="AA37" s="281"/>
      <c r="AB37" s="281"/>
      <c r="AC37" s="281"/>
      <c r="AD37" s="282"/>
      <c r="AE37" s="283" t="s">
        <v>172</v>
      </c>
      <c r="AF37" s="281"/>
      <c r="AG37" s="281"/>
      <c r="AH37" s="281"/>
      <c r="AI37" s="281"/>
      <c r="AJ37" s="281"/>
      <c r="AK37" s="281"/>
      <c r="AL37" s="284"/>
      <c r="AM37" s="288" t="s">
        <v>180</v>
      </c>
      <c r="AN37" s="289"/>
      <c r="AO37" s="289"/>
      <c r="AP37" s="289"/>
      <c r="AQ37" s="289"/>
      <c r="AR37" s="289"/>
      <c r="AS37" s="289"/>
      <c r="AT37" s="289"/>
      <c r="AU37" s="289"/>
      <c r="AV37" s="290"/>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c r="CS37" s="271"/>
    </row>
    <row r="38" spans="1:97" s="147" customFormat="1">
      <c r="A38" s="272">
        <v>5</v>
      </c>
      <c r="B38" s="273"/>
      <c r="C38" s="274"/>
      <c r="D38" s="275"/>
      <c r="E38" s="275"/>
      <c r="F38" s="275"/>
      <c r="G38" s="275"/>
      <c r="H38" s="275"/>
      <c r="I38" s="276"/>
      <c r="J38" s="277"/>
      <c r="K38" s="278"/>
      <c r="L38" s="278"/>
      <c r="M38" s="278"/>
      <c r="N38" s="278"/>
      <c r="O38" s="278"/>
      <c r="P38" s="279"/>
      <c r="Q38" s="269"/>
      <c r="R38" s="269"/>
      <c r="S38" s="269"/>
      <c r="T38" s="269"/>
      <c r="U38" s="269"/>
      <c r="V38" s="269"/>
      <c r="W38" s="270"/>
      <c r="X38" s="280"/>
      <c r="Y38" s="281"/>
      <c r="Z38" s="281"/>
      <c r="AA38" s="281"/>
      <c r="AB38" s="281"/>
      <c r="AC38" s="281"/>
      <c r="AD38" s="282"/>
      <c r="AE38" s="283"/>
      <c r="AF38" s="281"/>
      <c r="AG38" s="281"/>
      <c r="AH38" s="281"/>
      <c r="AI38" s="281"/>
      <c r="AJ38" s="281"/>
      <c r="AK38" s="281"/>
      <c r="AL38" s="284"/>
      <c r="AM38" s="268"/>
      <c r="AN38" s="269"/>
      <c r="AO38" s="269"/>
      <c r="AP38" s="269"/>
      <c r="AQ38" s="269"/>
      <c r="AR38" s="269"/>
      <c r="AS38" s="269"/>
      <c r="AT38" s="269"/>
      <c r="AU38" s="269"/>
      <c r="AV38" s="270"/>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c r="CS38" s="271"/>
    </row>
    <row r="41" spans="1:97">
      <c r="C41" s="159" t="s">
        <v>181</v>
      </c>
      <c r="D41" s="160"/>
      <c r="E41" s="161"/>
      <c r="F41" s="162"/>
      <c r="G41" s="162"/>
      <c r="H41" s="162"/>
      <c r="I41" s="162"/>
      <c r="J41" s="162"/>
      <c r="K41" s="162"/>
      <c r="L41" s="163"/>
      <c r="P41" s="164" t="s">
        <v>182</v>
      </c>
    </row>
    <row r="42" spans="1:97">
      <c r="C42" s="165" t="s">
        <v>183</v>
      </c>
      <c r="D42" s="161"/>
      <c r="E42" s="161"/>
      <c r="F42" s="162"/>
      <c r="G42" s="162"/>
      <c r="H42" s="162"/>
      <c r="I42" s="161"/>
      <c r="J42" s="162"/>
      <c r="K42" s="162"/>
      <c r="L42" s="163"/>
      <c r="P42" s="166" t="s">
        <v>184</v>
      </c>
    </row>
    <row r="43" spans="1:97">
      <c r="C43" s="165" t="s">
        <v>185</v>
      </c>
      <c r="D43" s="161"/>
      <c r="E43" s="161"/>
      <c r="F43" s="162"/>
      <c r="G43" s="162"/>
      <c r="H43" s="162"/>
      <c r="I43" s="161"/>
      <c r="J43" s="162"/>
      <c r="K43" s="162"/>
      <c r="L43" s="163"/>
      <c r="P43" s="166" t="s">
        <v>186</v>
      </c>
    </row>
    <row r="44" spans="1:97">
      <c r="C44" s="165" t="s">
        <v>187</v>
      </c>
      <c r="D44" s="161"/>
      <c r="E44" s="161"/>
      <c r="F44" s="162"/>
      <c r="G44" s="162"/>
      <c r="H44" s="162"/>
      <c r="I44" s="161"/>
      <c r="J44" s="162"/>
      <c r="K44" s="162"/>
      <c r="L44" s="163"/>
    </row>
    <row r="45" spans="1:97">
      <c r="C45" s="165" t="s">
        <v>188</v>
      </c>
      <c r="D45" s="161"/>
      <c r="E45" s="161"/>
      <c r="F45" s="162"/>
      <c r="G45" s="162"/>
      <c r="H45" s="162"/>
      <c r="I45" s="161"/>
      <c r="J45" s="162"/>
      <c r="K45" s="162"/>
      <c r="L45" s="163"/>
      <c r="Q45" s="167"/>
      <c r="R45" s="167"/>
      <c r="S45" s="167"/>
      <c r="T45" s="167"/>
      <c r="U45" s="167"/>
      <c r="V45" s="168"/>
      <c r="W45" s="168"/>
      <c r="X45" s="168"/>
      <c r="Y45" s="168"/>
      <c r="Z45" s="167"/>
      <c r="AA45" s="167"/>
      <c r="AB45" s="167"/>
      <c r="AC45" s="167"/>
      <c r="AD45" s="167"/>
      <c r="AE45" s="167"/>
      <c r="AF45" s="167"/>
      <c r="AG45" s="168"/>
      <c r="AH45" s="168"/>
      <c r="AI45" s="168"/>
      <c r="AJ45" s="168"/>
      <c r="AK45" s="167"/>
      <c r="AL45" s="167"/>
      <c r="AM45" s="167"/>
      <c r="AN45" s="167"/>
      <c r="AO45" s="167"/>
      <c r="AP45" s="167"/>
      <c r="AQ45" s="167"/>
      <c r="AR45" s="167"/>
    </row>
    <row r="46" spans="1:97">
      <c r="C46" s="165" t="s">
        <v>189</v>
      </c>
      <c r="D46" s="161"/>
      <c r="E46" s="161"/>
      <c r="F46" s="162"/>
      <c r="G46" s="162"/>
      <c r="H46" s="162"/>
      <c r="I46" s="161"/>
      <c r="J46" s="162"/>
      <c r="K46" s="162"/>
      <c r="L46" s="163"/>
      <c r="Q46" s="169"/>
      <c r="R46" s="169"/>
      <c r="S46" s="169"/>
      <c r="T46" s="169"/>
      <c r="U46" s="169"/>
      <c r="V46" s="170"/>
      <c r="W46" s="170"/>
      <c r="X46" s="170"/>
      <c r="Y46" s="170"/>
      <c r="Z46" s="171"/>
      <c r="AA46" s="171"/>
      <c r="AB46" s="169"/>
      <c r="AC46" s="169"/>
      <c r="AD46" s="169"/>
      <c r="AE46" s="169"/>
      <c r="AF46" s="169"/>
      <c r="AG46" s="170"/>
      <c r="AH46" s="170"/>
      <c r="AI46" s="170"/>
      <c r="AJ46" s="170"/>
      <c r="AK46" s="171"/>
      <c r="AL46" s="171"/>
      <c r="AM46" s="171"/>
      <c r="AN46" s="171"/>
      <c r="AO46" s="171"/>
      <c r="AP46" s="171"/>
      <c r="AQ46" s="171"/>
      <c r="AR46" s="171"/>
    </row>
    <row r="47" spans="1:97">
      <c r="C47" s="165" t="s">
        <v>190</v>
      </c>
      <c r="D47" s="161"/>
      <c r="E47" s="161"/>
      <c r="F47" s="162"/>
      <c r="G47" s="162"/>
      <c r="H47" s="162"/>
      <c r="I47" s="161"/>
      <c r="J47" s="162"/>
      <c r="K47" s="162"/>
      <c r="L47" s="163"/>
      <c r="Q47" s="169"/>
      <c r="R47" s="169"/>
      <c r="S47" s="169"/>
      <c r="T47" s="169"/>
      <c r="U47" s="169"/>
      <c r="V47" s="170"/>
      <c r="W47" s="170"/>
      <c r="X47" s="170"/>
      <c r="Y47" s="170"/>
      <c r="Z47" s="171"/>
      <c r="AA47" s="171"/>
      <c r="AB47" s="169"/>
      <c r="AC47" s="169"/>
      <c r="AD47" s="169"/>
      <c r="AE47" s="169"/>
      <c r="AF47" s="169"/>
      <c r="AG47" s="170"/>
      <c r="AH47" s="170"/>
      <c r="AI47" s="170"/>
      <c r="AJ47" s="170"/>
      <c r="AK47" s="171"/>
      <c r="AL47" s="171"/>
      <c r="AM47" s="171"/>
      <c r="AN47" s="171"/>
      <c r="AO47" s="171"/>
      <c r="AP47" s="171"/>
      <c r="AQ47" s="171"/>
      <c r="AR47" s="171"/>
    </row>
    <row r="48" spans="1:97">
      <c r="C48" s="165" t="s">
        <v>191</v>
      </c>
      <c r="D48" s="161"/>
      <c r="E48" s="161"/>
      <c r="F48" s="162"/>
      <c r="G48" s="162"/>
      <c r="H48" s="162"/>
      <c r="I48" s="161"/>
      <c r="J48" s="162"/>
      <c r="K48" s="162"/>
      <c r="L48" s="163"/>
      <c r="Q48" s="169"/>
      <c r="R48" s="169"/>
      <c r="S48" s="169"/>
      <c r="T48" s="169"/>
      <c r="U48" s="169"/>
      <c r="V48" s="170"/>
      <c r="W48" s="170"/>
      <c r="X48" s="170"/>
      <c r="Y48" s="170"/>
      <c r="Z48" s="171"/>
      <c r="AA48" s="171"/>
      <c r="AB48" s="169"/>
      <c r="AC48" s="169"/>
      <c r="AD48" s="169"/>
      <c r="AE48" s="169"/>
      <c r="AF48" s="169"/>
      <c r="AG48" s="170"/>
      <c r="AH48" s="170"/>
      <c r="AI48" s="170"/>
      <c r="AJ48" s="170"/>
      <c r="AK48" s="171"/>
      <c r="AL48" s="171"/>
      <c r="AM48" s="171"/>
      <c r="AN48" s="171"/>
      <c r="AO48" s="171"/>
      <c r="AP48" s="171"/>
      <c r="AQ48" s="171"/>
      <c r="AR48" s="171"/>
    </row>
    <row r="49" spans="3:44">
      <c r="C49" s="165" t="s">
        <v>192</v>
      </c>
      <c r="D49" s="161"/>
      <c r="E49" s="161"/>
      <c r="F49" s="162"/>
      <c r="G49" s="162"/>
      <c r="H49" s="162"/>
      <c r="I49" s="161"/>
      <c r="J49" s="162"/>
      <c r="K49" s="162"/>
      <c r="L49" s="163"/>
      <c r="Q49" s="169"/>
      <c r="R49" s="169"/>
      <c r="S49" s="169"/>
      <c r="T49" s="169"/>
      <c r="U49" s="169"/>
      <c r="V49" s="170"/>
      <c r="W49" s="170"/>
      <c r="X49" s="170"/>
      <c r="Y49" s="170"/>
      <c r="Z49" s="171"/>
      <c r="AA49" s="171"/>
      <c r="AB49" s="169"/>
      <c r="AC49" s="169"/>
      <c r="AD49" s="169"/>
      <c r="AE49" s="169"/>
      <c r="AF49" s="169"/>
      <c r="AG49" s="170"/>
      <c r="AH49" s="170"/>
      <c r="AI49" s="170"/>
      <c r="AJ49" s="170"/>
      <c r="AK49" s="171"/>
      <c r="AL49" s="171"/>
      <c r="AM49" s="171"/>
      <c r="AN49" s="171"/>
      <c r="AO49" s="171"/>
      <c r="AP49" s="171"/>
      <c r="AQ49" s="171"/>
      <c r="AR49" s="171"/>
    </row>
    <row r="50" spans="3:44">
      <c r="C50" s="165" t="s">
        <v>193</v>
      </c>
      <c r="D50" s="161"/>
      <c r="E50" s="161"/>
      <c r="F50" s="162"/>
      <c r="G50" s="162"/>
      <c r="H50" s="162"/>
      <c r="I50" s="161"/>
      <c r="J50" s="162"/>
      <c r="K50" s="162"/>
      <c r="L50" s="163"/>
    </row>
    <row r="51" spans="3:44">
      <c r="C51" s="165" t="s">
        <v>194</v>
      </c>
      <c r="D51" s="161"/>
      <c r="E51" s="161"/>
      <c r="F51" s="162"/>
      <c r="G51" s="162"/>
      <c r="H51" s="162"/>
      <c r="I51" s="161"/>
      <c r="J51" s="162"/>
      <c r="K51" s="162"/>
      <c r="L51" s="163"/>
    </row>
    <row r="52" spans="3:44">
      <c r="C52" s="165" t="s">
        <v>195</v>
      </c>
      <c r="D52" s="161"/>
      <c r="E52" s="161"/>
      <c r="F52" s="162"/>
      <c r="G52" s="162"/>
      <c r="H52" s="162"/>
      <c r="I52" s="161"/>
      <c r="J52" s="162"/>
      <c r="K52" s="162"/>
      <c r="L52" s="163"/>
    </row>
    <row r="53" spans="3:44">
      <c r="C53" s="165" t="s">
        <v>196</v>
      </c>
      <c r="D53" s="161"/>
      <c r="E53" s="161"/>
      <c r="F53" s="162"/>
      <c r="G53" s="162"/>
      <c r="H53" s="162"/>
      <c r="I53" s="161"/>
      <c r="J53" s="162"/>
      <c r="K53" s="162"/>
      <c r="L53" s="163"/>
    </row>
    <row r="54" spans="3:44">
      <c r="C54" s="165" t="s">
        <v>197</v>
      </c>
      <c r="D54" s="161"/>
      <c r="E54" s="161"/>
      <c r="F54" s="162"/>
      <c r="G54" s="162"/>
      <c r="H54" s="162"/>
      <c r="I54" s="161"/>
      <c r="J54" s="162"/>
      <c r="K54" s="162"/>
      <c r="L54" s="163"/>
    </row>
    <row r="55" spans="3:44">
      <c r="C55" s="165" t="s">
        <v>198</v>
      </c>
      <c r="D55" s="161"/>
      <c r="E55" s="161"/>
      <c r="F55" s="162"/>
      <c r="G55" s="162"/>
      <c r="H55" s="162"/>
      <c r="I55" s="161"/>
      <c r="J55" s="162"/>
      <c r="K55" s="162"/>
      <c r="L55" s="163"/>
    </row>
    <row r="56" spans="3:44">
      <c r="C56" s="165" t="s">
        <v>199</v>
      </c>
      <c r="D56" s="161"/>
      <c r="E56" s="161"/>
      <c r="F56" s="162"/>
      <c r="G56" s="162"/>
      <c r="H56" s="162"/>
      <c r="I56" s="161"/>
      <c r="J56" s="162"/>
      <c r="K56" s="162"/>
      <c r="L56" s="163"/>
    </row>
    <row r="57" spans="3:44">
      <c r="C57" s="165" t="s">
        <v>200</v>
      </c>
      <c r="D57" s="161"/>
      <c r="E57" s="161"/>
      <c r="F57" s="162"/>
      <c r="G57" s="162"/>
      <c r="H57" s="162"/>
      <c r="I57" s="161"/>
      <c r="J57" s="162"/>
      <c r="K57" s="162"/>
      <c r="L57" s="163"/>
    </row>
    <row r="58" spans="3:44">
      <c r="C58" s="165" t="s">
        <v>201</v>
      </c>
      <c r="D58" s="161"/>
      <c r="E58" s="161"/>
      <c r="F58" s="162"/>
      <c r="G58" s="162"/>
      <c r="H58" s="162"/>
      <c r="I58" s="161"/>
      <c r="J58" s="162"/>
      <c r="K58" s="162"/>
      <c r="L58" s="163"/>
    </row>
    <row r="59" spans="3:44">
      <c r="C59" s="165" t="s">
        <v>202</v>
      </c>
      <c r="D59" s="161"/>
      <c r="E59" s="161"/>
      <c r="F59" s="162"/>
      <c r="G59" s="162"/>
      <c r="H59" s="162"/>
      <c r="I59" s="161"/>
      <c r="J59" s="162"/>
      <c r="K59" s="162"/>
      <c r="L59" s="163"/>
    </row>
    <row r="60" spans="3:44">
      <c r="C60" s="165" t="s">
        <v>203</v>
      </c>
      <c r="D60" s="161"/>
      <c r="E60" s="161"/>
      <c r="F60" s="162"/>
      <c r="G60" s="162"/>
      <c r="H60" s="162"/>
      <c r="I60" s="161"/>
      <c r="J60" s="162"/>
      <c r="K60" s="162"/>
      <c r="L60" s="163"/>
    </row>
    <row r="61" spans="3:44">
      <c r="C61" s="165" t="s">
        <v>204</v>
      </c>
      <c r="D61" s="161"/>
      <c r="E61" s="161"/>
      <c r="F61" s="162"/>
      <c r="G61" s="162"/>
      <c r="H61" s="162"/>
      <c r="I61" s="161"/>
      <c r="J61" s="162"/>
      <c r="K61" s="162"/>
      <c r="L61" s="163"/>
    </row>
    <row r="62" spans="3:44">
      <c r="C62" s="165" t="s">
        <v>131</v>
      </c>
      <c r="D62" s="161"/>
      <c r="E62" s="161"/>
      <c r="F62" s="162"/>
      <c r="G62" s="162"/>
      <c r="H62" s="162"/>
      <c r="I62" s="161"/>
      <c r="J62" s="162"/>
      <c r="K62" s="162"/>
      <c r="L62" s="163"/>
    </row>
  </sheetData>
  <mergeCells count="175">
    <mergeCell ref="A28:B28"/>
    <mergeCell ref="J28:P28"/>
    <mergeCell ref="Q28:Z28"/>
    <mergeCell ref="AB28:AK28"/>
    <mergeCell ref="AL28:BT28"/>
    <mergeCell ref="J32:W33"/>
    <mergeCell ref="X32:AD33"/>
    <mergeCell ref="AE32:AL33"/>
    <mergeCell ref="AM32:AV33"/>
    <mergeCell ref="J26:P26"/>
    <mergeCell ref="Q26:Z26"/>
    <mergeCell ref="AB26:AK26"/>
    <mergeCell ref="AL26:BT26"/>
    <mergeCell ref="A27:B27"/>
    <mergeCell ref="J27:P27"/>
    <mergeCell ref="Q27:Z27"/>
    <mergeCell ref="AB27:AK27"/>
    <mergeCell ref="AL27:BT27"/>
    <mergeCell ref="AB6:AK6"/>
    <mergeCell ref="AB7:AK7"/>
    <mergeCell ref="AB8:AK8"/>
    <mergeCell ref="AB9:AK9"/>
    <mergeCell ref="AB10:AK10"/>
    <mergeCell ref="AB11:AK11"/>
    <mergeCell ref="AB12:AK12"/>
    <mergeCell ref="AB20:AK20"/>
    <mergeCell ref="AB21:AK21"/>
    <mergeCell ref="AB13:AK13"/>
    <mergeCell ref="AB14:AK14"/>
    <mergeCell ref="K7:P7"/>
    <mergeCell ref="Q7:AA7"/>
    <mergeCell ref="AL7:BT7"/>
    <mergeCell ref="A8:B8"/>
    <mergeCell ref="J8:P8"/>
    <mergeCell ref="Q8:Z8"/>
    <mergeCell ref="AL8:BT8"/>
    <mergeCell ref="A9:B9"/>
    <mergeCell ref="J9:P9"/>
    <mergeCell ref="Q9:Z9"/>
    <mergeCell ref="AL9:BT9"/>
    <mergeCell ref="A1:I1"/>
    <mergeCell ref="A2:P2"/>
    <mergeCell ref="Q2:BT2"/>
    <mergeCell ref="A3:B4"/>
    <mergeCell ref="C3:P3"/>
    <mergeCell ref="C4:I4"/>
    <mergeCell ref="J4:P4"/>
    <mergeCell ref="Q3:AA4"/>
    <mergeCell ref="AB3:AK4"/>
    <mergeCell ref="Q5:AA5"/>
    <mergeCell ref="AL5:BT5"/>
    <mergeCell ref="AL3:BT4"/>
    <mergeCell ref="A5:B5"/>
    <mergeCell ref="C5:I5"/>
    <mergeCell ref="J5:P5"/>
    <mergeCell ref="AB5:AK5"/>
    <mergeCell ref="Q6:AA6"/>
    <mergeCell ref="AL6:BT6"/>
    <mergeCell ref="AL10:BT10"/>
    <mergeCell ref="A6:B6"/>
    <mergeCell ref="C6:I6"/>
    <mergeCell ref="J6:P6"/>
    <mergeCell ref="Q10:AA10"/>
    <mergeCell ref="A10:B10"/>
    <mergeCell ref="C10:I10"/>
    <mergeCell ref="K10:P10"/>
    <mergeCell ref="A7:B7"/>
    <mergeCell ref="C7:I7"/>
    <mergeCell ref="AL11:BT11"/>
    <mergeCell ref="A12:B12"/>
    <mergeCell ref="J12:P12"/>
    <mergeCell ref="Q12:Z12"/>
    <mergeCell ref="AL12:BT12"/>
    <mergeCell ref="A11:B11"/>
    <mergeCell ref="J11:P11"/>
    <mergeCell ref="Q11:Z11"/>
    <mergeCell ref="A14:B14"/>
    <mergeCell ref="J14:P14"/>
    <mergeCell ref="A13:B13"/>
    <mergeCell ref="J13:P13"/>
    <mergeCell ref="AL13:BT13"/>
    <mergeCell ref="A17:B17"/>
    <mergeCell ref="J17:P17"/>
    <mergeCell ref="A16:B16"/>
    <mergeCell ref="J16:P16"/>
    <mergeCell ref="A15:B15"/>
    <mergeCell ref="J15:P15"/>
    <mergeCell ref="A19:B19"/>
    <mergeCell ref="J19:P19"/>
    <mergeCell ref="AL19:BT19"/>
    <mergeCell ref="A18:B18"/>
    <mergeCell ref="J18:P18"/>
    <mergeCell ref="AL18:BT18"/>
    <mergeCell ref="Q20:AA20"/>
    <mergeCell ref="AL20:BT20"/>
    <mergeCell ref="A20:B20"/>
    <mergeCell ref="C20:I20"/>
    <mergeCell ref="J20:P20"/>
    <mergeCell ref="AL23:BT23"/>
    <mergeCell ref="Q21:AA21"/>
    <mergeCell ref="A21:B21"/>
    <mergeCell ref="C21:I21"/>
    <mergeCell ref="J21:P21"/>
    <mergeCell ref="AL21:BT21"/>
    <mergeCell ref="Q22:AA22"/>
    <mergeCell ref="AL22:BT22"/>
    <mergeCell ref="A22:B22"/>
    <mergeCell ref="C22:I22"/>
    <mergeCell ref="J22:P22"/>
    <mergeCell ref="Q23:AA23"/>
    <mergeCell ref="A23:B23"/>
    <mergeCell ref="C23:I23"/>
    <mergeCell ref="K23:P23"/>
    <mergeCell ref="AB22:AK22"/>
    <mergeCell ref="AB23:AK23"/>
    <mergeCell ref="Q29:Z29"/>
    <mergeCell ref="AL29:BT29"/>
    <mergeCell ref="Q25:Z25"/>
    <mergeCell ref="AL25:BT25"/>
    <mergeCell ref="A29:B29"/>
    <mergeCell ref="J29:P29"/>
    <mergeCell ref="A25:B25"/>
    <mergeCell ref="J25:P25"/>
    <mergeCell ref="AB25:AK25"/>
    <mergeCell ref="AB29:AK29"/>
    <mergeCell ref="A24:B24"/>
    <mergeCell ref="J24:P24"/>
    <mergeCell ref="Q24:Z24"/>
    <mergeCell ref="AB24:AK24"/>
    <mergeCell ref="AL24:BT24"/>
    <mergeCell ref="A26:B26"/>
    <mergeCell ref="A34:B34"/>
    <mergeCell ref="C34:I34"/>
    <mergeCell ref="J34:P34"/>
    <mergeCell ref="Q34:W34"/>
    <mergeCell ref="AW34:CS34"/>
    <mergeCell ref="A31:H31"/>
    <mergeCell ref="A32:B33"/>
    <mergeCell ref="C32:I33"/>
    <mergeCell ref="AW32:CS33"/>
    <mergeCell ref="X34:AD34"/>
    <mergeCell ref="AE34:AL34"/>
    <mergeCell ref="AM34:AV34"/>
    <mergeCell ref="Q36:W36"/>
    <mergeCell ref="AW36:CS36"/>
    <mergeCell ref="A36:B36"/>
    <mergeCell ref="C36:I36"/>
    <mergeCell ref="J36:P36"/>
    <mergeCell ref="Q35:W35"/>
    <mergeCell ref="AW35:CS35"/>
    <mergeCell ref="A35:B35"/>
    <mergeCell ref="C35:I35"/>
    <mergeCell ref="J35:P35"/>
    <mergeCell ref="X35:AD35"/>
    <mergeCell ref="AE35:AL35"/>
    <mergeCell ref="AM35:AV35"/>
    <mergeCell ref="X36:AD36"/>
    <mergeCell ref="AE36:AL36"/>
    <mergeCell ref="AM36:AV36"/>
    <mergeCell ref="Q38:W38"/>
    <mergeCell ref="AW38:CS38"/>
    <mergeCell ref="A38:B38"/>
    <mergeCell ref="C38:I38"/>
    <mergeCell ref="J38:P38"/>
    <mergeCell ref="Q37:W37"/>
    <mergeCell ref="AW37:CS37"/>
    <mergeCell ref="A37:B37"/>
    <mergeCell ref="C37:I37"/>
    <mergeCell ref="J37:P37"/>
    <mergeCell ref="X37:AD37"/>
    <mergeCell ref="AE37:AL37"/>
    <mergeCell ref="AM37:AV37"/>
    <mergeCell ref="X38:AD38"/>
    <mergeCell ref="AE38:AL38"/>
    <mergeCell ref="AM38:AV38"/>
  </mergeCells>
  <phoneticPr fontId="53"/>
  <conditionalFormatting sqref="AL6 AL23:AL29 Q5:Q29">
    <cfRule type="expression" dxfId="8" priority="17" stopIfTrue="1">
      <formula>FIND("○",#REF!)</formula>
    </cfRule>
  </conditionalFormatting>
  <conditionalFormatting sqref="AL5">
    <cfRule type="expression" dxfId="7" priority="19" stopIfTrue="1">
      <formula>FIND("○",#REF!)</formula>
    </cfRule>
  </conditionalFormatting>
  <conditionalFormatting sqref="AL12:AL19">
    <cfRule type="expression" dxfId="6" priority="25" stopIfTrue="1">
      <formula>FIND("○",#REF!)</formula>
    </cfRule>
  </conditionalFormatting>
  <conditionalFormatting sqref="AL20:AL21">
    <cfRule type="expression" dxfId="5" priority="15" stopIfTrue="1">
      <formula>FIND("○",#REF!)</formula>
    </cfRule>
  </conditionalFormatting>
  <conditionalFormatting sqref="AL22">
    <cfRule type="expression" dxfId="4" priority="18" stopIfTrue="1">
      <formula>FIND("○",#REF!)</formula>
    </cfRule>
  </conditionalFormatting>
  <conditionalFormatting sqref="AL10:AL11">
    <cfRule type="expression" dxfId="3" priority="39" stopIfTrue="1">
      <formula>FIND("○",#REF!)</formula>
    </cfRule>
  </conditionalFormatting>
  <conditionalFormatting sqref="AL9">
    <cfRule type="expression" dxfId="2" priority="2" stopIfTrue="1">
      <formula>FIND("○",#REF!)</formula>
    </cfRule>
  </conditionalFormatting>
  <conditionalFormatting sqref="AL7:AL8">
    <cfRule type="expression" dxfId="1" priority="3" stopIfTrue="1">
      <formula>FIND("○",#REF!)</formula>
    </cfRule>
  </conditionalFormatting>
  <conditionalFormatting sqref="AB5:AB29">
    <cfRule type="expression" dxfId="0" priority="1" stopIfTrue="1">
      <formula>FIND("○",#REF!)</formula>
    </cfRule>
  </conditionalFormatting>
  <dataValidations count="5">
    <dataValidation type="list" allowBlank="1" showInputMessage="1" showErrorMessage="1" sqref="U65576:X65576 IG65576:IJ65576 SC65576:SF65576 ABY65576:ACB65576 ALU65576:ALX65576 AVQ65576:AVT65576 BFM65576:BFP65576 BPI65576:BPL65576 BZE65576:BZH65576 CJA65576:CJD65576 CSW65576:CSZ65576 DCS65576:DCV65576 DMO65576:DMR65576 DWK65576:DWN65576 EGG65576:EGJ65576 EQC65576:EQF65576 EZY65576:FAB65576 FJU65576:FJX65576 FTQ65576:FTT65576 GDM65576:GDP65576 GNI65576:GNL65576 GXE65576:GXH65576 HHA65576:HHD65576 HQW65576:HQZ65576 IAS65576:IAV65576 IKO65576:IKR65576 IUK65576:IUN65576 JEG65576:JEJ65576 JOC65576:JOF65576 JXY65576:JYB65576 KHU65576:KHX65576 KRQ65576:KRT65576 LBM65576:LBP65576 LLI65576:LLL65576 LVE65576:LVH65576 MFA65576:MFD65576 MOW65576:MOZ65576 MYS65576:MYV65576 NIO65576:NIR65576 NSK65576:NSN65576 OCG65576:OCJ65576 OMC65576:OMF65576 OVY65576:OWB65576 PFU65576:PFX65576 PPQ65576:PPT65576 PZM65576:PZP65576 QJI65576:QJL65576 QTE65576:QTH65576 RDA65576:RDD65576 RMW65576:RMZ65576 RWS65576:RWV65576 SGO65576:SGR65576 SQK65576:SQN65576 TAG65576:TAJ65576 TKC65576:TKF65576 TTY65576:TUB65576 UDU65576:UDX65576 UNQ65576:UNT65576 UXM65576:UXP65576 VHI65576:VHL65576 VRE65576:VRH65576 WBA65576:WBD65576 WKW65576:WKZ65576 WUS65576:WUV65576 U131112:X131112 IG131112:IJ131112 SC131112:SF131112 ABY131112:ACB131112 ALU131112:ALX131112 AVQ131112:AVT131112 BFM131112:BFP131112 BPI131112:BPL131112 BZE131112:BZH131112 CJA131112:CJD131112 CSW131112:CSZ131112 DCS131112:DCV131112 DMO131112:DMR131112 DWK131112:DWN131112 EGG131112:EGJ131112 EQC131112:EQF131112 EZY131112:FAB131112 FJU131112:FJX131112 FTQ131112:FTT131112 GDM131112:GDP131112 GNI131112:GNL131112 GXE131112:GXH131112 HHA131112:HHD131112 HQW131112:HQZ131112 IAS131112:IAV131112 IKO131112:IKR131112 IUK131112:IUN131112 JEG131112:JEJ131112 JOC131112:JOF131112 JXY131112:JYB131112 KHU131112:KHX131112 KRQ131112:KRT131112 LBM131112:LBP131112 LLI131112:LLL131112 LVE131112:LVH131112 MFA131112:MFD131112 MOW131112:MOZ131112 MYS131112:MYV131112 NIO131112:NIR131112 NSK131112:NSN131112 OCG131112:OCJ131112 OMC131112:OMF131112 OVY131112:OWB131112 PFU131112:PFX131112 PPQ131112:PPT131112 PZM131112:PZP131112 QJI131112:QJL131112 QTE131112:QTH131112 RDA131112:RDD131112 RMW131112:RMZ131112 RWS131112:RWV131112 SGO131112:SGR131112 SQK131112:SQN131112 TAG131112:TAJ131112 TKC131112:TKF131112 TTY131112:TUB131112 UDU131112:UDX131112 UNQ131112:UNT131112 UXM131112:UXP131112 VHI131112:VHL131112 VRE131112:VRH131112 WBA131112:WBD131112 WKW131112:WKZ131112 WUS131112:WUV131112 U196648:X196648 IG196648:IJ196648 SC196648:SF196648 ABY196648:ACB196648 ALU196648:ALX196648 AVQ196648:AVT196648 BFM196648:BFP196648 BPI196648:BPL196648 BZE196648:BZH196648 CJA196648:CJD196648 CSW196648:CSZ196648 DCS196648:DCV196648 DMO196648:DMR196648 DWK196648:DWN196648 EGG196648:EGJ196648 EQC196648:EQF196648 EZY196648:FAB196648 FJU196648:FJX196648 FTQ196648:FTT196648 GDM196648:GDP196648 GNI196648:GNL196648 GXE196648:GXH196648 HHA196648:HHD196648 HQW196648:HQZ196648 IAS196648:IAV196648 IKO196648:IKR196648 IUK196648:IUN196648 JEG196648:JEJ196648 JOC196648:JOF196648 JXY196648:JYB196648 KHU196648:KHX196648 KRQ196648:KRT196648 LBM196648:LBP196648 LLI196648:LLL196648 LVE196648:LVH196648 MFA196648:MFD196648 MOW196648:MOZ196648 MYS196648:MYV196648 NIO196648:NIR196648 NSK196648:NSN196648 OCG196648:OCJ196648 OMC196648:OMF196648 OVY196648:OWB196648 PFU196648:PFX196648 PPQ196648:PPT196648 PZM196648:PZP196648 QJI196648:QJL196648 QTE196648:QTH196648 RDA196648:RDD196648 RMW196648:RMZ196648 RWS196648:RWV196648 SGO196648:SGR196648 SQK196648:SQN196648 TAG196648:TAJ196648 TKC196648:TKF196648 TTY196648:TUB196648 UDU196648:UDX196648 UNQ196648:UNT196648 UXM196648:UXP196648 VHI196648:VHL196648 VRE196648:VRH196648 WBA196648:WBD196648 WKW196648:WKZ196648 WUS196648:WUV196648 U262184:X262184 IG262184:IJ262184 SC262184:SF262184 ABY262184:ACB262184 ALU262184:ALX262184 AVQ262184:AVT262184 BFM262184:BFP262184 BPI262184:BPL262184 BZE262184:BZH262184 CJA262184:CJD262184 CSW262184:CSZ262184 DCS262184:DCV262184 DMO262184:DMR262184 DWK262184:DWN262184 EGG262184:EGJ262184 EQC262184:EQF262184 EZY262184:FAB262184 FJU262184:FJX262184 FTQ262184:FTT262184 GDM262184:GDP262184 GNI262184:GNL262184 GXE262184:GXH262184 HHA262184:HHD262184 HQW262184:HQZ262184 IAS262184:IAV262184 IKO262184:IKR262184 IUK262184:IUN262184 JEG262184:JEJ262184 JOC262184:JOF262184 JXY262184:JYB262184 KHU262184:KHX262184 KRQ262184:KRT262184 LBM262184:LBP262184 LLI262184:LLL262184 LVE262184:LVH262184 MFA262184:MFD262184 MOW262184:MOZ262184 MYS262184:MYV262184 NIO262184:NIR262184 NSK262184:NSN262184 OCG262184:OCJ262184 OMC262184:OMF262184 OVY262184:OWB262184 PFU262184:PFX262184 PPQ262184:PPT262184 PZM262184:PZP262184 QJI262184:QJL262184 QTE262184:QTH262184 RDA262184:RDD262184 RMW262184:RMZ262184 RWS262184:RWV262184 SGO262184:SGR262184 SQK262184:SQN262184 TAG262184:TAJ262184 TKC262184:TKF262184 TTY262184:TUB262184 UDU262184:UDX262184 UNQ262184:UNT262184 UXM262184:UXP262184 VHI262184:VHL262184 VRE262184:VRH262184 WBA262184:WBD262184 WKW262184:WKZ262184 WUS262184:WUV262184 U327720:X327720 IG327720:IJ327720 SC327720:SF327720 ABY327720:ACB327720 ALU327720:ALX327720 AVQ327720:AVT327720 BFM327720:BFP327720 BPI327720:BPL327720 BZE327720:BZH327720 CJA327720:CJD327720 CSW327720:CSZ327720 DCS327720:DCV327720 DMO327720:DMR327720 DWK327720:DWN327720 EGG327720:EGJ327720 EQC327720:EQF327720 EZY327720:FAB327720 FJU327720:FJX327720 FTQ327720:FTT327720 GDM327720:GDP327720 GNI327720:GNL327720 GXE327720:GXH327720 HHA327720:HHD327720 HQW327720:HQZ327720 IAS327720:IAV327720 IKO327720:IKR327720 IUK327720:IUN327720 JEG327720:JEJ327720 JOC327720:JOF327720 JXY327720:JYB327720 KHU327720:KHX327720 KRQ327720:KRT327720 LBM327720:LBP327720 LLI327720:LLL327720 LVE327720:LVH327720 MFA327720:MFD327720 MOW327720:MOZ327720 MYS327720:MYV327720 NIO327720:NIR327720 NSK327720:NSN327720 OCG327720:OCJ327720 OMC327720:OMF327720 OVY327720:OWB327720 PFU327720:PFX327720 PPQ327720:PPT327720 PZM327720:PZP327720 QJI327720:QJL327720 QTE327720:QTH327720 RDA327720:RDD327720 RMW327720:RMZ327720 RWS327720:RWV327720 SGO327720:SGR327720 SQK327720:SQN327720 TAG327720:TAJ327720 TKC327720:TKF327720 TTY327720:TUB327720 UDU327720:UDX327720 UNQ327720:UNT327720 UXM327720:UXP327720 VHI327720:VHL327720 VRE327720:VRH327720 WBA327720:WBD327720 WKW327720:WKZ327720 WUS327720:WUV327720 U393256:X393256 IG393256:IJ393256 SC393256:SF393256 ABY393256:ACB393256 ALU393256:ALX393256 AVQ393256:AVT393256 BFM393256:BFP393256 BPI393256:BPL393256 BZE393256:BZH393256 CJA393256:CJD393256 CSW393256:CSZ393256 DCS393256:DCV393256 DMO393256:DMR393256 DWK393256:DWN393256 EGG393256:EGJ393256 EQC393256:EQF393256 EZY393256:FAB393256 FJU393256:FJX393256 FTQ393256:FTT393256 GDM393256:GDP393256 GNI393256:GNL393256 GXE393256:GXH393256 HHA393256:HHD393256 HQW393256:HQZ393256 IAS393256:IAV393256 IKO393256:IKR393256 IUK393256:IUN393256 JEG393256:JEJ393256 JOC393256:JOF393256 JXY393256:JYB393256 KHU393256:KHX393256 KRQ393256:KRT393256 LBM393256:LBP393256 LLI393256:LLL393256 LVE393256:LVH393256 MFA393256:MFD393256 MOW393256:MOZ393256 MYS393256:MYV393256 NIO393256:NIR393256 NSK393256:NSN393256 OCG393256:OCJ393256 OMC393256:OMF393256 OVY393256:OWB393256 PFU393256:PFX393256 PPQ393256:PPT393256 PZM393256:PZP393256 QJI393256:QJL393256 QTE393256:QTH393256 RDA393256:RDD393256 RMW393256:RMZ393256 RWS393256:RWV393256 SGO393256:SGR393256 SQK393256:SQN393256 TAG393256:TAJ393256 TKC393256:TKF393256 TTY393256:TUB393256 UDU393256:UDX393256 UNQ393256:UNT393256 UXM393256:UXP393256 VHI393256:VHL393256 VRE393256:VRH393256 WBA393256:WBD393256 WKW393256:WKZ393256 WUS393256:WUV393256 U458792:X458792 IG458792:IJ458792 SC458792:SF458792 ABY458792:ACB458792 ALU458792:ALX458792 AVQ458792:AVT458792 BFM458792:BFP458792 BPI458792:BPL458792 BZE458792:BZH458792 CJA458792:CJD458792 CSW458792:CSZ458792 DCS458792:DCV458792 DMO458792:DMR458792 DWK458792:DWN458792 EGG458792:EGJ458792 EQC458792:EQF458792 EZY458792:FAB458792 FJU458792:FJX458792 FTQ458792:FTT458792 GDM458792:GDP458792 GNI458792:GNL458792 GXE458792:GXH458792 HHA458792:HHD458792 HQW458792:HQZ458792 IAS458792:IAV458792 IKO458792:IKR458792 IUK458792:IUN458792 JEG458792:JEJ458792 JOC458792:JOF458792 JXY458792:JYB458792 KHU458792:KHX458792 KRQ458792:KRT458792 LBM458792:LBP458792 LLI458792:LLL458792 LVE458792:LVH458792 MFA458792:MFD458792 MOW458792:MOZ458792 MYS458792:MYV458792 NIO458792:NIR458792 NSK458792:NSN458792 OCG458792:OCJ458792 OMC458792:OMF458792 OVY458792:OWB458792 PFU458792:PFX458792 PPQ458792:PPT458792 PZM458792:PZP458792 QJI458792:QJL458792 QTE458792:QTH458792 RDA458792:RDD458792 RMW458792:RMZ458792 RWS458792:RWV458792 SGO458792:SGR458792 SQK458792:SQN458792 TAG458792:TAJ458792 TKC458792:TKF458792 TTY458792:TUB458792 UDU458792:UDX458792 UNQ458792:UNT458792 UXM458792:UXP458792 VHI458792:VHL458792 VRE458792:VRH458792 WBA458792:WBD458792 WKW458792:WKZ458792 WUS458792:WUV458792 U524328:X524328 IG524328:IJ524328 SC524328:SF524328 ABY524328:ACB524328 ALU524328:ALX524328 AVQ524328:AVT524328 BFM524328:BFP524328 BPI524328:BPL524328 BZE524328:BZH524328 CJA524328:CJD524328 CSW524328:CSZ524328 DCS524328:DCV524328 DMO524328:DMR524328 DWK524328:DWN524328 EGG524328:EGJ524328 EQC524328:EQF524328 EZY524328:FAB524328 FJU524328:FJX524328 FTQ524328:FTT524328 GDM524328:GDP524328 GNI524328:GNL524328 GXE524328:GXH524328 HHA524328:HHD524328 HQW524328:HQZ524328 IAS524328:IAV524328 IKO524328:IKR524328 IUK524328:IUN524328 JEG524328:JEJ524328 JOC524328:JOF524328 JXY524328:JYB524328 KHU524328:KHX524328 KRQ524328:KRT524328 LBM524328:LBP524328 LLI524328:LLL524328 LVE524328:LVH524328 MFA524328:MFD524328 MOW524328:MOZ524328 MYS524328:MYV524328 NIO524328:NIR524328 NSK524328:NSN524328 OCG524328:OCJ524328 OMC524328:OMF524328 OVY524328:OWB524328 PFU524328:PFX524328 PPQ524328:PPT524328 PZM524328:PZP524328 QJI524328:QJL524328 QTE524328:QTH524328 RDA524328:RDD524328 RMW524328:RMZ524328 RWS524328:RWV524328 SGO524328:SGR524328 SQK524328:SQN524328 TAG524328:TAJ524328 TKC524328:TKF524328 TTY524328:TUB524328 UDU524328:UDX524328 UNQ524328:UNT524328 UXM524328:UXP524328 VHI524328:VHL524328 VRE524328:VRH524328 WBA524328:WBD524328 WKW524328:WKZ524328 WUS524328:WUV524328 U589864:X589864 IG589864:IJ589864 SC589864:SF589864 ABY589864:ACB589864 ALU589864:ALX589864 AVQ589864:AVT589864 BFM589864:BFP589864 BPI589864:BPL589864 BZE589864:BZH589864 CJA589864:CJD589864 CSW589864:CSZ589864 DCS589864:DCV589864 DMO589864:DMR589864 DWK589864:DWN589864 EGG589864:EGJ589864 EQC589864:EQF589864 EZY589864:FAB589864 FJU589864:FJX589864 FTQ589864:FTT589864 GDM589864:GDP589864 GNI589864:GNL589864 GXE589864:GXH589864 HHA589864:HHD589864 HQW589864:HQZ589864 IAS589864:IAV589864 IKO589864:IKR589864 IUK589864:IUN589864 JEG589864:JEJ589864 JOC589864:JOF589864 JXY589864:JYB589864 KHU589864:KHX589864 KRQ589864:KRT589864 LBM589864:LBP589864 LLI589864:LLL589864 LVE589864:LVH589864 MFA589864:MFD589864 MOW589864:MOZ589864 MYS589864:MYV589864 NIO589864:NIR589864 NSK589864:NSN589864 OCG589864:OCJ589864 OMC589864:OMF589864 OVY589864:OWB589864 PFU589864:PFX589864 PPQ589864:PPT589864 PZM589864:PZP589864 QJI589864:QJL589864 QTE589864:QTH589864 RDA589864:RDD589864 RMW589864:RMZ589864 RWS589864:RWV589864 SGO589864:SGR589864 SQK589864:SQN589864 TAG589864:TAJ589864 TKC589864:TKF589864 TTY589864:TUB589864 UDU589864:UDX589864 UNQ589864:UNT589864 UXM589864:UXP589864 VHI589864:VHL589864 VRE589864:VRH589864 WBA589864:WBD589864 WKW589864:WKZ589864 WUS589864:WUV589864 U655400:X655400 IG655400:IJ655400 SC655400:SF655400 ABY655400:ACB655400 ALU655400:ALX655400 AVQ655400:AVT655400 BFM655400:BFP655400 BPI655400:BPL655400 BZE655400:BZH655400 CJA655400:CJD655400 CSW655400:CSZ655400 DCS655400:DCV655400 DMO655400:DMR655400 DWK655400:DWN655400 EGG655400:EGJ655400 EQC655400:EQF655400 EZY655400:FAB655400 FJU655400:FJX655400 FTQ655400:FTT655400 GDM655400:GDP655400 GNI655400:GNL655400 GXE655400:GXH655400 HHA655400:HHD655400 HQW655400:HQZ655400 IAS655400:IAV655400 IKO655400:IKR655400 IUK655400:IUN655400 JEG655400:JEJ655400 JOC655400:JOF655400 JXY655400:JYB655400 KHU655400:KHX655400 KRQ655400:KRT655400 LBM655400:LBP655400 LLI655400:LLL655400 LVE655400:LVH655400 MFA655400:MFD655400 MOW655400:MOZ655400 MYS655400:MYV655400 NIO655400:NIR655400 NSK655400:NSN655400 OCG655400:OCJ655400 OMC655400:OMF655400 OVY655400:OWB655400 PFU655400:PFX655400 PPQ655400:PPT655400 PZM655400:PZP655400 QJI655400:QJL655400 QTE655400:QTH655400 RDA655400:RDD655400 RMW655400:RMZ655400 RWS655400:RWV655400 SGO655400:SGR655400 SQK655400:SQN655400 TAG655400:TAJ655400 TKC655400:TKF655400 TTY655400:TUB655400 UDU655400:UDX655400 UNQ655400:UNT655400 UXM655400:UXP655400 VHI655400:VHL655400 VRE655400:VRH655400 WBA655400:WBD655400 WKW655400:WKZ655400 WUS655400:WUV655400 U720936:X720936 IG720936:IJ720936 SC720936:SF720936 ABY720936:ACB720936 ALU720936:ALX720936 AVQ720936:AVT720936 BFM720936:BFP720936 BPI720936:BPL720936 BZE720936:BZH720936 CJA720936:CJD720936 CSW720936:CSZ720936 DCS720936:DCV720936 DMO720936:DMR720936 DWK720936:DWN720936 EGG720936:EGJ720936 EQC720936:EQF720936 EZY720936:FAB720936 FJU720936:FJX720936 FTQ720936:FTT720936 GDM720936:GDP720936 GNI720936:GNL720936 GXE720936:GXH720936 HHA720936:HHD720936 HQW720936:HQZ720936 IAS720936:IAV720936 IKO720936:IKR720936 IUK720936:IUN720936 JEG720936:JEJ720936 JOC720936:JOF720936 JXY720936:JYB720936 KHU720936:KHX720936 KRQ720936:KRT720936 LBM720936:LBP720936 LLI720936:LLL720936 LVE720936:LVH720936 MFA720936:MFD720936 MOW720936:MOZ720936 MYS720936:MYV720936 NIO720936:NIR720936 NSK720936:NSN720936 OCG720936:OCJ720936 OMC720936:OMF720936 OVY720936:OWB720936 PFU720936:PFX720936 PPQ720936:PPT720936 PZM720936:PZP720936 QJI720936:QJL720936 QTE720936:QTH720936 RDA720936:RDD720936 RMW720936:RMZ720936 RWS720936:RWV720936 SGO720936:SGR720936 SQK720936:SQN720936 TAG720936:TAJ720936 TKC720936:TKF720936 TTY720936:TUB720936 UDU720936:UDX720936 UNQ720936:UNT720936 UXM720936:UXP720936 VHI720936:VHL720936 VRE720936:VRH720936 WBA720936:WBD720936 WKW720936:WKZ720936 WUS720936:WUV720936 U786472:X786472 IG786472:IJ786472 SC786472:SF786472 ABY786472:ACB786472 ALU786472:ALX786472 AVQ786472:AVT786472 BFM786472:BFP786472 BPI786472:BPL786472 BZE786472:BZH786472 CJA786472:CJD786472 CSW786472:CSZ786472 DCS786472:DCV786472 DMO786472:DMR786472 DWK786472:DWN786472 EGG786472:EGJ786472 EQC786472:EQF786472 EZY786472:FAB786472 FJU786472:FJX786472 FTQ786472:FTT786472 GDM786472:GDP786472 GNI786472:GNL786472 GXE786472:GXH786472 HHA786472:HHD786472 HQW786472:HQZ786472 IAS786472:IAV786472 IKO786472:IKR786472 IUK786472:IUN786472 JEG786472:JEJ786472 JOC786472:JOF786472 JXY786472:JYB786472 KHU786472:KHX786472 KRQ786472:KRT786472 LBM786472:LBP786472 LLI786472:LLL786472 LVE786472:LVH786472 MFA786472:MFD786472 MOW786472:MOZ786472 MYS786472:MYV786472 NIO786472:NIR786472 NSK786472:NSN786472 OCG786472:OCJ786472 OMC786472:OMF786472 OVY786472:OWB786472 PFU786472:PFX786472 PPQ786472:PPT786472 PZM786472:PZP786472 QJI786472:QJL786472 QTE786472:QTH786472 RDA786472:RDD786472 RMW786472:RMZ786472 RWS786472:RWV786472 SGO786472:SGR786472 SQK786472:SQN786472 TAG786472:TAJ786472 TKC786472:TKF786472 TTY786472:TUB786472 UDU786472:UDX786472 UNQ786472:UNT786472 UXM786472:UXP786472 VHI786472:VHL786472 VRE786472:VRH786472 WBA786472:WBD786472 WKW786472:WKZ786472 WUS786472:WUV786472 U852008:X852008 IG852008:IJ852008 SC852008:SF852008 ABY852008:ACB852008 ALU852008:ALX852008 AVQ852008:AVT852008 BFM852008:BFP852008 BPI852008:BPL852008 BZE852008:BZH852008 CJA852008:CJD852008 CSW852008:CSZ852008 DCS852008:DCV852008 DMO852008:DMR852008 DWK852008:DWN852008 EGG852008:EGJ852008 EQC852008:EQF852008 EZY852008:FAB852008 FJU852008:FJX852008 FTQ852008:FTT852008 GDM852008:GDP852008 GNI852008:GNL852008 GXE852008:GXH852008 HHA852008:HHD852008 HQW852008:HQZ852008 IAS852008:IAV852008 IKO852008:IKR852008 IUK852008:IUN852008 JEG852008:JEJ852008 JOC852008:JOF852008 JXY852008:JYB852008 KHU852008:KHX852008 KRQ852008:KRT852008 LBM852008:LBP852008 LLI852008:LLL852008 LVE852008:LVH852008 MFA852008:MFD852008 MOW852008:MOZ852008 MYS852008:MYV852008 NIO852008:NIR852008 NSK852008:NSN852008 OCG852008:OCJ852008 OMC852008:OMF852008 OVY852008:OWB852008 PFU852008:PFX852008 PPQ852008:PPT852008 PZM852008:PZP852008 QJI852008:QJL852008 QTE852008:QTH852008 RDA852008:RDD852008 RMW852008:RMZ852008 RWS852008:RWV852008 SGO852008:SGR852008 SQK852008:SQN852008 TAG852008:TAJ852008 TKC852008:TKF852008 TTY852008:TUB852008 UDU852008:UDX852008 UNQ852008:UNT852008 UXM852008:UXP852008 VHI852008:VHL852008 VRE852008:VRH852008 WBA852008:WBD852008 WKW852008:WKZ852008 WUS852008:WUV852008 U917544:X917544 IG917544:IJ917544 SC917544:SF917544 ABY917544:ACB917544 ALU917544:ALX917544 AVQ917544:AVT917544 BFM917544:BFP917544 BPI917544:BPL917544 BZE917544:BZH917544 CJA917544:CJD917544 CSW917544:CSZ917544 DCS917544:DCV917544 DMO917544:DMR917544 DWK917544:DWN917544 EGG917544:EGJ917544 EQC917544:EQF917544 EZY917544:FAB917544 FJU917544:FJX917544 FTQ917544:FTT917544 GDM917544:GDP917544 GNI917544:GNL917544 GXE917544:GXH917544 HHA917544:HHD917544 HQW917544:HQZ917544 IAS917544:IAV917544 IKO917544:IKR917544 IUK917544:IUN917544 JEG917544:JEJ917544 JOC917544:JOF917544 JXY917544:JYB917544 KHU917544:KHX917544 KRQ917544:KRT917544 LBM917544:LBP917544 LLI917544:LLL917544 LVE917544:LVH917544 MFA917544:MFD917544 MOW917544:MOZ917544 MYS917544:MYV917544 NIO917544:NIR917544 NSK917544:NSN917544 OCG917544:OCJ917544 OMC917544:OMF917544 OVY917544:OWB917544 PFU917544:PFX917544 PPQ917544:PPT917544 PZM917544:PZP917544 QJI917544:QJL917544 QTE917544:QTH917544 RDA917544:RDD917544 RMW917544:RMZ917544 RWS917544:RWV917544 SGO917544:SGR917544 SQK917544:SQN917544 TAG917544:TAJ917544 TKC917544:TKF917544 TTY917544:TUB917544 UDU917544:UDX917544 UNQ917544:UNT917544 UXM917544:UXP917544 VHI917544:VHL917544 VRE917544:VRH917544 WBA917544:WBD917544 WKW917544:WKZ917544 WUS917544:WUV917544 U983080:X983080 IG983080:IJ983080 SC983080:SF983080 ABY983080:ACB983080 ALU983080:ALX983080 AVQ983080:AVT983080 BFM983080:BFP983080 BPI983080:BPL983080 BZE983080:BZH983080 CJA983080:CJD983080 CSW983080:CSZ983080 DCS983080:DCV983080 DMO983080:DMR983080 DWK983080:DWN983080 EGG983080:EGJ983080 EQC983080:EQF983080 EZY983080:FAB983080 FJU983080:FJX983080 FTQ983080:FTT983080 GDM983080:GDP983080 GNI983080:GNL983080 GXE983080:GXH983080 HHA983080:HHD983080 HQW983080:HQZ983080 IAS983080:IAV983080 IKO983080:IKR983080 IUK983080:IUN983080 JEG983080:JEJ983080 JOC983080:JOF983080 JXY983080:JYB983080 KHU983080:KHX983080 KRQ983080:KRT983080 LBM983080:LBP983080 LLI983080:LLL983080 LVE983080:LVH983080 MFA983080:MFD983080 MOW983080:MOZ983080 MYS983080:MYV983080 NIO983080:NIR983080 NSK983080:NSN983080 OCG983080:OCJ983080 OMC983080:OMF983080 OVY983080:OWB983080 PFU983080:PFX983080 PPQ983080:PPT983080 PZM983080:PZP983080 QJI983080:QJL983080 QTE983080:QTH983080 RDA983080:RDD983080 RMW983080:RMZ983080 RWS983080:RWV983080 SGO983080:SGR983080 SQK983080:SQN983080 TAG983080:TAJ983080 TKC983080:TKF983080 TTY983080:TUB983080 UDU983080:UDX983080 UNQ983080:UNT983080 UXM983080:UXP983080 VHI983080:VHL983080 VRE983080:VRH983080 WBA983080:WBD983080 WKW983080:WKZ983080 WUS983080:WUV983080 IB983079:IE983079 RX983079:SA983079 ABT983079:ABW983079 ALP983079:ALS983079 AVL983079:AVO983079 BFH983079:BFK983079 BPD983079:BPG983079 BYZ983079:BZC983079 CIV983079:CIY983079 CSR983079:CSU983079 DCN983079:DCQ983079 DMJ983079:DMM983079 DWF983079:DWI983079 EGB983079:EGE983079 EPX983079:EQA983079 EZT983079:EZW983079 FJP983079:FJS983079 FTL983079:FTO983079 GDH983079:GDK983079 GND983079:GNG983079 GWZ983079:GXC983079 HGV983079:HGY983079 HQR983079:HQU983079 IAN983079:IAQ983079 IKJ983079:IKM983079 IUF983079:IUI983079 JEB983079:JEE983079 JNX983079:JOA983079 JXT983079:JXW983079 KHP983079:KHS983079 KRL983079:KRO983079 LBH983079:LBK983079 LLD983079:LLG983079 LUZ983079:LVC983079 MEV983079:MEY983079 MOR983079:MOU983079 MYN983079:MYQ983079 NIJ983079:NIM983079 NSF983079:NSI983079 OCB983079:OCE983079 OLX983079:OMA983079 OVT983079:OVW983079 PFP983079:PFS983079 PPL983079:PPO983079 PZH983079:PZK983079 QJD983079:QJG983079 QSZ983079:QTC983079 RCV983079:RCY983079 RMR983079:RMU983079 RWN983079:RWQ983079 SGJ983079:SGM983079 SQF983079:SQI983079 TAB983079:TAE983079 TJX983079:TKA983079 TTT983079:TTW983079 UDP983079:UDS983079 UNL983079:UNO983079 UXH983079:UXK983079 VHD983079:VHG983079 VQZ983079:VRC983079 WAV983079:WAY983079 WKR983079:WKU983079 WUN983079:WUQ983079 IB65575:IE65575 RX65575:SA65575 ABT65575:ABW65575 ALP65575:ALS65575 AVL65575:AVO65575 BFH65575:BFK65575 BPD65575:BPG65575 BYZ65575:BZC65575 CIV65575:CIY65575 CSR65575:CSU65575 DCN65575:DCQ65575 DMJ65575:DMM65575 DWF65575:DWI65575 EGB65575:EGE65575 EPX65575:EQA65575 EZT65575:EZW65575 FJP65575:FJS65575 FTL65575:FTO65575 GDH65575:GDK65575 GND65575:GNG65575 GWZ65575:GXC65575 HGV65575:HGY65575 HQR65575:HQU65575 IAN65575:IAQ65575 IKJ65575:IKM65575 IUF65575:IUI65575 JEB65575:JEE65575 JNX65575:JOA65575 JXT65575:JXW65575 KHP65575:KHS65575 KRL65575:KRO65575 LBH65575:LBK65575 LLD65575:LLG65575 LUZ65575:LVC65575 MEV65575:MEY65575 MOR65575:MOU65575 MYN65575:MYQ65575 NIJ65575:NIM65575 NSF65575:NSI65575 OCB65575:OCE65575 OLX65575:OMA65575 OVT65575:OVW65575 PFP65575:PFS65575 PPL65575:PPO65575 PZH65575:PZK65575 QJD65575:QJG65575 QSZ65575:QTC65575 RCV65575:RCY65575 RMR65575:RMU65575 RWN65575:RWQ65575 SGJ65575:SGM65575 SQF65575:SQI65575 TAB65575:TAE65575 TJX65575:TKA65575 TTT65575:TTW65575 UDP65575:UDS65575 UNL65575:UNO65575 UXH65575:UXK65575 VHD65575:VHG65575 VQZ65575:VRC65575 WAV65575:WAY65575 WKR65575:WKU65575 WUN65575:WUQ65575 IB131111:IE131111 RX131111:SA131111 ABT131111:ABW131111 ALP131111:ALS131111 AVL131111:AVO131111 BFH131111:BFK131111 BPD131111:BPG131111 BYZ131111:BZC131111 CIV131111:CIY131111 CSR131111:CSU131111 DCN131111:DCQ131111 DMJ131111:DMM131111 DWF131111:DWI131111 EGB131111:EGE131111 EPX131111:EQA131111 EZT131111:EZW131111 FJP131111:FJS131111 FTL131111:FTO131111 GDH131111:GDK131111 GND131111:GNG131111 GWZ131111:GXC131111 HGV131111:HGY131111 HQR131111:HQU131111 IAN131111:IAQ131111 IKJ131111:IKM131111 IUF131111:IUI131111 JEB131111:JEE131111 JNX131111:JOA131111 JXT131111:JXW131111 KHP131111:KHS131111 KRL131111:KRO131111 LBH131111:LBK131111 LLD131111:LLG131111 LUZ131111:LVC131111 MEV131111:MEY131111 MOR131111:MOU131111 MYN131111:MYQ131111 NIJ131111:NIM131111 NSF131111:NSI131111 OCB131111:OCE131111 OLX131111:OMA131111 OVT131111:OVW131111 PFP131111:PFS131111 PPL131111:PPO131111 PZH131111:PZK131111 QJD131111:QJG131111 QSZ131111:QTC131111 RCV131111:RCY131111 RMR131111:RMU131111 RWN131111:RWQ131111 SGJ131111:SGM131111 SQF131111:SQI131111 TAB131111:TAE131111 TJX131111:TKA131111 TTT131111:TTW131111 UDP131111:UDS131111 UNL131111:UNO131111 UXH131111:UXK131111 VHD131111:VHG131111 VQZ131111:VRC131111 WAV131111:WAY131111 WKR131111:WKU131111 WUN131111:WUQ131111 IB196647:IE196647 RX196647:SA196647 ABT196647:ABW196647 ALP196647:ALS196647 AVL196647:AVO196647 BFH196647:BFK196647 BPD196647:BPG196647 BYZ196647:BZC196647 CIV196647:CIY196647 CSR196647:CSU196647 DCN196647:DCQ196647 DMJ196647:DMM196647 DWF196647:DWI196647 EGB196647:EGE196647 EPX196647:EQA196647 EZT196647:EZW196647 FJP196647:FJS196647 FTL196647:FTO196647 GDH196647:GDK196647 GND196647:GNG196647 GWZ196647:GXC196647 HGV196647:HGY196647 HQR196647:HQU196647 IAN196647:IAQ196647 IKJ196647:IKM196647 IUF196647:IUI196647 JEB196647:JEE196647 JNX196647:JOA196647 JXT196647:JXW196647 KHP196647:KHS196647 KRL196647:KRO196647 LBH196647:LBK196647 LLD196647:LLG196647 LUZ196647:LVC196647 MEV196647:MEY196647 MOR196647:MOU196647 MYN196647:MYQ196647 NIJ196647:NIM196647 NSF196647:NSI196647 OCB196647:OCE196647 OLX196647:OMA196647 OVT196647:OVW196647 PFP196647:PFS196647 PPL196647:PPO196647 PZH196647:PZK196647 QJD196647:QJG196647 QSZ196647:QTC196647 RCV196647:RCY196647 RMR196647:RMU196647 RWN196647:RWQ196647 SGJ196647:SGM196647 SQF196647:SQI196647 TAB196647:TAE196647 TJX196647:TKA196647 TTT196647:TTW196647 UDP196647:UDS196647 UNL196647:UNO196647 UXH196647:UXK196647 VHD196647:VHG196647 VQZ196647:VRC196647 WAV196647:WAY196647 WKR196647:WKU196647 WUN196647:WUQ196647 IB262183:IE262183 RX262183:SA262183 ABT262183:ABW262183 ALP262183:ALS262183 AVL262183:AVO262183 BFH262183:BFK262183 BPD262183:BPG262183 BYZ262183:BZC262183 CIV262183:CIY262183 CSR262183:CSU262183 DCN262183:DCQ262183 DMJ262183:DMM262183 DWF262183:DWI262183 EGB262183:EGE262183 EPX262183:EQA262183 EZT262183:EZW262183 FJP262183:FJS262183 FTL262183:FTO262183 GDH262183:GDK262183 GND262183:GNG262183 GWZ262183:GXC262183 HGV262183:HGY262183 HQR262183:HQU262183 IAN262183:IAQ262183 IKJ262183:IKM262183 IUF262183:IUI262183 JEB262183:JEE262183 JNX262183:JOA262183 JXT262183:JXW262183 KHP262183:KHS262183 KRL262183:KRO262183 LBH262183:LBK262183 LLD262183:LLG262183 LUZ262183:LVC262183 MEV262183:MEY262183 MOR262183:MOU262183 MYN262183:MYQ262183 NIJ262183:NIM262183 NSF262183:NSI262183 OCB262183:OCE262183 OLX262183:OMA262183 OVT262183:OVW262183 PFP262183:PFS262183 PPL262183:PPO262183 PZH262183:PZK262183 QJD262183:QJG262183 QSZ262183:QTC262183 RCV262183:RCY262183 RMR262183:RMU262183 RWN262183:RWQ262183 SGJ262183:SGM262183 SQF262183:SQI262183 TAB262183:TAE262183 TJX262183:TKA262183 TTT262183:TTW262183 UDP262183:UDS262183 UNL262183:UNO262183 UXH262183:UXK262183 VHD262183:VHG262183 VQZ262183:VRC262183 WAV262183:WAY262183 WKR262183:WKU262183 WUN262183:WUQ262183 IB327719:IE327719 RX327719:SA327719 ABT327719:ABW327719 ALP327719:ALS327719 AVL327719:AVO327719 BFH327719:BFK327719 BPD327719:BPG327719 BYZ327719:BZC327719 CIV327719:CIY327719 CSR327719:CSU327719 DCN327719:DCQ327719 DMJ327719:DMM327719 DWF327719:DWI327719 EGB327719:EGE327719 EPX327719:EQA327719 EZT327719:EZW327719 FJP327719:FJS327719 FTL327719:FTO327719 GDH327719:GDK327719 GND327719:GNG327719 GWZ327719:GXC327719 HGV327719:HGY327719 HQR327719:HQU327719 IAN327719:IAQ327719 IKJ327719:IKM327719 IUF327719:IUI327719 JEB327719:JEE327719 JNX327719:JOA327719 JXT327719:JXW327719 KHP327719:KHS327719 KRL327719:KRO327719 LBH327719:LBK327719 LLD327719:LLG327719 LUZ327719:LVC327719 MEV327719:MEY327719 MOR327719:MOU327719 MYN327719:MYQ327719 NIJ327719:NIM327719 NSF327719:NSI327719 OCB327719:OCE327719 OLX327719:OMA327719 OVT327719:OVW327719 PFP327719:PFS327719 PPL327719:PPO327719 PZH327719:PZK327719 QJD327719:QJG327719 QSZ327719:QTC327719 RCV327719:RCY327719 RMR327719:RMU327719 RWN327719:RWQ327719 SGJ327719:SGM327719 SQF327719:SQI327719 TAB327719:TAE327719 TJX327719:TKA327719 TTT327719:TTW327719 UDP327719:UDS327719 UNL327719:UNO327719 UXH327719:UXK327719 VHD327719:VHG327719 VQZ327719:VRC327719 WAV327719:WAY327719 WKR327719:WKU327719 WUN327719:WUQ327719 IB393255:IE393255 RX393255:SA393255 ABT393255:ABW393255 ALP393255:ALS393255 AVL393255:AVO393255 BFH393255:BFK393255 BPD393255:BPG393255 BYZ393255:BZC393255 CIV393255:CIY393255 CSR393255:CSU393255 DCN393255:DCQ393255 DMJ393255:DMM393255 DWF393255:DWI393255 EGB393255:EGE393255 EPX393255:EQA393255 EZT393255:EZW393255 FJP393255:FJS393255 FTL393255:FTO393255 GDH393255:GDK393255 GND393255:GNG393255 GWZ393255:GXC393255 HGV393255:HGY393255 HQR393255:HQU393255 IAN393255:IAQ393255 IKJ393255:IKM393255 IUF393255:IUI393255 JEB393255:JEE393255 JNX393255:JOA393255 JXT393255:JXW393255 KHP393255:KHS393255 KRL393255:KRO393255 LBH393255:LBK393255 LLD393255:LLG393255 LUZ393255:LVC393255 MEV393255:MEY393255 MOR393255:MOU393255 MYN393255:MYQ393255 NIJ393255:NIM393255 NSF393255:NSI393255 OCB393255:OCE393255 OLX393255:OMA393255 OVT393255:OVW393255 PFP393255:PFS393255 PPL393255:PPO393255 PZH393255:PZK393255 QJD393255:QJG393255 QSZ393255:QTC393255 RCV393255:RCY393255 RMR393255:RMU393255 RWN393255:RWQ393255 SGJ393255:SGM393255 SQF393255:SQI393255 TAB393255:TAE393255 TJX393255:TKA393255 TTT393255:TTW393255 UDP393255:UDS393255 UNL393255:UNO393255 UXH393255:UXK393255 VHD393255:VHG393255 VQZ393255:VRC393255 WAV393255:WAY393255 WKR393255:WKU393255 WUN393255:WUQ393255 IB458791:IE458791 RX458791:SA458791 ABT458791:ABW458791 ALP458791:ALS458791 AVL458791:AVO458791 BFH458791:BFK458791 BPD458791:BPG458791 BYZ458791:BZC458791 CIV458791:CIY458791 CSR458791:CSU458791 DCN458791:DCQ458791 DMJ458791:DMM458791 DWF458791:DWI458791 EGB458791:EGE458791 EPX458791:EQA458791 EZT458791:EZW458791 FJP458791:FJS458791 FTL458791:FTO458791 GDH458791:GDK458791 GND458791:GNG458791 GWZ458791:GXC458791 HGV458791:HGY458791 HQR458791:HQU458791 IAN458791:IAQ458791 IKJ458791:IKM458791 IUF458791:IUI458791 JEB458791:JEE458791 JNX458791:JOA458791 JXT458791:JXW458791 KHP458791:KHS458791 KRL458791:KRO458791 LBH458791:LBK458791 LLD458791:LLG458791 LUZ458791:LVC458791 MEV458791:MEY458791 MOR458791:MOU458791 MYN458791:MYQ458791 NIJ458791:NIM458791 NSF458791:NSI458791 OCB458791:OCE458791 OLX458791:OMA458791 OVT458791:OVW458791 PFP458791:PFS458791 PPL458791:PPO458791 PZH458791:PZK458791 QJD458791:QJG458791 QSZ458791:QTC458791 RCV458791:RCY458791 RMR458791:RMU458791 RWN458791:RWQ458791 SGJ458791:SGM458791 SQF458791:SQI458791 TAB458791:TAE458791 TJX458791:TKA458791 TTT458791:TTW458791 UDP458791:UDS458791 UNL458791:UNO458791 UXH458791:UXK458791 VHD458791:VHG458791 VQZ458791:VRC458791 WAV458791:WAY458791 WKR458791:WKU458791 WUN458791:WUQ458791 IB524327:IE524327 RX524327:SA524327 ABT524327:ABW524327 ALP524327:ALS524327 AVL524327:AVO524327 BFH524327:BFK524327 BPD524327:BPG524327 BYZ524327:BZC524327 CIV524327:CIY524327 CSR524327:CSU524327 DCN524327:DCQ524327 DMJ524327:DMM524327 DWF524327:DWI524327 EGB524327:EGE524327 EPX524327:EQA524327 EZT524327:EZW524327 FJP524327:FJS524327 FTL524327:FTO524327 GDH524327:GDK524327 GND524327:GNG524327 GWZ524327:GXC524327 HGV524327:HGY524327 HQR524327:HQU524327 IAN524327:IAQ524327 IKJ524327:IKM524327 IUF524327:IUI524327 JEB524327:JEE524327 JNX524327:JOA524327 JXT524327:JXW524327 KHP524327:KHS524327 KRL524327:KRO524327 LBH524327:LBK524327 LLD524327:LLG524327 LUZ524327:LVC524327 MEV524327:MEY524327 MOR524327:MOU524327 MYN524327:MYQ524327 NIJ524327:NIM524327 NSF524327:NSI524327 OCB524327:OCE524327 OLX524327:OMA524327 OVT524327:OVW524327 PFP524327:PFS524327 PPL524327:PPO524327 PZH524327:PZK524327 QJD524327:QJG524327 QSZ524327:QTC524327 RCV524327:RCY524327 RMR524327:RMU524327 RWN524327:RWQ524327 SGJ524327:SGM524327 SQF524327:SQI524327 TAB524327:TAE524327 TJX524327:TKA524327 TTT524327:TTW524327 UDP524327:UDS524327 UNL524327:UNO524327 UXH524327:UXK524327 VHD524327:VHG524327 VQZ524327:VRC524327 WAV524327:WAY524327 WKR524327:WKU524327 WUN524327:WUQ524327 IB589863:IE589863 RX589863:SA589863 ABT589863:ABW589863 ALP589863:ALS589863 AVL589863:AVO589863 BFH589863:BFK589863 BPD589863:BPG589863 BYZ589863:BZC589863 CIV589863:CIY589863 CSR589863:CSU589863 DCN589863:DCQ589863 DMJ589863:DMM589863 DWF589863:DWI589863 EGB589863:EGE589863 EPX589863:EQA589863 EZT589863:EZW589863 FJP589863:FJS589863 FTL589863:FTO589863 GDH589863:GDK589863 GND589863:GNG589863 GWZ589863:GXC589863 HGV589863:HGY589863 HQR589863:HQU589863 IAN589863:IAQ589863 IKJ589863:IKM589863 IUF589863:IUI589863 JEB589863:JEE589863 JNX589863:JOA589863 JXT589863:JXW589863 KHP589863:KHS589863 KRL589863:KRO589863 LBH589863:LBK589863 LLD589863:LLG589863 LUZ589863:LVC589863 MEV589863:MEY589863 MOR589863:MOU589863 MYN589863:MYQ589863 NIJ589863:NIM589863 NSF589863:NSI589863 OCB589863:OCE589863 OLX589863:OMA589863 OVT589863:OVW589863 PFP589863:PFS589863 PPL589863:PPO589863 PZH589863:PZK589863 QJD589863:QJG589863 QSZ589863:QTC589863 RCV589863:RCY589863 RMR589863:RMU589863 RWN589863:RWQ589863 SGJ589863:SGM589863 SQF589863:SQI589863 TAB589863:TAE589863 TJX589863:TKA589863 TTT589863:TTW589863 UDP589863:UDS589863 UNL589863:UNO589863 UXH589863:UXK589863 VHD589863:VHG589863 VQZ589863:VRC589863 WAV589863:WAY589863 WKR589863:WKU589863 WUN589863:WUQ589863 IB655399:IE655399 RX655399:SA655399 ABT655399:ABW655399 ALP655399:ALS655399 AVL655399:AVO655399 BFH655399:BFK655399 BPD655399:BPG655399 BYZ655399:BZC655399 CIV655399:CIY655399 CSR655399:CSU655399 DCN655399:DCQ655399 DMJ655399:DMM655399 DWF655399:DWI655399 EGB655399:EGE655399 EPX655399:EQA655399 EZT655399:EZW655399 FJP655399:FJS655399 FTL655399:FTO655399 GDH655399:GDK655399 GND655399:GNG655399 GWZ655399:GXC655399 HGV655399:HGY655399 HQR655399:HQU655399 IAN655399:IAQ655399 IKJ655399:IKM655399 IUF655399:IUI655399 JEB655399:JEE655399 JNX655399:JOA655399 JXT655399:JXW655399 KHP655399:KHS655399 KRL655399:KRO655399 LBH655399:LBK655399 LLD655399:LLG655399 LUZ655399:LVC655399 MEV655399:MEY655399 MOR655399:MOU655399 MYN655399:MYQ655399 NIJ655399:NIM655399 NSF655399:NSI655399 OCB655399:OCE655399 OLX655399:OMA655399 OVT655399:OVW655399 PFP655399:PFS655399 PPL655399:PPO655399 PZH655399:PZK655399 QJD655399:QJG655399 QSZ655399:QTC655399 RCV655399:RCY655399 RMR655399:RMU655399 RWN655399:RWQ655399 SGJ655399:SGM655399 SQF655399:SQI655399 TAB655399:TAE655399 TJX655399:TKA655399 TTT655399:TTW655399 UDP655399:UDS655399 UNL655399:UNO655399 UXH655399:UXK655399 VHD655399:VHG655399 VQZ655399:VRC655399 WAV655399:WAY655399 WKR655399:WKU655399 WUN655399:WUQ655399 IB720935:IE720935 RX720935:SA720935 ABT720935:ABW720935 ALP720935:ALS720935 AVL720935:AVO720935 BFH720935:BFK720935 BPD720935:BPG720935 BYZ720935:BZC720935 CIV720935:CIY720935 CSR720935:CSU720935 DCN720935:DCQ720935 DMJ720935:DMM720935 DWF720935:DWI720935 EGB720935:EGE720935 EPX720935:EQA720935 EZT720935:EZW720935 FJP720935:FJS720935 FTL720935:FTO720935 GDH720935:GDK720935 GND720935:GNG720935 GWZ720935:GXC720935 HGV720935:HGY720935 HQR720935:HQU720935 IAN720935:IAQ720935 IKJ720935:IKM720935 IUF720935:IUI720935 JEB720935:JEE720935 JNX720935:JOA720935 JXT720935:JXW720935 KHP720935:KHS720935 KRL720935:KRO720935 LBH720935:LBK720935 LLD720935:LLG720935 LUZ720935:LVC720935 MEV720935:MEY720935 MOR720935:MOU720935 MYN720935:MYQ720935 NIJ720935:NIM720935 NSF720935:NSI720935 OCB720935:OCE720935 OLX720935:OMA720935 OVT720935:OVW720935 PFP720935:PFS720935 PPL720935:PPO720935 PZH720935:PZK720935 QJD720935:QJG720935 QSZ720935:QTC720935 RCV720935:RCY720935 RMR720935:RMU720935 RWN720935:RWQ720935 SGJ720935:SGM720935 SQF720935:SQI720935 TAB720935:TAE720935 TJX720935:TKA720935 TTT720935:TTW720935 UDP720935:UDS720935 UNL720935:UNO720935 UXH720935:UXK720935 VHD720935:VHG720935 VQZ720935:VRC720935 WAV720935:WAY720935 WKR720935:WKU720935 WUN720935:WUQ720935 IB786471:IE786471 RX786471:SA786471 ABT786471:ABW786471 ALP786471:ALS786471 AVL786471:AVO786471 BFH786471:BFK786471 BPD786471:BPG786471 BYZ786471:BZC786471 CIV786471:CIY786471 CSR786471:CSU786471 DCN786471:DCQ786471 DMJ786471:DMM786471 DWF786471:DWI786471 EGB786471:EGE786471 EPX786471:EQA786471 EZT786471:EZW786471 FJP786471:FJS786471 FTL786471:FTO786471 GDH786471:GDK786471 GND786471:GNG786471 GWZ786471:GXC786471 HGV786471:HGY786471 HQR786471:HQU786471 IAN786471:IAQ786471 IKJ786471:IKM786471 IUF786471:IUI786471 JEB786471:JEE786471 JNX786471:JOA786471 JXT786471:JXW786471 KHP786471:KHS786471 KRL786471:KRO786471 LBH786471:LBK786471 LLD786471:LLG786471 LUZ786471:LVC786471 MEV786471:MEY786471 MOR786471:MOU786471 MYN786471:MYQ786471 NIJ786471:NIM786471 NSF786471:NSI786471 OCB786471:OCE786471 OLX786471:OMA786471 OVT786471:OVW786471 PFP786471:PFS786471 PPL786471:PPO786471 PZH786471:PZK786471 QJD786471:QJG786471 QSZ786471:QTC786471 RCV786471:RCY786471 RMR786471:RMU786471 RWN786471:RWQ786471 SGJ786471:SGM786471 SQF786471:SQI786471 TAB786471:TAE786471 TJX786471:TKA786471 TTT786471:TTW786471 UDP786471:UDS786471 UNL786471:UNO786471 UXH786471:UXK786471 VHD786471:VHG786471 VQZ786471:VRC786471 WAV786471:WAY786471 WKR786471:WKU786471 WUN786471:WUQ786471 IB852007:IE852007 RX852007:SA852007 ABT852007:ABW852007 ALP852007:ALS852007 AVL852007:AVO852007 BFH852007:BFK852007 BPD852007:BPG852007 BYZ852007:BZC852007 CIV852007:CIY852007 CSR852007:CSU852007 DCN852007:DCQ852007 DMJ852007:DMM852007 DWF852007:DWI852007 EGB852007:EGE852007 EPX852007:EQA852007 EZT852007:EZW852007 FJP852007:FJS852007 FTL852007:FTO852007 GDH852007:GDK852007 GND852007:GNG852007 GWZ852007:GXC852007 HGV852007:HGY852007 HQR852007:HQU852007 IAN852007:IAQ852007 IKJ852007:IKM852007 IUF852007:IUI852007 JEB852007:JEE852007 JNX852007:JOA852007 JXT852007:JXW852007 KHP852007:KHS852007 KRL852007:KRO852007 LBH852007:LBK852007 LLD852007:LLG852007 LUZ852007:LVC852007 MEV852007:MEY852007 MOR852007:MOU852007 MYN852007:MYQ852007 NIJ852007:NIM852007 NSF852007:NSI852007 OCB852007:OCE852007 OLX852007:OMA852007 OVT852007:OVW852007 PFP852007:PFS852007 PPL852007:PPO852007 PZH852007:PZK852007 QJD852007:QJG852007 QSZ852007:QTC852007 RCV852007:RCY852007 RMR852007:RMU852007 RWN852007:RWQ852007 SGJ852007:SGM852007 SQF852007:SQI852007 TAB852007:TAE852007 TJX852007:TKA852007 TTT852007:TTW852007 UDP852007:UDS852007 UNL852007:UNO852007 UXH852007:UXK852007 VHD852007:VHG852007 VQZ852007:VRC852007 WAV852007:WAY852007 WKR852007:WKU852007 WUN852007:WUQ852007 IB917543:IE917543 RX917543:SA917543 ABT917543:ABW917543 ALP917543:ALS917543 AVL917543:AVO917543 BFH917543:BFK917543 BPD917543:BPG917543 BYZ917543:BZC917543 CIV917543:CIY917543 CSR917543:CSU917543 DCN917543:DCQ917543 DMJ917543:DMM917543 DWF917543:DWI917543 EGB917543:EGE917543 EPX917543:EQA917543 EZT917543:EZW917543 FJP917543:FJS917543 FTL917543:FTO917543 GDH917543:GDK917543 GND917543:GNG917543 GWZ917543:GXC917543 HGV917543:HGY917543 HQR917543:HQU917543 IAN917543:IAQ917543 IKJ917543:IKM917543 IUF917543:IUI917543 JEB917543:JEE917543 JNX917543:JOA917543 JXT917543:JXW917543 KHP917543:KHS917543 KRL917543:KRO917543 LBH917543:LBK917543 LLD917543:LLG917543 LUZ917543:LVC917543 MEV917543:MEY917543 MOR917543:MOU917543 MYN917543:MYQ917543 NIJ917543:NIM917543 NSF917543:NSI917543 OCB917543:OCE917543 OLX917543:OMA917543 OVT917543:OVW917543 PFP917543:PFS917543 PPL917543:PPO917543 PZH917543:PZK917543 QJD917543:QJG917543 QSZ917543:QTC917543 RCV917543:RCY917543 RMR917543:RMU917543 RWN917543:RWQ917543 SGJ917543:SGM917543 SQF917543:SQI917543 TAB917543:TAE917543 TJX917543:TKA917543 TTT917543:TTW917543 UDP917543:UDS917543 UNL917543:UNO917543 UXH917543:UXK917543 VHD917543:VHG917543 VQZ917543:VRC917543 WAV917543:WAY917543 WKR917543:WKU917543 WUN917543:WUQ917543 Q917543:S917543 Q852007:S852007 Q786471:S786471 Q720935:S720935 Q655399:S655399 Q589863:S589863 Q524327:S524327 Q458791:S458791 Q393255:S393255 Q327719:S327719 Q262183:S262183 Q196647:S196647 Q131111:S131111 Q65575:S65575 Q983079:S983079 AF65576:AI65576 AF131112:AI131112 AF196648:AI196648 AF262184:AI262184 AF327720:AI327720 AF393256:AI393256 AF458792:AI458792 AF524328:AI524328 AF589864:AI589864 AF655400:AI655400 AF720936:AI720936 AF786472:AI786472 AF852008:AI852008 AF917544:AI917544 AF983080:AI983080 AB917543:AD917543 AB852007:AD852007 AB786471:AD786471 AB720935:AD720935 AB655399:AD655399 AB589863:AD589863 AB524327:AD524327 AB458791:AD458791 AB393255:AD393255 AB327719:AD327719 AB262183:AD262183 AB196647:AD196647 AB131111:AD131111 AB65575:AD65575 AB983079:AD983079" xr:uid="{996E16F4-7283-4A3B-82B5-250897E5BBD4}">
      <formula1>"○, ○（オンライン処理設計書なし）"</formula1>
    </dataValidation>
    <dataValidation type="list" allowBlank="1" showInputMessage="1" showErrorMessage="1" sqref="V46:Y49 IH46:IK49 SD46:SG49 ABZ46:ACC49 ALV46:ALY49 AVR46:AVU49 BFN46:BFQ49 BPJ46:BPM49 BZF46:BZI49 CJB46:CJE49 CSX46:CTA49 DCT46:DCW49 DMP46:DMS49 DWL46:DWO49 EGH46:EGK49 EQD46:EQG49 EZZ46:FAC49 FJV46:FJY49 FTR46:FTU49 GDN46:GDQ49 GNJ46:GNM49 GXF46:GXI49 HHB46:HHE49 HQX46:HRA49 IAT46:IAW49 IKP46:IKS49 IUL46:IUO49 JEH46:JEK49 JOD46:JOG49 JXZ46:JYC49 KHV46:KHY49 KRR46:KRU49 LBN46:LBQ49 LLJ46:LLM49 LVF46:LVI49 MFB46:MFE49 MOX46:MPA49 MYT46:MYW49 NIP46:NIS49 NSL46:NSO49 OCH46:OCK49 OMD46:OMG49 OVZ46:OWC49 PFV46:PFY49 PPR46:PPU49 PZN46:PZQ49 QJJ46:QJM49 QTF46:QTI49 RDB46:RDE49 RMX46:RNA49 RWT46:RWW49 SGP46:SGS49 SQL46:SQO49 TAH46:TAK49 TKD46:TKG49 TTZ46:TUC49 UDV46:UDY49 UNR46:UNU49 UXN46:UXQ49 VHJ46:VHM49 VRF46:VRI49 WBB46:WBE49 WKX46:WLA49 WUT46:WUW49 V65582:Y65585 IH65582:IK65585 SD65582:SG65585 ABZ65582:ACC65585 ALV65582:ALY65585 AVR65582:AVU65585 BFN65582:BFQ65585 BPJ65582:BPM65585 BZF65582:BZI65585 CJB65582:CJE65585 CSX65582:CTA65585 DCT65582:DCW65585 DMP65582:DMS65585 DWL65582:DWO65585 EGH65582:EGK65585 EQD65582:EQG65585 EZZ65582:FAC65585 FJV65582:FJY65585 FTR65582:FTU65585 GDN65582:GDQ65585 GNJ65582:GNM65585 GXF65582:GXI65585 HHB65582:HHE65585 HQX65582:HRA65585 IAT65582:IAW65585 IKP65582:IKS65585 IUL65582:IUO65585 JEH65582:JEK65585 JOD65582:JOG65585 JXZ65582:JYC65585 KHV65582:KHY65585 KRR65582:KRU65585 LBN65582:LBQ65585 LLJ65582:LLM65585 LVF65582:LVI65585 MFB65582:MFE65585 MOX65582:MPA65585 MYT65582:MYW65585 NIP65582:NIS65585 NSL65582:NSO65585 OCH65582:OCK65585 OMD65582:OMG65585 OVZ65582:OWC65585 PFV65582:PFY65585 PPR65582:PPU65585 PZN65582:PZQ65585 QJJ65582:QJM65585 QTF65582:QTI65585 RDB65582:RDE65585 RMX65582:RNA65585 RWT65582:RWW65585 SGP65582:SGS65585 SQL65582:SQO65585 TAH65582:TAK65585 TKD65582:TKG65585 TTZ65582:TUC65585 UDV65582:UDY65585 UNR65582:UNU65585 UXN65582:UXQ65585 VHJ65582:VHM65585 VRF65582:VRI65585 WBB65582:WBE65585 WKX65582:WLA65585 WUT65582:WUW65585 V131118:Y131121 IH131118:IK131121 SD131118:SG131121 ABZ131118:ACC131121 ALV131118:ALY131121 AVR131118:AVU131121 BFN131118:BFQ131121 BPJ131118:BPM131121 BZF131118:BZI131121 CJB131118:CJE131121 CSX131118:CTA131121 DCT131118:DCW131121 DMP131118:DMS131121 DWL131118:DWO131121 EGH131118:EGK131121 EQD131118:EQG131121 EZZ131118:FAC131121 FJV131118:FJY131121 FTR131118:FTU131121 GDN131118:GDQ131121 GNJ131118:GNM131121 GXF131118:GXI131121 HHB131118:HHE131121 HQX131118:HRA131121 IAT131118:IAW131121 IKP131118:IKS131121 IUL131118:IUO131121 JEH131118:JEK131121 JOD131118:JOG131121 JXZ131118:JYC131121 KHV131118:KHY131121 KRR131118:KRU131121 LBN131118:LBQ131121 LLJ131118:LLM131121 LVF131118:LVI131121 MFB131118:MFE131121 MOX131118:MPA131121 MYT131118:MYW131121 NIP131118:NIS131121 NSL131118:NSO131121 OCH131118:OCK131121 OMD131118:OMG131121 OVZ131118:OWC131121 PFV131118:PFY131121 PPR131118:PPU131121 PZN131118:PZQ131121 QJJ131118:QJM131121 QTF131118:QTI131121 RDB131118:RDE131121 RMX131118:RNA131121 RWT131118:RWW131121 SGP131118:SGS131121 SQL131118:SQO131121 TAH131118:TAK131121 TKD131118:TKG131121 TTZ131118:TUC131121 UDV131118:UDY131121 UNR131118:UNU131121 UXN131118:UXQ131121 VHJ131118:VHM131121 VRF131118:VRI131121 WBB131118:WBE131121 WKX131118:WLA131121 WUT131118:WUW131121 V196654:Y196657 IH196654:IK196657 SD196654:SG196657 ABZ196654:ACC196657 ALV196654:ALY196657 AVR196654:AVU196657 BFN196654:BFQ196657 BPJ196654:BPM196657 BZF196654:BZI196657 CJB196654:CJE196657 CSX196654:CTA196657 DCT196654:DCW196657 DMP196654:DMS196657 DWL196654:DWO196657 EGH196654:EGK196657 EQD196654:EQG196657 EZZ196654:FAC196657 FJV196654:FJY196657 FTR196654:FTU196657 GDN196654:GDQ196657 GNJ196654:GNM196657 GXF196654:GXI196657 HHB196654:HHE196657 HQX196654:HRA196657 IAT196654:IAW196657 IKP196654:IKS196657 IUL196654:IUO196657 JEH196654:JEK196657 JOD196654:JOG196657 JXZ196654:JYC196657 KHV196654:KHY196657 KRR196654:KRU196657 LBN196654:LBQ196657 LLJ196654:LLM196657 LVF196654:LVI196657 MFB196654:MFE196657 MOX196654:MPA196657 MYT196654:MYW196657 NIP196654:NIS196657 NSL196654:NSO196657 OCH196654:OCK196657 OMD196654:OMG196657 OVZ196654:OWC196657 PFV196654:PFY196657 PPR196654:PPU196657 PZN196654:PZQ196657 QJJ196654:QJM196657 QTF196654:QTI196657 RDB196654:RDE196657 RMX196654:RNA196657 RWT196654:RWW196657 SGP196654:SGS196657 SQL196654:SQO196657 TAH196654:TAK196657 TKD196654:TKG196657 TTZ196654:TUC196657 UDV196654:UDY196657 UNR196654:UNU196657 UXN196654:UXQ196657 VHJ196654:VHM196657 VRF196654:VRI196657 WBB196654:WBE196657 WKX196654:WLA196657 WUT196654:WUW196657 V262190:Y262193 IH262190:IK262193 SD262190:SG262193 ABZ262190:ACC262193 ALV262190:ALY262193 AVR262190:AVU262193 BFN262190:BFQ262193 BPJ262190:BPM262193 BZF262190:BZI262193 CJB262190:CJE262193 CSX262190:CTA262193 DCT262190:DCW262193 DMP262190:DMS262193 DWL262190:DWO262193 EGH262190:EGK262193 EQD262190:EQG262193 EZZ262190:FAC262193 FJV262190:FJY262193 FTR262190:FTU262193 GDN262190:GDQ262193 GNJ262190:GNM262193 GXF262190:GXI262193 HHB262190:HHE262193 HQX262190:HRA262193 IAT262190:IAW262193 IKP262190:IKS262193 IUL262190:IUO262193 JEH262190:JEK262193 JOD262190:JOG262193 JXZ262190:JYC262193 KHV262190:KHY262193 KRR262190:KRU262193 LBN262190:LBQ262193 LLJ262190:LLM262193 LVF262190:LVI262193 MFB262190:MFE262193 MOX262190:MPA262193 MYT262190:MYW262193 NIP262190:NIS262193 NSL262190:NSO262193 OCH262190:OCK262193 OMD262190:OMG262193 OVZ262190:OWC262193 PFV262190:PFY262193 PPR262190:PPU262193 PZN262190:PZQ262193 QJJ262190:QJM262193 QTF262190:QTI262193 RDB262190:RDE262193 RMX262190:RNA262193 RWT262190:RWW262193 SGP262190:SGS262193 SQL262190:SQO262193 TAH262190:TAK262193 TKD262190:TKG262193 TTZ262190:TUC262193 UDV262190:UDY262193 UNR262190:UNU262193 UXN262190:UXQ262193 VHJ262190:VHM262193 VRF262190:VRI262193 WBB262190:WBE262193 WKX262190:WLA262193 WUT262190:WUW262193 V327726:Y327729 IH327726:IK327729 SD327726:SG327729 ABZ327726:ACC327729 ALV327726:ALY327729 AVR327726:AVU327729 BFN327726:BFQ327729 BPJ327726:BPM327729 BZF327726:BZI327729 CJB327726:CJE327729 CSX327726:CTA327729 DCT327726:DCW327729 DMP327726:DMS327729 DWL327726:DWO327729 EGH327726:EGK327729 EQD327726:EQG327729 EZZ327726:FAC327729 FJV327726:FJY327729 FTR327726:FTU327729 GDN327726:GDQ327729 GNJ327726:GNM327729 GXF327726:GXI327729 HHB327726:HHE327729 HQX327726:HRA327729 IAT327726:IAW327729 IKP327726:IKS327729 IUL327726:IUO327729 JEH327726:JEK327729 JOD327726:JOG327729 JXZ327726:JYC327729 KHV327726:KHY327729 KRR327726:KRU327729 LBN327726:LBQ327729 LLJ327726:LLM327729 LVF327726:LVI327729 MFB327726:MFE327729 MOX327726:MPA327729 MYT327726:MYW327729 NIP327726:NIS327729 NSL327726:NSO327729 OCH327726:OCK327729 OMD327726:OMG327729 OVZ327726:OWC327729 PFV327726:PFY327729 PPR327726:PPU327729 PZN327726:PZQ327729 QJJ327726:QJM327729 QTF327726:QTI327729 RDB327726:RDE327729 RMX327726:RNA327729 RWT327726:RWW327729 SGP327726:SGS327729 SQL327726:SQO327729 TAH327726:TAK327729 TKD327726:TKG327729 TTZ327726:TUC327729 UDV327726:UDY327729 UNR327726:UNU327729 UXN327726:UXQ327729 VHJ327726:VHM327729 VRF327726:VRI327729 WBB327726:WBE327729 WKX327726:WLA327729 WUT327726:WUW327729 V393262:Y393265 IH393262:IK393265 SD393262:SG393265 ABZ393262:ACC393265 ALV393262:ALY393265 AVR393262:AVU393265 BFN393262:BFQ393265 BPJ393262:BPM393265 BZF393262:BZI393265 CJB393262:CJE393265 CSX393262:CTA393265 DCT393262:DCW393265 DMP393262:DMS393265 DWL393262:DWO393265 EGH393262:EGK393265 EQD393262:EQG393265 EZZ393262:FAC393265 FJV393262:FJY393265 FTR393262:FTU393265 GDN393262:GDQ393265 GNJ393262:GNM393265 GXF393262:GXI393265 HHB393262:HHE393265 HQX393262:HRA393265 IAT393262:IAW393265 IKP393262:IKS393265 IUL393262:IUO393265 JEH393262:JEK393265 JOD393262:JOG393265 JXZ393262:JYC393265 KHV393262:KHY393265 KRR393262:KRU393265 LBN393262:LBQ393265 LLJ393262:LLM393265 LVF393262:LVI393265 MFB393262:MFE393265 MOX393262:MPA393265 MYT393262:MYW393265 NIP393262:NIS393265 NSL393262:NSO393265 OCH393262:OCK393265 OMD393262:OMG393265 OVZ393262:OWC393265 PFV393262:PFY393265 PPR393262:PPU393265 PZN393262:PZQ393265 QJJ393262:QJM393265 QTF393262:QTI393265 RDB393262:RDE393265 RMX393262:RNA393265 RWT393262:RWW393265 SGP393262:SGS393265 SQL393262:SQO393265 TAH393262:TAK393265 TKD393262:TKG393265 TTZ393262:TUC393265 UDV393262:UDY393265 UNR393262:UNU393265 UXN393262:UXQ393265 VHJ393262:VHM393265 VRF393262:VRI393265 WBB393262:WBE393265 WKX393262:WLA393265 WUT393262:WUW393265 V458798:Y458801 IH458798:IK458801 SD458798:SG458801 ABZ458798:ACC458801 ALV458798:ALY458801 AVR458798:AVU458801 BFN458798:BFQ458801 BPJ458798:BPM458801 BZF458798:BZI458801 CJB458798:CJE458801 CSX458798:CTA458801 DCT458798:DCW458801 DMP458798:DMS458801 DWL458798:DWO458801 EGH458798:EGK458801 EQD458798:EQG458801 EZZ458798:FAC458801 FJV458798:FJY458801 FTR458798:FTU458801 GDN458798:GDQ458801 GNJ458798:GNM458801 GXF458798:GXI458801 HHB458798:HHE458801 HQX458798:HRA458801 IAT458798:IAW458801 IKP458798:IKS458801 IUL458798:IUO458801 JEH458798:JEK458801 JOD458798:JOG458801 JXZ458798:JYC458801 KHV458798:KHY458801 KRR458798:KRU458801 LBN458798:LBQ458801 LLJ458798:LLM458801 LVF458798:LVI458801 MFB458798:MFE458801 MOX458798:MPA458801 MYT458798:MYW458801 NIP458798:NIS458801 NSL458798:NSO458801 OCH458798:OCK458801 OMD458798:OMG458801 OVZ458798:OWC458801 PFV458798:PFY458801 PPR458798:PPU458801 PZN458798:PZQ458801 QJJ458798:QJM458801 QTF458798:QTI458801 RDB458798:RDE458801 RMX458798:RNA458801 RWT458798:RWW458801 SGP458798:SGS458801 SQL458798:SQO458801 TAH458798:TAK458801 TKD458798:TKG458801 TTZ458798:TUC458801 UDV458798:UDY458801 UNR458798:UNU458801 UXN458798:UXQ458801 VHJ458798:VHM458801 VRF458798:VRI458801 WBB458798:WBE458801 WKX458798:WLA458801 WUT458798:WUW458801 V524334:Y524337 IH524334:IK524337 SD524334:SG524337 ABZ524334:ACC524337 ALV524334:ALY524337 AVR524334:AVU524337 BFN524334:BFQ524337 BPJ524334:BPM524337 BZF524334:BZI524337 CJB524334:CJE524337 CSX524334:CTA524337 DCT524334:DCW524337 DMP524334:DMS524337 DWL524334:DWO524337 EGH524334:EGK524337 EQD524334:EQG524337 EZZ524334:FAC524337 FJV524334:FJY524337 FTR524334:FTU524337 GDN524334:GDQ524337 GNJ524334:GNM524337 GXF524334:GXI524337 HHB524334:HHE524337 HQX524334:HRA524337 IAT524334:IAW524337 IKP524334:IKS524337 IUL524334:IUO524337 JEH524334:JEK524337 JOD524334:JOG524337 JXZ524334:JYC524337 KHV524334:KHY524337 KRR524334:KRU524337 LBN524334:LBQ524337 LLJ524334:LLM524337 LVF524334:LVI524337 MFB524334:MFE524337 MOX524334:MPA524337 MYT524334:MYW524337 NIP524334:NIS524337 NSL524334:NSO524337 OCH524334:OCK524337 OMD524334:OMG524337 OVZ524334:OWC524337 PFV524334:PFY524337 PPR524334:PPU524337 PZN524334:PZQ524337 QJJ524334:QJM524337 QTF524334:QTI524337 RDB524334:RDE524337 RMX524334:RNA524337 RWT524334:RWW524337 SGP524334:SGS524337 SQL524334:SQO524337 TAH524334:TAK524337 TKD524334:TKG524337 TTZ524334:TUC524337 UDV524334:UDY524337 UNR524334:UNU524337 UXN524334:UXQ524337 VHJ524334:VHM524337 VRF524334:VRI524337 WBB524334:WBE524337 WKX524334:WLA524337 WUT524334:WUW524337 V589870:Y589873 IH589870:IK589873 SD589870:SG589873 ABZ589870:ACC589873 ALV589870:ALY589873 AVR589870:AVU589873 BFN589870:BFQ589873 BPJ589870:BPM589873 BZF589870:BZI589873 CJB589870:CJE589873 CSX589870:CTA589873 DCT589870:DCW589873 DMP589870:DMS589873 DWL589870:DWO589873 EGH589870:EGK589873 EQD589870:EQG589873 EZZ589870:FAC589873 FJV589870:FJY589873 FTR589870:FTU589873 GDN589870:GDQ589873 GNJ589870:GNM589873 GXF589870:GXI589873 HHB589870:HHE589873 HQX589870:HRA589873 IAT589870:IAW589873 IKP589870:IKS589873 IUL589870:IUO589873 JEH589870:JEK589873 JOD589870:JOG589873 JXZ589870:JYC589873 KHV589870:KHY589873 KRR589870:KRU589873 LBN589870:LBQ589873 LLJ589870:LLM589873 LVF589870:LVI589873 MFB589870:MFE589873 MOX589870:MPA589873 MYT589870:MYW589873 NIP589870:NIS589873 NSL589870:NSO589873 OCH589870:OCK589873 OMD589870:OMG589873 OVZ589870:OWC589873 PFV589870:PFY589873 PPR589870:PPU589873 PZN589870:PZQ589873 QJJ589870:QJM589873 QTF589870:QTI589873 RDB589870:RDE589873 RMX589870:RNA589873 RWT589870:RWW589873 SGP589870:SGS589873 SQL589870:SQO589873 TAH589870:TAK589873 TKD589870:TKG589873 TTZ589870:TUC589873 UDV589870:UDY589873 UNR589870:UNU589873 UXN589870:UXQ589873 VHJ589870:VHM589873 VRF589870:VRI589873 WBB589870:WBE589873 WKX589870:WLA589873 WUT589870:WUW589873 V655406:Y655409 IH655406:IK655409 SD655406:SG655409 ABZ655406:ACC655409 ALV655406:ALY655409 AVR655406:AVU655409 BFN655406:BFQ655409 BPJ655406:BPM655409 BZF655406:BZI655409 CJB655406:CJE655409 CSX655406:CTA655409 DCT655406:DCW655409 DMP655406:DMS655409 DWL655406:DWO655409 EGH655406:EGK655409 EQD655406:EQG655409 EZZ655406:FAC655409 FJV655406:FJY655409 FTR655406:FTU655409 GDN655406:GDQ655409 GNJ655406:GNM655409 GXF655406:GXI655409 HHB655406:HHE655409 HQX655406:HRA655409 IAT655406:IAW655409 IKP655406:IKS655409 IUL655406:IUO655409 JEH655406:JEK655409 JOD655406:JOG655409 JXZ655406:JYC655409 KHV655406:KHY655409 KRR655406:KRU655409 LBN655406:LBQ655409 LLJ655406:LLM655409 LVF655406:LVI655409 MFB655406:MFE655409 MOX655406:MPA655409 MYT655406:MYW655409 NIP655406:NIS655409 NSL655406:NSO655409 OCH655406:OCK655409 OMD655406:OMG655409 OVZ655406:OWC655409 PFV655406:PFY655409 PPR655406:PPU655409 PZN655406:PZQ655409 QJJ655406:QJM655409 QTF655406:QTI655409 RDB655406:RDE655409 RMX655406:RNA655409 RWT655406:RWW655409 SGP655406:SGS655409 SQL655406:SQO655409 TAH655406:TAK655409 TKD655406:TKG655409 TTZ655406:TUC655409 UDV655406:UDY655409 UNR655406:UNU655409 UXN655406:UXQ655409 VHJ655406:VHM655409 VRF655406:VRI655409 WBB655406:WBE655409 WKX655406:WLA655409 WUT655406:WUW655409 V720942:Y720945 IH720942:IK720945 SD720942:SG720945 ABZ720942:ACC720945 ALV720942:ALY720945 AVR720942:AVU720945 BFN720942:BFQ720945 BPJ720942:BPM720945 BZF720942:BZI720945 CJB720942:CJE720945 CSX720942:CTA720945 DCT720942:DCW720945 DMP720942:DMS720945 DWL720942:DWO720945 EGH720942:EGK720945 EQD720942:EQG720945 EZZ720942:FAC720945 FJV720942:FJY720945 FTR720942:FTU720945 GDN720942:GDQ720945 GNJ720942:GNM720945 GXF720942:GXI720945 HHB720942:HHE720945 HQX720942:HRA720945 IAT720942:IAW720945 IKP720942:IKS720945 IUL720942:IUO720945 JEH720942:JEK720945 JOD720942:JOG720945 JXZ720942:JYC720945 KHV720942:KHY720945 KRR720942:KRU720945 LBN720942:LBQ720945 LLJ720942:LLM720945 LVF720942:LVI720945 MFB720942:MFE720945 MOX720942:MPA720945 MYT720942:MYW720945 NIP720942:NIS720945 NSL720942:NSO720945 OCH720942:OCK720945 OMD720942:OMG720945 OVZ720942:OWC720945 PFV720942:PFY720945 PPR720942:PPU720945 PZN720942:PZQ720945 QJJ720942:QJM720945 QTF720942:QTI720945 RDB720942:RDE720945 RMX720942:RNA720945 RWT720942:RWW720945 SGP720942:SGS720945 SQL720942:SQO720945 TAH720942:TAK720945 TKD720942:TKG720945 TTZ720942:TUC720945 UDV720942:UDY720945 UNR720942:UNU720945 UXN720942:UXQ720945 VHJ720942:VHM720945 VRF720942:VRI720945 WBB720942:WBE720945 WKX720942:WLA720945 WUT720942:WUW720945 V786478:Y786481 IH786478:IK786481 SD786478:SG786481 ABZ786478:ACC786481 ALV786478:ALY786481 AVR786478:AVU786481 BFN786478:BFQ786481 BPJ786478:BPM786481 BZF786478:BZI786481 CJB786478:CJE786481 CSX786478:CTA786481 DCT786478:DCW786481 DMP786478:DMS786481 DWL786478:DWO786481 EGH786478:EGK786481 EQD786478:EQG786481 EZZ786478:FAC786481 FJV786478:FJY786481 FTR786478:FTU786481 GDN786478:GDQ786481 GNJ786478:GNM786481 GXF786478:GXI786481 HHB786478:HHE786481 HQX786478:HRA786481 IAT786478:IAW786481 IKP786478:IKS786481 IUL786478:IUO786481 JEH786478:JEK786481 JOD786478:JOG786481 JXZ786478:JYC786481 KHV786478:KHY786481 KRR786478:KRU786481 LBN786478:LBQ786481 LLJ786478:LLM786481 LVF786478:LVI786481 MFB786478:MFE786481 MOX786478:MPA786481 MYT786478:MYW786481 NIP786478:NIS786481 NSL786478:NSO786481 OCH786478:OCK786481 OMD786478:OMG786481 OVZ786478:OWC786481 PFV786478:PFY786481 PPR786478:PPU786481 PZN786478:PZQ786481 QJJ786478:QJM786481 QTF786478:QTI786481 RDB786478:RDE786481 RMX786478:RNA786481 RWT786478:RWW786481 SGP786478:SGS786481 SQL786478:SQO786481 TAH786478:TAK786481 TKD786478:TKG786481 TTZ786478:TUC786481 UDV786478:UDY786481 UNR786478:UNU786481 UXN786478:UXQ786481 VHJ786478:VHM786481 VRF786478:VRI786481 WBB786478:WBE786481 WKX786478:WLA786481 WUT786478:WUW786481 V852014:Y852017 IH852014:IK852017 SD852014:SG852017 ABZ852014:ACC852017 ALV852014:ALY852017 AVR852014:AVU852017 BFN852014:BFQ852017 BPJ852014:BPM852017 BZF852014:BZI852017 CJB852014:CJE852017 CSX852014:CTA852017 DCT852014:DCW852017 DMP852014:DMS852017 DWL852014:DWO852017 EGH852014:EGK852017 EQD852014:EQG852017 EZZ852014:FAC852017 FJV852014:FJY852017 FTR852014:FTU852017 GDN852014:GDQ852017 GNJ852014:GNM852017 GXF852014:GXI852017 HHB852014:HHE852017 HQX852014:HRA852017 IAT852014:IAW852017 IKP852014:IKS852017 IUL852014:IUO852017 JEH852014:JEK852017 JOD852014:JOG852017 JXZ852014:JYC852017 KHV852014:KHY852017 KRR852014:KRU852017 LBN852014:LBQ852017 LLJ852014:LLM852017 LVF852014:LVI852017 MFB852014:MFE852017 MOX852014:MPA852017 MYT852014:MYW852017 NIP852014:NIS852017 NSL852014:NSO852017 OCH852014:OCK852017 OMD852014:OMG852017 OVZ852014:OWC852017 PFV852014:PFY852017 PPR852014:PPU852017 PZN852014:PZQ852017 QJJ852014:QJM852017 QTF852014:QTI852017 RDB852014:RDE852017 RMX852014:RNA852017 RWT852014:RWW852017 SGP852014:SGS852017 SQL852014:SQO852017 TAH852014:TAK852017 TKD852014:TKG852017 TTZ852014:TUC852017 UDV852014:UDY852017 UNR852014:UNU852017 UXN852014:UXQ852017 VHJ852014:VHM852017 VRF852014:VRI852017 WBB852014:WBE852017 WKX852014:WLA852017 WUT852014:WUW852017 V917550:Y917553 IH917550:IK917553 SD917550:SG917553 ABZ917550:ACC917553 ALV917550:ALY917553 AVR917550:AVU917553 BFN917550:BFQ917553 BPJ917550:BPM917553 BZF917550:BZI917553 CJB917550:CJE917553 CSX917550:CTA917553 DCT917550:DCW917553 DMP917550:DMS917553 DWL917550:DWO917553 EGH917550:EGK917553 EQD917550:EQG917553 EZZ917550:FAC917553 FJV917550:FJY917553 FTR917550:FTU917553 GDN917550:GDQ917553 GNJ917550:GNM917553 GXF917550:GXI917553 HHB917550:HHE917553 HQX917550:HRA917553 IAT917550:IAW917553 IKP917550:IKS917553 IUL917550:IUO917553 JEH917550:JEK917553 JOD917550:JOG917553 JXZ917550:JYC917553 KHV917550:KHY917553 KRR917550:KRU917553 LBN917550:LBQ917553 LLJ917550:LLM917553 LVF917550:LVI917553 MFB917550:MFE917553 MOX917550:MPA917553 MYT917550:MYW917553 NIP917550:NIS917553 NSL917550:NSO917553 OCH917550:OCK917553 OMD917550:OMG917553 OVZ917550:OWC917553 PFV917550:PFY917553 PPR917550:PPU917553 PZN917550:PZQ917553 QJJ917550:QJM917553 QTF917550:QTI917553 RDB917550:RDE917553 RMX917550:RNA917553 RWT917550:RWW917553 SGP917550:SGS917553 SQL917550:SQO917553 TAH917550:TAK917553 TKD917550:TKG917553 TTZ917550:TUC917553 UDV917550:UDY917553 UNR917550:UNU917553 UXN917550:UXQ917553 VHJ917550:VHM917553 VRF917550:VRI917553 WBB917550:WBE917553 WKX917550:WLA917553 WUT917550:WUW917553 V983086:Y983089 IH983086:IK983089 SD983086:SG983089 ABZ983086:ACC983089 ALV983086:ALY983089 AVR983086:AVU983089 BFN983086:BFQ983089 BPJ983086:BPM983089 BZF983086:BZI983089 CJB983086:CJE983089 CSX983086:CTA983089 DCT983086:DCW983089 DMP983086:DMS983089 DWL983086:DWO983089 EGH983086:EGK983089 EQD983086:EQG983089 EZZ983086:FAC983089 FJV983086:FJY983089 FTR983086:FTU983089 GDN983086:GDQ983089 GNJ983086:GNM983089 GXF983086:GXI983089 HHB983086:HHE983089 HQX983086:HRA983089 IAT983086:IAW983089 IKP983086:IKS983089 IUL983086:IUO983089 JEH983086:JEK983089 JOD983086:JOG983089 JXZ983086:JYC983089 KHV983086:KHY983089 KRR983086:KRU983089 LBN983086:LBQ983089 LLJ983086:LLM983089 LVF983086:LVI983089 MFB983086:MFE983089 MOX983086:MPA983089 MYT983086:MYW983089 NIP983086:NIS983089 NSL983086:NSO983089 OCH983086:OCK983089 OMD983086:OMG983089 OVZ983086:OWC983089 PFV983086:PFY983089 PPR983086:PPU983089 PZN983086:PZQ983089 QJJ983086:QJM983089 QTF983086:QTI983089 RDB983086:RDE983089 RMX983086:RNA983089 RWT983086:RWW983089 SGP983086:SGS983089 SQL983086:SQO983089 TAH983086:TAK983089 TKD983086:TKG983089 TTZ983086:TUC983089 UDV983086:UDY983089 UNR983086:UNU983089 UXN983086:UXQ983089 VHJ983086:VHM983089 VRF983086:VRI983089 WBB983086:WBE983089 WKX983086:WLA983089 WUT983086:WUW983089 Q65576:T65576 IC65576:IF65576 RY65576:SB65576 ABU65576:ABX65576 ALQ65576:ALT65576 AVM65576:AVP65576 BFI65576:BFL65576 BPE65576:BPH65576 BZA65576:BZD65576 CIW65576:CIZ65576 CSS65576:CSV65576 DCO65576:DCR65576 DMK65576:DMN65576 DWG65576:DWJ65576 EGC65576:EGF65576 EPY65576:EQB65576 EZU65576:EZX65576 FJQ65576:FJT65576 FTM65576:FTP65576 GDI65576:GDL65576 GNE65576:GNH65576 GXA65576:GXD65576 HGW65576:HGZ65576 HQS65576:HQV65576 IAO65576:IAR65576 IKK65576:IKN65576 IUG65576:IUJ65576 JEC65576:JEF65576 JNY65576:JOB65576 JXU65576:JXX65576 KHQ65576:KHT65576 KRM65576:KRP65576 LBI65576:LBL65576 LLE65576:LLH65576 LVA65576:LVD65576 MEW65576:MEZ65576 MOS65576:MOV65576 MYO65576:MYR65576 NIK65576:NIN65576 NSG65576:NSJ65576 OCC65576:OCF65576 OLY65576:OMB65576 OVU65576:OVX65576 PFQ65576:PFT65576 PPM65576:PPP65576 PZI65576:PZL65576 QJE65576:QJH65576 QTA65576:QTD65576 RCW65576:RCZ65576 RMS65576:RMV65576 RWO65576:RWR65576 SGK65576:SGN65576 SQG65576:SQJ65576 TAC65576:TAF65576 TJY65576:TKB65576 TTU65576:TTX65576 UDQ65576:UDT65576 UNM65576:UNP65576 UXI65576:UXL65576 VHE65576:VHH65576 VRA65576:VRD65576 WAW65576:WAZ65576 WKS65576:WKV65576 WUO65576:WUR65576 Q131112:T131112 IC131112:IF131112 RY131112:SB131112 ABU131112:ABX131112 ALQ131112:ALT131112 AVM131112:AVP131112 BFI131112:BFL131112 BPE131112:BPH131112 BZA131112:BZD131112 CIW131112:CIZ131112 CSS131112:CSV131112 DCO131112:DCR131112 DMK131112:DMN131112 DWG131112:DWJ131112 EGC131112:EGF131112 EPY131112:EQB131112 EZU131112:EZX131112 FJQ131112:FJT131112 FTM131112:FTP131112 GDI131112:GDL131112 GNE131112:GNH131112 GXA131112:GXD131112 HGW131112:HGZ131112 HQS131112:HQV131112 IAO131112:IAR131112 IKK131112:IKN131112 IUG131112:IUJ131112 JEC131112:JEF131112 JNY131112:JOB131112 JXU131112:JXX131112 KHQ131112:KHT131112 KRM131112:KRP131112 LBI131112:LBL131112 LLE131112:LLH131112 LVA131112:LVD131112 MEW131112:MEZ131112 MOS131112:MOV131112 MYO131112:MYR131112 NIK131112:NIN131112 NSG131112:NSJ131112 OCC131112:OCF131112 OLY131112:OMB131112 OVU131112:OVX131112 PFQ131112:PFT131112 PPM131112:PPP131112 PZI131112:PZL131112 QJE131112:QJH131112 QTA131112:QTD131112 RCW131112:RCZ131112 RMS131112:RMV131112 RWO131112:RWR131112 SGK131112:SGN131112 SQG131112:SQJ131112 TAC131112:TAF131112 TJY131112:TKB131112 TTU131112:TTX131112 UDQ131112:UDT131112 UNM131112:UNP131112 UXI131112:UXL131112 VHE131112:VHH131112 VRA131112:VRD131112 WAW131112:WAZ131112 WKS131112:WKV131112 WUO131112:WUR131112 Q196648:T196648 IC196648:IF196648 RY196648:SB196648 ABU196648:ABX196648 ALQ196648:ALT196648 AVM196648:AVP196648 BFI196648:BFL196648 BPE196648:BPH196648 BZA196648:BZD196648 CIW196648:CIZ196648 CSS196648:CSV196648 DCO196648:DCR196648 DMK196648:DMN196648 DWG196648:DWJ196648 EGC196648:EGF196648 EPY196648:EQB196648 EZU196648:EZX196648 FJQ196648:FJT196648 FTM196648:FTP196648 GDI196648:GDL196648 GNE196648:GNH196648 GXA196648:GXD196648 HGW196648:HGZ196648 HQS196648:HQV196648 IAO196648:IAR196648 IKK196648:IKN196648 IUG196648:IUJ196648 JEC196648:JEF196648 JNY196648:JOB196648 JXU196648:JXX196648 KHQ196648:KHT196648 KRM196648:KRP196648 LBI196648:LBL196648 LLE196648:LLH196648 LVA196648:LVD196648 MEW196648:MEZ196648 MOS196648:MOV196648 MYO196648:MYR196648 NIK196648:NIN196648 NSG196648:NSJ196648 OCC196648:OCF196648 OLY196648:OMB196648 OVU196648:OVX196648 PFQ196648:PFT196648 PPM196648:PPP196648 PZI196648:PZL196648 QJE196648:QJH196648 QTA196648:QTD196648 RCW196648:RCZ196648 RMS196648:RMV196648 RWO196648:RWR196648 SGK196648:SGN196648 SQG196648:SQJ196648 TAC196648:TAF196648 TJY196648:TKB196648 TTU196648:TTX196648 UDQ196648:UDT196648 UNM196648:UNP196648 UXI196648:UXL196648 VHE196648:VHH196648 VRA196648:VRD196648 WAW196648:WAZ196648 WKS196648:WKV196648 WUO196648:WUR196648 Q262184:T262184 IC262184:IF262184 RY262184:SB262184 ABU262184:ABX262184 ALQ262184:ALT262184 AVM262184:AVP262184 BFI262184:BFL262184 BPE262184:BPH262184 BZA262184:BZD262184 CIW262184:CIZ262184 CSS262184:CSV262184 DCO262184:DCR262184 DMK262184:DMN262184 DWG262184:DWJ262184 EGC262184:EGF262184 EPY262184:EQB262184 EZU262184:EZX262184 FJQ262184:FJT262184 FTM262184:FTP262184 GDI262184:GDL262184 GNE262184:GNH262184 GXA262184:GXD262184 HGW262184:HGZ262184 HQS262184:HQV262184 IAO262184:IAR262184 IKK262184:IKN262184 IUG262184:IUJ262184 JEC262184:JEF262184 JNY262184:JOB262184 JXU262184:JXX262184 KHQ262184:KHT262184 KRM262184:KRP262184 LBI262184:LBL262184 LLE262184:LLH262184 LVA262184:LVD262184 MEW262184:MEZ262184 MOS262184:MOV262184 MYO262184:MYR262184 NIK262184:NIN262184 NSG262184:NSJ262184 OCC262184:OCF262184 OLY262184:OMB262184 OVU262184:OVX262184 PFQ262184:PFT262184 PPM262184:PPP262184 PZI262184:PZL262184 QJE262184:QJH262184 QTA262184:QTD262184 RCW262184:RCZ262184 RMS262184:RMV262184 RWO262184:RWR262184 SGK262184:SGN262184 SQG262184:SQJ262184 TAC262184:TAF262184 TJY262184:TKB262184 TTU262184:TTX262184 UDQ262184:UDT262184 UNM262184:UNP262184 UXI262184:UXL262184 VHE262184:VHH262184 VRA262184:VRD262184 WAW262184:WAZ262184 WKS262184:WKV262184 WUO262184:WUR262184 Q327720:T327720 IC327720:IF327720 RY327720:SB327720 ABU327720:ABX327720 ALQ327720:ALT327720 AVM327720:AVP327720 BFI327720:BFL327720 BPE327720:BPH327720 BZA327720:BZD327720 CIW327720:CIZ327720 CSS327720:CSV327720 DCO327720:DCR327720 DMK327720:DMN327720 DWG327720:DWJ327720 EGC327720:EGF327720 EPY327720:EQB327720 EZU327720:EZX327720 FJQ327720:FJT327720 FTM327720:FTP327720 GDI327720:GDL327720 GNE327720:GNH327720 GXA327720:GXD327720 HGW327720:HGZ327720 HQS327720:HQV327720 IAO327720:IAR327720 IKK327720:IKN327720 IUG327720:IUJ327720 JEC327720:JEF327720 JNY327720:JOB327720 JXU327720:JXX327720 KHQ327720:KHT327720 KRM327720:KRP327720 LBI327720:LBL327720 LLE327720:LLH327720 LVA327720:LVD327720 MEW327720:MEZ327720 MOS327720:MOV327720 MYO327720:MYR327720 NIK327720:NIN327720 NSG327720:NSJ327720 OCC327720:OCF327720 OLY327720:OMB327720 OVU327720:OVX327720 PFQ327720:PFT327720 PPM327720:PPP327720 PZI327720:PZL327720 QJE327720:QJH327720 QTA327720:QTD327720 RCW327720:RCZ327720 RMS327720:RMV327720 RWO327720:RWR327720 SGK327720:SGN327720 SQG327720:SQJ327720 TAC327720:TAF327720 TJY327720:TKB327720 TTU327720:TTX327720 UDQ327720:UDT327720 UNM327720:UNP327720 UXI327720:UXL327720 VHE327720:VHH327720 VRA327720:VRD327720 WAW327720:WAZ327720 WKS327720:WKV327720 WUO327720:WUR327720 Q393256:T393256 IC393256:IF393256 RY393256:SB393256 ABU393256:ABX393256 ALQ393256:ALT393256 AVM393256:AVP393256 BFI393256:BFL393256 BPE393256:BPH393256 BZA393256:BZD393256 CIW393256:CIZ393256 CSS393256:CSV393256 DCO393256:DCR393256 DMK393256:DMN393256 DWG393256:DWJ393256 EGC393256:EGF393256 EPY393256:EQB393256 EZU393256:EZX393256 FJQ393256:FJT393256 FTM393256:FTP393256 GDI393256:GDL393256 GNE393256:GNH393256 GXA393256:GXD393256 HGW393256:HGZ393256 HQS393256:HQV393256 IAO393256:IAR393256 IKK393256:IKN393256 IUG393256:IUJ393256 JEC393256:JEF393256 JNY393256:JOB393256 JXU393256:JXX393256 KHQ393256:KHT393256 KRM393256:KRP393256 LBI393256:LBL393256 LLE393256:LLH393256 LVA393256:LVD393256 MEW393256:MEZ393256 MOS393256:MOV393256 MYO393256:MYR393256 NIK393256:NIN393256 NSG393256:NSJ393256 OCC393256:OCF393256 OLY393256:OMB393256 OVU393256:OVX393256 PFQ393256:PFT393256 PPM393256:PPP393256 PZI393256:PZL393256 QJE393256:QJH393256 QTA393256:QTD393256 RCW393256:RCZ393256 RMS393256:RMV393256 RWO393256:RWR393256 SGK393256:SGN393256 SQG393256:SQJ393256 TAC393256:TAF393256 TJY393256:TKB393256 TTU393256:TTX393256 UDQ393256:UDT393256 UNM393256:UNP393256 UXI393256:UXL393256 VHE393256:VHH393256 VRA393256:VRD393256 WAW393256:WAZ393256 WKS393256:WKV393256 WUO393256:WUR393256 Q458792:T458792 IC458792:IF458792 RY458792:SB458792 ABU458792:ABX458792 ALQ458792:ALT458792 AVM458792:AVP458792 BFI458792:BFL458792 BPE458792:BPH458792 BZA458792:BZD458792 CIW458792:CIZ458792 CSS458792:CSV458792 DCO458792:DCR458792 DMK458792:DMN458792 DWG458792:DWJ458792 EGC458792:EGF458792 EPY458792:EQB458792 EZU458792:EZX458792 FJQ458792:FJT458792 FTM458792:FTP458792 GDI458792:GDL458792 GNE458792:GNH458792 GXA458792:GXD458792 HGW458792:HGZ458792 HQS458792:HQV458792 IAO458792:IAR458792 IKK458792:IKN458792 IUG458792:IUJ458792 JEC458792:JEF458792 JNY458792:JOB458792 JXU458792:JXX458792 KHQ458792:KHT458792 KRM458792:KRP458792 LBI458792:LBL458792 LLE458792:LLH458792 LVA458792:LVD458792 MEW458792:MEZ458792 MOS458792:MOV458792 MYO458792:MYR458792 NIK458792:NIN458792 NSG458792:NSJ458792 OCC458792:OCF458792 OLY458792:OMB458792 OVU458792:OVX458792 PFQ458792:PFT458792 PPM458792:PPP458792 PZI458792:PZL458792 QJE458792:QJH458792 QTA458792:QTD458792 RCW458792:RCZ458792 RMS458792:RMV458792 RWO458792:RWR458792 SGK458792:SGN458792 SQG458792:SQJ458792 TAC458792:TAF458792 TJY458792:TKB458792 TTU458792:TTX458792 UDQ458792:UDT458792 UNM458792:UNP458792 UXI458792:UXL458792 VHE458792:VHH458792 VRA458792:VRD458792 WAW458792:WAZ458792 WKS458792:WKV458792 WUO458792:WUR458792 Q524328:T524328 IC524328:IF524328 RY524328:SB524328 ABU524328:ABX524328 ALQ524328:ALT524328 AVM524328:AVP524328 BFI524328:BFL524328 BPE524328:BPH524328 BZA524328:BZD524328 CIW524328:CIZ524328 CSS524328:CSV524328 DCO524328:DCR524328 DMK524328:DMN524328 DWG524328:DWJ524328 EGC524328:EGF524328 EPY524328:EQB524328 EZU524328:EZX524328 FJQ524328:FJT524328 FTM524328:FTP524328 GDI524328:GDL524328 GNE524328:GNH524328 GXA524328:GXD524328 HGW524328:HGZ524328 HQS524328:HQV524328 IAO524328:IAR524328 IKK524328:IKN524328 IUG524328:IUJ524328 JEC524328:JEF524328 JNY524328:JOB524328 JXU524328:JXX524328 KHQ524328:KHT524328 KRM524328:KRP524328 LBI524328:LBL524328 LLE524328:LLH524328 LVA524328:LVD524328 MEW524328:MEZ524328 MOS524328:MOV524328 MYO524328:MYR524328 NIK524328:NIN524328 NSG524328:NSJ524328 OCC524328:OCF524328 OLY524328:OMB524328 OVU524328:OVX524328 PFQ524328:PFT524328 PPM524328:PPP524328 PZI524328:PZL524328 QJE524328:QJH524328 QTA524328:QTD524328 RCW524328:RCZ524328 RMS524328:RMV524328 RWO524328:RWR524328 SGK524328:SGN524328 SQG524328:SQJ524328 TAC524328:TAF524328 TJY524328:TKB524328 TTU524328:TTX524328 UDQ524328:UDT524328 UNM524328:UNP524328 UXI524328:UXL524328 VHE524328:VHH524328 VRA524328:VRD524328 WAW524328:WAZ524328 WKS524328:WKV524328 WUO524328:WUR524328 Q589864:T589864 IC589864:IF589864 RY589864:SB589864 ABU589864:ABX589864 ALQ589864:ALT589864 AVM589864:AVP589864 BFI589864:BFL589864 BPE589864:BPH589864 BZA589864:BZD589864 CIW589864:CIZ589864 CSS589864:CSV589864 DCO589864:DCR589864 DMK589864:DMN589864 DWG589864:DWJ589864 EGC589864:EGF589864 EPY589864:EQB589864 EZU589864:EZX589864 FJQ589864:FJT589864 FTM589864:FTP589864 GDI589864:GDL589864 GNE589864:GNH589864 GXA589864:GXD589864 HGW589864:HGZ589864 HQS589864:HQV589864 IAO589864:IAR589864 IKK589864:IKN589864 IUG589864:IUJ589864 JEC589864:JEF589864 JNY589864:JOB589864 JXU589864:JXX589864 KHQ589864:KHT589864 KRM589864:KRP589864 LBI589864:LBL589864 LLE589864:LLH589864 LVA589864:LVD589864 MEW589864:MEZ589864 MOS589864:MOV589864 MYO589864:MYR589864 NIK589864:NIN589864 NSG589864:NSJ589864 OCC589864:OCF589864 OLY589864:OMB589864 OVU589864:OVX589864 PFQ589864:PFT589864 PPM589864:PPP589864 PZI589864:PZL589864 QJE589864:QJH589864 QTA589864:QTD589864 RCW589864:RCZ589864 RMS589864:RMV589864 RWO589864:RWR589864 SGK589864:SGN589864 SQG589864:SQJ589864 TAC589864:TAF589864 TJY589864:TKB589864 TTU589864:TTX589864 UDQ589864:UDT589864 UNM589864:UNP589864 UXI589864:UXL589864 VHE589864:VHH589864 VRA589864:VRD589864 WAW589864:WAZ589864 WKS589864:WKV589864 WUO589864:WUR589864 Q655400:T655400 IC655400:IF655400 RY655400:SB655400 ABU655400:ABX655400 ALQ655400:ALT655400 AVM655400:AVP655400 BFI655400:BFL655400 BPE655400:BPH655400 BZA655400:BZD655400 CIW655400:CIZ655400 CSS655400:CSV655400 DCO655400:DCR655400 DMK655400:DMN655400 DWG655400:DWJ655400 EGC655400:EGF655400 EPY655400:EQB655400 EZU655400:EZX655400 FJQ655400:FJT655400 FTM655400:FTP655400 GDI655400:GDL655400 GNE655400:GNH655400 GXA655400:GXD655400 HGW655400:HGZ655400 HQS655400:HQV655400 IAO655400:IAR655400 IKK655400:IKN655400 IUG655400:IUJ655400 JEC655400:JEF655400 JNY655400:JOB655400 JXU655400:JXX655400 KHQ655400:KHT655400 KRM655400:KRP655400 LBI655400:LBL655400 LLE655400:LLH655400 LVA655400:LVD655400 MEW655400:MEZ655400 MOS655400:MOV655400 MYO655400:MYR655400 NIK655400:NIN655400 NSG655400:NSJ655400 OCC655400:OCF655400 OLY655400:OMB655400 OVU655400:OVX655400 PFQ655400:PFT655400 PPM655400:PPP655400 PZI655400:PZL655400 QJE655400:QJH655400 QTA655400:QTD655400 RCW655400:RCZ655400 RMS655400:RMV655400 RWO655400:RWR655400 SGK655400:SGN655400 SQG655400:SQJ655400 TAC655400:TAF655400 TJY655400:TKB655400 TTU655400:TTX655400 UDQ655400:UDT655400 UNM655400:UNP655400 UXI655400:UXL655400 VHE655400:VHH655400 VRA655400:VRD655400 WAW655400:WAZ655400 WKS655400:WKV655400 WUO655400:WUR655400 Q720936:T720936 IC720936:IF720936 RY720936:SB720936 ABU720936:ABX720936 ALQ720936:ALT720936 AVM720936:AVP720936 BFI720936:BFL720936 BPE720936:BPH720936 BZA720936:BZD720936 CIW720936:CIZ720936 CSS720936:CSV720936 DCO720936:DCR720936 DMK720936:DMN720936 DWG720936:DWJ720936 EGC720936:EGF720936 EPY720936:EQB720936 EZU720936:EZX720936 FJQ720936:FJT720936 FTM720936:FTP720936 GDI720936:GDL720936 GNE720936:GNH720936 GXA720936:GXD720936 HGW720936:HGZ720936 HQS720936:HQV720936 IAO720936:IAR720936 IKK720936:IKN720936 IUG720936:IUJ720936 JEC720936:JEF720936 JNY720936:JOB720936 JXU720936:JXX720936 KHQ720936:KHT720936 KRM720936:KRP720936 LBI720936:LBL720936 LLE720936:LLH720936 LVA720936:LVD720936 MEW720936:MEZ720936 MOS720936:MOV720936 MYO720936:MYR720936 NIK720936:NIN720936 NSG720936:NSJ720936 OCC720936:OCF720936 OLY720936:OMB720936 OVU720936:OVX720936 PFQ720936:PFT720936 PPM720936:PPP720936 PZI720936:PZL720936 QJE720936:QJH720936 QTA720936:QTD720936 RCW720936:RCZ720936 RMS720936:RMV720936 RWO720936:RWR720936 SGK720936:SGN720936 SQG720936:SQJ720936 TAC720936:TAF720936 TJY720936:TKB720936 TTU720936:TTX720936 UDQ720936:UDT720936 UNM720936:UNP720936 UXI720936:UXL720936 VHE720936:VHH720936 VRA720936:VRD720936 WAW720936:WAZ720936 WKS720936:WKV720936 WUO720936:WUR720936 Q786472:T786472 IC786472:IF786472 RY786472:SB786472 ABU786472:ABX786472 ALQ786472:ALT786472 AVM786472:AVP786472 BFI786472:BFL786472 BPE786472:BPH786472 BZA786472:BZD786472 CIW786472:CIZ786472 CSS786472:CSV786472 DCO786472:DCR786472 DMK786472:DMN786472 DWG786472:DWJ786472 EGC786472:EGF786472 EPY786472:EQB786472 EZU786472:EZX786472 FJQ786472:FJT786472 FTM786472:FTP786472 GDI786472:GDL786472 GNE786472:GNH786472 GXA786472:GXD786472 HGW786472:HGZ786472 HQS786472:HQV786472 IAO786472:IAR786472 IKK786472:IKN786472 IUG786472:IUJ786472 JEC786472:JEF786472 JNY786472:JOB786472 JXU786472:JXX786472 KHQ786472:KHT786472 KRM786472:KRP786472 LBI786472:LBL786472 LLE786472:LLH786472 LVA786472:LVD786472 MEW786472:MEZ786472 MOS786472:MOV786472 MYO786472:MYR786472 NIK786472:NIN786472 NSG786472:NSJ786472 OCC786472:OCF786472 OLY786472:OMB786472 OVU786472:OVX786472 PFQ786472:PFT786472 PPM786472:PPP786472 PZI786472:PZL786472 QJE786472:QJH786472 QTA786472:QTD786472 RCW786472:RCZ786472 RMS786472:RMV786472 RWO786472:RWR786472 SGK786472:SGN786472 SQG786472:SQJ786472 TAC786472:TAF786472 TJY786472:TKB786472 TTU786472:TTX786472 UDQ786472:UDT786472 UNM786472:UNP786472 UXI786472:UXL786472 VHE786472:VHH786472 VRA786472:VRD786472 WAW786472:WAZ786472 WKS786472:WKV786472 WUO786472:WUR786472 Q852008:T852008 IC852008:IF852008 RY852008:SB852008 ABU852008:ABX852008 ALQ852008:ALT852008 AVM852008:AVP852008 BFI852008:BFL852008 BPE852008:BPH852008 BZA852008:BZD852008 CIW852008:CIZ852008 CSS852008:CSV852008 DCO852008:DCR852008 DMK852008:DMN852008 DWG852008:DWJ852008 EGC852008:EGF852008 EPY852008:EQB852008 EZU852008:EZX852008 FJQ852008:FJT852008 FTM852008:FTP852008 GDI852008:GDL852008 GNE852008:GNH852008 GXA852008:GXD852008 HGW852008:HGZ852008 HQS852008:HQV852008 IAO852008:IAR852008 IKK852008:IKN852008 IUG852008:IUJ852008 JEC852008:JEF852008 JNY852008:JOB852008 JXU852008:JXX852008 KHQ852008:KHT852008 KRM852008:KRP852008 LBI852008:LBL852008 LLE852008:LLH852008 LVA852008:LVD852008 MEW852008:MEZ852008 MOS852008:MOV852008 MYO852008:MYR852008 NIK852008:NIN852008 NSG852008:NSJ852008 OCC852008:OCF852008 OLY852008:OMB852008 OVU852008:OVX852008 PFQ852008:PFT852008 PPM852008:PPP852008 PZI852008:PZL852008 QJE852008:QJH852008 QTA852008:QTD852008 RCW852008:RCZ852008 RMS852008:RMV852008 RWO852008:RWR852008 SGK852008:SGN852008 SQG852008:SQJ852008 TAC852008:TAF852008 TJY852008:TKB852008 TTU852008:TTX852008 UDQ852008:UDT852008 UNM852008:UNP852008 UXI852008:UXL852008 VHE852008:VHH852008 VRA852008:VRD852008 WAW852008:WAZ852008 WKS852008:WKV852008 WUO852008:WUR852008 Q917544:T917544 IC917544:IF917544 RY917544:SB917544 ABU917544:ABX917544 ALQ917544:ALT917544 AVM917544:AVP917544 BFI917544:BFL917544 BPE917544:BPH917544 BZA917544:BZD917544 CIW917544:CIZ917544 CSS917544:CSV917544 DCO917544:DCR917544 DMK917544:DMN917544 DWG917544:DWJ917544 EGC917544:EGF917544 EPY917544:EQB917544 EZU917544:EZX917544 FJQ917544:FJT917544 FTM917544:FTP917544 GDI917544:GDL917544 GNE917544:GNH917544 GXA917544:GXD917544 HGW917544:HGZ917544 HQS917544:HQV917544 IAO917544:IAR917544 IKK917544:IKN917544 IUG917544:IUJ917544 JEC917544:JEF917544 JNY917544:JOB917544 JXU917544:JXX917544 KHQ917544:KHT917544 KRM917544:KRP917544 LBI917544:LBL917544 LLE917544:LLH917544 LVA917544:LVD917544 MEW917544:MEZ917544 MOS917544:MOV917544 MYO917544:MYR917544 NIK917544:NIN917544 NSG917544:NSJ917544 OCC917544:OCF917544 OLY917544:OMB917544 OVU917544:OVX917544 PFQ917544:PFT917544 PPM917544:PPP917544 PZI917544:PZL917544 QJE917544:QJH917544 QTA917544:QTD917544 RCW917544:RCZ917544 RMS917544:RMV917544 RWO917544:RWR917544 SGK917544:SGN917544 SQG917544:SQJ917544 TAC917544:TAF917544 TJY917544:TKB917544 TTU917544:TTX917544 UDQ917544:UDT917544 UNM917544:UNP917544 UXI917544:UXL917544 VHE917544:VHH917544 VRA917544:VRD917544 WAW917544:WAZ917544 WKS917544:WKV917544 WUO917544:WUR917544 Q983080:T983080 IC983080:IF983080 RY983080:SB983080 ABU983080:ABX983080 ALQ983080:ALT983080 AVM983080:AVP983080 BFI983080:BFL983080 BPE983080:BPH983080 BZA983080:BZD983080 CIW983080:CIZ983080 CSS983080:CSV983080 DCO983080:DCR983080 DMK983080:DMN983080 DWG983080:DWJ983080 EGC983080:EGF983080 EPY983080:EQB983080 EZU983080:EZX983080 FJQ983080:FJT983080 FTM983080:FTP983080 GDI983080:GDL983080 GNE983080:GNH983080 GXA983080:GXD983080 HGW983080:HGZ983080 HQS983080:HQV983080 IAO983080:IAR983080 IKK983080:IKN983080 IUG983080:IUJ983080 JEC983080:JEF983080 JNY983080:JOB983080 JXU983080:JXX983080 KHQ983080:KHT983080 KRM983080:KRP983080 LBI983080:LBL983080 LLE983080:LLH983080 LVA983080:LVD983080 MEW983080:MEZ983080 MOS983080:MOV983080 MYO983080:MYR983080 NIK983080:NIN983080 NSG983080:NSJ983080 OCC983080:OCF983080 OLY983080:OMB983080 OVU983080:OVX983080 PFQ983080:PFT983080 PPM983080:PPP983080 PZI983080:PZL983080 QJE983080:QJH983080 QTA983080:QTD983080 RCW983080:RCZ983080 RMS983080:RMV983080 RWO983080:RWR983080 SGK983080:SGN983080 SQG983080:SQJ983080 TAC983080:TAF983080 TJY983080:TKB983080 TTU983080:TTX983080 UDQ983080:UDT983080 UNM983080:UNP983080 UXI983080:UXL983080 VHE983080:VHH983080 VRA983080:VRD983080 WAW983080:WAZ983080 WKS983080:WKV983080 WUO983080:WUR983080 HX983079:IA983079 RT983079:RW983079 ABP983079:ABS983079 ALL983079:ALO983079 AVH983079:AVK983079 BFD983079:BFG983079 BOZ983079:BPC983079 BYV983079:BYY983079 CIR983079:CIU983079 CSN983079:CSQ983079 DCJ983079:DCM983079 DMF983079:DMI983079 DWB983079:DWE983079 EFX983079:EGA983079 EPT983079:EPW983079 EZP983079:EZS983079 FJL983079:FJO983079 FTH983079:FTK983079 GDD983079:GDG983079 GMZ983079:GNC983079 GWV983079:GWY983079 HGR983079:HGU983079 HQN983079:HQQ983079 IAJ983079:IAM983079 IKF983079:IKI983079 IUB983079:IUE983079 JDX983079:JEA983079 JNT983079:JNW983079 JXP983079:JXS983079 KHL983079:KHO983079 KRH983079:KRK983079 LBD983079:LBG983079 LKZ983079:LLC983079 LUV983079:LUY983079 MER983079:MEU983079 MON983079:MOQ983079 MYJ983079:MYM983079 NIF983079:NII983079 NSB983079:NSE983079 OBX983079:OCA983079 OLT983079:OLW983079 OVP983079:OVS983079 PFL983079:PFO983079 PPH983079:PPK983079 PZD983079:PZG983079 QIZ983079:QJC983079 QSV983079:QSY983079 RCR983079:RCU983079 RMN983079:RMQ983079 RWJ983079:RWM983079 SGF983079:SGI983079 SQB983079:SQE983079 SZX983079:TAA983079 TJT983079:TJW983079 TTP983079:TTS983079 UDL983079:UDO983079 UNH983079:UNK983079 UXD983079:UXG983079 VGZ983079:VHC983079 VQV983079:VQY983079 WAR983079:WAU983079 WKN983079:WKQ983079 WUJ983079:WUM983079 HX65575:IA65575 RT65575:RW65575 ABP65575:ABS65575 ALL65575:ALO65575 AVH65575:AVK65575 BFD65575:BFG65575 BOZ65575:BPC65575 BYV65575:BYY65575 CIR65575:CIU65575 CSN65575:CSQ65575 DCJ65575:DCM65575 DMF65575:DMI65575 DWB65575:DWE65575 EFX65575:EGA65575 EPT65575:EPW65575 EZP65575:EZS65575 FJL65575:FJO65575 FTH65575:FTK65575 GDD65575:GDG65575 GMZ65575:GNC65575 GWV65575:GWY65575 HGR65575:HGU65575 HQN65575:HQQ65575 IAJ65575:IAM65575 IKF65575:IKI65575 IUB65575:IUE65575 JDX65575:JEA65575 JNT65575:JNW65575 JXP65575:JXS65575 KHL65575:KHO65575 KRH65575:KRK65575 LBD65575:LBG65575 LKZ65575:LLC65575 LUV65575:LUY65575 MER65575:MEU65575 MON65575:MOQ65575 MYJ65575:MYM65575 NIF65575:NII65575 NSB65575:NSE65575 OBX65575:OCA65575 OLT65575:OLW65575 OVP65575:OVS65575 PFL65575:PFO65575 PPH65575:PPK65575 PZD65575:PZG65575 QIZ65575:QJC65575 QSV65575:QSY65575 RCR65575:RCU65575 RMN65575:RMQ65575 RWJ65575:RWM65575 SGF65575:SGI65575 SQB65575:SQE65575 SZX65575:TAA65575 TJT65575:TJW65575 TTP65575:TTS65575 UDL65575:UDO65575 UNH65575:UNK65575 UXD65575:UXG65575 VGZ65575:VHC65575 VQV65575:VQY65575 WAR65575:WAU65575 WKN65575:WKQ65575 WUJ65575:WUM65575 HX131111:IA131111 RT131111:RW131111 ABP131111:ABS131111 ALL131111:ALO131111 AVH131111:AVK131111 BFD131111:BFG131111 BOZ131111:BPC131111 BYV131111:BYY131111 CIR131111:CIU131111 CSN131111:CSQ131111 DCJ131111:DCM131111 DMF131111:DMI131111 DWB131111:DWE131111 EFX131111:EGA131111 EPT131111:EPW131111 EZP131111:EZS131111 FJL131111:FJO131111 FTH131111:FTK131111 GDD131111:GDG131111 GMZ131111:GNC131111 GWV131111:GWY131111 HGR131111:HGU131111 HQN131111:HQQ131111 IAJ131111:IAM131111 IKF131111:IKI131111 IUB131111:IUE131111 JDX131111:JEA131111 JNT131111:JNW131111 JXP131111:JXS131111 KHL131111:KHO131111 KRH131111:KRK131111 LBD131111:LBG131111 LKZ131111:LLC131111 LUV131111:LUY131111 MER131111:MEU131111 MON131111:MOQ131111 MYJ131111:MYM131111 NIF131111:NII131111 NSB131111:NSE131111 OBX131111:OCA131111 OLT131111:OLW131111 OVP131111:OVS131111 PFL131111:PFO131111 PPH131111:PPK131111 PZD131111:PZG131111 QIZ131111:QJC131111 QSV131111:QSY131111 RCR131111:RCU131111 RMN131111:RMQ131111 RWJ131111:RWM131111 SGF131111:SGI131111 SQB131111:SQE131111 SZX131111:TAA131111 TJT131111:TJW131111 TTP131111:TTS131111 UDL131111:UDO131111 UNH131111:UNK131111 UXD131111:UXG131111 VGZ131111:VHC131111 VQV131111:VQY131111 WAR131111:WAU131111 WKN131111:WKQ131111 WUJ131111:WUM131111 HX196647:IA196647 RT196647:RW196647 ABP196647:ABS196647 ALL196647:ALO196647 AVH196647:AVK196647 BFD196647:BFG196647 BOZ196647:BPC196647 BYV196647:BYY196647 CIR196647:CIU196647 CSN196647:CSQ196647 DCJ196647:DCM196647 DMF196647:DMI196647 DWB196647:DWE196647 EFX196647:EGA196647 EPT196647:EPW196647 EZP196647:EZS196647 FJL196647:FJO196647 FTH196647:FTK196647 GDD196647:GDG196647 GMZ196647:GNC196647 GWV196647:GWY196647 HGR196647:HGU196647 HQN196647:HQQ196647 IAJ196647:IAM196647 IKF196647:IKI196647 IUB196647:IUE196647 JDX196647:JEA196647 JNT196647:JNW196647 JXP196647:JXS196647 KHL196647:KHO196647 KRH196647:KRK196647 LBD196647:LBG196647 LKZ196647:LLC196647 LUV196647:LUY196647 MER196647:MEU196647 MON196647:MOQ196647 MYJ196647:MYM196647 NIF196647:NII196647 NSB196647:NSE196647 OBX196647:OCA196647 OLT196647:OLW196647 OVP196647:OVS196647 PFL196647:PFO196647 PPH196647:PPK196647 PZD196647:PZG196647 QIZ196647:QJC196647 QSV196647:QSY196647 RCR196647:RCU196647 RMN196647:RMQ196647 RWJ196647:RWM196647 SGF196647:SGI196647 SQB196647:SQE196647 SZX196647:TAA196647 TJT196647:TJW196647 TTP196647:TTS196647 UDL196647:UDO196647 UNH196647:UNK196647 UXD196647:UXG196647 VGZ196647:VHC196647 VQV196647:VQY196647 WAR196647:WAU196647 WKN196647:WKQ196647 WUJ196647:WUM196647 HX262183:IA262183 RT262183:RW262183 ABP262183:ABS262183 ALL262183:ALO262183 AVH262183:AVK262183 BFD262183:BFG262183 BOZ262183:BPC262183 BYV262183:BYY262183 CIR262183:CIU262183 CSN262183:CSQ262183 DCJ262183:DCM262183 DMF262183:DMI262183 DWB262183:DWE262183 EFX262183:EGA262183 EPT262183:EPW262183 EZP262183:EZS262183 FJL262183:FJO262183 FTH262183:FTK262183 GDD262183:GDG262183 GMZ262183:GNC262183 GWV262183:GWY262183 HGR262183:HGU262183 HQN262183:HQQ262183 IAJ262183:IAM262183 IKF262183:IKI262183 IUB262183:IUE262183 JDX262183:JEA262183 JNT262183:JNW262183 JXP262183:JXS262183 KHL262183:KHO262183 KRH262183:KRK262183 LBD262183:LBG262183 LKZ262183:LLC262183 LUV262183:LUY262183 MER262183:MEU262183 MON262183:MOQ262183 MYJ262183:MYM262183 NIF262183:NII262183 NSB262183:NSE262183 OBX262183:OCA262183 OLT262183:OLW262183 OVP262183:OVS262183 PFL262183:PFO262183 PPH262183:PPK262183 PZD262183:PZG262183 QIZ262183:QJC262183 QSV262183:QSY262183 RCR262183:RCU262183 RMN262183:RMQ262183 RWJ262183:RWM262183 SGF262183:SGI262183 SQB262183:SQE262183 SZX262183:TAA262183 TJT262183:TJW262183 TTP262183:TTS262183 UDL262183:UDO262183 UNH262183:UNK262183 UXD262183:UXG262183 VGZ262183:VHC262183 VQV262183:VQY262183 WAR262183:WAU262183 WKN262183:WKQ262183 WUJ262183:WUM262183 HX327719:IA327719 RT327719:RW327719 ABP327719:ABS327719 ALL327719:ALO327719 AVH327719:AVK327719 BFD327719:BFG327719 BOZ327719:BPC327719 BYV327719:BYY327719 CIR327719:CIU327719 CSN327719:CSQ327719 DCJ327719:DCM327719 DMF327719:DMI327719 DWB327719:DWE327719 EFX327719:EGA327719 EPT327719:EPW327719 EZP327719:EZS327719 FJL327719:FJO327719 FTH327719:FTK327719 GDD327719:GDG327719 GMZ327719:GNC327719 GWV327719:GWY327719 HGR327719:HGU327719 HQN327719:HQQ327719 IAJ327719:IAM327719 IKF327719:IKI327719 IUB327719:IUE327719 JDX327719:JEA327719 JNT327719:JNW327719 JXP327719:JXS327719 KHL327719:KHO327719 KRH327719:KRK327719 LBD327719:LBG327719 LKZ327719:LLC327719 LUV327719:LUY327719 MER327719:MEU327719 MON327719:MOQ327719 MYJ327719:MYM327719 NIF327719:NII327719 NSB327719:NSE327719 OBX327719:OCA327719 OLT327719:OLW327719 OVP327719:OVS327719 PFL327719:PFO327719 PPH327719:PPK327719 PZD327719:PZG327719 QIZ327719:QJC327719 QSV327719:QSY327719 RCR327719:RCU327719 RMN327719:RMQ327719 RWJ327719:RWM327719 SGF327719:SGI327719 SQB327719:SQE327719 SZX327719:TAA327719 TJT327719:TJW327719 TTP327719:TTS327719 UDL327719:UDO327719 UNH327719:UNK327719 UXD327719:UXG327719 VGZ327719:VHC327719 VQV327719:VQY327719 WAR327719:WAU327719 WKN327719:WKQ327719 WUJ327719:WUM327719 HX393255:IA393255 RT393255:RW393255 ABP393255:ABS393255 ALL393255:ALO393255 AVH393255:AVK393255 BFD393255:BFG393255 BOZ393255:BPC393255 BYV393255:BYY393255 CIR393255:CIU393255 CSN393255:CSQ393255 DCJ393255:DCM393255 DMF393255:DMI393255 DWB393255:DWE393255 EFX393255:EGA393255 EPT393255:EPW393255 EZP393255:EZS393255 FJL393255:FJO393255 FTH393255:FTK393255 GDD393255:GDG393255 GMZ393255:GNC393255 GWV393255:GWY393255 HGR393255:HGU393255 HQN393255:HQQ393255 IAJ393255:IAM393255 IKF393255:IKI393255 IUB393255:IUE393255 JDX393255:JEA393255 JNT393255:JNW393255 JXP393255:JXS393255 KHL393255:KHO393255 KRH393255:KRK393255 LBD393255:LBG393255 LKZ393255:LLC393255 LUV393255:LUY393255 MER393255:MEU393255 MON393255:MOQ393255 MYJ393255:MYM393255 NIF393255:NII393255 NSB393255:NSE393255 OBX393255:OCA393255 OLT393255:OLW393255 OVP393255:OVS393255 PFL393255:PFO393255 PPH393255:PPK393255 PZD393255:PZG393255 QIZ393255:QJC393255 QSV393255:QSY393255 RCR393255:RCU393255 RMN393255:RMQ393255 RWJ393255:RWM393255 SGF393255:SGI393255 SQB393255:SQE393255 SZX393255:TAA393255 TJT393255:TJW393255 TTP393255:TTS393255 UDL393255:UDO393255 UNH393255:UNK393255 UXD393255:UXG393255 VGZ393255:VHC393255 VQV393255:VQY393255 WAR393255:WAU393255 WKN393255:WKQ393255 WUJ393255:WUM393255 HX458791:IA458791 RT458791:RW458791 ABP458791:ABS458791 ALL458791:ALO458791 AVH458791:AVK458791 BFD458791:BFG458791 BOZ458791:BPC458791 BYV458791:BYY458791 CIR458791:CIU458791 CSN458791:CSQ458791 DCJ458791:DCM458791 DMF458791:DMI458791 DWB458791:DWE458791 EFX458791:EGA458791 EPT458791:EPW458791 EZP458791:EZS458791 FJL458791:FJO458791 FTH458791:FTK458791 GDD458791:GDG458791 GMZ458791:GNC458791 GWV458791:GWY458791 HGR458791:HGU458791 HQN458791:HQQ458791 IAJ458791:IAM458791 IKF458791:IKI458791 IUB458791:IUE458791 JDX458791:JEA458791 JNT458791:JNW458791 JXP458791:JXS458791 KHL458791:KHO458791 KRH458791:KRK458791 LBD458791:LBG458791 LKZ458791:LLC458791 LUV458791:LUY458791 MER458791:MEU458791 MON458791:MOQ458791 MYJ458791:MYM458791 NIF458791:NII458791 NSB458791:NSE458791 OBX458791:OCA458791 OLT458791:OLW458791 OVP458791:OVS458791 PFL458791:PFO458791 PPH458791:PPK458791 PZD458791:PZG458791 QIZ458791:QJC458791 QSV458791:QSY458791 RCR458791:RCU458791 RMN458791:RMQ458791 RWJ458791:RWM458791 SGF458791:SGI458791 SQB458791:SQE458791 SZX458791:TAA458791 TJT458791:TJW458791 TTP458791:TTS458791 UDL458791:UDO458791 UNH458791:UNK458791 UXD458791:UXG458791 VGZ458791:VHC458791 VQV458791:VQY458791 WAR458791:WAU458791 WKN458791:WKQ458791 WUJ458791:WUM458791 HX524327:IA524327 RT524327:RW524327 ABP524327:ABS524327 ALL524327:ALO524327 AVH524327:AVK524327 BFD524327:BFG524327 BOZ524327:BPC524327 BYV524327:BYY524327 CIR524327:CIU524327 CSN524327:CSQ524327 DCJ524327:DCM524327 DMF524327:DMI524327 DWB524327:DWE524327 EFX524327:EGA524327 EPT524327:EPW524327 EZP524327:EZS524327 FJL524327:FJO524327 FTH524327:FTK524327 GDD524327:GDG524327 GMZ524327:GNC524327 GWV524327:GWY524327 HGR524327:HGU524327 HQN524327:HQQ524327 IAJ524327:IAM524327 IKF524327:IKI524327 IUB524327:IUE524327 JDX524327:JEA524327 JNT524327:JNW524327 JXP524327:JXS524327 KHL524327:KHO524327 KRH524327:KRK524327 LBD524327:LBG524327 LKZ524327:LLC524327 LUV524327:LUY524327 MER524327:MEU524327 MON524327:MOQ524327 MYJ524327:MYM524327 NIF524327:NII524327 NSB524327:NSE524327 OBX524327:OCA524327 OLT524327:OLW524327 OVP524327:OVS524327 PFL524327:PFO524327 PPH524327:PPK524327 PZD524327:PZG524327 QIZ524327:QJC524327 QSV524327:QSY524327 RCR524327:RCU524327 RMN524327:RMQ524327 RWJ524327:RWM524327 SGF524327:SGI524327 SQB524327:SQE524327 SZX524327:TAA524327 TJT524327:TJW524327 TTP524327:TTS524327 UDL524327:UDO524327 UNH524327:UNK524327 UXD524327:UXG524327 VGZ524327:VHC524327 VQV524327:VQY524327 WAR524327:WAU524327 WKN524327:WKQ524327 WUJ524327:WUM524327 HX589863:IA589863 RT589863:RW589863 ABP589863:ABS589863 ALL589863:ALO589863 AVH589863:AVK589863 BFD589863:BFG589863 BOZ589863:BPC589863 BYV589863:BYY589863 CIR589863:CIU589863 CSN589863:CSQ589863 DCJ589863:DCM589863 DMF589863:DMI589863 DWB589863:DWE589863 EFX589863:EGA589863 EPT589863:EPW589863 EZP589863:EZS589863 FJL589863:FJO589863 FTH589863:FTK589863 GDD589863:GDG589863 GMZ589863:GNC589863 GWV589863:GWY589863 HGR589863:HGU589863 HQN589863:HQQ589863 IAJ589863:IAM589863 IKF589863:IKI589863 IUB589863:IUE589863 JDX589863:JEA589863 JNT589863:JNW589863 JXP589863:JXS589863 KHL589863:KHO589863 KRH589863:KRK589863 LBD589863:LBG589863 LKZ589863:LLC589863 LUV589863:LUY589863 MER589863:MEU589863 MON589863:MOQ589863 MYJ589863:MYM589863 NIF589863:NII589863 NSB589863:NSE589863 OBX589863:OCA589863 OLT589863:OLW589863 OVP589863:OVS589863 PFL589863:PFO589863 PPH589863:PPK589863 PZD589863:PZG589863 QIZ589863:QJC589863 QSV589863:QSY589863 RCR589863:RCU589863 RMN589863:RMQ589863 RWJ589863:RWM589863 SGF589863:SGI589863 SQB589863:SQE589863 SZX589863:TAA589863 TJT589863:TJW589863 TTP589863:TTS589863 UDL589863:UDO589863 UNH589863:UNK589863 UXD589863:UXG589863 VGZ589863:VHC589863 VQV589863:VQY589863 WAR589863:WAU589863 WKN589863:WKQ589863 WUJ589863:WUM589863 HX655399:IA655399 RT655399:RW655399 ABP655399:ABS655399 ALL655399:ALO655399 AVH655399:AVK655399 BFD655399:BFG655399 BOZ655399:BPC655399 BYV655399:BYY655399 CIR655399:CIU655399 CSN655399:CSQ655399 DCJ655399:DCM655399 DMF655399:DMI655399 DWB655399:DWE655399 EFX655399:EGA655399 EPT655399:EPW655399 EZP655399:EZS655399 FJL655399:FJO655399 FTH655399:FTK655399 GDD655399:GDG655399 GMZ655399:GNC655399 GWV655399:GWY655399 HGR655399:HGU655399 HQN655399:HQQ655399 IAJ655399:IAM655399 IKF655399:IKI655399 IUB655399:IUE655399 JDX655399:JEA655399 JNT655399:JNW655399 JXP655399:JXS655399 KHL655399:KHO655399 KRH655399:KRK655399 LBD655399:LBG655399 LKZ655399:LLC655399 LUV655399:LUY655399 MER655399:MEU655399 MON655399:MOQ655399 MYJ655399:MYM655399 NIF655399:NII655399 NSB655399:NSE655399 OBX655399:OCA655399 OLT655399:OLW655399 OVP655399:OVS655399 PFL655399:PFO655399 PPH655399:PPK655399 PZD655399:PZG655399 QIZ655399:QJC655399 QSV655399:QSY655399 RCR655399:RCU655399 RMN655399:RMQ655399 RWJ655399:RWM655399 SGF655399:SGI655399 SQB655399:SQE655399 SZX655399:TAA655399 TJT655399:TJW655399 TTP655399:TTS655399 UDL655399:UDO655399 UNH655399:UNK655399 UXD655399:UXG655399 VGZ655399:VHC655399 VQV655399:VQY655399 WAR655399:WAU655399 WKN655399:WKQ655399 WUJ655399:WUM655399 HX720935:IA720935 RT720935:RW720935 ABP720935:ABS720935 ALL720935:ALO720935 AVH720935:AVK720935 BFD720935:BFG720935 BOZ720935:BPC720935 BYV720935:BYY720935 CIR720935:CIU720935 CSN720935:CSQ720935 DCJ720935:DCM720935 DMF720935:DMI720935 DWB720935:DWE720935 EFX720935:EGA720935 EPT720935:EPW720935 EZP720935:EZS720935 FJL720935:FJO720935 FTH720935:FTK720935 GDD720935:GDG720935 GMZ720935:GNC720935 GWV720935:GWY720935 HGR720935:HGU720935 HQN720935:HQQ720935 IAJ720935:IAM720935 IKF720935:IKI720935 IUB720935:IUE720935 JDX720935:JEA720935 JNT720935:JNW720935 JXP720935:JXS720935 KHL720935:KHO720935 KRH720935:KRK720935 LBD720935:LBG720935 LKZ720935:LLC720935 LUV720935:LUY720935 MER720935:MEU720935 MON720935:MOQ720935 MYJ720935:MYM720935 NIF720935:NII720935 NSB720935:NSE720935 OBX720935:OCA720935 OLT720935:OLW720935 OVP720935:OVS720935 PFL720935:PFO720935 PPH720935:PPK720935 PZD720935:PZG720935 QIZ720935:QJC720935 QSV720935:QSY720935 RCR720935:RCU720935 RMN720935:RMQ720935 RWJ720935:RWM720935 SGF720935:SGI720935 SQB720935:SQE720935 SZX720935:TAA720935 TJT720935:TJW720935 TTP720935:TTS720935 UDL720935:UDO720935 UNH720935:UNK720935 UXD720935:UXG720935 VGZ720935:VHC720935 VQV720935:VQY720935 WAR720935:WAU720935 WKN720935:WKQ720935 WUJ720935:WUM720935 HX786471:IA786471 RT786471:RW786471 ABP786471:ABS786471 ALL786471:ALO786471 AVH786471:AVK786471 BFD786471:BFG786471 BOZ786471:BPC786471 BYV786471:BYY786471 CIR786471:CIU786471 CSN786471:CSQ786471 DCJ786471:DCM786471 DMF786471:DMI786471 DWB786471:DWE786471 EFX786471:EGA786471 EPT786471:EPW786471 EZP786471:EZS786471 FJL786471:FJO786471 FTH786471:FTK786471 GDD786471:GDG786471 GMZ786471:GNC786471 GWV786471:GWY786471 HGR786471:HGU786471 HQN786471:HQQ786471 IAJ786471:IAM786471 IKF786471:IKI786471 IUB786471:IUE786471 JDX786471:JEA786471 JNT786471:JNW786471 JXP786471:JXS786471 KHL786471:KHO786471 KRH786471:KRK786471 LBD786471:LBG786471 LKZ786471:LLC786471 LUV786471:LUY786471 MER786471:MEU786471 MON786471:MOQ786471 MYJ786471:MYM786471 NIF786471:NII786471 NSB786471:NSE786471 OBX786471:OCA786471 OLT786471:OLW786471 OVP786471:OVS786471 PFL786471:PFO786471 PPH786471:PPK786471 PZD786471:PZG786471 QIZ786471:QJC786471 QSV786471:QSY786471 RCR786471:RCU786471 RMN786471:RMQ786471 RWJ786471:RWM786471 SGF786471:SGI786471 SQB786471:SQE786471 SZX786471:TAA786471 TJT786471:TJW786471 TTP786471:TTS786471 UDL786471:UDO786471 UNH786471:UNK786471 UXD786471:UXG786471 VGZ786471:VHC786471 VQV786471:VQY786471 WAR786471:WAU786471 WKN786471:WKQ786471 WUJ786471:WUM786471 HX852007:IA852007 RT852007:RW852007 ABP852007:ABS852007 ALL852007:ALO852007 AVH852007:AVK852007 BFD852007:BFG852007 BOZ852007:BPC852007 BYV852007:BYY852007 CIR852007:CIU852007 CSN852007:CSQ852007 DCJ852007:DCM852007 DMF852007:DMI852007 DWB852007:DWE852007 EFX852007:EGA852007 EPT852007:EPW852007 EZP852007:EZS852007 FJL852007:FJO852007 FTH852007:FTK852007 GDD852007:GDG852007 GMZ852007:GNC852007 GWV852007:GWY852007 HGR852007:HGU852007 HQN852007:HQQ852007 IAJ852007:IAM852007 IKF852007:IKI852007 IUB852007:IUE852007 JDX852007:JEA852007 JNT852007:JNW852007 JXP852007:JXS852007 KHL852007:KHO852007 KRH852007:KRK852007 LBD852007:LBG852007 LKZ852007:LLC852007 LUV852007:LUY852007 MER852007:MEU852007 MON852007:MOQ852007 MYJ852007:MYM852007 NIF852007:NII852007 NSB852007:NSE852007 OBX852007:OCA852007 OLT852007:OLW852007 OVP852007:OVS852007 PFL852007:PFO852007 PPH852007:PPK852007 PZD852007:PZG852007 QIZ852007:QJC852007 QSV852007:QSY852007 RCR852007:RCU852007 RMN852007:RMQ852007 RWJ852007:RWM852007 SGF852007:SGI852007 SQB852007:SQE852007 SZX852007:TAA852007 TJT852007:TJW852007 TTP852007:TTS852007 UDL852007:UDO852007 UNH852007:UNK852007 UXD852007:UXG852007 VGZ852007:VHC852007 VQV852007:VQY852007 WAR852007:WAU852007 WKN852007:WKQ852007 WUJ852007:WUM852007 HX917543:IA917543 RT917543:RW917543 ABP917543:ABS917543 ALL917543:ALO917543 AVH917543:AVK917543 BFD917543:BFG917543 BOZ917543:BPC917543 BYV917543:BYY917543 CIR917543:CIU917543 CSN917543:CSQ917543 DCJ917543:DCM917543 DMF917543:DMI917543 DWB917543:DWE917543 EFX917543:EGA917543 EPT917543:EPW917543 EZP917543:EZS917543 FJL917543:FJO917543 FTH917543:FTK917543 GDD917543:GDG917543 GMZ917543:GNC917543 GWV917543:GWY917543 HGR917543:HGU917543 HQN917543:HQQ917543 IAJ917543:IAM917543 IKF917543:IKI917543 IUB917543:IUE917543 JDX917543:JEA917543 JNT917543:JNW917543 JXP917543:JXS917543 KHL917543:KHO917543 KRH917543:KRK917543 LBD917543:LBG917543 LKZ917543:LLC917543 LUV917543:LUY917543 MER917543:MEU917543 MON917543:MOQ917543 MYJ917543:MYM917543 NIF917543:NII917543 NSB917543:NSE917543 OBX917543:OCA917543 OLT917543:OLW917543 OVP917543:OVS917543 PFL917543:PFO917543 PPH917543:PPK917543 PZD917543:PZG917543 QIZ917543:QJC917543 QSV917543:QSY917543 RCR917543:RCU917543 RMN917543:RMQ917543 RWJ917543:RWM917543 SGF917543:SGI917543 SQB917543:SQE917543 SZX917543:TAA917543 TJT917543:TJW917543 TTP917543:TTS917543 UDL917543:UDO917543 UNH917543:UNK917543 UXD917543:UXG917543 VGZ917543:VHC917543 VQV917543:VQY917543 WAR917543:WAU917543 WKN917543:WKQ917543 WUJ917543:WUM917543 AG46:AJ49 AG65582:AJ65585 AG131118:AJ131121 AG196654:AJ196657 AG262190:AJ262193 AG327726:AJ327729 AG393262:AJ393265 AG458798:AJ458801 AG524334:AJ524337 AG589870:AJ589873 AG655406:AJ655409 AG720942:AJ720945 AG786478:AJ786481 AG852014:AJ852017 AG917550:AJ917553 AG983086:AJ983089 AB65576:AE65576 AB131112:AE131112 AB196648:AE196648 AB262184:AE262184 AB327720:AE327720 AB393256:AE393256 AB458792:AE458792 AB524328:AE524328 AB589864:AE589864 AB655400:AE655400 AB720936:AE720936 AB786472:AE786472 AB852008:AE852008 AB917544:AE917544 AB983080:AE983080" xr:uid="{19876C68-309A-4E27-9488-5B0BD1A5E560}">
      <formula1>"○"</formula1>
    </dataValidation>
    <dataValidation type="list" allowBlank="1" showInputMessage="1" showErrorMessage="1" sqref="WTP983032:WTZ983069 WJT5:WKD29 VZX5:WAH29 VQB5:VQL29 VGF5:VGP29 UWJ5:UWT29 UMN5:UMX29 UCR5:UDB29 TSV5:TTF29 TIZ5:TJJ29 SZD5:SZN29 SPH5:SPR29 SFL5:SFV29 RVP5:RVZ29 RLT5:RMD29 RBX5:RCH29 QSB5:QSL29 QIF5:QIP29 PYJ5:PYT29 PON5:POX29 PER5:PFB29 OUV5:OVF29 OKZ5:OLJ29 OBD5:OBN29 NRH5:NRR29 NHL5:NHV29 MXP5:MXZ29 MNT5:MOD29 MDX5:MEH29 LUB5:LUL29 LKF5:LKP29 LAJ5:LAT29 KQN5:KQX29 KGR5:KHB29 JWV5:JXF29 JMZ5:JNJ29 JDD5:JDN29 ITH5:ITR29 IJL5:IJV29 HZP5:HZZ29 HPT5:HQD29 HFX5:HGH29 GWB5:GWL29 GMF5:GMP29 GCJ5:GCT29 FSN5:FSX29 FIR5:FJB29 EYV5:EZF29 EOZ5:EPJ29 EFD5:EFN29 DVH5:DVR29 DLL5:DLV29 DBP5:DBZ29 CRT5:CSD29 CHX5:CIH29 BYB5:BYL29 BOF5:BOP29 BEJ5:BET29 AUN5:AUX29 AKR5:ALB29 AAV5:ABF29 QZ5:RJ29 HD5:HN29 WTP5:WTZ29 VZX983032:WAH983069 VQB983032:VQL983069 VGF983032:VGP983069 UWJ983032:UWT983069 UMN983032:UMX983069 UCR983032:UDB983069 TSV983032:TTF983069 TIZ983032:TJJ983069 SZD983032:SZN983069 SPH983032:SPR983069 SFL983032:SFV983069 RVP983032:RVZ983069 RLT983032:RMD983069 RBX983032:RCH983069 QSB983032:QSL983069 QIF983032:QIP983069 PYJ983032:PYT983069 PON983032:POX983069 PER983032:PFB983069 OUV983032:OVF983069 OKZ983032:OLJ983069 OBD983032:OBN983069 NRH983032:NRR983069 NHL983032:NHV983069 MXP983032:MXZ983069 MNT983032:MOD983069 MDX983032:MEH983069 LUB983032:LUL983069 LKF983032:LKP983069 LAJ983032:LAT983069 KQN983032:KQX983069 KGR983032:KHB983069 JWV983032:JXF983069 JMZ983032:JNJ983069 JDD983032:JDN983069 ITH983032:ITR983069 IJL983032:IJV983069 HZP983032:HZZ983069 HPT983032:HQD983069 HFX983032:HGH983069 GWB983032:GWL983069 GMF983032:GMP983069 GCJ983032:GCT983069 FSN983032:FSX983069 FIR983032:FJB983069 EYV983032:EZF983069 EOZ983032:EPJ983069 EFD983032:EFN983069 DVH983032:DVR983069 DLL983032:DLV983069 DBP983032:DBZ983069 CRT983032:CSD983069 CHX983032:CIH983069 BYB983032:BYL983069 BOF983032:BOP983069 BEJ983032:BET983069 AUN983032:AUX983069 AKR983032:ALB983069 AAV983032:ABF983069 QZ983032:RJ983069 HD983032:HN983069 WTP917496:WTZ917533 WJT917496:WKD917533 VZX917496:WAH917533 VQB917496:VQL917533 VGF917496:VGP917533 UWJ917496:UWT917533 UMN917496:UMX917533 UCR917496:UDB917533 TSV917496:TTF917533 TIZ917496:TJJ917533 SZD917496:SZN917533 SPH917496:SPR917533 SFL917496:SFV917533 RVP917496:RVZ917533 RLT917496:RMD917533 RBX917496:RCH917533 QSB917496:QSL917533 QIF917496:QIP917533 PYJ917496:PYT917533 PON917496:POX917533 PER917496:PFB917533 OUV917496:OVF917533 OKZ917496:OLJ917533 OBD917496:OBN917533 NRH917496:NRR917533 NHL917496:NHV917533 MXP917496:MXZ917533 MNT917496:MOD917533 MDX917496:MEH917533 LUB917496:LUL917533 LKF917496:LKP917533 LAJ917496:LAT917533 KQN917496:KQX917533 KGR917496:KHB917533 JWV917496:JXF917533 JMZ917496:JNJ917533 JDD917496:JDN917533 ITH917496:ITR917533 IJL917496:IJV917533 HZP917496:HZZ917533 HPT917496:HQD917533 HFX917496:HGH917533 GWB917496:GWL917533 GMF917496:GMP917533 GCJ917496:GCT917533 FSN917496:FSX917533 FIR917496:FJB917533 EYV917496:EZF917533 EOZ917496:EPJ917533 EFD917496:EFN917533 DVH917496:DVR917533 DLL917496:DLV917533 DBP917496:DBZ917533 CRT917496:CSD917533 CHX917496:CIH917533 BYB917496:BYL917533 BOF917496:BOP917533 BEJ917496:BET917533 AUN917496:AUX917533 AKR917496:ALB917533 AAV917496:ABF917533 QZ917496:RJ917533 HD917496:HN917533 WTP851960:WTZ851997 WJT851960:WKD851997 VZX851960:WAH851997 VQB851960:VQL851997 VGF851960:VGP851997 UWJ851960:UWT851997 UMN851960:UMX851997 UCR851960:UDB851997 TSV851960:TTF851997 TIZ851960:TJJ851997 SZD851960:SZN851997 SPH851960:SPR851997 SFL851960:SFV851997 RVP851960:RVZ851997 RLT851960:RMD851997 RBX851960:RCH851997 QSB851960:QSL851997 QIF851960:QIP851997 PYJ851960:PYT851997 PON851960:POX851997 PER851960:PFB851997 OUV851960:OVF851997 OKZ851960:OLJ851997 OBD851960:OBN851997 NRH851960:NRR851997 NHL851960:NHV851997 MXP851960:MXZ851997 MNT851960:MOD851997 MDX851960:MEH851997 LUB851960:LUL851997 LKF851960:LKP851997 LAJ851960:LAT851997 KQN851960:KQX851997 KGR851960:KHB851997 JWV851960:JXF851997 JMZ851960:JNJ851997 JDD851960:JDN851997 ITH851960:ITR851997 IJL851960:IJV851997 HZP851960:HZZ851997 HPT851960:HQD851997 HFX851960:HGH851997 GWB851960:GWL851997 GMF851960:GMP851997 GCJ851960:GCT851997 FSN851960:FSX851997 FIR851960:FJB851997 EYV851960:EZF851997 EOZ851960:EPJ851997 EFD851960:EFN851997 DVH851960:DVR851997 DLL851960:DLV851997 DBP851960:DBZ851997 CRT851960:CSD851997 CHX851960:CIH851997 BYB851960:BYL851997 BOF851960:BOP851997 BEJ851960:BET851997 AUN851960:AUX851997 AKR851960:ALB851997 AAV851960:ABF851997 QZ851960:RJ851997 HD851960:HN851997 WTP786424:WTZ786461 WJT786424:WKD786461 VZX786424:WAH786461 VQB786424:VQL786461 VGF786424:VGP786461 UWJ786424:UWT786461 UMN786424:UMX786461 UCR786424:UDB786461 TSV786424:TTF786461 TIZ786424:TJJ786461 SZD786424:SZN786461 SPH786424:SPR786461 SFL786424:SFV786461 RVP786424:RVZ786461 RLT786424:RMD786461 RBX786424:RCH786461 QSB786424:QSL786461 QIF786424:QIP786461 PYJ786424:PYT786461 PON786424:POX786461 PER786424:PFB786461 OUV786424:OVF786461 OKZ786424:OLJ786461 OBD786424:OBN786461 NRH786424:NRR786461 NHL786424:NHV786461 MXP786424:MXZ786461 MNT786424:MOD786461 MDX786424:MEH786461 LUB786424:LUL786461 LKF786424:LKP786461 LAJ786424:LAT786461 KQN786424:KQX786461 KGR786424:KHB786461 JWV786424:JXF786461 JMZ786424:JNJ786461 JDD786424:JDN786461 ITH786424:ITR786461 IJL786424:IJV786461 HZP786424:HZZ786461 HPT786424:HQD786461 HFX786424:HGH786461 GWB786424:GWL786461 GMF786424:GMP786461 GCJ786424:GCT786461 FSN786424:FSX786461 FIR786424:FJB786461 EYV786424:EZF786461 EOZ786424:EPJ786461 EFD786424:EFN786461 DVH786424:DVR786461 DLL786424:DLV786461 DBP786424:DBZ786461 CRT786424:CSD786461 CHX786424:CIH786461 BYB786424:BYL786461 BOF786424:BOP786461 BEJ786424:BET786461 AUN786424:AUX786461 AKR786424:ALB786461 AAV786424:ABF786461 QZ786424:RJ786461 HD786424:HN786461 WTP720888:WTZ720925 WJT720888:WKD720925 VZX720888:WAH720925 VQB720888:VQL720925 VGF720888:VGP720925 UWJ720888:UWT720925 UMN720888:UMX720925 UCR720888:UDB720925 TSV720888:TTF720925 TIZ720888:TJJ720925 SZD720888:SZN720925 SPH720888:SPR720925 SFL720888:SFV720925 RVP720888:RVZ720925 RLT720888:RMD720925 RBX720888:RCH720925 QSB720888:QSL720925 QIF720888:QIP720925 PYJ720888:PYT720925 PON720888:POX720925 PER720888:PFB720925 OUV720888:OVF720925 OKZ720888:OLJ720925 OBD720888:OBN720925 NRH720888:NRR720925 NHL720888:NHV720925 MXP720888:MXZ720925 MNT720888:MOD720925 MDX720888:MEH720925 LUB720888:LUL720925 LKF720888:LKP720925 LAJ720888:LAT720925 KQN720888:KQX720925 KGR720888:KHB720925 JWV720888:JXF720925 JMZ720888:JNJ720925 JDD720888:JDN720925 ITH720888:ITR720925 IJL720888:IJV720925 HZP720888:HZZ720925 HPT720888:HQD720925 HFX720888:HGH720925 GWB720888:GWL720925 GMF720888:GMP720925 GCJ720888:GCT720925 FSN720888:FSX720925 FIR720888:FJB720925 EYV720888:EZF720925 EOZ720888:EPJ720925 EFD720888:EFN720925 DVH720888:DVR720925 DLL720888:DLV720925 DBP720888:DBZ720925 CRT720888:CSD720925 CHX720888:CIH720925 BYB720888:BYL720925 BOF720888:BOP720925 BEJ720888:BET720925 AUN720888:AUX720925 AKR720888:ALB720925 AAV720888:ABF720925 QZ720888:RJ720925 HD720888:HN720925 WTP655352:WTZ655389 WJT655352:WKD655389 VZX655352:WAH655389 VQB655352:VQL655389 VGF655352:VGP655389 UWJ655352:UWT655389 UMN655352:UMX655389 UCR655352:UDB655389 TSV655352:TTF655389 TIZ655352:TJJ655389 SZD655352:SZN655389 SPH655352:SPR655389 SFL655352:SFV655389 RVP655352:RVZ655389 RLT655352:RMD655389 RBX655352:RCH655389 QSB655352:QSL655389 QIF655352:QIP655389 PYJ655352:PYT655389 PON655352:POX655389 PER655352:PFB655389 OUV655352:OVF655389 OKZ655352:OLJ655389 OBD655352:OBN655389 NRH655352:NRR655389 NHL655352:NHV655389 MXP655352:MXZ655389 MNT655352:MOD655389 MDX655352:MEH655389 LUB655352:LUL655389 LKF655352:LKP655389 LAJ655352:LAT655389 KQN655352:KQX655389 KGR655352:KHB655389 JWV655352:JXF655389 JMZ655352:JNJ655389 JDD655352:JDN655389 ITH655352:ITR655389 IJL655352:IJV655389 HZP655352:HZZ655389 HPT655352:HQD655389 HFX655352:HGH655389 GWB655352:GWL655389 GMF655352:GMP655389 GCJ655352:GCT655389 FSN655352:FSX655389 FIR655352:FJB655389 EYV655352:EZF655389 EOZ655352:EPJ655389 EFD655352:EFN655389 DVH655352:DVR655389 DLL655352:DLV655389 DBP655352:DBZ655389 CRT655352:CSD655389 CHX655352:CIH655389 BYB655352:BYL655389 BOF655352:BOP655389 BEJ655352:BET655389 AUN655352:AUX655389 AKR655352:ALB655389 AAV655352:ABF655389 QZ655352:RJ655389 HD655352:HN655389 WTP589816:WTZ589853 WJT589816:WKD589853 VZX589816:WAH589853 VQB589816:VQL589853 VGF589816:VGP589853 UWJ589816:UWT589853 UMN589816:UMX589853 UCR589816:UDB589853 TSV589816:TTF589853 TIZ589816:TJJ589853 SZD589816:SZN589853 SPH589816:SPR589853 SFL589816:SFV589853 RVP589816:RVZ589853 RLT589816:RMD589853 RBX589816:RCH589853 QSB589816:QSL589853 QIF589816:QIP589853 PYJ589816:PYT589853 PON589816:POX589853 PER589816:PFB589853 OUV589816:OVF589853 OKZ589816:OLJ589853 OBD589816:OBN589853 NRH589816:NRR589853 NHL589816:NHV589853 MXP589816:MXZ589853 MNT589816:MOD589853 MDX589816:MEH589853 LUB589816:LUL589853 LKF589816:LKP589853 LAJ589816:LAT589853 KQN589816:KQX589853 KGR589816:KHB589853 JWV589816:JXF589853 JMZ589816:JNJ589853 JDD589816:JDN589853 ITH589816:ITR589853 IJL589816:IJV589853 HZP589816:HZZ589853 HPT589816:HQD589853 HFX589816:HGH589853 GWB589816:GWL589853 GMF589816:GMP589853 GCJ589816:GCT589853 FSN589816:FSX589853 FIR589816:FJB589853 EYV589816:EZF589853 EOZ589816:EPJ589853 EFD589816:EFN589853 DVH589816:DVR589853 DLL589816:DLV589853 DBP589816:DBZ589853 CRT589816:CSD589853 CHX589816:CIH589853 BYB589816:BYL589853 BOF589816:BOP589853 BEJ589816:BET589853 AUN589816:AUX589853 AKR589816:ALB589853 AAV589816:ABF589853 QZ589816:RJ589853 HD589816:HN589853 WTP524280:WTZ524317 WJT524280:WKD524317 VZX524280:WAH524317 VQB524280:VQL524317 VGF524280:VGP524317 UWJ524280:UWT524317 UMN524280:UMX524317 UCR524280:UDB524317 TSV524280:TTF524317 TIZ524280:TJJ524317 SZD524280:SZN524317 SPH524280:SPR524317 SFL524280:SFV524317 RVP524280:RVZ524317 RLT524280:RMD524317 RBX524280:RCH524317 QSB524280:QSL524317 QIF524280:QIP524317 PYJ524280:PYT524317 PON524280:POX524317 PER524280:PFB524317 OUV524280:OVF524317 OKZ524280:OLJ524317 OBD524280:OBN524317 NRH524280:NRR524317 NHL524280:NHV524317 MXP524280:MXZ524317 MNT524280:MOD524317 MDX524280:MEH524317 LUB524280:LUL524317 LKF524280:LKP524317 LAJ524280:LAT524317 KQN524280:KQX524317 KGR524280:KHB524317 JWV524280:JXF524317 JMZ524280:JNJ524317 JDD524280:JDN524317 ITH524280:ITR524317 IJL524280:IJV524317 HZP524280:HZZ524317 HPT524280:HQD524317 HFX524280:HGH524317 GWB524280:GWL524317 GMF524280:GMP524317 GCJ524280:GCT524317 FSN524280:FSX524317 FIR524280:FJB524317 EYV524280:EZF524317 EOZ524280:EPJ524317 EFD524280:EFN524317 DVH524280:DVR524317 DLL524280:DLV524317 DBP524280:DBZ524317 CRT524280:CSD524317 CHX524280:CIH524317 BYB524280:BYL524317 BOF524280:BOP524317 BEJ524280:BET524317 AUN524280:AUX524317 AKR524280:ALB524317 AAV524280:ABF524317 QZ524280:RJ524317 HD524280:HN524317 WTP458744:WTZ458781 WJT458744:WKD458781 VZX458744:WAH458781 VQB458744:VQL458781 VGF458744:VGP458781 UWJ458744:UWT458781 UMN458744:UMX458781 UCR458744:UDB458781 TSV458744:TTF458781 TIZ458744:TJJ458781 SZD458744:SZN458781 SPH458744:SPR458781 SFL458744:SFV458781 RVP458744:RVZ458781 RLT458744:RMD458781 RBX458744:RCH458781 QSB458744:QSL458781 QIF458744:QIP458781 PYJ458744:PYT458781 PON458744:POX458781 PER458744:PFB458781 OUV458744:OVF458781 OKZ458744:OLJ458781 OBD458744:OBN458781 NRH458744:NRR458781 NHL458744:NHV458781 MXP458744:MXZ458781 MNT458744:MOD458781 MDX458744:MEH458781 LUB458744:LUL458781 LKF458744:LKP458781 LAJ458744:LAT458781 KQN458744:KQX458781 KGR458744:KHB458781 JWV458744:JXF458781 JMZ458744:JNJ458781 JDD458744:JDN458781 ITH458744:ITR458781 IJL458744:IJV458781 HZP458744:HZZ458781 HPT458744:HQD458781 HFX458744:HGH458781 GWB458744:GWL458781 GMF458744:GMP458781 GCJ458744:GCT458781 FSN458744:FSX458781 FIR458744:FJB458781 EYV458744:EZF458781 EOZ458744:EPJ458781 EFD458744:EFN458781 DVH458744:DVR458781 DLL458744:DLV458781 DBP458744:DBZ458781 CRT458744:CSD458781 CHX458744:CIH458781 BYB458744:BYL458781 BOF458744:BOP458781 BEJ458744:BET458781 AUN458744:AUX458781 AKR458744:ALB458781 AAV458744:ABF458781 QZ458744:RJ458781 HD458744:HN458781 WTP393208:WTZ393245 WJT393208:WKD393245 VZX393208:WAH393245 VQB393208:VQL393245 VGF393208:VGP393245 UWJ393208:UWT393245 UMN393208:UMX393245 UCR393208:UDB393245 TSV393208:TTF393245 TIZ393208:TJJ393245 SZD393208:SZN393245 SPH393208:SPR393245 SFL393208:SFV393245 RVP393208:RVZ393245 RLT393208:RMD393245 RBX393208:RCH393245 QSB393208:QSL393245 QIF393208:QIP393245 PYJ393208:PYT393245 PON393208:POX393245 PER393208:PFB393245 OUV393208:OVF393245 OKZ393208:OLJ393245 OBD393208:OBN393245 NRH393208:NRR393245 NHL393208:NHV393245 MXP393208:MXZ393245 MNT393208:MOD393245 MDX393208:MEH393245 LUB393208:LUL393245 LKF393208:LKP393245 LAJ393208:LAT393245 KQN393208:KQX393245 KGR393208:KHB393245 JWV393208:JXF393245 JMZ393208:JNJ393245 JDD393208:JDN393245 ITH393208:ITR393245 IJL393208:IJV393245 HZP393208:HZZ393245 HPT393208:HQD393245 HFX393208:HGH393245 GWB393208:GWL393245 GMF393208:GMP393245 GCJ393208:GCT393245 FSN393208:FSX393245 FIR393208:FJB393245 EYV393208:EZF393245 EOZ393208:EPJ393245 EFD393208:EFN393245 DVH393208:DVR393245 DLL393208:DLV393245 DBP393208:DBZ393245 CRT393208:CSD393245 CHX393208:CIH393245 BYB393208:BYL393245 BOF393208:BOP393245 BEJ393208:BET393245 AUN393208:AUX393245 AKR393208:ALB393245 AAV393208:ABF393245 QZ393208:RJ393245 HD393208:HN393245 WTP327672:WTZ327709 WJT327672:WKD327709 VZX327672:WAH327709 VQB327672:VQL327709 VGF327672:VGP327709 UWJ327672:UWT327709 UMN327672:UMX327709 UCR327672:UDB327709 TSV327672:TTF327709 TIZ327672:TJJ327709 SZD327672:SZN327709 SPH327672:SPR327709 SFL327672:SFV327709 RVP327672:RVZ327709 RLT327672:RMD327709 RBX327672:RCH327709 QSB327672:QSL327709 QIF327672:QIP327709 PYJ327672:PYT327709 PON327672:POX327709 PER327672:PFB327709 OUV327672:OVF327709 OKZ327672:OLJ327709 OBD327672:OBN327709 NRH327672:NRR327709 NHL327672:NHV327709 MXP327672:MXZ327709 MNT327672:MOD327709 MDX327672:MEH327709 LUB327672:LUL327709 LKF327672:LKP327709 LAJ327672:LAT327709 KQN327672:KQX327709 KGR327672:KHB327709 JWV327672:JXF327709 JMZ327672:JNJ327709 JDD327672:JDN327709 ITH327672:ITR327709 IJL327672:IJV327709 HZP327672:HZZ327709 HPT327672:HQD327709 HFX327672:HGH327709 GWB327672:GWL327709 GMF327672:GMP327709 GCJ327672:GCT327709 FSN327672:FSX327709 FIR327672:FJB327709 EYV327672:EZF327709 EOZ327672:EPJ327709 EFD327672:EFN327709 DVH327672:DVR327709 DLL327672:DLV327709 DBP327672:DBZ327709 CRT327672:CSD327709 CHX327672:CIH327709 BYB327672:BYL327709 BOF327672:BOP327709 BEJ327672:BET327709 AUN327672:AUX327709 AKR327672:ALB327709 AAV327672:ABF327709 QZ327672:RJ327709 HD327672:HN327709 WTP262136:WTZ262173 WJT262136:WKD262173 VZX262136:WAH262173 VQB262136:VQL262173 VGF262136:VGP262173 UWJ262136:UWT262173 UMN262136:UMX262173 UCR262136:UDB262173 TSV262136:TTF262173 TIZ262136:TJJ262173 SZD262136:SZN262173 SPH262136:SPR262173 SFL262136:SFV262173 RVP262136:RVZ262173 RLT262136:RMD262173 RBX262136:RCH262173 QSB262136:QSL262173 QIF262136:QIP262173 PYJ262136:PYT262173 PON262136:POX262173 PER262136:PFB262173 OUV262136:OVF262173 OKZ262136:OLJ262173 OBD262136:OBN262173 NRH262136:NRR262173 NHL262136:NHV262173 MXP262136:MXZ262173 MNT262136:MOD262173 MDX262136:MEH262173 LUB262136:LUL262173 LKF262136:LKP262173 LAJ262136:LAT262173 KQN262136:KQX262173 KGR262136:KHB262173 JWV262136:JXF262173 JMZ262136:JNJ262173 JDD262136:JDN262173 ITH262136:ITR262173 IJL262136:IJV262173 HZP262136:HZZ262173 HPT262136:HQD262173 HFX262136:HGH262173 GWB262136:GWL262173 GMF262136:GMP262173 GCJ262136:GCT262173 FSN262136:FSX262173 FIR262136:FJB262173 EYV262136:EZF262173 EOZ262136:EPJ262173 EFD262136:EFN262173 DVH262136:DVR262173 DLL262136:DLV262173 DBP262136:DBZ262173 CRT262136:CSD262173 CHX262136:CIH262173 BYB262136:BYL262173 BOF262136:BOP262173 BEJ262136:BET262173 AUN262136:AUX262173 AKR262136:ALB262173 AAV262136:ABF262173 QZ262136:RJ262173 HD262136:HN262173 WTP196600:WTZ196637 WJT196600:WKD196637 VZX196600:WAH196637 VQB196600:VQL196637 VGF196600:VGP196637 UWJ196600:UWT196637 UMN196600:UMX196637 UCR196600:UDB196637 TSV196600:TTF196637 TIZ196600:TJJ196637 SZD196600:SZN196637 SPH196600:SPR196637 SFL196600:SFV196637 RVP196600:RVZ196637 RLT196600:RMD196637 RBX196600:RCH196637 QSB196600:QSL196637 QIF196600:QIP196637 PYJ196600:PYT196637 PON196600:POX196637 PER196600:PFB196637 OUV196600:OVF196637 OKZ196600:OLJ196637 OBD196600:OBN196637 NRH196600:NRR196637 NHL196600:NHV196637 MXP196600:MXZ196637 MNT196600:MOD196637 MDX196600:MEH196637 LUB196600:LUL196637 LKF196600:LKP196637 LAJ196600:LAT196637 KQN196600:KQX196637 KGR196600:KHB196637 JWV196600:JXF196637 JMZ196600:JNJ196637 JDD196600:JDN196637 ITH196600:ITR196637 IJL196600:IJV196637 HZP196600:HZZ196637 HPT196600:HQD196637 HFX196600:HGH196637 GWB196600:GWL196637 GMF196600:GMP196637 GCJ196600:GCT196637 FSN196600:FSX196637 FIR196600:FJB196637 EYV196600:EZF196637 EOZ196600:EPJ196637 EFD196600:EFN196637 DVH196600:DVR196637 DLL196600:DLV196637 DBP196600:DBZ196637 CRT196600:CSD196637 CHX196600:CIH196637 BYB196600:BYL196637 BOF196600:BOP196637 BEJ196600:BET196637 AUN196600:AUX196637 AKR196600:ALB196637 AAV196600:ABF196637 QZ196600:RJ196637 HD196600:HN196637 WTP131064:WTZ131101 WJT131064:WKD131101 VZX131064:WAH131101 VQB131064:VQL131101 VGF131064:VGP131101 UWJ131064:UWT131101 UMN131064:UMX131101 UCR131064:UDB131101 TSV131064:TTF131101 TIZ131064:TJJ131101 SZD131064:SZN131101 SPH131064:SPR131101 SFL131064:SFV131101 RVP131064:RVZ131101 RLT131064:RMD131101 RBX131064:RCH131101 QSB131064:QSL131101 QIF131064:QIP131101 PYJ131064:PYT131101 PON131064:POX131101 PER131064:PFB131101 OUV131064:OVF131101 OKZ131064:OLJ131101 OBD131064:OBN131101 NRH131064:NRR131101 NHL131064:NHV131101 MXP131064:MXZ131101 MNT131064:MOD131101 MDX131064:MEH131101 LUB131064:LUL131101 LKF131064:LKP131101 LAJ131064:LAT131101 KQN131064:KQX131101 KGR131064:KHB131101 JWV131064:JXF131101 JMZ131064:JNJ131101 JDD131064:JDN131101 ITH131064:ITR131101 IJL131064:IJV131101 HZP131064:HZZ131101 HPT131064:HQD131101 HFX131064:HGH131101 GWB131064:GWL131101 GMF131064:GMP131101 GCJ131064:GCT131101 FSN131064:FSX131101 FIR131064:FJB131101 EYV131064:EZF131101 EOZ131064:EPJ131101 EFD131064:EFN131101 DVH131064:DVR131101 DLL131064:DLV131101 DBP131064:DBZ131101 CRT131064:CSD131101 CHX131064:CIH131101 BYB131064:BYL131101 BOF131064:BOP131101 BEJ131064:BET131101 AUN131064:AUX131101 AKR131064:ALB131101 AAV131064:ABF131101 QZ131064:RJ131101 HD131064:HN131101 WTP65528:WTZ65565 WJT65528:WKD65565 VZX65528:WAH65565 VQB65528:VQL65565 VGF65528:VGP65565 UWJ65528:UWT65565 UMN65528:UMX65565 UCR65528:UDB65565 TSV65528:TTF65565 TIZ65528:TJJ65565 SZD65528:SZN65565 SPH65528:SPR65565 SFL65528:SFV65565 RVP65528:RVZ65565 RLT65528:RMD65565 RBX65528:RCH65565 QSB65528:QSL65565 QIF65528:QIP65565 PYJ65528:PYT65565 PON65528:POX65565 PER65528:PFB65565 OUV65528:OVF65565 OKZ65528:OLJ65565 OBD65528:OBN65565 NRH65528:NRR65565 NHL65528:NHV65565 MXP65528:MXZ65565 MNT65528:MOD65565 MDX65528:MEH65565 LUB65528:LUL65565 LKF65528:LKP65565 LAJ65528:LAT65565 KQN65528:KQX65565 KGR65528:KHB65565 JWV65528:JXF65565 JMZ65528:JNJ65565 JDD65528:JDN65565 ITH65528:ITR65565 IJL65528:IJV65565 HZP65528:HZZ65565 HPT65528:HQD65565 HFX65528:HGH65565 GWB65528:GWL65565 GMF65528:GMP65565 GCJ65528:GCT65565 FSN65528:FSX65565 FIR65528:FJB65565 EYV65528:EZF65565 EOZ65528:EPJ65565 EFD65528:EFN65565 DVH65528:DVR65565 DLL65528:DLV65565 DBP65528:DBZ65565 CRT65528:CSD65565 CHX65528:CIH65565 BYB65528:BYL65565 BOF65528:BOP65565 BEJ65528:BET65565 AUN65528:AUX65565 AKR65528:ALB65565 AAV65528:ABF65565 QZ65528:RJ65565 HD65528:HN65565 WJT983032:WKD983069" xr:uid="{7BD5A66D-893A-4D7A-AA21-B4CFFDD6B43F}">
      <formula1>$C$42:$C$62</formula1>
    </dataValidation>
    <dataValidation type="list" allowBlank="1" showInputMessage="1" showErrorMessage="1" sqref="WUA983032:WUD983069 VQM983032:VQP983069 VGQ983032:VGT983069 UWU983032:UWX983069 UMY983032:UNB983069 UDC983032:UDF983069 TTG983032:TTJ983069 TJK983032:TJN983069 SZO983032:SZR983069 SPS983032:SPV983069 SFW983032:SFZ983069 RWA983032:RWD983069 RME983032:RMH983069 RCI983032:RCL983069 QSM983032:QSP983069 QIQ983032:QIT983069 PYU983032:PYX983069 POY983032:PPB983069 PFC983032:PFF983069 OVG983032:OVJ983069 OLK983032:OLN983069 OBO983032:OBR983069 NRS983032:NRV983069 NHW983032:NHZ983069 MYA983032:MYD983069 MOE983032:MOH983069 MEI983032:MEL983069 LUM983032:LUP983069 LKQ983032:LKT983069 LAU983032:LAX983069 KQY983032:KRB983069 KHC983032:KHF983069 JXG983032:JXJ983069 JNK983032:JNN983069 JDO983032:JDR983069 ITS983032:ITV983069 IJW983032:IJZ983069 IAA983032:IAD983069 HQE983032:HQH983069 HGI983032:HGL983069 GWM983032:GWP983069 GMQ983032:GMT983069 GCU983032:GCX983069 FSY983032:FTB983069 FJC983032:FJF983069 EZG983032:EZJ983069 EPK983032:EPN983069 EFO983032:EFR983069 DVS983032:DVV983069 DLW983032:DLZ983069 DCA983032:DCD983069 CSE983032:CSH983069 CII983032:CIL983069 BYM983032:BYP983069 BOQ983032:BOT983069 BEU983032:BEX983069 AUY983032:AVB983069 ALC983032:ALF983069 ABG983032:ABJ983069 RK983032:RN983069 HO983032:HR983069 WUA917496:WUD917533 WKE917496:WKH917533 WAI917496:WAL917533 VQM917496:VQP917533 VGQ917496:VGT917533 UWU917496:UWX917533 UMY917496:UNB917533 UDC917496:UDF917533 TTG917496:TTJ917533 TJK917496:TJN917533 SZO917496:SZR917533 SPS917496:SPV917533 SFW917496:SFZ917533 RWA917496:RWD917533 RME917496:RMH917533 RCI917496:RCL917533 QSM917496:QSP917533 QIQ917496:QIT917533 PYU917496:PYX917533 POY917496:PPB917533 PFC917496:PFF917533 OVG917496:OVJ917533 OLK917496:OLN917533 OBO917496:OBR917533 NRS917496:NRV917533 NHW917496:NHZ917533 MYA917496:MYD917533 MOE917496:MOH917533 MEI917496:MEL917533 LUM917496:LUP917533 LKQ917496:LKT917533 LAU917496:LAX917533 KQY917496:KRB917533 KHC917496:KHF917533 JXG917496:JXJ917533 JNK917496:JNN917533 JDO917496:JDR917533 ITS917496:ITV917533 IJW917496:IJZ917533 IAA917496:IAD917533 HQE917496:HQH917533 HGI917496:HGL917533 GWM917496:GWP917533 GMQ917496:GMT917533 GCU917496:GCX917533 FSY917496:FTB917533 FJC917496:FJF917533 EZG917496:EZJ917533 EPK917496:EPN917533 EFO917496:EFR917533 DVS917496:DVV917533 DLW917496:DLZ917533 DCA917496:DCD917533 CSE917496:CSH917533 CII917496:CIL917533 BYM917496:BYP917533 BOQ917496:BOT917533 BEU917496:BEX917533 AUY917496:AVB917533 ALC917496:ALF917533 ABG917496:ABJ917533 RK917496:RN917533 HO917496:HR917533 WUA851960:WUD851997 WKE851960:WKH851997 WAI851960:WAL851997 VQM851960:VQP851997 VGQ851960:VGT851997 UWU851960:UWX851997 UMY851960:UNB851997 UDC851960:UDF851997 TTG851960:TTJ851997 TJK851960:TJN851997 SZO851960:SZR851997 SPS851960:SPV851997 SFW851960:SFZ851997 RWA851960:RWD851997 RME851960:RMH851997 RCI851960:RCL851997 QSM851960:QSP851997 QIQ851960:QIT851997 PYU851960:PYX851997 POY851960:PPB851997 PFC851960:PFF851997 OVG851960:OVJ851997 OLK851960:OLN851997 OBO851960:OBR851997 NRS851960:NRV851997 NHW851960:NHZ851997 MYA851960:MYD851997 MOE851960:MOH851997 MEI851960:MEL851997 LUM851960:LUP851997 LKQ851960:LKT851997 LAU851960:LAX851997 KQY851960:KRB851997 KHC851960:KHF851997 JXG851960:JXJ851997 JNK851960:JNN851997 JDO851960:JDR851997 ITS851960:ITV851997 IJW851960:IJZ851997 IAA851960:IAD851997 HQE851960:HQH851997 HGI851960:HGL851997 GWM851960:GWP851997 GMQ851960:GMT851997 GCU851960:GCX851997 FSY851960:FTB851997 FJC851960:FJF851997 EZG851960:EZJ851997 EPK851960:EPN851997 EFO851960:EFR851997 DVS851960:DVV851997 DLW851960:DLZ851997 DCA851960:DCD851997 CSE851960:CSH851997 CII851960:CIL851997 BYM851960:BYP851997 BOQ851960:BOT851997 BEU851960:BEX851997 AUY851960:AVB851997 ALC851960:ALF851997 ABG851960:ABJ851997 RK851960:RN851997 HO851960:HR851997 WUA786424:WUD786461 WKE786424:WKH786461 WAI786424:WAL786461 VQM786424:VQP786461 VGQ786424:VGT786461 UWU786424:UWX786461 UMY786424:UNB786461 UDC786424:UDF786461 TTG786424:TTJ786461 TJK786424:TJN786461 SZO786424:SZR786461 SPS786424:SPV786461 SFW786424:SFZ786461 RWA786424:RWD786461 RME786424:RMH786461 RCI786424:RCL786461 QSM786424:QSP786461 QIQ786424:QIT786461 PYU786424:PYX786461 POY786424:PPB786461 PFC786424:PFF786461 OVG786424:OVJ786461 OLK786424:OLN786461 OBO786424:OBR786461 NRS786424:NRV786461 NHW786424:NHZ786461 MYA786424:MYD786461 MOE786424:MOH786461 MEI786424:MEL786461 LUM786424:LUP786461 LKQ786424:LKT786461 LAU786424:LAX786461 KQY786424:KRB786461 KHC786424:KHF786461 JXG786424:JXJ786461 JNK786424:JNN786461 JDO786424:JDR786461 ITS786424:ITV786461 IJW786424:IJZ786461 IAA786424:IAD786461 HQE786424:HQH786461 HGI786424:HGL786461 GWM786424:GWP786461 GMQ786424:GMT786461 GCU786424:GCX786461 FSY786424:FTB786461 FJC786424:FJF786461 EZG786424:EZJ786461 EPK786424:EPN786461 EFO786424:EFR786461 DVS786424:DVV786461 DLW786424:DLZ786461 DCA786424:DCD786461 CSE786424:CSH786461 CII786424:CIL786461 BYM786424:BYP786461 BOQ786424:BOT786461 BEU786424:BEX786461 AUY786424:AVB786461 ALC786424:ALF786461 ABG786424:ABJ786461 RK786424:RN786461 HO786424:HR786461 WUA720888:WUD720925 WKE720888:WKH720925 WAI720888:WAL720925 VQM720888:VQP720925 VGQ720888:VGT720925 UWU720888:UWX720925 UMY720888:UNB720925 UDC720888:UDF720925 TTG720888:TTJ720925 TJK720888:TJN720925 SZO720888:SZR720925 SPS720888:SPV720925 SFW720888:SFZ720925 RWA720888:RWD720925 RME720888:RMH720925 RCI720888:RCL720925 QSM720888:QSP720925 QIQ720888:QIT720925 PYU720888:PYX720925 POY720888:PPB720925 PFC720888:PFF720925 OVG720888:OVJ720925 OLK720888:OLN720925 OBO720888:OBR720925 NRS720888:NRV720925 NHW720888:NHZ720925 MYA720888:MYD720925 MOE720888:MOH720925 MEI720888:MEL720925 LUM720888:LUP720925 LKQ720888:LKT720925 LAU720888:LAX720925 KQY720888:KRB720925 KHC720888:KHF720925 JXG720888:JXJ720925 JNK720888:JNN720925 JDO720888:JDR720925 ITS720888:ITV720925 IJW720888:IJZ720925 IAA720888:IAD720925 HQE720888:HQH720925 HGI720888:HGL720925 GWM720888:GWP720925 GMQ720888:GMT720925 GCU720888:GCX720925 FSY720888:FTB720925 FJC720888:FJF720925 EZG720888:EZJ720925 EPK720888:EPN720925 EFO720888:EFR720925 DVS720888:DVV720925 DLW720888:DLZ720925 DCA720888:DCD720925 CSE720888:CSH720925 CII720888:CIL720925 BYM720888:BYP720925 BOQ720888:BOT720925 BEU720888:BEX720925 AUY720888:AVB720925 ALC720888:ALF720925 ABG720888:ABJ720925 RK720888:RN720925 HO720888:HR720925 WUA655352:WUD655389 WKE655352:WKH655389 WAI655352:WAL655389 VQM655352:VQP655389 VGQ655352:VGT655389 UWU655352:UWX655389 UMY655352:UNB655389 UDC655352:UDF655389 TTG655352:TTJ655389 TJK655352:TJN655389 SZO655352:SZR655389 SPS655352:SPV655389 SFW655352:SFZ655389 RWA655352:RWD655389 RME655352:RMH655389 RCI655352:RCL655389 QSM655352:QSP655389 QIQ655352:QIT655389 PYU655352:PYX655389 POY655352:PPB655389 PFC655352:PFF655389 OVG655352:OVJ655389 OLK655352:OLN655389 OBO655352:OBR655389 NRS655352:NRV655389 NHW655352:NHZ655389 MYA655352:MYD655389 MOE655352:MOH655389 MEI655352:MEL655389 LUM655352:LUP655389 LKQ655352:LKT655389 LAU655352:LAX655389 KQY655352:KRB655389 KHC655352:KHF655389 JXG655352:JXJ655389 JNK655352:JNN655389 JDO655352:JDR655389 ITS655352:ITV655389 IJW655352:IJZ655389 IAA655352:IAD655389 HQE655352:HQH655389 HGI655352:HGL655389 GWM655352:GWP655389 GMQ655352:GMT655389 GCU655352:GCX655389 FSY655352:FTB655389 FJC655352:FJF655389 EZG655352:EZJ655389 EPK655352:EPN655389 EFO655352:EFR655389 DVS655352:DVV655389 DLW655352:DLZ655389 DCA655352:DCD655389 CSE655352:CSH655389 CII655352:CIL655389 BYM655352:BYP655389 BOQ655352:BOT655389 BEU655352:BEX655389 AUY655352:AVB655389 ALC655352:ALF655389 ABG655352:ABJ655389 RK655352:RN655389 HO655352:HR655389 WUA589816:WUD589853 WKE589816:WKH589853 WAI589816:WAL589853 VQM589816:VQP589853 VGQ589816:VGT589853 UWU589816:UWX589853 UMY589816:UNB589853 UDC589816:UDF589853 TTG589816:TTJ589853 TJK589816:TJN589853 SZO589816:SZR589853 SPS589816:SPV589853 SFW589816:SFZ589853 RWA589816:RWD589853 RME589816:RMH589853 RCI589816:RCL589853 QSM589816:QSP589853 QIQ589816:QIT589853 PYU589816:PYX589853 POY589816:PPB589853 PFC589816:PFF589853 OVG589816:OVJ589853 OLK589816:OLN589853 OBO589816:OBR589853 NRS589816:NRV589853 NHW589816:NHZ589853 MYA589816:MYD589853 MOE589816:MOH589853 MEI589816:MEL589853 LUM589816:LUP589853 LKQ589816:LKT589853 LAU589816:LAX589853 KQY589816:KRB589853 KHC589816:KHF589853 JXG589816:JXJ589853 JNK589816:JNN589853 JDO589816:JDR589853 ITS589816:ITV589853 IJW589816:IJZ589853 IAA589816:IAD589853 HQE589816:HQH589853 HGI589816:HGL589853 GWM589816:GWP589853 GMQ589816:GMT589853 GCU589816:GCX589853 FSY589816:FTB589853 FJC589816:FJF589853 EZG589816:EZJ589853 EPK589816:EPN589853 EFO589816:EFR589853 DVS589816:DVV589853 DLW589816:DLZ589853 DCA589816:DCD589853 CSE589816:CSH589853 CII589816:CIL589853 BYM589816:BYP589853 BOQ589816:BOT589853 BEU589816:BEX589853 AUY589816:AVB589853 ALC589816:ALF589853 ABG589816:ABJ589853 RK589816:RN589853 HO589816:HR589853 WUA524280:WUD524317 WKE524280:WKH524317 WAI524280:WAL524317 VQM524280:VQP524317 VGQ524280:VGT524317 UWU524280:UWX524317 UMY524280:UNB524317 UDC524280:UDF524317 TTG524280:TTJ524317 TJK524280:TJN524317 SZO524280:SZR524317 SPS524280:SPV524317 SFW524280:SFZ524317 RWA524280:RWD524317 RME524280:RMH524317 RCI524280:RCL524317 QSM524280:QSP524317 QIQ524280:QIT524317 PYU524280:PYX524317 POY524280:PPB524317 PFC524280:PFF524317 OVG524280:OVJ524317 OLK524280:OLN524317 OBO524280:OBR524317 NRS524280:NRV524317 NHW524280:NHZ524317 MYA524280:MYD524317 MOE524280:MOH524317 MEI524280:MEL524317 LUM524280:LUP524317 LKQ524280:LKT524317 LAU524280:LAX524317 KQY524280:KRB524317 KHC524280:KHF524317 JXG524280:JXJ524317 JNK524280:JNN524317 JDO524280:JDR524317 ITS524280:ITV524317 IJW524280:IJZ524317 IAA524280:IAD524317 HQE524280:HQH524317 HGI524280:HGL524317 GWM524280:GWP524317 GMQ524280:GMT524317 GCU524280:GCX524317 FSY524280:FTB524317 FJC524280:FJF524317 EZG524280:EZJ524317 EPK524280:EPN524317 EFO524280:EFR524317 DVS524280:DVV524317 DLW524280:DLZ524317 DCA524280:DCD524317 CSE524280:CSH524317 CII524280:CIL524317 BYM524280:BYP524317 BOQ524280:BOT524317 BEU524280:BEX524317 AUY524280:AVB524317 ALC524280:ALF524317 ABG524280:ABJ524317 RK524280:RN524317 HO524280:HR524317 WUA458744:WUD458781 WKE458744:WKH458781 WAI458744:WAL458781 VQM458744:VQP458781 VGQ458744:VGT458781 UWU458744:UWX458781 UMY458744:UNB458781 UDC458744:UDF458781 TTG458744:TTJ458781 TJK458744:TJN458781 SZO458744:SZR458781 SPS458744:SPV458781 SFW458744:SFZ458781 RWA458744:RWD458781 RME458744:RMH458781 RCI458744:RCL458781 QSM458744:QSP458781 QIQ458744:QIT458781 PYU458744:PYX458781 POY458744:PPB458781 PFC458744:PFF458781 OVG458744:OVJ458781 OLK458744:OLN458781 OBO458744:OBR458781 NRS458744:NRV458781 NHW458744:NHZ458781 MYA458744:MYD458781 MOE458744:MOH458781 MEI458744:MEL458781 LUM458744:LUP458781 LKQ458744:LKT458781 LAU458744:LAX458781 KQY458744:KRB458781 KHC458744:KHF458781 JXG458744:JXJ458781 JNK458744:JNN458781 JDO458744:JDR458781 ITS458744:ITV458781 IJW458744:IJZ458781 IAA458744:IAD458781 HQE458744:HQH458781 HGI458744:HGL458781 GWM458744:GWP458781 GMQ458744:GMT458781 GCU458744:GCX458781 FSY458744:FTB458781 FJC458744:FJF458781 EZG458744:EZJ458781 EPK458744:EPN458781 EFO458744:EFR458781 DVS458744:DVV458781 DLW458744:DLZ458781 DCA458744:DCD458781 CSE458744:CSH458781 CII458744:CIL458781 BYM458744:BYP458781 BOQ458744:BOT458781 BEU458744:BEX458781 AUY458744:AVB458781 ALC458744:ALF458781 ABG458744:ABJ458781 RK458744:RN458781 HO458744:HR458781 WUA393208:WUD393245 WKE393208:WKH393245 WAI393208:WAL393245 VQM393208:VQP393245 VGQ393208:VGT393245 UWU393208:UWX393245 UMY393208:UNB393245 UDC393208:UDF393245 TTG393208:TTJ393245 TJK393208:TJN393245 SZO393208:SZR393245 SPS393208:SPV393245 SFW393208:SFZ393245 RWA393208:RWD393245 RME393208:RMH393245 RCI393208:RCL393245 QSM393208:QSP393245 QIQ393208:QIT393245 PYU393208:PYX393245 POY393208:PPB393245 PFC393208:PFF393245 OVG393208:OVJ393245 OLK393208:OLN393245 OBO393208:OBR393245 NRS393208:NRV393245 NHW393208:NHZ393245 MYA393208:MYD393245 MOE393208:MOH393245 MEI393208:MEL393245 LUM393208:LUP393245 LKQ393208:LKT393245 LAU393208:LAX393245 KQY393208:KRB393245 KHC393208:KHF393245 JXG393208:JXJ393245 JNK393208:JNN393245 JDO393208:JDR393245 ITS393208:ITV393245 IJW393208:IJZ393245 IAA393208:IAD393245 HQE393208:HQH393245 HGI393208:HGL393245 GWM393208:GWP393245 GMQ393208:GMT393245 GCU393208:GCX393245 FSY393208:FTB393245 FJC393208:FJF393245 EZG393208:EZJ393245 EPK393208:EPN393245 EFO393208:EFR393245 DVS393208:DVV393245 DLW393208:DLZ393245 DCA393208:DCD393245 CSE393208:CSH393245 CII393208:CIL393245 BYM393208:BYP393245 BOQ393208:BOT393245 BEU393208:BEX393245 AUY393208:AVB393245 ALC393208:ALF393245 ABG393208:ABJ393245 RK393208:RN393245 HO393208:HR393245 WUA327672:WUD327709 WKE327672:WKH327709 WAI327672:WAL327709 VQM327672:VQP327709 VGQ327672:VGT327709 UWU327672:UWX327709 UMY327672:UNB327709 UDC327672:UDF327709 TTG327672:TTJ327709 TJK327672:TJN327709 SZO327672:SZR327709 SPS327672:SPV327709 SFW327672:SFZ327709 RWA327672:RWD327709 RME327672:RMH327709 RCI327672:RCL327709 QSM327672:QSP327709 QIQ327672:QIT327709 PYU327672:PYX327709 POY327672:PPB327709 PFC327672:PFF327709 OVG327672:OVJ327709 OLK327672:OLN327709 OBO327672:OBR327709 NRS327672:NRV327709 NHW327672:NHZ327709 MYA327672:MYD327709 MOE327672:MOH327709 MEI327672:MEL327709 LUM327672:LUP327709 LKQ327672:LKT327709 LAU327672:LAX327709 KQY327672:KRB327709 KHC327672:KHF327709 JXG327672:JXJ327709 JNK327672:JNN327709 JDO327672:JDR327709 ITS327672:ITV327709 IJW327672:IJZ327709 IAA327672:IAD327709 HQE327672:HQH327709 HGI327672:HGL327709 GWM327672:GWP327709 GMQ327672:GMT327709 GCU327672:GCX327709 FSY327672:FTB327709 FJC327672:FJF327709 EZG327672:EZJ327709 EPK327672:EPN327709 EFO327672:EFR327709 DVS327672:DVV327709 DLW327672:DLZ327709 DCA327672:DCD327709 CSE327672:CSH327709 CII327672:CIL327709 BYM327672:BYP327709 BOQ327672:BOT327709 BEU327672:BEX327709 AUY327672:AVB327709 ALC327672:ALF327709 ABG327672:ABJ327709 RK327672:RN327709 HO327672:HR327709 WUA262136:WUD262173 WKE262136:WKH262173 WAI262136:WAL262173 VQM262136:VQP262173 VGQ262136:VGT262173 UWU262136:UWX262173 UMY262136:UNB262173 UDC262136:UDF262173 TTG262136:TTJ262173 TJK262136:TJN262173 SZO262136:SZR262173 SPS262136:SPV262173 SFW262136:SFZ262173 RWA262136:RWD262173 RME262136:RMH262173 RCI262136:RCL262173 QSM262136:QSP262173 QIQ262136:QIT262173 PYU262136:PYX262173 POY262136:PPB262173 PFC262136:PFF262173 OVG262136:OVJ262173 OLK262136:OLN262173 OBO262136:OBR262173 NRS262136:NRV262173 NHW262136:NHZ262173 MYA262136:MYD262173 MOE262136:MOH262173 MEI262136:MEL262173 LUM262136:LUP262173 LKQ262136:LKT262173 LAU262136:LAX262173 KQY262136:KRB262173 KHC262136:KHF262173 JXG262136:JXJ262173 JNK262136:JNN262173 JDO262136:JDR262173 ITS262136:ITV262173 IJW262136:IJZ262173 IAA262136:IAD262173 HQE262136:HQH262173 HGI262136:HGL262173 GWM262136:GWP262173 GMQ262136:GMT262173 GCU262136:GCX262173 FSY262136:FTB262173 FJC262136:FJF262173 EZG262136:EZJ262173 EPK262136:EPN262173 EFO262136:EFR262173 DVS262136:DVV262173 DLW262136:DLZ262173 DCA262136:DCD262173 CSE262136:CSH262173 CII262136:CIL262173 BYM262136:BYP262173 BOQ262136:BOT262173 BEU262136:BEX262173 AUY262136:AVB262173 ALC262136:ALF262173 ABG262136:ABJ262173 RK262136:RN262173 HO262136:HR262173 WUA196600:WUD196637 WKE196600:WKH196637 WAI196600:WAL196637 VQM196600:VQP196637 VGQ196600:VGT196637 UWU196600:UWX196637 UMY196600:UNB196637 UDC196600:UDF196637 TTG196600:TTJ196637 TJK196600:TJN196637 SZO196600:SZR196637 SPS196600:SPV196637 SFW196600:SFZ196637 RWA196600:RWD196637 RME196600:RMH196637 RCI196600:RCL196637 QSM196600:QSP196637 QIQ196600:QIT196637 PYU196600:PYX196637 POY196600:PPB196637 PFC196600:PFF196637 OVG196600:OVJ196637 OLK196600:OLN196637 OBO196600:OBR196637 NRS196600:NRV196637 NHW196600:NHZ196637 MYA196600:MYD196637 MOE196600:MOH196637 MEI196600:MEL196637 LUM196600:LUP196637 LKQ196600:LKT196637 LAU196600:LAX196637 KQY196600:KRB196637 KHC196600:KHF196637 JXG196600:JXJ196637 JNK196600:JNN196637 JDO196600:JDR196637 ITS196600:ITV196637 IJW196600:IJZ196637 IAA196600:IAD196637 HQE196600:HQH196637 HGI196600:HGL196637 GWM196600:GWP196637 GMQ196600:GMT196637 GCU196600:GCX196637 FSY196600:FTB196637 FJC196600:FJF196637 EZG196600:EZJ196637 EPK196600:EPN196637 EFO196600:EFR196637 DVS196600:DVV196637 DLW196600:DLZ196637 DCA196600:DCD196637 CSE196600:CSH196637 CII196600:CIL196637 BYM196600:BYP196637 BOQ196600:BOT196637 BEU196600:BEX196637 AUY196600:AVB196637 ALC196600:ALF196637 ABG196600:ABJ196637 RK196600:RN196637 HO196600:HR196637 WUA131064:WUD131101 WKE131064:WKH131101 WAI131064:WAL131101 VQM131064:VQP131101 VGQ131064:VGT131101 UWU131064:UWX131101 UMY131064:UNB131101 UDC131064:UDF131101 TTG131064:TTJ131101 TJK131064:TJN131101 SZO131064:SZR131101 SPS131064:SPV131101 SFW131064:SFZ131101 RWA131064:RWD131101 RME131064:RMH131101 RCI131064:RCL131101 QSM131064:QSP131101 QIQ131064:QIT131101 PYU131064:PYX131101 POY131064:PPB131101 PFC131064:PFF131101 OVG131064:OVJ131101 OLK131064:OLN131101 OBO131064:OBR131101 NRS131064:NRV131101 NHW131064:NHZ131101 MYA131064:MYD131101 MOE131064:MOH131101 MEI131064:MEL131101 LUM131064:LUP131101 LKQ131064:LKT131101 LAU131064:LAX131101 KQY131064:KRB131101 KHC131064:KHF131101 JXG131064:JXJ131101 JNK131064:JNN131101 JDO131064:JDR131101 ITS131064:ITV131101 IJW131064:IJZ131101 IAA131064:IAD131101 HQE131064:HQH131101 HGI131064:HGL131101 GWM131064:GWP131101 GMQ131064:GMT131101 GCU131064:GCX131101 FSY131064:FTB131101 FJC131064:FJF131101 EZG131064:EZJ131101 EPK131064:EPN131101 EFO131064:EFR131101 DVS131064:DVV131101 DLW131064:DLZ131101 DCA131064:DCD131101 CSE131064:CSH131101 CII131064:CIL131101 BYM131064:BYP131101 BOQ131064:BOT131101 BEU131064:BEX131101 AUY131064:AVB131101 ALC131064:ALF131101 ABG131064:ABJ131101 RK131064:RN131101 HO131064:HR131101 WUA65528:WUD65565 WKE65528:WKH65565 WAI65528:WAL65565 VQM65528:VQP65565 VGQ65528:VGT65565 UWU65528:UWX65565 UMY65528:UNB65565 UDC65528:UDF65565 TTG65528:TTJ65565 TJK65528:TJN65565 SZO65528:SZR65565 SPS65528:SPV65565 SFW65528:SFZ65565 RWA65528:RWD65565 RME65528:RMH65565 RCI65528:RCL65565 QSM65528:QSP65565 QIQ65528:QIT65565 PYU65528:PYX65565 POY65528:PPB65565 PFC65528:PFF65565 OVG65528:OVJ65565 OLK65528:OLN65565 OBO65528:OBR65565 NRS65528:NRV65565 NHW65528:NHZ65565 MYA65528:MYD65565 MOE65528:MOH65565 MEI65528:MEL65565 LUM65528:LUP65565 LKQ65528:LKT65565 LAU65528:LAX65565 KQY65528:KRB65565 KHC65528:KHF65565 JXG65528:JXJ65565 JNK65528:JNN65565 JDO65528:JDR65565 ITS65528:ITV65565 IJW65528:IJZ65565 IAA65528:IAD65565 HQE65528:HQH65565 HGI65528:HGL65565 GWM65528:GWP65565 GMQ65528:GMT65565 GCU65528:GCX65565 FSY65528:FTB65565 FJC65528:FJF65565 EZG65528:EZJ65565 EPK65528:EPN65565 EFO65528:EFR65565 DVS65528:DVV65565 DLW65528:DLZ65565 DCA65528:DCD65565 CSE65528:CSH65565 CII65528:CIL65565 BYM65528:BYP65565 BOQ65528:BOT65565 BEU65528:BEX65565 AUY65528:AVB65565 ALC65528:ALF65565 ABG65528:ABJ65565 RK65528:RN65565 HO65528:HR65565 WKE983032:WKH983069 WAI983032:WAL983069 WAI5:WAL29 VQM5:VQP29 VGQ5:VGT29 UWU5:UWX29 UMY5:UNB29 UDC5:UDF29 TTG5:TTJ29 TJK5:TJN29 SZO5:SZR29 SPS5:SPV29 SFW5:SFZ29 RWA5:RWD29 RME5:RMH29 RCI5:RCL29 QSM5:QSP29 QIQ5:QIT29 PYU5:PYX29 POY5:PPB29 PFC5:PFF29 OVG5:OVJ29 OLK5:OLN29 OBO5:OBR29 NRS5:NRV29 NHW5:NHZ29 MYA5:MYD29 MOE5:MOH29 MEI5:MEL29 LUM5:LUP29 LKQ5:LKT29 LAU5:LAX29 KQY5:KRB29 KHC5:KHF29 JXG5:JXJ29 JNK5:JNN29 JDO5:JDR29 ITS5:ITV29 IJW5:IJZ29 IAA5:IAD29 HQE5:HQH29 HGI5:HGL29 GWM5:GWP29 GMQ5:GMT29 GCU5:GCX29 FSY5:FTB29 FJC5:FJF29 EZG5:EZJ29 EPK5:EPN29 EFO5:EFR29 DVS5:DVV29 DLW5:DLZ29 DCA5:DCD29 CSE5:CSH29 CII5:CIL29 BYM5:BYP29 BOQ5:BOT29 BEU5:BEX29 AUY5:AVB29 ALC5:ALF29 ABG5:ABJ29 RK5:RN29 HO5:HR29 WUA5:WUD29 WKE5:WKH29" xr:uid="{95629BFD-FFB3-4FF5-A3B6-537950BF97B6}">
      <formula1>#REF!</formula1>
    </dataValidation>
    <dataValidation type="list" allowBlank="1" showInputMessage="1" showErrorMessage="1" sqref="HR983073:HY983078 RN983073:RU983078 ABJ983073:ABQ983078 ALF983073:ALM983078 AVB983073:AVI983078 BEX983073:BFE983078 BOT983073:BPA983078 BYP983073:BYW983078 CIL983073:CIS983078 CSH983073:CSO983078 DCD983073:DCK983078 DLZ983073:DMG983078 DVV983073:DWC983078 EFR983073:EFY983078 EPN983073:EPU983078 EZJ983073:EZQ983078 FJF983073:FJM983078 FTB983073:FTI983078 GCX983073:GDE983078 GMT983073:GNA983078 GWP983073:GWW983078 HGL983073:HGS983078 HQH983073:HQO983078 IAD983073:IAK983078 IJZ983073:IKG983078 ITV983073:IUC983078 JDR983073:JDY983078 JNN983073:JNU983078 JXJ983073:JXQ983078 KHF983073:KHM983078 KRB983073:KRI983078 LAX983073:LBE983078 LKT983073:LLA983078 LUP983073:LUW983078 MEL983073:MES983078 MOH983073:MOO983078 MYD983073:MYK983078 NHZ983073:NIG983078 NRV983073:NSC983078 OBR983073:OBY983078 OLN983073:OLU983078 OVJ983073:OVQ983078 PFF983073:PFM983078 PPB983073:PPI983078 PYX983073:PZE983078 QIT983073:QJA983078 QSP983073:QSW983078 RCL983073:RCS983078 RMH983073:RMO983078 RWD983073:RWK983078 SFZ983073:SGG983078 SPV983073:SQC983078 SZR983073:SZY983078 TJN983073:TJU983078 TTJ983073:TTQ983078 UDF983073:UDM983078 UNB983073:UNI983078 UWX983073:UXE983078 VGT983073:VHA983078 VQP983073:VQW983078 WAL983073:WAS983078 WKH983073:WKO983078 WUD983073:WUK983078 HR65569:HY65574 RN65569:RU65574 ABJ65569:ABQ65574 ALF65569:ALM65574 AVB65569:AVI65574 BEX65569:BFE65574 BOT65569:BPA65574 BYP65569:BYW65574 CIL65569:CIS65574 CSH65569:CSO65574 DCD65569:DCK65574 DLZ65569:DMG65574 DVV65569:DWC65574 EFR65569:EFY65574 EPN65569:EPU65574 EZJ65569:EZQ65574 FJF65569:FJM65574 FTB65569:FTI65574 GCX65569:GDE65574 GMT65569:GNA65574 GWP65569:GWW65574 HGL65569:HGS65574 HQH65569:HQO65574 IAD65569:IAK65574 IJZ65569:IKG65574 ITV65569:IUC65574 JDR65569:JDY65574 JNN65569:JNU65574 JXJ65569:JXQ65574 KHF65569:KHM65574 KRB65569:KRI65574 LAX65569:LBE65574 LKT65569:LLA65574 LUP65569:LUW65574 MEL65569:MES65574 MOH65569:MOO65574 MYD65569:MYK65574 NHZ65569:NIG65574 NRV65569:NSC65574 OBR65569:OBY65574 OLN65569:OLU65574 OVJ65569:OVQ65574 PFF65569:PFM65574 PPB65569:PPI65574 PYX65569:PZE65574 QIT65569:QJA65574 QSP65569:QSW65574 RCL65569:RCS65574 RMH65569:RMO65574 RWD65569:RWK65574 SFZ65569:SGG65574 SPV65569:SQC65574 SZR65569:SZY65574 TJN65569:TJU65574 TTJ65569:TTQ65574 UDF65569:UDM65574 UNB65569:UNI65574 UWX65569:UXE65574 VGT65569:VHA65574 VQP65569:VQW65574 WAL65569:WAS65574 WKH65569:WKO65574 WUD65569:WUK65574 HR131105:HY131110 RN131105:RU131110 ABJ131105:ABQ131110 ALF131105:ALM131110 AVB131105:AVI131110 BEX131105:BFE131110 BOT131105:BPA131110 BYP131105:BYW131110 CIL131105:CIS131110 CSH131105:CSO131110 DCD131105:DCK131110 DLZ131105:DMG131110 DVV131105:DWC131110 EFR131105:EFY131110 EPN131105:EPU131110 EZJ131105:EZQ131110 FJF131105:FJM131110 FTB131105:FTI131110 GCX131105:GDE131110 GMT131105:GNA131110 GWP131105:GWW131110 HGL131105:HGS131110 HQH131105:HQO131110 IAD131105:IAK131110 IJZ131105:IKG131110 ITV131105:IUC131110 JDR131105:JDY131110 JNN131105:JNU131110 JXJ131105:JXQ131110 KHF131105:KHM131110 KRB131105:KRI131110 LAX131105:LBE131110 LKT131105:LLA131110 LUP131105:LUW131110 MEL131105:MES131110 MOH131105:MOO131110 MYD131105:MYK131110 NHZ131105:NIG131110 NRV131105:NSC131110 OBR131105:OBY131110 OLN131105:OLU131110 OVJ131105:OVQ131110 PFF131105:PFM131110 PPB131105:PPI131110 PYX131105:PZE131110 QIT131105:QJA131110 QSP131105:QSW131110 RCL131105:RCS131110 RMH131105:RMO131110 RWD131105:RWK131110 SFZ131105:SGG131110 SPV131105:SQC131110 SZR131105:SZY131110 TJN131105:TJU131110 TTJ131105:TTQ131110 UDF131105:UDM131110 UNB131105:UNI131110 UWX131105:UXE131110 VGT131105:VHA131110 VQP131105:VQW131110 WAL131105:WAS131110 WKH131105:WKO131110 WUD131105:WUK131110 HR196641:HY196646 RN196641:RU196646 ABJ196641:ABQ196646 ALF196641:ALM196646 AVB196641:AVI196646 BEX196641:BFE196646 BOT196641:BPA196646 BYP196641:BYW196646 CIL196641:CIS196646 CSH196641:CSO196646 DCD196641:DCK196646 DLZ196641:DMG196646 DVV196641:DWC196646 EFR196641:EFY196646 EPN196641:EPU196646 EZJ196641:EZQ196646 FJF196641:FJM196646 FTB196641:FTI196646 GCX196641:GDE196646 GMT196641:GNA196646 GWP196641:GWW196646 HGL196641:HGS196646 HQH196641:HQO196646 IAD196641:IAK196646 IJZ196641:IKG196646 ITV196641:IUC196646 JDR196641:JDY196646 JNN196641:JNU196646 JXJ196641:JXQ196646 KHF196641:KHM196646 KRB196641:KRI196646 LAX196641:LBE196646 LKT196641:LLA196646 LUP196641:LUW196646 MEL196641:MES196646 MOH196641:MOO196646 MYD196641:MYK196646 NHZ196641:NIG196646 NRV196641:NSC196646 OBR196641:OBY196646 OLN196641:OLU196646 OVJ196641:OVQ196646 PFF196641:PFM196646 PPB196641:PPI196646 PYX196641:PZE196646 QIT196641:QJA196646 QSP196641:QSW196646 RCL196641:RCS196646 RMH196641:RMO196646 RWD196641:RWK196646 SFZ196641:SGG196646 SPV196641:SQC196646 SZR196641:SZY196646 TJN196641:TJU196646 TTJ196641:TTQ196646 UDF196641:UDM196646 UNB196641:UNI196646 UWX196641:UXE196646 VGT196641:VHA196646 VQP196641:VQW196646 WAL196641:WAS196646 WKH196641:WKO196646 WUD196641:WUK196646 HR262177:HY262182 RN262177:RU262182 ABJ262177:ABQ262182 ALF262177:ALM262182 AVB262177:AVI262182 BEX262177:BFE262182 BOT262177:BPA262182 BYP262177:BYW262182 CIL262177:CIS262182 CSH262177:CSO262182 DCD262177:DCK262182 DLZ262177:DMG262182 DVV262177:DWC262182 EFR262177:EFY262182 EPN262177:EPU262182 EZJ262177:EZQ262182 FJF262177:FJM262182 FTB262177:FTI262182 GCX262177:GDE262182 GMT262177:GNA262182 GWP262177:GWW262182 HGL262177:HGS262182 HQH262177:HQO262182 IAD262177:IAK262182 IJZ262177:IKG262182 ITV262177:IUC262182 JDR262177:JDY262182 JNN262177:JNU262182 JXJ262177:JXQ262182 KHF262177:KHM262182 KRB262177:KRI262182 LAX262177:LBE262182 LKT262177:LLA262182 LUP262177:LUW262182 MEL262177:MES262182 MOH262177:MOO262182 MYD262177:MYK262182 NHZ262177:NIG262182 NRV262177:NSC262182 OBR262177:OBY262182 OLN262177:OLU262182 OVJ262177:OVQ262182 PFF262177:PFM262182 PPB262177:PPI262182 PYX262177:PZE262182 QIT262177:QJA262182 QSP262177:QSW262182 RCL262177:RCS262182 RMH262177:RMO262182 RWD262177:RWK262182 SFZ262177:SGG262182 SPV262177:SQC262182 SZR262177:SZY262182 TJN262177:TJU262182 TTJ262177:TTQ262182 UDF262177:UDM262182 UNB262177:UNI262182 UWX262177:UXE262182 VGT262177:VHA262182 VQP262177:VQW262182 WAL262177:WAS262182 WKH262177:WKO262182 WUD262177:WUK262182 HR327713:HY327718 RN327713:RU327718 ABJ327713:ABQ327718 ALF327713:ALM327718 AVB327713:AVI327718 BEX327713:BFE327718 BOT327713:BPA327718 BYP327713:BYW327718 CIL327713:CIS327718 CSH327713:CSO327718 DCD327713:DCK327718 DLZ327713:DMG327718 DVV327713:DWC327718 EFR327713:EFY327718 EPN327713:EPU327718 EZJ327713:EZQ327718 FJF327713:FJM327718 FTB327713:FTI327718 GCX327713:GDE327718 GMT327713:GNA327718 GWP327713:GWW327718 HGL327713:HGS327718 HQH327713:HQO327718 IAD327713:IAK327718 IJZ327713:IKG327718 ITV327713:IUC327718 JDR327713:JDY327718 JNN327713:JNU327718 JXJ327713:JXQ327718 KHF327713:KHM327718 KRB327713:KRI327718 LAX327713:LBE327718 LKT327713:LLA327718 LUP327713:LUW327718 MEL327713:MES327718 MOH327713:MOO327718 MYD327713:MYK327718 NHZ327713:NIG327718 NRV327713:NSC327718 OBR327713:OBY327718 OLN327713:OLU327718 OVJ327713:OVQ327718 PFF327713:PFM327718 PPB327713:PPI327718 PYX327713:PZE327718 QIT327713:QJA327718 QSP327713:QSW327718 RCL327713:RCS327718 RMH327713:RMO327718 RWD327713:RWK327718 SFZ327713:SGG327718 SPV327713:SQC327718 SZR327713:SZY327718 TJN327713:TJU327718 TTJ327713:TTQ327718 UDF327713:UDM327718 UNB327713:UNI327718 UWX327713:UXE327718 VGT327713:VHA327718 VQP327713:VQW327718 WAL327713:WAS327718 WKH327713:WKO327718 WUD327713:WUK327718 HR393249:HY393254 RN393249:RU393254 ABJ393249:ABQ393254 ALF393249:ALM393254 AVB393249:AVI393254 BEX393249:BFE393254 BOT393249:BPA393254 BYP393249:BYW393254 CIL393249:CIS393254 CSH393249:CSO393254 DCD393249:DCK393254 DLZ393249:DMG393254 DVV393249:DWC393254 EFR393249:EFY393254 EPN393249:EPU393254 EZJ393249:EZQ393254 FJF393249:FJM393254 FTB393249:FTI393254 GCX393249:GDE393254 GMT393249:GNA393254 GWP393249:GWW393254 HGL393249:HGS393254 HQH393249:HQO393254 IAD393249:IAK393254 IJZ393249:IKG393254 ITV393249:IUC393254 JDR393249:JDY393254 JNN393249:JNU393254 JXJ393249:JXQ393254 KHF393249:KHM393254 KRB393249:KRI393254 LAX393249:LBE393254 LKT393249:LLA393254 LUP393249:LUW393254 MEL393249:MES393254 MOH393249:MOO393254 MYD393249:MYK393254 NHZ393249:NIG393254 NRV393249:NSC393254 OBR393249:OBY393254 OLN393249:OLU393254 OVJ393249:OVQ393254 PFF393249:PFM393254 PPB393249:PPI393254 PYX393249:PZE393254 QIT393249:QJA393254 QSP393249:QSW393254 RCL393249:RCS393254 RMH393249:RMO393254 RWD393249:RWK393254 SFZ393249:SGG393254 SPV393249:SQC393254 SZR393249:SZY393254 TJN393249:TJU393254 TTJ393249:TTQ393254 UDF393249:UDM393254 UNB393249:UNI393254 UWX393249:UXE393254 VGT393249:VHA393254 VQP393249:VQW393254 WAL393249:WAS393254 WKH393249:WKO393254 WUD393249:WUK393254 HR458785:HY458790 RN458785:RU458790 ABJ458785:ABQ458790 ALF458785:ALM458790 AVB458785:AVI458790 BEX458785:BFE458790 BOT458785:BPA458790 BYP458785:BYW458790 CIL458785:CIS458790 CSH458785:CSO458790 DCD458785:DCK458790 DLZ458785:DMG458790 DVV458785:DWC458790 EFR458785:EFY458790 EPN458785:EPU458790 EZJ458785:EZQ458790 FJF458785:FJM458790 FTB458785:FTI458790 GCX458785:GDE458790 GMT458785:GNA458790 GWP458785:GWW458790 HGL458785:HGS458790 HQH458785:HQO458790 IAD458785:IAK458790 IJZ458785:IKG458790 ITV458785:IUC458790 JDR458785:JDY458790 JNN458785:JNU458790 JXJ458785:JXQ458790 KHF458785:KHM458790 KRB458785:KRI458790 LAX458785:LBE458790 LKT458785:LLA458790 LUP458785:LUW458790 MEL458785:MES458790 MOH458785:MOO458790 MYD458785:MYK458790 NHZ458785:NIG458790 NRV458785:NSC458790 OBR458785:OBY458790 OLN458785:OLU458790 OVJ458785:OVQ458790 PFF458785:PFM458790 PPB458785:PPI458790 PYX458785:PZE458790 QIT458785:QJA458790 QSP458785:QSW458790 RCL458785:RCS458790 RMH458785:RMO458790 RWD458785:RWK458790 SFZ458785:SGG458790 SPV458785:SQC458790 SZR458785:SZY458790 TJN458785:TJU458790 TTJ458785:TTQ458790 UDF458785:UDM458790 UNB458785:UNI458790 UWX458785:UXE458790 VGT458785:VHA458790 VQP458785:VQW458790 WAL458785:WAS458790 WKH458785:WKO458790 WUD458785:WUK458790 HR524321:HY524326 RN524321:RU524326 ABJ524321:ABQ524326 ALF524321:ALM524326 AVB524321:AVI524326 BEX524321:BFE524326 BOT524321:BPA524326 BYP524321:BYW524326 CIL524321:CIS524326 CSH524321:CSO524326 DCD524321:DCK524326 DLZ524321:DMG524326 DVV524321:DWC524326 EFR524321:EFY524326 EPN524321:EPU524326 EZJ524321:EZQ524326 FJF524321:FJM524326 FTB524321:FTI524326 GCX524321:GDE524326 GMT524321:GNA524326 GWP524321:GWW524326 HGL524321:HGS524326 HQH524321:HQO524326 IAD524321:IAK524326 IJZ524321:IKG524326 ITV524321:IUC524326 JDR524321:JDY524326 JNN524321:JNU524326 JXJ524321:JXQ524326 KHF524321:KHM524326 KRB524321:KRI524326 LAX524321:LBE524326 LKT524321:LLA524326 LUP524321:LUW524326 MEL524321:MES524326 MOH524321:MOO524326 MYD524321:MYK524326 NHZ524321:NIG524326 NRV524321:NSC524326 OBR524321:OBY524326 OLN524321:OLU524326 OVJ524321:OVQ524326 PFF524321:PFM524326 PPB524321:PPI524326 PYX524321:PZE524326 QIT524321:QJA524326 QSP524321:QSW524326 RCL524321:RCS524326 RMH524321:RMO524326 RWD524321:RWK524326 SFZ524321:SGG524326 SPV524321:SQC524326 SZR524321:SZY524326 TJN524321:TJU524326 TTJ524321:TTQ524326 UDF524321:UDM524326 UNB524321:UNI524326 UWX524321:UXE524326 VGT524321:VHA524326 VQP524321:VQW524326 WAL524321:WAS524326 WKH524321:WKO524326 WUD524321:WUK524326 HR589857:HY589862 RN589857:RU589862 ABJ589857:ABQ589862 ALF589857:ALM589862 AVB589857:AVI589862 BEX589857:BFE589862 BOT589857:BPA589862 BYP589857:BYW589862 CIL589857:CIS589862 CSH589857:CSO589862 DCD589857:DCK589862 DLZ589857:DMG589862 DVV589857:DWC589862 EFR589857:EFY589862 EPN589857:EPU589862 EZJ589857:EZQ589862 FJF589857:FJM589862 FTB589857:FTI589862 GCX589857:GDE589862 GMT589857:GNA589862 GWP589857:GWW589862 HGL589857:HGS589862 HQH589857:HQO589862 IAD589857:IAK589862 IJZ589857:IKG589862 ITV589857:IUC589862 JDR589857:JDY589862 JNN589857:JNU589862 JXJ589857:JXQ589862 KHF589857:KHM589862 KRB589857:KRI589862 LAX589857:LBE589862 LKT589857:LLA589862 LUP589857:LUW589862 MEL589857:MES589862 MOH589857:MOO589862 MYD589857:MYK589862 NHZ589857:NIG589862 NRV589857:NSC589862 OBR589857:OBY589862 OLN589857:OLU589862 OVJ589857:OVQ589862 PFF589857:PFM589862 PPB589857:PPI589862 PYX589857:PZE589862 QIT589857:QJA589862 QSP589857:QSW589862 RCL589857:RCS589862 RMH589857:RMO589862 RWD589857:RWK589862 SFZ589857:SGG589862 SPV589857:SQC589862 SZR589857:SZY589862 TJN589857:TJU589862 TTJ589857:TTQ589862 UDF589857:UDM589862 UNB589857:UNI589862 UWX589857:UXE589862 VGT589857:VHA589862 VQP589857:VQW589862 WAL589857:WAS589862 WKH589857:WKO589862 WUD589857:WUK589862 HR655393:HY655398 RN655393:RU655398 ABJ655393:ABQ655398 ALF655393:ALM655398 AVB655393:AVI655398 BEX655393:BFE655398 BOT655393:BPA655398 BYP655393:BYW655398 CIL655393:CIS655398 CSH655393:CSO655398 DCD655393:DCK655398 DLZ655393:DMG655398 DVV655393:DWC655398 EFR655393:EFY655398 EPN655393:EPU655398 EZJ655393:EZQ655398 FJF655393:FJM655398 FTB655393:FTI655398 GCX655393:GDE655398 GMT655393:GNA655398 GWP655393:GWW655398 HGL655393:HGS655398 HQH655393:HQO655398 IAD655393:IAK655398 IJZ655393:IKG655398 ITV655393:IUC655398 JDR655393:JDY655398 JNN655393:JNU655398 JXJ655393:JXQ655398 KHF655393:KHM655398 KRB655393:KRI655398 LAX655393:LBE655398 LKT655393:LLA655398 LUP655393:LUW655398 MEL655393:MES655398 MOH655393:MOO655398 MYD655393:MYK655398 NHZ655393:NIG655398 NRV655393:NSC655398 OBR655393:OBY655398 OLN655393:OLU655398 OVJ655393:OVQ655398 PFF655393:PFM655398 PPB655393:PPI655398 PYX655393:PZE655398 QIT655393:QJA655398 QSP655393:QSW655398 RCL655393:RCS655398 RMH655393:RMO655398 RWD655393:RWK655398 SFZ655393:SGG655398 SPV655393:SQC655398 SZR655393:SZY655398 TJN655393:TJU655398 TTJ655393:TTQ655398 UDF655393:UDM655398 UNB655393:UNI655398 UWX655393:UXE655398 VGT655393:VHA655398 VQP655393:VQW655398 WAL655393:WAS655398 WKH655393:WKO655398 WUD655393:WUK655398 HR720929:HY720934 RN720929:RU720934 ABJ720929:ABQ720934 ALF720929:ALM720934 AVB720929:AVI720934 BEX720929:BFE720934 BOT720929:BPA720934 BYP720929:BYW720934 CIL720929:CIS720934 CSH720929:CSO720934 DCD720929:DCK720934 DLZ720929:DMG720934 DVV720929:DWC720934 EFR720929:EFY720934 EPN720929:EPU720934 EZJ720929:EZQ720934 FJF720929:FJM720934 FTB720929:FTI720934 GCX720929:GDE720934 GMT720929:GNA720934 GWP720929:GWW720934 HGL720929:HGS720934 HQH720929:HQO720934 IAD720929:IAK720934 IJZ720929:IKG720934 ITV720929:IUC720934 JDR720929:JDY720934 JNN720929:JNU720934 JXJ720929:JXQ720934 KHF720929:KHM720934 KRB720929:KRI720934 LAX720929:LBE720934 LKT720929:LLA720934 LUP720929:LUW720934 MEL720929:MES720934 MOH720929:MOO720934 MYD720929:MYK720934 NHZ720929:NIG720934 NRV720929:NSC720934 OBR720929:OBY720934 OLN720929:OLU720934 OVJ720929:OVQ720934 PFF720929:PFM720934 PPB720929:PPI720934 PYX720929:PZE720934 QIT720929:QJA720934 QSP720929:QSW720934 RCL720929:RCS720934 RMH720929:RMO720934 RWD720929:RWK720934 SFZ720929:SGG720934 SPV720929:SQC720934 SZR720929:SZY720934 TJN720929:TJU720934 TTJ720929:TTQ720934 UDF720929:UDM720934 UNB720929:UNI720934 UWX720929:UXE720934 VGT720929:VHA720934 VQP720929:VQW720934 WAL720929:WAS720934 WKH720929:WKO720934 WUD720929:WUK720934 HR786465:HY786470 RN786465:RU786470 ABJ786465:ABQ786470 ALF786465:ALM786470 AVB786465:AVI786470 BEX786465:BFE786470 BOT786465:BPA786470 BYP786465:BYW786470 CIL786465:CIS786470 CSH786465:CSO786470 DCD786465:DCK786470 DLZ786465:DMG786470 DVV786465:DWC786470 EFR786465:EFY786470 EPN786465:EPU786470 EZJ786465:EZQ786470 FJF786465:FJM786470 FTB786465:FTI786470 GCX786465:GDE786470 GMT786465:GNA786470 GWP786465:GWW786470 HGL786465:HGS786470 HQH786465:HQO786470 IAD786465:IAK786470 IJZ786465:IKG786470 ITV786465:IUC786470 JDR786465:JDY786470 JNN786465:JNU786470 JXJ786465:JXQ786470 KHF786465:KHM786470 KRB786465:KRI786470 LAX786465:LBE786470 LKT786465:LLA786470 LUP786465:LUW786470 MEL786465:MES786470 MOH786465:MOO786470 MYD786465:MYK786470 NHZ786465:NIG786470 NRV786465:NSC786470 OBR786465:OBY786470 OLN786465:OLU786470 OVJ786465:OVQ786470 PFF786465:PFM786470 PPB786465:PPI786470 PYX786465:PZE786470 QIT786465:QJA786470 QSP786465:QSW786470 RCL786465:RCS786470 RMH786465:RMO786470 RWD786465:RWK786470 SFZ786465:SGG786470 SPV786465:SQC786470 SZR786465:SZY786470 TJN786465:TJU786470 TTJ786465:TTQ786470 UDF786465:UDM786470 UNB786465:UNI786470 UWX786465:UXE786470 VGT786465:VHA786470 VQP786465:VQW786470 WAL786465:WAS786470 WKH786465:WKO786470 WUD786465:WUK786470 HR852001:HY852006 RN852001:RU852006 ABJ852001:ABQ852006 ALF852001:ALM852006 AVB852001:AVI852006 BEX852001:BFE852006 BOT852001:BPA852006 BYP852001:BYW852006 CIL852001:CIS852006 CSH852001:CSO852006 DCD852001:DCK852006 DLZ852001:DMG852006 DVV852001:DWC852006 EFR852001:EFY852006 EPN852001:EPU852006 EZJ852001:EZQ852006 FJF852001:FJM852006 FTB852001:FTI852006 GCX852001:GDE852006 GMT852001:GNA852006 GWP852001:GWW852006 HGL852001:HGS852006 HQH852001:HQO852006 IAD852001:IAK852006 IJZ852001:IKG852006 ITV852001:IUC852006 JDR852001:JDY852006 JNN852001:JNU852006 JXJ852001:JXQ852006 KHF852001:KHM852006 KRB852001:KRI852006 LAX852001:LBE852006 LKT852001:LLA852006 LUP852001:LUW852006 MEL852001:MES852006 MOH852001:MOO852006 MYD852001:MYK852006 NHZ852001:NIG852006 NRV852001:NSC852006 OBR852001:OBY852006 OLN852001:OLU852006 OVJ852001:OVQ852006 PFF852001:PFM852006 PPB852001:PPI852006 PYX852001:PZE852006 QIT852001:QJA852006 QSP852001:QSW852006 RCL852001:RCS852006 RMH852001:RMO852006 RWD852001:RWK852006 SFZ852001:SGG852006 SPV852001:SQC852006 SZR852001:SZY852006 TJN852001:TJU852006 TTJ852001:TTQ852006 UDF852001:UDM852006 UNB852001:UNI852006 UWX852001:UXE852006 VGT852001:VHA852006 VQP852001:VQW852006 WAL852001:WAS852006 WKH852001:WKO852006 WUD852001:WUK852006 HR917537:HY917542 RN917537:RU917542 ABJ917537:ABQ917542 ALF917537:ALM917542 AVB917537:AVI917542 BEX917537:BFE917542 BOT917537:BPA917542 BYP917537:BYW917542 CIL917537:CIS917542 CSH917537:CSO917542 DCD917537:DCK917542 DLZ917537:DMG917542 DVV917537:DWC917542 EFR917537:EFY917542 EPN917537:EPU917542 EZJ917537:EZQ917542 FJF917537:FJM917542 FTB917537:FTI917542 GCX917537:GDE917542 GMT917537:GNA917542 GWP917537:GWW917542 HGL917537:HGS917542 HQH917537:HQO917542 IAD917537:IAK917542 IJZ917537:IKG917542 ITV917537:IUC917542 JDR917537:JDY917542 JNN917537:JNU917542 JXJ917537:JXQ917542 KHF917537:KHM917542 KRB917537:KRI917542 LAX917537:LBE917542 LKT917537:LLA917542 LUP917537:LUW917542 MEL917537:MES917542 MOH917537:MOO917542 MYD917537:MYK917542 NHZ917537:NIG917542 NRV917537:NSC917542 OBR917537:OBY917542 OLN917537:OLU917542 OVJ917537:OVQ917542 PFF917537:PFM917542 PPB917537:PPI917542 PYX917537:PZE917542 QIT917537:QJA917542 QSP917537:QSW917542 RCL917537:RCS917542 RMH917537:RMO917542 RWD917537:RWK917542 SFZ917537:SGG917542 SPV917537:SQC917542 SZR917537:SZY917542 TJN917537:TJU917542 TTJ917537:TTQ917542 UDF917537:UDM917542 UNB917537:UNI917542 UWX917537:UXE917542 VGT917537:VHA917542 VQP917537:VQW917542 WAL917537:WAS917542 WKH917537:WKO917542 WUD917537:WUK917542 WKH34:WKO38 WAL34:WAS38 VQP34:VQW38 VGT34:VHA38 UWX34:UXE38 UNB34:UNI38 UDF34:UDM38 TTJ34:TTQ38 TJN34:TJU38 SZR34:SZY38 SPV34:SQC38 SFZ34:SGG38 RWD34:RWK38 RMH34:RMO38 RCL34:RCS38 QSP34:QSW38 QIT34:QJA38 PYX34:PZE38 PPB34:PPI38 PFF34:PFM38 OVJ34:OVQ38 OLN34:OLU38 OBR34:OBY38 NRV34:NSC38 NHZ34:NIG38 MYD34:MYK38 MOH34:MOO38 MEL34:MES38 LUP34:LUW38 LKT34:LLA38 LAX34:LBE38 KRB34:KRI38 KHF34:KHM38 JXJ34:JXQ38 JNN34:JNU38 JDR34:JDY38 ITV34:IUC38 IJZ34:IKG38 IAD34:IAK38 HQH34:HQO38 HGL34:HGS38 GWP34:GWW38 GMT34:GNA38 GCX34:GDE38 FTB34:FTI38 FJF34:FJM38 EZJ34:EZQ38 EPN34:EPU38 EFR34:EFY38 DVV34:DWC38 DLZ34:DMG38 DCD34:DCK38 CSH34:CSO38 CIL34:CIS38 BYP34:BYW38 BOT34:BPA38 BEX34:BFE38 AVB34:AVI38 ALF34:ALM38 ABJ34:ABQ38 RN34:RU38 HR34:HY38 WUD34:WUK38 AE34:AL38" xr:uid="{92E3B9A6-2BA9-4464-BC49-C91A4CCFB7D3}">
      <formula1>"サーバ,クライアント"</formula1>
    </dataValidation>
  </dataValidations>
  <pageMargins left="0.7" right="0.7" top="0.75" bottom="0.75" header="0.3" footer="0.3"/>
  <pageSetup paperSize="9" scale="52" fitToHeight="0" orientation="landscape" r:id="rId1"/>
  <ignoredErrors>
    <ignoredError sqref="A29:B29 A5:B6 A8:B9 A10:B23 A25:B25" numberStoredAsText="1"/>
  </ignoredErrors>
  <drawing r:id="rId2"/>
  <legacyDrawing r:id="rId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7D9797-216E-41EF-B6F8-F4A4E0E98FA4}">
  <sheetPr>
    <pageSetUpPr fitToPage="1"/>
  </sheetPr>
  <dimension ref="A1:CG47"/>
  <sheetViews>
    <sheetView showGridLines="0" view="pageBreakPreview" zoomScale="80" zoomScaleNormal="70" zoomScaleSheetLayoutView="80" workbookViewId="0">
      <selection sqref="A1:M1"/>
    </sheetView>
  </sheetViews>
  <sheetFormatPr defaultColWidth="2.54296875" defaultRowHeight="15"/>
  <cols>
    <col min="1" max="86" width="2.7265625" style="354" customWidth="1"/>
    <col min="87" max="16384" width="2.54296875" style="354"/>
  </cols>
  <sheetData>
    <row r="1" spans="1:85" ht="13.75" customHeight="1">
      <c r="A1" s="355" t="s">
        <v>272</v>
      </c>
      <c r="B1" s="355"/>
      <c r="C1" s="355"/>
      <c r="D1" s="355"/>
      <c r="E1" s="355"/>
      <c r="F1" s="355"/>
      <c r="G1" s="355"/>
      <c r="H1" s="355"/>
      <c r="I1" s="355"/>
      <c r="J1" s="355"/>
      <c r="K1" s="355"/>
      <c r="L1" s="355"/>
      <c r="M1" s="355"/>
    </row>
    <row r="2" spans="1:85" ht="13.75" customHeight="1">
      <c r="A2" s="356"/>
      <c r="B2" s="357"/>
      <c r="C2" s="357"/>
      <c r="D2" s="357"/>
      <c r="E2" s="357"/>
      <c r="F2" s="357"/>
      <c r="G2" s="357"/>
      <c r="H2" s="357"/>
      <c r="I2" s="357"/>
      <c r="J2" s="357"/>
      <c r="K2" s="357"/>
      <c r="L2" s="357"/>
      <c r="M2" s="357"/>
      <c r="N2" s="357"/>
      <c r="O2" s="357"/>
      <c r="P2" s="357"/>
      <c r="Q2" s="357"/>
      <c r="R2" s="357"/>
      <c r="S2" s="357"/>
      <c r="T2" s="357"/>
      <c r="U2" s="357"/>
      <c r="V2" s="357"/>
      <c r="W2" s="357"/>
      <c r="X2" s="357"/>
      <c r="Y2" s="357"/>
      <c r="Z2" s="357"/>
      <c r="AA2" s="357"/>
      <c r="AB2" s="357"/>
      <c r="AC2" s="357"/>
      <c r="AD2" s="357"/>
      <c r="AE2" s="357"/>
      <c r="AF2" s="357"/>
      <c r="AG2" s="357"/>
      <c r="AH2" s="357"/>
      <c r="AI2" s="357"/>
      <c r="AJ2" s="357"/>
      <c r="AK2" s="357"/>
      <c r="AL2" s="357"/>
      <c r="AM2" s="357"/>
      <c r="AN2" s="357"/>
      <c r="AO2" s="357"/>
      <c r="AP2" s="357"/>
      <c r="AQ2" s="357"/>
      <c r="AR2" s="357"/>
      <c r="AS2" s="357"/>
      <c r="AT2" s="357"/>
      <c r="AU2" s="357"/>
      <c r="AV2" s="357"/>
      <c r="AW2" s="357"/>
      <c r="AX2" s="357"/>
      <c r="AY2" s="357"/>
      <c r="AZ2" s="357"/>
      <c r="BA2" s="357"/>
      <c r="BB2" s="357"/>
      <c r="BC2" s="357"/>
      <c r="BD2" s="357"/>
      <c r="BE2" s="357"/>
      <c r="BF2" s="357"/>
      <c r="BG2" s="357"/>
      <c r="BH2" s="357"/>
      <c r="BI2" s="357"/>
      <c r="BJ2" s="357"/>
      <c r="BK2" s="357"/>
      <c r="BL2" s="357"/>
      <c r="BM2" s="357"/>
      <c r="BN2" s="357"/>
      <c r="BO2" s="357"/>
      <c r="BP2" s="357"/>
      <c r="BQ2" s="357"/>
      <c r="BR2" s="357"/>
      <c r="BS2" s="357"/>
      <c r="BT2" s="357"/>
      <c r="BU2" s="357"/>
      <c r="BV2" s="357"/>
      <c r="BW2" s="357"/>
      <c r="BX2" s="357"/>
      <c r="BY2" s="357"/>
      <c r="BZ2" s="357"/>
      <c r="CA2" s="357"/>
      <c r="CB2" s="357"/>
      <c r="CC2" s="357"/>
      <c r="CD2" s="357"/>
      <c r="CE2" s="357"/>
      <c r="CF2" s="357"/>
      <c r="CG2" s="358"/>
    </row>
    <row r="3" spans="1:85" ht="13.75" customHeight="1">
      <c r="A3" s="359"/>
      <c r="B3" s="353" t="s">
        <v>273</v>
      </c>
      <c r="CG3" s="360"/>
    </row>
    <row r="4" spans="1:85">
      <c r="A4" s="359"/>
      <c r="CG4" s="360"/>
    </row>
    <row r="5" spans="1:85">
      <c r="A5" s="359"/>
      <c r="D5" s="361" t="s">
        <v>274</v>
      </c>
      <c r="E5" s="362"/>
      <c r="F5" s="362"/>
      <c r="G5" s="362"/>
      <c r="H5" s="362"/>
      <c r="I5" s="362"/>
      <c r="J5" s="362"/>
      <c r="K5" s="362"/>
      <c r="L5" s="363"/>
      <c r="M5" s="364" t="s">
        <v>275</v>
      </c>
      <c r="N5" s="365"/>
      <c r="O5" s="365"/>
      <c r="P5" s="365"/>
      <c r="Q5" s="365"/>
      <c r="R5" s="365"/>
      <c r="S5" s="365"/>
      <c r="T5" s="365"/>
      <c r="U5" s="365"/>
      <c r="V5" s="365"/>
      <c r="W5" s="365"/>
      <c r="X5" s="365"/>
      <c r="Y5" s="365"/>
      <c r="Z5" s="365"/>
      <c r="AA5" s="365"/>
      <c r="AB5" s="365"/>
      <c r="AC5" s="365"/>
      <c r="AD5" s="365"/>
      <c r="AE5" s="365"/>
      <c r="AF5" s="365"/>
      <c r="AG5" s="365"/>
      <c r="AH5" s="365"/>
      <c r="AI5" s="365"/>
      <c r="AJ5" s="365"/>
      <c r="AK5" s="365"/>
      <c r="AL5" s="365"/>
      <c r="AM5" s="365"/>
      <c r="AN5" s="365"/>
      <c r="AO5" s="365"/>
      <c r="AP5" s="365"/>
      <c r="AQ5" s="365"/>
      <c r="AR5" s="365"/>
      <c r="AS5" s="366"/>
      <c r="CG5" s="360"/>
    </row>
    <row r="6" spans="1:85" ht="15.75" customHeight="1">
      <c r="A6" s="359"/>
      <c r="D6" s="361" t="s">
        <v>276</v>
      </c>
      <c r="E6" s="362"/>
      <c r="F6" s="362"/>
      <c r="G6" s="362"/>
      <c r="H6" s="362"/>
      <c r="I6" s="362"/>
      <c r="J6" s="362"/>
      <c r="K6" s="362"/>
      <c r="L6" s="363"/>
      <c r="M6" s="364" t="s">
        <v>277</v>
      </c>
      <c r="N6" s="365"/>
      <c r="O6" s="365"/>
      <c r="P6" s="365"/>
      <c r="Q6" s="365"/>
      <c r="R6" s="365"/>
      <c r="S6" s="365"/>
      <c r="T6" s="365"/>
      <c r="U6" s="365"/>
      <c r="V6" s="365"/>
      <c r="W6" s="365"/>
      <c r="X6" s="365"/>
      <c r="Y6" s="365"/>
      <c r="Z6" s="365"/>
      <c r="AA6" s="365"/>
      <c r="AB6" s="365"/>
      <c r="AC6" s="365"/>
      <c r="AD6" s="365"/>
      <c r="AE6" s="365"/>
      <c r="AF6" s="365"/>
      <c r="AG6" s="365"/>
      <c r="AH6" s="365"/>
      <c r="AI6" s="365"/>
      <c r="AJ6" s="365"/>
      <c r="AK6" s="365"/>
      <c r="AL6" s="365"/>
      <c r="AM6" s="365"/>
      <c r="AN6" s="365"/>
      <c r="AO6" s="365"/>
      <c r="AP6" s="365"/>
      <c r="AQ6" s="365"/>
      <c r="AR6" s="365"/>
      <c r="AS6" s="366"/>
      <c r="CG6" s="360"/>
    </row>
    <row r="7" spans="1:85">
      <c r="A7" s="359"/>
      <c r="CG7" s="360"/>
    </row>
    <row r="8" spans="1:85">
      <c r="A8" s="359"/>
      <c r="D8" s="354" t="s">
        <v>278</v>
      </c>
      <c r="CG8" s="360"/>
    </row>
    <row r="9" spans="1:85">
      <c r="A9" s="359"/>
      <c r="CG9" s="360"/>
    </row>
    <row r="10" spans="1:85">
      <c r="D10" s="354" t="s">
        <v>279</v>
      </c>
      <c r="CG10" s="360"/>
    </row>
    <row r="11" spans="1:85">
      <c r="A11" s="359"/>
      <c r="CG11" s="360"/>
    </row>
    <row r="12" spans="1:85">
      <c r="A12" s="359"/>
      <c r="F12" s="367" t="s">
        <v>280</v>
      </c>
      <c r="G12" s="367"/>
      <c r="H12" s="367"/>
      <c r="I12" s="367"/>
      <c r="J12" s="367"/>
      <c r="K12" s="367"/>
      <c r="L12" s="367" t="s">
        <v>281</v>
      </c>
      <c r="M12" s="367"/>
      <c r="N12" s="367"/>
      <c r="O12" s="367"/>
      <c r="P12" s="367"/>
      <c r="Q12" s="367"/>
      <c r="R12" s="367"/>
      <c r="S12" s="367"/>
      <c r="T12" s="367"/>
      <c r="U12" s="367"/>
      <c r="V12" s="367"/>
      <c r="W12" s="367"/>
      <c r="X12" s="367"/>
      <c r="Y12" s="367"/>
      <c r="Z12" s="367"/>
      <c r="AA12" s="367"/>
      <c r="AB12" s="367"/>
      <c r="AC12" s="367"/>
      <c r="AD12" s="367"/>
      <c r="AE12" s="367"/>
      <c r="AF12" s="367"/>
      <c r="AG12" s="367"/>
      <c r="AH12" s="367"/>
      <c r="AI12" s="367"/>
      <c r="AJ12" s="367"/>
      <c r="AK12" s="367"/>
      <c r="AL12" s="367"/>
      <c r="AM12" s="367"/>
      <c r="CG12" s="360"/>
    </row>
    <row r="13" spans="1:85">
      <c r="A13" s="359"/>
      <c r="F13" s="368" t="s">
        <v>282</v>
      </c>
      <c r="G13" s="368"/>
      <c r="H13" s="368"/>
      <c r="I13" s="368"/>
      <c r="J13" s="368"/>
      <c r="K13" s="368"/>
      <c r="L13" s="369" t="s">
        <v>283</v>
      </c>
      <c r="M13" s="369"/>
      <c r="N13" s="369"/>
      <c r="O13" s="369"/>
      <c r="P13" s="369"/>
      <c r="Q13" s="369"/>
      <c r="R13" s="369"/>
      <c r="S13" s="369"/>
      <c r="T13" s="369"/>
      <c r="U13" s="369"/>
      <c r="V13" s="369"/>
      <c r="W13" s="369"/>
      <c r="X13" s="369"/>
      <c r="Y13" s="369"/>
      <c r="Z13" s="369"/>
      <c r="AA13" s="369"/>
      <c r="AB13" s="369"/>
      <c r="AC13" s="369"/>
      <c r="AD13" s="369"/>
      <c r="AE13" s="369"/>
      <c r="AF13" s="369"/>
      <c r="AG13" s="369"/>
      <c r="AH13" s="369"/>
      <c r="AI13" s="369"/>
      <c r="AJ13" s="369"/>
      <c r="AK13" s="369"/>
      <c r="AL13" s="369"/>
      <c r="AM13" s="369"/>
      <c r="CG13" s="360"/>
    </row>
    <row r="14" spans="1:85">
      <c r="A14" s="359"/>
      <c r="F14" s="368" t="s">
        <v>284</v>
      </c>
      <c r="G14" s="368"/>
      <c r="H14" s="368"/>
      <c r="I14" s="368"/>
      <c r="J14" s="368"/>
      <c r="K14" s="368"/>
      <c r="L14" s="369" t="s">
        <v>285</v>
      </c>
      <c r="M14" s="369"/>
      <c r="N14" s="369"/>
      <c r="O14" s="369"/>
      <c r="P14" s="369"/>
      <c r="Q14" s="369"/>
      <c r="R14" s="369"/>
      <c r="S14" s="369"/>
      <c r="T14" s="369"/>
      <c r="U14" s="369"/>
      <c r="V14" s="369"/>
      <c r="W14" s="369"/>
      <c r="X14" s="369"/>
      <c r="Y14" s="369"/>
      <c r="Z14" s="369"/>
      <c r="AA14" s="369"/>
      <c r="AB14" s="369"/>
      <c r="AC14" s="369"/>
      <c r="AD14" s="369"/>
      <c r="AE14" s="369"/>
      <c r="AF14" s="369"/>
      <c r="AG14" s="369"/>
      <c r="AH14" s="369"/>
      <c r="AI14" s="369"/>
      <c r="AJ14" s="369"/>
      <c r="AK14" s="369"/>
      <c r="AL14" s="369"/>
      <c r="AM14" s="369"/>
      <c r="CG14" s="360"/>
    </row>
    <row r="15" spans="1:85">
      <c r="A15" s="359"/>
      <c r="CG15" s="360"/>
    </row>
    <row r="16" spans="1:85">
      <c r="A16" s="359"/>
      <c r="D16" s="354" t="s">
        <v>286</v>
      </c>
      <c r="CG16" s="360"/>
    </row>
    <row r="17" spans="1:85">
      <c r="A17" s="359"/>
      <c r="CG17" s="360"/>
    </row>
    <row r="18" spans="1:85">
      <c r="A18" s="359"/>
      <c r="F18" s="367" t="s">
        <v>280</v>
      </c>
      <c r="G18" s="367"/>
      <c r="H18" s="367"/>
      <c r="I18" s="367"/>
      <c r="J18" s="367"/>
      <c r="K18" s="367"/>
      <c r="L18" s="367" t="s">
        <v>287</v>
      </c>
      <c r="M18" s="367"/>
      <c r="N18" s="367" t="s">
        <v>287</v>
      </c>
      <c r="O18" s="367"/>
      <c r="P18" s="367"/>
      <c r="Q18" s="367"/>
      <c r="R18" s="367"/>
      <c r="S18" s="367"/>
      <c r="T18" s="367"/>
      <c r="U18" s="367"/>
      <c r="V18" s="367"/>
      <c r="W18" s="367"/>
      <c r="X18" s="367"/>
      <c r="Y18" s="367"/>
      <c r="Z18" s="367"/>
      <c r="AA18" s="367"/>
      <c r="AB18" s="367"/>
      <c r="AC18" s="367"/>
      <c r="AD18" s="367"/>
      <c r="AE18" s="367"/>
      <c r="AF18" s="367"/>
      <c r="AG18" s="367"/>
      <c r="AH18" s="367"/>
      <c r="AI18" s="367"/>
      <c r="AJ18" s="367"/>
      <c r="AK18" s="367"/>
      <c r="AL18" s="367"/>
      <c r="AM18" s="367"/>
      <c r="AN18" s="367"/>
      <c r="AO18" s="367"/>
      <c r="AP18" s="367"/>
      <c r="AQ18" s="367"/>
      <c r="AR18" s="367"/>
      <c r="AS18" s="367"/>
      <c r="CG18" s="360"/>
    </row>
    <row r="19" spans="1:85" ht="37.5" customHeight="1">
      <c r="A19" s="359"/>
      <c r="F19" s="368" t="s">
        <v>282</v>
      </c>
      <c r="G19" s="368"/>
      <c r="H19" s="368"/>
      <c r="I19" s="368"/>
      <c r="J19" s="368"/>
      <c r="K19" s="368"/>
      <c r="L19" s="369" t="s">
        <v>288</v>
      </c>
      <c r="M19" s="369"/>
      <c r="N19" s="369"/>
      <c r="O19" s="369"/>
      <c r="P19" s="369"/>
      <c r="Q19" s="369"/>
      <c r="R19" s="369"/>
      <c r="S19" s="369"/>
      <c r="T19" s="369"/>
      <c r="U19" s="369"/>
      <c r="V19" s="369"/>
      <c r="W19" s="369"/>
      <c r="X19" s="369"/>
      <c r="Y19" s="369"/>
      <c r="Z19" s="369"/>
      <c r="AA19" s="369"/>
      <c r="AB19" s="369"/>
      <c r="AC19" s="369"/>
      <c r="AD19" s="369"/>
      <c r="AE19" s="369"/>
      <c r="AF19" s="369"/>
      <c r="AG19" s="369"/>
      <c r="AH19" s="369"/>
      <c r="AI19" s="369"/>
      <c r="AJ19" s="369"/>
      <c r="AK19" s="369"/>
      <c r="AL19" s="369"/>
      <c r="AM19" s="369"/>
      <c r="AN19" s="369"/>
      <c r="AO19" s="369"/>
      <c r="AP19" s="369"/>
      <c r="AQ19" s="369"/>
      <c r="AR19" s="369"/>
      <c r="AS19" s="369"/>
      <c r="CG19" s="360"/>
    </row>
    <row r="20" spans="1:85" ht="55.5" customHeight="1">
      <c r="A20" s="359"/>
      <c r="F20" s="368" t="s">
        <v>289</v>
      </c>
      <c r="G20" s="368"/>
      <c r="H20" s="368"/>
      <c r="I20" s="368"/>
      <c r="J20" s="368"/>
      <c r="K20" s="368"/>
      <c r="L20" s="370" t="s">
        <v>290</v>
      </c>
      <c r="M20" s="369"/>
      <c r="N20" s="369"/>
      <c r="O20" s="369"/>
      <c r="P20" s="369"/>
      <c r="Q20" s="369"/>
      <c r="R20" s="369"/>
      <c r="S20" s="369"/>
      <c r="T20" s="369"/>
      <c r="U20" s="369"/>
      <c r="V20" s="369"/>
      <c r="W20" s="369"/>
      <c r="X20" s="369"/>
      <c r="Y20" s="369"/>
      <c r="Z20" s="369"/>
      <c r="AA20" s="369"/>
      <c r="AB20" s="369"/>
      <c r="AC20" s="369"/>
      <c r="AD20" s="369"/>
      <c r="AE20" s="369"/>
      <c r="AF20" s="369"/>
      <c r="AG20" s="369"/>
      <c r="AH20" s="369"/>
      <c r="AI20" s="369"/>
      <c r="AJ20" s="369"/>
      <c r="AK20" s="369"/>
      <c r="AL20" s="369"/>
      <c r="AM20" s="369"/>
      <c r="AN20" s="369"/>
      <c r="AO20" s="369"/>
      <c r="AP20" s="369"/>
      <c r="AQ20" s="369"/>
      <c r="AR20" s="369"/>
      <c r="AS20" s="369"/>
      <c r="CG20" s="360"/>
    </row>
    <row r="21" spans="1:85">
      <c r="A21" s="359"/>
      <c r="CG21" s="360"/>
    </row>
    <row r="22" spans="1:85">
      <c r="A22" s="359"/>
      <c r="B22" s="353" t="s">
        <v>291</v>
      </c>
      <c r="CG22" s="360"/>
    </row>
    <row r="23" spans="1:85">
      <c r="A23" s="359"/>
      <c r="CG23" s="360"/>
    </row>
    <row r="24" spans="1:85">
      <c r="A24" s="359"/>
      <c r="D24" s="354" t="s">
        <v>292</v>
      </c>
      <c r="CG24" s="360"/>
    </row>
    <row r="25" spans="1:85">
      <c r="A25" s="359"/>
      <c r="E25" s="354" t="s">
        <v>293</v>
      </c>
      <c r="CG25" s="360"/>
    </row>
    <row r="26" spans="1:85">
      <c r="A26" s="359"/>
      <c r="F26" s="354" t="s">
        <v>144</v>
      </c>
      <c r="J26" s="354" t="s">
        <v>294</v>
      </c>
      <c r="K26" s="354" t="s">
        <v>295</v>
      </c>
      <c r="CG26" s="360"/>
    </row>
    <row r="27" spans="1:85">
      <c r="A27" s="359"/>
      <c r="E27" s="354" t="s">
        <v>296</v>
      </c>
      <c r="CG27" s="360"/>
    </row>
    <row r="28" spans="1:85">
      <c r="A28" s="359"/>
      <c r="E28" s="354" t="s">
        <v>297</v>
      </c>
      <c r="CG28" s="360"/>
    </row>
    <row r="29" spans="1:85">
      <c r="A29" s="359"/>
      <c r="F29" s="354" t="s">
        <v>298</v>
      </c>
      <c r="J29" s="354" t="s">
        <v>299</v>
      </c>
      <c r="K29" s="354" t="s">
        <v>300</v>
      </c>
      <c r="CG29" s="360"/>
    </row>
    <row r="30" spans="1:85">
      <c r="A30" s="359"/>
      <c r="E30" s="371"/>
      <c r="F30" s="354" t="s">
        <v>301</v>
      </c>
      <c r="I30" s="371"/>
      <c r="J30" s="354" t="s">
        <v>299</v>
      </c>
      <c r="K30" s="354" t="s">
        <v>302</v>
      </c>
      <c r="L30" s="371"/>
      <c r="CG30" s="360"/>
    </row>
    <row r="31" spans="1:85">
      <c r="A31" s="359"/>
      <c r="E31" s="371"/>
      <c r="F31" s="354" t="s">
        <v>303</v>
      </c>
      <c r="I31" s="371"/>
      <c r="J31" s="371"/>
      <c r="K31" s="371"/>
      <c r="L31" s="371"/>
      <c r="CG31" s="360"/>
    </row>
    <row r="32" spans="1:85">
      <c r="A32" s="359"/>
      <c r="F32" s="354" t="s">
        <v>304</v>
      </c>
      <c r="I32" s="371"/>
      <c r="J32" s="371"/>
      <c r="K32" s="371"/>
      <c r="L32" s="371"/>
      <c r="CG32" s="360"/>
    </row>
    <row r="33" spans="1:85">
      <c r="A33" s="359"/>
      <c r="F33" s="354" t="s">
        <v>305</v>
      </c>
      <c r="I33" s="371"/>
      <c r="J33" s="371"/>
      <c r="K33" s="371"/>
      <c r="L33" s="371"/>
      <c r="CG33" s="360"/>
    </row>
    <row r="34" spans="1:85">
      <c r="A34" s="359"/>
      <c r="F34" s="354" t="s">
        <v>306</v>
      </c>
      <c r="I34" s="371"/>
      <c r="J34" s="371"/>
      <c r="K34" s="371"/>
      <c r="L34" s="371"/>
      <c r="CG34" s="360"/>
    </row>
    <row r="35" spans="1:85">
      <c r="A35" s="359"/>
      <c r="F35" s="354" t="s">
        <v>307</v>
      </c>
      <c r="I35" s="371"/>
      <c r="J35" s="371"/>
      <c r="K35" s="371"/>
      <c r="L35" s="371"/>
      <c r="CG35" s="360"/>
    </row>
    <row r="36" spans="1:85">
      <c r="A36" s="359"/>
      <c r="E36" s="371"/>
      <c r="F36" s="371"/>
      <c r="G36" s="371"/>
      <c r="H36" s="371"/>
      <c r="I36" s="371"/>
      <c r="J36" s="371"/>
      <c r="K36" s="371"/>
      <c r="L36" s="371"/>
      <c r="CG36" s="360"/>
    </row>
    <row r="37" spans="1:85">
      <c r="A37" s="359"/>
      <c r="CG37" s="360"/>
    </row>
    <row r="38" spans="1:85">
      <c r="A38" s="359"/>
      <c r="B38" s="353" t="s">
        <v>308</v>
      </c>
      <c r="CG38" s="360"/>
    </row>
    <row r="39" spans="1:85">
      <c r="A39" s="359"/>
      <c r="B39" s="353"/>
      <c r="CG39" s="360"/>
    </row>
    <row r="40" spans="1:85">
      <c r="A40" s="359"/>
      <c r="C40" s="354" t="s">
        <v>309</v>
      </c>
      <c r="CG40" s="360"/>
    </row>
    <row r="41" spans="1:85">
      <c r="A41" s="359"/>
      <c r="CG41" s="360"/>
    </row>
    <row r="42" spans="1:85">
      <c r="A42" s="359"/>
      <c r="C42" s="361" t="s">
        <v>274</v>
      </c>
      <c r="D42" s="362"/>
      <c r="E42" s="362"/>
      <c r="F42" s="362"/>
      <c r="G42" s="362"/>
      <c r="H42" s="362"/>
      <c r="I42" s="362"/>
      <c r="J42" s="362"/>
      <c r="K42" s="363"/>
      <c r="L42" s="364" t="s">
        <v>310</v>
      </c>
      <c r="M42" s="365"/>
      <c r="N42" s="365"/>
      <c r="O42" s="365"/>
      <c r="P42" s="365"/>
      <c r="Q42" s="365"/>
      <c r="R42" s="365"/>
      <c r="S42" s="365"/>
      <c r="T42" s="365"/>
      <c r="U42" s="365"/>
      <c r="V42" s="365"/>
      <c r="W42" s="365"/>
      <c r="X42" s="365"/>
      <c r="Y42" s="365"/>
      <c r="Z42" s="365"/>
      <c r="AA42" s="365"/>
      <c r="AB42" s="365"/>
      <c r="AC42" s="365"/>
      <c r="AD42" s="365"/>
      <c r="AE42" s="365"/>
      <c r="AF42" s="365"/>
      <c r="AG42" s="365"/>
      <c r="AH42" s="365"/>
      <c r="AI42" s="365"/>
      <c r="AJ42" s="365"/>
      <c r="AK42" s="365"/>
      <c r="AL42" s="365"/>
      <c r="AM42" s="365"/>
      <c r="AN42" s="365"/>
      <c r="AO42" s="365"/>
      <c r="AP42" s="365"/>
      <c r="AQ42" s="365"/>
      <c r="AR42" s="366"/>
      <c r="CG42" s="360"/>
    </row>
    <row r="43" spans="1:85">
      <c r="A43" s="359"/>
      <c r="C43" s="361" t="s">
        <v>276</v>
      </c>
      <c r="D43" s="362"/>
      <c r="E43" s="362"/>
      <c r="F43" s="362"/>
      <c r="G43" s="362"/>
      <c r="H43" s="362"/>
      <c r="I43" s="362"/>
      <c r="J43" s="362"/>
      <c r="K43" s="363"/>
      <c r="L43" s="364" t="s">
        <v>311</v>
      </c>
      <c r="M43" s="365"/>
      <c r="N43" s="365"/>
      <c r="O43" s="365"/>
      <c r="P43" s="365"/>
      <c r="Q43" s="365"/>
      <c r="R43" s="365"/>
      <c r="S43" s="365"/>
      <c r="T43" s="365"/>
      <c r="U43" s="365"/>
      <c r="V43" s="365"/>
      <c r="W43" s="365"/>
      <c r="X43" s="365"/>
      <c r="Y43" s="365"/>
      <c r="Z43" s="365"/>
      <c r="AA43" s="365"/>
      <c r="AB43" s="365"/>
      <c r="AC43" s="365"/>
      <c r="AD43" s="365"/>
      <c r="AE43" s="365"/>
      <c r="AF43" s="365"/>
      <c r="AG43" s="365"/>
      <c r="AH43" s="365"/>
      <c r="AI43" s="365"/>
      <c r="AJ43" s="365"/>
      <c r="AK43" s="365"/>
      <c r="AL43" s="365"/>
      <c r="AM43" s="365"/>
      <c r="AN43" s="365"/>
      <c r="AO43" s="365"/>
      <c r="AP43" s="365"/>
      <c r="AQ43" s="365"/>
      <c r="AR43" s="366"/>
      <c r="CG43" s="360"/>
    </row>
    <row r="44" spans="1:85">
      <c r="A44" s="359"/>
      <c r="CG44" s="360"/>
    </row>
    <row r="45" spans="1:85">
      <c r="A45" s="359"/>
      <c r="CG45" s="360"/>
    </row>
    <row r="46" spans="1:85">
      <c r="A46" s="359"/>
      <c r="E46" s="371"/>
      <c r="CG46" s="360"/>
    </row>
    <row r="47" spans="1:85">
      <c r="A47" s="372"/>
      <c r="B47" s="373"/>
      <c r="C47" s="373"/>
      <c r="D47" s="373"/>
      <c r="E47" s="373"/>
      <c r="F47" s="373"/>
      <c r="G47" s="373"/>
      <c r="H47" s="373"/>
      <c r="I47" s="373"/>
      <c r="J47" s="373"/>
      <c r="K47" s="373"/>
      <c r="L47" s="373"/>
      <c r="M47" s="373"/>
      <c r="N47" s="373"/>
      <c r="O47" s="373"/>
      <c r="P47" s="373"/>
      <c r="Q47" s="373"/>
      <c r="R47" s="373"/>
      <c r="S47" s="373"/>
      <c r="T47" s="373"/>
      <c r="U47" s="373"/>
      <c r="V47" s="373"/>
      <c r="W47" s="373"/>
      <c r="X47" s="373"/>
      <c r="Y47" s="373"/>
      <c r="Z47" s="373"/>
      <c r="AA47" s="373"/>
      <c r="AB47" s="373"/>
      <c r="AC47" s="373"/>
      <c r="AD47" s="373"/>
      <c r="AE47" s="373"/>
      <c r="AF47" s="373"/>
      <c r="AG47" s="373"/>
      <c r="AH47" s="373"/>
      <c r="AI47" s="373"/>
      <c r="AJ47" s="373"/>
      <c r="AK47" s="373"/>
      <c r="AL47" s="373"/>
      <c r="AM47" s="373"/>
      <c r="AN47" s="373"/>
      <c r="AO47" s="373"/>
      <c r="AP47" s="373"/>
      <c r="AQ47" s="373"/>
      <c r="AR47" s="373"/>
      <c r="AS47" s="373"/>
      <c r="AT47" s="373"/>
      <c r="AU47" s="373"/>
      <c r="AV47" s="373"/>
      <c r="AW47" s="373"/>
      <c r="AX47" s="373"/>
      <c r="AY47" s="373"/>
      <c r="AZ47" s="373"/>
      <c r="BA47" s="373"/>
      <c r="BB47" s="373"/>
      <c r="BC47" s="373"/>
      <c r="BD47" s="373"/>
      <c r="BE47" s="373"/>
      <c r="BF47" s="373"/>
      <c r="BG47" s="373"/>
      <c r="BH47" s="373"/>
      <c r="BI47" s="373"/>
      <c r="BJ47" s="373"/>
      <c r="BK47" s="373"/>
      <c r="BL47" s="373"/>
      <c r="BM47" s="373"/>
      <c r="BN47" s="373"/>
      <c r="BO47" s="373"/>
      <c r="BP47" s="373"/>
      <c r="BQ47" s="373"/>
      <c r="BR47" s="373"/>
      <c r="BS47" s="373"/>
      <c r="BT47" s="373"/>
      <c r="BU47" s="373"/>
      <c r="BV47" s="373"/>
      <c r="BW47" s="373"/>
      <c r="BX47" s="373"/>
      <c r="BY47" s="373"/>
      <c r="BZ47" s="373"/>
      <c r="CA47" s="373"/>
      <c r="CB47" s="373"/>
      <c r="CC47" s="373"/>
      <c r="CD47" s="373"/>
      <c r="CE47" s="373"/>
      <c r="CF47" s="373"/>
      <c r="CG47" s="374"/>
    </row>
  </sheetData>
  <mergeCells count="21">
    <mergeCell ref="C43:K43"/>
    <mergeCell ref="L43:AR43"/>
    <mergeCell ref="F19:K19"/>
    <mergeCell ref="L19:AS19"/>
    <mergeCell ref="F20:K20"/>
    <mergeCell ref="L20:AS20"/>
    <mergeCell ref="C42:K42"/>
    <mergeCell ref="L42:AR42"/>
    <mergeCell ref="F13:K13"/>
    <mergeCell ref="L13:AM13"/>
    <mergeCell ref="F14:K14"/>
    <mergeCell ref="L14:AM14"/>
    <mergeCell ref="F18:K18"/>
    <mergeCell ref="L18:AS18"/>
    <mergeCell ref="A1:M1"/>
    <mergeCell ref="D5:L5"/>
    <mergeCell ref="M5:AS5"/>
    <mergeCell ref="D6:L6"/>
    <mergeCell ref="M6:AS6"/>
    <mergeCell ref="F12:K12"/>
    <mergeCell ref="L12:AM12"/>
  </mergeCells>
  <phoneticPr fontId="53"/>
  <dataValidations count="1">
    <dataValidation type="list" allowBlank="1" showInputMessage="1" showErrorMessage="1" sqref="WVZ982958:WWE982979 WMD982958:WMI982979 WCH982958:WCM982979 VSL982958:VSQ982979 VIP982958:VIU982979 UYT982958:UYY982979 UOX982958:UPC982979 UFB982958:UFG982979 TVF982958:TVK982979 TLJ982958:TLO982979 TBN982958:TBS982979 SRR982958:SRW982979 SHV982958:SIA982979 RXZ982958:RYE982979 ROD982958:ROI982979 REH982958:REM982979 QUL982958:QUQ982979 QKP982958:QKU982979 QAT982958:QAY982979 PQX982958:PRC982979 PHB982958:PHG982979 OXF982958:OXK982979 ONJ982958:ONO982979 ODN982958:ODS982979 NTR982958:NTW982979 NJV982958:NKA982979 MZZ982958:NAE982979 MQD982958:MQI982979 MGH982958:MGM982979 LWL982958:LWQ982979 LMP982958:LMU982979 LCT982958:LCY982979 KSX982958:KTC982979 KJB982958:KJG982979 JZF982958:JZK982979 JPJ982958:JPO982979 JFN982958:JFS982979 IVR982958:IVW982979 ILV982958:IMA982979 IBZ982958:ICE982979 HSD982958:HSI982979 HIH982958:HIM982979 GYL982958:GYQ982979 GOP982958:GOU982979 GET982958:GEY982979 FUX982958:FVC982979 FLB982958:FLG982979 FBF982958:FBK982979 ERJ982958:ERO982979 EHN982958:EHS982979 DXR982958:DXW982979 DNV982958:DOA982979 DDZ982958:DEE982979 CUD982958:CUI982979 CKH982958:CKM982979 CAL982958:CAQ982979 BQP982958:BQU982979 BGT982958:BGY982979 AWX982958:AXC982979 ANB982958:ANG982979 ADF982958:ADK982979 TJ982958:TO982979 JN982958:JS982979 J982958:O982979 WVZ917422:WWE917443 WMD917422:WMI917443 WCH917422:WCM917443 VSL917422:VSQ917443 VIP917422:VIU917443 UYT917422:UYY917443 UOX917422:UPC917443 UFB917422:UFG917443 TVF917422:TVK917443 TLJ917422:TLO917443 TBN917422:TBS917443 SRR917422:SRW917443 SHV917422:SIA917443 RXZ917422:RYE917443 ROD917422:ROI917443 REH917422:REM917443 QUL917422:QUQ917443 QKP917422:QKU917443 QAT917422:QAY917443 PQX917422:PRC917443 PHB917422:PHG917443 OXF917422:OXK917443 ONJ917422:ONO917443 ODN917422:ODS917443 NTR917422:NTW917443 NJV917422:NKA917443 MZZ917422:NAE917443 MQD917422:MQI917443 MGH917422:MGM917443 LWL917422:LWQ917443 LMP917422:LMU917443 LCT917422:LCY917443 KSX917422:KTC917443 KJB917422:KJG917443 JZF917422:JZK917443 JPJ917422:JPO917443 JFN917422:JFS917443 IVR917422:IVW917443 ILV917422:IMA917443 IBZ917422:ICE917443 HSD917422:HSI917443 HIH917422:HIM917443 GYL917422:GYQ917443 GOP917422:GOU917443 GET917422:GEY917443 FUX917422:FVC917443 FLB917422:FLG917443 FBF917422:FBK917443 ERJ917422:ERO917443 EHN917422:EHS917443 DXR917422:DXW917443 DNV917422:DOA917443 DDZ917422:DEE917443 CUD917422:CUI917443 CKH917422:CKM917443 CAL917422:CAQ917443 BQP917422:BQU917443 BGT917422:BGY917443 AWX917422:AXC917443 ANB917422:ANG917443 ADF917422:ADK917443 TJ917422:TO917443 JN917422:JS917443 J917422:O917443 WVZ851886:WWE851907 WMD851886:WMI851907 WCH851886:WCM851907 VSL851886:VSQ851907 VIP851886:VIU851907 UYT851886:UYY851907 UOX851886:UPC851907 UFB851886:UFG851907 TVF851886:TVK851907 TLJ851886:TLO851907 TBN851886:TBS851907 SRR851886:SRW851907 SHV851886:SIA851907 RXZ851886:RYE851907 ROD851886:ROI851907 REH851886:REM851907 QUL851886:QUQ851907 QKP851886:QKU851907 QAT851886:QAY851907 PQX851886:PRC851907 PHB851886:PHG851907 OXF851886:OXK851907 ONJ851886:ONO851907 ODN851886:ODS851907 NTR851886:NTW851907 NJV851886:NKA851907 MZZ851886:NAE851907 MQD851886:MQI851907 MGH851886:MGM851907 LWL851886:LWQ851907 LMP851886:LMU851907 LCT851886:LCY851907 KSX851886:KTC851907 KJB851886:KJG851907 JZF851886:JZK851907 JPJ851886:JPO851907 JFN851886:JFS851907 IVR851886:IVW851907 ILV851886:IMA851907 IBZ851886:ICE851907 HSD851886:HSI851907 HIH851886:HIM851907 GYL851886:GYQ851907 GOP851886:GOU851907 GET851886:GEY851907 FUX851886:FVC851907 FLB851886:FLG851907 FBF851886:FBK851907 ERJ851886:ERO851907 EHN851886:EHS851907 DXR851886:DXW851907 DNV851886:DOA851907 DDZ851886:DEE851907 CUD851886:CUI851907 CKH851886:CKM851907 CAL851886:CAQ851907 BQP851886:BQU851907 BGT851886:BGY851907 AWX851886:AXC851907 ANB851886:ANG851907 ADF851886:ADK851907 TJ851886:TO851907 JN851886:JS851907 J851886:O851907 WVZ786350:WWE786371 WMD786350:WMI786371 WCH786350:WCM786371 VSL786350:VSQ786371 VIP786350:VIU786371 UYT786350:UYY786371 UOX786350:UPC786371 UFB786350:UFG786371 TVF786350:TVK786371 TLJ786350:TLO786371 TBN786350:TBS786371 SRR786350:SRW786371 SHV786350:SIA786371 RXZ786350:RYE786371 ROD786350:ROI786371 REH786350:REM786371 QUL786350:QUQ786371 QKP786350:QKU786371 QAT786350:QAY786371 PQX786350:PRC786371 PHB786350:PHG786371 OXF786350:OXK786371 ONJ786350:ONO786371 ODN786350:ODS786371 NTR786350:NTW786371 NJV786350:NKA786371 MZZ786350:NAE786371 MQD786350:MQI786371 MGH786350:MGM786371 LWL786350:LWQ786371 LMP786350:LMU786371 LCT786350:LCY786371 KSX786350:KTC786371 KJB786350:KJG786371 JZF786350:JZK786371 JPJ786350:JPO786371 JFN786350:JFS786371 IVR786350:IVW786371 ILV786350:IMA786371 IBZ786350:ICE786371 HSD786350:HSI786371 HIH786350:HIM786371 GYL786350:GYQ786371 GOP786350:GOU786371 GET786350:GEY786371 FUX786350:FVC786371 FLB786350:FLG786371 FBF786350:FBK786371 ERJ786350:ERO786371 EHN786350:EHS786371 DXR786350:DXW786371 DNV786350:DOA786371 DDZ786350:DEE786371 CUD786350:CUI786371 CKH786350:CKM786371 CAL786350:CAQ786371 BQP786350:BQU786371 BGT786350:BGY786371 AWX786350:AXC786371 ANB786350:ANG786371 ADF786350:ADK786371 TJ786350:TO786371 JN786350:JS786371 J786350:O786371 WVZ720814:WWE720835 WMD720814:WMI720835 WCH720814:WCM720835 VSL720814:VSQ720835 VIP720814:VIU720835 UYT720814:UYY720835 UOX720814:UPC720835 UFB720814:UFG720835 TVF720814:TVK720835 TLJ720814:TLO720835 TBN720814:TBS720835 SRR720814:SRW720835 SHV720814:SIA720835 RXZ720814:RYE720835 ROD720814:ROI720835 REH720814:REM720835 QUL720814:QUQ720835 QKP720814:QKU720835 QAT720814:QAY720835 PQX720814:PRC720835 PHB720814:PHG720835 OXF720814:OXK720835 ONJ720814:ONO720835 ODN720814:ODS720835 NTR720814:NTW720835 NJV720814:NKA720835 MZZ720814:NAE720835 MQD720814:MQI720835 MGH720814:MGM720835 LWL720814:LWQ720835 LMP720814:LMU720835 LCT720814:LCY720835 KSX720814:KTC720835 KJB720814:KJG720835 JZF720814:JZK720835 JPJ720814:JPO720835 JFN720814:JFS720835 IVR720814:IVW720835 ILV720814:IMA720835 IBZ720814:ICE720835 HSD720814:HSI720835 HIH720814:HIM720835 GYL720814:GYQ720835 GOP720814:GOU720835 GET720814:GEY720835 FUX720814:FVC720835 FLB720814:FLG720835 FBF720814:FBK720835 ERJ720814:ERO720835 EHN720814:EHS720835 DXR720814:DXW720835 DNV720814:DOA720835 DDZ720814:DEE720835 CUD720814:CUI720835 CKH720814:CKM720835 CAL720814:CAQ720835 BQP720814:BQU720835 BGT720814:BGY720835 AWX720814:AXC720835 ANB720814:ANG720835 ADF720814:ADK720835 TJ720814:TO720835 JN720814:JS720835 J720814:O720835 WVZ655278:WWE655299 WMD655278:WMI655299 WCH655278:WCM655299 VSL655278:VSQ655299 VIP655278:VIU655299 UYT655278:UYY655299 UOX655278:UPC655299 UFB655278:UFG655299 TVF655278:TVK655299 TLJ655278:TLO655299 TBN655278:TBS655299 SRR655278:SRW655299 SHV655278:SIA655299 RXZ655278:RYE655299 ROD655278:ROI655299 REH655278:REM655299 QUL655278:QUQ655299 QKP655278:QKU655299 QAT655278:QAY655299 PQX655278:PRC655299 PHB655278:PHG655299 OXF655278:OXK655299 ONJ655278:ONO655299 ODN655278:ODS655299 NTR655278:NTW655299 NJV655278:NKA655299 MZZ655278:NAE655299 MQD655278:MQI655299 MGH655278:MGM655299 LWL655278:LWQ655299 LMP655278:LMU655299 LCT655278:LCY655299 KSX655278:KTC655299 KJB655278:KJG655299 JZF655278:JZK655299 JPJ655278:JPO655299 JFN655278:JFS655299 IVR655278:IVW655299 ILV655278:IMA655299 IBZ655278:ICE655299 HSD655278:HSI655299 HIH655278:HIM655299 GYL655278:GYQ655299 GOP655278:GOU655299 GET655278:GEY655299 FUX655278:FVC655299 FLB655278:FLG655299 FBF655278:FBK655299 ERJ655278:ERO655299 EHN655278:EHS655299 DXR655278:DXW655299 DNV655278:DOA655299 DDZ655278:DEE655299 CUD655278:CUI655299 CKH655278:CKM655299 CAL655278:CAQ655299 BQP655278:BQU655299 BGT655278:BGY655299 AWX655278:AXC655299 ANB655278:ANG655299 ADF655278:ADK655299 TJ655278:TO655299 JN655278:JS655299 J655278:O655299 WVZ589742:WWE589763 WMD589742:WMI589763 WCH589742:WCM589763 VSL589742:VSQ589763 VIP589742:VIU589763 UYT589742:UYY589763 UOX589742:UPC589763 UFB589742:UFG589763 TVF589742:TVK589763 TLJ589742:TLO589763 TBN589742:TBS589763 SRR589742:SRW589763 SHV589742:SIA589763 RXZ589742:RYE589763 ROD589742:ROI589763 REH589742:REM589763 QUL589742:QUQ589763 QKP589742:QKU589763 QAT589742:QAY589763 PQX589742:PRC589763 PHB589742:PHG589763 OXF589742:OXK589763 ONJ589742:ONO589763 ODN589742:ODS589763 NTR589742:NTW589763 NJV589742:NKA589763 MZZ589742:NAE589763 MQD589742:MQI589763 MGH589742:MGM589763 LWL589742:LWQ589763 LMP589742:LMU589763 LCT589742:LCY589763 KSX589742:KTC589763 KJB589742:KJG589763 JZF589742:JZK589763 JPJ589742:JPO589763 JFN589742:JFS589763 IVR589742:IVW589763 ILV589742:IMA589763 IBZ589742:ICE589763 HSD589742:HSI589763 HIH589742:HIM589763 GYL589742:GYQ589763 GOP589742:GOU589763 GET589742:GEY589763 FUX589742:FVC589763 FLB589742:FLG589763 FBF589742:FBK589763 ERJ589742:ERO589763 EHN589742:EHS589763 DXR589742:DXW589763 DNV589742:DOA589763 DDZ589742:DEE589763 CUD589742:CUI589763 CKH589742:CKM589763 CAL589742:CAQ589763 BQP589742:BQU589763 BGT589742:BGY589763 AWX589742:AXC589763 ANB589742:ANG589763 ADF589742:ADK589763 TJ589742:TO589763 JN589742:JS589763 J589742:O589763 WVZ524206:WWE524227 WMD524206:WMI524227 WCH524206:WCM524227 VSL524206:VSQ524227 VIP524206:VIU524227 UYT524206:UYY524227 UOX524206:UPC524227 UFB524206:UFG524227 TVF524206:TVK524227 TLJ524206:TLO524227 TBN524206:TBS524227 SRR524206:SRW524227 SHV524206:SIA524227 RXZ524206:RYE524227 ROD524206:ROI524227 REH524206:REM524227 QUL524206:QUQ524227 QKP524206:QKU524227 QAT524206:QAY524227 PQX524206:PRC524227 PHB524206:PHG524227 OXF524206:OXK524227 ONJ524206:ONO524227 ODN524206:ODS524227 NTR524206:NTW524227 NJV524206:NKA524227 MZZ524206:NAE524227 MQD524206:MQI524227 MGH524206:MGM524227 LWL524206:LWQ524227 LMP524206:LMU524227 LCT524206:LCY524227 KSX524206:KTC524227 KJB524206:KJG524227 JZF524206:JZK524227 JPJ524206:JPO524227 JFN524206:JFS524227 IVR524206:IVW524227 ILV524206:IMA524227 IBZ524206:ICE524227 HSD524206:HSI524227 HIH524206:HIM524227 GYL524206:GYQ524227 GOP524206:GOU524227 GET524206:GEY524227 FUX524206:FVC524227 FLB524206:FLG524227 FBF524206:FBK524227 ERJ524206:ERO524227 EHN524206:EHS524227 DXR524206:DXW524227 DNV524206:DOA524227 DDZ524206:DEE524227 CUD524206:CUI524227 CKH524206:CKM524227 CAL524206:CAQ524227 BQP524206:BQU524227 BGT524206:BGY524227 AWX524206:AXC524227 ANB524206:ANG524227 ADF524206:ADK524227 TJ524206:TO524227 JN524206:JS524227 J524206:O524227 WVZ458670:WWE458691 WMD458670:WMI458691 WCH458670:WCM458691 VSL458670:VSQ458691 VIP458670:VIU458691 UYT458670:UYY458691 UOX458670:UPC458691 UFB458670:UFG458691 TVF458670:TVK458691 TLJ458670:TLO458691 TBN458670:TBS458691 SRR458670:SRW458691 SHV458670:SIA458691 RXZ458670:RYE458691 ROD458670:ROI458691 REH458670:REM458691 QUL458670:QUQ458691 QKP458670:QKU458691 QAT458670:QAY458691 PQX458670:PRC458691 PHB458670:PHG458691 OXF458670:OXK458691 ONJ458670:ONO458691 ODN458670:ODS458691 NTR458670:NTW458691 NJV458670:NKA458691 MZZ458670:NAE458691 MQD458670:MQI458691 MGH458670:MGM458691 LWL458670:LWQ458691 LMP458670:LMU458691 LCT458670:LCY458691 KSX458670:KTC458691 KJB458670:KJG458691 JZF458670:JZK458691 JPJ458670:JPO458691 JFN458670:JFS458691 IVR458670:IVW458691 ILV458670:IMA458691 IBZ458670:ICE458691 HSD458670:HSI458691 HIH458670:HIM458691 GYL458670:GYQ458691 GOP458670:GOU458691 GET458670:GEY458691 FUX458670:FVC458691 FLB458670:FLG458691 FBF458670:FBK458691 ERJ458670:ERO458691 EHN458670:EHS458691 DXR458670:DXW458691 DNV458670:DOA458691 DDZ458670:DEE458691 CUD458670:CUI458691 CKH458670:CKM458691 CAL458670:CAQ458691 BQP458670:BQU458691 BGT458670:BGY458691 AWX458670:AXC458691 ANB458670:ANG458691 ADF458670:ADK458691 TJ458670:TO458691 JN458670:JS458691 J458670:O458691 WVZ393134:WWE393155 WMD393134:WMI393155 WCH393134:WCM393155 VSL393134:VSQ393155 VIP393134:VIU393155 UYT393134:UYY393155 UOX393134:UPC393155 UFB393134:UFG393155 TVF393134:TVK393155 TLJ393134:TLO393155 TBN393134:TBS393155 SRR393134:SRW393155 SHV393134:SIA393155 RXZ393134:RYE393155 ROD393134:ROI393155 REH393134:REM393155 QUL393134:QUQ393155 QKP393134:QKU393155 QAT393134:QAY393155 PQX393134:PRC393155 PHB393134:PHG393155 OXF393134:OXK393155 ONJ393134:ONO393155 ODN393134:ODS393155 NTR393134:NTW393155 NJV393134:NKA393155 MZZ393134:NAE393155 MQD393134:MQI393155 MGH393134:MGM393155 LWL393134:LWQ393155 LMP393134:LMU393155 LCT393134:LCY393155 KSX393134:KTC393155 KJB393134:KJG393155 JZF393134:JZK393155 JPJ393134:JPO393155 JFN393134:JFS393155 IVR393134:IVW393155 ILV393134:IMA393155 IBZ393134:ICE393155 HSD393134:HSI393155 HIH393134:HIM393155 GYL393134:GYQ393155 GOP393134:GOU393155 GET393134:GEY393155 FUX393134:FVC393155 FLB393134:FLG393155 FBF393134:FBK393155 ERJ393134:ERO393155 EHN393134:EHS393155 DXR393134:DXW393155 DNV393134:DOA393155 DDZ393134:DEE393155 CUD393134:CUI393155 CKH393134:CKM393155 CAL393134:CAQ393155 BQP393134:BQU393155 BGT393134:BGY393155 AWX393134:AXC393155 ANB393134:ANG393155 ADF393134:ADK393155 TJ393134:TO393155 JN393134:JS393155 J393134:O393155 WVZ327598:WWE327619 WMD327598:WMI327619 WCH327598:WCM327619 VSL327598:VSQ327619 VIP327598:VIU327619 UYT327598:UYY327619 UOX327598:UPC327619 UFB327598:UFG327619 TVF327598:TVK327619 TLJ327598:TLO327619 TBN327598:TBS327619 SRR327598:SRW327619 SHV327598:SIA327619 RXZ327598:RYE327619 ROD327598:ROI327619 REH327598:REM327619 QUL327598:QUQ327619 QKP327598:QKU327619 QAT327598:QAY327619 PQX327598:PRC327619 PHB327598:PHG327619 OXF327598:OXK327619 ONJ327598:ONO327619 ODN327598:ODS327619 NTR327598:NTW327619 NJV327598:NKA327619 MZZ327598:NAE327619 MQD327598:MQI327619 MGH327598:MGM327619 LWL327598:LWQ327619 LMP327598:LMU327619 LCT327598:LCY327619 KSX327598:KTC327619 KJB327598:KJG327619 JZF327598:JZK327619 JPJ327598:JPO327619 JFN327598:JFS327619 IVR327598:IVW327619 ILV327598:IMA327619 IBZ327598:ICE327619 HSD327598:HSI327619 HIH327598:HIM327619 GYL327598:GYQ327619 GOP327598:GOU327619 GET327598:GEY327619 FUX327598:FVC327619 FLB327598:FLG327619 FBF327598:FBK327619 ERJ327598:ERO327619 EHN327598:EHS327619 DXR327598:DXW327619 DNV327598:DOA327619 DDZ327598:DEE327619 CUD327598:CUI327619 CKH327598:CKM327619 CAL327598:CAQ327619 BQP327598:BQU327619 BGT327598:BGY327619 AWX327598:AXC327619 ANB327598:ANG327619 ADF327598:ADK327619 TJ327598:TO327619 JN327598:JS327619 J327598:O327619 WVZ262062:WWE262083 WMD262062:WMI262083 WCH262062:WCM262083 VSL262062:VSQ262083 VIP262062:VIU262083 UYT262062:UYY262083 UOX262062:UPC262083 UFB262062:UFG262083 TVF262062:TVK262083 TLJ262062:TLO262083 TBN262062:TBS262083 SRR262062:SRW262083 SHV262062:SIA262083 RXZ262062:RYE262083 ROD262062:ROI262083 REH262062:REM262083 QUL262062:QUQ262083 QKP262062:QKU262083 QAT262062:QAY262083 PQX262062:PRC262083 PHB262062:PHG262083 OXF262062:OXK262083 ONJ262062:ONO262083 ODN262062:ODS262083 NTR262062:NTW262083 NJV262062:NKA262083 MZZ262062:NAE262083 MQD262062:MQI262083 MGH262062:MGM262083 LWL262062:LWQ262083 LMP262062:LMU262083 LCT262062:LCY262083 KSX262062:KTC262083 KJB262062:KJG262083 JZF262062:JZK262083 JPJ262062:JPO262083 JFN262062:JFS262083 IVR262062:IVW262083 ILV262062:IMA262083 IBZ262062:ICE262083 HSD262062:HSI262083 HIH262062:HIM262083 GYL262062:GYQ262083 GOP262062:GOU262083 GET262062:GEY262083 FUX262062:FVC262083 FLB262062:FLG262083 FBF262062:FBK262083 ERJ262062:ERO262083 EHN262062:EHS262083 DXR262062:DXW262083 DNV262062:DOA262083 DDZ262062:DEE262083 CUD262062:CUI262083 CKH262062:CKM262083 CAL262062:CAQ262083 BQP262062:BQU262083 BGT262062:BGY262083 AWX262062:AXC262083 ANB262062:ANG262083 ADF262062:ADK262083 TJ262062:TO262083 JN262062:JS262083 J262062:O262083 WVZ196526:WWE196547 WMD196526:WMI196547 WCH196526:WCM196547 VSL196526:VSQ196547 VIP196526:VIU196547 UYT196526:UYY196547 UOX196526:UPC196547 UFB196526:UFG196547 TVF196526:TVK196547 TLJ196526:TLO196547 TBN196526:TBS196547 SRR196526:SRW196547 SHV196526:SIA196547 RXZ196526:RYE196547 ROD196526:ROI196547 REH196526:REM196547 QUL196526:QUQ196547 QKP196526:QKU196547 QAT196526:QAY196547 PQX196526:PRC196547 PHB196526:PHG196547 OXF196526:OXK196547 ONJ196526:ONO196547 ODN196526:ODS196547 NTR196526:NTW196547 NJV196526:NKA196547 MZZ196526:NAE196547 MQD196526:MQI196547 MGH196526:MGM196547 LWL196526:LWQ196547 LMP196526:LMU196547 LCT196526:LCY196547 KSX196526:KTC196547 KJB196526:KJG196547 JZF196526:JZK196547 JPJ196526:JPO196547 JFN196526:JFS196547 IVR196526:IVW196547 ILV196526:IMA196547 IBZ196526:ICE196547 HSD196526:HSI196547 HIH196526:HIM196547 GYL196526:GYQ196547 GOP196526:GOU196547 GET196526:GEY196547 FUX196526:FVC196547 FLB196526:FLG196547 FBF196526:FBK196547 ERJ196526:ERO196547 EHN196526:EHS196547 DXR196526:DXW196547 DNV196526:DOA196547 DDZ196526:DEE196547 CUD196526:CUI196547 CKH196526:CKM196547 CAL196526:CAQ196547 BQP196526:BQU196547 BGT196526:BGY196547 AWX196526:AXC196547 ANB196526:ANG196547 ADF196526:ADK196547 TJ196526:TO196547 JN196526:JS196547 J196526:O196547 WVZ130990:WWE131011 WMD130990:WMI131011 WCH130990:WCM131011 VSL130990:VSQ131011 VIP130990:VIU131011 UYT130990:UYY131011 UOX130990:UPC131011 UFB130990:UFG131011 TVF130990:TVK131011 TLJ130990:TLO131011 TBN130990:TBS131011 SRR130990:SRW131011 SHV130990:SIA131011 RXZ130990:RYE131011 ROD130990:ROI131011 REH130990:REM131011 QUL130990:QUQ131011 QKP130990:QKU131011 QAT130990:QAY131011 PQX130990:PRC131011 PHB130990:PHG131011 OXF130990:OXK131011 ONJ130990:ONO131011 ODN130990:ODS131011 NTR130990:NTW131011 NJV130990:NKA131011 MZZ130990:NAE131011 MQD130990:MQI131011 MGH130990:MGM131011 LWL130990:LWQ131011 LMP130990:LMU131011 LCT130990:LCY131011 KSX130990:KTC131011 KJB130990:KJG131011 JZF130990:JZK131011 JPJ130990:JPO131011 JFN130990:JFS131011 IVR130990:IVW131011 ILV130990:IMA131011 IBZ130990:ICE131011 HSD130990:HSI131011 HIH130990:HIM131011 GYL130990:GYQ131011 GOP130990:GOU131011 GET130990:GEY131011 FUX130990:FVC131011 FLB130990:FLG131011 FBF130990:FBK131011 ERJ130990:ERO131011 EHN130990:EHS131011 DXR130990:DXW131011 DNV130990:DOA131011 DDZ130990:DEE131011 CUD130990:CUI131011 CKH130990:CKM131011 CAL130990:CAQ131011 BQP130990:BQU131011 BGT130990:BGY131011 AWX130990:AXC131011 ANB130990:ANG131011 ADF130990:ADK131011 TJ130990:TO131011 JN130990:JS131011 J130990:O131011 WVZ65454:WWE65475 WMD65454:WMI65475 WCH65454:WCM65475 VSL65454:VSQ65475 VIP65454:VIU65475 UYT65454:UYY65475 UOX65454:UPC65475 UFB65454:UFG65475 TVF65454:TVK65475 TLJ65454:TLO65475 TBN65454:TBS65475 SRR65454:SRW65475 SHV65454:SIA65475 RXZ65454:RYE65475 ROD65454:ROI65475 REH65454:REM65475 QUL65454:QUQ65475 QKP65454:QKU65475 QAT65454:QAY65475 PQX65454:PRC65475 PHB65454:PHG65475 OXF65454:OXK65475 ONJ65454:ONO65475 ODN65454:ODS65475 NTR65454:NTW65475 NJV65454:NKA65475 MZZ65454:NAE65475 MQD65454:MQI65475 MGH65454:MGM65475 LWL65454:LWQ65475 LMP65454:LMU65475 LCT65454:LCY65475 KSX65454:KTC65475 KJB65454:KJG65475 JZF65454:JZK65475 JPJ65454:JPO65475 JFN65454:JFS65475 IVR65454:IVW65475 ILV65454:IMA65475 IBZ65454:ICE65475 HSD65454:HSI65475 HIH65454:HIM65475 GYL65454:GYQ65475 GOP65454:GOU65475 GET65454:GEY65475 FUX65454:FVC65475 FLB65454:FLG65475 FBF65454:FBK65475 ERJ65454:ERO65475 EHN65454:EHS65475 DXR65454:DXW65475 DNV65454:DOA65475 DDZ65454:DEE65475 CUD65454:CUI65475 CKH65454:CKM65475 CAL65454:CAQ65475 BQP65454:BQU65475 BGT65454:BGY65475 AWX65454:AXC65475 ANB65454:ANG65475 ADF65454:ADK65475 TJ65454:TO65475 JN65454:JS65475 J65454:O65475 WWN982958:WWU982979 WMR982958:WMY982979 WCV982958:WDC982979 VSZ982958:VTG982979 VJD982958:VJK982979 UZH982958:UZO982979 UPL982958:UPS982979 UFP982958:UFW982979 TVT982958:TWA982979 TLX982958:TME982979 TCB982958:TCI982979 SSF982958:SSM982979 SIJ982958:SIQ982979 RYN982958:RYU982979 ROR982958:ROY982979 REV982958:RFC982979 QUZ982958:QVG982979 QLD982958:QLK982979 QBH982958:QBO982979 PRL982958:PRS982979 PHP982958:PHW982979 OXT982958:OYA982979 ONX982958:OOE982979 OEB982958:OEI982979 NUF982958:NUM982979 NKJ982958:NKQ982979 NAN982958:NAU982979 MQR982958:MQY982979 MGV982958:MHC982979 LWZ982958:LXG982979 LND982958:LNK982979 LDH982958:LDO982979 KTL982958:KTS982979 KJP982958:KJW982979 JZT982958:KAA982979 JPX982958:JQE982979 JGB982958:JGI982979 IWF982958:IWM982979 IMJ982958:IMQ982979 ICN982958:ICU982979 HSR982958:HSY982979 HIV982958:HJC982979 GYZ982958:GZG982979 GPD982958:GPK982979 GFH982958:GFO982979 FVL982958:FVS982979 FLP982958:FLW982979 FBT982958:FCA982979 ERX982958:ESE982979 EIB982958:EII982979 DYF982958:DYM982979 DOJ982958:DOQ982979 DEN982958:DEU982979 CUR982958:CUY982979 CKV982958:CLC982979 CAZ982958:CBG982979 BRD982958:BRK982979 BHH982958:BHO982979 AXL982958:AXS982979 ANP982958:ANW982979 ADT982958:AEA982979 TX982958:UE982979 KB982958:KI982979 X982958:AE982979 WWN917422:WWU917443 WMR917422:WMY917443 WCV917422:WDC917443 VSZ917422:VTG917443 VJD917422:VJK917443 UZH917422:UZO917443 UPL917422:UPS917443 UFP917422:UFW917443 TVT917422:TWA917443 TLX917422:TME917443 TCB917422:TCI917443 SSF917422:SSM917443 SIJ917422:SIQ917443 RYN917422:RYU917443 ROR917422:ROY917443 REV917422:RFC917443 QUZ917422:QVG917443 QLD917422:QLK917443 QBH917422:QBO917443 PRL917422:PRS917443 PHP917422:PHW917443 OXT917422:OYA917443 ONX917422:OOE917443 OEB917422:OEI917443 NUF917422:NUM917443 NKJ917422:NKQ917443 NAN917422:NAU917443 MQR917422:MQY917443 MGV917422:MHC917443 LWZ917422:LXG917443 LND917422:LNK917443 LDH917422:LDO917443 KTL917422:KTS917443 KJP917422:KJW917443 JZT917422:KAA917443 JPX917422:JQE917443 JGB917422:JGI917443 IWF917422:IWM917443 IMJ917422:IMQ917443 ICN917422:ICU917443 HSR917422:HSY917443 HIV917422:HJC917443 GYZ917422:GZG917443 GPD917422:GPK917443 GFH917422:GFO917443 FVL917422:FVS917443 FLP917422:FLW917443 FBT917422:FCA917443 ERX917422:ESE917443 EIB917422:EII917443 DYF917422:DYM917443 DOJ917422:DOQ917443 DEN917422:DEU917443 CUR917422:CUY917443 CKV917422:CLC917443 CAZ917422:CBG917443 BRD917422:BRK917443 BHH917422:BHO917443 AXL917422:AXS917443 ANP917422:ANW917443 ADT917422:AEA917443 TX917422:UE917443 KB917422:KI917443 X917422:AE917443 WWN851886:WWU851907 WMR851886:WMY851907 WCV851886:WDC851907 VSZ851886:VTG851907 VJD851886:VJK851907 UZH851886:UZO851907 UPL851886:UPS851907 UFP851886:UFW851907 TVT851886:TWA851907 TLX851886:TME851907 TCB851886:TCI851907 SSF851886:SSM851907 SIJ851886:SIQ851907 RYN851886:RYU851907 ROR851886:ROY851907 REV851886:RFC851907 QUZ851886:QVG851907 QLD851886:QLK851907 QBH851886:QBO851907 PRL851886:PRS851907 PHP851886:PHW851907 OXT851886:OYA851907 ONX851886:OOE851907 OEB851886:OEI851907 NUF851886:NUM851907 NKJ851886:NKQ851907 NAN851886:NAU851907 MQR851886:MQY851907 MGV851886:MHC851907 LWZ851886:LXG851907 LND851886:LNK851907 LDH851886:LDO851907 KTL851886:KTS851907 KJP851886:KJW851907 JZT851886:KAA851907 JPX851886:JQE851907 JGB851886:JGI851907 IWF851886:IWM851907 IMJ851886:IMQ851907 ICN851886:ICU851907 HSR851886:HSY851907 HIV851886:HJC851907 GYZ851886:GZG851907 GPD851886:GPK851907 GFH851886:GFO851907 FVL851886:FVS851907 FLP851886:FLW851907 FBT851886:FCA851907 ERX851886:ESE851907 EIB851886:EII851907 DYF851886:DYM851907 DOJ851886:DOQ851907 DEN851886:DEU851907 CUR851886:CUY851907 CKV851886:CLC851907 CAZ851886:CBG851907 BRD851886:BRK851907 BHH851886:BHO851907 AXL851886:AXS851907 ANP851886:ANW851907 ADT851886:AEA851907 TX851886:UE851907 KB851886:KI851907 X851886:AE851907 WWN786350:WWU786371 WMR786350:WMY786371 WCV786350:WDC786371 VSZ786350:VTG786371 VJD786350:VJK786371 UZH786350:UZO786371 UPL786350:UPS786371 UFP786350:UFW786371 TVT786350:TWA786371 TLX786350:TME786371 TCB786350:TCI786371 SSF786350:SSM786371 SIJ786350:SIQ786371 RYN786350:RYU786371 ROR786350:ROY786371 REV786350:RFC786371 QUZ786350:QVG786371 QLD786350:QLK786371 QBH786350:QBO786371 PRL786350:PRS786371 PHP786350:PHW786371 OXT786350:OYA786371 ONX786350:OOE786371 OEB786350:OEI786371 NUF786350:NUM786371 NKJ786350:NKQ786371 NAN786350:NAU786371 MQR786350:MQY786371 MGV786350:MHC786371 LWZ786350:LXG786371 LND786350:LNK786371 LDH786350:LDO786371 KTL786350:KTS786371 KJP786350:KJW786371 JZT786350:KAA786371 JPX786350:JQE786371 JGB786350:JGI786371 IWF786350:IWM786371 IMJ786350:IMQ786371 ICN786350:ICU786371 HSR786350:HSY786371 HIV786350:HJC786371 GYZ786350:GZG786371 GPD786350:GPK786371 GFH786350:GFO786371 FVL786350:FVS786371 FLP786350:FLW786371 FBT786350:FCA786371 ERX786350:ESE786371 EIB786350:EII786371 DYF786350:DYM786371 DOJ786350:DOQ786371 DEN786350:DEU786371 CUR786350:CUY786371 CKV786350:CLC786371 CAZ786350:CBG786371 BRD786350:BRK786371 BHH786350:BHO786371 AXL786350:AXS786371 ANP786350:ANW786371 ADT786350:AEA786371 TX786350:UE786371 KB786350:KI786371 X786350:AE786371 WWN720814:WWU720835 WMR720814:WMY720835 WCV720814:WDC720835 VSZ720814:VTG720835 VJD720814:VJK720835 UZH720814:UZO720835 UPL720814:UPS720835 UFP720814:UFW720835 TVT720814:TWA720835 TLX720814:TME720835 TCB720814:TCI720835 SSF720814:SSM720835 SIJ720814:SIQ720835 RYN720814:RYU720835 ROR720814:ROY720835 REV720814:RFC720835 QUZ720814:QVG720835 QLD720814:QLK720835 QBH720814:QBO720835 PRL720814:PRS720835 PHP720814:PHW720835 OXT720814:OYA720835 ONX720814:OOE720835 OEB720814:OEI720835 NUF720814:NUM720835 NKJ720814:NKQ720835 NAN720814:NAU720835 MQR720814:MQY720835 MGV720814:MHC720835 LWZ720814:LXG720835 LND720814:LNK720835 LDH720814:LDO720835 KTL720814:KTS720835 KJP720814:KJW720835 JZT720814:KAA720835 JPX720814:JQE720835 JGB720814:JGI720835 IWF720814:IWM720835 IMJ720814:IMQ720835 ICN720814:ICU720835 HSR720814:HSY720835 HIV720814:HJC720835 GYZ720814:GZG720835 GPD720814:GPK720835 GFH720814:GFO720835 FVL720814:FVS720835 FLP720814:FLW720835 FBT720814:FCA720835 ERX720814:ESE720835 EIB720814:EII720835 DYF720814:DYM720835 DOJ720814:DOQ720835 DEN720814:DEU720835 CUR720814:CUY720835 CKV720814:CLC720835 CAZ720814:CBG720835 BRD720814:BRK720835 BHH720814:BHO720835 AXL720814:AXS720835 ANP720814:ANW720835 ADT720814:AEA720835 TX720814:UE720835 KB720814:KI720835 X720814:AE720835 WWN655278:WWU655299 WMR655278:WMY655299 WCV655278:WDC655299 VSZ655278:VTG655299 VJD655278:VJK655299 UZH655278:UZO655299 UPL655278:UPS655299 UFP655278:UFW655299 TVT655278:TWA655299 TLX655278:TME655299 TCB655278:TCI655299 SSF655278:SSM655299 SIJ655278:SIQ655299 RYN655278:RYU655299 ROR655278:ROY655299 REV655278:RFC655299 QUZ655278:QVG655299 QLD655278:QLK655299 QBH655278:QBO655299 PRL655278:PRS655299 PHP655278:PHW655299 OXT655278:OYA655299 ONX655278:OOE655299 OEB655278:OEI655299 NUF655278:NUM655299 NKJ655278:NKQ655299 NAN655278:NAU655299 MQR655278:MQY655299 MGV655278:MHC655299 LWZ655278:LXG655299 LND655278:LNK655299 LDH655278:LDO655299 KTL655278:KTS655299 KJP655278:KJW655299 JZT655278:KAA655299 JPX655278:JQE655299 JGB655278:JGI655299 IWF655278:IWM655299 IMJ655278:IMQ655299 ICN655278:ICU655299 HSR655278:HSY655299 HIV655278:HJC655299 GYZ655278:GZG655299 GPD655278:GPK655299 GFH655278:GFO655299 FVL655278:FVS655299 FLP655278:FLW655299 FBT655278:FCA655299 ERX655278:ESE655299 EIB655278:EII655299 DYF655278:DYM655299 DOJ655278:DOQ655299 DEN655278:DEU655299 CUR655278:CUY655299 CKV655278:CLC655299 CAZ655278:CBG655299 BRD655278:BRK655299 BHH655278:BHO655299 AXL655278:AXS655299 ANP655278:ANW655299 ADT655278:AEA655299 TX655278:UE655299 KB655278:KI655299 X655278:AE655299 WWN589742:WWU589763 WMR589742:WMY589763 WCV589742:WDC589763 VSZ589742:VTG589763 VJD589742:VJK589763 UZH589742:UZO589763 UPL589742:UPS589763 UFP589742:UFW589763 TVT589742:TWA589763 TLX589742:TME589763 TCB589742:TCI589763 SSF589742:SSM589763 SIJ589742:SIQ589763 RYN589742:RYU589763 ROR589742:ROY589763 REV589742:RFC589763 QUZ589742:QVG589763 QLD589742:QLK589763 QBH589742:QBO589763 PRL589742:PRS589763 PHP589742:PHW589763 OXT589742:OYA589763 ONX589742:OOE589763 OEB589742:OEI589763 NUF589742:NUM589763 NKJ589742:NKQ589763 NAN589742:NAU589763 MQR589742:MQY589763 MGV589742:MHC589763 LWZ589742:LXG589763 LND589742:LNK589763 LDH589742:LDO589763 KTL589742:KTS589763 KJP589742:KJW589763 JZT589742:KAA589763 JPX589742:JQE589763 JGB589742:JGI589763 IWF589742:IWM589763 IMJ589742:IMQ589763 ICN589742:ICU589763 HSR589742:HSY589763 HIV589742:HJC589763 GYZ589742:GZG589763 GPD589742:GPK589763 GFH589742:GFO589763 FVL589742:FVS589763 FLP589742:FLW589763 FBT589742:FCA589763 ERX589742:ESE589763 EIB589742:EII589763 DYF589742:DYM589763 DOJ589742:DOQ589763 DEN589742:DEU589763 CUR589742:CUY589763 CKV589742:CLC589763 CAZ589742:CBG589763 BRD589742:BRK589763 BHH589742:BHO589763 AXL589742:AXS589763 ANP589742:ANW589763 ADT589742:AEA589763 TX589742:UE589763 KB589742:KI589763 X589742:AE589763 WWN524206:WWU524227 WMR524206:WMY524227 WCV524206:WDC524227 VSZ524206:VTG524227 VJD524206:VJK524227 UZH524206:UZO524227 UPL524206:UPS524227 UFP524206:UFW524227 TVT524206:TWA524227 TLX524206:TME524227 TCB524206:TCI524227 SSF524206:SSM524227 SIJ524206:SIQ524227 RYN524206:RYU524227 ROR524206:ROY524227 REV524206:RFC524227 QUZ524206:QVG524227 QLD524206:QLK524227 QBH524206:QBO524227 PRL524206:PRS524227 PHP524206:PHW524227 OXT524206:OYA524227 ONX524206:OOE524227 OEB524206:OEI524227 NUF524206:NUM524227 NKJ524206:NKQ524227 NAN524206:NAU524227 MQR524206:MQY524227 MGV524206:MHC524227 LWZ524206:LXG524227 LND524206:LNK524227 LDH524206:LDO524227 KTL524206:KTS524227 KJP524206:KJW524227 JZT524206:KAA524227 JPX524206:JQE524227 JGB524206:JGI524227 IWF524206:IWM524227 IMJ524206:IMQ524227 ICN524206:ICU524227 HSR524206:HSY524227 HIV524206:HJC524227 GYZ524206:GZG524227 GPD524206:GPK524227 GFH524206:GFO524227 FVL524206:FVS524227 FLP524206:FLW524227 FBT524206:FCA524227 ERX524206:ESE524227 EIB524206:EII524227 DYF524206:DYM524227 DOJ524206:DOQ524227 DEN524206:DEU524227 CUR524206:CUY524227 CKV524206:CLC524227 CAZ524206:CBG524227 BRD524206:BRK524227 BHH524206:BHO524227 AXL524206:AXS524227 ANP524206:ANW524227 ADT524206:AEA524227 TX524206:UE524227 KB524206:KI524227 X524206:AE524227 WWN458670:WWU458691 WMR458670:WMY458691 WCV458670:WDC458691 VSZ458670:VTG458691 VJD458670:VJK458691 UZH458670:UZO458691 UPL458670:UPS458691 UFP458670:UFW458691 TVT458670:TWA458691 TLX458670:TME458691 TCB458670:TCI458691 SSF458670:SSM458691 SIJ458670:SIQ458691 RYN458670:RYU458691 ROR458670:ROY458691 REV458670:RFC458691 QUZ458670:QVG458691 QLD458670:QLK458691 QBH458670:QBO458691 PRL458670:PRS458691 PHP458670:PHW458691 OXT458670:OYA458691 ONX458670:OOE458691 OEB458670:OEI458691 NUF458670:NUM458691 NKJ458670:NKQ458691 NAN458670:NAU458691 MQR458670:MQY458691 MGV458670:MHC458691 LWZ458670:LXG458691 LND458670:LNK458691 LDH458670:LDO458691 KTL458670:KTS458691 KJP458670:KJW458691 JZT458670:KAA458691 JPX458670:JQE458691 JGB458670:JGI458691 IWF458670:IWM458691 IMJ458670:IMQ458691 ICN458670:ICU458691 HSR458670:HSY458691 HIV458670:HJC458691 GYZ458670:GZG458691 GPD458670:GPK458691 GFH458670:GFO458691 FVL458670:FVS458691 FLP458670:FLW458691 FBT458670:FCA458691 ERX458670:ESE458691 EIB458670:EII458691 DYF458670:DYM458691 DOJ458670:DOQ458691 DEN458670:DEU458691 CUR458670:CUY458691 CKV458670:CLC458691 CAZ458670:CBG458691 BRD458670:BRK458691 BHH458670:BHO458691 AXL458670:AXS458691 ANP458670:ANW458691 ADT458670:AEA458691 TX458670:UE458691 KB458670:KI458691 X458670:AE458691 WWN393134:WWU393155 WMR393134:WMY393155 WCV393134:WDC393155 VSZ393134:VTG393155 VJD393134:VJK393155 UZH393134:UZO393155 UPL393134:UPS393155 UFP393134:UFW393155 TVT393134:TWA393155 TLX393134:TME393155 TCB393134:TCI393155 SSF393134:SSM393155 SIJ393134:SIQ393155 RYN393134:RYU393155 ROR393134:ROY393155 REV393134:RFC393155 QUZ393134:QVG393155 QLD393134:QLK393155 QBH393134:QBO393155 PRL393134:PRS393155 PHP393134:PHW393155 OXT393134:OYA393155 ONX393134:OOE393155 OEB393134:OEI393155 NUF393134:NUM393155 NKJ393134:NKQ393155 NAN393134:NAU393155 MQR393134:MQY393155 MGV393134:MHC393155 LWZ393134:LXG393155 LND393134:LNK393155 LDH393134:LDO393155 KTL393134:KTS393155 KJP393134:KJW393155 JZT393134:KAA393155 JPX393134:JQE393155 JGB393134:JGI393155 IWF393134:IWM393155 IMJ393134:IMQ393155 ICN393134:ICU393155 HSR393134:HSY393155 HIV393134:HJC393155 GYZ393134:GZG393155 GPD393134:GPK393155 GFH393134:GFO393155 FVL393134:FVS393155 FLP393134:FLW393155 FBT393134:FCA393155 ERX393134:ESE393155 EIB393134:EII393155 DYF393134:DYM393155 DOJ393134:DOQ393155 DEN393134:DEU393155 CUR393134:CUY393155 CKV393134:CLC393155 CAZ393134:CBG393155 BRD393134:BRK393155 BHH393134:BHO393155 AXL393134:AXS393155 ANP393134:ANW393155 ADT393134:AEA393155 TX393134:UE393155 KB393134:KI393155 X393134:AE393155 WWN327598:WWU327619 WMR327598:WMY327619 WCV327598:WDC327619 VSZ327598:VTG327619 VJD327598:VJK327619 UZH327598:UZO327619 UPL327598:UPS327619 UFP327598:UFW327619 TVT327598:TWA327619 TLX327598:TME327619 TCB327598:TCI327619 SSF327598:SSM327619 SIJ327598:SIQ327619 RYN327598:RYU327619 ROR327598:ROY327619 REV327598:RFC327619 QUZ327598:QVG327619 QLD327598:QLK327619 QBH327598:QBO327619 PRL327598:PRS327619 PHP327598:PHW327619 OXT327598:OYA327619 ONX327598:OOE327619 OEB327598:OEI327619 NUF327598:NUM327619 NKJ327598:NKQ327619 NAN327598:NAU327619 MQR327598:MQY327619 MGV327598:MHC327619 LWZ327598:LXG327619 LND327598:LNK327619 LDH327598:LDO327619 KTL327598:KTS327619 KJP327598:KJW327619 JZT327598:KAA327619 JPX327598:JQE327619 JGB327598:JGI327619 IWF327598:IWM327619 IMJ327598:IMQ327619 ICN327598:ICU327619 HSR327598:HSY327619 HIV327598:HJC327619 GYZ327598:GZG327619 GPD327598:GPK327619 GFH327598:GFO327619 FVL327598:FVS327619 FLP327598:FLW327619 FBT327598:FCA327619 ERX327598:ESE327619 EIB327598:EII327619 DYF327598:DYM327619 DOJ327598:DOQ327619 DEN327598:DEU327619 CUR327598:CUY327619 CKV327598:CLC327619 CAZ327598:CBG327619 BRD327598:BRK327619 BHH327598:BHO327619 AXL327598:AXS327619 ANP327598:ANW327619 ADT327598:AEA327619 TX327598:UE327619 KB327598:KI327619 X327598:AE327619 WWN262062:WWU262083 WMR262062:WMY262083 WCV262062:WDC262083 VSZ262062:VTG262083 VJD262062:VJK262083 UZH262062:UZO262083 UPL262062:UPS262083 UFP262062:UFW262083 TVT262062:TWA262083 TLX262062:TME262083 TCB262062:TCI262083 SSF262062:SSM262083 SIJ262062:SIQ262083 RYN262062:RYU262083 ROR262062:ROY262083 REV262062:RFC262083 QUZ262062:QVG262083 QLD262062:QLK262083 QBH262062:QBO262083 PRL262062:PRS262083 PHP262062:PHW262083 OXT262062:OYA262083 ONX262062:OOE262083 OEB262062:OEI262083 NUF262062:NUM262083 NKJ262062:NKQ262083 NAN262062:NAU262083 MQR262062:MQY262083 MGV262062:MHC262083 LWZ262062:LXG262083 LND262062:LNK262083 LDH262062:LDO262083 KTL262062:KTS262083 KJP262062:KJW262083 JZT262062:KAA262083 JPX262062:JQE262083 JGB262062:JGI262083 IWF262062:IWM262083 IMJ262062:IMQ262083 ICN262062:ICU262083 HSR262062:HSY262083 HIV262062:HJC262083 GYZ262062:GZG262083 GPD262062:GPK262083 GFH262062:GFO262083 FVL262062:FVS262083 FLP262062:FLW262083 FBT262062:FCA262083 ERX262062:ESE262083 EIB262062:EII262083 DYF262062:DYM262083 DOJ262062:DOQ262083 DEN262062:DEU262083 CUR262062:CUY262083 CKV262062:CLC262083 CAZ262062:CBG262083 BRD262062:BRK262083 BHH262062:BHO262083 AXL262062:AXS262083 ANP262062:ANW262083 ADT262062:AEA262083 TX262062:UE262083 KB262062:KI262083 X262062:AE262083 WWN196526:WWU196547 WMR196526:WMY196547 WCV196526:WDC196547 VSZ196526:VTG196547 VJD196526:VJK196547 UZH196526:UZO196547 UPL196526:UPS196547 UFP196526:UFW196547 TVT196526:TWA196547 TLX196526:TME196547 TCB196526:TCI196547 SSF196526:SSM196547 SIJ196526:SIQ196547 RYN196526:RYU196547 ROR196526:ROY196547 REV196526:RFC196547 QUZ196526:QVG196547 QLD196526:QLK196547 QBH196526:QBO196547 PRL196526:PRS196547 PHP196526:PHW196547 OXT196526:OYA196547 ONX196526:OOE196547 OEB196526:OEI196547 NUF196526:NUM196547 NKJ196526:NKQ196547 NAN196526:NAU196547 MQR196526:MQY196547 MGV196526:MHC196547 LWZ196526:LXG196547 LND196526:LNK196547 LDH196526:LDO196547 KTL196526:KTS196547 KJP196526:KJW196547 JZT196526:KAA196547 JPX196526:JQE196547 JGB196526:JGI196547 IWF196526:IWM196547 IMJ196526:IMQ196547 ICN196526:ICU196547 HSR196526:HSY196547 HIV196526:HJC196547 GYZ196526:GZG196547 GPD196526:GPK196547 GFH196526:GFO196547 FVL196526:FVS196547 FLP196526:FLW196547 FBT196526:FCA196547 ERX196526:ESE196547 EIB196526:EII196547 DYF196526:DYM196547 DOJ196526:DOQ196547 DEN196526:DEU196547 CUR196526:CUY196547 CKV196526:CLC196547 CAZ196526:CBG196547 BRD196526:BRK196547 BHH196526:BHO196547 AXL196526:AXS196547 ANP196526:ANW196547 ADT196526:AEA196547 TX196526:UE196547 KB196526:KI196547 X196526:AE196547 WWN130990:WWU131011 WMR130990:WMY131011 WCV130990:WDC131011 VSZ130990:VTG131011 VJD130990:VJK131011 UZH130990:UZO131011 UPL130990:UPS131011 UFP130990:UFW131011 TVT130990:TWA131011 TLX130990:TME131011 TCB130990:TCI131011 SSF130990:SSM131011 SIJ130990:SIQ131011 RYN130990:RYU131011 ROR130990:ROY131011 REV130990:RFC131011 QUZ130990:QVG131011 QLD130990:QLK131011 QBH130990:QBO131011 PRL130990:PRS131011 PHP130990:PHW131011 OXT130990:OYA131011 ONX130990:OOE131011 OEB130990:OEI131011 NUF130990:NUM131011 NKJ130990:NKQ131011 NAN130990:NAU131011 MQR130990:MQY131011 MGV130990:MHC131011 LWZ130990:LXG131011 LND130990:LNK131011 LDH130990:LDO131011 KTL130990:KTS131011 KJP130990:KJW131011 JZT130990:KAA131011 JPX130990:JQE131011 JGB130990:JGI131011 IWF130990:IWM131011 IMJ130990:IMQ131011 ICN130990:ICU131011 HSR130990:HSY131011 HIV130990:HJC131011 GYZ130990:GZG131011 GPD130990:GPK131011 GFH130990:GFO131011 FVL130990:FVS131011 FLP130990:FLW131011 FBT130990:FCA131011 ERX130990:ESE131011 EIB130990:EII131011 DYF130990:DYM131011 DOJ130990:DOQ131011 DEN130990:DEU131011 CUR130990:CUY131011 CKV130990:CLC131011 CAZ130990:CBG131011 BRD130990:BRK131011 BHH130990:BHO131011 AXL130990:AXS131011 ANP130990:ANW131011 ADT130990:AEA131011 TX130990:UE131011 KB130990:KI131011 X130990:AE131011 WWN65454:WWU65475 WMR65454:WMY65475 WCV65454:WDC65475 VSZ65454:VTG65475 VJD65454:VJK65475 UZH65454:UZO65475 UPL65454:UPS65475 UFP65454:UFW65475 TVT65454:TWA65475 TLX65454:TME65475 TCB65454:TCI65475 SSF65454:SSM65475 SIJ65454:SIQ65475 RYN65454:RYU65475 ROR65454:ROY65475 REV65454:RFC65475 QUZ65454:QVG65475 QLD65454:QLK65475 QBH65454:QBO65475 PRL65454:PRS65475 PHP65454:PHW65475 OXT65454:OYA65475 ONX65454:OOE65475 OEB65454:OEI65475 NUF65454:NUM65475 NKJ65454:NKQ65475 NAN65454:NAU65475 MQR65454:MQY65475 MGV65454:MHC65475 LWZ65454:LXG65475 LND65454:LNK65475 LDH65454:LDO65475 KTL65454:KTS65475 KJP65454:KJW65475 JZT65454:KAA65475 JPX65454:JQE65475 JGB65454:JGI65475 IWF65454:IWM65475 IMJ65454:IMQ65475 ICN65454:ICU65475 HSR65454:HSY65475 HIV65454:HJC65475 GYZ65454:GZG65475 GPD65454:GPK65475 GFH65454:GFO65475 FVL65454:FVS65475 FLP65454:FLW65475 FBT65454:FCA65475 ERX65454:ESE65475 EIB65454:EII65475 DYF65454:DYM65475 DOJ65454:DOQ65475 DEN65454:DEU65475 CUR65454:CUY65475 CKV65454:CLC65475 CAZ65454:CBG65475 BRD65454:BRK65475 BHH65454:BHO65475 AXL65454:AXS65475 ANP65454:ANW65475 ADT65454:AEA65475 TX65454:UE65475 KB65454:KI65475 X65454:AE65475" xr:uid="{CCAD837C-C618-4984-8462-32A1962C4B95}">
      <formula1>#REF!</formula1>
    </dataValidation>
  </dataValidations>
  <pageMargins left="0.7" right="0.7" top="0.75" bottom="0.75" header="0.3" footer="0.3"/>
  <pageSetup paperSize="9" scale="37" fitToHeight="0" orientation="portrait" r:id="rId1"/>
  <drawing r:id="rId2"/>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ワークシート</vt:lpstr>
      </vt:variant>
      <vt:variant>
        <vt:i4>5</vt:i4>
      </vt:variant>
      <vt:variant>
        <vt:lpstr>名前付き一覧</vt:lpstr>
      </vt:variant>
      <vt:variant>
        <vt:i4>4</vt:i4>
      </vt:variant>
    </vt:vector>
  </HeadingPairs>
  <TitlesOfParts>
    <vt:vector size="9" baseType="lpstr">
      <vt:lpstr>表紙</vt:lpstr>
      <vt:lpstr>変更来歴</vt:lpstr>
      <vt:lpstr>化学物質データ画面(日英併記)</vt:lpstr>
      <vt:lpstr>画面項目</vt:lpstr>
      <vt:lpstr>処理詳細</vt:lpstr>
      <vt:lpstr>'化学物質データ画面(日英併記)'!Print_Area</vt:lpstr>
      <vt:lpstr>画面項目!Print_Area</vt:lpstr>
      <vt:lpstr>処理詳細!Print_Area</vt:lpstr>
      <vt:lpstr>表紙!Print_Area</vt:lpstr>
    </vt:vector>
  </TitlesOfParts>
  <Company>Toshiba</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kenmotsu</dc:creator>
  <cp:lastModifiedBy>アクティビティ アメージング</cp:lastModifiedBy>
  <cp:lastPrinted>2021-03-22T08:18:14Z</cp:lastPrinted>
  <dcterms:created xsi:type="dcterms:W3CDTF">2016-02-08T08:47:20Z</dcterms:created>
  <dcterms:modified xsi:type="dcterms:W3CDTF">2026-05-13T03:02:37Z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WorkbookGuid">
    <vt:lpwstr>a0e77a3f-1e47-464d-ae6f-7268240382e6</vt:lpwstr>
  </property>
</Properties>
</file>