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36EA7E5E-F3F7-4979-AE12-80F536B84BE6}" xr6:coauthVersionLast="47" xr6:coauthVersionMax="47" xr10:uidLastSave="{00000000-0000-0000-0000-000000000000}"/>
  <bookViews>
    <workbookView xWindow="32220" yWindow="3420" windowWidth="16245" windowHeight="10095"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'化学物質データ画面(日英併記)'!$A$1:$BC$56</definedName>
    <definedName name="_xlnm.Print_Area" localSheetId="3">画面項目!$A$1:$CA$28</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N2" i="73"/>
  <c r="AV3" i="73"/>
  <c r="AV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<sst xmlns="http://schemas.openxmlformats.org/spreadsheetml/2006/main" count="310" uniqueCount="244">
  <si>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</si>
  <si>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</si>
  <si>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</si>
  <si>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</si>
  <si>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</si>
  <si>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</si>
  <si>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</si>
  <si>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</si>
  <si>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</si>
  <si>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</si>
  <si>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</si>
  <si>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</si>
  <si>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</si>
  <si>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</si>
  <si>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</si>
  <si>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</si>
  <si>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</si>
  <si>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</si>
  <si>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</si>
  <si>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</si>
  <si>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</si>
  <si>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</si>
  <si>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</si>
  <si>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</si>
  <si>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</si>
  <si>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</si>
  <si>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</si>
  <si>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</si>
  <si>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</si>
  <si>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</si>
  <si>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</si>
  <si>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</si>
  <si>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</si>
  <si>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</si>
  <si>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</si>
  <si>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</si>
  <si>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</si>
  <si>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</si>
  <si>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</si>
  <si>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</si>
  <si>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</si>
  <si>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</si>
  <si>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</si>
  <si>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</si>
  <si>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</si>
  <si>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</si>
  <si>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</si>
  <si>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4．申請ドキュメントCSV(イメージ)</t>
  </si>
  <si>
    <t>4.6 申請された証明書</t>
    <rPh sb="4" eb="6">
      <t>シンセイ</t>
    </rPh>
    <rPh sb="9" eb="12">
      <t>ショウメイショ</t>
    </rPh>
    <phoneticPr fontId="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</si>
  <si>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</si>
  <si>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</si>
  <si>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</si>
  <si>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</si>
  <si>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</si>
  <si>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</si>
  <si>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</si>
  <si>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</si>
  <si>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</si>
  <si>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</si>
  <si>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</si>
  <si>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</si>
  <si>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</si>
  <si>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</si>
  <si>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</si>
  <si>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</si>
  <si>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</si>
  <si>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</si>
  <si>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</si>
  <si>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</si>
  <si>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</si>
  <si>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</si>
  <si>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</si>
  <si>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</si>
  <si>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</si>
  <si>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</si>
  <si>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</si>
  <si>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</si>
  <si>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</si>
  <si>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</si>
  <si>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</si>
  <si>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</si>
  <si>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</si>
  <si>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</si>
  <si>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</si>
  <si>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</si>
  <si>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</si>
  <si>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</si>
  <si>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</si>
  <si>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</si>
  <si>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</si>
  <si>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</si>
  <si>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</si>
  <si>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</si>
  <si>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</si>
  <si>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</si>
  <si>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</si>
  <si>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</si>
  <si>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</si>
  <si>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</si>
  <si>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</si>
  <si>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</si>
  <si>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</si>
  <si>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</si>
  <si>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</si>
  <si>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</si>
  <si>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</si>
  <si>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</si>
  <si>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</si>
  <si>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</si>
  <si>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</si>
  <si>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</si>
  <si>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</si>
  <si>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</si>
  <si>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</si>
  <si>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</si>
  <si>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</si>
  <si>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</si>
  <si>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</si>
  <si>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</si>
  <si>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</si>
  <si>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</si>
  <si>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</si>
  <si>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</si>
  <si>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</si>
  <si>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</si>
  <si>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</si>
  <si>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</si>
  <si>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</si>
  <si>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</si>
  <si>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</si>
  <si>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</si>
  <si>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</si>
  <si>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</si>
  <si>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</si>
  <si>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</si>
  <si>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</si>
  <si>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</si>
  <si>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</si>
  <si>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</si>
  <si>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</si>
  <si>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</si>
  <si>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</si>
  <si>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</si>
  <si>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</si>
  <si>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</si>
  <si>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</si>
  <si>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</si>
  <si>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</si>
  <si>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</si>
  <si>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</si>
  <si>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</si>
  <si>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</si>
  <si>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</si>
  <si>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</si>
  <si>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</si>
  <si>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</si>
  <si>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</si>
  <si>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</si>
  <si>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</si>
  <si>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</si>
  <si>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</si>
  <si>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</si>
  <si>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</si>
  <si>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</si>
  <si>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</si>
  <si>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</si>
  <si>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</si>
  <si>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</si>
  <si>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</si>
  <si>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</si>
  <si>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化学物質データ / Chemical substance data</t>
    <rPh sb="0" eb="2">
      <t>カガク</t>
    </rPh>
    <rPh sb="2" eb="4">
      <t>ブッシツ</t>
    </rPh>
    <phoneticPr fontId="53"/>
  </si>
  <si>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</si>
  <si>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1.　画面初期表示</t>
    <rPh sb="3" eb="9">
      <t>ガメンショキヒョウジ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</si>
  <si>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</si>
  <si>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</si>
  <si>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</si>
  <si>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</si>
  <si>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</si>
  <si>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</si>
  <si>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</si>
  <si>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機能仕様</t>
    <rPh sb="0" eb="4">
      <t>キノウシヨウ</t>
    </rPh>
    <phoneticPr fontId="11"/>
  </si>
  <si>
    <t>テーブル</t>
    <phoneticPr fontId="55"/>
  </si>
  <si>
    <t>新環境証明証システム移行</t>
    <rPh sb="0" eb="3">
      <t>シンカンキョウ</t>
    </rPh>
    <rPh sb="3" eb="6">
      <t>ショウメイショウ</t>
    </rPh>
    <rPh sb="10" eb="12">
      <t>イコウ</t>
    </rPh>
    <phoneticPr fontId="49"/>
  </si>
  <si>
    <t>化学物質の申請履歴情報の取得</t>
    <rPh sb="12" eb="14">
      <t>シュトク</t>
    </rPh>
    <phoneticPr fontId="55"/>
  </si>
  <si>
    <t>3.　申請書ダウンロード</t>
    <rPh sb="3" eb="6">
      <t>シンセイショ</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</si>
  <si>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</si>
  <si>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</si>
  <si>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</si>
  <si>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</si>
  <si>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</si>
  <si>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</si>
  <si>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</si>
  <si>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t>processing/処理中
unprocessed/未処理</t>
    <rPh sb="11" eb="14">
      <t>ショリチュウ</t>
    </rPh>
    <rPh sb="27" eb="30">
      <t>ミショリ</t>
    </rPh>
    <phoneticPr fontId="53"/>
  </si>
  <si>
    <t>2.3</t>
    <phoneticPr fontId="53"/>
  </si>
  <si>
    <t>2.4</t>
    <phoneticPr fontId="53"/>
  </si>
  <si>
    <t>詳細は「SERP100_帳票定義書_環境証明書申請内容.xlsx」に記載されているので、</t>
    <phoneticPr fontId="53"/>
  </si>
  <si>
    <t>該当ファイルを参照</t>
    <phoneticPr fontId="53"/>
  </si>
  <si>
    <t>既存項目の「AIS」は本改修で削除</t>
    <rPh sb="0" eb="4">
      <t>キソンコウモク</t>
    </rPh>
    <rPh sb="11" eb="14">
      <t>ホンカイシュウ</t>
    </rPh>
    <rPh sb="15" eb="17">
      <t>サクジョ</t>
    </rPh>
    <phoneticPr fontId="53"/>
  </si>
  <si>
    <t>0</t>
    <phoneticPr fontId="53"/>
  </si>
  <si>
    <t>共通ヘッダー</t>
    <rPh sb="0" eb="2">
      <t>キョウツウ</t>
    </rPh>
    <phoneticPr fontId="53"/>
  </si>
  <si>
    <t>0.1</t>
    <phoneticPr fontId="53"/>
  </si>
  <si>
    <t>ヒロセ電機ロゴ</t>
    <rPh sb="3" eb="5">
      <t>デンキ</t>
    </rPh>
    <phoneticPr fontId="53"/>
  </si>
  <si>
    <t>CL</t>
    <phoneticPr fontId="55"/>
  </si>
  <si>
    <t>「化学物質データ画面(日英併記)」シート、「画面項目シート」</t>
    <rPh sb="22" eb="26">
      <t>ガメンコウモク</t>
    </rPh>
    <phoneticPr fontId="49"/>
  </si>
  <si>
    <t>レビュー指摘により以下を修正
・共通ヘッダーを追加
・出力されるCSVの項目名を日英併記に変更
・お知らせ登録画面へ遷移するボタンを削除</t>
    <rPh sb="4" eb="6">
      <t>シテキ</t>
    </rPh>
    <rPh sb="9" eb="11">
      <t>イカ</t>
    </rPh>
    <rPh sb="12" eb="14">
      <t>シュウセイ</t>
    </rPh>
    <rPh sb="16" eb="18">
      <t>キョウツウ</t>
    </rPh>
    <rPh sb="23" eb="25">
      <t>ツイカ</t>
    </rPh>
    <rPh sb="27" eb="29">
      <t>シュツリョク</t>
    </rPh>
    <rPh sb="36" eb="39">
      <t>コウモクメイ</t>
    </rPh>
    <rPh sb="40" eb="44">
      <t>ニチエイヘイキ</t>
    </rPh>
    <rPh sb="45" eb="47">
      <t>ヘンコウ</t>
    </rPh>
    <rPh sb="50" eb="51">
      <t>シ</t>
    </rPh>
    <rPh sb="53" eb="57">
      <t>トウロクガメン</t>
    </rPh>
    <rPh sb="58" eb="60">
      <t>センイ</t>
    </rPh>
    <rPh sb="66" eb="68">
      <t>サクジョ</t>
    </rPh>
    <phoneticPr fontId="49"/>
  </si>
  <si>
    <t>dr1.0</t>
  </si>
  <si>
    <t>dr1.1</t>
  </si>
  <si>
    <t>dr1.2</t>
  </si>
  <si>
    <t>dr1.3</t>
  </si>
  <si>
    <t>dr1.4</t>
    <phoneticPr fontId="49"/>
  </si>
  <si>
    <t>製品製品名
/Product name</t>
    <rPh sb="0" eb="2">
      <t>セイヒン</t>
    </rPh>
    <rPh sb="2" eb="4">
      <t>セイヒン</t>
    </rPh>
    <phoneticPr fontId="55"/>
  </si>
  <si>
    <t>新製品区分/New Product Class</t>
    <rPh sb="0" eb="3">
      <t>シンセイヒン</t>
    </rPh>
    <rPh sb="3" eb="5">
      <t>クブン</t>
    </rPh>
    <phoneticPr fontId="55"/>
  </si>
  <si>
    <t>製品販売状況/Product Sales Status</t>
    <rPh sb="0" eb="2">
      <t>セイヒン</t>
    </rPh>
    <rPh sb="2" eb="4">
      <t>ハンバイ</t>
    </rPh>
    <rPh sb="4" eb="6">
      <t>ジョウキョウ</t>
    </rPh>
    <phoneticPr fontId="55"/>
  </si>
  <si>
    <t>PCN番号/PCN No</t>
    <rPh sb="3" eb="5">
      <t>バンゴウ</t>
    </rPh>
    <phoneticPr fontId="55"/>
  </si>
  <si>
    <t>RoHS適合証明書/RoHS Certificate</t>
    <rPh sb="4" eb="6">
      <t>テキゴウ</t>
    </rPh>
    <rPh sb="6" eb="9">
      <t>ショウメイショ</t>
    </rPh>
    <phoneticPr fontId="55"/>
  </si>
  <si>
    <t>ハロゲンフリー証明書/Certificate of Halogen Free</t>
    <phoneticPr fontId="55"/>
  </si>
  <si>
    <t>成分表/Product Chemical Substances Table</t>
    <phoneticPr fontId="55"/>
  </si>
  <si>
    <t>高精度分析データ(ICP)/Analysis Data(ICP)</t>
    <phoneticPr fontId="55"/>
  </si>
  <si>
    <t>SVHC調査報告書/Report of SVHC</t>
    <rPh sb="4" eb="9">
      <t>チョウサホウコクショ</t>
    </rPh>
    <phoneticPr fontId="55"/>
  </si>
  <si>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3"/>
  </si>
  <si>
    <t>変更内容</t>
    <rPh sb="0" eb="4">
      <t>ヘンコウナイヨウ</t>
    </rPh>
    <phoneticPr fontId="11"/>
  </si>
  <si>
    <t>「化学物質データ画面(日英併記)」、「化学物質データ画面(日英切替)」</t>
    <rPh sb="31" eb="33">
      <t>キリカエ</t>
    </rPh>
    <phoneticPr fontId="49"/>
  </si>
  <si>
    <t>・「化学物質データ画面(日英併記)」、「化学物質データ画面(日英切替)」シートを追加、「化学物質データ画面(日本語)」シートを削除
・データ画面を日英併記と日英切替の2種類を作成</t>
    <rPh sb="32" eb="34">
      <t>キリカエ</t>
    </rPh>
    <rPh sb="40" eb="42">
      <t>ツイカ</t>
    </rPh>
    <rPh sb="54" eb="57">
      <t>ニホンゴ</t>
    </rPh>
    <rPh sb="63" eb="65">
      <t>サクジョ</t>
    </rPh>
    <phoneticPr fontId="49"/>
  </si>
  <si>
    <t>「画面状態」シート、「化学物質データ画面(日英切替)」</t>
    <rPh sb="1" eb="5">
      <t>ガメンジョウタイ</t>
    </rPh>
    <phoneticPr fontId="49"/>
  </si>
  <si>
    <t>お知らせテーブル 更新日</t>
    <rPh sb="1" eb="2">
      <t>シ</t>
    </rPh>
    <rPh sb="9" eb="12">
      <t>コウシンビ</t>
    </rPh>
    <phoneticPr fontId="53"/>
  </si>
  <si>
    <t>お知らせテーブル お知らせ本文（日本語・HTML）/お知らせ本文（英語・HTML）</t>
    <rPh sb="1" eb="2">
      <t>シ</t>
    </rPh>
    <rPh sb="10" eb="11">
      <t>シ</t>
    </rPh>
    <rPh sb="13" eb="15">
      <t>ホンブン</t>
    </rPh>
    <rPh sb="16" eb="19">
      <t>ニホンゴ</t>
    </rPh>
    <rPh sb="27" eb="28">
      <t>シ</t>
    </rPh>
    <rPh sb="30" eb="32">
      <t>ホンブン</t>
    </rPh>
    <rPh sb="33" eb="35">
      <t>エイゴ</t>
    </rPh>
    <phoneticPr fontId="53"/>
  </si>
  <si>
    <t>申請テーブル</t>
    <rPh sb="0" eb="2">
      <t>シンセイ</t>
    </rPh>
    <phoneticPr fontId="53"/>
  </si>
  <si>
    <t>申請 受付番号</t>
    <rPh sb="0" eb="2">
      <t>シンセイ</t>
    </rPh>
    <rPh sb="3" eb="7">
      <t>ウケツケバンゴウ</t>
    </rPh>
    <phoneticPr fontId="53"/>
  </si>
  <si>
    <t>申請 エンドユーザ</t>
    <rPh sb="0" eb="2">
      <t>シンセイ</t>
    </rPh>
    <phoneticPr fontId="53"/>
  </si>
  <si>
    <t>申請 申請日時</t>
    <rPh sb="0" eb="2">
      <t>シンセイ</t>
    </rPh>
    <rPh sb="3" eb="5">
      <t>シンセイ</t>
    </rPh>
    <rPh sb="5" eb="7">
      <t>ニチジ</t>
    </rPh>
    <phoneticPr fontId="53"/>
  </si>
  <si>
    <t>申請 企業名</t>
    <rPh sb="0" eb="2">
      <t>シンセイ</t>
    </rPh>
    <rPh sb="3" eb="5">
      <t>キギョウ</t>
    </rPh>
    <rPh sb="5" eb="6">
      <t>メイ</t>
    </rPh>
    <phoneticPr fontId="53"/>
  </si>
  <si>
    <t>申請 回答制御ファイル記載のファイルサイズ(バイト単位)</t>
    <rPh sb="0" eb="2">
      <t>シンセイ</t>
    </rPh>
    <rPh sb="3" eb="7">
      <t>カイトウセイギョ</t>
    </rPh>
    <rPh sb="11" eb="13">
      <t>キサイ</t>
    </rPh>
    <rPh sb="25" eb="27">
      <t>タンイ</t>
    </rPh>
    <phoneticPr fontId="53"/>
  </si>
  <si>
    <t>申請 ステータス</t>
    <rPh sb="0" eb="2">
      <t>シンセイ</t>
    </rPh>
    <phoneticPr fontId="53"/>
  </si>
  <si>
    <r>
      <t>導出元：ChemicalSubstanceStatus(processing/processed/unprocessed)
[申請 ステータス ==</t>
    </r>
    <r>
      <rPr>
        <sz val="10"/>
        <color theme="1"/>
        <rFont val="Meiryo UI"/>
        <family val="3"/>
        <charset val="128"/>
      </rPr>
      <t>"processed"</t>
    </r>
    <r>
      <rPr>
        <sz val="10"/>
        <rFont val="Meiryo UI"/>
        <family val="3"/>
        <charset val="128"/>
      </rPr>
      <t>]
　[現在日時 &lt; HrsChemicalSubstance.expDate]
　　　　　　　　　　　が表示され、クリックすることでファイルをダウンロード可能。
　[現在日時 &gt;= HrsChemicalSubstance.expDate]
    「有効期限切れ」を表示する
[申請 ステータス == "processing"]
    「処理中」を表示する
[申請 ステータス＝"unprocessed"]
    「未処理」を表示する</t>
    </r>
    <rPh sb="139" eb="141">
      <t>ヒョウジ</t>
    </rPh>
    <rPh sb="164" eb="166">
      <t>カノウ</t>
    </rPh>
    <rPh sb="214" eb="216">
      <t>ユウコウ</t>
    </rPh>
    <rPh sb="216" eb="218">
      <t>キゲン</t>
    </rPh>
    <rPh sb="218" eb="219">
      <t>ギ</t>
    </rPh>
    <rPh sb="222" eb="224">
      <t>ヒョウジ</t>
    </rPh>
    <rPh sb="259" eb="262">
      <t>ショリチュウ</t>
    </rPh>
    <rPh sb="299" eb="302">
      <t>ミショリ</t>
    </rPh>
    <phoneticPr fontId="55"/>
  </si>
  <si>
    <t>検索結果が一覧表示される。1ページの上限は100件。    
受付が最新のものが最上位（日付降順）   
暦年-シーケンス番号</t>
    <phoneticPr fontId="55"/>
  </si>
  <si>
    <t>・CSVの項目名の日英を改行から/区切りの1行に変更
・HRSロゴとパンくずリストのリンクを押下した際の遷移先を修正
・テーブル情報変更に伴い修正</t>
    <rPh sb="5" eb="8">
      <t>コウモクメイ</t>
    </rPh>
    <rPh sb="9" eb="11">
      <t>ニチエイ</t>
    </rPh>
    <rPh sb="12" eb="14">
      <t>カイギョウ</t>
    </rPh>
    <rPh sb="17" eb="19">
      <t>クギ</t>
    </rPh>
    <rPh sb="22" eb="23">
      <t>ギョウ</t>
    </rPh>
    <rPh sb="24" eb="26">
      <t>ヘンコウ</t>
    </rPh>
    <rPh sb="64" eb="66">
      <t>ジョウホウ</t>
    </rPh>
    <rPh sb="66" eb="68">
      <t>ヘンコウ</t>
    </rPh>
    <rPh sb="69" eb="70">
      <t>トモナ</t>
    </rPh>
    <rPh sb="71" eb="73">
      <t>シュウセイ</t>
    </rPh>
    <phoneticPr fontId="49"/>
  </si>
  <si>
    <t>新環境証明書システム</t>
    <rPh sb="0" eb="6">
      <t>シンカンキョウショウメイショ</t>
    </rPh>
    <phoneticPr fontId="12"/>
  </si>
  <si>
    <t>申請テーブルから以下条件でデータを取得して画面「検索結果表示」エリアに表示する</t>
    <rPh sb="8" eb="10">
      <t>イカ</t>
    </rPh>
    <rPh sb="10" eb="12">
      <t>ジョウケン</t>
    </rPh>
    <rPh sb="17" eb="19">
      <t>シュトク</t>
    </rPh>
    <rPh sb="21" eb="23">
      <t>ガメン</t>
    </rPh>
    <rPh sb="24" eb="26">
      <t>ケンサク</t>
    </rPh>
    <rPh sb="26" eb="28">
      <t>ケッカ</t>
    </rPh>
    <rPh sb="28" eb="30">
      <t>ヒョウジ</t>
    </rPh>
    <rPh sb="35" eb="37">
      <t>ヒョウジ</t>
    </rPh>
    <phoneticPr fontId="53"/>
  </si>
  <si>
    <t>申請テーブル、証明書申請入力</t>
    <rPh sb="7" eb="10">
      <t>ショウメイショ</t>
    </rPh>
    <rPh sb="10" eb="12">
      <t>シンセイ</t>
    </rPh>
    <rPh sb="12" eb="14">
      <t>ニュウリョク</t>
    </rPh>
    <phoneticPr fontId="55"/>
  </si>
  <si>
    <t>申請テーブル 受付番号=検索結果対象明細.申請番号</t>
    <rPh sb="7" eb="11">
      <t>ウケツケバンゴウ</t>
    </rPh>
    <rPh sb="12" eb="14">
      <t>ケンサク</t>
    </rPh>
    <rPh sb="14" eb="16">
      <t>ケッカ</t>
    </rPh>
    <rPh sb="16" eb="18">
      <t>タイショウ</t>
    </rPh>
    <rPh sb="18" eb="20">
      <t>メイサイ</t>
    </rPh>
    <rPh sb="21" eb="23">
      <t>シンセイ</t>
    </rPh>
    <rPh sb="23" eb="25">
      <t>バンゴウ</t>
    </rPh>
    <phoneticPr fontId="55"/>
  </si>
  <si>
    <t>申請者アカウントID</t>
    <rPh sb="0" eb="3">
      <t>シンセイシャ</t>
    </rPh>
    <phoneticPr fontId="55"/>
  </si>
  <si>
    <t>ホーム画面: ホーム (リンクなし)</t>
    <phoneticPr fontId="53"/>
  </si>
  <si>
    <t>dr1.5</t>
    <phoneticPr fontId="49"/>
  </si>
  <si>
    <t>課題リストの回答をもとに修正</t>
    <rPh sb="0" eb="2">
      <t>カダイ</t>
    </rPh>
    <rPh sb="6" eb="8">
      <t>カイトウ</t>
    </rPh>
    <rPh sb="12" eb="14">
      <t>シュウセイ</t>
    </rPh>
    <phoneticPr fontId="4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</si>
</sst>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67">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
      <left style="thin">
        <color theme="0" tint="-0.34998626667073579"/>
      </left>
      <right/>
      <top/>
      <bottom/>
      <diagonal/>
    </border>
    <border>
      <left/>
      <right style="thin">
        <color theme="0" tint="-0.34998626667073579"/>
      </right>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37">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8"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1"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81" fillId="14" borderId="58" xfId="0" applyFont="1" applyFill="1" applyBorder="1">
      <alignment vertical="center"/>
    </xf>
    <xf numFmtId="0" fontId="57" fillId="14" borderId="59" xfId="0" applyFont="1" applyFill="1" applyBorder="1">
      <alignment vertical="center"/>
    </xf>
    <xf numFmtId="0" fontId="65" fillId="23" borderId="59" xfId="0" applyFont="1" applyFill="1" applyBorder="1" applyAlignment="1">
      <alignment horizontal="left" vertical="center"/>
    </xf>
    <xf numFmtId="0" fontId="76" fillId="14" borderId="59" xfId="0" applyFont="1" applyFill="1" applyBorder="1">
      <alignment vertical="center"/>
    </xf>
    <xf numFmtId="0" fontId="57" fillId="14" borderId="60" xfId="0" applyFont="1" applyFill="1" applyBorder="1">
      <alignment vertical="center"/>
    </xf>
    <xf numFmtId="0" fontId="65" fillId="0" borderId="6" xfId="0" applyFont="1" applyBorder="1">
      <alignment vertical="center"/>
    </xf>
    <xf numFmtId="0" fontId="57" fillId="14" borderId="11"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62" xfId="0" applyFont="1" applyFill="1" applyBorder="1">
      <alignment vertical="center"/>
    </xf>
    <xf numFmtId="0" fontId="57" fillId="14" borderId="62" xfId="0" applyFont="1" applyFill="1" applyBorder="1">
      <alignment vertical="center"/>
    </xf>
    <xf numFmtId="0" fontId="57" fillId="14" borderId="63"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61" xfId="0" applyFont="1" applyFill="1" applyBorder="1">
      <alignment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1" fillId="0" borderId="3" xfId="0" applyNumberFormat="1" applyFont="1" applyBorder="1" applyAlignment="1">
      <alignment horizontal="center" vertical="center"/>
    </xf>
    <xf numFmtId="0" fontId="51" fillId="0" borderId="3"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51" fillId="0" borderId="22" xfId="0" applyFont="1" applyBorder="1" applyAlignment="1">
      <alignment horizontal="center"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68" fillId="25" borderId="22" xfId="184" applyFont="1" applyFill="1" applyBorder="1" applyAlignment="1">
      <alignment horizontal="center" vertical="center"/>
    </xf>
    <xf numFmtId="0" fontId="60" fillId="0" borderId="32" xfId="0" applyFont="1" applyBorder="1" applyAlignment="1">
      <alignment horizontal="center" vertical="center" wrapText="1"/>
    </xf>
    <xf numFmtId="0" fontId="60" fillId="0" borderId="32" xfId="0" quotePrefix="1" applyFont="1" applyBorder="1" applyAlignment="1">
      <alignment horizontal="center" vertical="center" wrapText="1"/>
    </xf>
    <xf numFmtId="0" fontId="60" fillId="21" borderId="33" xfId="0" applyFont="1" applyFill="1" applyBorder="1" applyAlignment="1">
      <alignment horizontal="left" vertical="center" wrapText="1"/>
    </xf>
    <xf numFmtId="0" fontId="60" fillId="21" borderId="34" xfId="0" applyFont="1" applyFill="1" applyBorder="1" applyAlignment="1">
      <alignment horizontal="left" vertical="center" wrapText="1"/>
    </xf>
    <xf numFmtId="0" fontId="60" fillId="21" borderId="35" xfId="0" applyFont="1" applyFill="1" applyBorder="1" applyAlignment="1">
      <alignment horizontal="left" vertical="center" wrapText="1"/>
    </xf>
    <xf numFmtId="0" fontId="60" fillId="21" borderId="65" xfId="0" applyFont="1" applyFill="1" applyBorder="1" applyAlignment="1">
      <alignment horizontal="left" vertical="center" wrapText="1"/>
    </xf>
    <xf numFmtId="0" fontId="60" fillId="21" borderId="0" xfId="0" applyFont="1" applyFill="1" applyAlignment="1">
      <alignment horizontal="left" vertical="center" wrapText="1"/>
    </xf>
    <xf numFmtId="0" fontId="60" fillId="21" borderId="66" xfId="0" applyFont="1" applyFill="1" applyBorder="1" applyAlignment="1">
      <alignment horizontal="left" vertical="center" wrapText="1"/>
    </xf>
    <xf numFmtId="0" fontId="60" fillId="21" borderId="36" xfId="0" applyFont="1" applyFill="1" applyBorder="1" applyAlignment="1">
      <alignment horizontal="left" vertical="center" wrapText="1"/>
    </xf>
    <xf numFmtId="0" fontId="60" fillId="21" borderId="37" xfId="0" applyFont="1" applyFill="1" applyBorder="1" applyAlignment="1">
      <alignment horizontal="left" vertical="center" wrapText="1"/>
    </xf>
    <xf numFmtId="0" fontId="60" fillId="21" borderId="38" xfId="0" applyFont="1" applyFill="1" applyBorder="1" applyAlignment="1">
      <alignment horizontal="left" vertical="center" wrapText="1"/>
    </xf>
    <xf numFmtId="17" fontId="60" fillId="0" borderId="32" xfId="0" quotePrefix="1" applyNumberFormat="1" applyFont="1" applyBorder="1" applyAlignment="1">
      <alignment horizontal="center" vertical="center" wrapText="1"/>
    </xf>
    <xf numFmtId="0" fontId="60" fillId="21" borderId="32" xfId="0" applyFont="1" applyFill="1" applyBorder="1" applyAlignment="1">
      <alignment horizontal="left" vertical="center" wrapText="1"/>
    </xf>
    <xf numFmtId="0" fontId="20" fillId="0" borderId="3" xfId="48" applyFont="1" applyBorder="1" applyAlignment="1">
      <alignment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2" xfId="0" applyFont="1" applyFill="1" applyBorder="1" applyAlignment="1">
      <alignment horizontal="center" vertical="center" wrapText="1"/>
    </xf>
    <xf numFmtId="0" fontId="69" fillId="22" borderId="53" xfId="0" applyFont="1" applyFill="1" applyBorder="1" applyAlignment="1">
      <alignment horizontal="center" vertical="center"/>
    </xf>
    <xf numFmtId="0" fontId="69" fillId="22" borderId="54" xfId="0" applyFont="1" applyFill="1" applyBorder="1" applyAlignment="1">
      <alignment horizontal="center" vertical="center"/>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2" xfId="161" quotePrefix="1" applyNumberFormat="1" applyFont="1" applyFill="1" applyBorder="1" applyAlignment="1">
      <alignment horizontal="center" vertical="center" wrapText="1"/>
    </xf>
    <xf numFmtId="179" fontId="69" fillId="22" borderId="53" xfId="161" quotePrefix="1" applyNumberFormat="1" applyFont="1" applyFill="1" applyBorder="1" applyAlignment="1">
      <alignment horizontal="center" vertical="center"/>
    </xf>
    <xf numFmtId="179" fontId="69" fillId="22" borderId="54" xfId="161" quotePrefix="1" applyNumberFormat="1" applyFont="1" applyFill="1" applyBorder="1" applyAlignment="1">
      <alignment horizontal="center" vertical="center"/>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0" fontId="69" fillId="22" borderId="52" xfId="161" applyFont="1" applyFill="1" applyBorder="1" applyAlignment="1">
      <alignment horizontal="center" vertical="center" wrapText="1"/>
    </xf>
    <xf numFmtId="0" fontId="69" fillId="22" borderId="53" xfId="161" applyFont="1" applyFill="1" applyBorder="1" applyAlignment="1">
      <alignment horizontal="center" vertical="center"/>
    </xf>
    <xf numFmtId="0" fontId="69" fillId="22" borderId="54" xfId="161" applyFont="1" applyFill="1" applyBorder="1" applyAlignment="1">
      <alignment horizontal="center" vertical="center"/>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7" fillId="0" borderId="26" xfId="161" quotePrefix="1" applyFont="1" applyBorder="1" applyAlignment="1">
      <alignment horizontal="center" vertical="center"/>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5" xfId="184" applyFont="1" applyBorder="1" applyAlignment="1" applyProtection="1">
      <alignment vertical="center" wrapText="1"/>
      <protection locked="0"/>
    </xf>
    <xf numFmtId="0" fontId="60" fillId="0" borderId="46" xfId="184" applyFont="1" applyBorder="1" applyAlignment="1" applyProtection="1">
      <alignment vertical="center" wrapText="1"/>
      <protection locked="0"/>
    </xf>
    <xf numFmtId="0" fontId="60" fillId="0" borderId="47"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40" xfId="184" applyFont="1" applyBorder="1" applyAlignment="1">
      <alignment horizontal="left" vertical="center" wrapText="1"/>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44"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0" fillId="0" borderId="10" xfId="185" applyFont="1" applyBorder="1" applyAlignment="1">
      <alignment horizontal="left" vertical="center" wrapText="1"/>
    </xf>
    <xf numFmtId="0" fontId="60" fillId="0" borderId="2" xfId="185" applyFont="1" applyBorder="1" applyAlignment="1">
      <alignment horizontal="left" vertical="center" wrapText="1"/>
    </xf>
    <xf numFmtId="0" fontId="60" fillId="0" borderId="17" xfId="185" applyFont="1" applyBorder="1" applyAlignment="1">
      <alignment horizontal="left" vertical="center" wrapText="1"/>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49" xfId="184" applyFont="1" applyBorder="1" applyAlignment="1" applyProtection="1">
      <alignment horizontal="left" vertical="center" wrapText="1"/>
      <protection locked="0"/>
    </xf>
    <xf numFmtId="0" fontId="60" fillId="0" borderId="50" xfId="184" applyFont="1" applyBorder="1" applyAlignment="1" applyProtection="1">
      <alignment horizontal="left" vertical="center" wrapText="1"/>
      <protection locked="0"/>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8" fillId="24" borderId="64" xfId="184" applyFont="1" applyFill="1" applyBorder="1" applyAlignment="1">
      <alignment horizontal="center" vertical="center" wrapText="1"/>
    </xf>
    <xf numFmtId="0" fontId="68" fillId="24" borderId="61" xfId="184" applyFont="1" applyFill="1" applyBorder="1" applyAlignment="1">
      <alignment horizontal="center" vertical="center" wrapText="1"/>
    </xf>
    <xf numFmtId="0" fontId="68" fillId="24" borderId="62" xfId="184" applyFont="1" applyFill="1" applyBorder="1" applyAlignment="1">
      <alignment horizontal="center" vertical="center" wrapText="1"/>
    </xf>
    <xf numFmtId="0" fontId="77" fillId="25" borderId="22"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6" borderId="10"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7" xfId="186" applyFont="1" applyFill="1" applyBorder="1" applyAlignment="1">
      <alignment horizontal="center" vertical="center"/>
    </xf>
    <xf numFmtId="0" fontId="66" fillId="0" borderId="10"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7" xfId="186" applyFont="1" applyBorder="1" applyAlignment="1">
      <alignment horizontal="center" vertical="center" wrapText="1"/>
    </xf>
    <xf numFmtId="0" fontId="66" fillId="0" borderId="10" xfId="186" applyFont="1" applyBorder="1" applyAlignment="1">
      <alignment horizontal="center" vertical="center"/>
    </xf>
    <xf numFmtId="0" fontId="66" fillId="0" borderId="2" xfId="186" applyFont="1" applyBorder="1" applyAlignment="1">
      <alignment horizontal="center" vertical="center"/>
    </xf>
    <xf numFmtId="0" fontId="66" fillId="0" borderId="17" xfId="186"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1">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21</xdr:row>
      <xdr:rowOff>95251</xdr:rowOff>
    </xdr:from>
    <xdr:to>
      <xdr:col>32</xdr:col>
      <xdr:colOff>38100</xdr:colOff>
      <xdr:row>24</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53976</xdr:colOff>
      <xdr:row>31</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57151</xdr:colOff>
      <xdr:row>31</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32</xdr:row>
      <xdr:rowOff>28575</xdr:rowOff>
    </xdr:from>
    <xdr:to>
      <xdr:col>44</xdr:col>
      <xdr:colOff>53975</xdr:colOff>
      <xdr:row>32</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33</xdr:row>
      <xdr:rowOff>28575</xdr:rowOff>
    </xdr:from>
    <xdr:to>
      <xdr:col>44</xdr:col>
      <xdr:colOff>57150</xdr:colOff>
      <xdr:row>33</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32</xdr:row>
      <xdr:rowOff>44450</xdr:rowOff>
    </xdr:from>
    <xdr:to>
      <xdr:col>37</xdr:col>
      <xdr:colOff>177800</xdr:colOff>
      <xdr:row>32</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10</xdr:row>
      <xdr:rowOff>19050</xdr:rowOff>
    </xdr:from>
    <xdr:to>
      <xdr:col>12</xdr:col>
      <xdr:colOff>171451</xdr:colOff>
      <xdr:row>11</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24</xdr:row>
      <xdr:rowOff>38100</xdr:rowOff>
    </xdr:from>
    <xdr:to>
      <xdr:col>7</xdr:col>
      <xdr:colOff>76200</xdr:colOff>
      <xdr:row>25</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27</xdr:row>
      <xdr:rowOff>66675</xdr:rowOff>
    </xdr:from>
    <xdr:to>
      <xdr:col>33</xdr:col>
      <xdr:colOff>141817</xdr:colOff>
      <xdr:row>28</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52950" y="4883150"/>
          <a:ext cx="1564217" cy="1746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25</xdr:row>
      <xdr:rowOff>161925</xdr:rowOff>
    </xdr:from>
    <xdr:to>
      <xdr:col>29</xdr:col>
      <xdr:colOff>0</xdr:colOff>
      <xdr:row>27</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27</xdr:row>
      <xdr:rowOff>76200</xdr:rowOff>
    </xdr:from>
    <xdr:to>
      <xdr:col>10</xdr:col>
      <xdr:colOff>92075</xdr:colOff>
      <xdr:row>28</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28</xdr:row>
      <xdr:rowOff>85725</xdr:rowOff>
    </xdr:from>
    <xdr:to>
      <xdr:col>5</xdr:col>
      <xdr:colOff>177800</xdr:colOff>
      <xdr:row>29</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28</xdr:row>
      <xdr:rowOff>123825</xdr:rowOff>
    </xdr:from>
    <xdr:to>
      <xdr:col>28</xdr:col>
      <xdr:colOff>15875</xdr:colOff>
      <xdr:row>29</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27</xdr:row>
      <xdr:rowOff>104775</xdr:rowOff>
    </xdr:from>
    <xdr:to>
      <xdr:col>24</xdr:col>
      <xdr:colOff>63500</xdr:colOff>
      <xdr:row>29</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27</xdr:row>
      <xdr:rowOff>95250</xdr:rowOff>
    </xdr:from>
    <xdr:to>
      <xdr:col>15</xdr:col>
      <xdr:colOff>53975</xdr:colOff>
      <xdr:row>29</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27</xdr:row>
      <xdr:rowOff>130175</xdr:rowOff>
    </xdr:from>
    <xdr:to>
      <xdr:col>37</xdr:col>
      <xdr:colOff>120650</xdr:colOff>
      <xdr:row>29</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28</xdr:row>
      <xdr:rowOff>95250</xdr:rowOff>
    </xdr:from>
    <xdr:to>
      <xdr:col>33</xdr:col>
      <xdr:colOff>76200</xdr:colOff>
      <xdr:row>29</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27</xdr:row>
      <xdr:rowOff>123824</xdr:rowOff>
    </xdr:from>
    <xdr:to>
      <xdr:col>20</xdr:col>
      <xdr:colOff>66676</xdr:colOff>
      <xdr:row>29</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28</xdr:row>
      <xdr:rowOff>123824</xdr:rowOff>
    </xdr:from>
    <xdr:to>
      <xdr:col>45</xdr:col>
      <xdr:colOff>130176</xdr:colOff>
      <xdr:row>34</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27</xdr:row>
      <xdr:rowOff>104775</xdr:rowOff>
    </xdr:from>
    <xdr:to>
      <xdr:col>43</xdr:col>
      <xdr:colOff>9525</xdr:colOff>
      <xdr:row>29</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21</xdr:row>
      <xdr:rowOff>59266</xdr:rowOff>
    </xdr:from>
    <xdr:to>
      <xdr:col>19</xdr:col>
      <xdr:colOff>20108</xdr:colOff>
      <xdr:row>22</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7</xdr:row>
      <xdr:rowOff>45508</xdr:rowOff>
    </xdr:from>
    <xdr:to>
      <xdr:col>11</xdr:col>
      <xdr:colOff>146052</xdr:colOff>
      <xdr:row>8</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37</xdr:row>
      <xdr:rowOff>85725</xdr:rowOff>
    </xdr:from>
    <xdr:to>
      <xdr:col>10</xdr:col>
      <xdr:colOff>19050</xdr:colOff>
      <xdr:row>38</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39</xdr:row>
      <xdr:rowOff>76198</xdr:rowOff>
    </xdr:from>
    <xdr:to>
      <xdr:col>48</xdr:col>
      <xdr:colOff>161924</xdr:colOff>
      <xdr:row>39</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39</xdr:row>
      <xdr:rowOff>25400</xdr:rowOff>
    </xdr:from>
    <xdr:to>
      <xdr:col>4</xdr:col>
      <xdr:colOff>114300</xdr:colOff>
      <xdr:row>40</xdr:row>
      <xdr:rowOff>63500</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71120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38</xdr:row>
      <xdr:rowOff>6350</xdr:rowOff>
    </xdr:from>
    <xdr:to>
      <xdr:col>36</xdr:col>
      <xdr:colOff>57150</xdr:colOff>
      <xdr:row>39</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39</xdr:row>
      <xdr:rowOff>15875</xdr:rowOff>
    </xdr:from>
    <xdr:to>
      <xdr:col>20</xdr:col>
      <xdr:colOff>28575</xdr:colOff>
      <xdr:row>40</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38</xdr:row>
      <xdr:rowOff>161925</xdr:rowOff>
    </xdr:from>
    <xdr:to>
      <xdr:col>16</xdr:col>
      <xdr:colOff>15875</xdr:colOff>
      <xdr:row>40</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25400</xdr:colOff>
      <xdr:row>38</xdr:row>
      <xdr:rowOff>149225</xdr:rowOff>
    </xdr:from>
    <xdr:to>
      <xdr:col>12</xdr:col>
      <xdr:colOff>85725</xdr:colOff>
      <xdr:row>39</xdr:row>
      <xdr:rowOff>187325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835150" y="70453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39</xdr:row>
      <xdr:rowOff>63500</xdr:rowOff>
    </xdr:from>
    <xdr:to>
      <xdr:col>8</xdr:col>
      <xdr:colOff>28575</xdr:colOff>
      <xdr:row>40</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11</xdr:row>
      <xdr:rowOff>134407</xdr:rowOff>
    </xdr:from>
    <xdr:to>
      <xdr:col>44</xdr:col>
      <xdr:colOff>29634</xdr:colOff>
      <xdr:row>13</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79192" y="2306107"/>
          <a:ext cx="910167" cy="28151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10</xdr:row>
      <xdr:rowOff>21166</xdr:rowOff>
    </xdr:from>
    <xdr:to>
      <xdr:col>39</xdr:col>
      <xdr:colOff>8466</xdr:colOff>
      <xdr:row>11</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14</xdr:row>
      <xdr:rowOff>123825</xdr:rowOff>
    </xdr:from>
    <xdr:to>
      <xdr:col>7</xdr:col>
      <xdr:colOff>159808</xdr:colOff>
      <xdr:row>16</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13</xdr:row>
      <xdr:rowOff>73025</xdr:rowOff>
    </xdr:from>
    <xdr:to>
      <xdr:col>15</xdr:col>
      <xdr:colOff>169333</xdr:colOff>
      <xdr:row>15</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20</xdr:col>
      <xdr:colOff>135031</xdr:colOff>
      <xdr:row>7</xdr:row>
      <xdr:rowOff>31676</xdr:rowOff>
    </xdr:to>
    <xdr:pic>
      <xdr:nvPicPr>
        <xdr:cNvPr id="51" name="図 50">
          <a:extLst>
            <a:ext uri="{FF2B5EF4-FFF2-40B4-BE49-F238E27FC236}">
              <a16:creationId xmlns:a16="http://schemas.microsoft.com/office/drawing/2014/main" id="{C54E4EE9-E40C-4B98-B04A-5A7D79C98B64}"/>
            </a:ext>
          </a:extLst>
        </xdr:cNvPr>
        <xdr:cNvPicPr>
          <a:picLocks noChangeAspect="1"/>
        </xdr:cNvPicPr>
      </xdr:nvPicPr>
      <xdr:blipFill>
        <a:blip xmlns:r="http://schemas.openxmlformats.org/officeDocument/2006/relationships" r:embed="rId1"/>
        <a:stretch>
          <a:fillRect/>
        </a:stretch>
      </xdr:blipFill>
      <xdr:spPr>
        <a:xfrm>
          <a:off x="180975" y="876300"/>
          <a:ext cx="3573556" cy="438076"/>
        </a:xfrm>
        <a:prstGeom prst="rect">
          <a:avLst/>
        </a:prstGeom>
      </xdr:spPr>
    </xdr:pic>
    <xdr:clientData/>
  </xdr:twoCellAnchor>
  <xdr:twoCellAnchor>
    <xdr:from>
      <xdr:col>19</xdr:col>
      <xdr:colOff>139700</xdr:colOff>
      <xdr:row>6</xdr:row>
      <xdr:rowOff>6350</xdr:rowOff>
    </xdr:from>
    <xdr:to>
      <xdr:col>52</xdr:col>
      <xdr:colOff>11206</xdr:colOff>
      <xdr:row>7</xdr:row>
      <xdr:rowOff>37540</xdr:rowOff>
    </xdr:to>
    <xdr:sp macro="" textlink="">
      <xdr:nvSpPr>
        <xdr:cNvPr id="52" name="正方形/長方形 51">
          <a:extLst>
            <a:ext uri="{FF2B5EF4-FFF2-40B4-BE49-F238E27FC236}">
              <a16:creationId xmlns:a16="http://schemas.microsoft.com/office/drawing/2014/main" id="{BFBCAD34-B552-4C49-9921-E0B5A518693F}"/>
            </a:ext>
          </a:extLst>
        </xdr:cNvPr>
        <xdr:cNvSpPr/>
      </xdr:nvSpPr>
      <xdr:spPr>
        <a:xfrm>
          <a:off x="3578225" y="882650"/>
          <a:ext cx="5843681" cy="440765"/>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85725</xdr:colOff>
      <xdr:row>6</xdr:row>
      <xdr:rowOff>28575</xdr:rowOff>
    </xdr:from>
    <xdr:to>
      <xdr:col>9</xdr:col>
      <xdr:colOff>104776</xdr:colOff>
      <xdr:row>6</xdr:row>
      <xdr:rowOff>276226</xdr:rowOff>
    </xdr:to>
    <xdr:sp macro="" textlink="">
      <xdr:nvSpPr>
        <xdr:cNvPr id="54" name="正方形/長方形 53">
          <a:extLst>
            <a:ext uri="{FF2B5EF4-FFF2-40B4-BE49-F238E27FC236}">
              <a16:creationId xmlns:a16="http://schemas.microsoft.com/office/drawing/2014/main" id="{63FA020D-9E55-40C7-B809-E280C157512E}"/>
            </a:ext>
          </a:extLst>
        </xdr:cNvPr>
        <xdr:cNvSpPr/>
      </xdr:nvSpPr>
      <xdr:spPr>
        <a:xfrm>
          <a:off x="1352550" y="904875"/>
          <a:ext cx="381001" cy="24765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44</xdr:col>
      <xdr:colOff>68077</xdr:colOff>
      <xdr:row>23</xdr:row>
      <xdr:rowOff>746845</xdr:rowOff>
    </xdr:from>
    <xdr:to>
      <xdr:col>47</xdr:col>
      <xdr:colOff>110599</xdr:colOff>
      <xdr:row>23</xdr:row>
      <xdr:rowOff>1066159</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796961" y="8515696"/>
          <a:ext cx="546787" cy="316139"/>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43</xdr:col>
      <xdr:colOff>95250</xdr:colOff>
      <xdr:row>24</xdr:row>
      <xdr:rowOff>54429</xdr:rowOff>
    </xdr:from>
    <xdr:to>
      <xdr:col>47</xdr:col>
      <xdr:colOff>9725</xdr:colOff>
      <xdr:row>24</xdr:row>
      <xdr:rowOff>259906</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6741583" y="8743346"/>
          <a:ext cx="591809" cy="20547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4" t="str">
        <f ca="1">TEXT(変更来歴!AT2,"yyyy年 mm月 dd日") &amp; " " &amp; 変更来歴!AT3</f>
        <v>2026年 06月 17日 dr1.5</v>
      </c>
      <c r="C22" s="185"/>
      <c r="D22" s="185"/>
      <c r="E22" s="185"/>
      <c r="F22" s="185"/>
      <c r="G22" s="185"/>
      <c r="H22" s="185"/>
    </row>
    <row r="23" spans="2:8" ht="14.25" customHeight="1"/>
    <row r="24" spans="2:8" ht="14.25" customHeight="1"/>
    <row r="25" spans="2:8" ht="14.25" customHeight="1"/>
    <row r="26" spans="2:8" ht="14.25" customHeight="1"/>
    <row r="27" spans="2:8" ht="14.25" customHeight="1"/>
    <row r="28" spans="2:8" ht="14.25" customHeight="1">
      <c r="C28" s="187" t="s">
        <v>27</v>
      </c>
      <c r="D28" s="187"/>
      <c r="E28" s="187"/>
      <c r="F28" s="187" t="s">
        <v>0</v>
      </c>
      <c r="G28" s="187"/>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8"/>
      <c r="D33" s="188"/>
      <c r="E33" s="188"/>
      <c r="F33" s="188"/>
      <c r="G33" s="188"/>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6"/>
    </row>
    <row r="39" spans="3:20" ht="14.25" customHeight="1">
      <c r="K39" s="17"/>
      <c r="L39" s="12"/>
      <c r="M39" s="8"/>
      <c r="N39" s="12"/>
      <c r="O39" s="8"/>
      <c r="P39" s="8"/>
      <c r="Q39" s="8"/>
      <c r="R39" s="14"/>
      <c r="S39" s="19"/>
      <c r="T39" s="189"/>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6"/>
    </row>
    <row r="43" spans="3:20" s="8" customFormat="1" ht="14.25" customHeight="1">
      <c r="K43" s="17"/>
      <c r="L43" s="12"/>
      <c r="N43" s="12"/>
      <c r="R43" s="14"/>
      <c r="S43" s="19"/>
      <c r="T43" s="186"/>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6"/>
    </row>
    <row r="47" spans="3:20" ht="14.25" customHeight="1">
      <c r="K47" s="17"/>
      <c r="L47" s="12"/>
      <c r="M47" s="8"/>
      <c r="N47" s="12"/>
      <c r="O47" s="8"/>
      <c r="P47" s="8"/>
      <c r="Q47" s="8"/>
      <c r="R47" s="14"/>
      <c r="S47" s="19"/>
      <c r="T47" s="186"/>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6"/>
    </row>
    <row r="51" spans="11:20" ht="14.25" customHeight="1">
      <c r="K51" s="17"/>
      <c r="L51" s="12"/>
      <c r="M51" s="8"/>
      <c r="N51" s="12"/>
      <c r="O51" s="8"/>
      <c r="P51" s="8"/>
      <c r="Q51" s="8"/>
      <c r="R51" s="14"/>
      <c r="S51" s="19"/>
      <c r="T51" s="186"/>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6"/>
    </row>
    <row r="55" spans="11:20">
      <c r="K55" s="17"/>
      <c r="L55" s="12"/>
      <c r="M55" s="8"/>
      <c r="N55" s="12"/>
      <c r="O55" s="8"/>
      <c r="P55" s="8"/>
      <c r="Q55" s="8"/>
      <c r="R55" s="14"/>
      <c r="S55" s="19"/>
      <c r="T55" s="189"/>
    </row>
    <row r="57" spans="11:20">
      <c r="K57" s="11"/>
      <c r="L57" s="12"/>
      <c r="M57" s="8"/>
      <c r="N57" s="12"/>
      <c r="O57" s="13"/>
      <c r="P57" s="14"/>
      <c r="Q57" s="15"/>
      <c r="R57" s="14"/>
      <c r="S57" s="16"/>
      <c r="T57" s="14"/>
    </row>
    <row r="58" spans="11:20">
      <c r="K58" s="17"/>
      <c r="L58" s="12"/>
      <c r="M58" s="18"/>
      <c r="N58" s="12"/>
      <c r="O58" s="8"/>
      <c r="P58" s="14"/>
      <c r="Q58" s="15"/>
      <c r="R58" s="14"/>
      <c r="S58" s="16"/>
      <c r="T58" s="186"/>
    </row>
    <row r="59" spans="11:20">
      <c r="K59" s="17"/>
      <c r="L59" s="12"/>
      <c r="M59" s="8"/>
      <c r="N59" s="12"/>
      <c r="O59" s="8"/>
      <c r="P59" s="8"/>
      <c r="Q59" s="8"/>
      <c r="R59" s="14"/>
      <c r="S59" s="19"/>
      <c r="T59" s="189"/>
    </row>
    <row r="61" spans="11:20">
      <c r="K61" s="11"/>
      <c r="L61" s="12"/>
      <c r="M61" s="8"/>
      <c r="N61" s="12"/>
      <c r="O61" s="13"/>
      <c r="P61" s="14"/>
      <c r="Q61" s="15"/>
      <c r="R61" s="14"/>
      <c r="S61" s="16"/>
      <c r="T61" s="14"/>
    </row>
    <row r="62" spans="11:20">
      <c r="K62" s="17"/>
      <c r="L62" s="12"/>
      <c r="M62" s="18"/>
      <c r="N62" s="12"/>
      <c r="O62" s="8"/>
      <c r="P62" s="14"/>
      <c r="Q62" s="15"/>
      <c r="R62" s="14"/>
      <c r="S62" s="16"/>
      <c r="T62" s="186"/>
    </row>
    <row r="63" spans="11:20">
      <c r="K63" s="17"/>
      <c r="L63" s="12"/>
      <c r="M63" s="8"/>
      <c r="N63" s="12"/>
      <c r="O63" s="8"/>
      <c r="P63" s="8"/>
      <c r="Q63" s="8"/>
      <c r="R63" s="14"/>
      <c r="S63" s="19"/>
      <c r="T63" s="189"/>
    </row>
    <row r="65" spans="11:20">
      <c r="K65" s="11"/>
      <c r="L65" s="12"/>
      <c r="M65" s="8"/>
      <c r="N65" s="12"/>
      <c r="O65" s="13"/>
      <c r="P65" s="14"/>
      <c r="Q65" s="15"/>
      <c r="R65" s="14"/>
      <c r="S65" s="16"/>
      <c r="T65" s="14"/>
    </row>
    <row r="66" spans="11:20">
      <c r="K66" s="17"/>
      <c r="L66" s="12"/>
      <c r="M66" s="18"/>
      <c r="N66" s="12"/>
      <c r="O66" s="8"/>
      <c r="P66" s="14"/>
      <c r="Q66" s="15"/>
      <c r="R66" s="14"/>
      <c r="S66" s="16"/>
      <c r="T66" s="186"/>
    </row>
    <row r="67" spans="11:20">
      <c r="K67" s="17"/>
      <c r="L67" s="12"/>
      <c r="M67" s="8"/>
      <c r="N67" s="12"/>
      <c r="O67" s="8"/>
      <c r="P67" s="8"/>
      <c r="Q67" s="8"/>
      <c r="R67" s="14"/>
      <c r="S67" s="19"/>
      <c r="T67" s="189"/>
    </row>
    <row r="69" spans="11:20">
      <c r="K69" s="11"/>
      <c r="L69" s="12"/>
      <c r="M69" s="8"/>
      <c r="N69" s="12"/>
      <c r="O69" s="13"/>
      <c r="P69" s="14"/>
      <c r="Q69" s="15"/>
      <c r="R69" s="14"/>
      <c r="S69" s="16"/>
      <c r="T69" s="14"/>
    </row>
    <row r="70" spans="11:20">
      <c r="K70" s="17"/>
      <c r="L70" s="12"/>
      <c r="M70" s="18"/>
      <c r="N70" s="12"/>
      <c r="O70" s="8"/>
      <c r="P70" s="14"/>
      <c r="Q70" s="15"/>
      <c r="R70" s="14"/>
      <c r="S70" s="16"/>
      <c r="T70" s="186"/>
    </row>
    <row r="71" spans="11:20">
      <c r="K71" s="17"/>
      <c r="L71" s="12"/>
      <c r="M71" s="20"/>
      <c r="N71" s="12"/>
      <c r="O71" s="8"/>
      <c r="P71" s="8"/>
      <c r="Q71" s="8"/>
      <c r="R71" s="14"/>
      <c r="S71" s="19"/>
      <c r="T71" s="189"/>
    </row>
    <row r="73" spans="11:20">
      <c r="K73" s="11"/>
      <c r="L73" s="12"/>
      <c r="M73" s="8"/>
      <c r="N73" s="12"/>
      <c r="O73" s="13"/>
      <c r="P73" s="14"/>
      <c r="Q73" s="15"/>
      <c r="R73" s="14"/>
      <c r="S73" s="16"/>
      <c r="T73" s="14"/>
    </row>
    <row r="74" spans="11:20">
      <c r="K74" s="17"/>
      <c r="L74" s="12"/>
      <c r="M74" s="18"/>
      <c r="N74" s="12"/>
      <c r="O74" s="8"/>
      <c r="P74" s="14"/>
      <c r="Q74" s="15"/>
      <c r="R74" s="14"/>
      <c r="S74" s="16"/>
      <c r="T74" s="186"/>
    </row>
    <row r="75" spans="11:20">
      <c r="K75" s="17"/>
      <c r="L75" s="12"/>
      <c r="M75" s="8"/>
      <c r="N75" s="12"/>
      <c r="O75" s="8"/>
      <c r="P75" s="8"/>
      <c r="Q75" s="8"/>
      <c r="R75" s="14"/>
      <c r="S75" s="19"/>
      <c r="T75" s="189"/>
    </row>
    <row r="77" spans="11:20">
      <c r="K77" s="11"/>
      <c r="L77" s="12"/>
      <c r="M77" s="8"/>
      <c r="N77" s="12"/>
      <c r="O77" s="13"/>
      <c r="P77" s="14"/>
      <c r="Q77" s="15"/>
      <c r="R77" s="14"/>
      <c r="S77" s="16"/>
      <c r="T77" s="14"/>
    </row>
    <row r="78" spans="11:20">
      <c r="K78" s="17"/>
      <c r="L78" s="12"/>
      <c r="M78" s="18"/>
      <c r="N78" s="12"/>
      <c r="O78" s="8"/>
      <c r="P78" s="14"/>
      <c r="Q78" s="15"/>
      <c r="R78" s="14"/>
      <c r="S78" s="16"/>
      <c r="T78" s="186"/>
    </row>
    <row r="79" spans="11:20">
      <c r="K79" s="17"/>
      <c r="L79" s="12"/>
      <c r="M79" s="20"/>
      <c r="N79" s="12"/>
      <c r="O79" s="8"/>
      <c r="P79" s="8"/>
      <c r="Q79" s="8"/>
      <c r="R79" s="14"/>
      <c r="S79" s="19"/>
      <c r="T79" s="189"/>
    </row>
    <row r="81" spans="11:20">
      <c r="K81" s="11"/>
      <c r="L81" s="12"/>
      <c r="M81" s="8"/>
      <c r="N81" s="12"/>
      <c r="O81" s="13"/>
      <c r="P81" s="14"/>
      <c r="Q81" s="15"/>
      <c r="R81" s="14"/>
      <c r="S81" s="16"/>
      <c r="T81" s="14"/>
    </row>
    <row r="82" spans="11:20">
      <c r="K82" s="17"/>
      <c r="L82" s="12"/>
      <c r="M82" s="18"/>
      <c r="N82" s="12"/>
      <c r="O82" s="8"/>
      <c r="P82" s="14"/>
      <c r="Q82" s="15"/>
      <c r="R82" s="14"/>
      <c r="S82" s="16"/>
      <c r="T82" s="186"/>
    </row>
    <row r="83" spans="11:20">
      <c r="K83" s="17"/>
      <c r="L83" s="12"/>
      <c r="M83" s="8"/>
      <c r="N83" s="12"/>
      <c r="O83" s="8"/>
      <c r="P83" s="8"/>
      <c r="Q83" s="8"/>
      <c r="R83" s="14"/>
      <c r="S83" s="19"/>
      <c r="T83" s="189"/>
    </row>
    <row r="85" spans="11:20">
      <c r="K85" s="11"/>
      <c r="L85" s="12"/>
      <c r="M85" s="8"/>
      <c r="N85" s="12"/>
      <c r="O85" s="13"/>
      <c r="P85" s="14"/>
      <c r="Q85" s="15"/>
      <c r="R85" s="14"/>
      <c r="S85" s="16"/>
      <c r="T85" s="14"/>
    </row>
    <row r="86" spans="11:20">
      <c r="K86" s="17"/>
      <c r="L86" s="12"/>
      <c r="M86" s="18"/>
      <c r="N86" s="12"/>
      <c r="O86" s="8"/>
      <c r="P86" s="14"/>
      <c r="Q86" s="15"/>
      <c r="R86" s="14"/>
      <c r="S86" s="16"/>
      <c r="T86" s="186"/>
    </row>
    <row r="87" spans="11:20">
      <c r="K87" s="17"/>
      <c r="L87" s="12"/>
      <c r="M87" s="8"/>
      <c r="N87" s="12"/>
      <c r="O87" s="8"/>
      <c r="P87" s="8"/>
      <c r="Q87" s="8"/>
      <c r="R87" s="14"/>
      <c r="S87" s="19"/>
      <c r="T87" s="189"/>
    </row>
    <row r="89" spans="11:20">
      <c r="K89" s="11"/>
      <c r="L89" s="12"/>
      <c r="M89" s="8"/>
      <c r="N89" s="12"/>
      <c r="O89" s="13"/>
      <c r="P89" s="14"/>
      <c r="Q89" s="15"/>
      <c r="R89" s="14"/>
      <c r="S89" s="16"/>
      <c r="T89" s="14"/>
    </row>
    <row r="90" spans="11:20">
      <c r="K90" s="17"/>
      <c r="L90" s="12"/>
      <c r="M90" s="18"/>
      <c r="N90" s="12"/>
      <c r="O90" s="8"/>
      <c r="P90" s="14"/>
      <c r="Q90" s="15"/>
      <c r="R90" s="14"/>
      <c r="S90" s="16"/>
      <c r="T90" s="186"/>
    </row>
    <row r="91" spans="11:20">
      <c r="K91" s="17"/>
      <c r="L91" s="12"/>
      <c r="M91" s="18"/>
      <c r="N91" s="12"/>
      <c r="O91" s="8"/>
      <c r="P91" s="8"/>
      <c r="Q91" s="8"/>
      <c r="R91" s="14"/>
      <c r="S91" s="19"/>
      <c r="T91" s="189"/>
    </row>
    <row r="93" spans="11:20">
      <c r="K93" s="11"/>
      <c r="L93" s="12"/>
      <c r="M93" s="8"/>
      <c r="N93" s="12"/>
      <c r="O93" s="13"/>
      <c r="P93" s="14"/>
      <c r="Q93" s="15"/>
      <c r="R93" s="14"/>
      <c r="S93" s="16"/>
      <c r="T93" s="14"/>
    </row>
    <row r="94" spans="11:20">
      <c r="K94" s="17"/>
      <c r="L94" s="12"/>
      <c r="M94" s="18"/>
      <c r="N94" s="12"/>
      <c r="O94" s="8"/>
      <c r="P94" s="14"/>
      <c r="Q94" s="15"/>
      <c r="R94" s="14"/>
      <c r="S94" s="16"/>
      <c r="T94" s="186"/>
    </row>
    <row r="95" spans="11:20">
      <c r="K95" s="17"/>
      <c r="L95" s="12"/>
      <c r="M95" s="20"/>
      <c r="N95" s="12"/>
      <c r="O95" s="8"/>
      <c r="P95" s="8"/>
      <c r="Q95" s="8"/>
      <c r="R95" s="14"/>
      <c r="S95" s="19"/>
      <c r="T95" s="189"/>
    </row>
    <row r="97" spans="11:20">
      <c r="K97" s="11"/>
      <c r="L97" s="12"/>
      <c r="M97" s="8"/>
      <c r="N97" s="12"/>
      <c r="O97" s="13"/>
      <c r="P97" s="14"/>
      <c r="Q97" s="15"/>
      <c r="R97" s="14"/>
      <c r="S97" s="16"/>
      <c r="T97" s="14"/>
    </row>
    <row r="98" spans="11:20">
      <c r="K98" s="17"/>
      <c r="L98" s="12"/>
      <c r="M98" s="18"/>
      <c r="N98" s="12"/>
      <c r="O98" s="8"/>
      <c r="P98" s="14"/>
      <c r="Q98" s="15"/>
      <c r="R98" s="14"/>
      <c r="S98" s="16"/>
      <c r="T98" s="186"/>
    </row>
    <row r="99" spans="11:20">
      <c r="K99" s="17"/>
      <c r="L99" s="12"/>
      <c r="M99" s="20"/>
      <c r="N99" s="12"/>
      <c r="O99" s="8"/>
      <c r="P99" s="8"/>
      <c r="Q99" s="8"/>
      <c r="R99" s="14"/>
      <c r="S99" s="19"/>
      <c r="T99" s="189"/>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6"/>
    </row>
    <row r="103" spans="11:20">
      <c r="K103" s="17"/>
      <c r="L103" s="12"/>
      <c r="M103" s="8"/>
      <c r="N103" s="12"/>
      <c r="O103" s="8"/>
      <c r="P103" s="8"/>
      <c r="Q103" s="8"/>
      <c r="R103" s="14"/>
      <c r="S103" s="19"/>
      <c r="T103" s="189"/>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6"/>
    </row>
    <row r="107" spans="11:20">
      <c r="K107" s="17"/>
      <c r="L107" s="12"/>
      <c r="M107" s="8"/>
      <c r="N107" s="12"/>
      <c r="O107" s="8"/>
      <c r="P107" s="8"/>
      <c r="Q107" s="8"/>
      <c r="R107" s="14"/>
      <c r="S107" s="19"/>
      <c r="T107" s="189"/>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6"/>
    </row>
    <row r="111" spans="11:20">
      <c r="K111" s="17"/>
      <c r="L111" s="12"/>
      <c r="M111" s="8"/>
      <c r="N111" s="12"/>
      <c r="O111" s="8"/>
      <c r="P111" s="8"/>
      <c r="Q111" s="8"/>
      <c r="R111" s="14"/>
      <c r="S111" s="19"/>
      <c r="T111" s="189"/>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6"/>
    </row>
    <row r="115" spans="11:20">
      <c r="K115" s="17"/>
      <c r="L115" s="12"/>
      <c r="M115" s="8"/>
      <c r="N115" s="12"/>
      <c r="O115" s="8"/>
      <c r="P115" s="8"/>
      <c r="Q115" s="8"/>
      <c r="R115" s="14"/>
      <c r="S115" s="19"/>
      <c r="T115" s="189"/>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6"/>
    </row>
    <row r="119" spans="11:20">
      <c r="K119" s="17"/>
      <c r="L119" s="12"/>
      <c r="M119" s="8"/>
      <c r="N119" s="12"/>
      <c r="O119" s="8"/>
      <c r="P119" s="8"/>
      <c r="Q119" s="8"/>
      <c r="R119" s="14"/>
      <c r="S119" s="19"/>
      <c r="T119" s="189"/>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6"/>
    </row>
    <row r="123" spans="11:20">
      <c r="K123" s="17"/>
      <c r="L123" s="12"/>
      <c r="M123" s="8"/>
      <c r="N123" s="12"/>
      <c r="O123" s="8"/>
      <c r="P123" s="8"/>
      <c r="Q123" s="8"/>
      <c r="R123" s="14"/>
      <c r="S123" s="19"/>
      <c r="T123" s="189"/>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30" t="s">
        <v>4</v>
      </c>
      <c r="B1" s="230"/>
      <c r="C1" s="230"/>
      <c r="D1" s="230"/>
      <c r="E1" s="230"/>
      <c r="F1" s="230"/>
      <c r="G1" s="230"/>
      <c r="H1" s="230"/>
      <c r="I1" s="213" t="s">
        <v>5</v>
      </c>
      <c r="J1" s="213"/>
      <c r="K1" s="213"/>
      <c r="L1" s="213"/>
      <c r="M1" s="228" t="s">
        <v>6</v>
      </c>
      <c r="N1" s="228"/>
      <c r="O1" s="228"/>
      <c r="P1" s="228"/>
      <c r="Q1" s="228"/>
      <c r="R1" s="228"/>
      <c r="S1" s="228"/>
      <c r="T1" s="228"/>
      <c r="U1" s="228"/>
      <c r="V1" s="228"/>
      <c r="W1" s="228"/>
      <c r="X1" s="213" t="s">
        <v>7</v>
      </c>
      <c r="Y1" s="213"/>
      <c r="Z1" s="213"/>
      <c r="AA1" s="232" t="s">
        <v>132</v>
      </c>
      <c r="AB1" s="232"/>
      <c r="AC1" s="232"/>
      <c r="AD1" s="232"/>
      <c r="AE1" s="232"/>
      <c r="AF1" s="232"/>
      <c r="AG1" s="232"/>
      <c r="AH1" s="232"/>
      <c r="AI1" s="232"/>
      <c r="AJ1" s="232"/>
      <c r="AK1" s="217" t="s">
        <v>8</v>
      </c>
      <c r="AL1" s="217"/>
      <c r="AM1" s="217"/>
      <c r="AN1" s="218" t="s">
        <v>29</v>
      </c>
      <c r="AO1" s="218"/>
      <c r="AP1" s="218"/>
      <c r="AQ1" s="217" t="s">
        <v>9</v>
      </c>
      <c r="AR1" s="217"/>
      <c r="AS1" s="217"/>
      <c r="AT1" s="220">
        <f>AL7</f>
        <v>46125</v>
      </c>
      <c r="AU1" s="220"/>
      <c r="AV1" s="220"/>
      <c r="AW1" s="220"/>
      <c r="AX1" s="209" t="s">
        <v>10</v>
      </c>
      <c r="AY1" s="210"/>
      <c r="AZ1" s="210"/>
      <c r="BA1" s="211"/>
    </row>
    <row r="2" spans="1:53">
      <c r="A2" s="212" t="s">
        <v>236</v>
      </c>
      <c r="B2" s="212"/>
      <c r="C2" s="212"/>
      <c r="D2" s="212"/>
      <c r="E2" s="212"/>
      <c r="F2" s="212"/>
      <c r="G2" s="212"/>
      <c r="H2" s="212"/>
      <c r="I2" s="213" t="s">
        <v>11</v>
      </c>
      <c r="J2" s="213"/>
      <c r="K2" s="213"/>
      <c r="L2" s="213"/>
      <c r="M2" s="214" t="s">
        <v>182</v>
      </c>
      <c r="N2" s="215"/>
      <c r="O2" s="215"/>
      <c r="P2" s="215"/>
      <c r="Q2" s="215"/>
      <c r="R2" s="215"/>
      <c r="S2" s="215"/>
      <c r="T2" s="215"/>
      <c r="U2" s="215"/>
      <c r="V2" s="215"/>
      <c r="W2" s="216"/>
      <c r="X2" s="213"/>
      <c r="Y2" s="213"/>
      <c r="Z2" s="213"/>
      <c r="AA2" s="232"/>
      <c r="AB2" s="232"/>
      <c r="AC2" s="232"/>
      <c r="AD2" s="232"/>
      <c r="AE2" s="232"/>
      <c r="AF2" s="232"/>
      <c r="AG2" s="232"/>
      <c r="AH2" s="232"/>
      <c r="AI2" s="232"/>
      <c r="AJ2" s="232"/>
      <c r="AK2" s="217" t="s">
        <v>12</v>
      </c>
      <c r="AL2" s="217"/>
      <c r="AM2" s="217"/>
      <c r="AN2" s="218" t="s">
        <v>29</v>
      </c>
      <c r="AO2" s="218"/>
      <c r="AP2" s="218"/>
      <c r="AQ2" s="217" t="s">
        <v>13</v>
      </c>
      <c r="AR2" s="217"/>
      <c r="AS2" s="217"/>
      <c r="AT2" s="220">
        <v>46190</v>
      </c>
      <c r="AU2" s="220"/>
      <c r="AV2" s="220"/>
      <c r="AW2" s="220"/>
      <c r="AX2" s="221" t="s">
        <v>28</v>
      </c>
      <c r="AY2" s="222"/>
      <c r="AZ2" s="222"/>
      <c r="BA2" s="223"/>
    </row>
    <row r="3" spans="1:53" ht="12" customHeight="1">
      <c r="A3" s="227" t="s">
        <v>25</v>
      </c>
      <c r="B3" s="227"/>
      <c r="C3" s="227"/>
      <c r="D3" s="227"/>
      <c r="E3" s="227"/>
      <c r="F3" s="227"/>
      <c r="G3" s="227"/>
      <c r="H3" s="227"/>
      <c r="I3" s="213" t="s">
        <v>14</v>
      </c>
      <c r="J3" s="213"/>
      <c r="K3" s="213"/>
      <c r="L3" s="213"/>
      <c r="M3" s="228"/>
      <c r="N3" s="228"/>
      <c r="O3" s="228"/>
      <c r="P3" s="228"/>
      <c r="Q3" s="228"/>
      <c r="R3" s="228"/>
      <c r="S3" s="228"/>
      <c r="T3" s="228"/>
      <c r="U3" s="228"/>
      <c r="V3" s="228"/>
      <c r="W3" s="228"/>
      <c r="X3" s="213" t="s">
        <v>26</v>
      </c>
      <c r="Y3" s="213"/>
      <c r="Z3" s="213"/>
      <c r="AA3" s="229" t="s">
        <v>133</v>
      </c>
      <c r="AB3" s="229"/>
      <c r="AC3" s="229"/>
      <c r="AD3" s="229"/>
      <c r="AE3" s="229"/>
      <c r="AF3" s="229"/>
      <c r="AG3" s="229"/>
      <c r="AH3" s="229"/>
      <c r="AI3" s="229"/>
      <c r="AJ3" s="229"/>
      <c r="AK3" s="229"/>
      <c r="AL3" s="229"/>
      <c r="AM3" s="229"/>
      <c r="AN3" s="229"/>
      <c r="AO3" s="229"/>
      <c r="AP3" s="229"/>
      <c r="AQ3" s="217" t="s">
        <v>15</v>
      </c>
      <c r="AR3" s="217"/>
      <c r="AS3" s="217"/>
      <c r="AT3" s="233" t="str">
        <f ca="1">INDIRECT("A" &amp; COUNTA(A7:A39) + 6)</f>
        <v>dr1.5</v>
      </c>
      <c r="AU3" s="233"/>
      <c r="AV3" s="233"/>
      <c r="AW3" s="233"/>
      <c r="AX3" s="224"/>
      <c r="AY3" s="225"/>
      <c r="AZ3" s="225"/>
      <c r="BA3" s="226"/>
    </row>
    <row r="4" spans="1:53" ht="5.9" customHeight="1"/>
    <row r="5" spans="1:53" ht="14">
      <c r="A5" s="231" t="s">
        <v>24</v>
      </c>
      <c r="B5" s="231"/>
      <c r="C5" s="231"/>
      <c r="D5" s="231"/>
      <c r="E5" s="231"/>
      <c r="F5" s="231"/>
      <c r="G5" s="231"/>
      <c r="H5" s="231"/>
      <c r="I5" s="231"/>
      <c r="J5" s="231"/>
      <c r="K5" s="231"/>
      <c r="L5" s="231"/>
      <c r="M5" s="231"/>
      <c r="N5" s="231"/>
      <c r="O5" s="231"/>
      <c r="P5" s="231"/>
      <c r="Q5" s="231"/>
      <c r="R5" s="231"/>
      <c r="S5" s="231"/>
      <c r="T5" s="231"/>
      <c r="U5" s="231"/>
      <c r="V5" s="231"/>
      <c r="W5" s="231"/>
      <c r="X5" s="231"/>
      <c r="Y5" s="231"/>
      <c r="Z5" s="231"/>
      <c r="AA5" s="231"/>
      <c r="AB5" s="231"/>
      <c r="AC5" s="231"/>
      <c r="AD5" s="231"/>
      <c r="AE5" s="231"/>
      <c r="AF5" s="231"/>
      <c r="AG5" s="231"/>
      <c r="AH5" s="231"/>
      <c r="AI5" s="231"/>
      <c r="AJ5" s="231"/>
      <c r="AK5" s="231"/>
      <c r="AL5" s="231"/>
      <c r="AM5" s="231"/>
      <c r="AN5" s="231"/>
      <c r="AO5" s="231"/>
      <c r="AP5" s="231"/>
      <c r="AQ5" s="231"/>
      <c r="AR5" s="231"/>
      <c r="AS5" s="231"/>
      <c r="AT5" s="231"/>
      <c r="AU5" s="231"/>
      <c r="AV5" s="231"/>
      <c r="AW5" s="231"/>
      <c r="AX5" s="231"/>
      <c r="AY5" s="231"/>
      <c r="AZ5" s="231"/>
      <c r="BA5" s="231"/>
    </row>
    <row r="6" spans="1:53">
      <c r="A6" s="234" t="s">
        <v>23</v>
      </c>
      <c r="B6" s="235"/>
      <c r="C6" s="219" t="s">
        <v>17</v>
      </c>
      <c r="D6" s="219"/>
      <c r="E6" s="219"/>
      <c r="F6" s="219"/>
      <c r="G6" s="219"/>
      <c r="H6" s="219"/>
      <c r="I6" s="219"/>
      <c r="J6" s="219"/>
      <c r="K6" s="219"/>
      <c r="L6" s="219"/>
      <c r="M6" s="219"/>
      <c r="N6" s="219"/>
      <c r="O6" s="219"/>
      <c r="P6" s="219"/>
      <c r="Q6" s="219" t="s">
        <v>220</v>
      </c>
      <c r="R6" s="219"/>
      <c r="S6" s="219"/>
      <c r="T6" s="219"/>
      <c r="U6" s="219"/>
      <c r="V6" s="219"/>
      <c r="W6" s="219"/>
      <c r="X6" s="219"/>
      <c r="Y6" s="219"/>
      <c r="Z6" s="219"/>
      <c r="AA6" s="219"/>
      <c r="AB6" s="219"/>
      <c r="AC6" s="219"/>
      <c r="AD6" s="219"/>
      <c r="AE6" s="219"/>
      <c r="AF6" s="219"/>
      <c r="AG6" s="219"/>
      <c r="AH6" s="219"/>
      <c r="AI6" s="219"/>
      <c r="AJ6" s="219"/>
      <c r="AK6" s="219"/>
      <c r="AL6" s="219" t="s">
        <v>18</v>
      </c>
      <c r="AM6" s="219"/>
      <c r="AN6" s="219"/>
      <c r="AO6" s="219"/>
      <c r="AP6" s="219" t="s">
        <v>19</v>
      </c>
      <c r="AQ6" s="219"/>
      <c r="AR6" s="219"/>
      <c r="AS6" s="219" t="s">
        <v>20</v>
      </c>
      <c r="AT6" s="219"/>
      <c r="AU6" s="219"/>
      <c r="AV6" s="219" t="s">
        <v>21</v>
      </c>
      <c r="AW6" s="219"/>
      <c r="AX6" s="219"/>
      <c r="AY6" s="219"/>
      <c r="AZ6" s="219"/>
      <c r="BA6" s="219"/>
    </row>
    <row r="7" spans="1:53">
      <c r="A7" s="191" t="s">
        <v>205</v>
      </c>
      <c r="B7" s="191"/>
      <c r="C7" s="192" t="s">
        <v>22</v>
      </c>
      <c r="D7" s="192"/>
      <c r="E7" s="192"/>
      <c r="F7" s="192"/>
      <c r="G7" s="192"/>
      <c r="H7" s="192"/>
      <c r="I7" s="192"/>
      <c r="J7" s="192"/>
      <c r="K7" s="192"/>
      <c r="L7" s="192"/>
      <c r="M7" s="192"/>
      <c r="N7" s="192"/>
      <c r="O7" s="192"/>
      <c r="P7" s="192"/>
      <c r="Q7" s="192"/>
      <c r="R7" s="192"/>
      <c r="S7" s="192"/>
      <c r="T7" s="192"/>
      <c r="U7" s="192"/>
      <c r="V7" s="192"/>
      <c r="W7" s="192"/>
      <c r="X7" s="192"/>
      <c r="Y7" s="192"/>
      <c r="Z7" s="192"/>
      <c r="AA7" s="192"/>
      <c r="AB7" s="192"/>
      <c r="AC7" s="192"/>
      <c r="AD7" s="192"/>
      <c r="AE7" s="192"/>
      <c r="AF7" s="192"/>
      <c r="AG7" s="192"/>
      <c r="AH7" s="192"/>
      <c r="AI7" s="192"/>
      <c r="AJ7" s="192"/>
      <c r="AK7" s="192"/>
      <c r="AL7" s="196">
        <v>46125</v>
      </c>
      <c r="AM7" s="197"/>
      <c r="AN7" s="197"/>
      <c r="AO7" s="197"/>
      <c r="AP7" s="192" t="s">
        <v>29</v>
      </c>
      <c r="AQ7" s="192"/>
      <c r="AR7" s="192"/>
      <c r="AS7" s="192"/>
      <c r="AT7" s="192"/>
      <c r="AU7" s="192"/>
      <c r="AV7" s="192"/>
      <c r="AW7" s="192"/>
      <c r="AX7" s="192"/>
      <c r="AY7" s="192"/>
      <c r="AZ7" s="192"/>
      <c r="BA7" s="192"/>
    </row>
    <row r="8" spans="1:53" ht="44.5" customHeight="1">
      <c r="A8" s="206" t="s">
        <v>206</v>
      </c>
      <c r="B8" s="207"/>
      <c r="C8" s="193" t="s">
        <v>221</v>
      </c>
      <c r="D8" s="193"/>
      <c r="E8" s="193"/>
      <c r="F8" s="193"/>
      <c r="G8" s="193"/>
      <c r="H8" s="193"/>
      <c r="I8" s="193"/>
      <c r="J8" s="193"/>
      <c r="K8" s="193"/>
      <c r="L8" s="193"/>
      <c r="M8" s="193"/>
      <c r="N8" s="193"/>
      <c r="O8" s="193"/>
      <c r="P8" s="193"/>
      <c r="Q8" s="203" t="s">
        <v>222</v>
      </c>
      <c r="R8" s="204"/>
      <c r="S8" s="204"/>
      <c r="T8" s="204"/>
      <c r="U8" s="204"/>
      <c r="V8" s="204"/>
      <c r="W8" s="204"/>
      <c r="X8" s="204"/>
      <c r="Y8" s="204"/>
      <c r="Z8" s="204"/>
      <c r="AA8" s="204"/>
      <c r="AB8" s="204"/>
      <c r="AC8" s="204"/>
      <c r="AD8" s="204"/>
      <c r="AE8" s="204"/>
      <c r="AF8" s="204"/>
      <c r="AG8" s="204"/>
      <c r="AH8" s="204"/>
      <c r="AI8" s="204"/>
      <c r="AJ8" s="204"/>
      <c r="AK8" s="205"/>
      <c r="AL8" s="198">
        <v>46134</v>
      </c>
      <c r="AM8" s="199"/>
      <c r="AN8" s="199"/>
      <c r="AO8" s="200"/>
      <c r="AP8" s="192" t="s">
        <v>29</v>
      </c>
      <c r="AQ8" s="192"/>
      <c r="AR8" s="192"/>
      <c r="AS8" s="192"/>
      <c r="AT8" s="192"/>
      <c r="AU8" s="192"/>
      <c r="AV8" s="192"/>
      <c r="AW8" s="192"/>
      <c r="AX8" s="192"/>
      <c r="AY8" s="192"/>
      <c r="AZ8" s="192"/>
      <c r="BA8" s="192"/>
    </row>
    <row r="9" spans="1:53" ht="23.5" customHeight="1">
      <c r="A9" s="206" t="s">
        <v>207</v>
      </c>
      <c r="B9" s="207"/>
      <c r="C9" s="193" t="s">
        <v>223</v>
      </c>
      <c r="D9" s="193"/>
      <c r="E9" s="193"/>
      <c r="F9" s="193"/>
      <c r="G9" s="193"/>
      <c r="H9" s="193"/>
      <c r="I9" s="193"/>
      <c r="J9" s="193"/>
      <c r="K9" s="193"/>
      <c r="L9" s="193"/>
      <c r="M9" s="193"/>
      <c r="N9" s="193"/>
      <c r="O9" s="193"/>
      <c r="P9" s="193"/>
      <c r="Q9" s="203" t="s">
        <v>131</v>
      </c>
      <c r="R9" s="204"/>
      <c r="S9" s="204"/>
      <c r="T9" s="204"/>
      <c r="U9" s="204"/>
      <c r="V9" s="204"/>
      <c r="W9" s="204"/>
      <c r="X9" s="204"/>
      <c r="Y9" s="204"/>
      <c r="Z9" s="204"/>
      <c r="AA9" s="204"/>
      <c r="AB9" s="204"/>
      <c r="AC9" s="204"/>
      <c r="AD9" s="204"/>
      <c r="AE9" s="204"/>
      <c r="AF9" s="204"/>
      <c r="AG9" s="204"/>
      <c r="AH9" s="204"/>
      <c r="AI9" s="204"/>
      <c r="AJ9" s="204"/>
      <c r="AK9" s="205"/>
      <c r="AL9" s="198">
        <v>46162</v>
      </c>
      <c r="AM9" s="199"/>
      <c r="AN9" s="199"/>
      <c r="AO9" s="200"/>
      <c r="AP9" s="192" t="s">
        <v>29</v>
      </c>
      <c r="AQ9" s="192"/>
      <c r="AR9" s="192"/>
      <c r="AS9" s="192"/>
      <c r="AT9" s="192"/>
      <c r="AU9" s="192"/>
      <c r="AV9" s="192"/>
      <c r="AW9" s="192"/>
      <c r="AX9" s="192"/>
      <c r="AY9" s="192"/>
      <c r="AZ9" s="192"/>
      <c r="BA9" s="192"/>
    </row>
    <row r="10" spans="1:53" ht="51" customHeight="1">
      <c r="A10" s="206" t="s">
        <v>208</v>
      </c>
      <c r="B10" s="207"/>
      <c r="C10" s="193" t="s">
        <v>203</v>
      </c>
      <c r="D10" s="193"/>
      <c r="E10" s="193"/>
      <c r="F10" s="193"/>
      <c r="G10" s="193"/>
      <c r="H10" s="193"/>
      <c r="I10" s="193"/>
      <c r="J10" s="193"/>
      <c r="K10" s="193"/>
      <c r="L10" s="193"/>
      <c r="M10" s="193"/>
      <c r="N10" s="193"/>
      <c r="O10" s="193"/>
      <c r="P10" s="193"/>
      <c r="Q10" s="193" t="s">
        <v>204</v>
      </c>
      <c r="R10" s="192"/>
      <c r="S10" s="192"/>
      <c r="T10" s="192"/>
      <c r="U10" s="192"/>
      <c r="V10" s="192"/>
      <c r="W10" s="192"/>
      <c r="X10" s="192"/>
      <c r="Y10" s="192"/>
      <c r="Z10" s="192"/>
      <c r="AA10" s="192"/>
      <c r="AB10" s="192"/>
      <c r="AC10" s="192"/>
      <c r="AD10" s="192"/>
      <c r="AE10" s="192"/>
      <c r="AF10" s="192"/>
      <c r="AG10" s="192"/>
      <c r="AH10" s="192"/>
      <c r="AI10" s="192"/>
      <c r="AJ10" s="192"/>
      <c r="AK10" s="192"/>
      <c r="AL10" s="190">
        <v>46176</v>
      </c>
      <c r="AM10" s="191"/>
      <c r="AN10" s="191"/>
      <c r="AO10" s="191"/>
      <c r="AP10" s="192" t="s">
        <v>29</v>
      </c>
      <c r="AQ10" s="192"/>
      <c r="AR10" s="192"/>
      <c r="AS10" s="192"/>
      <c r="AT10" s="192"/>
      <c r="AU10" s="192"/>
      <c r="AV10" s="192"/>
      <c r="AW10" s="192"/>
      <c r="AX10" s="192"/>
      <c r="AY10" s="192"/>
      <c r="AZ10" s="192"/>
      <c r="BA10" s="192"/>
    </row>
    <row r="11" spans="1:53" ht="37.5" customHeight="1">
      <c r="A11" s="206" t="s">
        <v>209</v>
      </c>
      <c r="B11" s="207"/>
      <c r="C11" s="193" t="s">
        <v>203</v>
      </c>
      <c r="D11" s="193"/>
      <c r="E11" s="193"/>
      <c r="F11" s="193"/>
      <c r="G11" s="193"/>
      <c r="H11" s="193"/>
      <c r="I11" s="193"/>
      <c r="J11" s="193"/>
      <c r="K11" s="193"/>
      <c r="L11" s="193"/>
      <c r="M11" s="193"/>
      <c r="N11" s="193"/>
      <c r="O11" s="193"/>
      <c r="P11" s="193"/>
      <c r="Q11" s="193" t="s">
        <v>235</v>
      </c>
      <c r="R11" s="192"/>
      <c r="S11" s="192"/>
      <c r="T11" s="192"/>
      <c r="U11" s="192"/>
      <c r="V11" s="192"/>
      <c r="W11" s="192"/>
      <c r="X11" s="192"/>
      <c r="Y11" s="192"/>
      <c r="Z11" s="192"/>
      <c r="AA11" s="192"/>
      <c r="AB11" s="192"/>
      <c r="AC11" s="192"/>
      <c r="AD11" s="192"/>
      <c r="AE11" s="192"/>
      <c r="AF11" s="192"/>
      <c r="AG11" s="192"/>
      <c r="AH11" s="192"/>
      <c r="AI11" s="192"/>
      <c r="AJ11" s="192"/>
      <c r="AK11" s="192"/>
      <c r="AL11" s="190">
        <v>46184</v>
      </c>
      <c r="AM11" s="191"/>
      <c r="AN11" s="191"/>
      <c r="AO11" s="191"/>
      <c r="AP11" s="192" t="s">
        <v>29</v>
      </c>
      <c r="AQ11" s="192"/>
      <c r="AR11" s="192"/>
      <c r="AS11" s="192"/>
      <c r="AT11" s="192"/>
      <c r="AU11" s="192"/>
      <c r="AV11" s="192"/>
      <c r="AW11" s="192"/>
      <c r="AX11" s="192"/>
      <c r="AY11" s="192"/>
      <c r="AZ11" s="192"/>
      <c r="BA11" s="192"/>
    </row>
    <row r="12" spans="1:53" ht="24.5" customHeight="1">
      <c r="A12" s="206" t="s">
        <v>242</v>
      </c>
      <c r="B12" s="207"/>
      <c r="C12" s="193" t="s">
        <v>203</v>
      </c>
      <c r="D12" s="193"/>
      <c r="E12" s="193"/>
      <c r="F12" s="193"/>
      <c r="G12" s="193"/>
      <c r="H12" s="193"/>
      <c r="I12" s="193"/>
      <c r="J12" s="193"/>
      <c r="K12" s="193"/>
      <c r="L12" s="193"/>
      <c r="M12" s="193"/>
      <c r="N12" s="193"/>
      <c r="O12" s="193"/>
      <c r="P12" s="193"/>
      <c r="Q12" s="192" t="s">
        <v>243</v>
      </c>
      <c r="R12" s="192"/>
      <c r="S12" s="192"/>
      <c r="T12" s="192"/>
      <c r="U12" s="192"/>
      <c r="V12" s="192"/>
      <c r="W12" s="192"/>
      <c r="X12" s="192"/>
      <c r="Y12" s="192"/>
      <c r="Z12" s="192"/>
      <c r="AA12" s="192"/>
      <c r="AB12" s="192"/>
      <c r="AC12" s="192"/>
      <c r="AD12" s="192"/>
      <c r="AE12" s="192"/>
      <c r="AF12" s="192"/>
      <c r="AG12" s="192"/>
      <c r="AH12" s="192"/>
      <c r="AI12" s="192"/>
      <c r="AJ12" s="192"/>
      <c r="AK12" s="192"/>
      <c r="AL12" s="190">
        <v>46190</v>
      </c>
      <c r="AM12" s="191"/>
      <c r="AN12" s="191"/>
      <c r="AO12" s="191"/>
      <c r="AP12" s="192" t="s">
        <v>29</v>
      </c>
      <c r="AQ12" s="192"/>
      <c r="AR12" s="192"/>
      <c r="AS12" s="192"/>
      <c r="AT12" s="192"/>
      <c r="AU12" s="192"/>
      <c r="AV12" s="192"/>
      <c r="AW12" s="192"/>
      <c r="AX12" s="192"/>
      <c r="AY12" s="192"/>
      <c r="AZ12" s="192"/>
      <c r="BA12" s="192"/>
    </row>
    <row r="13" spans="1:53">
      <c r="A13" s="202"/>
      <c r="B13" s="202"/>
      <c r="C13" s="194"/>
      <c r="D13" s="194"/>
      <c r="E13" s="194"/>
      <c r="F13" s="194"/>
      <c r="G13" s="194"/>
      <c r="H13" s="194"/>
      <c r="I13" s="194"/>
      <c r="J13" s="194"/>
      <c r="K13" s="194"/>
      <c r="L13" s="194"/>
      <c r="M13" s="194"/>
      <c r="N13" s="194"/>
      <c r="O13" s="194"/>
      <c r="P13" s="194"/>
      <c r="Q13" s="193"/>
      <c r="R13" s="192"/>
      <c r="S13" s="192"/>
      <c r="T13" s="192"/>
      <c r="U13" s="192"/>
      <c r="V13" s="192"/>
      <c r="W13" s="192"/>
      <c r="X13" s="192"/>
      <c r="Y13" s="192"/>
      <c r="Z13" s="192"/>
      <c r="AA13" s="192"/>
      <c r="AB13" s="192"/>
      <c r="AC13" s="192"/>
      <c r="AD13" s="192"/>
      <c r="AE13" s="192"/>
      <c r="AF13" s="192"/>
      <c r="AG13" s="192"/>
      <c r="AH13" s="192"/>
      <c r="AI13" s="192"/>
      <c r="AJ13" s="192"/>
      <c r="AK13" s="192"/>
      <c r="AL13" s="201"/>
      <c r="AM13" s="202"/>
      <c r="AN13" s="202"/>
      <c r="AO13" s="202"/>
      <c r="AP13" s="192"/>
      <c r="AQ13" s="192"/>
      <c r="AR13" s="192"/>
      <c r="AS13" s="194"/>
      <c r="AT13" s="194"/>
      <c r="AU13" s="194"/>
      <c r="AV13" s="194"/>
      <c r="AW13" s="194"/>
      <c r="AX13" s="194"/>
      <c r="AY13" s="194"/>
      <c r="AZ13" s="194"/>
      <c r="BA13" s="194"/>
    </row>
    <row r="14" spans="1:53">
      <c r="A14" s="191"/>
      <c r="B14" s="191"/>
      <c r="C14" s="192"/>
      <c r="D14" s="192"/>
      <c r="E14" s="192"/>
      <c r="F14" s="192"/>
      <c r="G14" s="192"/>
      <c r="H14" s="192"/>
      <c r="I14" s="192"/>
      <c r="J14" s="192"/>
      <c r="K14" s="192"/>
      <c r="L14" s="192"/>
      <c r="M14" s="192"/>
      <c r="N14" s="192"/>
      <c r="O14" s="192"/>
      <c r="P14" s="192"/>
      <c r="Q14" s="193"/>
      <c r="R14" s="192"/>
      <c r="S14" s="192"/>
      <c r="T14" s="192"/>
      <c r="U14" s="192"/>
      <c r="V14" s="192"/>
      <c r="W14" s="192"/>
      <c r="X14" s="192"/>
      <c r="Y14" s="192"/>
      <c r="Z14" s="192"/>
      <c r="AA14" s="192"/>
      <c r="AB14" s="192"/>
      <c r="AC14" s="192"/>
      <c r="AD14" s="192"/>
      <c r="AE14" s="192"/>
      <c r="AF14" s="192"/>
      <c r="AG14" s="192"/>
      <c r="AH14" s="192"/>
      <c r="AI14" s="192"/>
      <c r="AJ14" s="192"/>
      <c r="AK14" s="192"/>
      <c r="AL14" s="190"/>
      <c r="AM14" s="191"/>
      <c r="AN14" s="191"/>
      <c r="AO14" s="191"/>
      <c r="AP14" s="192"/>
      <c r="AQ14" s="192"/>
      <c r="AR14" s="192"/>
      <c r="AS14" s="192"/>
      <c r="AT14" s="192"/>
      <c r="AU14" s="192"/>
      <c r="AV14" s="192"/>
      <c r="AW14" s="192"/>
      <c r="AX14" s="192"/>
      <c r="AY14" s="192"/>
      <c r="AZ14" s="192"/>
      <c r="BA14" s="192"/>
    </row>
    <row r="15" spans="1:53">
      <c r="A15" s="191"/>
      <c r="B15" s="191"/>
      <c r="C15" s="192"/>
      <c r="D15" s="192"/>
      <c r="E15" s="192"/>
      <c r="F15" s="192"/>
      <c r="G15" s="192"/>
      <c r="H15" s="192"/>
      <c r="I15" s="192"/>
      <c r="J15" s="192"/>
      <c r="K15" s="192"/>
      <c r="L15" s="192"/>
      <c r="M15" s="192"/>
      <c r="N15" s="192"/>
      <c r="O15" s="192"/>
      <c r="P15" s="192"/>
      <c r="Q15" s="193"/>
      <c r="R15" s="192"/>
      <c r="S15" s="192"/>
      <c r="T15" s="192"/>
      <c r="U15" s="192"/>
      <c r="V15" s="192"/>
      <c r="W15" s="192"/>
      <c r="X15" s="192"/>
      <c r="Y15" s="192"/>
      <c r="Z15" s="192"/>
      <c r="AA15" s="192"/>
      <c r="AB15" s="192"/>
      <c r="AC15" s="192"/>
      <c r="AD15" s="192"/>
      <c r="AE15" s="192"/>
      <c r="AF15" s="192"/>
      <c r="AG15" s="192"/>
      <c r="AH15" s="192"/>
      <c r="AI15" s="192"/>
      <c r="AJ15" s="192"/>
      <c r="AK15" s="192"/>
      <c r="AL15" s="190"/>
      <c r="AM15" s="191"/>
      <c r="AN15" s="191"/>
      <c r="AO15" s="191"/>
      <c r="AP15" s="192"/>
      <c r="AQ15" s="192"/>
      <c r="AR15" s="192"/>
      <c r="AS15" s="192"/>
      <c r="AT15" s="192"/>
      <c r="AU15" s="192"/>
      <c r="AV15" s="192"/>
      <c r="AW15" s="192"/>
      <c r="AX15" s="192"/>
      <c r="AY15" s="192"/>
      <c r="AZ15" s="192"/>
      <c r="BA15" s="192"/>
    </row>
    <row r="16" spans="1:53">
      <c r="A16" s="191"/>
      <c r="B16" s="191"/>
      <c r="C16" s="192"/>
      <c r="D16" s="192"/>
      <c r="E16" s="192"/>
      <c r="F16" s="192"/>
      <c r="G16" s="192"/>
      <c r="H16" s="192"/>
      <c r="I16" s="192"/>
      <c r="J16" s="192"/>
      <c r="K16" s="192"/>
      <c r="L16" s="192"/>
      <c r="M16" s="192"/>
      <c r="N16" s="192"/>
      <c r="O16" s="192"/>
      <c r="P16" s="192"/>
      <c r="Q16" s="193"/>
      <c r="R16" s="192"/>
      <c r="S16" s="192"/>
      <c r="T16" s="192"/>
      <c r="U16" s="192"/>
      <c r="V16" s="192"/>
      <c r="W16" s="192"/>
      <c r="X16" s="192"/>
      <c r="Y16" s="192"/>
      <c r="Z16" s="192"/>
      <c r="AA16" s="192"/>
      <c r="AB16" s="192"/>
      <c r="AC16" s="192"/>
      <c r="AD16" s="192"/>
      <c r="AE16" s="192"/>
      <c r="AF16" s="192"/>
      <c r="AG16" s="192"/>
      <c r="AH16" s="192"/>
      <c r="AI16" s="192"/>
      <c r="AJ16" s="192"/>
      <c r="AK16" s="192"/>
      <c r="AL16" s="190"/>
      <c r="AM16" s="191"/>
      <c r="AN16" s="191"/>
      <c r="AO16" s="191"/>
      <c r="AP16" s="192"/>
      <c r="AQ16" s="192"/>
      <c r="AR16" s="192"/>
      <c r="AS16" s="192"/>
      <c r="AT16" s="192"/>
      <c r="AU16" s="192"/>
      <c r="AV16" s="192"/>
      <c r="AW16" s="192"/>
      <c r="AX16" s="192"/>
      <c r="AY16" s="192"/>
      <c r="AZ16" s="192"/>
      <c r="BA16" s="192"/>
    </row>
    <row r="17" spans="1:53">
      <c r="A17" s="208"/>
      <c r="B17" s="208"/>
      <c r="C17" s="192"/>
      <c r="D17" s="192"/>
      <c r="E17" s="192"/>
      <c r="F17" s="192"/>
      <c r="G17" s="192"/>
      <c r="H17" s="192"/>
      <c r="I17" s="192"/>
      <c r="J17" s="192"/>
      <c r="K17" s="192"/>
      <c r="L17" s="192"/>
      <c r="M17" s="192"/>
      <c r="N17" s="192"/>
      <c r="O17" s="192"/>
      <c r="P17" s="192"/>
      <c r="Q17" s="192"/>
      <c r="R17" s="195"/>
      <c r="S17" s="195"/>
      <c r="T17" s="195"/>
      <c r="U17" s="195"/>
      <c r="V17" s="195"/>
      <c r="W17" s="195"/>
      <c r="X17" s="195"/>
      <c r="Y17" s="195"/>
      <c r="Z17" s="195"/>
      <c r="AA17" s="195"/>
      <c r="AB17" s="195"/>
      <c r="AC17" s="195"/>
      <c r="AD17" s="195"/>
      <c r="AE17" s="195"/>
      <c r="AF17" s="195"/>
      <c r="AG17" s="195"/>
      <c r="AH17" s="195"/>
      <c r="AI17" s="195"/>
      <c r="AJ17" s="195"/>
      <c r="AK17" s="195"/>
      <c r="AL17" s="190"/>
      <c r="AM17" s="191"/>
      <c r="AN17" s="191"/>
      <c r="AO17" s="191"/>
      <c r="AP17" s="192"/>
      <c r="AQ17" s="195"/>
      <c r="AR17" s="195"/>
      <c r="AS17" s="195"/>
      <c r="AT17" s="195"/>
      <c r="AU17" s="195"/>
      <c r="AV17" s="195"/>
      <c r="AW17" s="195"/>
      <c r="AX17" s="195"/>
      <c r="AY17" s="195"/>
      <c r="AZ17" s="195"/>
      <c r="BA17" s="195"/>
    </row>
    <row r="18" spans="1:53">
      <c r="A18" s="208"/>
      <c r="B18" s="208"/>
      <c r="C18" s="192"/>
      <c r="D18" s="192"/>
      <c r="E18" s="192"/>
      <c r="F18" s="192"/>
      <c r="G18" s="192"/>
      <c r="H18" s="192"/>
      <c r="I18" s="192"/>
      <c r="J18" s="192"/>
      <c r="K18" s="192"/>
      <c r="L18" s="192"/>
      <c r="M18" s="192"/>
      <c r="N18" s="192"/>
      <c r="O18" s="192"/>
      <c r="P18" s="192"/>
      <c r="Q18" s="192"/>
      <c r="R18" s="195"/>
      <c r="S18" s="195"/>
      <c r="T18" s="195"/>
      <c r="U18" s="195"/>
      <c r="V18" s="195"/>
      <c r="W18" s="195"/>
      <c r="X18" s="195"/>
      <c r="Y18" s="195"/>
      <c r="Z18" s="195"/>
      <c r="AA18" s="195"/>
      <c r="AB18" s="195"/>
      <c r="AC18" s="195"/>
      <c r="AD18" s="195"/>
      <c r="AE18" s="195"/>
      <c r="AF18" s="195"/>
      <c r="AG18" s="195"/>
      <c r="AH18" s="195"/>
      <c r="AI18" s="195"/>
      <c r="AJ18" s="195"/>
      <c r="AK18" s="195"/>
      <c r="AL18" s="190"/>
      <c r="AM18" s="191"/>
      <c r="AN18" s="191"/>
      <c r="AO18" s="191"/>
      <c r="AP18" s="192"/>
      <c r="AQ18" s="195"/>
      <c r="AR18" s="195"/>
      <c r="AS18" s="195"/>
      <c r="AT18" s="195"/>
      <c r="AU18" s="195"/>
      <c r="AV18" s="195"/>
      <c r="AW18" s="195"/>
      <c r="AX18" s="195"/>
      <c r="AY18" s="195"/>
      <c r="AZ18" s="195"/>
      <c r="BA18" s="195"/>
    </row>
    <row r="19" spans="1:53">
      <c r="A19" s="191"/>
      <c r="B19" s="191"/>
      <c r="C19" s="192"/>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0"/>
      <c r="AM19" s="190"/>
      <c r="AN19" s="190"/>
      <c r="AO19" s="190"/>
      <c r="AP19" s="192"/>
      <c r="AQ19" s="192"/>
      <c r="AR19" s="192"/>
      <c r="AS19" s="192"/>
      <c r="AT19" s="192"/>
      <c r="AU19" s="192"/>
      <c r="AV19" s="192"/>
      <c r="AW19" s="192"/>
      <c r="AX19" s="192"/>
      <c r="AY19" s="192"/>
      <c r="AZ19" s="192"/>
      <c r="BA19" s="192"/>
    </row>
    <row r="20" spans="1:53">
      <c r="A20" s="191"/>
      <c r="B20" s="191"/>
      <c r="C20" s="192"/>
      <c r="D20" s="192"/>
      <c r="E20" s="192"/>
      <c r="F20" s="192"/>
      <c r="G20" s="192"/>
      <c r="H20" s="192"/>
      <c r="I20" s="192"/>
      <c r="J20" s="192"/>
      <c r="K20" s="192"/>
      <c r="L20" s="192"/>
      <c r="M20" s="192"/>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0"/>
      <c r="AM20" s="190"/>
      <c r="AN20" s="190"/>
      <c r="AO20" s="190"/>
      <c r="AP20" s="192"/>
      <c r="AQ20" s="192"/>
      <c r="AR20" s="192"/>
      <c r="AS20" s="192"/>
      <c r="AT20" s="192"/>
      <c r="AU20" s="192"/>
      <c r="AV20" s="192"/>
      <c r="AW20" s="192"/>
      <c r="AX20" s="192"/>
      <c r="AY20" s="192"/>
      <c r="AZ20" s="192"/>
      <c r="BA20" s="192"/>
    </row>
    <row r="21" spans="1:53" ht="13.5" customHeight="1">
      <c r="A21" s="191"/>
      <c r="B21" s="191"/>
      <c r="C21" s="192"/>
      <c r="D21" s="192"/>
      <c r="E21" s="192"/>
      <c r="F21" s="192"/>
      <c r="G21" s="192"/>
      <c r="H21" s="192"/>
      <c r="I21" s="192"/>
      <c r="J21" s="192"/>
      <c r="K21" s="192"/>
      <c r="L21" s="192"/>
      <c r="M21" s="192"/>
      <c r="N21" s="192"/>
      <c r="O21" s="192"/>
      <c r="P21" s="192"/>
      <c r="Q21" s="192"/>
      <c r="R21" s="195"/>
      <c r="S21" s="195"/>
      <c r="T21" s="195"/>
      <c r="U21" s="195"/>
      <c r="V21" s="195"/>
      <c r="W21" s="195"/>
      <c r="X21" s="195"/>
      <c r="Y21" s="195"/>
      <c r="Z21" s="195"/>
      <c r="AA21" s="195"/>
      <c r="AB21" s="195"/>
      <c r="AC21" s="195"/>
      <c r="AD21" s="195"/>
      <c r="AE21" s="195"/>
      <c r="AF21" s="195"/>
      <c r="AG21" s="195"/>
      <c r="AH21" s="195"/>
      <c r="AI21" s="195"/>
      <c r="AJ21" s="195"/>
      <c r="AK21" s="195"/>
      <c r="AL21" s="190"/>
      <c r="AM21" s="190"/>
      <c r="AN21" s="190"/>
      <c r="AO21" s="190"/>
      <c r="AP21" s="192"/>
      <c r="AQ21" s="192"/>
      <c r="AR21" s="192"/>
      <c r="AS21" s="192"/>
      <c r="AT21" s="192"/>
      <c r="AU21" s="192"/>
      <c r="AV21" s="192"/>
      <c r="AW21" s="192"/>
      <c r="AX21" s="192"/>
      <c r="AY21" s="192"/>
      <c r="AZ21" s="192"/>
      <c r="BA21" s="192"/>
    </row>
    <row r="22" spans="1:53">
      <c r="A22" s="191"/>
      <c r="B22" s="191"/>
      <c r="C22" s="192"/>
      <c r="D22" s="192"/>
      <c r="E22" s="192"/>
      <c r="F22" s="192"/>
      <c r="G22" s="192"/>
      <c r="H22" s="192"/>
      <c r="I22" s="192"/>
      <c r="J22" s="192"/>
      <c r="K22" s="192"/>
      <c r="L22" s="192"/>
      <c r="M22" s="192"/>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0"/>
      <c r="AM22" s="190"/>
      <c r="AN22" s="190"/>
      <c r="AO22" s="190"/>
      <c r="AP22" s="192"/>
      <c r="AQ22" s="192"/>
      <c r="AR22" s="192"/>
      <c r="AS22" s="192"/>
      <c r="AT22" s="192"/>
      <c r="AU22" s="192"/>
      <c r="AV22" s="192"/>
      <c r="AW22" s="192"/>
      <c r="AX22" s="192"/>
      <c r="AY22" s="192"/>
      <c r="AZ22" s="192"/>
      <c r="BA22" s="192"/>
    </row>
    <row r="23" spans="1:53">
      <c r="A23" s="191"/>
      <c r="B23" s="191"/>
      <c r="C23" s="192"/>
      <c r="D23" s="192"/>
      <c r="E23" s="192"/>
      <c r="F23" s="192"/>
      <c r="G23" s="192"/>
      <c r="H23" s="192"/>
      <c r="I23" s="192"/>
      <c r="J23" s="192"/>
      <c r="K23" s="192"/>
      <c r="L23" s="192"/>
      <c r="M23" s="192"/>
      <c r="N23" s="192"/>
      <c r="O23" s="192"/>
      <c r="P23" s="192"/>
      <c r="Q23" s="192"/>
      <c r="R23" s="195"/>
      <c r="S23" s="195"/>
      <c r="T23" s="195"/>
      <c r="U23" s="195"/>
      <c r="V23" s="195"/>
      <c r="W23" s="195"/>
      <c r="X23" s="195"/>
      <c r="Y23" s="195"/>
      <c r="Z23" s="195"/>
      <c r="AA23" s="195"/>
      <c r="AB23" s="195"/>
      <c r="AC23" s="195"/>
      <c r="AD23" s="195"/>
      <c r="AE23" s="195"/>
      <c r="AF23" s="195"/>
      <c r="AG23" s="195"/>
      <c r="AH23" s="195"/>
      <c r="AI23" s="195"/>
      <c r="AJ23" s="195"/>
      <c r="AK23" s="195"/>
      <c r="AL23" s="190"/>
      <c r="AM23" s="190"/>
      <c r="AN23" s="190"/>
      <c r="AO23" s="190"/>
      <c r="AP23" s="192"/>
      <c r="AQ23" s="192"/>
      <c r="AR23" s="192"/>
      <c r="AS23" s="192"/>
      <c r="AT23" s="192"/>
      <c r="AU23" s="192"/>
      <c r="AV23" s="192"/>
      <c r="AW23" s="192"/>
      <c r="AX23" s="192"/>
      <c r="AY23" s="192"/>
      <c r="AZ23" s="192"/>
      <c r="BA23" s="192"/>
    </row>
    <row r="24" spans="1:53">
      <c r="A24" s="191"/>
      <c r="B24" s="191"/>
      <c r="C24" s="192"/>
      <c r="D24" s="192"/>
      <c r="E24" s="192"/>
      <c r="F24" s="192"/>
      <c r="G24" s="192"/>
      <c r="H24" s="192"/>
      <c r="I24" s="192"/>
      <c r="J24" s="192"/>
      <c r="K24" s="192"/>
      <c r="L24" s="192"/>
      <c r="M24" s="192"/>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0"/>
      <c r="AM24" s="190"/>
      <c r="AN24" s="190"/>
      <c r="AO24" s="190"/>
      <c r="AP24" s="192"/>
      <c r="AQ24" s="192"/>
      <c r="AR24" s="192"/>
      <c r="AS24" s="192"/>
      <c r="AT24" s="192"/>
      <c r="AU24" s="192"/>
      <c r="AV24" s="192"/>
      <c r="AW24" s="192"/>
      <c r="AX24" s="192"/>
      <c r="AY24" s="192"/>
      <c r="AZ24" s="192"/>
      <c r="BA24" s="192"/>
    </row>
    <row r="25" spans="1:53">
      <c r="A25" s="191"/>
      <c r="B25" s="191"/>
      <c r="C25" s="192"/>
      <c r="D25" s="192"/>
      <c r="E25" s="192"/>
      <c r="F25" s="192"/>
      <c r="G25" s="192"/>
      <c r="H25" s="192"/>
      <c r="I25" s="192"/>
      <c r="J25" s="192"/>
      <c r="K25" s="192"/>
      <c r="L25" s="192"/>
      <c r="M25" s="192"/>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0"/>
      <c r="AM25" s="191"/>
      <c r="AN25" s="191"/>
      <c r="AO25" s="191"/>
      <c r="AP25" s="192"/>
      <c r="AQ25" s="192"/>
      <c r="AR25" s="192"/>
      <c r="AS25" s="192"/>
      <c r="AT25" s="192"/>
      <c r="AU25" s="192"/>
      <c r="AV25" s="192"/>
      <c r="AW25" s="192"/>
      <c r="AX25" s="192"/>
      <c r="AY25" s="192"/>
      <c r="AZ25" s="192"/>
      <c r="BA25" s="192"/>
    </row>
    <row r="26" spans="1:53">
      <c r="A26" s="191"/>
      <c r="B26" s="191"/>
      <c r="C26" s="192"/>
      <c r="D26" s="192"/>
      <c r="E26" s="192"/>
      <c r="F26" s="192"/>
      <c r="G26" s="192"/>
      <c r="H26" s="192"/>
      <c r="I26" s="192"/>
      <c r="J26" s="192"/>
      <c r="K26" s="192"/>
      <c r="L26" s="192"/>
      <c r="M26" s="192"/>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0"/>
      <c r="AM26" s="191"/>
      <c r="AN26" s="191"/>
      <c r="AO26" s="191"/>
      <c r="AP26" s="192"/>
      <c r="AQ26" s="192"/>
      <c r="AR26" s="192"/>
      <c r="AS26" s="192"/>
      <c r="AT26" s="192"/>
      <c r="AU26" s="192"/>
      <c r="AV26" s="192"/>
      <c r="AW26" s="192"/>
      <c r="AX26" s="192"/>
      <c r="AY26" s="192"/>
      <c r="AZ26" s="192"/>
      <c r="BA26" s="192"/>
    </row>
    <row r="27" spans="1:53">
      <c r="A27" s="191"/>
      <c r="B27" s="191"/>
      <c r="C27" s="192"/>
      <c r="D27" s="192"/>
      <c r="E27" s="192"/>
      <c r="F27" s="192"/>
      <c r="G27" s="192"/>
      <c r="H27" s="192"/>
      <c r="I27" s="192"/>
      <c r="J27" s="192"/>
      <c r="K27" s="192"/>
      <c r="L27" s="192"/>
      <c r="M27" s="192"/>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0"/>
      <c r="AM27" s="191"/>
      <c r="AN27" s="191"/>
      <c r="AO27" s="191"/>
      <c r="AP27" s="192"/>
      <c r="AQ27" s="192"/>
      <c r="AR27" s="192"/>
      <c r="AS27" s="192"/>
      <c r="AT27" s="192"/>
      <c r="AU27" s="192"/>
      <c r="AV27" s="192"/>
      <c r="AW27" s="192"/>
      <c r="AX27" s="192"/>
      <c r="AY27" s="192"/>
      <c r="AZ27" s="192"/>
      <c r="BA27" s="192"/>
    </row>
    <row r="28" spans="1:53">
      <c r="A28" s="191"/>
      <c r="B28" s="191"/>
      <c r="C28" s="192"/>
      <c r="D28" s="192"/>
      <c r="E28" s="192"/>
      <c r="F28" s="192"/>
      <c r="G28" s="192"/>
      <c r="H28" s="192"/>
      <c r="I28" s="192"/>
      <c r="J28" s="192"/>
      <c r="K28" s="192"/>
      <c r="L28" s="192"/>
      <c r="M28" s="192"/>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0"/>
      <c r="AM28" s="191"/>
      <c r="AN28" s="191"/>
      <c r="AO28" s="191"/>
      <c r="AP28" s="192"/>
      <c r="AQ28" s="192"/>
      <c r="AR28" s="192"/>
      <c r="AS28" s="192"/>
      <c r="AT28" s="192"/>
      <c r="AU28" s="192"/>
      <c r="AV28" s="192"/>
      <c r="AW28" s="192"/>
      <c r="AX28" s="192"/>
      <c r="AY28" s="192"/>
      <c r="AZ28" s="192"/>
      <c r="BA28" s="192"/>
    </row>
    <row r="29" spans="1:53">
      <c r="A29" s="191"/>
      <c r="B29" s="191"/>
      <c r="C29" s="192"/>
      <c r="D29" s="192"/>
      <c r="E29" s="192"/>
      <c r="F29" s="192"/>
      <c r="G29" s="192"/>
      <c r="H29" s="192"/>
      <c r="I29" s="192"/>
      <c r="J29" s="192"/>
      <c r="K29" s="192"/>
      <c r="L29" s="192"/>
      <c r="M29" s="192"/>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0"/>
      <c r="AM29" s="191"/>
      <c r="AN29" s="191"/>
      <c r="AO29" s="191"/>
      <c r="AP29" s="192"/>
      <c r="AQ29" s="192"/>
      <c r="AR29" s="192"/>
      <c r="AS29" s="192"/>
      <c r="AT29" s="192"/>
      <c r="AU29" s="192"/>
      <c r="AV29" s="192"/>
      <c r="AW29" s="192"/>
      <c r="AX29" s="192"/>
      <c r="AY29" s="192"/>
      <c r="AZ29" s="192"/>
      <c r="BA29" s="192"/>
    </row>
    <row r="30" spans="1:53">
      <c r="A30" s="191"/>
      <c r="B30" s="191"/>
      <c r="C30" s="192"/>
      <c r="D30" s="192"/>
      <c r="E30" s="192"/>
      <c r="F30" s="192"/>
      <c r="G30" s="192"/>
      <c r="H30" s="192"/>
      <c r="I30" s="192"/>
      <c r="J30" s="192"/>
      <c r="K30" s="192"/>
      <c r="L30" s="192"/>
      <c r="M30" s="192"/>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1"/>
      <c r="AM30" s="191"/>
      <c r="AN30" s="191"/>
      <c r="AO30" s="191"/>
      <c r="AP30" s="192"/>
      <c r="AQ30" s="192"/>
      <c r="AR30" s="192"/>
      <c r="AS30" s="192"/>
      <c r="AT30" s="192"/>
      <c r="AU30" s="192"/>
      <c r="AV30" s="192"/>
      <c r="AW30" s="192"/>
      <c r="AX30" s="192"/>
      <c r="AY30" s="192"/>
      <c r="AZ30" s="192"/>
      <c r="BA30" s="192"/>
    </row>
    <row r="31" spans="1:53">
      <c r="A31" s="191"/>
      <c r="B31" s="191"/>
      <c r="C31" s="192"/>
      <c r="D31" s="192"/>
      <c r="E31" s="192"/>
      <c r="F31" s="192"/>
      <c r="G31" s="192"/>
      <c r="H31" s="192"/>
      <c r="I31" s="192"/>
      <c r="J31" s="192"/>
      <c r="K31" s="192"/>
      <c r="L31" s="192"/>
      <c r="M31" s="192"/>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1"/>
      <c r="AM31" s="191"/>
      <c r="AN31" s="191"/>
      <c r="AO31" s="191"/>
      <c r="AP31" s="192"/>
      <c r="AQ31" s="192"/>
      <c r="AR31" s="192"/>
      <c r="AS31" s="192"/>
      <c r="AT31" s="192"/>
      <c r="AU31" s="192"/>
      <c r="AV31" s="192"/>
      <c r="AW31" s="192"/>
      <c r="AX31" s="192"/>
      <c r="AY31" s="192"/>
      <c r="AZ31" s="192"/>
      <c r="BA31" s="192"/>
    </row>
    <row r="32" spans="1:53">
      <c r="A32" s="191"/>
      <c r="B32" s="191"/>
      <c r="C32" s="192"/>
      <c r="D32" s="192"/>
      <c r="E32" s="192"/>
      <c r="F32" s="192"/>
      <c r="G32" s="192"/>
      <c r="H32" s="192"/>
      <c r="I32" s="192"/>
      <c r="J32" s="192"/>
      <c r="K32" s="192"/>
      <c r="L32" s="192"/>
      <c r="M32" s="192"/>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1"/>
      <c r="AM32" s="191"/>
      <c r="AN32" s="191"/>
      <c r="AO32" s="191"/>
      <c r="AP32" s="192"/>
      <c r="AQ32" s="192"/>
      <c r="AR32" s="192"/>
      <c r="AS32" s="192"/>
      <c r="AT32" s="192"/>
      <c r="AU32" s="192"/>
      <c r="AV32" s="192"/>
      <c r="AW32" s="192"/>
      <c r="AX32" s="192"/>
      <c r="AY32" s="192"/>
      <c r="AZ32" s="192"/>
      <c r="BA32" s="192"/>
    </row>
    <row r="33" spans="1:53">
      <c r="A33" s="191"/>
      <c r="B33" s="191"/>
      <c r="C33" s="192"/>
      <c r="D33" s="192"/>
      <c r="E33" s="192"/>
      <c r="F33" s="192"/>
      <c r="G33" s="192"/>
      <c r="H33" s="192"/>
      <c r="I33" s="192"/>
      <c r="J33" s="192"/>
      <c r="K33" s="192"/>
      <c r="L33" s="192"/>
      <c r="M33" s="192"/>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1"/>
      <c r="AM33" s="191"/>
      <c r="AN33" s="191"/>
      <c r="AO33" s="191"/>
      <c r="AP33" s="192"/>
      <c r="AQ33" s="192"/>
      <c r="AR33" s="192"/>
      <c r="AS33" s="192"/>
      <c r="AT33" s="192"/>
      <c r="AU33" s="192"/>
      <c r="AV33" s="192"/>
      <c r="AW33" s="192"/>
      <c r="AX33" s="192"/>
      <c r="AY33" s="192"/>
      <c r="AZ33" s="192"/>
      <c r="BA33" s="192"/>
    </row>
    <row r="34" spans="1:53">
      <c r="A34" s="191"/>
      <c r="B34" s="191"/>
      <c r="C34" s="192"/>
      <c r="D34" s="192"/>
      <c r="E34" s="192"/>
      <c r="F34" s="192"/>
      <c r="G34" s="192"/>
      <c r="H34" s="192"/>
      <c r="I34" s="192"/>
      <c r="J34" s="192"/>
      <c r="K34" s="192"/>
      <c r="L34" s="192"/>
      <c r="M34" s="192"/>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1"/>
      <c r="AM34" s="191"/>
      <c r="AN34" s="191"/>
      <c r="AO34" s="191"/>
      <c r="AP34" s="192"/>
      <c r="AQ34" s="192"/>
      <c r="AR34" s="192"/>
      <c r="AS34" s="192"/>
      <c r="AT34" s="192"/>
      <c r="AU34" s="192"/>
      <c r="AV34" s="192"/>
      <c r="AW34" s="192"/>
      <c r="AX34" s="192"/>
      <c r="AY34" s="192"/>
      <c r="AZ34" s="192"/>
      <c r="BA34" s="192"/>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89"/>
  <sheetViews>
    <sheetView showGridLines="0" topLeftCell="A5" zoomScaleNormal="10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85" ht="12" customHeight="1">
      <c r="A1" s="230" t="s">
        <v>4</v>
      </c>
      <c r="B1" s="230"/>
      <c r="C1" s="230"/>
      <c r="D1" s="230"/>
      <c r="E1" s="230"/>
      <c r="F1" s="230"/>
      <c r="G1" s="230"/>
      <c r="H1" s="230"/>
      <c r="I1" s="213" t="s">
        <v>5</v>
      </c>
      <c r="J1" s="213"/>
      <c r="K1" s="213"/>
      <c r="L1" s="213"/>
      <c r="M1" s="228" t="str">
        <f>変更来歴!M1</f>
        <v>ヒロセ電機株式会社</v>
      </c>
      <c r="N1" s="228"/>
      <c r="O1" s="228"/>
      <c r="P1" s="228"/>
      <c r="Q1" s="228"/>
      <c r="R1" s="228"/>
      <c r="S1" s="228"/>
      <c r="T1" s="228"/>
      <c r="U1" s="228"/>
      <c r="V1" s="228"/>
      <c r="W1" s="228"/>
      <c r="X1" s="213" t="s">
        <v>7</v>
      </c>
      <c r="Y1" s="213"/>
      <c r="Z1" s="213"/>
      <c r="AA1" s="232" t="str">
        <f>変更来歴!AA1</f>
        <v>化学物質データ申請</v>
      </c>
      <c r="AB1" s="232"/>
      <c r="AC1" s="232"/>
      <c r="AD1" s="232"/>
      <c r="AE1" s="232"/>
      <c r="AF1" s="232"/>
      <c r="AG1" s="232"/>
      <c r="AH1" s="232"/>
      <c r="AI1" s="232"/>
      <c r="AJ1" s="232"/>
      <c r="AK1" s="217" t="s">
        <v>8</v>
      </c>
      <c r="AL1" s="217"/>
      <c r="AM1" s="217"/>
      <c r="AN1" s="218" t="str">
        <f>変更来歴!AP7</f>
        <v>古竹</v>
      </c>
      <c r="AO1" s="218"/>
      <c r="AP1" s="218"/>
      <c r="AQ1" s="218"/>
      <c r="AR1" s="218"/>
      <c r="AS1" s="217" t="s">
        <v>9</v>
      </c>
      <c r="AT1" s="217"/>
      <c r="AU1" s="217"/>
      <c r="AV1" s="220">
        <f>変更来歴!AL7</f>
        <v>46125</v>
      </c>
      <c r="AW1" s="233"/>
      <c r="AX1" s="233"/>
      <c r="AY1" s="233"/>
      <c r="AZ1" s="209" t="s">
        <v>10</v>
      </c>
      <c r="BA1" s="210"/>
      <c r="BB1" s="210"/>
      <c r="BC1" s="211"/>
    </row>
    <row r="2" spans="1:85">
      <c r="A2" s="212" t="s">
        <v>16</v>
      </c>
      <c r="B2" s="212"/>
      <c r="C2" s="212"/>
      <c r="D2" s="212"/>
      <c r="E2" s="212"/>
      <c r="F2" s="212"/>
      <c r="G2" s="212"/>
      <c r="H2" s="212"/>
      <c r="I2" s="213" t="s">
        <v>11</v>
      </c>
      <c r="J2" s="213"/>
      <c r="K2" s="213"/>
      <c r="L2" s="213"/>
      <c r="M2" s="250" t="str">
        <f>変更来歴!M2</f>
        <v>新環境証明証システム移行</v>
      </c>
      <c r="N2" s="250"/>
      <c r="O2" s="250"/>
      <c r="P2" s="250"/>
      <c r="Q2" s="250"/>
      <c r="R2" s="250"/>
      <c r="S2" s="250"/>
      <c r="T2" s="250"/>
      <c r="U2" s="250"/>
      <c r="V2" s="250"/>
      <c r="W2" s="250"/>
      <c r="X2" s="213"/>
      <c r="Y2" s="213"/>
      <c r="Z2" s="213"/>
      <c r="AA2" s="232"/>
      <c r="AB2" s="232"/>
      <c r="AC2" s="232"/>
      <c r="AD2" s="232"/>
      <c r="AE2" s="232"/>
      <c r="AF2" s="232"/>
      <c r="AG2" s="232"/>
      <c r="AH2" s="232"/>
      <c r="AI2" s="232"/>
      <c r="AJ2" s="232"/>
      <c r="AK2" s="217" t="s">
        <v>12</v>
      </c>
      <c r="AL2" s="217"/>
      <c r="AM2" s="217"/>
      <c r="AN2" s="218" t="str">
        <f ca="1">INDIRECT("変更来歴!AP" &amp; COUNTA(変更来歴!AP7:'変更来歴'!AP39) + 6)</f>
        <v>古竹</v>
      </c>
      <c r="AO2" s="218"/>
      <c r="AP2" s="218"/>
      <c r="AQ2" s="218"/>
      <c r="AR2" s="218"/>
      <c r="AS2" s="217" t="s">
        <v>13</v>
      </c>
      <c r="AT2" s="217"/>
      <c r="AU2" s="217"/>
      <c r="AV2" s="220">
        <f ca="1">INDIRECT("変更来歴!AL" &amp; COUNTA(変更来歴!AL7:'変更来歴'!AL39) + 6)</f>
        <v>46190</v>
      </c>
      <c r="AW2" s="233"/>
      <c r="AX2" s="233"/>
      <c r="AY2" s="233"/>
      <c r="AZ2" s="221" t="str">
        <f>変更来歴!AX2</f>
        <v>IMWF-53</v>
      </c>
      <c r="BA2" s="222"/>
      <c r="BB2" s="222"/>
      <c r="BC2" s="223"/>
    </row>
    <row r="3" spans="1:85" ht="12" customHeight="1">
      <c r="A3" s="227" t="str">
        <f>変更来歴!A3</f>
        <v>画面設計書</v>
      </c>
      <c r="B3" s="227"/>
      <c r="C3" s="227"/>
      <c r="D3" s="227"/>
      <c r="E3" s="227"/>
      <c r="F3" s="227"/>
      <c r="G3" s="227"/>
      <c r="H3" s="227"/>
      <c r="I3" s="213" t="s">
        <v>14</v>
      </c>
      <c r="J3" s="213"/>
      <c r="K3" s="213"/>
      <c r="L3" s="213"/>
      <c r="M3" s="228" t="str">
        <f ca="1">RIGHT(CELL("filename",A1),LEN(CELL("filename",A1))-FIND("]",CELL("filename",A1)))</f>
        <v>化学物質データ画面(日英併記)</v>
      </c>
      <c r="N3" s="228"/>
      <c r="O3" s="228"/>
      <c r="P3" s="228"/>
      <c r="Q3" s="228"/>
      <c r="R3" s="228"/>
      <c r="S3" s="228"/>
      <c r="T3" s="228"/>
      <c r="U3" s="228"/>
      <c r="V3" s="228"/>
      <c r="W3" s="228"/>
      <c r="X3" s="213" t="s">
        <v>26</v>
      </c>
      <c r="Y3" s="213"/>
      <c r="Z3" s="213"/>
      <c r="AA3" s="229" t="str">
        <f ca="1">MID(CELL("filename"),FIND("]",CELL("filename"))+1,LEN(CELL("filename"))) &amp; "画面"</f>
        <v>表紙画面</v>
      </c>
      <c r="AB3" s="229"/>
      <c r="AC3" s="229"/>
      <c r="AD3" s="229"/>
      <c r="AE3" s="229"/>
      <c r="AF3" s="229"/>
      <c r="AG3" s="229"/>
      <c r="AH3" s="229"/>
      <c r="AI3" s="229"/>
      <c r="AJ3" s="229"/>
      <c r="AK3" s="229"/>
      <c r="AL3" s="229"/>
      <c r="AM3" s="229"/>
      <c r="AN3" s="229"/>
      <c r="AO3" s="229"/>
      <c r="AP3" s="229"/>
      <c r="AQ3" s="229"/>
      <c r="AR3" s="229"/>
      <c r="AS3" s="217" t="s">
        <v>15</v>
      </c>
      <c r="AT3" s="217"/>
      <c r="AU3" s="217"/>
      <c r="AV3" s="233" t="str">
        <f ca="1">INDIRECT("変更来歴!A" &amp; COUNTA(変更来歴!A7:'変更来歴'!A39) + 6)</f>
        <v>dr1.5</v>
      </c>
      <c r="AW3" s="233"/>
      <c r="AX3" s="233"/>
      <c r="AY3" s="233"/>
      <c r="AZ3" s="224"/>
      <c r="BA3" s="225"/>
      <c r="BB3" s="225"/>
      <c r="BC3" s="226"/>
    </row>
    <row r="4" spans="1:85" ht="5.9" customHeight="1"/>
    <row r="5" spans="1:85" ht="13.5" customHeight="1">
      <c r="A5" s="259" t="str">
        <f ca="1">"画面レイアウト"&amp;"("&amp;MID(CELL("filename"),FIND("]",CELL("filename"))+1,LEN(CELL("filename")))&amp;")"</f>
        <v>画面レイアウト(表紙)</v>
      </c>
      <c r="B5" s="260"/>
      <c r="C5" s="260"/>
      <c r="D5" s="260"/>
      <c r="E5" s="260"/>
      <c r="F5" s="260"/>
      <c r="G5" s="260"/>
      <c r="H5" s="260"/>
      <c r="I5" s="260"/>
      <c r="J5" s="260"/>
      <c r="K5" s="260"/>
      <c r="L5" s="260"/>
      <c r="M5" s="260"/>
      <c r="N5" s="260"/>
      <c r="O5" s="260"/>
      <c r="P5" s="260"/>
      <c r="Q5" s="260"/>
      <c r="R5" s="260"/>
      <c r="S5" s="260"/>
      <c r="T5" s="260"/>
      <c r="U5" s="260"/>
      <c r="V5" s="260"/>
      <c r="W5" s="260"/>
      <c r="X5" s="260"/>
      <c r="Y5" s="260"/>
      <c r="Z5" s="260"/>
      <c r="AA5" s="260"/>
      <c r="AB5" s="260"/>
      <c r="AC5" s="260"/>
      <c r="AD5" s="260"/>
      <c r="AE5" s="260"/>
      <c r="AF5" s="260"/>
      <c r="AG5" s="260"/>
      <c r="AH5" s="260"/>
      <c r="AI5" s="260"/>
      <c r="AJ5" s="260"/>
      <c r="AK5" s="260"/>
      <c r="AL5" s="260"/>
      <c r="AM5" s="260"/>
      <c r="AN5" s="260"/>
      <c r="AO5" s="260"/>
      <c r="AP5" s="260"/>
      <c r="AQ5" s="260"/>
      <c r="AR5" s="260"/>
      <c r="AS5" s="260"/>
      <c r="AT5" s="260"/>
      <c r="AU5" s="260"/>
      <c r="AV5" s="260"/>
      <c r="AW5" s="260"/>
      <c r="AX5" s="260"/>
      <c r="AY5" s="260"/>
      <c r="AZ5" s="260"/>
      <c r="BA5" s="261"/>
      <c r="BB5" s="262" t="s">
        <v>23</v>
      </c>
      <c r="BC5" s="263"/>
      <c r="BD5" s="24"/>
    </row>
    <row r="6" spans="1:8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85" s="123" customFormat="1" ht="32.5" customHeight="1">
      <c r="A7" s="35"/>
      <c r="B7" s="55"/>
      <c r="C7" s="57"/>
      <c r="D7" s="57"/>
      <c r="E7" s="57"/>
      <c r="F7" s="57"/>
      <c r="G7" s="57"/>
      <c r="H7" s="57"/>
      <c r="I7" s="57"/>
      <c r="J7" s="57"/>
      <c r="K7" s="57"/>
      <c r="L7" s="57"/>
      <c r="M7" s="57"/>
      <c r="N7" s="57"/>
      <c r="O7" s="57"/>
      <c r="P7" s="57"/>
      <c r="Q7" s="57"/>
      <c r="R7" s="57"/>
      <c r="S7" s="137"/>
      <c r="T7" s="137"/>
      <c r="U7" s="137"/>
      <c r="V7" s="137"/>
      <c r="W7" s="57"/>
      <c r="X7" s="57"/>
      <c r="Y7" s="137"/>
      <c r="Z7" s="137"/>
      <c r="AA7" s="57"/>
      <c r="AB7" s="57"/>
      <c r="AC7" s="57"/>
      <c r="AD7" s="137"/>
      <c r="AE7" s="137"/>
      <c r="AF7" s="137"/>
      <c r="AG7" s="137"/>
      <c r="AH7" s="137"/>
      <c r="AI7" s="137"/>
      <c r="AJ7" s="137"/>
      <c r="AK7" s="137"/>
      <c r="AL7" s="137"/>
      <c r="AM7" s="137"/>
      <c r="AN7" s="137"/>
      <c r="AO7" s="137"/>
      <c r="AP7" s="137"/>
      <c r="AQ7" s="137"/>
      <c r="AR7" s="137"/>
      <c r="AS7" s="137"/>
      <c r="AT7" s="137"/>
      <c r="AU7" s="137"/>
      <c r="AV7" s="137"/>
      <c r="AW7" s="137"/>
      <c r="AX7" s="137"/>
      <c r="AY7" s="55"/>
      <c r="AZ7" s="54"/>
      <c r="BA7" s="60"/>
      <c r="BB7" s="136"/>
      <c r="BC7" s="50"/>
      <c r="BD7" s="51"/>
      <c r="BE7" s="124"/>
      <c r="BF7" s="124"/>
      <c r="BG7" s="124"/>
      <c r="BH7" s="124"/>
      <c r="BI7" s="124"/>
      <c r="BJ7" s="124"/>
      <c r="BK7" s="124"/>
      <c r="BS7" s="124"/>
      <c r="BT7" s="124"/>
    </row>
    <row r="8" spans="1:85" ht="21" customHeight="1">
      <c r="A8" s="36"/>
      <c r="B8" s="115"/>
      <c r="C8" s="120" t="s">
        <v>37</v>
      </c>
      <c r="D8" s="116"/>
      <c r="E8" s="117"/>
      <c r="F8" s="117"/>
      <c r="G8" s="117"/>
      <c r="H8" s="98"/>
      <c r="I8" s="98"/>
      <c r="J8" s="99"/>
      <c r="K8" s="99"/>
      <c r="L8" s="99"/>
      <c r="M8" s="99"/>
      <c r="N8" s="102"/>
      <c r="O8" s="101"/>
      <c r="P8" s="102"/>
      <c r="Q8" s="98"/>
      <c r="R8" s="98"/>
      <c r="S8" s="98"/>
      <c r="T8" s="100"/>
      <c r="U8" s="100"/>
      <c r="V8" s="100"/>
      <c r="W8" s="100"/>
      <c r="X8" s="100"/>
      <c r="Y8" s="101"/>
      <c r="Z8" s="100"/>
      <c r="AA8" s="98"/>
      <c r="AB8" s="101"/>
      <c r="AC8" s="100"/>
      <c r="AD8" s="98"/>
      <c r="AE8" s="101"/>
      <c r="AF8" s="98"/>
      <c r="AG8" s="98"/>
      <c r="AH8" s="101"/>
      <c r="AI8" s="98"/>
      <c r="AJ8" s="98"/>
      <c r="AK8" s="118"/>
      <c r="AL8" s="98"/>
      <c r="AM8" s="98"/>
      <c r="AN8" s="98"/>
      <c r="AO8" s="98"/>
      <c r="AP8" s="98"/>
      <c r="AQ8" s="98"/>
      <c r="AR8" s="98"/>
      <c r="AS8" s="98"/>
      <c r="AT8" s="117"/>
      <c r="AU8" s="117"/>
      <c r="AV8" s="117"/>
      <c r="AW8" s="117"/>
      <c r="AX8" s="117"/>
      <c r="AY8" s="117"/>
      <c r="AZ8" s="119"/>
      <c r="BA8" s="60"/>
      <c r="BB8" s="49"/>
      <c r="BC8" s="50"/>
      <c r="BD8" s="34"/>
      <c r="BE8" s="124"/>
      <c r="BF8" s="124"/>
      <c r="BN8" s="124"/>
      <c r="BO8" s="124"/>
      <c r="BP8" s="124"/>
      <c r="BQ8" s="124"/>
      <c r="BR8" s="124"/>
      <c r="BS8" s="124"/>
      <c r="BT8" s="124"/>
    </row>
    <row r="9" spans="1:85" ht="12.65" customHeight="1">
      <c r="A9" s="36"/>
      <c r="B9" s="56"/>
      <c r="C9" s="67"/>
      <c r="D9" s="68"/>
      <c r="E9" s="59"/>
      <c r="F9" s="59"/>
      <c r="G9" s="59"/>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4"/>
      <c r="AT9" s="69"/>
      <c r="AU9" s="69"/>
      <c r="AV9" s="69"/>
      <c r="AW9" s="69"/>
      <c r="AX9" s="69"/>
      <c r="AY9" s="69"/>
      <c r="AZ9" s="60"/>
      <c r="BA9" s="60"/>
      <c r="BB9" s="49"/>
      <c r="BC9" s="50"/>
      <c r="BD9" s="34"/>
      <c r="BE9" s="236" t="s">
        <v>180</v>
      </c>
      <c r="BF9" s="236"/>
      <c r="BG9" s="236"/>
      <c r="BH9" s="236"/>
      <c r="BI9" s="236"/>
      <c r="BJ9" s="236"/>
      <c r="BK9" s="236"/>
      <c r="BL9" s="236"/>
      <c r="BM9" s="236"/>
      <c r="BN9" s="125"/>
      <c r="BO9" s="125"/>
      <c r="BP9" s="125"/>
      <c r="BQ9" s="125"/>
      <c r="BR9" s="125"/>
      <c r="BS9" s="124"/>
      <c r="BT9" s="124"/>
    </row>
    <row r="10" spans="1:85" ht="24" customHeight="1">
      <c r="A10" s="36"/>
      <c r="B10" s="37"/>
      <c r="C10" s="40"/>
      <c r="D10" s="40"/>
      <c r="E10" s="40"/>
      <c r="F10" s="38"/>
      <c r="G10" s="38"/>
      <c r="H10" s="277" t="s">
        <v>170</v>
      </c>
      <c r="I10" s="277"/>
      <c r="J10" s="277"/>
      <c r="K10" s="277"/>
      <c r="L10" s="277"/>
      <c r="M10" s="277"/>
      <c r="N10" s="277"/>
      <c r="O10" s="277"/>
      <c r="P10" s="277"/>
      <c r="Q10" s="277"/>
      <c r="R10" s="277"/>
      <c r="S10" s="277"/>
      <c r="T10" s="277"/>
      <c r="U10" s="277"/>
      <c r="V10" s="277"/>
      <c r="W10" s="277"/>
      <c r="X10" s="277"/>
      <c r="Y10" s="277"/>
      <c r="Z10" s="277"/>
      <c r="AA10" s="277"/>
      <c r="AB10" s="277"/>
      <c r="AC10" s="277"/>
      <c r="AD10" s="277"/>
      <c r="AE10" s="277"/>
      <c r="AF10" s="277"/>
      <c r="AG10" s="277"/>
      <c r="AH10" s="277"/>
      <c r="AI10" s="277"/>
      <c r="AJ10" s="277"/>
      <c r="AK10" s="277"/>
      <c r="AL10" s="277"/>
      <c r="AM10" s="277"/>
      <c r="AN10" s="277"/>
      <c r="AO10" s="277"/>
      <c r="AP10" s="277"/>
      <c r="AQ10" s="277"/>
      <c r="AR10" s="277"/>
      <c r="AS10" s="277"/>
      <c r="AT10" s="43"/>
      <c r="AU10" s="41"/>
      <c r="AV10" s="44"/>
      <c r="AW10" s="44"/>
      <c r="AX10" s="44"/>
      <c r="AY10" s="38"/>
      <c r="AZ10" s="39"/>
      <c r="BA10" s="39"/>
      <c r="BB10" s="32"/>
      <c r="BC10" s="33"/>
      <c r="BD10" s="34"/>
      <c r="BE10" s="166" t="s">
        <v>134</v>
      </c>
      <c r="BF10" s="167"/>
      <c r="BG10" s="167"/>
      <c r="BH10" s="167"/>
      <c r="BI10" s="167"/>
      <c r="BJ10" s="167"/>
      <c r="BK10" s="167"/>
      <c r="BL10" s="167"/>
      <c r="BM10" s="167"/>
      <c r="BN10" s="168"/>
      <c r="BO10" s="168"/>
      <c r="BP10" s="168"/>
      <c r="BQ10" s="168"/>
      <c r="BR10" s="168"/>
      <c r="BS10" s="169"/>
      <c r="BT10" s="169"/>
      <c r="BU10" s="167"/>
      <c r="BV10" s="167"/>
      <c r="BW10" s="167"/>
      <c r="BX10" s="167"/>
      <c r="BY10" s="167"/>
      <c r="BZ10" s="167"/>
      <c r="CA10" s="167"/>
      <c r="CB10" s="167"/>
      <c r="CC10" s="167"/>
      <c r="CD10" s="167"/>
      <c r="CE10" s="167"/>
      <c r="CF10" s="167"/>
      <c r="CG10" s="170"/>
    </row>
    <row r="11" spans="1:85" ht="12" customHeight="1">
      <c r="A11" s="36"/>
      <c r="B11" s="45"/>
      <c r="C11" s="46"/>
      <c r="D11" s="34"/>
      <c r="E11" s="34"/>
      <c r="F11" s="34"/>
      <c r="G11" s="34"/>
      <c r="H11" s="47"/>
      <c r="I11" s="42"/>
      <c r="J11" s="41"/>
      <c r="K11" s="42"/>
      <c r="L11" s="41"/>
      <c r="M11" s="48"/>
      <c r="N11" s="48"/>
      <c r="O11" s="44"/>
      <c r="P11" s="48"/>
      <c r="Q11" s="44"/>
      <c r="R11" s="48"/>
      <c r="S11" s="35"/>
      <c r="T11" s="34"/>
      <c r="U11" s="34"/>
      <c r="V11" s="34"/>
      <c r="W11" s="34"/>
      <c r="X11" s="34"/>
      <c r="Y11" s="47"/>
      <c r="Z11" s="42"/>
      <c r="AA11" s="41"/>
      <c r="AB11" s="42"/>
      <c r="AC11" s="41"/>
      <c r="AD11" s="48"/>
      <c r="AE11" s="48"/>
      <c r="AF11" s="44"/>
      <c r="AG11" s="48"/>
      <c r="AH11" s="48"/>
      <c r="AI11" s="43"/>
      <c r="AJ11" s="48"/>
      <c r="AK11" s="44"/>
      <c r="AL11" s="34"/>
      <c r="AM11" s="34"/>
      <c r="AN11" s="34"/>
      <c r="AO11" s="34"/>
      <c r="AP11" s="34"/>
      <c r="AQ11" s="34"/>
      <c r="AR11" s="34"/>
      <c r="AS11" s="41"/>
      <c r="AT11" s="43"/>
      <c r="AU11" s="41"/>
      <c r="AV11" s="44"/>
      <c r="AW11" s="44"/>
      <c r="AX11" s="44"/>
      <c r="AY11" s="38"/>
      <c r="AZ11" s="39"/>
      <c r="BA11" s="39"/>
      <c r="BB11" s="32"/>
      <c r="BC11" s="33"/>
      <c r="BD11" s="34"/>
      <c r="BE11" s="171" t="s">
        <v>42</v>
      </c>
      <c r="BF11" s="68"/>
      <c r="BG11" s="125"/>
      <c r="BH11" s="125"/>
      <c r="BI11" s="125"/>
      <c r="BJ11" s="125"/>
      <c r="BK11" s="125"/>
      <c r="BL11" s="125"/>
      <c r="BM11" s="125"/>
      <c r="BN11" s="124"/>
      <c r="BO11" s="124"/>
      <c r="BP11" s="124"/>
      <c r="BQ11" s="124"/>
      <c r="BR11" s="124"/>
      <c r="BS11" s="124"/>
      <c r="BT11" s="124"/>
      <c r="CG11" s="172"/>
    </row>
    <row r="12" spans="1:85" ht="12.65" customHeight="1">
      <c r="A12" s="36"/>
      <c r="B12" s="37"/>
      <c r="C12" s="34"/>
      <c r="D12" s="34"/>
      <c r="E12" s="34"/>
      <c r="F12" s="35"/>
      <c r="G12" s="40"/>
      <c r="H12" s="71"/>
      <c r="I12" s="71"/>
      <c r="J12" s="71"/>
      <c r="K12" s="71"/>
      <c r="L12" s="71"/>
      <c r="M12" s="71"/>
      <c r="N12" s="71"/>
      <c r="O12" s="71"/>
      <c r="P12" s="71"/>
      <c r="Q12" s="71"/>
      <c r="R12" s="71"/>
      <c r="S12" s="71"/>
      <c r="T12" s="72"/>
      <c r="U12" s="72"/>
      <c r="V12" s="72"/>
      <c r="W12" s="72"/>
      <c r="X12" s="73"/>
      <c r="Y12" s="72"/>
      <c r="Z12" s="72"/>
      <c r="AA12" s="72"/>
      <c r="AB12" s="74"/>
      <c r="AC12" s="72"/>
      <c r="AD12" s="75"/>
      <c r="AE12" s="75"/>
      <c r="AF12" s="75"/>
      <c r="AG12" s="75"/>
      <c r="AH12" s="75"/>
      <c r="AI12" s="71"/>
      <c r="AJ12" s="72"/>
      <c r="AK12" s="72"/>
      <c r="AL12" s="72"/>
      <c r="AM12" s="72"/>
      <c r="AN12" s="76"/>
      <c r="AO12" s="73"/>
      <c r="AP12" s="73"/>
      <c r="AQ12" s="72"/>
      <c r="AR12" s="72"/>
      <c r="AS12" s="72"/>
      <c r="AT12" s="43"/>
      <c r="AU12" s="41"/>
      <c r="AV12" s="44"/>
      <c r="AW12" s="44"/>
      <c r="AX12" s="44"/>
      <c r="AY12" s="38"/>
      <c r="AZ12" s="39"/>
      <c r="BA12" s="39"/>
      <c r="BB12" s="32"/>
      <c r="BC12" s="33"/>
      <c r="BD12" s="34"/>
      <c r="BE12" s="173"/>
      <c r="BF12" s="68" t="s">
        <v>43</v>
      </c>
      <c r="BG12" s="68"/>
      <c r="BH12" s="68"/>
      <c r="BI12" s="125"/>
      <c r="BJ12" s="125"/>
      <c r="BK12" s="125"/>
      <c r="BL12" s="125"/>
      <c r="BM12" s="125"/>
      <c r="BN12" s="124"/>
      <c r="BO12" s="124"/>
      <c r="BP12" s="124"/>
      <c r="BQ12" s="124"/>
      <c r="BR12" s="124"/>
      <c r="BS12" s="124"/>
      <c r="BT12" s="124"/>
      <c r="CG12" s="172"/>
    </row>
    <row r="13" spans="1:85" ht="12.65" customHeight="1">
      <c r="A13" s="36"/>
      <c r="B13" s="56"/>
      <c r="C13" s="55"/>
      <c r="D13" s="57"/>
      <c r="E13" s="57"/>
      <c r="F13" s="57"/>
      <c r="G13" s="55"/>
      <c r="H13" s="71"/>
      <c r="I13" s="71" t="s">
        <v>130</v>
      </c>
      <c r="J13" s="71"/>
      <c r="K13" s="71"/>
      <c r="L13" s="71"/>
      <c r="M13" s="71"/>
      <c r="N13" s="71"/>
      <c r="O13" s="71"/>
      <c r="P13" s="71"/>
      <c r="Q13" s="71"/>
      <c r="R13" s="71"/>
      <c r="S13" s="71"/>
      <c r="T13" s="72"/>
      <c r="U13" s="72"/>
      <c r="V13" s="72"/>
      <c r="W13" s="72"/>
      <c r="X13" s="73"/>
      <c r="Y13" s="72"/>
      <c r="Z13" s="71"/>
      <c r="AA13" s="71"/>
      <c r="AB13" s="71"/>
      <c r="AC13" s="71"/>
      <c r="AD13" s="71"/>
      <c r="AE13" s="71"/>
      <c r="AF13" s="71"/>
      <c r="AG13" s="71"/>
      <c r="AH13" s="71"/>
      <c r="AI13" s="71"/>
      <c r="AJ13" s="71"/>
      <c r="AK13" s="71"/>
      <c r="AL13" s="71"/>
      <c r="AM13" s="71"/>
      <c r="AN13" s="71"/>
      <c r="AO13" s="71"/>
      <c r="AP13" s="71"/>
      <c r="AQ13" s="71"/>
      <c r="AR13" s="71"/>
      <c r="AS13" s="71"/>
      <c r="AT13" s="55"/>
      <c r="AU13" s="55"/>
      <c r="AV13" s="55"/>
      <c r="AW13" s="55"/>
      <c r="AX13" s="59"/>
      <c r="AY13" s="55"/>
      <c r="AZ13" s="60"/>
      <c r="BA13" s="60"/>
      <c r="BB13" s="32"/>
      <c r="BC13" s="33"/>
      <c r="BD13" s="34"/>
      <c r="BE13" s="171"/>
      <c r="BF13" s="68"/>
      <c r="BG13" s="68" t="s">
        <v>44</v>
      </c>
      <c r="BH13" s="174"/>
      <c r="BI13" s="125"/>
      <c r="BJ13" s="125"/>
      <c r="BK13" s="125"/>
      <c r="BL13" s="125"/>
      <c r="BM13" s="125"/>
      <c r="BN13" s="124"/>
      <c r="BO13" s="124"/>
      <c r="BP13" s="124"/>
      <c r="BQ13" s="124"/>
      <c r="BR13" s="124"/>
      <c r="BS13" s="124"/>
      <c r="BT13" s="124"/>
      <c r="CG13" s="172"/>
    </row>
    <row r="14" spans="1:85" ht="12.65" customHeight="1">
      <c r="A14" s="36"/>
      <c r="B14" s="56"/>
      <c r="C14" s="61"/>
      <c r="D14" s="57"/>
      <c r="E14" s="57"/>
      <c r="F14" s="57"/>
      <c r="G14" s="59"/>
      <c r="H14" s="71"/>
      <c r="I14" s="77" t="s">
        <v>114</v>
      </c>
      <c r="J14" s="78"/>
      <c r="K14" s="77"/>
      <c r="L14" s="77"/>
      <c r="M14" s="77"/>
      <c r="N14" s="77"/>
      <c r="O14" s="77"/>
      <c r="P14" s="77"/>
      <c r="Q14" s="77"/>
      <c r="R14" s="77"/>
      <c r="S14" s="77"/>
      <c r="T14" s="77"/>
      <c r="U14" s="77"/>
      <c r="V14" s="77"/>
      <c r="W14" s="77"/>
      <c r="X14" s="79"/>
      <c r="Y14" s="71"/>
      <c r="Z14" s="71"/>
      <c r="AA14" s="80"/>
      <c r="AB14" s="71"/>
      <c r="AC14" s="81"/>
      <c r="AD14" s="81"/>
      <c r="AE14" s="82"/>
      <c r="AF14" s="81"/>
      <c r="AG14" s="82"/>
      <c r="AH14" s="81"/>
      <c r="AI14" s="83"/>
      <c r="AJ14" s="81"/>
      <c r="AK14" s="82"/>
      <c r="AL14" s="82"/>
      <c r="AM14" s="82"/>
      <c r="AN14" s="82"/>
      <c r="AO14" s="82"/>
      <c r="AP14" s="82"/>
      <c r="AQ14" s="82"/>
      <c r="AR14" s="82"/>
      <c r="AS14" s="82"/>
      <c r="AT14" s="59"/>
      <c r="AU14" s="59"/>
      <c r="AV14" s="59"/>
      <c r="AW14" s="59"/>
      <c r="AX14" s="59"/>
      <c r="AY14" s="55"/>
      <c r="AZ14" s="60"/>
      <c r="BA14" s="60"/>
      <c r="BB14" s="32"/>
      <c r="BC14" s="33"/>
      <c r="BD14" s="34"/>
      <c r="BE14" s="171"/>
      <c r="BF14" s="68"/>
      <c r="BG14" s="68" t="s">
        <v>45</v>
      </c>
      <c r="BH14" s="174"/>
      <c r="BI14" s="68"/>
      <c r="BJ14" s="125"/>
      <c r="BK14" s="125"/>
      <c r="BL14" s="125"/>
      <c r="BM14" s="125"/>
      <c r="BN14" s="124"/>
      <c r="BO14" s="124"/>
      <c r="BP14" s="124"/>
      <c r="BQ14" s="124"/>
      <c r="BR14" s="124"/>
      <c r="BS14" s="124"/>
      <c r="BT14" s="124"/>
      <c r="CG14" s="172"/>
    </row>
    <row r="15" spans="1:85" ht="12.65" customHeight="1">
      <c r="A15" s="36"/>
      <c r="B15" s="56"/>
      <c r="C15" s="64"/>
      <c r="D15" s="59"/>
      <c r="E15" s="59"/>
      <c r="F15" s="59"/>
      <c r="G15" s="59"/>
      <c r="H15" s="84"/>
      <c r="I15" s="79"/>
      <c r="J15" s="77"/>
      <c r="K15" s="79"/>
      <c r="L15" s="77"/>
      <c r="M15" s="77"/>
      <c r="N15" s="77"/>
      <c r="O15" s="77"/>
      <c r="P15" s="77"/>
      <c r="Q15" s="77"/>
      <c r="R15" s="77"/>
      <c r="S15" s="77"/>
      <c r="T15" s="77"/>
      <c r="U15" s="77"/>
      <c r="V15" s="77"/>
      <c r="W15" s="77"/>
      <c r="X15" s="79"/>
      <c r="Y15" s="71"/>
      <c r="Z15" s="80"/>
      <c r="AA15" s="71"/>
      <c r="AB15" s="80"/>
      <c r="AC15" s="71"/>
      <c r="AD15" s="81"/>
      <c r="AE15" s="81"/>
      <c r="AF15" s="82"/>
      <c r="AG15" s="81"/>
      <c r="AH15" s="81"/>
      <c r="AI15" s="83"/>
      <c r="AJ15" s="81"/>
      <c r="AK15" s="82"/>
      <c r="AL15" s="82"/>
      <c r="AM15" s="82"/>
      <c r="AN15" s="82"/>
      <c r="AO15" s="82"/>
      <c r="AP15" s="82"/>
      <c r="AQ15" s="82"/>
      <c r="AR15" s="82"/>
      <c r="AS15" s="71"/>
      <c r="AT15" s="63"/>
      <c r="AU15" s="55"/>
      <c r="AV15" s="59"/>
      <c r="AW15" s="59"/>
      <c r="AX15" s="59"/>
      <c r="AY15" s="55"/>
      <c r="AZ15" s="60"/>
      <c r="BA15" s="60"/>
      <c r="BB15" s="32"/>
      <c r="BC15" s="33"/>
      <c r="BD15" s="34"/>
      <c r="BE15" s="175"/>
      <c r="BF15" s="124"/>
      <c r="BG15" s="126"/>
      <c r="BH15" s="124"/>
      <c r="BI15" s="124"/>
      <c r="BJ15" s="124"/>
      <c r="BK15" s="124"/>
      <c r="BL15" s="124"/>
      <c r="BM15" s="124"/>
      <c r="BN15" s="124"/>
      <c r="BO15" s="124"/>
      <c r="BP15" s="124"/>
      <c r="BQ15" s="124"/>
      <c r="BR15" s="124"/>
      <c r="BS15" s="124"/>
      <c r="BT15" s="124"/>
      <c r="CG15" s="172"/>
    </row>
    <row r="16" spans="1:85" ht="12.65" customHeight="1">
      <c r="A16" s="36"/>
      <c r="B16" s="56"/>
      <c r="C16" s="55"/>
      <c r="D16" s="59"/>
      <c r="E16" s="59"/>
      <c r="F16" s="59"/>
      <c r="G16" s="59"/>
      <c r="H16" s="84"/>
      <c r="I16" s="77" t="s">
        <v>30</v>
      </c>
      <c r="J16" s="78" t="s">
        <v>31</v>
      </c>
      <c r="K16" s="77"/>
      <c r="L16" s="77"/>
      <c r="M16" s="77"/>
      <c r="N16" s="77"/>
      <c r="O16" s="77" t="s">
        <v>111</v>
      </c>
      <c r="P16" s="77"/>
      <c r="Q16" s="77"/>
      <c r="R16" s="77"/>
      <c r="S16" s="77"/>
      <c r="T16" s="77"/>
      <c r="U16" s="77"/>
      <c r="V16" s="77"/>
      <c r="W16" s="77"/>
      <c r="X16" s="79"/>
      <c r="Y16" s="71"/>
      <c r="Z16" s="82"/>
      <c r="AA16" s="82"/>
      <c r="AB16" s="82"/>
      <c r="AC16" s="82"/>
      <c r="AD16" s="82"/>
      <c r="AE16" s="82"/>
      <c r="AF16" s="82"/>
      <c r="AG16" s="82"/>
      <c r="AH16" s="82"/>
      <c r="AI16" s="82"/>
      <c r="AJ16" s="82"/>
      <c r="AK16" s="82"/>
      <c r="AL16" s="82"/>
      <c r="AM16" s="71"/>
      <c r="AN16" s="71"/>
      <c r="AO16" s="71"/>
      <c r="AP16" s="71"/>
      <c r="AQ16" s="71"/>
      <c r="AR16" s="71"/>
      <c r="AS16" s="71"/>
      <c r="AT16" s="55"/>
      <c r="AU16" s="55"/>
      <c r="AV16" s="55"/>
      <c r="AW16" s="55"/>
      <c r="AX16" s="59"/>
      <c r="AY16" s="55"/>
      <c r="AZ16" s="60"/>
      <c r="BA16" s="60"/>
      <c r="BB16" s="32"/>
      <c r="BC16" s="33"/>
      <c r="BD16" s="34"/>
      <c r="BE16" s="171" t="s">
        <v>46</v>
      </c>
      <c r="BF16" s="124"/>
      <c r="BG16" s="124"/>
      <c r="BH16" s="124"/>
      <c r="BI16" s="124"/>
      <c r="BJ16" s="124"/>
      <c r="BK16" s="124"/>
      <c r="BL16" s="124"/>
      <c r="BM16" s="124"/>
      <c r="CG16" s="172"/>
    </row>
    <row r="17" spans="1:85" ht="12.65" customHeight="1">
      <c r="A17" s="36"/>
      <c r="B17" s="56"/>
      <c r="C17" s="55"/>
      <c r="D17" s="55"/>
      <c r="E17" s="55"/>
      <c r="F17" s="55"/>
      <c r="G17" s="55"/>
      <c r="H17" s="80"/>
      <c r="I17" s="79"/>
      <c r="J17" s="77"/>
      <c r="K17" s="79"/>
      <c r="L17" s="77"/>
      <c r="M17" s="77"/>
      <c r="N17" s="77"/>
      <c r="O17" s="77" t="s">
        <v>110</v>
      </c>
      <c r="P17" s="77"/>
      <c r="Q17" s="77"/>
      <c r="R17" s="77"/>
      <c r="S17" s="77"/>
      <c r="T17" s="77"/>
      <c r="U17" s="77"/>
      <c r="V17" s="77"/>
      <c r="W17" s="77"/>
      <c r="X17" s="79"/>
      <c r="Y17" s="71"/>
      <c r="Z17" s="71"/>
      <c r="AA17" s="71"/>
      <c r="AB17" s="83"/>
      <c r="AC17" s="71"/>
      <c r="AD17" s="82"/>
      <c r="AE17" s="82"/>
      <c r="AF17" s="82"/>
      <c r="AG17" s="82"/>
      <c r="AH17" s="82"/>
      <c r="AI17" s="71"/>
      <c r="AJ17" s="71"/>
      <c r="AK17" s="71"/>
      <c r="AL17" s="71"/>
      <c r="AM17" s="71"/>
      <c r="AN17" s="85"/>
      <c r="AO17" s="80"/>
      <c r="AP17" s="80"/>
      <c r="AQ17" s="86"/>
      <c r="AR17" s="71"/>
      <c r="AS17" s="71"/>
      <c r="AT17" s="63"/>
      <c r="AU17" s="55"/>
      <c r="AV17" s="59"/>
      <c r="AW17" s="59"/>
      <c r="AX17" s="59"/>
      <c r="AY17" s="55"/>
      <c r="AZ17" s="60"/>
      <c r="BA17" s="60"/>
      <c r="BB17" s="32"/>
      <c r="BC17" s="33"/>
      <c r="BD17" s="34"/>
      <c r="BE17" s="175"/>
      <c r="BF17" s="68" t="s">
        <v>126</v>
      </c>
      <c r="BG17" s="124"/>
      <c r="BH17" s="124"/>
      <c r="BI17" s="124"/>
      <c r="BJ17" s="124"/>
      <c r="BK17" s="124"/>
      <c r="BL17" s="124"/>
      <c r="BM17" s="124"/>
      <c r="CG17" s="172"/>
    </row>
    <row r="18" spans="1:85" ht="12.65" customHeight="1">
      <c r="A18" s="36"/>
      <c r="B18" s="56"/>
      <c r="C18" s="55"/>
      <c r="D18" s="55"/>
      <c r="E18" s="55"/>
      <c r="F18" s="55"/>
      <c r="G18" s="55"/>
      <c r="H18" s="80"/>
      <c r="I18" s="79"/>
      <c r="J18" s="77"/>
      <c r="K18" s="79"/>
      <c r="L18" s="77"/>
      <c r="M18" s="77"/>
      <c r="N18" s="77"/>
      <c r="O18" s="77"/>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71"/>
      <c r="AO18" s="71"/>
      <c r="AP18" s="80"/>
      <c r="AQ18" s="71"/>
      <c r="AR18" s="71"/>
      <c r="AS18" s="71"/>
      <c r="AT18" s="63"/>
      <c r="AU18" s="55"/>
      <c r="AV18" s="59"/>
      <c r="AW18" s="59"/>
      <c r="AX18" s="59"/>
      <c r="AY18" s="55"/>
      <c r="AZ18" s="60"/>
      <c r="BA18" s="60"/>
      <c r="BB18" s="32"/>
      <c r="BC18" s="33"/>
      <c r="BD18" s="34"/>
      <c r="BE18" s="175"/>
      <c r="BG18" s="68" t="s">
        <v>171</v>
      </c>
      <c r="BJ18" s="124"/>
      <c r="BK18" s="124"/>
      <c r="BL18" s="124"/>
      <c r="BM18" s="124"/>
      <c r="CG18" s="172"/>
    </row>
    <row r="19" spans="1:85" s="123" customFormat="1" ht="12.65" customHeight="1">
      <c r="A19" s="36"/>
      <c r="B19" s="56"/>
      <c r="C19" s="55"/>
      <c r="D19" s="55"/>
      <c r="E19" s="55"/>
      <c r="F19" s="55"/>
      <c r="G19" s="55"/>
      <c r="H19" s="80"/>
      <c r="I19" s="77" t="s">
        <v>30</v>
      </c>
      <c r="J19" s="78" t="s">
        <v>32</v>
      </c>
      <c r="K19" s="77"/>
      <c r="L19" s="77"/>
      <c r="M19" s="77"/>
      <c r="N19" s="77"/>
      <c r="O19" s="77" t="s">
        <v>112</v>
      </c>
      <c r="P19" s="77"/>
      <c r="Q19" s="77"/>
      <c r="R19" s="77"/>
      <c r="S19" s="77"/>
      <c r="T19" s="77"/>
      <c r="U19" s="77"/>
      <c r="V19" s="77"/>
      <c r="W19" s="77"/>
      <c r="X19" s="79"/>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76"/>
      <c r="BF19" s="68"/>
      <c r="BG19" s="177"/>
      <c r="BH19" s="124"/>
      <c r="BI19" s="124"/>
      <c r="BJ19" s="124"/>
      <c r="BK19" s="124"/>
      <c r="BL19" s="124"/>
      <c r="BM19" s="124"/>
      <c r="BN19" s="124"/>
      <c r="BO19" s="124"/>
      <c r="BP19" s="124"/>
      <c r="BQ19" s="124"/>
      <c r="BR19" s="124"/>
      <c r="BS19" s="124"/>
      <c r="BT19" s="124"/>
      <c r="CG19" s="172"/>
    </row>
    <row r="20" spans="1:85" s="123" customFormat="1" ht="12.65" customHeight="1">
      <c r="A20" s="36"/>
      <c r="B20" s="56"/>
      <c r="C20" s="61"/>
      <c r="D20" s="55"/>
      <c r="E20" s="55"/>
      <c r="F20" s="55"/>
      <c r="G20" s="55"/>
      <c r="H20" s="80"/>
      <c r="I20" s="79"/>
      <c r="J20" s="77"/>
      <c r="K20" s="77"/>
      <c r="L20" s="77"/>
      <c r="M20" s="77"/>
      <c r="N20" s="77"/>
      <c r="O20" s="77" t="s">
        <v>113</v>
      </c>
      <c r="P20" s="77"/>
      <c r="Q20" s="71"/>
      <c r="R20" s="71"/>
      <c r="S20" s="71"/>
      <c r="T20" s="71"/>
      <c r="U20" s="71"/>
      <c r="V20" s="71"/>
      <c r="W20" s="71"/>
      <c r="X20" s="80"/>
      <c r="Y20" s="71"/>
      <c r="Z20" s="71"/>
      <c r="AA20" s="71"/>
      <c r="AB20" s="71"/>
      <c r="AC20" s="83"/>
      <c r="AD20" s="71"/>
      <c r="AE20" s="82"/>
      <c r="AF20" s="82"/>
      <c r="AG20" s="82"/>
      <c r="AH20" s="82"/>
      <c r="AI20" s="71"/>
      <c r="AJ20" s="71"/>
      <c r="AK20" s="71"/>
      <c r="AL20" s="71"/>
      <c r="AM20" s="71"/>
      <c r="AN20" s="85"/>
      <c r="AO20" s="80"/>
      <c r="AP20" s="80"/>
      <c r="AQ20" s="71"/>
      <c r="AR20" s="71"/>
      <c r="AS20" s="71"/>
      <c r="AT20" s="63"/>
      <c r="AU20" s="55"/>
      <c r="AV20" s="59"/>
      <c r="AW20" s="59"/>
      <c r="AX20" s="59"/>
      <c r="AY20" s="55"/>
      <c r="AZ20" s="60"/>
      <c r="BA20" s="60"/>
      <c r="BB20" s="32"/>
      <c r="BC20" s="33"/>
      <c r="BD20" s="34"/>
      <c r="BE20" s="175" t="s">
        <v>47</v>
      </c>
      <c r="BF20" s="124"/>
      <c r="BH20" s="124"/>
      <c r="BJ20" s="124"/>
      <c r="BK20" s="124"/>
      <c r="BL20" s="124"/>
      <c r="BM20" s="124"/>
      <c r="BN20" s="124"/>
      <c r="BO20" s="124"/>
      <c r="BP20" s="124"/>
      <c r="BQ20" s="124"/>
      <c r="BR20" s="124"/>
      <c r="BS20" s="124"/>
      <c r="BT20" s="124"/>
      <c r="CG20" s="172"/>
    </row>
    <row r="21" spans="1:85" s="123" customFormat="1" ht="12.65" customHeight="1">
      <c r="A21" s="36"/>
      <c r="B21" s="56"/>
      <c r="C21" s="61"/>
      <c r="D21" s="55"/>
      <c r="E21" s="55"/>
      <c r="F21" s="55"/>
      <c r="G21" s="55"/>
      <c r="H21" s="80"/>
      <c r="I21" s="87"/>
      <c r="J21" s="87"/>
      <c r="K21" s="87"/>
      <c r="L21" s="87"/>
      <c r="M21" s="87"/>
      <c r="N21" s="87"/>
      <c r="O21" s="87"/>
      <c r="P21" s="87"/>
      <c r="Q21" s="87"/>
      <c r="R21" s="87"/>
      <c r="S21" s="87"/>
      <c r="T21" s="87"/>
      <c r="U21" s="87"/>
      <c r="V21" s="87"/>
      <c r="W21" s="87"/>
      <c r="X21" s="88"/>
      <c r="Y21" s="87"/>
      <c r="Z21" s="87"/>
      <c r="AA21" s="87"/>
      <c r="AB21" s="87"/>
      <c r="AC21" s="89"/>
      <c r="AD21" s="87"/>
      <c r="AE21" s="90"/>
      <c r="AF21" s="90"/>
      <c r="AG21" s="90"/>
      <c r="AH21" s="90"/>
      <c r="AI21" s="87"/>
      <c r="AJ21" s="87"/>
      <c r="AK21" s="87"/>
      <c r="AL21" s="87"/>
      <c r="AM21" s="87"/>
      <c r="AN21" s="91"/>
      <c r="AO21" s="88"/>
      <c r="AP21" s="88"/>
      <c r="AQ21" s="87"/>
      <c r="AR21" s="87"/>
      <c r="AS21" s="71"/>
      <c r="AT21" s="63"/>
      <c r="AU21" s="55"/>
      <c r="AV21" s="59"/>
      <c r="AW21" s="59"/>
      <c r="AX21" s="59"/>
      <c r="AY21" s="55"/>
      <c r="AZ21" s="60"/>
      <c r="BA21" s="60"/>
      <c r="BB21" s="32"/>
      <c r="BC21" s="33"/>
      <c r="BD21" s="34"/>
      <c r="BE21" s="175"/>
      <c r="BF21" s="124" t="s">
        <v>48</v>
      </c>
      <c r="BG21" s="124"/>
      <c r="BH21" s="124"/>
      <c r="BI21" s="124"/>
      <c r="BN21" s="124"/>
      <c r="BO21" s="124"/>
      <c r="BP21" s="124"/>
      <c r="BQ21" s="124"/>
      <c r="BR21" s="124"/>
      <c r="BS21" s="124"/>
      <c r="BT21" s="124"/>
      <c r="CG21" s="172"/>
    </row>
    <row r="22" spans="1:85" s="123" customFormat="1" ht="12.65" customHeight="1">
      <c r="A22" s="36"/>
      <c r="B22" s="56"/>
      <c r="C22" s="55"/>
      <c r="D22" s="55"/>
      <c r="E22" s="55"/>
      <c r="F22" s="55"/>
      <c r="G22" s="55"/>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3"/>
      <c r="AT22" s="63"/>
      <c r="AU22" s="55"/>
      <c r="AV22" s="59"/>
      <c r="AW22" s="59"/>
      <c r="AX22" s="59"/>
      <c r="AY22" s="55"/>
      <c r="AZ22" s="60"/>
      <c r="BA22" s="60"/>
      <c r="BB22" s="32"/>
      <c r="BC22" s="33"/>
      <c r="BD22" s="35"/>
      <c r="BE22" s="175"/>
      <c r="BF22" s="124"/>
      <c r="BG22" s="124" t="s">
        <v>195</v>
      </c>
      <c r="BH22" s="124"/>
      <c r="BI22" s="124"/>
      <c r="BN22" s="124"/>
      <c r="BO22" s="124"/>
      <c r="BP22" s="124"/>
      <c r="BQ22" s="124"/>
      <c r="BR22" s="124"/>
      <c r="BS22" s="124"/>
      <c r="BT22" s="124"/>
      <c r="CG22" s="172"/>
    </row>
    <row r="23" spans="1:85"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2"/>
      <c r="AT23" s="65"/>
      <c r="AU23" s="59"/>
      <c r="AV23" s="59"/>
      <c r="AW23" s="59"/>
      <c r="AX23" s="59"/>
      <c r="AY23" s="59"/>
      <c r="AZ23" s="60"/>
      <c r="BA23" s="60"/>
      <c r="BB23" s="49"/>
      <c r="BC23" s="50"/>
      <c r="BD23" s="34"/>
      <c r="BE23" s="175"/>
      <c r="BF23" s="124"/>
      <c r="BG23" s="124" t="s">
        <v>196</v>
      </c>
      <c r="BH23" s="124"/>
      <c r="BI23" s="124"/>
      <c r="BN23" s="124"/>
      <c r="BO23" s="124"/>
      <c r="BP23" s="124"/>
      <c r="BQ23" s="124"/>
      <c r="BR23" s="124"/>
      <c r="BS23" s="124"/>
      <c r="BT23" s="124"/>
      <c r="CG23" s="172"/>
    </row>
    <row r="24" spans="1:85" s="123" customFormat="1" ht="12.65" customHeight="1">
      <c r="A24" s="36"/>
      <c r="B24" s="56"/>
      <c r="C24" s="67"/>
      <c r="D24" s="68"/>
      <c r="E24" s="59"/>
      <c r="F24" s="59"/>
      <c r="G24" s="59"/>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2"/>
      <c r="AR24" s="92"/>
      <c r="AS24" s="94"/>
      <c r="AT24" s="69"/>
      <c r="AU24" s="69"/>
      <c r="AV24" s="69"/>
      <c r="AW24" s="69"/>
      <c r="AX24" s="69"/>
      <c r="AY24" s="69"/>
      <c r="AZ24" s="60"/>
      <c r="BA24" s="60"/>
      <c r="BB24" s="49"/>
      <c r="BC24" s="50"/>
      <c r="BD24" s="34"/>
      <c r="BE24" s="183"/>
      <c r="BF24" s="179"/>
      <c r="BG24" s="179"/>
      <c r="BH24" s="179"/>
      <c r="BI24" s="179"/>
      <c r="BJ24" s="179"/>
      <c r="BK24" s="179"/>
      <c r="BL24" s="179"/>
      <c r="BM24" s="179"/>
      <c r="BN24" s="178"/>
      <c r="BO24" s="178"/>
      <c r="BP24" s="178"/>
      <c r="BQ24" s="178"/>
      <c r="BR24" s="178"/>
      <c r="BS24" s="178"/>
      <c r="BT24" s="178"/>
      <c r="BU24" s="179"/>
      <c r="BV24" s="179"/>
      <c r="BW24" s="179"/>
      <c r="BX24" s="179"/>
      <c r="BY24" s="179"/>
      <c r="BZ24" s="179"/>
      <c r="CA24" s="179"/>
      <c r="CB24" s="179"/>
      <c r="CC24" s="179"/>
      <c r="CD24" s="179"/>
      <c r="CE24" s="179"/>
      <c r="CF24" s="179"/>
      <c r="CG24" s="180"/>
    </row>
    <row r="25" spans="1:85" s="123" customFormat="1" ht="12.65" customHeight="1">
      <c r="A25" s="36"/>
      <c r="B25" s="56"/>
      <c r="C25" s="67"/>
      <c r="D25" s="68"/>
      <c r="E25" s="59"/>
      <c r="F25" s="59"/>
      <c r="G25" s="59"/>
      <c r="H25" s="92"/>
      <c r="I25" s="92"/>
      <c r="J25" s="264"/>
      <c r="K25" s="264"/>
      <c r="L25" s="264"/>
      <c r="M25" s="264"/>
      <c r="N25" s="95"/>
      <c r="O25" s="96"/>
      <c r="P25" s="95"/>
      <c r="Q25" s="92"/>
      <c r="R25" s="92"/>
      <c r="S25" s="92"/>
      <c r="T25" s="93"/>
      <c r="U25" s="93"/>
      <c r="V25" s="93"/>
      <c r="W25" s="93"/>
      <c r="X25" s="93"/>
      <c r="Y25" s="96"/>
      <c r="Z25" s="93"/>
      <c r="AA25" s="92"/>
      <c r="AB25" s="96"/>
      <c r="AC25" s="93"/>
      <c r="AD25" s="92"/>
      <c r="AE25" s="96"/>
      <c r="AF25" s="92"/>
      <c r="AG25" s="92"/>
      <c r="AH25" s="96"/>
      <c r="AI25" s="92"/>
      <c r="AJ25" s="92"/>
      <c r="AK25" s="97"/>
      <c r="AL25" s="92"/>
      <c r="AM25" s="92"/>
      <c r="AN25" s="92"/>
      <c r="AO25" s="92"/>
      <c r="AP25" s="92"/>
      <c r="AQ25" s="92"/>
      <c r="AR25" s="92"/>
      <c r="AS25" s="92"/>
      <c r="AT25" s="59"/>
      <c r="AU25" s="59"/>
      <c r="AV25" s="59"/>
      <c r="AW25" s="59"/>
      <c r="AX25" s="59"/>
      <c r="AY25" s="59"/>
      <c r="AZ25" s="60"/>
      <c r="BA25" s="60"/>
      <c r="BB25" s="49"/>
      <c r="BC25" s="50"/>
      <c r="BD25" s="34"/>
      <c r="BE25" s="124"/>
      <c r="BF25" s="124"/>
      <c r="BG25" s="124"/>
      <c r="BH25" s="124"/>
      <c r="BI25" s="124"/>
      <c r="BJ25" s="124"/>
      <c r="BK25" s="124"/>
      <c r="BL25" s="124"/>
      <c r="BM25" s="124"/>
      <c r="BN25" s="124"/>
      <c r="BO25" s="124"/>
      <c r="BP25" s="124"/>
      <c r="BQ25" s="124"/>
      <c r="BR25" s="124"/>
      <c r="BS25" s="124"/>
      <c r="BT25" s="124"/>
    </row>
    <row r="26" spans="1:85" s="123" customFormat="1" ht="15" customHeight="1">
      <c r="A26" s="36"/>
      <c r="B26" s="66"/>
      <c r="C26" s="62"/>
      <c r="D26" s="62"/>
      <c r="E26" s="62"/>
      <c r="F26" s="62"/>
      <c r="G26" s="62"/>
      <c r="H26" s="98"/>
      <c r="I26" s="251" t="s">
        <v>127</v>
      </c>
      <c r="J26" s="252"/>
      <c r="K26" s="252"/>
      <c r="L26" s="252"/>
      <c r="M26" s="252"/>
      <c r="N26" s="252"/>
      <c r="O26" s="252"/>
      <c r="P26" s="252"/>
      <c r="Q26" s="252"/>
      <c r="R26" s="252"/>
      <c r="S26" s="252"/>
      <c r="T26" s="252"/>
      <c r="U26" s="252"/>
      <c r="V26" s="252"/>
      <c r="W26" s="252"/>
      <c r="X26" s="252"/>
      <c r="Y26" s="252"/>
      <c r="Z26" s="252"/>
      <c r="AA26" s="252"/>
      <c r="AB26" s="252"/>
      <c r="AC26" s="252"/>
      <c r="AD26" s="252"/>
      <c r="AE26" s="252"/>
      <c r="AF26" s="252"/>
      <c r="AG26" s="252"/>
      <c r="AH26" s="252"/>
      <c r="AI26" s="252"/>
      <c r="AJ26" s="252"/>
      <c r="AK26" s="252"/>
      <c r="AL26" s="252"/>
      <c r="AM26" s="252"/>
      <c r="AN26" s="252"/>
      <c r="AO26" s="252"/>
      <c r="AP26" s="252"/>
      <c r="AQ26" s="252"/>
      <c r="AR26" s="252"/>
      <c r="AS26" s="252"/>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85" s="123" customFormat="1" ht="15" customHeight="1">
      <c r="A27" s="36"/>
      <c r="B27" s="66"/>
      <c r="C27" s="62"/>
      <c r="D27" s="62"/>
      <c r="E27" s="62"/>
      <c r="F27" s="62"/>
      <c r="G27" s="62"/>
      <c r="H27" s="98"/>
      <c r="I27" s="252"/>
      <c r="J27" s="252"/>
      <c r="K27" s="252"/>
      <c r="L27" s="252"/>
      <c r="M27" s="252"/>
      <c r="N27" s="252"/>
      <c r="O27" s="252"/>
      <c r="P27" s="252"/>
      <c r="Q27" s="252"/>
      <c r="R27" s="252"/>
      <c r="S27" s="252"/>
      <c r="T27" s="252"/>
      <c r="U27" s="252"/>
      <c r="V27" s="252"/>
      <c r="W27" s="252"/>
      <c r="X27" s="252"/>
      <c r="Y27" s="252"/>
      <c r="Z27" s="252"/>
      <c r="AA27" s="252"/>
      <c r="AB27" s="252"/>
      <c r="AC27" s="252"/>
      <c r="AD27" s="252"/>
      <c r="AE27" s="252"/>
      <c r="AF27" s="252"/>
      <c r="AG27" s="252"/>
      <c r="AH27" s="252"/>
      <c r="AI27" s="252"/>
      <c r="AJ27" s="252"/>
      <c r="AK27" s="252"/>
      <c r="AL27" s="252"/>
      <c r="AM27" s="252"/>
      <c r="AN27" s="252"/>
      <c r="AO27" s="252"/>
      <c r="AP27" s="252"/>
      <c r="AQ27" s="252"/>
      <c r="AR27" s="252"/>
      <c r="AS27" s="252"/>
      <c r="AT27" s="59"/>
      <c r="AU27" s="59"/>
      <c r="AV27" s="59"/>
      <c r="AW27" s="59"/>
      <c r="AX27" s="63"/>
      <c r="AY27" s="55"/>
      <c r="AZ27" s="60"/>
      <c r="BA27" s="60"/>
      <c r="BB27" s="32"/>
      <c r="BC27" s="33"/>
      <c r="BD27" s="34"/>
      <c r="BE27" s="124"/>
      <c r="BF27" s="124"/>
      <c r="BG27" s="124"/>
      <c r="BH27" s="124"/>
      <c r="BI27" s="124"/>
      <c r="BJ27" s="124"/>
      <c r="BK27" s="124"/>
      <c r="BL27" s="124"/>
      <c r="BM27" s="124"/>
      <c r="BN27" s="124"/>
      <c r="BO27" s="124"/>
      <c r="BP27" s="124"/>
      <c r="BQ27" s="124"/>
      <c r="BR27" s="124"/>
      <c r="BS27" s="124"/>
      <c r="BT27" s="124"/>
    </row>
    <row r="28" spans="1:85"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c r="BH28" s="124"/>
      <c r="BI28" s="124"/>
      <c r="BJ28" s="124"/>
      <c r="BK28" s="124"/>
      <c r="BL28" s="124"/>
      <c r="BM28" s="124"/>
      <c r="BN28" s="124"/>
      <c r="BO28" s="124"/>
      <c r="BP28" s="124"/>
      <c r="BQ28" s="124"/>
      <c r="BR28" s="124"/>
      <c r="BS28" s="124"/>
      <c r="BT28" s="124"/>
    </row>
    <row r="29" spans="1:85" s="123" customFormat="1" ht="12.65" customHeight="1">
      <c r="A29" s="36"/>
      <c r="B29" s="56"/>
      <c r="C29" s="58"/>
      <c r="D29" s="58"/>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60"/>
      <c r="BA29" s="60"/>
      <c r="BB29" s="49"/>
      <c r="BC29" s="50"/>
      <c r="BD29" s="34"/>
      <c r="BE29" s="124"/>
      <c r="BF29" s="124"/>
      <c r="BG29" s="124"/>
      <c r="BH29" s="124"/>
      <c r="BI29" s="124"/>
      <c r="BJ29" s="124"/>
      <c r="BK29" s="124"/>
      <c r="BL29" s="124"/>
      <c r="BM29" s="124"/>
      <c r="BN29" s="124"/>
      <c r="BO29" s="124"/>
      <c r="BP29" s="124"/>
      <c r="BQ29" s="124"/>
      <c r="BR29" s="124"/>
      <c r="BS29" s="124"/>
      <c r="BT29" s="124"/>
    </row>
    <row r="30" spans="1:85" s="123" customFormat="1" ht="17.149999999999999" customHeight="1">
      <c r="A30" s="36"/>
      <c r="B30" s="56"/>
      <c r="C30" s="55"/>
      <c r="D30" s="55"/>
      <c r="E30" s="55"/>
      <c r="F30" s="55"/>
      <c r="G30" s="55"/>
      <c r="H30" s="253" t="s">
        <v>115</v>
      </c>
      <c r="I30" s="254"/>
      <c r="J30" s="254"/>
      <c r="K30" s="254"/>
      <c r="L30" s="255"/>
      <c r="M30" s="265" t="s">
        <v>122</v>
      </c>
      <c r="N30" s="266"/>
      <c r="O30" s="266"/>
      <c r="P30" s="266"/>
      <c r="Q30" s="267"/>
      <c r="R30" s="253" t="s">
        <v>116</v>
      </c>
      <c r="S30" s="254"/>
      <c r="T30" s="254"/>
      <c r="U30" s="254"/>
      <c r="V30" s="255"/>
      <c r="W30" s="271" t="s">
        <v>117</v>
      </c>
      <c r="X30" s="272"/>
      <c r="Y30" s="272"/>
      <c r="Z30" s="273"/>
      <c r="AA30" s="271" t="s">
        <v>118</v>
      </c>
      <c r="AB30" s="272"/>
      <c r="AC30" s="272"/>
      <c r="AD30" s="273"/>
      <c r="AE30" s="253" t="s">
        <v>119</v>
      </c>
      <c r="AF30" s="254"/>
      <c r="AG30" s="254"/>
      <c r="AH30" s="255"/>
      <c r="AI30" s="253" t="s">
        <v>120</v>
      </c>
      <c r="AJ30" s="254"/>
      <c r="AK30" s="254"/>
      <c r="AL30" s="254"/>
      <c r="AM30" s="255"/>
      <c r="AN30" s="253" t="s">
        <v>121</v>
      </c>
      <c r="AO30" s="254"/>
      <c r="AP30" s="254"/>
      <c r="AQ30" s="254"/>
      <c r="AR30" s="254"/>
      <c r="AS30" s="255"/>
      <c r="AT30" s="63"/>
      <c r="AU30" s="55"/>
      <c r="AV30" s="59"/>
      <c r="AW30" s="59"/>
      <c r="AX30" s="59"/>
      <c r="AY30" s="55"/>
      <c r="AZ30" s="60"/>
      <c r="BA30" s="60"/>
      <c r="BB30" s="32"/>
      <c r="BC30" s="33"/>
      <c r="BD30" s="35"/>
      <c r="BE30" s="124"/>
      <c r="BF30" s="124"/>
      <c r="BG30" s="124"/>
      <c r="BH30" s="124"/>
      <c r="BI30" s="124"/>
      <c r="BJ30" s="124"/>
      <c r="BK30" s="124"/>
      <c r="BL30" s="124"/>
      <c r="BM30" s="124"/>
      <c r="BN30" s="124"/>
      <c r="BO30" s="124"/>
      <c r="BP30" s="124"/>
      <c r="BQ30" s="124"/>
      <c r="BR30" s="124"/>
      <c r="BS30" s="124"/>
      <c r="BT30" s="124"/>
    </row>
    <row r="31" spans="1:85" s="123" customFormat="1" ht="17.149999999999999" customHeight="1">
      <c r="A31" s="36"/>
      <c r="B31" s="56"/>
      <c r="C31" s="55"/>
      <c r="D31" s="55"/>
      <c r="E31" s="55"/>
      <c r="F31" s="55"/>
      <c r="G31" s="55"/>
      <c r="H31" s="256"/>
      <c r="I31" s="257"/>
      <c r="J31" s="257"/>
      <c r="K31" s="257"/>
      <c r="L31" s="258"/>
      <c r="M31" s="268"/>
      <c r="N31" s="269"/>
      <c r="O31" s="269"/>
      <c r="P31" s="269"/>
      <c r="Q31" s="270"/>
      <c r="R31" s="256"/>
      <c r="S31" s="257"/>
      <c r="T31" s="257"/>
      <c r="U31" s="257"/>
      <c r="V31" s="258"/>
      <c r="W31" s="274"/>
      <c r="X31" s="275"/>
      <c r="Y31" s="275"/>
      <c r="Z31" s="276"/>
      <c r="AA31" s="274"/>
      <c r="AB31" s="275"/>
      <c r="AC31" s="275"/>
      <c r="AD31" s="276"/>
      <c r="AE31" s="256"/>
      <c r="AF31" s="257"/>
      <c r="AG31" s="257"/>
      <c r="AH31" s="258"/>
      <c r="AI31" s="256"/>
      <c r="AJ31" s="257"/>
      <c r="AK31" s="257"/>
      <c r="AL31" s="257"/>
      <c r="AM31" s="258"/>
      <c r="AN31" s="256"/>
      <c r="AO31" s="257"/>
      <c r="AP31" s="257"/>
      <c r="AQ31" s="257"/>
      <c r="AR31" s="257"/>
      <c r="AS31" s="258"/>
      <c r="AT31" s="63"/>
      <c r="AU31" s="55"/>
      <c r="AV31" s="59"/>
      <c r="AW31" s="59"/>
      <c r="AX31" s="59"/>
      <c r="AY31" s="55"/>
      <c r="AZ31" s="60"/>
      <c r="BA31" s="60"/>
      <c r="BB31" s="32"/>
      <c r="BC31" s="33"/>
      <c r="BD31" s="35"/>
      <c r="BE31" s="124"/>
      <c r="BF31" s="124"/>
      <c r="BG31" s="124"/>
      <c r="BH31" s="124"/>
      <c r="BI31" s="124"/>
      <c r="BJ31" s="124"/>
      <c r="BK31" s="124"/>
      <c r="BL31" s="124"/>
      <c r="BM31" s="124"/>
      <c r="BN31" s="124"/>
      <c r="BO31" s="124"/>
      <c r="BP31" s="124"/>
      <c r="BQ31" s="124"/>
      <c r="BR31" s="124"/>
      <c r="BS31" s="124"/>
      <c r="BT31" s="124"/>
    </row>
    <row r="32" spans="1:85" s="123" customFormat="1" ht="16.5" customHeight="1">
      <c r="A32" s="36"/>
      <c r="B32" s="56"/>
      <c r="C32" s="67"/>
      <c r="D32" s="68"/>
      <c r="E32" s="59"/>
      <c r="F32" s="59"/>
      <c r="G32" s="59"/>
      <c r="H32" s="103" t="s">
        <v>33</v>
      </c>
      <c r="I32" s="104"/>
      <c r="J32" s="104"/>
      <c r="K32" s="104"/>
      <c r="L32" s="105"/>
      <c r="M32" s="154" t="s">
        <v>123</v>
      </c>
      <c r="N32" s="104"/>
      <c r="O32" s="104"/>
      <c r="P32" s="104"/>
      <c r="Q32" s="105"/>
      <c r="R32" s="154" t="s">
        <v>123</v>
      </c>
      <c r="S32" s="107"/>
      <c r="T32" s="108"/>
      <c r="U32" s="108"/>
      <c r="V32" s="109"/>
      <c r="W32" s="121" t="s">
        <v>39</v>
      </c>
      <c r="X32" s="108"/>
      <c r="Y32" s="109"/>
      <c r="Z32" s="110"/>
      <c r="AA32" s="113" t="s">
        <v>38</v>
      </c>
      <c r="AB32" s="107"/>
      <c r="AC32" s="108"/>
      <c r="AD32" s="109"/>
      <c r="AE32" s="110" t="s">
        <v>40</v>
      </c>
      <c r="AF32" s="107"/>
      <c r="AG32" s="107"/>
      <c r="AH32" s="111"/>
      <c r="AI32" s="155" t="s">
        <v>129</v>
      </c>
      <c r="AJ32" s="107"/>
      <c r="AK32" s="107"/>
      <c r="AL32" s="107"/>
      <c r="AM32" s="111"/>
      <c r="AN32" s="114"/>
      <c r="AO32" s="107"/>
      <c r="AP32" s="107"/>
      <c r="AQ32" s="107"/>
      <c r="AR32" s="107"/>
      <c r="AS32" s="112"/>
      <c r="AT32" s="65"/>
      <c r="AU32" s="59"/>
      <c r="AV32" s="59"/>
      <c r="AW32" s="59"/>
      <c r="AX32" s="59"/>
      <c r="AY32" s="59"/>
      <c r="AZ32" s="60"/>
      <c r="BA32" s="60"/>
      <c r="BB32" s="49"/>
      <c r="BC32" s="50"/>
      <c r="BD32" s="34"/>
      <c r="BE32" s="124"/>
      <c r="BF32" s="124"/>
      <c r="BG32" s="126"/>
      <c r="BH32" s="124"/>
      <c r="BI32" s="124"/>
      <c r="BJ32" s="124"/>
      <c r="BK32" s="124"/>
      <c r="BL32" s="124"/>
      <c r="BM32" s="124"/>
      <c r="BN32" s="124"/>
      <c r="BO32" s="124"/>
      <c r="BP32" s="124"/>
      <c r="BQ32" s="124"/>
      <c r="BR32" s="124"/>
      <c r="BS32" s="124"/>
      <c r="BT32" s="124"/>
    </row>
    <row r="33" spans="1:72" s="123" customFormat="1" ht="16.5" customHeight="1">
      <c r="A33" s="36"/>
      <c r="B33" s="56"/>
      <c r="C33" s="67"/>
      <c r="D33" s="68"/>
      <c r="E33" s="59"/>
      <c r="F33" s="59"/>
      <c r="G33" s="59"/>
      <c r="H33" s="103" t="s">
        <v>34</v>
      </c>
      <c r="I33" s="104"/>
      <c r="J33" s="104"/>
      <c r="K33" s="104"/>
      <c r="L33" s="105"/>
      <c r="M33" s="154" t="s">
        <v>124</v>
      </c>
      <c r="N33" s="104"/>
      <c r="O33" s="104"/>
      <c r="P33" s="104"/>
      <c r="Q33" s="105"/>
      <c r="R33" s="154" t="s">
        <v>124</v>
      </c>
      <c r="S33" s="107"/>
      <c r="T33" s="108"/>
      <c r="U33" s="108"/>
      <c r="V33" s="109"/>
      <c r="W33" s="121" t="s">
        <v>39</v>
      </c>
      <c r="X33" s="108"/>
      <c r="Y33" s="109"/>
      <c r="Z33" s="110"/>
      <c r="AA33" s="113" t="s">
        <v>135</v>
      </c>
      <c r="AB33" s="107"/>
      <c r="AC33" s="108"/>
      <c r="AD33" s="109"/>
      <c r="AE33" s="110" t="s">
        <v>41</v>
      </c>
      <c r="AF33" s="107"/>
      <c r="AG33" s="107"/>
      <c r="AH33" s="111"/>
      <c r="AI33" s="106" t="s">
        <v>36</v>
      </c>
      <c r="AJ33" s="107"/>
      <c r="AK33" s="107"/>
      <c r="AL33" s="107"/>
      <c r="AM33" s="111"/>
      <c r="AN33" s="114"/>
      <c r="AO33" s="107"/>
      <c r="AP33" s="107"/>
      <c r="AQ33" s="107"/>
      <c r="AR33" s="107"/>
      <c r="AS33" s="112"/>
      <c r="AT33" s="69"/>
      <c r="AU33" s="69"/>
      <c r="AV33" s="69"/>
      <c r="AW33" s="69"/>
      <c r="AX33" s="69"/>
      <c r="AY33" s="69"/>
      <c r="AZ33" s="60"/>
      <c r="BA33" s="60"/>
      <c r="BB33" s="49"/>
      <c r="BC33" s="50"/>
      <c r="BD33" s="34"/>
      <c r="BE33" s="124"/>
      <c r="BF33" s="124"/>
      <c r="BG33" s="126"/>
      <c r="BH33" s="124"/>
      <c r="BI33" s="124"/>
      <c r="BJ33" s="124"/>
      <c r="BK33" s="124"/>
      <c r="BL33" s="124"/>
      <c r="BM33" s="124"/>
      <c r="BN33" s="124"/>
      <c r="BO33" s="124"/>
      <c r="BP33" s="124"/>
      <c r="BQ33" s="124"/>
      <c r="BR33" s="124"/>
      <c r="BS33" s="124"/>
      <c r="BT33" s="124"/>
    </row>
    <row r="34" spans="1:72" s="123" customFormat="1" ht="16.5" customHeight="1">
      <c r="A34" s="36"/>
      <c r="B34" s="56"/>
      <c r="C34" s="58"/>
      <c r="D34" s="58"/>
      <c r="E34" s="58"/>
      <c r="F34" s="58"/>
      <c r="G34" s="58"/>
      <c r="H34" s="103" t="s">
        <v>35</v>
      </c>
      <c r="I34" s="104"/>
      <c r="J34" s="104"/>
      <c r="K34" s="104"/>
      <c r="L34" s="105"/>
      <c r="M34" s="154" t="s">
        <v>125</v>
      </c>
      <c r="N34" s="104"/>
      <c r="O34" s="104"/>
      <c r="P34" s="104"/>
      <c r="Q34" s="105"/>
      <c r="R34" s="154" t="s">
        <v>125</v>
      </c>
      <c r="S34" s="107"/>
      <c r="T34" s="108"/>
      <c r="U34" s="108"/>
      <c r="V34" s="109"/>
      <c r="W34" s="121" t="s">
        <v>39</v>
      </c>
      <c r="X34" s="108"/>
      <c r="Y34" s="109"/>
      <c r="Z34" s="110"/>
      <c r="AA34" s="113" t="s">
        <v>38</v>
      </c>
      <c r="AB34" s="107"/>
      <c r="AC34" s="108"/>
      <c r="AD34" s="109"/>
      <c r="AE34" s="110" t="s">
        <v>40</v>
      </c>
      <c r="AF34" s="107"/>
      <c r="AG34" s="107"/>
      <c r="AH34" s="111"/>
      <c r="AI34" s="155" t="s">
        <v>128</v>
      </c>
      <c r="AJ34" s="107"/>
      <c r="AK34" s="107"/>
      <c r="AL34" s="107"/>
      <c r="AM34" s="111"/>
      <c r="AN34" s="114"/>
      <c r="AO34" s="107"/>
      <c r="AP34" s="107"/>
      <c r="AQ34" s="107"/>
      <c r="AR34" s="107"/>
      <c r="AS34" s="112"/>
      <c r="AT34" s="58"/>
      <c r="AU34" s="58"/>
      <c r="AV34" s="58"/>
      <c r="AW34" s="58"/>
      <c r="AX34" s="58"/>
      <c r="AY34" s="58"/>
      <c r="AZ34" s="60"/>
      <c r="BA34" s="60"/>
      <c r="BB34" s="49"/>
      <c r="BC34" s="50"/>
      <c r="BD34" s="34"/>
      <c r="BE34" s="124"/>
      <c r="BF34" s="124"/>
      <c r="BG34" s="126"/>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60"/>
      <c r="BA35" s="60"/>
      <c r="BB35" s="49"/>
      <c r="BC35" s="50"/>
      <c r="BD35" s="34"/>
      <c r="BE35" s="124"/>
      <c r="BF35" s="124"/>
      <c r="BG35" s="124"/>
      <c r="BH35" s="124"/>
      <c r="BI35" s="124"/>
      <c r="BJ35" s="124"/>
      <c r="BK35" s="124"/>
      <c r="BL35" s="124"/>
      <c r="BM35" s="124"/>
      <c r="BN35" s="124"/>
      <c r="BO35" s="124"/>
      <c r="BP35" s="124"/>
      <c r="BQ35" s="124"/>
      <c r="BR35" s="124"/>
      <c r="BS35" s="124"/>
      <c r="BT35" s="124"/>
    </row>
    <row r="36" spans="1:72" s="123" customFormat="1" ht="12.65" customHeight="1">
      <c r="A36" s="36"/>
      <c r="B36" s="56"/>
      <c r="C36" s="58"/>
      <c r="D36" s="58"/>
      <c r="E36" s="58"/>
      <c r="F36" s="58"/>
      <c r="G36" s="58"/>
      <c r="H36" s="58"/>
      <c r="I36" s="58"/>
      <c r="J36" s="58"/>
      <c r="K36" s="58"/>
      <c r="L36" s="58"/>
      <c r="M36" s="58"/>
      <c r="N36" s="58"/>
      <c r="O36" s="150"/>
      <c r="P36" s="150"/>
      <c r="Q36" s="150"/>
      <c r="R36" s="150"/>
      <c r="S36" s="150"/>
      <c r="T36" s="150"/>
      <c r="U36" s="150"/>
      <c r="V36" s="150"/>
      <c r="W36" s="150"/>
      <c r="X36" s="150"/>
      <c r="Y36" s="150"/>
      <c r="Z36" s="150"/>
      <c r="AA36" s="150"/>
      <c r="AB36" s="150"/>
      <c r="AC36" s="150"/>
      <c r="AD36" s="150"/>
      <c r="AE36" s="151"/>
      <c r="AF36" s="151"/>
      <c r="AG36" s="58"/>
      <c r="AH36" s="58"/>
      <c r="AI36" s="58"/>
      <c r="AJ36" s="58"/>
      <c r="AK36" s="58"/>
      <c r="AL36" s="58"/>
      <c r="AM36" s="58"/>
      <c r="AN36" s="58"/>
      <c r="AO36" s="58"/>
      <c r="AP36" s="58"/>
      <c r="AQ36" s="58"/>
      <c r="AR36" s="58"/>
      <c r="AS36" s="58"/>
      <c r="AT36" s="58"/>
      <c r="AU36" s="58"/>
      <c r="AV36" s="58"/>
      <c r="AW36" s="58"/>
      <c r="AX36" s="58"/>
      <c r="AY36" s="58"/>
      <c r="AZ36" s="60"/>
      <c r="BA36" s="60"/>
      <c r="BB36" s="32"/>
      <c r="BC36" s="33"/>
      <c r="BD36" s="35"/>
      <c r="BE36" s="124"/>
      <c r="BF36" s="124"/>
      <c r="BG36" s="124"/>
      <c r="BH36" s="124"/>
      <c r="BI36" s="124"/>
      <c r="BJ36" s="124"/>
      <c r="BK36" s="124"/>
      <c r="BL36" s="124"/>
      <c r="BM36" s="124"/>
      <c r="BN36" s="124"/>
      <c r="BO36" s="124"/>
      <c r="BP36" s="124"/>
      <c r="BQ36" s="124"/>
      <c r="BR36" s="124"/>
      <c r="BS36" s="124"/>
      <c r="BT36" s="124"/>
    </row>
    <row r="37" spans="1:72" s="123" customFormat="1" ht="13.5">
      <c r="A37" s="36"/>
      <c r="B37" s="66"/>
      <c r="C37" s="59"/>
      <c r="D37" s="59"/>
      <c r="E37" s="59"/>
      <c r="F37" s="59"/>
      <c r="G37" s="59"/>
      <c r="H37" s="59"/>
      <c r="I37" s="59"/>
      <c r="J37" s="59"/>
      <c r="K37" s="59"/>
      <c r="L37" s="59"/>
      <c r="M37" s="59"/>
      <c r="N37" s="59"/>
      <c r="O37" s="59"/>
      <c r="P37" s="59"/>
      <c r="Q37" s="59"/>
      <c r="R37" s="59"/>
      <c r="S37" s="65"/>
      <c r="T37" s="65"/>
      <c r="U37" s="65"/>
      <c r="V37" s="65"/>
      <c r="W37" s="59"/>
      <c r="X37" s="59"/>
      <c r="Y37" s="65"/>
      <c r="Z37" s="152"/>
      <c r="AA37" s="59"/>
      <c r="AB37" s="59"/>
      <c r="AC37" s="59"/>
      <c r="AD37" s="65"/>
      <c r="AE37" s="65"/>
      <c r="AF37" s="65"/>
      <c r="AG37" s="65"/>
      <c r="AH37" s="65"/>
      <c r="AI37" s="65"/>
      <c r="AJ37" s="65"/>
      <c r="AK37" s="65"/>
      <c r="AL37" s="65"/>
      <c r="AM37" s="65"/>
      <c r="AN37" s="65"/>
      <c r="AO37" s="65"/>
      <c r="AP37" s="65"/>
      <c r="AQ37" s="65"/>
      <c r="AR37" s="65"/>
      <c r="AS37" s="65"/>
      <c r="AT37" s="65"/>
      <c r="AU37" s="65"/>
      <c r="AV37" s="65"/>
      <c r="AW37" s="65"/>
      <c r="AX37" s="65"/>
      <c r="AY37" s="55"/>
      <c r="AZ37" s="60"/>
      <c r="BA37" s="60"/>
      <c r="BB37" s="49"/>
      <c r="BC37" s="50"/>
      <c r="BD37" s="51"/>
      <c r="BE37" s="124"/>
      <c r="BF37" s="124"/>
      <c r="BG37" s="126"/>
      <c r="BH37" s="124"/>
      <c r="BI37" s="124"/>
      <c r="BJ37" s="124"/>
      <c r="BK37" s="124"/>
      <c r="BL37" s="124"/>
      <c r="BM37" s="124"/>
      <c r="BN37" s="124"/>
      <c r="BO37" s="124"/>
      <c r="BP37" s="124"/>
      <c r="BQ37" s="124"/>
      <c r="BR37" s="124"/>
      <c r="BS37" s="124"/>
      <c r="BT37" s="124"/>
    </row>
    <row r="38" spans="1:72" ht="15">
      <c r="A38" s="36"/>
      <c r="B38" s="131"/>
      <c r="C38" s="132"/>
      <c r="D38" s="132"/>
      <c r="E38" s="132"/>
      <c r="F38" s="132"/>
      <c r="G38" s="132"/>
      <c r="H38" s="132"/>
      <c r="I38" s="132"/>
      <c r="J38" s="132"/>
      <c r="K38" s="132"/>
      <c r="L38" s="132"/>
      <c r="M38" s="132"/>
      <c r="N38" s="132"/>
      <c r="O38" s="132"/>
      <c r="P38" s="132"/>
      <c r="Q38" s="132"/>
      <c r="R38" s="132"/>
      <c r="S38" s="133"/>
      <c r="T38" s="133"/>
      <c r="U38" s="133"/>
      <c r="V38" s="133"/>
      <c r="W38" s="132"/>
      <c r="X38" s="132"/>
      <c r="Y38" s="133"/>
      <c r="Z38" s="133"/>
      <c r="AA38" s="132"/>
      <c r="AB38" s="132"/>
      <c r="AC38" s="132"/>
      <c r="AD38" s="133"/>
      <c r="AE38" s="133"/>
      <c r="AF38" s="133"/>
      <c r="AG38" s="133"/>
      <c r="AH38" s="133"/>
      <c r="AI38" s="133"/>
      <c r="AJ38" s="133"/>
      <c r="AK38" s="133"/>
      <c r="AL38" s="133"/>
      <c r="AM38" s="133"/>
      <c r="AN38" s="133"/>
      <c r="AO38" s="133"/>
      <c r="AP38" s="133"/>
      <c r="AQ38" s="133"/>
      <c r="AR38" s="133"/>
      <c r="AS38" s="133"/>
      <c r="AT38" s="133"/>
      <c r="AU38" s="133"/>
      <c r="AV38" s="133"/>
      <c r="AW38" s="133"/>
      <c r="AX38" s="133"/>
      <c r="AY38" s="131"/>
      <c r="AZ38" s="131"/>
      <c r="BA38" s="60"/>
      <c r="BB38" s="134"/>
      <c r="BC38" s="135"/>
      <c r="BD38" s="51"/>
      <c r="BE38" s="124"/>
      <c r="BF38" s="124"/>
      <c r="BG38" s="126"/>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6"/>
      <c r="BC39" s="50"/>
      <c r="BD39" s="51"/>
      <c r="BE39" s="124"/>
      <c r="BF39" s="124"/>
      <c r="BG39" s="126"/>
      <c r="BH39" s="124"/>
      <c r="BI39" s="124"/>
      <c r="BJ39" s="124"/>
      <c r="BK39" s="124"/>
      <c r="BL39" s="124"/>
      <c r="BM39" s="124"/>
      <c r="BN39" s="124"/>
      <c r="BO39" s="124"/>
      <c r="BP39" s="124"/>
      <c r="BQ39" s="124"/>
      <c r="BR39" s="124"/>
      <c r="BS39" s="124"/>
      <c r="BT39" s="124"/>
    </row>
    <row r="40" spans="1:72" ht="15">
      <c r="A40" s="35"/>
      <c r="B40" s="35"/>
      <c r="C40" s="35"/>
      <c r="D40" s="35"/>
      <c r="E40" s="35"/>
      <c r="F40" s="35"/>
      <c r="G40" s="35"/>
      <c r="H40" s="35"/>
      <c r="I40" s="35"/>
      <c r="J40" s="35"/>
      <c r="K40" s="35"/>
      <c r="L40" s="35"/>
      <c r="M40" s="35"/>
      <c r="N40" s="35"/>
      <c r="O40" s="35"/>
      <c r="P40" s="35"/>
      <c r="Q40" s="35"/>
      <c r="R40" s="35"/>
      <c r="S40" s="54"/>
      <c r="T40" s="54"/>
      <c r="U40" s="54"/>
      <c r="V40" s="54"/>
      <c r="W40" s="35"/>
      <c r="X40" s="35"/>
      <c r="Y40" s="54"/>
      <c r="Z40" s="54"/>
      <c r="AA40" s="35"/>
      <c r="AB40" s="35"/>
      <c r="AC40" s="35"/>
      <c r="AD40" s="54"/>
      <c r="AE40" s="54"/>
      <c r="AF40" s="54"/>
      <c r="AG40" s="54"/>
      <c r="AH40" s="54"/>
      <c r="AI40" s="54"/>
      <c r="AJ40" s="54"/>
      <c r="AK40" s="54"/>
      <c r="AL40" s="54"/>
      <c r="AM40" s="54"/>
      <c r="AN40" s="54"/>
      <c r="AO40" s="54"/>
      <c r="AP40" s="54"/>
      <c r="AQ40" s="54"/>
      <c r="AR40" s="54"/>
      <c r="AS40" s="54"/>
      <c r="AT40" s="54"/>
      <c r="AU40" s="54"/>
      <c r="AV40" s="54"/>
      <c r="AW40" s="54"/>
      <c r="AX40" s="54"/>
      <c r="AY40" s="54"/>
      <c r="AZ40" s="54"/>
      <c r="BA40" s="60"/>
      <c r="BB40" s="136"/>
      <c r="BC40" s="50"/>
      <c r="BD40" s="51"/>
      <c r="BE40" s="124"/>
      <c r="BF40" s="124"/>
      <c r="BG40" s="126"/>
      <c r="BH40" s="124"/>
      <c r="BI40" s="124"/>
      <c r="BJ40" s="124"/>
      <c r="BK40" s="124"/>
      <c r="BL40" s="124"/>
      <c r="BM40" s="124"/>
      <c r="BN40" s="124"/>
      <c r="BO40" s="124"/>
      <c r="BP40" s="124"/>
      <c r="BQ40" s="124"/>
      <c r="BR40" s="124"/>
      <c r="BS40" s="124"/>
      <c r="BT40" s="124"/>
    </row>
    <row r="41" spans="1:72" ht="21.5" customHeight="1">
      <c r="A41" s="35"/>
      <c r="B41" s="249" t="s">
        <v>210</v>
      </c>
      <c r="C41" s="249"/>
      <c r="D41" s="249"/>
      <c r="E41" s="249"/>
      <c r="F41" s="249" t="s">
        <v>202</v>
      </c>
      <c r="G41" s="249"/>
      <c r="H41" s="249"/>
      <c r="I41" s="249"/>
      <c r="J41" s="249" t="s">
        <v>211</v>
      </c>
      <c r="K41" s="249"/>
      <c r="L41" s="249"/>
      <c r="M41" s="249"/>
      <c r="N41" s="249" t="s">
        <v>212</v>
      </c>
      <c r="O41" s="249"/>
      <c r="P41" s="249"/>
      <c r="Q41" s="249"/>
      <c r="R41" s="249" t="s">
        <v>213</v>
      </c>
      <c r="S41" s="249"/>
      <c r="T41" s="249"/>
      <c r="U41" s="249"/>
      <c r="V41" s="249" t="s">
        <v>214</v>
      </c>
      <c r="W41" s="249"/>
      <c r="X41" s="249"/>
      <c r="Y41" s="249"/>
      <c r="Z41" s="249" t="s">
        <v>215</v>
      </c>
      <c r="AA41" s="249"/>
      <c r="AB41" s="249"/>
      <c r="AC41" s="249"/>
      <c r="AD41" s="249" t="s">
        <v>216</v>
      </c>
      <c r="AE41" s="249"/>
      <c r="AF41" s="249"/>
      <c r="AG41" s="249"/>
      <c r="AH41" s="239" t="s">
        <v>217</v>
      </c>
      <c r="AI41" s="240"/>
      <c r="AJ41" s="240"/>
      <c r="AK41" s="241"/>
      <c r="AL41" s="239" t="s">
        <v>49</v>
      </c>
      <c r="AM41" s="240"/>
      <c r="AN41" s="240"/>
      <c r="AO41" s="241"/>
      <c r="AP41" s="239" t="s">
        <v>50</v>
      </c>
      <c r="AQ41" s="240"/>
      <c r="AR41" s="240"/>
      <c r="AS41" s="241"/>
      <c r="AT41" s="239" t="s">
        <v>218</v>
      </c>
      <c r="AU41" s="240"/>
      <c r="AV41" s="240"/>
      <c r="AW41" s="241"/>
      <c r="AX41" s="54"/>
      <c r="AY41" s="54"/>
      <c r="AZ41" s="54"/>
      <c r="BA41" s="60"/>
      <c r="BB41" s="136"/>
      <c r="BC41" s="50"/>
      <c r="BD41" s="51"/>
      <c r="BE41" s="124"/>
    </row>
    <row r="42" spans="1:72" ht="21.5" customHeight="1">
      <c r="A42" s="35"/>
      <c r="B42" s="249"/>
      <c r="C42" s="249"/>
      <c r="D42" s="249"/>
      <c r="E42" s="249"/>
      <c r="F42" s="249"/>
      <c r="G42" s="249"/>
      <c r="H42" s="249"/>
      <c r="I42" s="249"/>
      <c r="J42" s="249"/>
      <c r="K42" s="249"/>
      <c r="L42" s="249"/>
      <c r="M42" s="249"/>
      <c r="N42" s="249"/>
      <c r="O42" s="249"/>
      <c r="P42" s="249"/>
      <c r="Q42" s="249"/>
      <c r="R42" s="249"/>
      <c r="S42" s="249"/>
      <c r="T42" s="249"/>
      <c r="U42" s="249"/>
      <c r="V42" s="249"/>
      <c r="W42" s="249"/>
      <c r="X42" s="249"/>
      <c r="Y42" s="249"/>
      <c r="Z42" s="249"/>
      <c r="AA42" s="249"/>
      <c r="AB42" s="249"/>
      <c r="AC42" s="249"/>
      <c r="AD42" s="249"/>
      <c r="AE42" s="249"/>
      <c r="AF42" s="249"/>
      <c r="AG42" s="249"/>
      <c r="AH42" s="242"/>
      <c r="AI42" s="243"/>
      <c r="AJ42" s="243"/>
      <c r="AK42" s="244"/>
      <c r="AL42" s="242"/>
      <c r="AM42" s="243"/>
      <c r="AN42" s="243"/>
      <c r="AO42" s="244"/>
      <c r="AP42" s="242"/>
      <c r="AQ42" s="243"/>
      <c r="AR42" s="243"/>
      <c r="AS42" s="244"/>
      <c r="AT42" s="242"/>
      <c r="AU42" s="243"/>
      <c r="AV42" s="243"/>
      <c r="AW42" s="244"/>
      <c r="AX42" s="54"/>
      <c r="AY42" s="54"/>
      <c r="AZ42" s="54"/>
      <c r="BA42" s="60"/>
      <c r="BB42" s="136"/>
      <c r="BC42" s="50"/>
      <c r="BD42" s="51"/>
      <c r="BE42" s="124"/>
      <c r="BF42" s="124"/>
      <c r="BH42" s="124"/>
    </row>
    <row r="43" spans="1:72" ht="21.5" customHeight="1">
      <c r="A43" s="35"/>
      <c r="B43" s="249"/>
      <c r="C43" s="249"/>
      <c r="D43" s="249"/>
      <c r="E43" s="249"/>
      <c r="F43" s="249"/>
      <c r="G43" s="249"/>
      <c r="H43" s="249"/>
      <c r="I43" s="249"/>
      <c r="J43" s="249"/>
      <c r="K43" s="249"/>
      <c r="L43" s="249"/>
      <c r="M43" s="249"/>
      <c r="N43" s="249"/>
      <c r="O43" s="249"/>
      <c r="P43" s="249"/>
      <c r="Q43" s="249"/>
      <c r="R43" s="249"/>
      <c r="S43" s="249"/>
      <c r="T43" s="249"/>
      <c r="U43" s="249"/>
      <c r="V43" s="249"/>
      <c r="W43" s="249"/>
      <c r="X43" s="249"/>
      <c r="Y43" s="249"/>
      <c r="Z43" s="249"/>
      <c r="AA43" s="249"/>
      <c r="AB43" s="249"/>
      <c r="AC43" s="249"/>
      <c r="AD43" s="249"/>
      <c r="AE43" s="249"/>
      <c r="AF43" s="249"/>
      <c r="AG43" s="249"/>
      <c r="AH43" s="245"/>
      <c r="AI43" s="246"/>
      <c r="AJ43" s="246"/>
      <c r="AK43" s="247"/>
      <c r="AL43" s="245"/>
      <c r="AM43" s="246"/>
      <c r="AN43" s="246"/>
      <c r="AO43" s="247"/>
      <c r="AP43" s="245"/>
      <c r="AQ43" s="246"/>
      <c r="AR43" s="246"/>
      <c r="AS43" s="247"/>
      <c r="AT43" s="245"/>
      <c r="AU43" s="246"/>
      <c r="AV43" s="246"/>
      <c r="AW43" s="247"/>
      <c r="AX43" s="54"/>
      <c r="AY43" s="54"/>
      <c r="AZ43" s="54"/>
      <c r="BA43" s="60"/>
      <c r="BB43" s="136"/>
      <c r="BC43" s="50"/>
      <c r="BD43" s="51"/>
      <c r="BE43" s="124"/>
      <c r="BF43" s="124"/>
      <c r="BH43" s="124"/>
    </row>
    <row r="44" spans="1:72" ht="15">
      <c r="A44" s="35"/>
      <c r="B44" s="237" t="s">
        <v>51</v>
      </c>
      <c r="C44" s="237"/>
      <c r="D44" s="237"/>
      <c r="E44" s="237"/>
      <c r="F44" s="237" t="s">
        <v>52</v>
      </c>
      <c r="G44" s="237"/>
      <c r="H44" s="237"/>
      <c r="I44" s="237"/>
      <c r="J44" s="237" t="s">
        <v>53</v>
      </c>
      <c r="K44" s="237"/>
      <c r="L44" s="237"/>
      <c r="M44" s="237"/>
      <c r="N44" s="237" t="s">
        <v>54</v>
      </c>
      <c r="O44" s="237"/>
      <c r="P44" s="237"/>
      <c r="Q44" s="237"/>
      <c r="R44" s="248" t="s">
        <v>55</v>
      </c>
      <c r="S44" s="237"/>
      <c r="T44" s="237"/>
      <c r="U44" s="237"/>
      <c r="V44" s="237" t="s">
        <v>56</v>
      </c>
      <c r="W44" s="237"/>
      <c r="X44" s="237"/>
      <c r="Y44" s="237"/>
      <c r="Z44" s="237" t="s">
        <v>57</v>
      </c>
      <c r="AA44" s="237"/>
      <c r="AB44" s="237"/>
      <c r="AC44" s="237"/>
      <c r="AD44" s="237" t="s">
        <v>56</v>
      </c>
      <c r="AE44" s="237"/>
      <c r="AF44" s="237"/>
      <c r="AG44" s="237"/>
      <c r="AH44" s="237" t="s">
        <v>57</v>
      </c>
      <c r="AI44" s="237"/>
      <c r="AJ44" s="237"/>
      <c r="AK44" s="237"/>
      <c r="AL44" s="237" t="s">
        <v>57</v>
      </c>
      <c r="AM44" s="237"/>
      <c r="AN44" s="237"/>
      <c r="AO44" s="237"/>
      <c r="AP44" s="237" t="s">
        <v>56</v>
      </c>
      <c r="AQ44" s="237"/>
      <c r="AR44" s="237"/>
      <c r="AS44" s="237"/>
      <c r="AT44" s="237" t="s">
        <v>57</v>
      </c>
      <c r="AU44" s="237"/>
      <c r="AV44" s="237"/>
      <c r="AW44" s="237"/>
      <c r="AX44" s="54"/>
      <c r="AY44" s="54"/>
      <c r="AZ44" s="54"/>
      <c r="BA44" s="60"/>
      <c r="BB44" s="136"/>
      <c r="BC44" s="50"/>
      <c r="BD44" s="51"/>
      <c r="BE44" s="124"/>
      <c r="BF44" s="124"/>
      <c r="BG44" s="124"/>
      <c r="BH44" s="124"/>
      <c r="BI44" s="124"/>
      <c r="BJ44" s="124"/>
      <c r="BK44" s="124"/>
      <c r="BL44" s="124"/>
      <c r="BM44" s="124"/>
      <c r="BN44" s="124"/>
      <c r="BO44" s="124"/>
      <c r="BP44" s="124"/>
      <c r="BQ44" s="124"/>
      <c r="BR44" s="124"/>
      <c r="BS44" s="124"/>
      <c r="BT44" s="124"/>
    </row>
    <row r="45" spans="1:72" ht="15">
      <c r="A45" s="35"/>
      <c r="B45" s="237"/>
      <c r="C45" s="237"/>
      <c r="D45" s="237"/>
      <c r="E45" s="237"/>
      <c r="F45" s="237"/>
      <c r="G45" s="237"/>
      <c r="H45" s="237"/>
      <c r="I45" s="237"/>
      <c r="J45" s="237"/>
      <c r="K45" s="237"/>
      <c r="L45" s="237"/>
      <c r="M45" s="237"/>
      <c r="N45" s="237"/>
      <c r="O45" s="237"/>
      <c r="P45" s="237"/>
      <c r="Q45" s="237"/>
      <c r="R45" s="237"/>
      <c r="S45" s="237"/>
      <c r="T45" s="237"/>
      <c r="U45" s="237"/>
      <c r="V45" s="237"/>
      <c r="W45" s="237"/>
      <c r="X45" s="237"/>
      <c r="Y45" s="237"/>
      <c r="Z45" s="237"/>
      <c r="AA45" s="237"/>
      <c r="AB45" s="237"/>
      <c r="AC45" s="237"/>
      <c r="AD45" s="237"/>
      <c r="AE45" s="237"/>
      <c r="AF45" s="237"/>
      <c r="AG45" s="237"/>
      <c r="AH45" s="237"/>
      <c r="AI45" s="237"/>
      <c r="AJ45" s="237"/>
      <c r="AK45" s="237"/>
      <c r="AL45" s="237"/>
      <c r="AM45" s="237"/>
      <c r="AN45" s="237"/>
      <c r="AO45" s="237"/>
      <c r="AP45" s="237"/>
      <c r="AQ45" s="237"/>
      <c r="AR45" s="237"/>
      <c r="AS45" s="237"/>
      <c r="AT45" s="237"/>
      <c r="AU45" s="237"/>
      <c r="AV45" s="237"/>
      <c r="AW45" s="237"/>
      <c r="AX45" s="54"/>
      <c r="AY45" s="54"/>
      <c r="AZ45" s="54"/>
      <c r="BA45" s="60"/>
      <c r="BB45" s="136"/>
      <c r="BC45" s="50"/>
      <c r="BD45" s="51"/>
      <c r="BE45" s="124"/>
      <c r="BF45" s="124"/>
      <c r="BG45" s="124"/>
      <c r="BH45" s="124"/>
      <c r="BI45" s="124"/>
      <c r="BJ45" s="124"/>
      <c r="BK45" s="124"/>
      <c r="BL45" s="124"/>
      <c r="BM45" s="124"/>
      <c r="BN45" s="124"/>
      <c r="BO45" s="124"/>
      <c r="BP45" s="124"/>
      <c r="BQ45" s="124"/>
      <c r="BR45" s="124"/>
      <c r="BS45" s="124"/>
      <c r="BT45" s="124"/>
    </row>
    <row r="46" spans="1:72" ht="15">
      <c r="A46" s="35"/>
      <c r="B46" s="237" t="s">
        <v>58</v>
      </c>
      <c r="C46" s="237"/>
      <c r="D46" s="237"/>
      <c r="E46" s="237"/>
      <c r="F46" s="237" t="s">
        <v>59</v>
      </c>
      <c r="G46" s="237"/>
      <c r="H46" s="237"/>
      <c r="I46" s="237"/>
      <c r="J46" s="237" t="s">
        <v>60</v>
      </c>
      <c r="K46" s="237"/>
      <c r="L46" s="237"/>
      <c r="M46" s="237"/>
      <c r="N46" s="237" t="s">
        <v>61</v>
      </c>
      <c r="O46" s="237"/>
      <c r="P46" s="237"/>
      <c r="Q46" s="237"/>
      <c r="R46" s="238" t="s">
        <v>62</v>
      </c>
      <c r="S46" s="237"/>
      <c r="T46" s="237"/>
      <c r="U46" s="237"/>
      <c r="V46" s="237" t="s">
        <v>56</v>
      </c>
      <c r="W46" s="237"/>
      <c r="X46" s="237"/>
      <c r="Y46" s="237"/>
      <c r="Z46" s="237" t="s">
        <v>57</v>
      </c>
      <c r="AA46" s="237"/>
      <c r="AB46" s="237"/>
      <c r="AC46" s="237"/>
      <c r="AD46" s="237" t="s">
        <v>56</v>
      </c>
      <c r="AE46" s="237"/>
      <c r="AF46" s="237"/>
      <c r="AG46" s="237"/>
      <c r="AH46" s="237" t="s">
        <v>57</v>
      </c>
      <c r="AI46" s="237"/>
      <c r="AJ46" s="237"/>
      <c r="AK46" s="237"/>
      <c r="AL46" s="237" t="s">
        <v>57</v>
      </c>
      <c r="AM46" s="237"/>
      <c r="AN46" s="237"/>
      <c r="AO46" s="237"/>
      <c r="AP46" s="237" t="s">
        <v>56</v>
      </c>
      <c r="AQ46" s="237"/>
      <c r="AR46" s="237"/>
      <c r="AS46" s="237"/>
      <c r="AT46" s="237" t="s">
        <v>57</v>
      </c>
      <c r="AU46" s="237"/>
      <c r="AV46" s="237"/>
      <c r="AW46" s="237"/>
      <c r="AX46" s="54"/>
      <c r="AY46" s="54"/>
      <c r="AZ46" s="54"/>
      <c r="BA46" s="60"/>
      <c r="BB46" s="136"/>
      <c r="BC46" s="50"/>
      <c r="BD46" s="51"/>
      <c r="BE46" s="124"/>
      <c r="BF46" s="124"/>
      <c r="BG46" s="124"/>
      <c r="BH46" s="124"/>
      <c r="BI46" s="124"/>
      <c r="BJ46" s="124"/>
      <c r="BK46" s="124"/>
      <c r="BL46" s="124"/>
      <c r="BM46" s="124"/>
      <c r="BN46" s="124"/>
      <c r="BO46" s="124"/>
      <c r="BP46" s="124"/>
      <c r="BQ46" s="124"/>
      <c r="BR46" s="124"/>
      <c r="BS46" s="124"/>
      <c r="BT46" s="124"/>
    </row>
    <row r="47" spans="1:72" ht="15">
      <c r="A47" s="35"/>
      <c r="B47" s="237"/>
      <c r="C47" s="237"/>
      <c r="D47" s="237"/>
      <c r="E47" s="237"/>
      <c r="F47" s="237"/>
      <c r="G47" s="237"/>
      <c r="H47" s="237"/>
      <c r="I47" s="237"/>
      <c r="J47" s="237"/>
      <c r="K47" s="237"/>
      <c r="L47" s="237"/>
      <c r="M47" s="237"/>
      <c r="N47" s="237"/>
      <c r="O47" s="237"/>
      <c r="P47" s="237"/>
      <c r="Q47" s="237"/>
      <c r="R47" s="237"/>
      <c r="S47" s="237"/>
      <c r="T47" s="237"/>
      <c r="U47" s="237"/>
      <c r="V47" s="237"/>
      <c r="W47" s="237"/>
      <c r="X47" s="237"/>
      <c r="Y47" s="237"/>
      <c r="Z47" s="237"/>
      <c r="AA47" s="237"/>
      <c r="AB47" s="237"/>
      <c r="AC47" s="237"/>
      <c r="AD47" s="237"/>
      <c r="AE47" s="237"/>
      <c r="AF47" s="237"/>
      <c r="AG47" s="237"/>
      <c r="AH47" s="237"/>
      <c r="AI47" s="237"/>
      <c r="AJ47" s="237"/>
      <c r="AK47" s="237"/>
      <c r="AL47" s="237"/>
      <c r="AM47" s="237"/>
      <c r="AN47" s="237"/>
      <c r="AO47" s="237"/>
      <c r="AP47" s="237"/>
      <c r="AQ47" s="237"/>
      <c r="AR47" s="237"/>
      <c r="AS47" s="237"/>
      <c r="AT47" s="237"/>
      <c r="AU47" s="237"/>
      <c r="AV47" s="237"/>
      <c r="AW47" s="237"/>
      <c r="AX47" s="54"/>
      <c r="AY47" s="54"/>
      <c r="AZ47" s="54"/>
      <c r="BA47" s="60"/>
      <c r="BB47" s="136"/>
      <c r="BC47" s="50"/>
      <c r="BD47" s="51"/>
      <c r="BE47" s="124"/>
      <c r="BF47" s="124"/>
      <c r="BG47" s="126"/>
      <c r="BH47" s="124"/>
      <c r="BI47" s="124"/>
      <c r="BJ47" s="124"/>
      <c r="BK47" s="124"/>
      <c r="BL47" s="124"/>
      <c r="BM47" s="124"/>
      <c r="BN47" s="124"/>
      <c r="BO47" s="124"/>
      <c r="BP47" s="124"/>
      <c r="BQ47" s="124"/>
      <c r="BR47" s="124"/>
      <c r="BS47" s="124"/>
      <c r="BT47" s="124"/>
    </row>
    <row r="48" spans="1:72" ht="15">
      <c r="A48" s="35"/>
      <c r="B48" s="237" t="s">
        <v>63</v>
      </c>
      <c r="C48" s="237"/>
      <c r="D48" s="237"/>
      <c r="E48" s="237"/>
      <c r="F48" s="237" t="s">
        <v>64</v>
      </c>
      <c r="G48" s="237"/>
      <c r="H48" s="237"/>
      <c r="I48" s="237"/>
      <c r="J48" s="237" t="s">
        <v>65</v>
      </c>
      <c r="K48" s="237"/>
      <c r="L48" s="237"/>
      <c r="M48" s="237"/>
      <c r="N48" s="237" t="s">
        <v>66</v>
      </c>
      <c r="O48" s="237"/>
      <c r="P48" s="237"/>
      <c r="Q48" s="237"/>
      <c r="R48" s="238" t="s">
        <v>57</v>
      </c>
      <c r="S48" s="237"/>
      <c r="T48" s="237"/>
      <c r="U48" s="237"/>
      <c r="V48" s="237" t="s">
        <v>56</v>
      </c>
      <c r="W48" s="237"/>
      <c r="X48" s="237"/>
      <c r="Y48" s="237"/>
      <c r="Z48" s="237" t="s">
        <v>57</v>
      </c>
      <c r="AA48" s="237"/>
      <c r="AB48" s="237"/>
      <c r="AC48" s="237"/>
      <c r="AD48" s="237" t="s">
        <v>56</v>
      </c>
      <c r="AE48" s="237"/>
      <c r="AF48" s="237"/>
      <c r="AG48" s="237"/>
      <c r="AH48" s="237" t="s">
        <v>57</v>
      </c>
      <c r="AI48" s="237"/>
      <c r="AJ48" s="237"/>
      <c r="AK48" s="237"/>
      <c r="AL48" s="237" t="s">
        <v>57</v>
      </c>
      <c r="AM48" s="237"/>
      <c r="AN48" s="237"/>
      <c r="AO48" s="237"/>
      <c r="AP48" s="237" t="s">
        <v>56</v>
      </c>
      <c r="AQ48" s="237"/>
      <c r="AR48" s="237"/>
      <c r="AS48" s="237"/>
      <c r="AT48" s="237" t="s">
        <v>57</v>
      </c>
      <c r="AU48" s="237"/>
      <c r="AV48" s="237"/>
      <c r="AW48" s="237"/>
      <c r="AX48" s="54"/>
      <c r="AY48" s="54"/>
      <c r="AZ48" s="54"/>
      <c r="BA48" s="60"/>
      <c r="BB48" s="136"/>
      <c r="BC48" s="50"/>
      <c r="BD48" s="51"/>
      <c r="BE48" s="124"/>
      <c r="BF48" s="124"/>
      <c r="BG48" s="126"/>
      <c r="BH48" s="124"/>
      <c r="BI48" s="124"/>
      <c r="BJ48" s="124"/>
      <c r="BK48" s="124"/>
      <c r="BL48" s="124"/>
      <c r="BM48" s="124"/>
      <c r="BN48" s="124"/>
      <c r="BO48" s="124"/>
      <c r="BP48" s="124"/>
      <c r="BQ48" s="124"/>
      <c r="BR48" s="124"/>
      <c r="BS48" s="124"/>
      <c r="BT48" s="124"/>
    </row>
    <row r="49" spans="1:74" ht="15">
      <c r="A49" s="35"/>
      <c r="B49" s="237"/>
      <c r="C49" s="237"/>
      <c r="D49" s="237"/>
      <c r="E49" s="237"/>
      <c r="F49" s="237"/>
      <c r="G49" s="237"/>
      <c r="H49" s="237"/>
      <c r="I49" s="237"/>
      <c r="J49" s="237"/>
      <c r="K49" s="237"/>
      <c r="L49" s="237"/>
      <c r="M49" s="237"/>
      <c r="N49" s="237"/>
      <c r="O49" s="237"/>
      <c r="P49" s="237"/>
      <c r="Q49" s="237"/>
      <c r="R49" s="237"/>
      <c r="S49" s="237"/>
      <c r="T49" s="237"/>
      <c r="U49" s="237"/>
      <c r="V49" s="237"/>
      <c r="W49" s="237"/>
      <c r="X49" s="237"/>
      <c r="Y49" s="237"/>
      <c r="Z49" s="237"/>
      <c r="AA49" s="237"/>
      <c r="AB49" s="237"/>
      <c r="AC49" s="237"/>
      <c r="AD49" s="237"/>
      <c r="AE49" s="237"/>
      <c r="AF49" s="237"/>
      <c r="AG49" s="237"/>
      <c r="AH49" s="237"/>
      <c r="AI49" s="237"/>
      <c r="AJ49" s="237"/>
      <c r="AK49" s="237"/>
      <c r="AL49" s="237"/>
      <c r="AM49" s="237"/>
      <c r="AN49" s="237"/>
      <c r="AO49" s="237"/>
      <c r="AP49" s="237"/>
      <c r="AQ49" s="237"/>
      <c r="AR49" s="237"/>
      <c r="AS49" s="237"/>
      <c r="AT49" s="237"/>
      <c r="AU49" s="237"/>
      <c r="AV49" s="237"/>
      <c r="AW49" s="237"/>
      <c r="AX49" s="54"/>
      <c r="AY49" s="54"/>
      <c r="AZ49" s="54"/>
      <c r="BA49" s="60"/>
      <c r="BB49" s="136"/>
      <c r="BC49" s="50"/>
      <c r="BD49" s="51"/>
      <c r="BE49" s="124"/>
      <c r="BF49" s="124"/>
      <c r="BG49" s="126"/>
      <c r="BH49" s="124"/>
      <c r="BI49" s="124"/>
      <c r="BJ49" s="124"/>
      <c r="BK49" s="124"/>
      <c r="BL49" s="124"/>
      <c r="BM49" s="124"/>
      <c r="BN49" s="124"/>
      <c r="BO49" s="124"/>
      <c r="BP49" s="124"/>
      <c r="BQ49" s="124"/>
      <c r="BR49" s="124"/>
      <c r="BS49" s="124"/>
      <c r="BT49" s="124"/>
    </row>
    <row r="50" spans="1:74" ht="15">
      <c r="A50" s="35"/>
      <c r="B50" s="237" t="s">
        <v>67</v>
      </c>
      <c r="C50" s="237"/>
      <c r="D50" s="237"/>
      <c r="E50" s="237"/>
      <c r="F50" s="237" t="s">
        <v>68</v>
      </c>
      <c r="G50" s="237"/>
      <c r="H50" s="237"/>
      <c r="I50" s="237"/>
      <c r="J50" s="237" t="s">
        <v>69</v>
      </c>
      <c r="K50" s="237"/>
      <c r="L50" s="237"/>
      <c r="M50" s="237"/>
      <c r="N50" s="237" t="s">
        <v>70</v>
      </c>
      <c r="O50" s="237"/>
      <c r="P50" s="237"/>
      <c r="Q50" s="237"/>
      <c r="R50" s="238" t="s">
        <v>57</v>
      </c>
      <c r="S50" s="237"/>
      <c r="T50" s="237"/>
      <c r="U50" s="237"/>
      <c r="V50" s="237" t="s">
        <v>56</v>
      </c>
      <c r="W50" s="237"/>
      <c r="X50" s="237"/>
      <c r="Y50" s="237"/>
      <c r="Z50" s="237" t="s">
        <v>57</v>
      </c>
      <c r="AA50" s="237"/>
      <c r="AB50" s="237"/>
      <c r="AC50" s="237"/>
      <c r="AD50" s="237" t="s">
        <v>56</v>
      </c>
      <c r="AE50" s="237"/>
      <c r="AF50" s="237"/>
      <c r="AG50" s="237"/>
      <c r="AH50" s="237" t="s">
        <v>57</v>
      </c>
      <c r="AI50" s="237"/>
      <c r="AJ50" s="237"/>
      <c r="AK50" s="237"/>
      <c r="AL50" s="237" t="s">
        <v>57</v>
      </c>
      <c r="AM50" s="237"/>
      <c r="AN50" s="237"/>
      <c r="AO50" s="237"/>
      <c r="AP50" s="237" t="s">
        <v>56</v>
      </c>
      <c r="AQ50" s="237"/>
      <c r="AR50" s="237"/>
      <c r="AS50" s="237"/>
      <c r="AT50" s="237" t="s">
        <v>57</v>
      </c>
      <c r="AU50" s="237"/>
      <c r="AV50" s="237"/>
      <c r="AW50" s="237"/>
      <c r="AX50" s="54"/>
      <c r="AY50" s="54"/>
      <c r="AZ50" s="54"/>
      <c r="BA50" s="60"/>
      <c r="BB50" s="136"/>
      <c r="BC50" s="50"/>
      <c r="BD50" s="51"/>
      <c r="BE50" s="124"/>
      <c r="BH50" s="124"/>
      <c r="BI50" s="124"/>
      <c r="BJ50" s="124"/>
      <c r="BK50" s="124"/>
      <c r="BL50" s="124"/>
      <c r="BM50" s="124"/>
      <c r="BN50" s="124"/>
      <c r="BO50" s="124"/>
      <c r="BP50" s="124"/>
      <c r="BQ50" s="124"/>
      <c r="BR50" s="124"/>
      <c r="BS50" s="124"/>
      <c r="BT50" s="124"/>
    </row>
    <row r="51" spans="1:74" ht="15">
      <c r="A51" s="35"/>
      <c r="B51" s="237"/>
      <c r="C51" s="237"/>
      <c r="D51" s="237"/>
      <c r="E51" s="237"/>
      <c r="F51" s="237"/>
      <c r="G51" s="237"/>
      <c r="H51" s="237"/>
      <c r="I51" s="237"/>
      <c r="J51" s="237"/>
      <c r="K51" s="237"/>
      <c r="L51" s="237"/>
      <c r="M51" s="237"/>
      <c r="N51" s="237"/>
      <c r="O51" s="237"/>
      <c r="P51" s="237"/>
      <c r="Q51" s="237"/>
      <c r="R51" s="237"/>
      <c r="S51" s="237"/>
      <c r="T51" s="237"/>
      <c r="U51" s="237"/>
      <c r="V51" s="237"/>
      <c r="W51" s="237"/>
      <c r="X51" s="237"/>
      <c r="Y51" s="237"/>
      <c r="Z51" s="237"/>
      <c r="AA51" s="237"/>
      <c r="AB51" s="237"/>
      <c r="AC51" s="237"/>
      <c r="AD51" s="237"/>
      <c r="AE51" s="237"/>
      <c r="AF51" s="237"/>
      <c r="AG51" s="237"/>
      <c r="AH51" s="237"/>
      <c r="AI51" s="237"/>
      <c r="AJ51" s="237"/>
      <c r="AK51" s="237"/>
      <c r="AL51" s="237"/>
      <c r="AM51" s="237"/>
      <c r="AN51" s="237"/>
      <c r="AO51" s="237"/>
      <c r="AP51" s="237"/>
      <c r="AQ51" s="237"/>
      <c r="AR51" s="237"/>
      <c r="AS51" s="237"/>
      <c r="AT51" s="237"/>
      <c r="AU51" s="237"/>
      <c r="AV51" s="237"/>
      <c r="AW51" s="237"/>
      <c r="AX51" s="54"/>
      <c r="AY51" s="54"/>
      <c r="AZ51" s="54"/>
      <c r="BA51" s="60"/>
      <c r="BB51" s="136"/>
      <c r="BC51" s="50"/>
      <c r="BD51" s="51"/>
      <c r="BE51" s="124"/>
      <c r="BF51" s="124"/>
      <c r="BG51" s="124"/>
      <c r="BH51" s="124"/>
      <c r="BI51" s="124"/>
      <c r="BJ51" s="124"/>
      <c r="BK51" s="124"/>
      <c r="BL51" s="124"/>
      <c r="BM51" s="124"/>
      <c r="BN51" s="124"/>
      <c r="BO51" s="124"/>
      <c r="BP51" s="124"/>
      <c r="BQ51" s="124"/>
      <c r="BR51" s="124"/>
      <c r="BS51" s="124"/>
      <c r="BT51" s="124"/>
    </row>
    <row r="52" spans="1:74" ht="15">
      <c r="A52" s="35"/>
      <c r="B52" s="122"/>
      <c r="C52" s="122"/>
      <c r="D52" s="122"/>
      <c r="E52" s="122"/>
      <c r="F52" s="127"/>
      <c r="G52" s="127"/>
      <c r="H52" s="127"/>
      <c r="I52" s="127"/>
      <c r="J52" s="127"/>
      <c r="K52" s="127"/>
      <c r="L52" s="127"/>
      <c r="M52" s="127"/>
      <c r="N52" s="127"/>
      <c r="O52" s="127"/>
      <c r="P52" s="127"/>
      <c r="Q52" s="127"/>
      <c r="R52" s="127"/>
      <c r="S52" s="127"/>
      <c r="T52" s="127"/>
      <c r="U52" s="127"/>
      <c r="V52" s="127"/>
      <c r="W52" s="127"/>
      <c r="X52" s="127"/>
      <c r="Y52" s="127"/>
      <c r="Z52" s="127"/>
      <c r="AA52" s="127"/>
      <c r="AB52" s="127"/>
      <c r="AC52" s="127"/>
      <c r="AD52" s="127"/>
      <c r="AE52" s="127"/>
      <c r="AF52" s="127"/>
      <c r="AG52" s="127"/>
      <c r="AH52" s="127"/>
      <c r="AI52" s="127"/>
      <c r="AJ52" s="127"/>
      <c r="AK52" s="127"/>
      <c r="AL52" s="127"/>
      <c r="AM52" s="127"/>
      <c r="AN52" s="127"/>
      <c r="AO52" s="127"/>
      <c r="AP52" s="127"/>
      <c r="AQ52" s="127"/>
      <c r="AR52" s="127"/>
      <c r="AS52" s="127"/>
      <c r="AT52" s="127"/>
      <c r="AU52" s="127"/>
      <c r="AV52" s="127"/>
      <c r="AW52" s="127"/>
      <c r="AX52" s="54"/>
      <c r="AY52" s="54"/>
      <c r="AZ52" s="54"/>
      <c r="BA52" s="60"/>
      <c r="BB52" s="136"/>
      <c r="BC52" s="50"/>
      <c r="BD52" s="51"/>
      <c r="BE52" s="124"/>
      <c r="BF52" s="124"/>
      <c r="BG52" s="124"/>
      <c r="BH52" s="124"/>
      <c r="BI52" s="124"/>
      <c r="BJ52" s="124"/>
      <c r="BK52" s="124"/>
      <c r="BL52" s="124"/>
      <c r="BM52" s="124"/>
      <c r="BN52" s="124"/>
      <c r="BO52" s="124"/>
      <c r="BP52" s="124"/>
      <c r="BQ52" s="124"/>
      <c r="BR52" s="124"/>
      <c r="BS52" s="124"/>
      <c r="BT52" s="124"/>
    </row>
    <row r="53" spans="1:74" ht="15">
      <c r="A53" s="35"/>
      <c r="B53" s="122" t="s">
        <v>71</v>
      </c>
      <c r="C53" s="122"/>
      <c r="D53" s="122"/>
      <c r="E53" s="122"/>
      <c r="F53" s="127"/>
      <c r="G53" s="127"/>
      <c r="H53" s="127"/>
      <c r="I53" s="127"/>
      <c r="J53" s="127"/>
      <c r="K53" s="127"/>
      <c r="L53" s="127"/>
      <c r="M53" s="57"/>
      <c r="N53" s="127"/>
      <c r="O53" s="127"/>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7"/>
      <c r="AN53" s="127"/>
      <c r="AO53" s="127"/>
      <c r="AP53" s="127"/>
      <c r="AQ53" s="127"/>
      <c r="AR53" s="127"/>
      <c r="AS53" s="127"/>
      <c r="AT53" s="127"/>
      <c r="AU53" s="127"/>
      <c r="AV53" s="127"/>
      <c r="AW53" s="127"/>
      <c r="AX53" s="54"/>
      <c r="AY53" s="54"/>
      <c r="AZ53" s="54"/>
      <c r="BA53" s="60"/>
      <c r="BB53" s="136"/>
      <c r="BC53" s="50"/>
      <c r="BD53" s="51"/>
      <c r="BE53" s="124"/>
      <c r="BF53" s="124"/>
      <c r="BG53" s="124"/>
      <c r="BH53" s="124"/>
      <c r="BI53" s="124"/>
      <c r="BJ53" s="124"/>
      <c r="BK53" s="124"/>
      <c r="BL53" s="124"/>
      <c r="BM53" s="124"/>
      <c r="BN53" s="124"/>
      <c r="BO53" s="124"/>
      <c r="BP53" s="124"/>
      <c r="BQ53" s="124"/>
      <c r="BR53" s="124"/>
      <c r="BS53" s="124"/>
      <c r="BT53" s="124"/>
    </row>
    <row r="54" spans="1:74" ht="15">
      <c r="A54" s="35"/>
      <c r="B54" s="122" t="s">
        <v>72</v>
      </c>
      <c r="C54" s="122"/>
      <c r="D54" s="122"/>
      <c r="E54" s="122"/>
      <c r="F54" s="127"/>
      <c r="G54" s="127"/>
      <c r="H54" s="127"/>
      <c r="I54" s="127"/>
      <c r="J54" s="127"/>
      <c r="K54" s="127"/>
      <c r="L54" s="127"/>
      <c r="M54" s="127"/>
      <c r="N54" s="12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127"/>
      <c r="AR54" s="127"/>
      <c r="AS54" s="127"/>
      <c r="AT54" s="127"/>
      <c r="AU54" s="127"/>
      <c r="AV54" s="127"/>
      <c r="AW54" s="127"/>
      <c r="AX54" s="54"/>
      <c r="AY54" s="54"/>
      <c r="AZ54" s="54"/>
      <c r="BA54" s="60"/>
      <c r="BB54" s="136"/>
      <c r="BC54" s="50"/>
      <c r="BD54" s="51"/>
      <c r="BE54" s="124"/>
      <c r="BF54" s="124"/>
      <c r="BG54" s="124"/>
      <c r="BH54" s="124"/>
      <c r="BI54" s="124"/>
      <c r="BJ54" s="124"/>
      <c r="BK54" s="124"/>
      <c r="BL54" s="124"/>
      <c r="BM54" s="124"/>
      <c r="BN54" s="124"/>
      <c r="BO54" s="124"/>
      <c r="BP54" s="124"/>
      <c r="BQ54" s="124"/>
      <c r="BR54" s="124"/>
      <c r="BS54" s="124"/>
      <c r="BT54" s="124"/>
    </row>
    <row r="55" spans="1:74" ht="15">
      <c r="A55" s="35"/>
      <c r="B55" s="122" t="s">
        <v>73</v>
      </c>
      <c r="C55" s="122"/>
      <c r="D55" s="122"/>
      <c r="E55" s="122"/>
      <c r="F55" s="127"/>
      <c r="G55" s="127"/>
      <c r="H55" s="127"/>
      <c r="I55" s="127"/>
      <c r="J55" s="127"/>
      <c r="K55" s="127"/>
      <c r="L55" s="127"/>
      <c r="M55" s="127"/>
      <c r="N55" s="12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127"/>
      <c r="AR55" s="127"/>
      <c r="AS55" s="127"/>
      <c r="AT55" s="127"/>
      <c r="AU55" s="127"/>
      <c r="AV55" s="127"/>
      <c r="AW55" s="127"/>
      <c r="AX55" s="54"/>
      <c r="AY55" s="54"/>
      <c r="AZ55" s="54"/>
      <c r="BA55" s="60"/>
      <c r="BB55" s="136"/>
      <c r="BC55" s="50"/>
      <c r="BD55" s="51"/>
      <c r="BF55" s="124"/>
      <c r="BG55" s="124"/>
      <c r="BH55" s="124"/>
      <c r="BI55" s="124"/>
      <c r="BJ55" s="124"/>
      <c r="BK55" s="124"/>
      <c r="BL55" s="124"/>
      <c r="BM55" s="124"/>
      <c r="BN55" s="124"/>
      <c r="BO55" s="124"/>
      <c r="BP55" s="124"/>
      <c r="BQ55" s="124"/>
      <c r="BR55" s="124"/>
      <c r="BS55" s="124"/>
      <c r="BT55" s="124"/>
    </row>
    <row r="56" spans="1:74" s="123" customFormat="1" ht="15">
      <c r="A56" s="36"/>
      <c r="B56" s="131"/>
      <c r="C56" s="132"/>
      <c r="D56" s="132"/>
      <c r="E56" s="132"/>
      <c r="F56" s="132"/>
      <c r="G56" s="132"/>
      <c r="H56" s="132"/>
      <c r="I56" s="132"/>
      <c r="J56" s="132"/>
      <c r="K56" s="132"/>
      <c r="L56" s="132"/>
      <c r="M56" s="132"/>
      <c r="N56" s="132"/>
      <c r="O56" s="132"/>
      <c r="P56" s="132"/>
      <c r="Q56" s="132"/>
      <c r="R56" s="132"/>
      <c r="S56" s="133"/>
      <c r="T56" s="133"/>
      <c r="U56" s="133"/>
      <c r="V56" s="133"/>
      <c r="W56" s="132"/>
      <c r="X56" s="132"/>
      <c r="Y56" s="133"/>
      <c r="Z56" s="133"/>
      <c r="AA56" s="132"/>
      <c r="AB56" s="132"/>
      <c r="AC56" s="132"/>
      <c r="AD56" s="133"/>
      <c r="AE56" s="133"/>
      <c r="AF56" s="133"/>
      <c r="AG56" s="133"/>
      <c r="AH56" s="133"/>
      <c r="AI56" s="133"/>
      <c r="AJ56" s="133"/>
      <c r="AK56" s="133"/>
      <c r="AL56" s="133"/>
      <c r="AM56" s="133"/>
      <c r="AN56" s="133"/>
      <c r="AO56" s="133"/>
      <c r="AP56" s="133"/>
      <c r="AQ56" s="133"/>
      <c r="AR56" s="133"/>
      <c r="AS56" s="133"/>
      <c r="AT56" s="133"/>
      <c r="AU56" s="133"/>
      <c r="AV56" s="133"/>
      <c r="AW56" s="133"/>
      <c r="AX56" s="133"/>
      <c r="AY56" s="131"/>
      <c r="AZ56" s="131"/>
      <c r="BA56" s="60"/>
      <c r="BB56" s="134"/>
      <c r="BC56" s="135"/>
      <c r="BD56" s="51"/>
      <c r="BE56" s="124"/>
      <c r="BF56" s="124"/>
      <c r="BH56" s="124"/>
      <c r="BI56" s="124"/>
      <c r="BJ56" s="124"/>
      <c r="BK56" s="124"/>
      <c r="BS56" s="124"/>
      <c r="BT56" s="124"/>
    </row>
    <row r="57" spans="1:74" s="123" customFormat="1" ht="15" customHeight="1">
      <c r="A57" s="35"/>
      <c r="B57" s="55"/>
      <c r="C57" s="57"/>
      <c r="D57" s="57"/>
      <c r="E57" s="57"/>
      <c r="F57" s="57"/>
      <c r="G57" s="57"/>
      <c r="H57" s="57"/>
      <c r="I57" s="57"/>
      <c r="J57" s="57"/>
      <c r="K57" s="57"/>
      <c r="L57" s="57"/>
      <c r="M57" s="57"/>
      <c r="N57" s="57"/>
      <c r="O57" s="57"/>
      <c r="P57" s="57"/>
      <c r="Q57" s="57"/>
      <c r="R57" s="57"/>
      <c r="S57" s="137"/>
      <c r="T57" s="137"/>
      <c r="U57" s="137"/>
      <c r="V57" s="137"/>
      <c r="W57" s="57"/>
      <c r="X57" s="57"/>
      <c r="Y57" s="137"/>
      <c r="Z57" s="137"/>
      <c r="AA57" s="57"/>
      <c r="AB57" s="57"/>
      <c r="AC57" s="57"/>
      <c r="AD57" s="137"/>
      <c r="AE57" s="137"/>
      <c r="AF57" s="137"/>
      <c r="AG57" s="137"/>
      <c r="AH57" s="137"/>
      <c r="AI57" s="137"/>
      <c r="AJ57" s="137"/>
      <c r="AK57" s="137"/>
      <c r="AL57" s="137"/>
      <c r="AM57" s="137"/>
      <c r="AN57" s="137"/>
      <c r="AO57" s="137"/>
      <c r="AP57" s="137"/>
      <c r="AQ57" s="137"/>
      <c r="AR57" s="137"/>
      <c r="AS57" s="137"/>
      <c r="AT57" s="137"/>
      <c r="AU57" s="137"/>
      <c r="AV57" s="137"/>
      <c r="AW57" s="137"/>
      <c r="AX57" s="137"/>
      <c r="AY57" s="55"/>
      <c r="AZ57" s="54"/>
      <c r="BA57" s="60"/>
      <c r="BB57" s="136"/>
      <c r="BC57" s="50"/>
      <c r="BD57" s="51"/>
      <c r="BE57" s="124"/>
      <c r="BF57" s="124"/>
      <c r="BG57" s="124"/>
      <c r="BH57" s="124"/>
      <c r="BI57" s="124"/>
      <c r="BJ57" s="124"/>
      <c r="BK57" s="124"/>
      <c r="BS57" s="124"/>
      <c r="BT57" s="124"/>
    </row>
    <row r="58" spans="1:74" s="123" customFormat="1" ht="15">
      <c r="A58" s="52"/>
      <c r="B58" s="128"/>
      <c r="C58" s="129"/>
      <c r="D58" s="129"/>
      <c r="E58" s="129"/>
      <c r="F58" s="129"/>
      <c r="G58" s="129"/>
      <c r="H58" s="129"/>
      <c r="I58" s="129"/>
      <c r="J58" s="129"/>
      <c r="K58" s="129"/>
      <c r="L58" s="129"/>
      <c r="M58" s="129"/>
      <c r="N58" s="129"/>
      <c r="O58" s="129"/>
      <c r="P58" s="129"/>
      <c r="Q58" s="129"/>
      <c r="R58" s="129"/>
      <c r="S58" s="130"/>
      <c r="T58" s="130"/>
      <c r="U58" s="130"/>
      <c r="V58" s="130"/>
      <c r="W58" s="129"/>
      <c r="X58" s="129"/>
      <c r="Y58" s="130"/>
      <c r="Z58" s="130"/>
      <c r="AA58" s="129"/>
      <c r="AB58" s="129"/>
      <c r="AC58" s="129"/>
      <c r="AD58" s="130"/>
      <c r="AE58" s="130"/>
      <c r="AF58" s="130"/>
      <c r="AG58" s="130"/>
      <c r="AH58" s="130"/>
      <c r="AI58" s="130"/>
      <c r="AJ58" s="130"/>
      <c r="AK58" s="130"/>
      <c r="AL58" s="130"/>
      <c r="AM58" s="130"/>
      <c r="AN58" s="130"/>
      <c r="AO58" s="130"/>
      <c r="AP58" s="130"/>
      <c r="AQ58" s="130"/>
      <c r="AR58" s="130"/>
      <c r="AS58" s="130"/>
      <c r="AT58" s="130"/>
      <c r="AU58" s="130"/>
      <c r="AV58" s="130"/>
      <c r="AW58" s="130"/>
      <c r="AX58" s="130"/>
      <c r="AY58" s="128"/>
      <c r="AZ58" s="128"/>
      <c r="BA58" s="70"/>
      <c r="BB58" s="153"/>
      <c r="BC58" s="53"/>
      <c r="BD58" s="51"/>
      <c r="BE58" s="124"/>
      <c r="BF58" s="124"/>
      <c r="BG58" s="124"/>
      <c r="BH58" s="124"/>
      <c r="BI58" s="124"/>
      <c r="BJ58" s="124"/>
      <c r="BS58" s="124"/>
      <c r="BT58" s="124"/>
      <c r="BV58" s="124"/>
    </row>
    <row r="59" spans="1:74" s="123" customFormat="1" ht="15">
      <c r="A59" s="35"/>
      <c r="B59" s="35"/>
      <c r="C59" s="35"/>
      <c r="D59" s="35"/>
      <c r="E59" s="35"/>
      <c r="F59" s="35"/>
      <c r="G59" s="35"/>
      <c r="H59" s="35"/>
      <c r="I59" s="35"/>
      <c r="J59" s="35"/>
      <c r="K59" s="35"/>
      <c r="L59" s="35"/>
      <c r="M59" s="35"/>
      <c r="N59" s="35"/>
      <c r="O59" s="35"/>
      <c r="P59" s="35"/>
      <c r="Q59" s="35"/>
      <c r="R59" s="35"/>
      <c r="S59" s="54"/>
      <c r="T59" s="54"/>
      <c r="U59" s="54"/>
      <c r="V59" s="54"/>
      <c r="W59" s="35"/>
      <c r="X59" s="35"/>
      <c r="Y59" s="54"/>
      <c r="Z59" s="54"/>
      <c r="AA59" s="35"/>
      <c r="AB59" s="35"/>
      <c r="AC59" s="35"/>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1"/>
    </row>
    <row r="60" spans="1:74" s="123" customFormat="1" ht="15">
      <c r="A60" s="35"/>
      <c r="B60" s="35"/>
      <c r="C60" s="35"/>
      <c r="D60" s="35"/>
      <c r="E60" s="35"/>
      <c r="F60" s="35"/>
      <c r="G60" s="35"/>
      <c r="H60" s="35"/>
      <c r="I60" s="35"/>
      <c r="J60" s="35"/>
      <c r="K60" s="35"/>
      <c r="L60" s="35"/>
      <c r="M60" s="35"/>
      <c r="N60" s="35"/>
      <c r="O60" s="35"/>
      <c r="P60" s="35"/>
      <c r="Q60" s="35"/>
      <c r="R60" s="35"/>
      <c r="S60" s="54"/>
      <c r="T60" s="54"/>
      <c r="U60" s="54"/>
      <c r="V60" s="54"/>
      <c r="W60" s="35"/>
      <c r="X60" s="35"/>
      <c r="Y60" s="54"/>
      <c r="Z60" s="54"/>
      <c r="AA60" s="35"/>
      <c r="AB60" s="35"/>
      <c r="AC60" s="35"/>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1"/>
    </row>
    <row r="61" spans="1:74" s="123" customFormat="1" ht="15">
      <c r="A61" s="35"/>
      <c r="B61" s="35"/>
      <c r="C61" s="35"/>
      <c r="D61" s="35"/>
      <c r="E61" s="35"/>
      <c r="F61" s="35"/>
      <c r="G61" s="35"/>
      <c r="H61" s="35"/>
      <c r="I61" s="35"/>
      <c r="J61" s="35"/>
      <c r="K61" s="35"/>
      <c r="L61" s="35"/>
      <c r="M61" s="35"/>
      <c r="N61" s="35"/>
      <c r="O61" s="35"/>
      <c r="P61" s="35"/>
      <c r="Q61" s="35"/>
      <c r="R61" s="35"/>
      <c r="S61" s="54"/>
      <c r="T61" s="54"/>
      <c r="U61" s="54"/>
      <c r="V61" s="54"/>
      <c r="W61" s="35"/>
      <c r="X61" s="35"/>
      <c r="Y61" s="54"/>
      <c r="Z61" s="54"/>
      <c r="AA61" s="35"/>
      <c r="AB61" s="35"/>
      <c r="AC61" s="35"/>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1"/>
    </row>
    <row r="62" spans="1:74" s="123" customFormat="1" ht="15">
      <c r="A62" s="35"/>
      <c r="B62" s="35"/>
      <c r="C62" s="35"/>
      <c r="D62" s="35"/>
      <c r="E62" s="35"/>
      <c r="F62" s="35"/>
      <c r="G62" s="35"/>
      <c r="H62" s="35"/>
      <c r="I62" s="35"/>
      <c r="J62" s="35"/>
      <c r="K62" s="35"/>
      <c r="L62" s="35"/>
      <c r="M62" s="35"/>
      <c r="N62" s="35"/>
      <c r="O62" s="35"/>
      <c r="P62" s="35"/>
      <c r="Q62" s="35"/>
      <c r="R62" s="35"/>
      <c r="S62" s="54"/>
      <c r="T62" s="54"/>
      <c r="U62" s="54"/>
      <c r="V62" s="54"/>
      <c r="W62" s="35"/>
      <c r="X62" s="35"/>
      <c r="Y62" s="54"/>
      <c r="Z62" s="54"/>
      <c r="AA62" s="35"/>
      <c r="AB62" s="35"/>
      <c r="AC62" s="35"/>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1"/>
    </row>
    <row r="63" spans="1:74" s="123" customFormat="1" ht="15">
      <c r="A63" s="35"/>
      <c r="B63" s="35"/>
      <c r="C63" s="35"/>
      <c r="D63" s="35"/>
      <c r="E63" s="35"/>
      <c r="F63" s="35"/>
      <c r="G63" s="35"/>
      <c r="H63" s="35"/>
      <c r="I63" s="35"/>
      <c r="J63" s="35"/>
      <c r="K63" s="35"/>
      <c r="L63" s="35"/>
      <c r="M63" s="35"/>
      <c r="N63" s="35"/>
      <c r="O63" s="35"/>
      <c r="P63" s="35"/>
      <c r="Q63" s="35"/>
      <c r="R63" s="35"/>
      <c r="S63" s="54"/>
      <c r="T63" s="54"/>
      <c r="U63" s="54"/>
      <c r="V63" s="54"/>
      <c r="W63" s="35"/>
      <c r="X63" s="35"/>
      <c r="Y63" s="54"/>
      <c r="Z63" s="54"/>
      <c r="AA63" s="35"/>
      <c r="AB63" s="35"/>
      <c r="AC63" s="35"/>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1"/>
    </row>
    <row r="64" spans="1:74" s="123" customFormat="1" ht="15">
      <c r="A64" s="35"/>
      <c r="B64" s="35"/>
      <c r="C64" s="35"/>
      <c r="D64" s="35"/>
      <c r="E64" s="35"/>
      <c r="F64" s="35"/>
      <c r="G64" s="35"/>
      <c r="H64" s="35"/>
      <c r="I64" s="35"/>
      <c r="J64" s="35"/>
      <c r="K64" s="35"/>
      <c r="L64" s="35"/>
      <c r="M64" s="35"/>
      <c r="N64" s="35"/>
      <c r="O64" s="35"/>
      <c r="P64" s="35"/>
      <c r="Q64" s="35"/>
      <c r="R64" s="35"/>
      <c r="S64" s="54"/>
      <c r="T64" s="54"/>
      <c r="U64" s="54"/>
      <c r="V64" s="54"/>
      <c r="W64" s="35"/>
      <c r="X64" s="35"/>
      <c r="Y64" s="54"/>
      <c r="Z64" s="54"/>
      <c r="AA64" s="35"/>
      <c r="AB64" s="35"/>
      <c r="AC64" s="35"/>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1"/>
    </row>
    <row r="65" spans="1:72" s="123" customFormat="1" ht="15">
      <c r="A65" s="35"/>
      <c r="B65" s="35"/>
      <c r="C65" s="35"/>
      <c r="D65" s="35"/>
      <c r="E65" s="35"/>
      <c r="F65" s="35"/>
      <c r="G65" s="35"/>
      <c r="H65" s="35"/>
      <c r="I65" s="35"/>
      <c r="J65" s="35"/>
      <c r="K65" s="35"/>
      <c r="L65" s="35"/>
      <c r="M65" s="35"/>
      <c r="N65" s="35"/>
      <c r="O65" s="35"/>
      <c r="P65" s="35"/>
      <c r="Q65" s="35"/>
      <c r="R65" s="35"/>
      <c r="S65" s="54"/>
      <c r="T65" s="54"/>
      <c r="U65" s="54"/>
      <c r="V65" s="54"/>
      <c r="W65" s="35"/>
      <c r="X65" s="35"/>
      <c r="Y65" s="54"/>
      <c r="Z65" s="54"/>
      <c r="AA65" s="35"/>
      <c r="AB65" s="35"/>
      <c r="AC65" s="35"/>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1"/>
    </row>
    <row r="66" spans="1:72" s="123" customFormat="1" ht="15">
      <c r="A66" s="35"/>
      <c r="B66" s="35"/>
      <c r="C66" s="35"/>
      <c r="D66" s="35"/>
      <c r="E66" s="35"/>
      <c r="F66" s="35"/>
      <c r="G66" s="35"/>
      <c r="H66" s="35"/>
      <c r="I66" s="35"/>
      <c r="J66" s="35"/>
      <c r="K66" s="35"/>
      <c r="L66" s="35"/>
      <c r="M66" s="35"/>
      <c r="N66" s="35"/>
      <c r="O66" s="35"/>
      <c r="P66" s="35"/>
      <c r="Q66" s="35"/>
      <c r="R66" s="35"/>
      <c r="S66" s="54"/>
      <c r="T66" s="54"/>
      <c r="U66" s="54"/>
      <c r="V66" s="54"/>
      <c r="W66" s="35"/>
      <c r="X66" s="35"/>
      <c r="Y66" s="54"/>
      <c r="Z66" s="54"/>
      <c r="AA66" s="35"/>
      <c r="AB66" s="35"/>
      <c r="AC66" s="35"/>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1"/>
    </row>
    <row r="67" spans="1:72" s="123" customFormat="1" ht="15">
      <c r="A67" s="35"/>
      <c r="B67" s="35"/>
      <c r="C67" s="35"/>
      <c r="D67" s="35"/>
      <c r="E67" s="35"/>
      <c r="F67" s="35"/>
      <c r="G67" s="35"/>
      <c r="H67" s="35"/>
      <c r="I67" s="35"/>
      <c r="J67" s="35"/>
      <c r="K67" s="35"/>
      <c r="L67" s="35"/>
      <c r="M67" s="35"/>
      <c r="N67" s="35"/>
      <c r="O67" s="35"/>
      <c r="P67" s="35"/>
      <c r="Q67" s="35"/>
      <c r="R67" s="35"/>
      <c r="S67" s="54"/>
      <c r="T67" s="54"/>
      <c r="U67" s="54"/>
      <c r="V67" s="54"/>
      <c r="W67" s="35"/>
      <c r="X67" s="35"/>
      <c r="Y67" s="54"/>
      <c r="Z67" s="54"/>
      <c r="AA67" s="35"/>
      <c r="AB67" s="35"/>
      <c r="AC67" s="35"/>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1"/>
    </row>
    <row r="68" spans="1:72" s="123" customFormat="1" ht="15">
      <c r="A68" s="35"/>
      <c r="B68" s="35"/>
      <c r="C68" s="35"/>
      <c r="D68" s="35"/>
      <c r="E68" s="35"/>
      <c r="F68" s="35"/>
      <c r="G68" s="35"/>
      <c r="H68" s="35"/>
      <c r="I68" s="35"/>
      <c r="J68" s="35"/>
      <c r="K68" s="35"/>
      <c r="L68" s="35"/>
      <c r="M68" s="35"/>
      <c r="N68" s="35"/>
      <c r="O68" s="35"/>
      <c r="P68" s="35"/>
      <c r="Q68" s="35"/>
      <c r="R68" s="35"/>
      <c r="S68" s="54"/>
      <c r="T68" s="54"/>
      <c r="U68" s="54"/>
      <c r="V68" s="54"/>
      <c r="W68" s="35"/>
      <c r="X68" s="35"/>
      <c r="Y68" s="54"/>
      <c r="Z68" s="54"/>
      <c r="AA68" s="35"/>
      <c r="AB68" s="35"/>
      <c r="AC68" s="35"/>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1"/>
    </row>
    <row r="69" spans="1:72" s="123" customFormat="1" ht="15">
      <c r="A69" s="35"/>
      <c r="B69" s="35"/>
      <c r="C69" s="35"/>
      <c r="D69" s="35"/>
      <c r="E69" s="35"/>
      <c r="F69" s="35"/>
      <c r="G69" s="35"/>
      <c r="H69" s="35"/>
      <c r="I69" s="35"/>
      <c r="J69" s="35"/>
      <c r="K69" s="35"/>
      <c r="L69" s="35"/>
      <c r="M69" s="35"/>
      <c r="N69" s="35"/>
      <c r="O69" s="35"/>
      <c r="P69" s="35"/>
      <c r="Q69" s="35"/>
      <c r="R69" s="35"/>
      <c r="S69" s="54"/>
      <c r="T69" s="54"/>
      <c r="U69" s="54"/>
      <c r="V69" s="54"/>
      <c r="W69" s="35"/>
      <c r="X69" s="35"/>
      <c r="Y69" s="54"/>
      <c r="Z69" s="54"/>
      <c r="AA69" s="35"/>
      <c r="AB69" s="35"/>
      <c r="AC69" s="35"/>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1"/>
    </row>
    <row r="70" spans="1:72" s="123" customFormat="1" ht="15">
      <c r="A70" s="35"/>
      <c r="B70" s="35"/>
      <c r="C70" s="35"/>
      <c r="D70" s="35"/>
      <c r="E70" s="35"/>
      <c r="F70" s="35"/>
      <c r="G70" s="35"/>
      <c r="H70" s="35"/>
      <c r="I70" s="35"/>
      <c r="J70" s="35"/>
      <c r="K70" s="35"/>
      <c r="L70" s="35"/>
      <c r="M70" s="35"/>
      <c r="N70" s="35"/>
      <c r="O70" s="35"/>
      <c r="P70" s="35"/>
      <c r="Q70" s="35"/>
      <c r="R70" s="35"/>
      <c r="S70" s="54"/>
      <c r="T70" s="54"/>
      <c r="U70" s="54"/>
      <c r="V70" s="54"/>
      <c r="W70" s="35"/>
      <c r="X70" s="35"/>
      <c r="Y70" s="54"/>
      <c r="Z70" s="54"/>
      <c r="AA70" s="35"/>
      <c r="AB70" s="35"/>
      <c r="AC70" s="35"/>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1"/>
    </row>
    <row r="71" spans="1:72" s="123" customFormat="1" ht="15">
      <c r="A71" s="35"/>
      <c r="B71" s="35"/>
      <c r="C71" s="35"/>
      <c r="D71" s="35"/>
      <c r="E71" s="35"/>
      <c r="F71" s="35"/>
      <c r="G71" s="35"/>
      <c r="H71" s="35"/>
      <c r="I71" s="35"/>
      <c r="J71" s="35"/>
      <c r="K71" s="35"/>
      <c r="L71" s="35"/>
      <c r="M71" s="35"/>
      <c r="N71" s="35"/>
      <c r="O71" s="35"/>
      <c r="P71" s="35"/>
      <c r="Q71" s="35"/>
      <c r="R71" s="35"/>
      <c r="S71" s="54"/>
      <c r="T71" s="54"/>
      <c r="U71" s="54"/>
      <c r="V71" s="54"/>
      <c r="W71" s="35"/>
      <c r="X71" s="35"/>
      <c r="Y71" s="54"/>
      <c r="Z71" s="54"/>
      <c r="AA71" s="35"/>
      <c r="AB71" s="35"/>
      <c r="AC71" s="35"/>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1"/>
    </row>
    <row r="72" spans="1:72" s="123" customFormat="1" ht="15">
      <c r="A72" s="35"/>
      <c r="B72" s="35"/>
      <c r="C72" s="35"/>
      <c r="D72" s="35"/>
      <c r="E72" s="35"/>
      <c r="F72" s="35"/>
      <c r="G72" s="35"/>
      <c r="H72" s="35"/>
      <c r="I72" s="35"/>
      <c r="J72" s="35"/>
      <c r="K72" s="35"/>
      <c r="L72" s="35"/>
      <c r="M72" s="35"/>
      <c r="N72" s="35"/>
      <c r="O72" s="35"/>
      <c r="P72" s="35"/>
      <c r="Q72" s="35"/>
      <c r="R72" s="35"/>
      <c r="S72" s="54"/>
      <c r="T72" s="54"/>
      <c r="U72" s="54"/>
      <c r="V72" s="54"/>
      <c r="W72" s="35"/>
      <c r="X72" s="35"/>
      <c r="Y72" s="54"/>
      <c r="Z72" s="54"/>
      <c r="AA72" s="35"/>
      <c r="AB72" s="35"/>
      <c r="AC72" s="35"/>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1"/>
      <c r="BE72" s="124"/>
      <c r="BF72" s="124"/>
      <c r="BG72" s="124"/>
      <c r="BH72" s="124"/>
      <c r="BI72" s="124"/>
      <c r="BJ72" s="124"/>
      <c r="BK72" s="124"/>
      <c r="BL72" s="124"/>
      <c r="BM72" s="124"/>
      <c r="BN72" s="124"/>
      <c r="BO72" s="124"/>
      <c r="BP72" s="124"/>
      <c r="BQ72" s="124"/>
      <c r="BR72" s="124"/>
      <c r="BS72" s="124"/>
      <c r="BT72" s="124"/>
    </row>
    <row r="73" spans="1:72" s="123" customFormat="1" ht="15">
      <c r="A73" s="35"/>
      <c r="B73" s="35"/>
      <c r="C73" s="35"/>
      <c r="D73" s="35"/>
      <c r="E73" s="35"/>
      <c r="F73" s="35"/>
      <c r="G73" s="35"/>
      <c r="H73" s="35"/>
      <c r="I73" s="35"/>
      <c r="J73" s="35"/>
      <c r="K73" s="35"/>
      <c r="L73" s="35"/>
      <c r="M73" s="35"/>
      <c r="N73" s="35"/>
      <c r="O73" s="35"/>
      <c r="P73" s="35"/>
      <c r="Q73" s="35"/>
      <c r="R73" s="35"/>
      <c r="S73" s="54"/>
      <c r="T73" s="54"/>
      <c r="U73" s="54"/>
      <c r="V73" s="54"/>
      <c r="W73" s="35"/>
      <c r="X73" s="35"/>
      <c r="Y73" s="54"/>
      <c r="Z73" s="54"/>
      <c r="AA73" s="35"/>
      <c r="AB73" s="35"/>
      <c r="AC73" s="35"/>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1"/>
      <c r="BE73" s="124"/>
      <c r="BF73" s="124"/>
      <c r="BG73" s="124"/>
      <c r="BH73" s="124"/>
      <c r="BI73" s="124"/>
      <c r="BJ73" s="124"/>
      <c r="BK73" s="124"/>
      <c r="BL73" s="124"/>
      <c r="BM73" s="124"/>
      <c r="BN73" s="124"/>
      <c r="BO73" s="124"/>
      <c r="BP73" s="124"/>
      <c r="BQ73" s="124"/>
      <c r="BR73" s="124"/>
      <c r="BS73" s="124"/>
      <c r="BT73" s="124"/>
    </row>
    <row r="74" spans="1:72" s="123" customFormat="1" ht="15">
      <c r="A74" s="35"/>
      <c r="B74" s="35"/>
      <c r="C74" s="35"/>
      <c r="D74" s="35"/>
      <c r="E74" s="35"/>
      <c r="F74" s="35"/>
      <c r="G74" s="35"/>
      <c r="H74" s="35"/>
      <c r="I74" s="35"/>
      <c r="J74" s="35"/>
      <c r="K74" s="35"/>
      <c r="L74" s="35"/>
      <c r="M74" s="35"/>
      <c r="N74" s="35"/>
      <c r="O74" s="35"/>
      <c r="P74" s="35"/>
      <c r="Q74" s="35"/>
      <c r="R74" s="35"/>
      <c r="S74" s="54"/>
      <c r="T74" s="54"/>
      <c r="U74" s="54"/>
      <c r="V74" s="54"/>
      <c r="W74" s="35"/>
      <c r="X74" s="35"/>
      <c r="Y74" s="54"/>
      <c r="Z74" s="54"/>
      <c r="AA74" s="35"/>
      <c r="AB74" s="35"/>
      <c r="AC74" s="35"/>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1"/>
      <c r="BE74" s="124"/>
      <c r="BF74" s="124"/>
      <c r="BG74" s="124"/>
      <c r="BH74" s="124"/>
      <c r="BI74" s="124"/>
      <c r="BJ74" s="124"/>
      <c r="BK74" s="124"/>
      <c r="BL74" s="124"/>
      <c r="BM74" s="124"/>
      <c r="BN74" s="124"/>
      <c r="BO74" s="124"/>
      <c r="BP74" s="124"/>
      <c r="BQ74" s="124"/>
      <c r="BR74" s="124"/>
      <c r="BS74" s="124"/>
      <c r="BT74" s="124"/>
    </row>
    <row r="75" spans="1:72" s="123" customFormat="1" ht="15">
      <c r="A75" s="35"/>
      <c r="B75" s="35"/>
      <c r="C75" s="35"/>
      <c r="D75" s="35"/>
      <c r="E75" s="35"/>
      <c r="F75" s="35"/>
      <c r="G75" s="35"/>
      <c r="H75" s="35"/>
      <c r="I75" s="35"/>
      <c r="J75" s="35"/>
      <c r="K75" s="35"/>
      <c r="L75" s="35"/>
      <c r="M75" s="35"/>
      <c r="N75" s="35"/>
      <c r="O75" s="35"/>
      <c r="P75" s="35"/>
      <c r="Q75" s="35"/>
      <c r="R75" s="35"/>
      <c r="S75" s="54"/>
      <c r="T75" s="54"/>
      <c r="U75" s="54"/>
      <c r="V75" s="54"/>
      <c r="W75" s="35"/>
      <c r="X75" s="35"/>
      <c r="Y75" s="54"/>
      <c r="Z75" s="54"/>
      <c r="AA75" s="35"/>
      <c r="AB75" s="35"/>
      <c r="AC75" s="35"/>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1"/>
    </row>
    <row r="76" spans="1:72" s="123" customFormat="1" ht="15">
      <c r="A76" s="35"/>
      <c r="B76" s="35"/>
      <c r="C76" s="35"/>
      <c r="D76" s="35"/>
      <c r="E76" s="35"/>
      <c r="F76" s="35"/>
      <c r="G76" s="35"/>
      <c r="H76" s="35"/>
      <c r="I76" s="35"/>
      <c r="J76" s="35"/>
      <c r="K76" s="35"/>
      <c r="L76" s="35"/>
      <c r="M76" s="35"/>
      <c r="N76" s="35"/>
      <c r="O76" s="35"/>
      <c r="P76" s="35"/>
      <c r="Q76" s="35"/>
      <c r="R76" s="35"/>
      <c r="S76" s="54"/>
      <c r="T76" s="54"/>
      <c r="U76" s="54"/>
      <c r="V76" s="54"/>
      <c r="W76" s="35"/>
      <c r="X76" s="35"/>
      <c r="Y76" s="54"/>
      <c r="Z76" s="54"/>
      <c r="AA76" s="35"/>
      <c r="AB76" s="35"/>
      <c r="AC76" s="35"/>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1"/>
    </row>
    <row r="77" spans="1:72" s="123" customFormat="1" ht="15">
      <c r="A77" s="35"/>
      <c r="B77" s="35"/>
      <c r="C77" s="35"/>
      <c r="D77" s="35"/>
      <c r="E77" s="35"/>
      <c r="F77" s="35"/>
      <c r="G77" s="35"/>
      <c r="H77" s="35"/>
      <c r="I77" s="35"/>
      <c r="J77" s="35"/>
      <c r="K77" s="35"/>
      <c r="L77" s="35"/>
      <c r="M77" s="35"/>
      <c r="N77" s="35"/>
      <c r="O77" s="35"/>
      <c r="P77" s="35"/>
      <c r="Q77" s="35"/>
      <c r="R77" s="35"/>
      <c r="S77" s="54"/>
      <c r="T77" s="54"/>
      <c r="U77" s="54"/>
      <c r="V77" s="54"/>
      <c r="W77" s="35"/>
      <c r="X77" s="35"/>
      <c r="Y77" s="54"/>
      <c r="Z77" s="54"/>
      <c r="AA77" s="35"/>
      <c r="AB77" s="35"/>
      <c r="AC77" s="35"/>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1"/>
    </row>
    <row r="78" spans="1:72" s="123" customFormat="1" ht="15">
      <c r="A78" s="35"/>
      <c r="B78" s="35"/>
      <c r="C78" s="35"/>
      <c r="D78" s="35"/>
      <c r="E78" s="35"/>
      <c r="F78" s="35"/>
      <c r="G78" s="35"/>
      <c r="H78" s="35"/>
      <c r="I78" s="35"/>
      <c r="J78" s="35"/>
      <c r="K78" s="35"/>
      <c r="L78" s="35"/>
      <c r="M78" s="35"/>
      <c r="N78" s="35"/>
      <c r="O78" s="35"/>
      <c r="P78" s="35"/>
      <c r="Q78" s="35"/>
      <c r="R78" s="35"/>
      <c r="S78" s="54"/>
      <c r="T78" s="54"/>
      <c r="U78" s="54"/>
      <c r="V78" s="54"/>
      <c r="W78" s="35"/>
      <c r="X78" s="35"/>
      <c r="Y78" s="54"/>
      <c r="Z78" s="54"/>
      <c r="AA78" s="35"/>
      <c r="AB78" s="35"/>
      <c r="AC78" s="35"/>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1"/>
      <c r="BE78" s="124"/>
      <c r="BF78" s="124"/>
      <c r="BG78" s="124"/>
      <c r="BH78" s="124"/>
      <c r="BI78" s="124"/>
      <c r="BJ78" s="124"/>
      <c r="BK78" s="124"/>
      <c r="BL78" s="124"/>
      <c r="BM78" s="124"/>
      <c r="BN78" s="124"/>
      <c r="BO78" s="124"/>
      <c r="BP78" s="124"/>
      <c r="BQ78" s="124"/>
      <c r="BR78" s="124"/>
      <c r="BS78" s="124"/>
      <c r="BT78" s="124"/>
    </row>
    <row r="79" spans="1:72" s="123" customFormat="1" ht="15">
      <c r="A79" s="35"/>
      <c r="B79" s="35"/>
      <c r="C79" s="35"/>
      <c r="D79" s="35"/>
      <c r="E79" s="35"/>
      <c r="F79" s="35"/>
      <c r="G79" s="35"/>
      <c r="H79" s="35"/>
      <c r="I79" s="35"/>
      <c r="J79" s="35"/>
      <c r="K79" s="35"/>
      <c r="L79" s="35"/>
      <c r="M79" s="35"/>
      <c r="N79" s="35"/>
      <c r="O79" s="35"/>
      <c r="P79" s="35"/>
      <c r="Q79" s="35"/>
      <c r="R79" s="35"/>
      <c r="S79" s="54"/>
      <c r="T79" s="54"/>
      <c r="U79" s="54"/>
      <c r="V79" s="54"/>
      <c r="W79" s="35"/>
      <c r="X79" s="35"/>
      <c r="Y79" s="54"/>
      <c r="Z79" s="54"/>
      <c r="AA79" s="35"/>
      <c r="AB79" s="35"/>
      <c r="AC79" s="35"/>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1"/>
      <c r="BE79" s="124"/>
      <c r="BF79" s="124"/>
      <c r="BG79" s="124"/>
      <c r="BH79" s="124"/>
      <c r="BI79" s="124"/>
      <c r="BJ79" s="124"/>
      <c r="BK79" s="124"/>
      <c r="BL79" s="124"/>
      <c r="BM79" s="124"/>
      <c r="BN79" s="124"/>
      <c r="BO79" s="124"/>
      <c r="BP79" s="124"/>
      <c r="BQ79" s="124"/>
      <c r="BR79" s="124"/>
      <c r="BS79" s="124"/>
      <c r="BT79" s="124"/>
    </row>
    <row r="80" spans="1:72" s="123" customFormat="1" ht="15">
      <c r="A80" s="35"/>
      <c r="B80" s="35"/>
      <c r="C80" s="35"/>
      <c r="D80" s="35"/>
      <c r="E80" s="35"/>
      <c r="F80" s="35"/>
      <c r="G80" s="35"/>
      <c r="H80" s="35"/>
      <c r="I80" s="35"/>
      <c r="J80" s="35"/>
      <c r="K80" s="35"/>
      <c r="L80" s="35"/>
      <c r="M80" s="35"/>
      <c r="N80" s="35"/>
      <c r="O80" s="35"/>
      <c r="P80" s="35"/>
      <c r="Q80" s="35"/>
      <c r="R80" s="35"/>
      <c r="S80" s="54"/>
      <c r="T80" s="54"/>
      <c r="U80" s="54"/>
      <c r="V80" s="54"/>
      <c r="W80" s="35"/>
      <c r="X80" s="35"/>
      <c r="Y80" s="54"/>
      <c r="Z80" s="54"/>
      <c r="AA80" s="35"/>
      <c r="AB80" s="35"/>
      <c r="AC80" s="35"/>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1"/>
      <c r="BE80" s="124"/>
      <c r="BF80" s="124"/>
      <c r="BG80" s="124"/>
      <c r="BH80" s="124"/>
      <c r="BI80" s="124"/>
      <c r="BJ80" s="124"/>
      <c r="BK80" s="124"/>
      <c r="BL80" s="124"/>
      <c r="BM80" s="124"/>
      <c r="BN80" s="124"/>
      <c r="BO80" s="124"/>
      <c r="BP80" s="124"/>
      <c r="BQ80" s="124"/>
      <c r="BR80" s="124"/>
      <c r="BS80" s="124"/>
      <c r="BT80" s="124"/>
    </row>
    <row r="81" spans="1:72" s="123" customFormat="1" ht="15">
      <c r="A81" s="35"/>
      <c r="B81" s="35"/>
      <c r="C81" s="35"/>
      <c r="D81" s="35"/>
      <c r="E81" s="35"/>
      <c r="F81" s="35"/>
      <c r="G81" s="35"/>
      <c r="H81" s="35"/>
      <c r="I81" s="35"/>
      <c r="J81" s="35"/>
      <c r="K81" s="35"/>
      <c r="L81" s="35"/>
      <c r="M81" s="35"/>
      <c r="N81" s="35"/>
      <c r="O81" s="35"/>
      <c r="P81" s="35"/>
      <c r="Q81" s="35"/>
      <c r="R81" s="35"/>
      <c r="S81" s="54"/>
      <c r="T81" s="54"/>
      <c r="U81" s="54"/>
      <c r="V81" s="54"/>
      <c r="W81" s="35"/>
      <c r="X81" s="35"/>
      <c r="Y81" s="54"/>
      <c r="Z81" s="54"/>
      <c r="AA81" s="35"/>
      <c r="AB81" s="35"/>
      <c r="AC81" s="35"/>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1"/>
      <c r="BE81" s="124"/>
      <c r="BF81" s="124"/>
      <c r="BG81" s="124"/>
      <c r="BH81" s="124"/>
      <c r="BI81" s="124"/>
      <c r="BJ81" s="124"/>
      <c r="BK81" s="124"/>
      <c r="BL81" s="124"/>
      <c r="BM81" s="124"/>
      <c r="BN81" s="124"/>
      <c r="BO81" s="124"/>
      <c r="BP81" s="124"/>
      <c r="BQ81" s="124"/>
      <c r="BR81" s="124"/>
      <c r="BS81" s="124"/>
      <c r="BT81" s="124"/>
    </row>
    <row r="82" spans="1:72" s="123" customFormat="1" ht="15">
      <c r="A82" s="35"/>
      <c r="B82" s="35"/>
      <c r="C82" s="35"/>
      <c r="D82" s="35"/>
      <c r="E82" s="35"/>
      <c r="F82" s="35"/>
      <c r="G82" s="35"/>
      <c r="H82" s="35"/>
      <c r="I82" s="35"/>
      <c r="J82" s="35"/>
      <c r="K82" s="35"/>
      <c r="L82" s="35"/>
      <c r="M82" s="35"/>
      <c r="N82" s="35"/>
      <c r="O82" s="35"/>
      <c r="P82" s="35"/>
      <c r="Q82" s="35"/>
      <c r="R82" s="35"/>
      <c r="S82" s="54"/>
      <c r="T82" s="54"/>
      <c r="U82" s="54"/>
      <c r="V82" s="54"/>
      <c r="W82" s="35"/>
      <c r="X82" s="35"/>
      <c r="Y82" s="54"/>
      <c r="Z82" s="54"/>
      <c r="AA82" s="35"/>
      <c r="AB82" s="35"/>
      <c r="AC82" s="35"/>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1"/>
      <c r="BE82" s="124"/>
      <c r="BF82" s="124"/>
      <c r="BG82" s="124"/>
      <c r="BH82" s="124"/>
      <c r="BI82" s="124"/>
      <c r="BJ82" s="124"/>
      <c r="BK82" s="124"/>
      <c r="BL82" s="124"/>
      <c r="BM82" s="124"/>
      <c r="BN82" s="124"/>
      <c r="BO82" s="124"/>
      <c r="BP82" s="124"/>
      <c r="BQ82" s="124"/>
      <c r="BR82" s="124"/>
      <c r="BS82" s="124"/>
      <c r="BT82" s="124"/>
    </row>
    <row r="83" spans="1:72" s="123" customFormat="1" ht="15">
      <c r="A83" s="35"/>
      <c r="B83" s="35"/>
      <c r="C83" s="35"/>
      <c r="D83" s="35"/>
      <c r="E83" s="35"/>
      <c r="F83" s="35"/>
      <c r="G83" s="35"/>
      <c r="H83" s="35"/>
      <c r="I83" s="35"/>
      <c r="J83" s="35"/>
      <c r="K83" s="35"/>
      <c r="L83" s="35"/>
      <c r="M83" s="35"/>
      <c r="N83" s="35"/>
      <c r="O83" s="35"/>
      <c r="P83" s="35"/>
      <c r="Q83" s="35"/>
      <c r="R83" s="35"/>
      <c r="S83" s="54"/>
      <c r="T83" s="54"/>
      <c r="U83" s="54"/>
      <c r="V83" s="54"/>
      <c r="W83" s="35"/>
      <c r="X83" s="35"/>
      <c r="Y83" s="54"/>
      <c r="Z83" s="54"/>
      <c r="AA83" s="35"/>
      <c r="AB83" s="35"/>
      <c r="AC83" s="35"/>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1"/>
      <c r="BE83" s="124"/>
      <c r="BF83" s="124"/>
      <c r="BG83" s="124"/>
      <c r="BH83" s="124"/>
      <c r="BI83" s="124"/>
      <c r="BJ83" s="124"/>
      <c r="BK83" s="124"/>
      <c r="BL83" s="124"/>
      <c r="BM83" s="124"/>
      <c r="BN83" s="124"/>
      <c r="BO83" s="124"/>
      <c r="BP83" s="124"/>
      <c r="BQ83" s="124"/>
      <c r="BR83" s="124"/>
      <c r="BS83" s="124"/>
      <c r="BT83" s="124"/>
    </row>
    <row r="84" spans="1:72" s="123" customFormat="1" ht="15">
      <c r="A84" s="35"/>
      <c r="B84" s="35"/>
      <c r="C84" s="35"/>
      <c r="D84" s="35"/>
      <c r="E84" s="35"/>
      <c r="F84" s="35"/>
      <c r="G84" s="35"/>
      <c r="H84" s="35"/>
      <c r="I84" s="35"/>
      <c r="J84" s="35"/>
      <c r="K84" s="35"/>
      <c r="L84" s="35"/>
      <c r="M84" s="35"/>
      <c r="N84" s="35"/>
      <c r="O84" s="35"/>
      <c r="P84" s="35"/>
      <c r="Q84" s="35"/>
      <c r="R84" s="35"/>
      <c r="S84" s="54"/>
      <c r="T84" s="54"/>
      <c r="U84" s="54"/>
      <c r="V84" s="54"/>
      <c r="W84" s="35"/>
      <c r="X84" s="35"/>
      <c r="Y84" s="54"/>
      <c r="Z84" s="54"/>
      <c r="AA84" s="35"/>
      <c r="AB84" s="35"/>
      <c r="AC84" s="35"/>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1"/>
      <c r="BE84" s="124"/>
      <c r="BF84" s="124"/>
      <c r="BG84" s="124"/>
      <c r="BH84" s="124"/>
      <c r="BI84" s="124"/>
      <c r="BJ84" s="124"/>
      <c r="BK84" s="124"/>
      <c r="BL84" s="124"/>
      <c r="BM84" s="124"/>
      <c r="BN84" s="124"/>
      <c r="BO84" s="124"/>
      <c r="BP84" s="124"/>
      <c r="BQ84" s="124"/>
      <c r="BR84" s="124"/>
      <c r="BS84" s="124"/>
      <c r="BT84" s="124"/>
    </row>
    <row r="85" spans="1:72" s="123" customFormat="1" ht="15">
      <c r="A85" s="35"/>
      <c r="B85" s="35"/>
      <c r="C85" s="35"/>
      <c r="D85" s="35"/>
      <c r="E85" s="35"/>
      <c r="F85" s="35"/>
      <c r="G85" s="35"/>
      <c r="H85" s="35"/>
      <c r="I85" s="35"/>
      <c r="J85" s="35"/>
      <c r="K85" s="35"/>
      <c r="L85" s="35"/>
      <c r="M85" s="35"/>
      <c r="N85" s="35"/>
      <c r="O85" s="35"/>
      <c r="P85" s="35"/>
      <c r="Q85" s="35"/>
      <c r="R85" s="35"/>
      <c r="S85" s="54"/>
      <c r="T85" s="54"/>
      <c r="U85" s="54"/>
      <c r="V85" s="54"/>
      <c r="W85" s="35"/>
      <c r="X85" s="35"/>
      <c r="Y85" s="54"/>
      <c r="Z85" s="54"/>
      <c r="AA85" s="35"/>
      <c r="AB85" s="35"/>
      <c r="AC85" s="35"/>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1"/>
      <c r="BE85" s="124"/>
      <c r="BF85" s="124"/>
      <c r="BG85" s="124"/>
      <c r="BH85" s="124"/>
      <c r="BI85" s="124"/>
      <c r="BJ85" s="124"/>
      <c r="BK85" s="124"/>
      <c r="BL85" s="124"/>
      <c r="BM85" s="124"/>
      <c r="BN85" s="124"/>
      <c r="BO85" s="124"/>
      <c r="BP85" s="124"/>
      <c r="BQ85" s="124"/>
      <c r="BR85" s="124"/>
      <c r="BS85" s="124"/>
      <c r="BT85" s="124"/>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c r="BE86" s="124"/>
      <c r="BF86" s="124"/>
      <c r="BG86" s="124"/>
      <c r="BH86" s="124"/>
      <c r="BI86" s="124"/>
      <c r="BJ86" s="124"/>
      <c r="BK86" s="124"/>
      <c r="BL86" s="124"/>
      <c r="BM86" s="124"/>
      <c r="BN86" s="124"/>
      <c r="BO86" s="124"/>
      <c r="BP86" s="124"/>
      <c r="BQ86" s="124"/>
      <c r="BR86" s="124"/>
      <c r="BS86" s="124"/>
      <c r="BT86" s="124"/>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c r="BE87" s="124"/>
      <c r="BF87" s="124"/>
      <c r="BG87" s="124"/>
      <c r="BH87" s="124"/>
      <c r="BI87" s="124"/>
      <c r="BJ87" s="124"/>
      <c r="BK87" s="124"/>
      <c r="BL87" s="124"/>
      <c r="BM87" s="124"/>
      <c r="BN87" s="124"/>
      <c r="BO87" s="124"/>
      <c r="BP87" s="124"/>
      <c r="BQ87" s="124"/>
      <c r="BR87" s="124"/>
      <c r="BS87" s="124"/>
      <c r="BT87" s="124"/>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c r="BE88" s="124"/>
      <c r="BF88" s="124"/>
      <c r="BG88" s="124"/>
      <c r="BH88" s="124"/>
      <c r="BI88" s="124"/>
      <c r="BJ88" s="124"/>
      <c r="BK88" s="124"/>
      <c r="BL88" s="124"/>
      <c r="BM88" s="124"/>
      <c r="BN88" s="124"/>
      <c r="BO88" s="124"/>
      <c r="BP88" s="124"/>
      <c r="BQ88" s="124"/>
      <c r="BR88" s="124"/>
      <c r="BS88" s="124"/>
      <c r="BT88" s="124"/>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c r="BE89" s="124"/>
      <c r="BF89" s="124"/>
      <c r="BG89" s="124"/>
      <c r="BH89" s="124"/>
      <c r="BI89" s="124"/>
      <c r="BJ89" s="124"/>
      <c r="BK89" s="124"/>
      <c r="BL89" s="124"/>
      <c r="BM89" s="124"/>
      <c r="BN89" s="124"/>
      <c r="BO89" s="124"/>
      <c r="BP89" s="124"/>
      <c r="BQ89" s="124"/>
      <c r="BR89" s="124"/>
      <c r="BS89" s="124"/>
      <c r="BT89" s="124"/>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c r="BE90" s="124"/>
      <c r="BF90" s="124"/>
      <c r="BG90" s="124"/>
      <c r="BH90" s="124"/>
      <c r="BI90" s="124"/>
      <c r="BJ90" s="124"/>
      <c r="BK90" s="124"/>
      <c r="BL90" s="124"/>
      <c r="BM90" s="124"/>
      <c r="BN90" s="124"/>
      <c r="BO90" s="124"/>
      <c r="BP90" s="124"/>
      <c r="BQ90" s="124"/>
      <c r="BR90" s="124"/>
      <c r="BS90" s="124"/>
      <c r="BT90" s="124"/>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c r="BE91" s="124"/>
      <c r="BF91" s="124"/>
      <c r="BG91" s="124"/>
      <c r="BH91" s="124"/>
      <c r="BI91" s="124"/>
      <c r="BJ91" s="124"/>
      <c r="BK91" s="124"/>
      <c r="BL91" s="124"/>
      <c r="BM91" s="124"/>
      <c r="BN91" s="124"/>
      <c r="BO91" s="124"/>
      <c r="BP91" s="124"/>
      <c r="BQ91" s="124"/>
      <c r="BR91" s="124"/>
      <c r="BS91" s="124"/>
      <c r="BT91" s="124"/>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c r="BE92" s="124"/>
      <c r="BF92" s="124"/>
      <c r="BG92" s="124"/>
      <c r="BH92" s="124"/>
      <c r="BI92" s="124"/>
      <c r="BJ92" s="124"/>
      <c r="BK92" s="124"/>
      <c r="BL92" s="124"/>
      <c r="BM92" s="124"/>
      <c r="BN92" s="124"/>
      <c r="BO92" s="124"/>
      <c r="BP92" s="124"/>
      <c r="BQ92" s="124"/>
      <c r="BR92" s="124"/>
      <c r="BS92" s="124"/>
      <c r="BT92" s="124"/>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c r="BE93" s="124"/>
      <c r="BF93" s="124"/>
      <c r="BG93" s="124"/>
      <c r="BH93" s="124"/>
      <c r="BI93" s="124"/>
      <c r="BJ93" s="124"/>
      <c r="BK93" s="124"/>
      <c r="BL93" s="124"/>
      <c r="BM93" s="124"/>
      <c r="BN93" s="124"/>
      <c r="BO93" s="124"/>
      <c r="BP93" s="124"/>
      <c r="BQ93" s="124"/>
      <c r="BR93" s="124"/>
      <c r="BS93" s="124"/>
      <c r="BT93" s="124"/>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c r="BE94" s="124"/>
      <c r="BF94" s="124"/>
      <c r="BG94" s="124"/>
      <c r="BH94" s="124"/>
      <c r="BI94" s="124"/>
      <c r="BJ94" s="124"/>
      <c r="BK94" s="124"/>
      <c r="BL94" s="124"/>
      <c r="BM94" s="124"/>
      <c r="BN94" s="124"/>
      <c r="BO94" s="124"/>
      <c r="BP94" s="124"/>
      <c r="BQ94" s="124"/>
      <c r="BR94" s="124"/>
      <c r="BS94" s="124"/>
      <c r="BT94" s="124"/>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c r="BE95" s="124"/>
      <c r="BF95" s="124"/>
      <c r="BG95" s="124"/>
      <c r="BH95" s="124"/>
      <c r="BI95" s="124"/>
      <c r="BJ95" s="124"/>
      <c r="BK95" s="124"/>
      <c r="BL95" s="124"/>
      <c r="BM95" s="124"/>
      <c r="BN95" s="124"/>
      <c r="BO95" s="124"/>
      <c r="BP95" s="124"/>
      <c r="BQ95" s="124"/>
      <c r="BR95" s="124"/>
      <c r="BS95" s="124"/>
      <c r="BT95" s="124"/>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c r="BE96" s="124"/>
      <c r="BF96" s="124"/>
      <c r="BG96" s="124"/>
      <c r="BH96" s="124"/>
      <c r="BI96" s="124"/>
      <c r="BJ96" s="124"/>
      <c r="BK96" s="124"/>
      <c r="BL96" s="124"/>
      <c r="BM96" s="124"/>
      <c r="BN96" s="124"/>
      <c r="BO96" s="124"/>
      <c r="BP96" s="124"/>
      <c r="BQ96" s="124"/>
      <c r="BR96" s="124"/>
      <c r="BS96" s="124"/>
      <c r="BT96" s="124"/>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c r="BE97" s="124"/>
      <c r="BF97" s="124"/>
      <c r="BG97" s="124"/>
      <c r="BH97" s="124"/>
      <c r="BI97" s="124"/>
      <c r="BJ97" s="124"/>
      <c r="BK97" s="124"/>
      <c r="BL97" s="124"/>
      <c r="BM97" s="124"/>
      <c r="BN97" s="124"/>
      <c r="BO97" s="124"/>
      <c r="BP97" s="124"/>
      <c r="BQ97" s="124"/>
      <c r="BR97" s="124"/>
      <c r="BS97" s="124"/>
      <c r="BT97" s="124"/>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c r="BE101" s="124"/>
      <c r="BF101" s="124"/>
      <c r="BG101" s="124"/>
      <c r="BH101" s="124"/>
      <c r="BI101" s="124"/>
      <c r="BJ101" s="124"/>
      <c r="BK101" s="124"/>
      <c r="BL101" s="124"/>
      <c r="BM101" s="124"/>
      <c r="BN101" s="124"/>
      <c r="BO101" s="124"/>
      <c r="BP101" s="124"/>
      <c r="BQ101" s="124"/>
      <c r="BR101" s="124"/>
      <c r="BS101" s="124"/>
      <c r="BT101" s="124"/>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c r="BE102" s="124"/>
      <c r="BF102" s="124"/>
      <c r="BG102" s="124"/>
      <c r="BH102" s="124"/>
      <c r="BI102" s="124"/>
      <c r="BJ102" s="124"/>
      <c r="BK102" s="124"/>
      <c r="BL102" s="124"/>
      <c r="BM102" s="124"/>
      <c r="BN102" s="124"/>
      <c r="BO102" s="124"/>
      <c r="BP102" s="124"/>
      <c r="BQ102" s="124"/>
      <c r="BR102" s="124"/>
      <c r="BS102" s="124"/>
      <c r="BT102" s="124"/>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c r="BE103" s="124"/>
      <c r="BF103" s="124"/>
      <c r="BG103" s="124"/>
      <c r="BH103" s="124"/>
      <c r="BI103" s="124"/>
      <c r="BJ103" s="124"/>
      <c r="BK103" s="124"/>
      <c r="BL103" s="124"/>
      <c r="BM103" s="124"/>
      <c r="BN103" s="124"/>
      <c r="BO103" s="124"/>
      <c r="BP103" s="124"/>
      <c r="BQ103" s="124"/>
      <c r="BR103" s="124"/>
      <c r="BS103" s="124"/>
      <c r="BT103" s="124"/>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24"/>
      <c r="BF174" s="124"/>
      <c r="BG174" s="124"/>
      <c r="BH174" s="124"/>
      <c r="BI174" s="124"/>
      <c r="BJ174" s="124"/>
      <c r="BK174" s="124"/>
      <c r="BL174" s="124"/>
      <c r="BM174" s="124"/>
      <c r="BN174" s="124"/>
      <c r="BO174" s="124"/>
      <c r="BP174" s="124"/>
      <c r="BQ174" s="124"/>
      <c r="BR174" s="124"/>
      <c r="BS174" s="124"/>
      <c r="BT174" s="124"/>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c r="BE175" s="124"/>
      <c r="BF175" s="124"/>
      <c r="BG175" s="124"/>
      <c r="BH175" s="124"/>
      <c r="BI175" s="124"/>
      <c r="BJ175" s="124"/>
      <c r="BK175" s="124"/>
      <c r="BL175" s="124"/>
      <c r="BM175" s="124"/>
      <c r="BN175" s="124"/>
      <c r="BO175" s="124"/>
      <c r="BP175" s="124"/>
      <c r="BQ175" s="124"/>
      <c r="BR175" s="124"/>
      <c r="BS175" s="124"/>
      <c r="BT175" s="124"/>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c r="BE176" s="124"/>
      <c r="BF176" s="124"/>
      <c r="BG176" s="124"/>
      <c r="BH176" s="124"/>
      <c r="BI176" s="124"/>
      <c r="BJ176" s="124"/>
      <c r="BK176" s="124"/>
      <c r="BL176" s="124"/>
      <c r="BM176" s="124"/>
      <c r="BN176" s="124"/>
      <c r="BO176" s="124"/>
      <c r="BP176" s="124"/>
      <c r="BQ176" s="124"/>
      <c r="BR176" s="124"/>
      <c r="BS176" s="124"/>
      <c r="BT176" s="124"/>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row r="187" spans="1:72" s="123" customFormat="1" ht="15">
      <c r="A187" s="35"/>
      <c r="B187" s="35"/>
      <c r="C187" s="35"/>
      <c r="D187" s="35"/>
      <c r="E187" s="35"/>
      <c r="F187" s="35"/>
      <c r="G187" s="35"/>
      <c r="H187" s="35"/>
      <c r="I187" s="35"/>
      <c r="J187" s="35"/>
      <c r="K187" s="35"/>
      <c r="L187" s="35"/>
      <c r="M187" s="35"/>
      <c r="N187" s="35"/>
      <c r="O187" s="35"/>
      <c r="P187" s="35"/>
      <c r="Q187" s="35"/>
      <c r="R187" s="35"/>
      <c r="S187" s="54"/>
      <c r="T187" s="54"/>
      <c r="U187" s="54"/>
      <c r="V187" s="54"/>
      <c r="W187" s="35"/>
      <c r="X187" s="35"/>
      <c r="Y187" s="54"/>
      <c r="Z187" s="54"/>
      <c r="AA187" s="35"/>
      <c r="AB187" s="35"/>
      <c r="AC187" s="35"/>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1"/>
      <c r="BE187" s="124"/>
      <c r="BF187" s="124"/>
      <c r="BG187" s="124"/>
      <c r="BH187" s="124"/>
      <c r="BI187" s="124"/>
      <c r="BJ187" s="124"/>
      <c r="BK187" s="124"/>
      <c r="BL187" s="124"/>
      <c r="BM187" s="124"/>
      <c r="BN187" s="124"/>
      <c r="BO187" s="124"/>
      <c r="BP187" s="124"/>
      <c r="BQ187" s="124"/>
      <c r="BR187" s="124"/>
      <c r="BS187" s="124"/>
      <c r="BT187" s="124"/>
    </row>
    <row r="188" spans="1:72" s="123" customFormat="1" ht="15">
      <c r="A188" s="35"/>
      <c r="B188" s="35"/>
      <c r="C188" s="35"/>
      <c r="D188" s="35"/>
      <c r="E188" s="35"/>
      <c r="F188" s="35"/>
      <c r="G188" s="35"/>
      <c r="H188" s="35"/>
      <c r="I188" s="35"/>
      <c r="J188" s="35"/>
      <c r="K188" s="35"/>
      <c r="L188" s="35"/>
      <c r="M188" s="35"/>
      <c r="N188" s="35"/>
      <c r="O188" s="35"/>
      <c r="P188" s="35"/>
      <c r="Q188" s="35"/>
      <c r="R188" s="35"/>
      <c r="S188" s="54"/>
      <c r="T188" s="54"/>
      <c r="U188" s="54"/>
      <c r="V188" s="54"/>
      <c r="W188" s="35"/>
      <c r="X188" s="35"/>
      <c r="Y188" s="54"/>
      <c r="Z188" s="54"/>
      <c r="AA188" s="35"/>
      <c r="AB188" s="35"/>
      <c r="AC188" s="35"/>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1"/>
      <c r="BE188" s="124"/>
      <c r="BF188" s="124"/>
      <c r="BG188" s="124"/>
      <c r="BH188" s="124"/>
      <c r="BI188" s="124"/>
      <c r="BJ188" s="124"/>
      <c r="BK188" s="124"/>
      <c r="BL188" s="124"/>
      <c r="BM188" s="124"/>
      <c r="BN188" s="124"/>
      <c r="BO188" s="124"/>
      <c r="BP188" s="124"/>
      <c r="BQ188" s="124"/>
      <c r="BR188" s="124"/>
      <c r="BS188" s="124"/>
      <c r="BT188" s="124"/>
    </row>
    <row r="189" spans="1:72">
      <c r="BE189" s="124"/>
      <c r="BF189" s="124"/>
      <c r="BG189" s="124"/>
      <c r="BH189" s="124"/>
      <c r="BI189" s="124"/>
      <c r="BJ189" s="124"/>
      <c r="BK189" s="124"/>
      <c r="BL189" s="124"/>
      <c r="BM189" s="124"/>
      <c r="BN189" s="124"/>
      <c r="BO189" s="124"/>
      <c r="BP189" s="124"/>
      <c r="BQ189" s="124"/>
      <c r="BR189" s="124"/>
      <c r="BS189" s="124"/>
      <c r="BT189" s="124"/>
    </row>
  </sheetData>
  <mergeCells count="99">
    <mergeCell ref="I26:AS27"/>
    <mergeCell ref="AN30:AS31"/>
    <mergeCell ref="A5:BA5"/>
    <mergeCell ref="BB5:BC5"/>
    <mergeCell ref="J25:M25"/>
    <mergeCell ref="H30:L31"/>
    <mergeCell ref="M30:Q31"/>
    <mergeCell ref="R30:V31"/>
    <mergeCell ref="W30:Z31"/>
    <mergeCell ref="AA30:AD31"/>
    <mergeCell ref="AE30:AH31"/>
    <mergeCell ref="AI30:AM31"/>
    <mergeCell ref="H10:AS10"/>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D41:AG43"/>
    <mergeCell ref="AH41:AK43"/>
    <mergeCell ref="AL41:AO43"/>
    <mergeCell ref="B41:E43"/>
    <mergeCell ref="F41:I43"/>
    <mergeCell ref="J41:M43"/>
    <mergeCell ref="N41:Q43"/>
    <mergeCell ref="R41:U43"/>
    <mergeCell ref="AP41:AS43"/>
    <mergeCell ref="AT41:AW43"/>
    <mergeCell ref="B44:E45"/>
    <mergeCell ref="F44:I45"/>
    <mergeCell ref="J44:M45"/>
    <mergeCell ref="N44:Q45"/>
    <mergeCell ref="R44:U45"/>
    <mergeCell ref="V44:Y45"/>
    <mergeCell ref="Z44:AC45"/>
    <mergeCell ref="AD44:AG45"/>
    <mergeCell ref="AH44:AK45"/>
    <mergeCell ref="AL44:AO45"/>
    <mergeCell ref="AP44:AS45"/>
    <mergeCell ref="AT44:AW45"/>
    <mergeCell ref="V41:Y43"/>
    <mergeCell ref="Z41:AC43"/>
    <mergeCell ref="B46:E47"/>
    <mergeCell ref="F46:I47"/>
    <mergeCell ref="J46:M47"/>
    <mergeCell ref="N46:Q47"/>
    <mergeCell ref="R46:U47"/>
    <mergeCell ref="AT48:AW49"/>
    <mergeCell ref="V46:Y47"/>
    <mergeCell ref="Z46:AC47"/>
    <mergeCell ref="AD46:AG47"/>
    <mergeCell ref="AH46:AK47"/>
    <mergeCell ref="AL46:AO47"/>
    <mergeCell ref="B48:E49"/>
    <mergeCell ref="F48:I49"/>
    <mergeCell ref="J48:M49"/>
    <mergeCell ref="N48:Q49"/>
    <mergeCell ref="R48:U49"/>
    <mergeCell ref="B50:E51"/>
    <mergeCell ref="F50:I51"/>
    <mergeCell ref="J50:M51"/>
    <mergeCell ref="N50:Q51"/>
    <mergeCell ref="R50:U51"/>
    <mergeCell ref="BE9:BM9"/>
    <mergeCell ref="AP50:AS51"/>
    <mergeCell ref="AT50:AW51"/>
    <mergeCell ref="V50:Y51"/>
    <mergeCell ref="Z50:AC51"/>
    <mergeCell ref="AD50:AG51"/>
    <mergeCell ref="AH50:AK51"/>
    <mergeCell ref="AL50:AO51"/>
    <mergeCell ref="AP46:AS47"/>
    <mergeCell ref="AT46:AW47"/>
    <mergeCell ref="V48:Y49"/>
    <mergeCell ref="Z48:AC49"/>
    <mergeCell ref="AD48:AG49"/>
    <mergeCell ref="AH48:AK49"/>
    <mergeCell ref="AL48:AO49"/>
    <mergeCell ref="AP48:AS49"/>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8"/>
  <sheetViews>
    <sheetView showGridLines="0" view="pageBreakPreview" zoomScale="85" zoomScaleNormal="70" zoomScaleSheetLayoutView="85" workbookViewId="0">
      <selection sqref="A1:I1"/>
    </sheetView>
  </sheetViews>
  <sheetFormatPr defaultColWidth="2.453125" defaultRowHeight="15"/>
  <cols>
    <col min="1" max="10" width="2.453125" style="140" customWidth="1"/>
    <col min="11" max="16" width="3.26953125" style="140" customWidth="1"/>
    <col min="17" max="52" width="2.453125" style="140"/>
    <col min="53" max="53" width="2.453125" style="140" customWidth="1"/>
    <col min="54" max="239" width="2.453125" style="140"/>
    <col min="240" max="240" width="4" style="140" customWidth="1"/>
    <col min="241" max="272" width="2.453125" style="140"/>
    <col min="273" max="273" width="2.453125" style="140" customWidth="1"/>
    <col min="274" max="495" width="2.453125" style="140"/>
    <col min="496" max="496" width="4" style="140" customWidth="1"/>
    <col min="497" max="528" width="2.453125" style="140"/>
    <col min="529" max="529" width="2.453125" style="140" customWidth="1"/>
    <col min="530" max="751" width="2.453125" style="140"/>
    <col min="752" max="752" width="4" style="140" customWidth="1"/>
    <col min="753" max="784" width="2.453125" style="140"/>
    <col min="785" max="785" width="2.453125" style="140" customWidth="1"/>
    <col min="786" max="1007" width="2.453125" style="140"/>
    <col min="1008" max="1008" width="4" style="140" customWidth="1"/>
    <col min="1009" max="1040" width="2.453125" style="140"/>
    <col min="1041" max="1041" width="2.453125" style="140" customWidth="1"/>
    <col min="1042" max="1263" width="2.453125" style="140"/>
    <col min="1264" max="1264" width="4" style="140" customWidth="1"/>
    <col min="1265" max="1296" width="2.453125" style="140"/>
    <col min="1297" max="1297" width="2.453125" style="140" customWidth="1"/>
    <col min="1298" max="1519" width="2.453125" style="140"/>
    <col min="1520" max="1520" width="4" style="140" customWidth="1"/>
    <col min="1521" max="1552" width="2.453125" style="140"/>
    <col min="1553" max="1553" width="2.453125" style="140" customWidth="1"/>
    <col min="1554" max="1775" width="2.453125" style="140"/>
    <col min="1776" max="1776" width="4" style="140" customWidth="1"/>
    <col min="1777" max="1808" width="2.453125" style="140"/>
    <col min="1809" max="1809" width="2.453125" style="140" customWidth="1"/>
    <col min="1810" max="2031" width="2.453125" style="140"/>
    <col min="2032" max="2032" width="4" style="140" customWidth="1"/>
    <col min="2033" max="2064" width="2.453125" style="140"/>
    <col min="2065" max="2065" width="2.453125" style="140" customWidth="1"/>
    <col min="2066" max="2287" width="2.453125" style="140"/>
    <col min="2288" max="2288" width="4" style="140" customWidth="1"/>
    <col min="2289" max="2320" width="2.453125" style="140"/>
    <col min="2321" max="2321" width="2.453125" style="140" customWidth="1"/>
    <col min="2322" max="2543" width="2.453125" style="140"/>
    <col min="2544" max="2544" width="4" style="140" customWidth="1"/>
    <col min="2545" max="2576" width="2.453125" style="140"/>
    <col min="2577" max="2577" width="2.453125" style="140" customWidth="1"/>
    <col min="2578" max="2799" width="2.453125" style="140"/>
    <col min="2800" max="2800" width="4" style="140" customWidth="1"/>
    <col min="2801" max="2832" width="2.453125" style="140"/>
    <col min="2833" max="2833" width="2.453125" style="140" customWidth="1"/>
    <col min="2834" max="3055" width="2.453125" style="140"/>
    <col min="3056" max="3056" width="4" style="140" customWidth="1"/>
    <col min="3057" max="3088" width="2.453125" style="140"/>
    <col min="3089" max="3089" width="2.453125" style="140" customWidth="1"/>
    <col min="3090" max="3311" width="2.453125" style="140"/>
    <col min="3312" max="3312" width="4" style="140" customWidth="1"/>
    <col min="3313" max="3344" width="2.453125" style="140"/>
    <col min="3345" max="3345" width="2.453125" style="140" customWidth="1"/>
    <col min="3346" max="3567" width="2.453125" style="140"/>
    <col min="3568" max="3568" width="4" style="140" customWidth="1"/>
    <col min="3569" max="3600" width="2.453125" style="140"/>
    <col min="3601" max="3601" width="2.453125" style="140" customWidth="1"/>
    <col min="3602" max="3823" width="2.453125" style="140"/>
    <col min="3824" max="3824" width="4" style="140" customWidth="1"/>
    <col min="3825" max="3856" width="2.453125" style="140"/>
    <col min="3857" max="3857" width="2.453125" style="140" customWidth="1"/>
    <col min="3858" max="4079" width="2.453125" style="140"/>
    <col min="4080" max="4080" width="4" style="140" customWidth="1"/>
    <col min="4081" max="4112" width="2.453125" style="140"/>
    <col min="4113" max="4113" width="2.453125" style="140" customWidth="1"/>
    <col min="4114" max="4335" width="2.453125" style="140"/>
    <col min="4336" max="4336" width="4" style="140" customWidth="1"/>
    <col min="4337" max="4368" width="2.453125" style="140"/>
    <col min="4369" max="4369" width="2.453125" style="140" customWidth="1"/>
    <col min="4370" max="4591" width="2.453125" style="140"/>
    <col min="4592" max="4592" width="4" style="140" customWidth="1"/>
    <col min="4593" max="4624" width="2.453125" style="140"/>
    <col min="4625" max="4625" width="2.453125" style="140" customWidth="1"/>
    <col min="4626" max="4847" width="2.453125" style="140"/>
    <col min="4848" max="4848" width="4" style="140" customWidth="1"/>
    <col min="4849" max="4880" width="2.453125" style="140"/>
    <col min="4881" max="4881" width="2.453125" style="140" customWidth="1"/>
    <col min="4882" max="5103" width="2.453125" style="140"/>
    <col min="5104" max="5104" width="4" style="140" customWidth="1"/>
    <col min="5105" max="5136" width="2.453125" style="140"/>
    <col min="5137" max="5137" width="2.453125" style="140" customWidth="1"/>
    <col min="5138" max="5359" width="2.453125" style="140"/>
    <col min="5360" max="5360" width="4" style="140" customWidth="1"/>
    <col min="5361" max="5392" width="2.453125" style="140"/>
    <col min="5393" max="5393" width="2.453125" style="140" customWidth="1"/>
    <col min="5394" max="5615" width="2.453125" style="140"/>
    <col min="5616" max="5616" width="4" style="140" customWidth="1"/>
    <col min="5617" max="5648" width="2.453125" style="140"/>
    <col min="5649" max="5649" width="2.453125" style="140" customWidth="1"/>
    <col min="5650" max="5871" width="2.453125" style="140"/>
    <col min="5872" max="5872" width="4" style="140" customWidth="1"/>
    <col min="5873" max="5904" width="2.453125" style="140"/>
    <col min="5905" max="5905" width="2.453125" style="140" customWidth="1"/>
    <col min="5906" max="6127" width="2.453125" style="140"/>
    <col min="6128" max="6128" width="4" style="140" customWidth="1"/>
    <col min="6129" max="6160" width="2.453125" style="140"/>
    <col min="6161" max="6161" width="2.453125" style="140" customWidth="1"/>
    <col min="6162" max="6383" width="2.453125" style="140"/>
    <col min="6384" max="6384" width="4" style="140" customWidth="1"/>
    <col min="6385" max="6416" width="2.453125" style="140"/>
    <col min="6417" max="6417" width="2.453125" style="140" customWidth="1"/>
    <col min="6418" max="6639" width="2.453125" style="140"/>
    <col min="6640" max="6640" width="4" style="140" customWidth="1"/>
    <col min="6641" max="6672" width="2.453125" style="140"/>
    <col min="6673" max="6673" width="2.453125" style="140" customWidth="1"/>
    <col min="6674" max="6895" width="2.453125" style="140"/>
    <col min="6896" max="6896" width="4" style="140" customWidth="1"/>
    <col min="6897" max="6928" width="2.453125" style="140"/>
    <col min="6929" max="6929" width="2.453125" style="140" customWidth="1"/>
    <col min="6930" max="7151" width="2.453125" style="140"/>
    <col min="7152" max="7152" width="4" style="140" customWidth="1"/>
    <col min="7153" max="7184" width="2.453125" style="140"/>
    <col min="7185" max="7185" width="2.453125" style="140" customWidth="1"/>
    <col min="7186" max="7407" width="2.453125" style="140"/>
    <col min="7408" max="7408" width="4" style="140" customWidth="1"/>
    <col min="7409" max="7440" width="2.453125" style="140"/>
    <col min="7441" max="7441" width="2.453125" style="140" customWidth="1"/>
    <col min="7442" max="7663" width="2.453125" style="140"/>
    <col min="7664" max="7664" width="4" style="140" customWidth="1"/>
    <col min="7665" max="7696" width="2.453125" style="140"/>
    <col min="7697" max="7697" width="2.453125" style="140" customWidth="1"/>
    <col min="7698" max="7919" width="2.453125" style="140"/>
    <col min="7920" max="7920" width="4" style="140" customWidth="1"/>
    <col min="7921" max="7952" width="2.453125" style="140"/>
    <col min="7953" max="7953" width="2.453125" style="140" customWidth="1"/>
    <col min="7954" max="8175" width="2.453125" style="140"/>
    <col min="8176" max="8176" width="4" style="140" customWidth="1"/>
    <col min="8177" max="8208" width="2.453125" style="140"/>
    <col min="8209" max="8209" width="2.453125" style="140" customWidth="1"/>
    <col min="8210" max="8431" width="2.453125" style="140"/>
    <col min="8432" max="8432" width="4" style="140" customWidth="1"/>
    <col min="8433" max="8464" width="2.453125" style="140"/>
    <col min="8465" max="8465" width="2.453125" style="140" customWidth="1"/>
    <col min="8466" max="8687" width="2.453125" style="140"/>
    <col min="8688" max="8688" width="4" style="140" customWidth="1"/>
    <col min="8689" max="8720" width="2.453125" style="140"/>
    <col min="8721" max="8721" width="2.453125" style="140" customWidth="1"/>
    <col min="8722" max="8943" width="2.453125" style="140"/>
    <col min="8944" max="8944" width="4" style="140" customWidth="1"/>
    <col min="8945" max="8976" width="2.453125" style="140"/>
    <col min="8977" max="8977" width="2.453125" style="140" customWidth="1"/>
    <col min="8978" max="9199" width="2.453125" style="140"/>
    <col min="9200" max="9200" width="4" style="140" customWidth="1"/>
    <col min="9201" max="9232" width="2.453125" style="140"/>
    <col min="9233" max="9233" width="2.453125" style="140" customWidth="1"/>
    <col min="9234" max="9455" width="2.453125" style="140"/>
    <col min="9456" max="9456" width="4" style="140" customWidth="1"/>
    <col min="9457" max="9488" width="2.453125" style="140"/>
    <col min="9489" max="9489" width="2.453125" style="140" customWidth="1"/>
    <col min="9490" max="9711" width="2.453125" style="140"/>
    <col min="9712" max="9712" width="4" style="140" customWidth="1"/>
    <col min="9713" max="9744" width="2.453125" style="140"/>
    <col min="9745" max="9745" width="2.453125" style="140" customWidth="1"/>
    <col min="9746" max="9967" width="2.453125" style="140"/>
    <col min="9968" max="9968" width="4" style="140" customWidth="1"/>
    <col min="9969" max="10000" width="2.453125" style="140"/>
    <col min="10001" max="10001" width="2.453125" style="140" customWidth="1"/>
    <col min="10002" max="10223" width="2.453125" style="140"/>
    <col min="10224" max="10224" width="4" style="140" customWidth="1"/>
    <col min="10225" max="10256" width="2.453125" style="140"/>
    <col min="10257" max="10257" width="2.453125" style="140" customWidth="1"/>
    <col min="10258" max="10479" width="2.453125" style="140"/>
    <col min="10480" max="10480" width="4" style="140" customWidth="1"/>
    <col min="10481" max="10512" width="2.453125" style="140"/>
    <col min="10513" max="10513" width="2.453125" style="140" customWidth="1"/>
    <col min="10514" max="10735" width="2.453125" style="140"/>
    <col min="10736" max="10736" width="4" style="140" customWidth="1"/>
    <col min="10737" max="10768" width="2.453125" style="140"/>
    <col min="10769" max="10769" width="2.453125" style="140" customWidth="1"/>
    <col min="10770" max="10991" width="2.453125" style="140"/>
    <col min="10992" max="10992" width="4" style="140" customWidth="1"/>
    <col min="10993" max="11024" width="2.453125" style="140"/>
    <col min="11025" max="11025" width="2.453125" style="140" customWidth="1"/>
    <col min="11026" max="11247" width="2.453125" style="140"/>
    <col min="11248" max="11248" width="4" style="140" customWidth="1"/>
    <col min="11249" max="11280" width="2.453125" style="140"/>
    <col min="11281" max="11281" width="2.453125" style="140" customWidth="1"/>
    <col min="11282" max="11503" width="2.453125" style="140"/>
    <col min="11504" max="11504" width="4" style="140" customWidth="1"/>
    <col min="11505" max="11536" width="2.453125" style="140"/>
    <col min="11537" max="11537" width="2.453125" style="140" customWidth="1"/>
    <col min="11538" max="11759" width="2.453125" style="140"/>
    <col min="11760" max="11760" width="4" style="140" customWidth="1"/>
    <col min="11761" max="11792" width="2.453125" style="140"/>
    <col min="11793" max="11793" width="2.453125" style="140" customWidth="1"/>
    <col min="11794" max="12015" width="2.453125" style="140"/>
    <col min="12016" max="12016" width="4" style="140" customWidth="1"/>
    <col min="12017" max="12048" width="2.453125" style="140"/>
    <col min="12049" max="12049" width="2.453125" style="140" customWidth="1"/>
    <col min="12050" max="12271" width="2.453125" style="140"/>
    <col min="12272" max="12272" width="4" style="140" customWidth="1"/>
    <col min="12273" max="12304" width="2.453125" style="140"/>
    <col min="12305" max="12305" width="2.453125" style="140" customWidth="1"/>
    <col min="12306" max="12527" width="2.453125" style="140"/>
    <col min="12528" max="12528" width="4" style="140" customWidth="1"/>
    <col min="12529" max="12560" width="2.453125" style="140"/>
    <col min="12561" max="12561" width="2.453125" style="140" customWidth="1"/>
    <col min="12562" max="12783" width="2.453125" style="140"/>
    <col min="12784" max="12784" width="4" style="140" customWidth="1"/>
    <col min="12785" max="12816" width="2.453125" style="140"/>
    <col min="12817" max="12817" width="2.453125" style="140" customWidth="1"/>
    <col min="12818" max="13039" width="2.453125" style="140"/>
    <col min="13040" max="13040" width="4" style="140" customWidth="1"/>
    <col min="13041" max="13072" width="2.453125" style="140"/>
    <col min="13073" max="13073" width="2.453125" style="140" customWidth="1"/>
    <col min="13074" max="13295" width="2.453125" style="140"/>
    <col min="13296" max="13296" width="4" style="140" customWidth="1"/>
    <col min="13297" max="13328" width="2.453125" style="140"/>
    <col min="13329" max="13329" width="2.453125" style="140" customWidth="1"/>
    <col min="13330" max="13551" width="2.453125" style="140"/>
    <col min="13552" max="13552" width="4" style="140" customWidth="1"/>
    <col min="13553" max="13584" width="2.453125" style="140"/>
    <col min="13585" max="13585" width="2.453125" style="140" customWidth="1"/>
    <col min="13586" max="13807" width="2.453125" style="140"/>
    <col min="13808" max="13808" width="4" style="140" customWidth="1"/>
    <col min="13809" max="13840" width="2.453125" style="140"/>
    <col min="13841" max="13841" width="2.453125" style="140" customWidth="1"/>
    <col min="13842" max="14063" width="2.453125" style="140"/>
    <col min="14064" max="14064" width="4" style="140" customWidth="1"/>
    <col min="14065" max="14096" width="2.453125" style="140"/>
    <col min="14097" max="14097" width="2.453125" style="140" customWidth="1"/>
    <col min="14098" max="14319" width="2.453125" style="140"/>
    <col min="14320" max="14320" width="4" style="140" customWidth="1"/>
    <col min="14321" max="14352" width="2.453125" style="140"/>
    <col min="14353" max="14353" width="2.453125" style="140" customWidth="1"/>
    <col min="14354" max="14575" width="2.453125" style="140"/>
    <col min="14576" max="14576" width="4" style="140" customWidth="1"/>
    <col min="14577" max="14608" width="2.453125" style="140"/>
    <col min="14609" max="14609" width="2.453125" style="140" customWidth="1"/>
    <col min="14610" max="14831" width="2.453125" style="140"/>
    <col min="14832" max="14832" width="4" style="140" customWidth="1"/>
    <col min="14833" max="14864" width="2.453125" style="140"/>
    <col min="14865" max="14865" width="2.453125" style="140" customWidth="1"/>
    <col min="14866" max="15087" width="2.453125" style="140"/>
    <col min="15088" max="15088" width="4" style="140" customWidth="1"/>
    <col min="15089" max="15120" width="2.453125" style="140"/>
    <col min="15121" max="15121" width="2.453125" style="140" customWidth="1"/>
    <col min="15122" max="15343" width="2.453125" style="140"/>
    <col min="15344" max="15344" width="4" style="140" customWidth="1"/>
    <col min="15345" max="15376" width="2.453125" style="140"/>
    <col min="15377" max="15377" width="2.453125" style="140" customWidth="1"/>
    <col min="15378" max="15599" width="2.453125" style="140"/>
    <col min="15600" max="15600" width="4" style="140" customWidth="1"/>
    <col min="15601" max="15632" width="2.453125" style="140"/>
    <col min="15633" max="15633" width="2.453125" style="140" customWidth="1"/>
    <col min="15634" max="15855" width="2.453125" style="140"/>
    <col min="15856" max="15856" width="4" style="140" customWidth="1"/>
    <col min="15857" max="15888" width="2.453125" style="140"/>
    <col min="15889" max="15889" width="2.453125" style="140" customWidth="1"/>
    <col min="15890" max="16111" width="2.453125" style="140"/>
    <col min="16112" max="16112" width="4" style="140" customWidth="1"/>
    <col min="16113" max="16144" width="2.453125" style="140"/>
    <col min="16145" max="16145" width="2.453125" style="140" customWidth="1"/>
    <col min="16146" max="16384" width="2.453125" style="140"/>
  </cols>
  <sheetData>
    <row r="1" spans="1:78" ht="12.75" customHeight="1">
      <c r="A1" s="236" t="s">
        <v>74</v>
      </c>
      <c r="B1" s="236"/>
      <c r="C1" s="236"/>
      <c r="D1" s="236"/>
      <c r="E1" s="236"/>
      <c r="F1" s="236"/>
      <c r="G1" s="236"/>
      <c r="H1" s="236"/>
      <c r="I1" s="236"/>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9"/>
      <c r="BZ1" s="139"/>
    </row>
    <row r="2" spans="1:78" ht="12.75" customHeight="1">
      <c r="A2" s="309" t="s">
        <v>75</v>
      </c>
      <c r="B2" s="309"/>
      <c r="C2" s="309"/>
      <c r="D2" s="309"/>
      <c r="E2" s="309"/>
      <c r="F2" s="309"/>
      <c r="G2" s="309"/>
      <c r="H2" s="309"/>
      <c r="I2" s="309"/>
      <c r="J2" s="309"/>
      <c r="K2" s="309"/>
      <c r="L2" s="309"/>
      <c r="M2" s="309"/>
      <c r="N2" s="309"/>
      <c r="O2" s="309"/>
      <c r="P2" s="309"/>
      <c r="Q2" s="310"/>
      <c r="R2" s="310"/>
      <c r="S2" s="310"/>
      <c r="T2" s="310"/>
      <c r="U2" s="310"/>
      <c r="V2" s="310"/>
      <c r="W2" s="310"/>
      <c r="X2" s="310"/>
      <c r="Y2" s="310"/>
      <c r="Z2" s="310"/>
      <c r="AA2" s="310"/>
      <c r="AB2" s="310"/>
      <c r="AC2" s="310"/>
      <c r="AD2" s="310"/>
      <c r="AE2" s="310"/>
      <c r="AF2" s="310"/>
      <c r="AG2" s="310"/>
      <c r="AH2" s="310"/>
      <c r="AI2" s="310"/>
      <c r="AJ2" s="310"/>
      <c r="AK2" s="310"/>
      <c r="AL2" s="310"/>
      <c r="AM2" s="310"/>
      <c r="AN2" s="310"/>
      <c r="AO2" s="310"/>
      <c r="AP2" s="310"/>
      <c r="AQ2" s="310"/>
      <c r="AR2" s="310"/>
      <c r="AS2" s="310"/>
      <c r="AT2" s="310"/>
      <c r="AU2" s="310"/>
      <c r="AV2" s="310"/>
      <c r="AW2" s="310"/>
      <c r="AX2" s="310"/>
      <c r="AY2" s="310"/>
      <c r="AZ2" s="310"/>
      <c r="BA2" s="310"/>
      <c r="BB2" s="310"/>
      <c r="BC2" s="310"/>
      <c r="BD2" s="310"/>
      <c r="BE2" s="310"/>
      <c r="BF2" s="310"/>
      <c r="BG2" s="310"/>
      <c r="BH2" s="310"/>
      <c r="BI2" s="310"/>
      <c r="BJ2" s="310"/>
      <c r="BK2" s="310"/>
      <c r="BL2" s="310"/>
      <c r="BM2" s="310"/>
      <c r="BN2" s="310"/>
      <c r="BO2" s="310"/>
      <c r="BP2" s="310"/>
      <c r="BQ2" s="310"/>
      <c r="BR2" s="310"/>
      <c r="BS2" s="310"/>
      <c r="BT2" s="310"/>
      <c r="BU2" s="310"/>
      <c r="BV2" s="310"/>
      <c r="BW2" s="310"/>
      <c r="BX2" s="310"/>
      <c r="BY2" s="310"/>
      <c r="BZ2" s="310"/>
    </row>
    <row r="3" spans="1:78" ht="27.75" customHeight="1">
      <c r="A3" s="311" t="s">
        <v>76</v>
      </c>
      <c r="B3" s="312"/>
      <c r="C3" s="312" t="s">
        <v>77</v>
      </c>
      <c r="D3" s="312"/>
      <c r="E3" s="312"/>
      <c r="F3" s="312"/>
      <c r="G3" s="312"/>
      <c r="H3" s="312"/>
      <c r="I3" s="312"/>
      <c r="J3" s="312"/>
      <c r="K3" s="312"/>
      <c r="L3" s="312"/>
      <c r="M3" s="312"/>
      <c r="N3" s="312"/>
      <c r="O3" s="312"/>
      <c r="P3" s="312"/>
      <c r="Q3" s="314" t="s">
        <v>78</v>
      </c>
      <c r="R3" s="315"/>
      <c r="S3" s="315"/>
      <c r="T3" s="315"/>
      <c r="U3" s="315"/>
      <c r="V3" s="315"/>
      <c r="W3" s="315"/>
      <c r="X3" s="315"/>
      <c r="Y3" s="315"/>
      <c r="Z3" s="315"/>
      <c r="AA3" s="316"/>
      <c r="AB3" s="314" t="s">
        <v>141</v>
      </c>
      <c r="AC3" s="320"/>
      <c r="AD3" s="320"/>
      <c r="AE3" s="320"/>
      <c r="AF3" s="320"/>
      <c r="AG3" s="320"/>
      <c r="AH3" s="320"/>
      <c r="AI3" s="314" t="s">
        <v>179</v>
      </c>
      <c r="AJ3" s="320"/>
      <c r="AK3" s="320"/>
      <c r="AL3" s="320"/>
      <c r="AM3" s="320"/>
      <c r="AN3" s="320"/>
      <c r="AO3" s="320"/>
      <c r="AP3" s="320"/>
      <c r="AQ3" s="320"/>
      <c r="AR3" s="311" t="s">
        <v>79</v>
      </c>
      <c r="AS3" s="311"/>
      <c r="AT3" s="311"/>
      <c r="AU3" s="311"/>
      <c r="AV3" s="311"/>
      <c r="AW3" s="311"/>
      <c r="AX3" s="311"/>
      <c r="AY3" s="311"/>
      <c r="AZ3" s="311"/>
      <c r="BA3" s="311"/>
      <c r="BB3" s="311"/>
      <c r="BC3" s="311"/>
      <c r="BD3" s="311"/>
      <c r="BE3" s="311"/>
      <c r="BF3" s="311"/>
      <c r="BG3" s="311"/>
      <c r="BH3" s="311"/>
      <c r="BI3" s="311"/>
      <c r="BJ3" s="311"/>
      <c r="BK3" s="311"/>
      <c r="BL3" s="311"/>
      <c r="BM3" s="311"/>
      <c r="BN3" s="311"/>
      <c r="BO3" s="311"/>
      <c r="BP3" s="311"/>
      <c r="BQ3" s="311"/>
      <c r="BR3" s="311"/>
      <c r="BS3" s="311"/>
      <c r="BT3" s="311"/>
      <c r="BU3" s="311"/>
      <c r="BV3" s="311"/>
      <c r="BW3" s="311"/>
      <c r="BX3" s="311"/>
      <c r="BY3" s="311"/>
      <c r="BZ3" s="311"/>
    </row>
    <row r="4" spans="1:78" ht="27.75" customHeight="1">
      <c r="A4" s="312"/>
      <c r="B4" s="312"/>
      <c r="C4" s="313" t="s">
        <v>80</v>
      </c>
      <c r="D4" s="313"/>
      <c r="E4" s="313"/>
      <c r="F4" s="313"/>
      <c r="G4" s="313"/>
      <c r="H4" s="313"/>
      <c r="I4" s="313"/>
      <c r="J4" s="313" t="s">
        <v>81</v>
      </c>
      <c r="K4" s="313"/>
      <c r="L4" s="313"/>
      <c r="M4" s="313"/>
      <c r="N4" s="313"/>
      <c r="O4" s="313"/>
      <c r="P4" s="313"/>
      <c r="Q4" s="317"/>
      <c r="R4" s="318"/>
      <c r="S4" s="318"/>
      <c r="T4" s="318"/>
      <c r="U4" s="318"/>
      <c r="V4" s="318"/>
      <c r="W4" s="318"/>
      <c r="X4" s="318"/>
      <c r="Y4" s="318"/>
      <c r="Z4" s="318"/>
      <c r="AA4" s="319"/>
      <c r="AB4" s="321"/>
      <c r="AC4" s="322"/>
      <c r="AD4" s="322"/>
      <c r="AE4" s="322"/>
      <c r="AF4" s="322"/>
      <c r="AG4" s="322"/>
      <c r="AH4" s="322"/>
      <c r="AI4" s="321"/>
      <c r="AJ4" s="322"/>
      <c r="AK4" s="322"/>
      <c r="AL4" s="322"/>
      <c r="AM4" s="322"/>
      <c r="AN4" s="322"/>
      <c r="AO4" s="322"/>
      <c r="AP4" s="322"/>
      <c r="AQ4" s="322"/>
      <c r="AR4" s="311"/>
      <c r="AS4" s="311"/>
      <c r="AT4" s="311"/>
      <c r="AU4" s="311"/>
      <c r="AV4" s="311"/>
      <c r="AW4" s="311"/>
      <c r="AX4" s="311"/>
      <c r="AY4" s="311"/>
      <c r="AZ4" s="311"/>
      <c r="BA4" s="311"/>
      <c r="BB4" s="311"/>
      <c r="BC4" s="311"/>
      <c r="BD4" s="311"/>
      <c r="BE4" s="311"/>
      <c r="BF4" s="311"/>
      <c r="BG4" s="311"/>
      <c r="BH4" s="311"/>
      <c r="BI4" s="311"/>
      <c r="BJ4" s="311"/>
      <c r="BK4" s="311"/>
      <c r="BL4" s="311"/>
      <c r="BM4" s="311"/>
      <c r="BN4" s="311"/>
      <c r="BO4" s="311"/>
      <c r="BP4" s="311"/>
      <c r="BQ4" s="311"/>
      <c r="BR4" s="311"/>
      <c r="BS4" s="311"/>
      <c r="BT4" s="311"/>
      <c r="BU4" s="311"/>
      <c r="BV4" s="311"/>
      <c r="BW4" s="311"/>
      <c r="BX4" s="311"/>
      <c r="BY4" s="311"/>
      <c r="BZ4" s="311"/>
    </row>
    <row r="5" spans="1:78">
      <c r="A5" s="281" t="s">
        <v>198</v>
      </c>
      <c r="B5" s="282"/>
      <c r="C5" s="287" t="s">
        <v>199</v>
      </c>
      <c r="D5" s="288"/>
      <c r="E5" s="288"/>
      <c r="F5" s="288"/>
      <c r="G5" s="288"/>
      <c r="H5" s="288"/>
      <c r="I5" s="289"/>
      <c r="J5" s="290"/>
      <c r="K5" s="291"/>
      <c r="L5" s="291"/>
      <c r="M5" s="291"/>
      <c r="N5" s="291"/>
      <c r="O5" s="291"/>
      <c r="P5" s="292"/>
      <c r="Q5" s="286"/>
      <c r="R5" s="279"/>
      <c r="S5" s="279"/>
      <c r="T5" s="279"/>
      <c r="U5" s="279"/>
      <c r="V5" s="279"/>
      <c r="W5" s="279"/>
      <c r="X5" s="279"/>
      <c r="Y5" s="279"/>
      <c r="Z5" s="279"/>
      <c r="AA5" s="293"/>
      <c r="AB5" s="286"/>
      <c r="AC5" s="279"/>
      <c r="AD5" s="279"/>
      <c r="AE5" s="279"/>
      <c r="AF5" s="279"/>
      <c r="AG5" s="279"/>
      <c r="AH5" s="279"/>
      <c r="AI5" s="286"/>
      <c r="AJ5" s="279"/>
      <c r="AK5" s="279"/>
      <c r="AL5" s="279"/>
      <c r="AM5" s="279"/>
      <c r="AN5" s="279"/>
      <c r="AO5" s="279"/>
      <c r="AP5" s="279"/>
      <c r="AQ5" s="279"/>
      <c r="AR5" s="278"/>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279"/>
      <c r="BX5" s="279"/>
      <c r="BY5" s="279"/>
      <c r="BZ5" s="280"/>
    </row>
    <row r="6" spans="1:78" ht="29.5" customHeight="1">
      <c r="A6" s="281" t="s">
        <v>200</v>
      </c>
      <c r="B6" s="282"/>
      <c r="C6" s="287"/>
      <c r="D6" s="288"/>
      <c r="E6" s="288"/>
      <c r="F6" s="288"/>
      <c r="G6" s="288"/>
      <c r="H6" s="288"/>
      <c r="I6" s="289"/>
      <c r="J6" s="290" t="s">
        <v>201</v>
      </c>
      <c r="K6" s="291"/>
      <c r="L6" s="291"/>
      <c r="M6" s="291"/>
      <c r="N6" s="291"/>
      <c r="O6" s="291"/>
      <c r="P6" s="292"/>
      <c r="Q6" s="286"/>
      <c r="R6" s="279"/>
      <c r="S6" s="279"/>
      <c r="T6" s="279"/>
      <c r="U6" s="279"/>
      <c r="V6" s="279"/>
      <c r="W6" s="279"/>
      <c r="X6" s="279"/>
      <c r="Y6" s="279"/>
      <c r="Z6" s="279"/>
      <c r="AA6" s="293"/>
      <c r="AB6" s="286"/>
      <c r="AC6" s="279"/>
      <c r="AD6" s="279"/>
      <c r="AE6" s="279"/>
      <c r="AF6" s="279"/>
      <c r="AG6" s="279"/>
      <c r="AH6" s="279"/>
      <c r="AI6" s="286"/>
      <c r="AJ6" s="279"/>
      <c r="AK6" s="279"/>
      <c r="AL6" s="279"/>
      <c r="AM6" s="279"/>
      <c r="AN6" s="279"/>
      <c r="AO6" s="279"/>
      <c r="AP6" s="279"/>
      <c r="AQ6" s="279"/>
      <c r="AR6" s="278" t="s">
        <v>219</v>
      </c>
      <c r="AS6" s="279"/>
      <c r="AT6" s="279"/>
      <c r="AU6" s="279"/>
      <c r="AV6" s="279"/>
      <c r="AW6" s="279"/>
      <c r="AX6" s="279"/>
      <c r="AY6" s="279"/>
      <c r="AZ6" s="279"/>
      <c r="BA6" s="279"/>
      <c r="BB6" s="279"/>
      <c r="BC6" s="279"/>
      <c r="BD6" s="279"/>
      <c r="BE6" s="279"/>
      <c r="BF6" s="279"/>
      <c r="BG6" s="279"/>
      <c r="BH6" s="279"/>
      <c r="BI6" s="279"/>
      <c r="BJ6" s="279"/>
      <c r="BK6" s="279"/>
      <c r="BL6" s="279"/>
      <c r="BM6" s="279"/>
      <c r="BN6" s="279"/>
      <c r="BO6" s="279"/>
      <c r="BP6" s="279"/>
      <c r="BQ6" s="279"/>
      <c r="BR6" s="279"/>
      <c r="BS6" s="279"/>
      <c r="BT6" s="279"/>
      <c r="BU6" s="279"/>
      <c r="BV6" s="279"/>
      <c r="BW6" s="279"/>
      <c r="BX6" s="279"/>
      <c r="BY6" s="279"/>
      <c r="BZ6" s="280"/>
    </row>
    <row r="7" spans="1:78">
      <c r="A7" s="281" t="s">
        <v>82</v>
      </c>
      <c r="B7" s="282"/>
      <c r="C7" s="287" t="s">
        <v>83</v>
      </c>
      <c r="D7" s="288"/>
      <c r="E7" s="288"/>
      <c r="F7" s="288"/>
      <c r="G7" s="288"/>
      <c r="H7" s="288"/>
      <c r="I7" s="289"/>
      <c r="J7" s="290"/>
      <c r="K7" s="291"/>
      <c r="L7" s="291"/>
      <c r="M7" s="291"/>
      <c r="N7" s="291"/>
      <c r="O7" s="291"/>
      <c r="P7" s="292"/>
      <c r="Q7" s="286"/>
      <c r="R7" s="279"/>
      <c r="S7" s="279"/>
      <c r="T7" s="279"/>
      <c r="U7" s="279"/>
      <c r="V7" s="279"/>
      <c r="W7" s="279"/>
      <c r="X7" s="279"/>
      <c r="Y7" s="279"/>
      <c r="Z7" s="279"/>
      <c r="AA7" s="293"/>
      <c r="AB7" s="286"/>
      <c r="AC7" s="279"/>
      <c r="AD7" s="279"/>
      <c r="AE7" s="279"/>
      <c r="AF7" s="279"/>
      <c r="AG7" s="279"/>
      <c r="AH7" s="279"/>
      <c r="AI7" s="286"/>
      <c r="AJ7" s="279"/>
      <c r="AK7" s="279"/>
      <c r="AL7" s="279"/>
      <c r="AM7" s="279"/>
      <c r="AN7" s="279"/>
      <c r="AO7" s="279"/>
      <c r="AP7" s="279"/>
      <c r="AQ7" s="279"/>
      <c r="AR7" s="278"/>
      <c r="AS7" s="279"/>
      <c r="AT7" s="279"/>
      <c r="AU7" s="279"/>
      <c r="AV7" s="279"/>
      <c r="AW7" s="279"/>
      <c r="AX7" s="279"/>
      <c r="AY7" s="279"/>
      <c r="AZ7" s="279"/>
      <c r="BA7" s="279"/>
      <c r="BB7" s="279"/>
      <c r="BC7" s="279"/>
      <c r="BD7" s="279"/>
      <c r="BE7" s="279"/>
      <c r="BF7" s="279"/>
      <c r="BG7" s="279"/>
      <c r="BH7" s="279"/>
      <c r="BI7" s="279"/>
      <c r="BJ7" s="279"/>
      <c r="BK7" s="279"/>
      <c r="BL7" s="279"/>
      <c r="BM7" s="279"/>
      <c r="BN7" s="279"/>
      <c r="BO7" s="279"/>
      <c r="BP7" s="279"/>
      <c r="BQ7" s="279"/>
      <c r="BR7" s="279"/>
      <c r="BS7" s="279"/>
      <c r="BT7" s="279"/>
      <c r="BU7" s="279"/>
      <c r="BV7" s="279"/>
      <c r="BW7" s="279"/>
      <c r="BX7" s="279"/>
      <c r="BY7" s="279"/>
      <c r="BZ7" s="280"/>
    </row>
    <row r="8" spans="1:78">
      <c r="A8" s="281" t="s">
        <v>84</v>
      </c>
      <c r="B8" s="282"/>
      <c r="C8" s="287"/>
      <c r="D8" s="288"/>
      <c r="E8" s="288"/>
      <c r="F8" s="288"/>
      <c r="G8" s="288"/>
      <c r="H8" s="288"/>
      <c r="I8" s="289"/>
      <c r="J8" s="290" t="s">
        <v>85</v>
      </c>
      <c r="K8" s="291"/>
      <c r="L8" s="291"/>
      <c r="M8" s="291"/>
      <c r="N8" s="291"/>
      <c r="O8" s="291"/>
      <c r="P8" s="292"/>
      <c r="Q8" s="286"/>
      <c r="R8" s="279"/>
      <c r="S8" s="279"/>
      <c r="T8" s="279"/>
      <c r="U8" s="279"/>
      <c r="V8" s="279"/>
      <c r="W8" s="279"/>
      <c r="X8" s="279"/>
      <c r="Y8" s="279"/>
      <c r="Z8" s="279"/>
      <c r="AA8" s="293"/>
      <c r="AB8" s="286"/>
      <c r="AC8" s="279"/>
      <c r="AD8" s="279"/>
      <c r="AE8" s="279"/>
      <c r="AF8" s="279"/>
      <c r="AG8" s="279"/>
      <c r="AH8" s="279"/>
      <c r="AI8" s="286"/>
      <c r="AJ8" s="279"/>
      <c r="AK8" s="279"/>
      <c r="AL8" s="279"/>
      <c r="AM8" s="279"/>
      <c r="AN8" s="279"/>
      <c r="AO8" s="279"/>
      <c r="AP8" s="279"/>
      <c r="AQ8" s="279"/>
      <c r="AR8" s="278" t="s">
        <v>241</v>
      </c>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279"/>
      <c r="BX8" s="279"/>
      <c r="BY8" s="279"/>
      <c r="BZ8" s="280"/>
    </row>
    <row r="9" spans="1:78" ht="15.5" customHeight="1">
      <c r="A9" s="305">
        <v>2</v>
      </c>
      <c r="B9" s="306"/>
      <c r="C9" s="283" t="s">
        <v>136</v>
      </c>
      <c r="D9" s="284"/>
      <c r="E9" s="284"/>
      <c r="F9" s="284"/>
      <c r="G9" s="284"/>
      <c r="H9" s="284"/>
      <c r="I9" s="285"/>
      <c r="J9" s="149"/>
      <c r="K9" s="307"/>
      <c r="L9" s="307"/>
      <c r="M9" s="307"/>
      <c r="N9" s="307"/>
      <c r="O9" s="307"/>
      <c r="P9" s="308"/>
      <c r="Q9" s="286"/>
      <c r="R9" s="279"/>
      <c r="S9" s="279"/>
      <c r="T9" s="279"/>
      <c r="U9" s="279"/>
      <c r="V9" s="279"/>
      <c r="W9" s="279"/>
      <c r="X9" s="279"/>
      <c r="Y9" s="279"/>
      <c r="Z9" s="279"/>
      <c r="AA9" s="293"/>
      <c r="AB9" s="286"/>
      <c r="AC9" s="279"/>
      <c r="AD9" s="279"/>
      <c r="AE9" s="279"/>
      <c r="AF9" s="279"/>
      <c r="AG9" s="279"/>
      <c r="AH9" s="279"/>
      <c r="AI9" s="286"/>
      <c r="AJ9" s="279"/>
      <c r="AK9" s="279"/>
      <c r="AL9" s="279"/>
      <c r="AM9" s="279"/>
      <c r="AN9" s="279"/>
      <c r="AO9" s="279"/>
      <c r="AP9" s="279"/>
      <c r="AQ9" s="279"/>
      <c r="AR9" s="278"/>
      <c r="AS9" s="279"/>
      <c r="AT9" s="279"/>
      <c r="AU9" s="279"/>
      <c r="AV9" s="279"/>
      <c r="AW9" s="279"/>
      <c r="AX9" s="279"/>
      <c r="AY9" s="279"/>
      <c r="AZ9" s="279"/>
      <c r="BA9" s="279"/>
      <c r="BB9" s="279"/>
      <c r="BC9" s="279"/>
      <c r="BD9" s="279"/>
      <c r="BE9" s="279"/>
      <c r="BF9" s="279"/>
      <c r="BG9" s="279"/>
      <c r="BH9" s="279"/>
      <c r="BI9" s="279"/>
      <c r="BJ9" s="279"/>
      <c r="BK9" s="279"/>
      <c r="BL9" s="279"/>
      <c r="BM9" s="279"/>
      <c r="BN9" s="279"/>
      <c r="BO9" s="279"/>
      <c r="BP9" s="279"/>
      <c r="BQ9" s="279"/>
      <c r="BR9" s="279"/>
      <c r="BS9" s="279"/>
      <c r="BT9" s="279"/>
      <c r="BU9" s="279"/>
      <c r="BV9" s="279"/>
      <c r="BW9" s="279"/>
      <c r="BX9" s="279"/>
      <c r="BY9" s="279"/>
      <c r="BZ9" s="280"/>
    </row>
    <row r="10" spans="1:78" ht="26" customHeight="1">
      <c r="A10" s="281" t="s">
        <v>137</v>
      </c>
      <c r="B10" s="282"/>
      <c r="C10" s="141"/>
      <c r="D10" s="142"/>
      <c r="E10" s="142"/>
      <c r="F10" s="142"/>
      <c r="G10" s="142"/>
      <c r="H10" s="142"/>
      <c r="I10" s="143"/>
      <c r="J10" s="283" t="s">
        <v>139</v>
      </c>
      <c r="K10" s="284"/>
      <c r="L10" s="284"/>
      <c r="M10" s="284"/>
      <c r="N10" s="284"/>
      <c r="O10" s="284"/>
      <c r="P10" s="285"/>
      <c r="Q10" s="294"/>
      <c r="R10" s="295"/>
      <c r="S10" s="295"/>
      <c r="T10" s="295"/>
      <c r="U10" s="295"/>
      <c r="V10" s="295"/>
      <c r="W10" s="295"/>
      <c r="X10" s="295"/>
      <c r="Y10" s="295"/>
      <c r="Z10" s="295"/>
      <c r="AA10" s="146"/>
      <c r="AB10" s="294"/>
      <c r="AC10" s="295"/>
      <c r="AD10" s="295"/>
      <c r="AE10" s="295"/>
      <c r="AF10" s="295"/>
      <c r="AG10" s="295"/>
      <c r="AH10" s="295"/>
      <c r="AI10" s="294"/>
      <c r="AJ10" s="295"/>
      <c r="AK10" s="295"/>
      <c r="AL10" s="295"/>
      <c r="AM10" s="295"/>
      <c r="AN10" s="295"/>
      <c r="AO10" s="295"/>
      <c r="AP10" s="295"/>
      <c r="AQ10" s="295"/>
      <c r="AR10" s="278" t="s">
        <v>185</v>
      </c>
      <c r="AS10" s="279"/>
      <c r="AT10" s="279"/>
      <c r="AU10" s="279"/>
      <c r="AV10" s="279"/>
      <c r="AW10" s="279"/>
      <c r="AX10" s="279"/>
      <c r="AY10" s="279"/>
      <c r="AZ10" s="279"/>
      <c r="BA10" s="279"/>
      <c r="BB10" s="279"/>
      <c r="BC10" s="279"/>
      <c r="BD10" s="279"/>
      <c r="BE10" s="279"/>
      <c r="BF10" s="279"/>
      <c r="BG10" s="279"/>
      <c r="BH10" s="279"/>
      <c r="BI10" s="279"/>
      <c r="BJ10" s="279"/>
      <c r="BK10" s="279"/>
      <c r="BL10" s="279"/>
      <c r="BM10" s="279"/>
      <c r="BN10" s="279"/>
      <c r="BO10" s="279"/>
      <c r="BP10" s="279"/>
      <c r="BQ10" s="279"/>
      <c r="BR10" s="279"/>
      <c r="BS10" s="279"/>
      <c r="BT10" s="279"/>
      <c r="BU10" s="279"/>
      <c r="BV10" s="279"/>
      <c r="BW10" s="279"/>
      <c r="BX10" s="279"/>
      <c r="BY10" s="279"/>
      <c r="BZ10" s="280"/>
    </row>
    <row r="11" spans="1:78" ht="15.5" customHeight="1">
      <c r="A11" s="281" t="s">
        <v>138</v>
      </c>
      <c r="B11" s="282"/>
      <c r="C11" s="141"/>
      <c r="D11" s="142"/>
      <c r="E11" s="142"/>
      <c r="F11" s="142"/>
      <c r="G11" s="142"/>
      <c r="H11" s="142"/>
      <c r="I11" s="143"/>
      <c r="J11" s="283" t="s">
        <v>189</v>
      </c>
      <c r="K11" s="284"/>
      <c r="L11" s="284"/>
      <c r="M11" s="284"/>
      <c r="N11" s="284"/>
      <c r="O11" s="284"/>
      <c r="P11" s="285"/>
      <c r="Q11" s="294"/>
      <c r="R11" s="295"/>
      <c r="S11" s="295"/>
      <c r="T11" s="295"/>
      <c r="U11" s="295"/>
      <c r="V11" s="295"/>
      <c r="W11" s="295"/>
      <c r="X11" s="295"/>
      <c r="Y11" s="295"/>
      <c r="Z11" s="295"/>
      <c r="AA11" s="146"/>
      <c r="AB11" s="294"/>
      <c r="AC11" s="295"/>
      <c r="AD11" s="295"/>
      <c r="AE11" s="295"/>
      <c r="AF11" s="295"/>
      <c r="AG11" s="295"/>
      <c r="AH11" s="295"/>
      <c r="AI11" s="294" t="s">
        <v>224</v>
      </c>
      <c r="AJ11" s="295"/>
      <c r="AK11" s="295"/>
      <c r="AL11" s="295"/>
      <c r="AM11" s="295"/>
      <c r="AN11" s="295"/>
      <c r="AO11" s="295"/>
      <c r="AP11" s="295"/>
      <c r="AQ11" s="295"/>
      <c r="AR11" s="278"/>
      <c r="AS11" s="279"/>
      <c r="AT11" s="279"/>
      <c r="AU11" s="279"/>
      <c r="AV11" s="279"/>
      <c r="AW11" s="279"/>
      <c r="AX11" s="279"/>
      <c r="AY11" s="279"/>
      <c r="AZ11" s="279"/>
      <c r="BA11" s="279"/>
      <c r="BB11" s="279"/>
      <c r="BC11" s="279"/>
      <c r="BD11" s="279"/>
      <c r="BE11" s="279"/>
      <c r="BF11" s="279"/>
      <c r="BG11" s="279"/>
      <c r="BH11" s="279"/>
      <c r="BI11" s="279"/>
      <c r="BJ11" s="279"/>
      <c r="BK11" s="279"/>
      <c r="BL11" s="279"/>
      <c r="BM11" s="279"/>
      <c r="BN11" s="279"/>
      <c r="BO11" s="279"/>
      <c r="BP11" s="279"/>
      <c r="BQ11" s="279"/>
      <c r="BR11" s="279"/>
      <c r="BS11" s="279"/>
      <c r="BT11" s="279"/>
      <c r="BU11" s="279"/>
      <c r="BV11" s="279"/>
      <c r="BW11" s="279"/>
      <c r="BX11" s="279"/>
      <c r="BY11" s="279"/>
      <c r="BZ11" s="280"/>
    </row>
    <row r="12" spans="1:78" ht="39" customHeight="1">
      <c r="A12" s="281" t="s">
        <v>193</v>
      </c>
      <c r="B12" s="282"/>
      <c r="C12" s="141"/>
      <c r="D12" s="142"/>
      <c r="E12" s="142"/>
      <c r="F12" s="142"/>
      <c r="G12" s="142"/>
      <c r="H12" s="142"/>
      <c r="I12" s="143"/>
      <c r="J12" s="283" t="s">
        <v>190</v>
      </c>
      <c r="K12" s="284"/>
      <c r="L12" s="284"/>
      <c r="M12" s="284"/>
      <c r="N12" s="284"/>
      <c r="O12" s="284"/>
      <c r="P12" s="285"/>
      <c r="Q12" s="294"/>
      <c r="R12" s="295"/>
      <c r="S12" s="295"/>
      <c r="T12" s="295"/>
      <c r="U12" s="295"/>
      <c r="V12" s="295"/>
      <c r="W12" s="295"/>
      <c r="X12" s="295"/>
      <c r="Y12" s="295"/>
      <c r="Z12" s="295"/>
      <c r="AA12" s="146"/>
      <c r="AB12" s="294"/>
      <c r="AC12" s="295"/>
      <c r="AD12" s="295"/>
      <c r="AE12" s="295"/>
      <c r="AF12" s="295"/>
      <c r="AG12" s="295"/>
      <c r="AH12" s="295"/>
      <c r="AI12" s="294" t="s">
        <v>225</v>
      </c>
      <c r="AJ12" s="295"/>
      <c r="AK12" s="295"/>
      <c r="AL12" s="295"/>
      <c r="AM12" s="295"/>
      <c r="AN12" s="295"/>
      <c r="AO12" s="295"/>
      <c r="AP12" s="295"/>
      <c r="AQ12" s="295"/>
      <c r="AR12" s="278" t="s">
        <v>191</v>
      </c>
      <c r="AS12" s="279"/>
      <c r="AT12" s="279"/>
      <c r="AU12" s="279"/>
      <c r="AV12" s="279"/>
      <c r="AW12" s="279"/>
      <c r="AX12" s="279"/>
      <c r="AY12" s="279"/>
      <c r="AZ12" s="279"/>
      <c r="BA12" s="279"/>
      <c r="BB12" s="279"/>
      <c r="BC12" s="279"/>
      <c r="BD12" s="279"/>
      <c r="BE12" s="279"/>
      <c r="BF12" s="279"/>
      <c r="BG12" s="279"/>
      <c r="BH12" s="279"/>
      <c r="BI12" s="279"/>
      <c r="BJ12" s="279"/>
      <c r="BK12" s="279"/>
      <c r="BL12" s="279"/>
      <c r="BM12" s="279"/>
      <c r="BN12" s="279"/>
      <c r="BO12" s="279"/>
      <c r="BP12" s="279"/>
      <c r="BQ12" s="279"/>
      <c r="BR12" s="279"/>
      <c r="BS12" s="279"/>
      <c r="BT12" s="279"/>
      <c r="BU12" s="279"/>
      <c r="BV12" s="279"/>
      <c r="BW12" s="279"/>
      <c r="BX12" s="279"/>
      <c r="BY12" s="279"/>
      <c r="BZ12" s="280"/>
    </row>
    <row r="13" spans="1:78" ht="20" customHeight="1">
      <c r="A13" s="281" t="s">
        <v>194</v>
      </c>
      <c r="B13" s="282"/>
      <c r="C13" s="141"/>
      <c r="D13" s="142"/>
      <c r="E13" s="142"/>
      <c r="F13" s="142"/>
      <c r="G13" s="142"/>
      <c r="H13" s="142"/>
      <c r="I13" s="143"/>
      <c r="J13" s="283" t="s">
        <v>140</v>
      </c>
      <c r="K13" s="284"/>
      <c r="L13" s="284"/>
      <c r="M13" s="284"/>
      <c r="N13" s="284"/>
      <c r="O13" s="284"/>
      <c r="P13" s="285"/>
      <c r="Q13" s="294"/>
      <c r="R13" s="295"/>
      <c r="S13" s="295"/>
      <c r="T13" s="295"/>
      <c r="U13" s="295"/>
      <c r="V13" s="295"/>
      <c r="W13" s="295"/>
      <c r="X13" s="295"/>
      <c r="Y13" s="295"/>
      <c r="Z13" s="295"/>
      <c r="AA13" s="146"/>
      <c r="AB13" s="294"/>
      <c r="AC13" s="295"/>
      <c r="AD13" s="295"/>
      <c r="AE13" s="295"/>
      <c r="AF13" s="295"/>
      <c r="AG13" s="295"/>
      <c r="AH13" s="295"/>
      <c r="AI13" s="294"/>
      <c r="AJ13" s="295"/>
      <c r="AK13" s="295"/>
      <c r="AL13" s="295"/>
      <c r="AM13" s="295"/>
      <c r="AN13" s="295"/>
      <c r="AO13" s="295"/>
      <c r="AP13" s="295"/>
      <c r="AQ13" s="295"/>
      <c r="AR13" s="278" t="s">
        <v>187</v>
      </c>
      <c r="AS13" s="279"/>
      <c r="AT13" s="279"/>
      <c r="AU13" s="279"/>
      <c r="AV13" s="279"/>
      <c r="AW13" s="279"/>
      <c r="AX13" s="279"/>
      <c r="AY13" s="279"/>
      <c r="AZ13" s="279"/>
      <c r="BA13" s="279"/>
      <c r="BB13" s="279"/>
      <c r="BC13" s="279"/>
      <c r="BD13" s="279"/>
      <c r="BE13" s="279"/>
      <c r="BF13" s="279"/>
      <c r="BG13" s="279"/>
      <c r="BH13" s="279"/>
      <c r="BI13" s="279"/>
      <c r="BJ13" s="279"/>
      <c r="BK13" s="279"/>
      <c r="BL13" s="279"/>
      <c r="BM13" s="279"/>
      <c r="BN13" s="279"/>
      <c r="BO13" s="279"/>
      <c r="BP13" s="279"/>
      <c r="BQ13" s="279"/>
      <c r="BR13" s="279"/>
      <c r="BS13" s="279"/>
      <c r="BT13" s="279"/>
      <c r="BU13" s="279"/>
      <c r="BV13" s="279"/>
      <c r="BW13" s="279"/>
      <c r="BX13" s="279"/>
      <c r="BY13" s="279"/>
      <c r="BZ13" s="280"/>
    </row>
    <row r="14" spans="1:78" ht="15.75" customHeight="1">
      <c r="A14" s="305">
        <v>3</v>
      </c>
      <c r="B14" s="306"/>
      <c r="C14" s="283" t="s">
        <v>86</v>
      </c>
      <c r="D14" s="284"/>
      <c r="E14" s="284"/>
      <c r="F14" s="284"/>
      <c r="G14" s="284"/>
      <c r="H14" s="284"/>
      <c r="I14" s="285"/>
      <c r="J14" s="149"/>
      <c r="K14" s="307"/>
      <c r="L14" s="307"/>
      <c r="M14" s="307"/>
      <c r="N14" s="307"/>
      <c r="O14" s="307"/>
      <c r="P14" s="308"/>
      <c r="Q14" s="286"/>
      <c r="R14" s="279"/>
      <c r="S14" s="279"/>
      <c r="T14" s="279"/>
      <c r="U14" s="279"/>
      <c r="V14" s="279"/>
      <c r="W14" s="279"/>
      <c r="X14" s="279"/>
      <c r="Y14" s="279"/>
      <c r="Z14" s="279"/>
      <c r="AA14" s="293"/>
      <c r="AB14" s="286"/>
      <c r="AC14" s="279"/>
      <c r="AD14" s="279"/>
      <c r="AE14" s="279"/>
      <c r="AF14" s="279"/>
      <c r="AG14" s="279"/>
      <c r="AH14" s="279"/>
      <c r="AI14" s="286"/>
      <c r="AJ14" s="279"/>
      <c r="AK14" s="279"/>
      <c r="AL14" s="279"/>
      <c r="AM14" s="279"/>
      <c r="AN14" s="279"/>
      <c r="AO14" s="279"/>
      <c r="AP14" s="279"/>
      <c r="AQ14" s="279"/>
      <c r="AR14" s="278" t="s">
        <v>186</v>
      </c>
      <c r="AS14" s="279"/>
      <c r="AT14" s="279"/>
      <c r="AU14" s="279"/>
      <c r="AV14" s="279"/>
      <c r="AW14" s="279"/>
      <c r="AX14" s="279"/>
      <c r="AY14" s="279"/>
      <c r="AZ14" s="279"/>
      <c r="BA14" s="279"/>
      <c r="BB14" s="279"/>
      <c r="BC14" s="279"/>
      <c r="BD14" s="279"/>
      <c r="BE14" s="279"/>
      <c r="BF14" s="279"/>
      <c r="BG14" s="279"/>
      <c r="BH14" s="279"/>
      <c r="BI14" s="279"/>
      <c r="BJ14" s="279"/>
      <c r="BK14" s="279"/>
      <c r="BL14" s="279"/>
      <c r="BM14" s="279"/>
      <c r="BN14" s="279"/>
      <c r="BO14" s="279"/>
      <c r="BP14" s="279"/>
      <c r="BQ14" s="279"/>
      <c r="BR14" s="279"/>
      <c r="BS14" s="279"/>
      <c r="BT14" s="279"/>
      <c r="BU14" s="279"/>
      <c r="BV14" s="279"/>
      <c r="BW14" s="279"/>
      <c r="BX14" s="279"/>
      <c r="BY14" s="279"/>
      <c r="BZ14" s="280"/>
    </row>
    <row r="15" spans="1:78" ht="15.75" customHeight="1">
      <c r="A15" s="281" t="s">
        <v>87</v>
      </c>
      <c r="B15" s="282"/>
      <c r="C15" s="141"/>
      <c r="D15" s="142"/>
      <c r="E15" s="142"/>
      <c r="F15" s="142"/>
      <c r="G15" s="142"/>
      <c r="H15" s="142"/>
      <c r="I15" s="143"/>
      <c r="J15" s="283" t="s">
        <v>88</v>
      </c>
      <c r="K15" s="284"/>
      <c r="L15" s="284"/>
      <c r="M15" s="284"/>
      <c r="N15" s="284"/>
      <c r="O15" s="284"/>
      <c r="P15" s="285"/>
      <c r="Q15" s="294"/>
      <c r="R15" s="295"/>
      <c r="S15" s="295"/>
      <c r="T15" s="295"/>
      <c r="U15" s="295"/>
      <c r="V15" s="295"/>
      <c r="W15" s="295"/>
      <c r="X15" s="295"/>
      <c r="Y15" s="295"/>
      <c r="Z15" s="295"/>
      <c r="AA15" s="146"/>
      <c r="AB15" s="294"/>
      <c r="AC15" s="295"/>
      <c r="AD15" s="295"/>
      <c r="AE15" s="295"/>
      <c r="AF15" s="295"/>
      <c r="AG15" s="295"/>
      <c r="AH15" s="295"/>
      <c r="AI15" s="294"/>
      <c r="AJ15" s="295"/>
      <c r="AK15" s="295"/>
      <c r="AL15" s="295"/>
      <c r="AM15" s="295"/>
      <c r="AN15" s="295"/>
      <c r="AO15" s="295"/>
      <c r="AP15" s="295"/>
      <c r="AQ15" s="295"/>
      <c r="AR15" s="278" t="s">
        <v>89</v>
      </c>
      <c r="AS15" s="279"/>
      <c r="AT15" s="279"/>
      <c r="AU15" s="279"/>
      <c r="AV15" s="279"/>
      <c r="AW15" s="279"/>
      <c r="AX15" s="279"/>
      <c r="AY15" s="279"/>
      <c r="AZ15" s="279"/>
      <c r="BA15" s="279"/>
      <c r="BB15" s="279"/>
      <c r="BC15" s="279"/>
      <c r="BD15" s="279"/>
      <c r="BE15" s="279"/>
      <c r="BF15" s="279"/>
      <c r="BG15" s="279"/>
      <c r="BH15" s="279"/>
      <c r="BI15" s="279"/>
      <c r="BJ15" s="279"/>
      <c r="BK15" s="279"/>
      <c r="BL15" s="279"/>
      <c r="BM15" s="279"/>
      <c r="BN15" s="279"/>
      <c r="BO15" s="279"/>
      <c r="BP15" s="279"/>
      <c r="BQ15" s="279"/>
      <c r="BR15" s="279"/>
      <c r="BS15" s="279"/>
      <c r="BT15" s="279"/>
      <c r="BU15" s="279"/>
      <c r="BV15" s="279"/>
      <c r="BW15" s="279"/>
      <c r="BX15" s="279"/>
      <c r="BY15" s="279"/>
      <c r="BZ15" s="280"/>
    </row>
    <row r="16" spans="1:78" ht="15.75" customHeight="1">
      <c r="A16" s="281" t="s">
        <v>90</v>
      </c>
      <c r="B16" s="282"/>
      <c r="C16" s="141"/>
      <c r="D16" s="142"/>
      <c r="E16" s="142"/>
      <c r="F16" s="142"/>
      <c r="G16" s="142"/>
      <c r="H16" s="142"/>
      <c r="I16" s="143"/>
      <c r="J16" s="283" t="s">
        <v>91</v>
      </c>
      <c r="K16" s="284"/>
      <c r="L16" s="284"/>
      <c r="M16" s="284"/>
      <c r="N16" s="284"/>
      <c r="O16" s="284"/>
      <c r="P16" s="285"/>
      <c r="Q16" s="294"/>
      <c r="R16" s="295"/>
      <c r="S16" s="295"/>
      <c r="T16" s="295"/>
      <c r="U16" s="295"/>
      <c r="V16" s="295"/>
      <c r="W16" s="295"/>
      <c r="X16" s="295"/>
      <c r="Y16" s="295"/>
      <c r="Z16" s="295"/>
      <c r="AA16" s="146"/>
      <c r="AB16" s="294"/>
      <c r="AC16" s="295"/>
      <c r="AD16" s="295"/>
      <c r="AE16" s="295"/>
      <c r="AF16" s="295"/>
      <c r="AG16" s="295"/>
      <c r="AH16" s="295"/>
      <c r="AI16" s="294"/>
      <c r="AJ16" s="295"/>
      <c r="AK16" s="295"/>
      <c r="AL16" s="295"/>
      <c r="AM16" s="295"/>
      <c r="AN16" s="295"/>
      <c r="AO16" s="295"/>
      <c r="AP16" s="295"/>
      <c r="AQ16" s="295"/>
      <c r="AR16" s="278" t="s">
        <v>92</v>
      </c>
      <c r="AS16" s="279"/>
      <c r="AT16" s="279"/>
      <c r="AU16" s="279"/>
      <c r="AV16" s="279"/>
      <c r="AW16" s="279"/>
      <c r="AX16" s="279"/>
      <c r="AY16" s="279"/>
      <c r="AZ16" s="279"/>
      <c r="BA16" s="279"/>
      <c r="BB16" s="279"/>
      <c r="BC16" s="279"/>
      <c r="BD16" s="279"/>
      <c r="BE16" s="279"/>
      <c r="BF16" s="279"/>
      <c r="BG16" s="279"/>
      <c r="BH16" s="279"/>
      <c r="BI16" s="279"/>
      <c r="BJ16" s="279"/>
      <c r="BK16" s="279"/>
      <c r="BL16" s="279"/>
      <c r="BM16" s="279"/>
      <c r="BN16" s="279"/>
      <c r="BO16" s="279"/>
      <c r="BP16" s="279"/>
      <c r="BQ16" s="279"/>
      <c r="BR16" s="279"/>
      <c r="BS16" s="279"/>
      <c r="BT16" s="279"/>
      <c r="BU16" s="279"/>
      <c r="BV16" s="279"/>
      <c r="BW16" s="279"/>
      <c r="BX16" s="279"/>
      <c r="BY16" s="279"/>
      <c r="BZ16" s="280"/>
    </row>
    <row r="17" spans="1:78" ht="39.5" customHeight="1">
      <c r="A17" s="281" t="s">
        <v>93</v>
      </c>
      <c r="B17" s="282"/>
      <c r="C17" s="141"/>
      <c r="D17" s="142"/>
      <c r="E17" s="142"/>
      <c r="F17" s="142"/>
      <c r="G17" s="142"/>
      <c r="H17" s="142"/>
      <c r="I17" s="143"/>
      <c r="J17" s="283" t="s">
        <v>94</v>
      </c>
      <c r="K17" s="284"/>
      <c r="L17" s="284"/>
      <c r="M17" s="284"/>
      <c r="N17" s="284"/>
      <c r="O17" s="284"/>
      <c r="P17" s="285"/>
      <c r="Q17" s="144"/>
      <c r="R17" s="145"/>
      <c r="S17" s="145"/>
      <c r="T17" s="145"/>
      <c r="U17" s="145"/>
      <c r="V17" s="145"/>
      <c r="W17" s="145"/>
      <c r="X17" s="145"/>
      <c r="Y17" s="145"/>
      <c r="Z17" s="145"/>
      <c r="AA17" s="146"/>
      <c r="AB17" s="286"/>
      <c r="AC17" s="279"/>
      <c r="AD17" s="279"/>
      <c r="AE17" s="279"/>
      <c r="AF17" s="279"/>
      <c r="AG17" s="279"/>
      <c r="AH17" s="279"/>
      <c r="AI17" s="286" t="s">
        <v>226</v>
      </c>
      <c r="AJ17" s="279"/>
      <c r="AK17" s="279"/>
      <c r="AL17" s="279"/>
      <c r="AM17" s="279"/>
      <c r="AN17" s="279"/>
      <c r="AO17" s="279"/>
      <c r="AP17" s="279"/>
      <c r="AQ17" s="279"/>
      <c r="AR17" s="302" t="s">
        <v>234</v>
      </c>
      <c r="AS17" s="303"/>
      <c r="AT17" s="303"/>
      <c r="AU17" s="303"/>
      <c r="AV17" s="303"/>
      <c r="AW17" s="303"/>
      <c r="AX17" s="303"/>
      <c r="AY17" s="303"/>
      <c r="AZ17" s="303"/>
      <c r="BA17" s="303"/>
      <c r="BB17" s="303"/>
      <c r="BC17" s="303"/>
      <c r="BD17" s="303"/>
      <c r="BE17" s="303"/>
      <c r="BF17" s="303"/>
      <c r="BG17" s="303"/>
      <c r="BH17" s="303"/>
      <c r="BI17" s="303"/>
      <c r="BJ17" s="303"/>
      <c r="BK17" s="303"/>
      <c r="BL17" s="303"/>
      <c r="BM17" s="303"/>
      <c r="BN17" s="303"/>
      <c r="BO17" s="303"/>
      <c r="BP17" s="303"/>
      <c r="BQ17" s="303"/>
      <c r="BR17" s="303"/>
      <c r="BS17" s="303"/>
      <c r="BT17" s="303"/>
      <c r="BU17" s="303"/>
      <c r="BV17" s="303"/>
      <c r="BW17" s="303"/>
      <c r="BX17" s="303"/>
      <c r="BY17" s="303"/>
      <c r="BZ17" s="304"/>
    </row>
    <row r="18" spans="1:78" ht="25" customHeight="1">
      <c r="A18" s="281" t="s">
        <v>95</v>
      </c>
      <c r="B18" s="282"/>
      <c r="C18" s="141"/>
      <c r="D18" s="142"/>
      <c r="E18" s="142"/>
      <c r="F18" s="142"/>
      <c r="G18" s="142"/>
      <c r="H18" s="142"/>
      <c r="I18" s="143"/>
      <c r="J18" s="283" t="s">
        <v>142</v>
      </c>
      <c r="K18" s="284"/>
      <c r="L18" s="284"/>
      <c r="M18" s="284"/>
      <c r="N18" s="284"/>
      <c r="O18" s="284"/>
      <c r="P18" s="285"/>
      <c r="Q18" s="144"/>
      <c r="R18" s="145"/>
      <c r="S18" s="145"/>
      <c r="T18" s="145"/>
      <c r="U18" s="145"/>
      <c r="V18" s="145"/>
      <c r="W18" s="145"/>
      <c r="X18" s="145"/>
      <c r="Y18" s="145"/>
      <c r="Z18" s="145"/>
      <c r="AA18" s="146"/>
      <c r="AB18" s="296"/>
      <c r="AC18" s="297"/>
      <c r="AD18" s="297"/>
      <c r="AE18" s="297"/>
      <c r="AF18" s="297"/>
      <c r="AG18" s="297"/>
      <c r="AH18" s="297"/>
      <c r="AI18" s="286" t="s">
        <v>227</v>
      </c>
      <c r="AJ18" s="279"/>
      <c r="AK18" s="279"/>
      <c r="AL18" s="279"/>
      <c r="AM18" s="279"/>
      <c r="AN18" s="279"/>
      <c r="AO18" s="279"/>
      <c r="AP18" s="279"/>
      <c r="AQ18" s="279"/>
      <c r="AR18" s="147"/>
      <c r="AS18" s="145"/>
      <c r="AT18" s="145"/>
      <c r="AU18" s="145"/>
      <c r="AV18" s="145"/>
      <c r="AW18" s="145"/>
      <c r="AX18" s="145"/>
      <c r="AY18" s="145"/>
      <c r="AZ18" s="145"/>
      <c r="BA18" s="145"/>
      <c r="BB18" s="145"/>
      <c r="BC18" s="145"/>
      <c r="BD18" s="145"/>
      <c r="BE18" s="145"/>
      <c r="BF18" s="145"/>
      <c r="BG18" s="145"/>
      <c r="BH18" s="145"/>
      <c r="BI18" s="145"/>
      <c r="BJ18" s="145"/>
      <c r="BK18" s="145"/>
      <c r="BL18" s="145"/>
      <c r="BM18" s="145"/>
      <c r="BN18" s="145"/>
      <c r="BO18" s="145"/>
      <c r="BP18" s="145"/>
      <c r="BQ18" s="145"/>
      <c r="BR18" s="145"/>
      <c r="BS18" s="145"/>
      <c r="BT18" s="145"/>
      <c r="BU18" s="145"/>
      <c r="BV18" s="145"/>
      <c r="BW18" s="145"/>
      <c r="BX18" s="145"/>
      <c r="BY18" s="145"/>
      <c r="BZ18" s="148"/>
    </row>
    <row r="19" spans="1:78" ht="26.5" customHeight="1">
      <c r="A19" s="281" t="s">
        <v>97</v>
      </c>
      <c r="B19" s="282"/>
      <c r="C19" s="141"/>
      <c r="D19" s="142"/>
      <c r="E19" s="142"/>
      <c r="F19" s="142"/>
      <c r="G19" s="142"/>
      <c r="H19" s="142"/>
      <c r="I19" s="143"/>
      <c r="J19" s="283" t="s">
        <v>143</v>
      </c>
      <c r="K19" s="284"/>
      <c r="L19" s="284"/>
      <c r="M19" s="284"/>
      <c r="N19" s="284"/>
      <c r="O19" s="284"/>
      <c r="P19" s="285"/>
      <c r="Q19" s="144"/>
      <c r="R19" s="145"/>
      <c r="S19" s="145"/>
      <c r="T19" s="145"/>
      <c r="U19" s="145"/>
      <c r="V19" s="145"/>
      <c r="W19" s="145"/>
      <c r="X19" s="145"/>
      <c r="Y19" s="145"/>
      <c r="Z19" s="145"/>
      <c r="AA19" s="146"/>
      <c r="AB19" s="144"/>
      <c r="AC19" s="145"/>
      <c r="AD19" s="145"/>
      <c r="AE19" s="145"/>
      <c r="AF19" s="145"/>
      <c r="AG19" s="145"/>
      <c r="AH19" s="145"/>
      <c r="AI19" s="286" t="s">
        <v>230</v>
      </c>
      <c r="AJ19" s="279"/>
      <c r="AK19" s="279"/>
      <c r="AL19" s="279"/>
      <c r="AM19" s="279"/>
      <c r="AN19" s="279"/>
      <c r="AO19" s="279"/>
      <c r="AP19" s="279"/>
      <c r="AQ19" s="279"/>
      <c r="AR19" s="147"/>
      <c r="AS19" s="145"/>
      <c r="AT19" s="145"/>
      <c r="AU19" s="145"/>
      <c r="AV19" s="145"/>
      <c r="AW19" s="145"/>
      <c r="AX19" s="145"/>
      <c r="AY19" s="145"/>
      <c r="AZ19" s="145"/>
      <c r="BA19" s="145"/>
      <c r="BB19" s="145"/>
      <c r="BC19" s="145"/>
      <c r="BD19" s="145"/>
      <c r="BE19" s="145"/>
      <c r="BF19" s="145"/>
      <c r="BG19" s="145"/>
      <c r="BH19" s="145"/>
      <c r="BI19" s="145"/>
      <c r="BJ19" s="145"/>
      <c r="BK19" s="145"/>
      <c r="BL19" s="145"/>
      <c r="BM19" s="145"/>
      <c r="BN19" s="145"/>
      <c r="BO19" s="145"/>
      <c r="BP19" s="145"/>
      <c r="BQ19" s="145"/>
      <c r="BR19" s="145"/>
      <c r="BS19" s="145"/>
      <c r="BT19" s="145"/>
      <c r="BU19" s="145"/>
      <c r="BV19" s="145"/>
      <c r="BW19" s="145"/>
      <c r="BX19" s="145"/>
      <c r="BY19" s="145"/>
      <c r="BZ19" s="148"/>
    </row>
    <row r="20" spans="1:78" ht="27" customHeight="1">
      <c r="A20" s="281" t="s">
        <v>98</v>
      </c>
      <c r="B20" s="282"/>
      <c r="C20" s="141"/>
      <c r="D20" s="142"/>
      <c r="E20" s="142"/>
      <c r="F20" s="142"/>
      <c r="G20" s="142"/>
      <c r="H20" s="142"/>
      <c r="I20" s="143"/>
      <c r="J20" s="283" t="s">
        <v>144</v>
      </c>
      <c r="K20" s="284"/>
      <c r="L20" s="284"/>
      <c r="M20" s="284"/>
      <c r="N20" s="284"/>
      <c r="O20" s="284"/>
      <c r="P20" s="285"/>
      <c r="Q20" s="144"/>
      <c r="R20" s="145"/>
      <c r="S20" s="145"/>
      <c r="T20" s="145"/>
      <c r="U20" s="145"/>
      <c r="V20" s="145"/>
      <c r="W20" s="145"/>
      <c r="X20" s="145"/>
      <c r="Y20" s="145"/>
      <c r="Z20" s="145"/>
      <c r="AA20" s="146"/>
      <c r="AB20" s="144"/>
      <c r="AC20" s="145"/>
      <c r="AD20" s="145"/>
      <c r="AE20" s="145"/>
      <c r="AF20" s="145"/>
      <c r="AG20" s="145"/>
      <c r="AH20" s="145"/>
      <c r="AI20" s="286" t="s">
        <v>228</v>
      </c>
      <c r="AJ20" s="279"/>
      <c r="AK20" s="279"/>
      <c r="AL20" s="279"/>
      <c r="AM20" s="279"/>
      <c r="AN20" s="279"/>
      <c r="AO20" s="279"/>
      <c r="AP20" s="279"/>
      <c r="AQ20" s="279"/>
      <c r="AR20" s="147"/>
      <c r="AS20" s="145"/>
      <c r="AT20" s="145"/>
      <c r="AU20" s="145"/>
      <c r="AV20" s="145"/>
      <c r="AW20" s="145"/>
      <c r="AX20" s="145"/>
      <c r="AY20" s="145"/>
      <c r="AZ20" s="145"/>
      <c r="BA20" s="145"/>
      <c r="BB20" s="145"/>
      <c r="BC20" s="145"/>
      <c r="BD20" s="145"/>
      <c r="BE20" s="145"/>
      <c r="BF20" s="145"/>
      <c r="BG20" s="145"/>
      <c r="BH20" s="145"/>
      <c r="BI20" s="145"/>
      <c r="BJ20" s="145"/>
      <c r="BK20" s="145"/>
      <c r="BL20" s="145"/>
      <c r="BM20" s="145"/>
      <c r="BN20" s="145"/>
      <c r="BO20" s="145"/>
      <c r="BP20" s="145"/>
      <c r="BQ20" s="145"/>
      <c r="BR20" s="145"/>
      <c r="BS20" s="145"/>
      <c r="BT20" s="145"/>
      <c r="BU20" s="145"/>
      <c r="BV20" s="145"/>
      <c r="BW20" s="145"/>
      <c r="BX20" s="145"/>
      <c r="BY20" s="145"/>
      <c r="BZ20" s="148"/>
    </row>
    <row r="21" spans="1:78" ht="26.5" customHeight="1">
      <c r="A21" s="281" t="s">
        <v>99</v>
      </c>
      <c r="B21" s="282"/>
      <c r="C21" s="141"/>
      <c r="D21" s="142"/>
      <c r="E21" s="142"/>
      <c r="F21" s="142"/>
      <c r="G21" s="142"/>
      <c r="H21" s="142"/>
      <c r="I21" s="143"/>
      <c r="J21" s="283" t="s">
        <v>145</v>
      </c>
      <c r="K21" s="284"/>
      <c r="L21" s="284"/>
      <c r="M21" s="284"/>
      <c r="N21" s="284"/>
      <c r="O21" s="284"/>
      <c r="P21" s="285"/>
      <c r="Q21" s="144"/>
      <c r="R21" s="145"/>
      <c r="S21" s="145"/>
      <c r="T21" s="145"/>
      <c r="U21" s="145"/>
      <c r="V21" s="145"/>
      <c r="W21" s="145"/>
      <c r="X21" s="145"/>
      <c r="Y21" s="145"/>
      <c r="Z21" s="145"/>
      <c r="AA21" s="146"/>
      <c r="AB21" s="296" t="s">
        <v>39</v>
      </c>
      <c r="AC21" s="297"/>
      <c r="AD21" s="297"/>
      <c r="AE21" s="297"/>
      <c r="AF21" s="297"/>
      <c r="AG21" s="297"/>
      <c r="AH21" s="298"/>
      <c r="AI21" s="286" t="s">
        <v>229</v>
      </c>
      <c r="AJ21" s="279"/>
      <c r="AK21" s="279"/>
      <c r="AL21" s="279"/>
      <c r="AM21" s="279"/>
      <c r="AN21" s="279"/>
      <c r="AO21" s="279"/>
      <c r="AP21" s="279"/>
      <c r="AQ21" s="279"/>
      <c r="AR21" s="147"/>
      <c r="AS21" s="145"/>
      <c r="AT21" s="145"/>
      <c r="AU21" s="145"/>
      <c r="AV21" s="145"/>
      <c r="AW21" s="145"/>
      <c r="AX21" s="145"/>
      <c r="AY21" s="145"/>
      <c r="AZ21" s="145"/>
      <c r="BA21" s="145"/>
      <c r="BB21" s="145"/>
      <c r="BC21" s="145"/>
      <c r="BD21" s="145"/>
      <c r="BE21" s="145"/>
      <c r="BF21" s="145"/>
      <c r="BG21" s="145"/>
      <c r="BH21" s="145"/>
      <c r="BI21" s="145"/>
      <c r="BJ21" s="145"/>
      <c r="BK21" s="145"/>
      <c r="BL21" s="145"/>
      <c r="BM21" s="145"/>
      <c r="BN21" s="145"/>
      <c r="BO21" s="145"/>
      <c r="BP21" s="145"/>
      <c r="BQ21" s="145"/>
      <c r="BR21" s="145"/>
      <c r="BS21" s="145"/>
      <c r="BT21" s="145"/>
      <c r="BU21" s="145"/>
      <c r="BV21" s="145"/>
      <c r="BW21" s="145"/>
      <c r="BX21" s="145"/>
      <c r="BY21" s="145"/>
      <c r="BZ21" s="148"/>
    </row>
    <row r="22" spans="1:78" ht="30.65" customHeight="1">
      <c r="A22" s="281" t="s">
        <v>100</v>
      </c>
      <c r="B22" s="282"/>
      <c r="C22" s="141"/>
      <c r="D22" s="142"/>
      <c r="E22" s="142"/>
      <c r="F22" s="142"/>
      <c r="G22" s="142"/>
      <c r="H22" s="142"/>
      <c r="I22" s="143"/>
      <c r="J22" s="283" t="s">
        <v>146</v>
      </c>
      <c r="K22" s="284"/>
      <c r="L22" s="284"/>
      <c r="M22" s="284"/>
      <c r="N22" s="284"/>
      <c r="O22" s="284"/>
      <c r="P22" s="285"/>
      <c r="Q22" s="144"/>
      <c r="R22" s="145"/>
      <c r="S22" s="145"/>
      <c r="T22" s="145"/>
      <c r="U22" s="145"/>
      <c r="V22" s="145"/>
      <c r="W22" s="145"/>
      <c r="X22" s="145"/>
      <c r="Y22" s="145"/>
      <c r="Z22" s="145"/>
      <c r="AA22" s="146"/>
      <c r="AB22" s="296" t="s">
        <v>39</v>
      </c>
      <c r="AC22" s="297"/>
      <c r="AD22" s="297"/>
      <c r="AE22" s="297"/>
      <c r="AF22" s="297"/>
      <c r="AG22" s="297"/>
      <c r="AH22" s="298"/>
      <c r="AI22" s="286"/>
      <c r="AJ22" s="279"/>
      <c r="AK22" s="279"/>
      <c r="AL22" s="279"/>
      <c r="AM22" s="279"/>
      <c r="AN22" s="279"/>
      <c r="AO22" s="279"/>
      <c r="AP22" s="279"/>
      <c r="AQ22" s="279"/>
      <c r="AR22" s="278" t="s">
        <v>101</v>
      </c>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80"/>
    </row>
    <row r="23" spans="1:78" ht="117" customHeight="1">
      <c r="A23" s="281" t="s">
        <v>102</v>
      </c>
      <c r="B23" s="282"/>
      <c r="C23" s="141"/>
      <c r="D23" s="142"/>
      <c r="E23" s="142"/>
      <c r="F23" s="142"/>
      <c r="G23" s="142"/>
      <c r="H23" s="142"/>
      <c r="I23" s="143"/>
      <c r="J23" s="283" t="s">
        <v>147</v>
      </c>
      <c r="K23" s="284"/>
      <c r="L23" s="284"/>
      <c r="M23" s="284"/>
      <c r="N23" s="284"/>
      <c r="O23" s="284"/>
      <c r="P23" s="285"/>
      <c r="Q23" s="144"/>
      <c r="R23" s="145"/>
      <c r="S23" s="145"/>
      <c r="T23" s="145"/>
      <c r="U23" s="145"/>
      <c r="V23" s="145"/>
      <c r="W23" s="145"/>
      <c r="X23" s="145"/>
      <c r="Y23" s="145"/>
      <c r="Z23" s="145"/>
      <c r="AA23" s="146"/>
      <c r="AB23" s="296" t="s">
        <v>188</v>
      </c>
      <c r="AC23" s="297"/>
      <c r="AD23" s="297"/>
      <c r="AE23" s="297"/>
      <c r="AF23" s="297"/>
      <c r="AG23" s="297"/>
      <c r="AH23" s="298"/>
      <c r="AI23" s="286" t="s">
        <v>231</v>
      </c>
      <c r="AJ23" s="279"/>
      <c r="AK23" s="279"/>
      <c r="AL23" s="279"/>
      <c r="AM23" s="279"/>
      <c r="AN23" s="279"/>
      <c r="AO23" s="279"/>
      <c r="AP23" s="279"/>
      <c r="AQ23" s="279"/>
      <c r="AR23" s="278" t="s">
        <v>103</v>
      </c>
      <c r="AS23" s="279"/>
      <c r="AT23" s="279"/>
      <c r="AU23" s="279"/>
      <c r="AV23" s="279"/>
      <c r="AW23" s="279"/>
      <c r="AX23" s="279"/>
      <c r="AY23" s="279"/>
      <c r="AZ23" s="279"/>
      <c r="BA23" s="279"/>
      <c r="BB23" s="279"/>
      <c r="BC23" s="279"/>
      <c r="BD23" s="279"/>
      <c r="BE23" s="279"/>
      <c r="BF23" s="279"/>
      <c r="BG23" s="279"/>
      <c r="BH23" s="279"/>
      <c r="BI23" s="279"/>
      <c r="BJ23" s="279"/>
      <c r="BK23" s="279"/>
      <c r="BL23" s="279"/>
      <c r="BM23" s="279"/>
      <c r="BN23" s="279"/>
      <c r="BO23" s="279"/>
      <c r="BP23" s="279"/>
      <c r="BQ23" s="279"/>
      <c r="BR23" s="279"/>
      <c r="BS23" s="279"/>
      <c r="BT23" s="279"/>
      <c r="BU23" s="279"/>
      <c r="BV23" s="279"/>
      <c r="BW23" s="279"/>
      <c r="BX23" s="279"/>
      <c r="BY23" s="279"/>
      <c r="BZ23" s="280"/>
    </row>
    <row r="24" spans="1:78" ht="163.5" customHeight="1">
      <c r="A24" s="281" t="s">
        <v>104</v>
      </c>
      <c r="B24" s="282"/>
      <c r="C24" s="287"/>
      <c r="D24" s="288"/>
      <c r="E24" s="288"/>
      <c r="F24" s="288"/>
      <c r="G24" s="288"/>
      <c r="H24" s="288"/>
      <c r="I24" s="289"/>
      <c r="J24" s="283" t="s">
        <v>148</v>
      </c>
      <c r="K24" s="284"/>
      <c r="L24" s="284"/>
      <c r="M24" s="284"/>
      <c r="N24" s="284"/>
      <c r="O24" s="284"/>
      <c r="P24" s="285"/>
      <c r="Q24" s="286"/>
      <c r="R24" s="279"/>
      <c r="S24" s="279"/>
      <c r="T24" s="279"/>
      <c r="U24" s="279"/>
      <c r="V24" s="279"/>
      <c r="W24" s="279"/>
      <c r="X24" s="279"/>
      <c r="Y24" s="279"/>
      <c r="Z24" s="279"/>
      <c r="AA24" s="293"/>
      <c r="AB24" s="286" t="s">
        <v>192</v>
      </c>
      <c r="AC24" s="279"/>
      <c r="AD24" s="279"/>
      <c r="AE24" s="279"/>
      <c r="AF24" s="279"/>
      <c r="AG24" s="279"/>
      <c r="AH24" s="279"/>
      <c r="AI24" s="286" t="s">
        <v>232</v>
      </c>
      <c r="AJ24" s="279"/>
      <c r="AK24" s="279"/>
      <c r="AL24" s="279"/>
      <c r="AM24" s="279"/>
      <c r="AN24" s="279"/>
      <c r="AO24" s="279"/>
      <c r="AP24" s="279"/>
      <c r="AQ24" s="279"/>
      <c r="AR24" s="278" t="s">
        <v>233</v>
      </c>
      <c r="AS24" s="279"/>
      <c r="AT24" s="279"/>
      <c r="AU24" s="279"/>
      <c r="AV24" s="279"/>
      <c r="AW24" s="279"/>
      <c r="AX24" s="279"/>
      <c r="AY24" s="279"/>
      <c r="AZ24" s="279"/>
      <c r="BA24" s="279"/>
      <c r="BB24" s="279"/>
      <c r="BC24" s="279"/>
      <c r="BD24" s="279"/>
      <c r="BE24" s="279"/>
      <c r="BF24" s="279"/>
      <c r="BG24" s="279"/>
      <c r="BH24" s="279"/>
      <c r="BI24" s="279"/>
      <c r="BJ24" s="279"/>
      <c r="BK24" s="279"/>
      <c r="BL24" s="279"/>
      <c r="BM24" s="279"/>
      <c r="BN24" s="279"/>
      <c r="BO24" s="279"/>
      <c r="BP24" s="279"/>
      <c r="BQ24" s="279"/>
      <c r="BR24" s="279"/>
      <c r="BS24" s="279"/>
      <c r="BT24" s="279"/>
      <c r="BU24" s="279"/>
      <c r="BV24" s="279"/>
      <c r="BW24" s="279"/>
      <c r="BX24" s="279"/>
      <c r="BY24" s="279"/>
      <c r="BZ24" s="280"/>
    </row>
    <row r="25" spans="1:78" ht="40.75" customHeight="1">
      <c r="A25" s="281" t="s">
        <v>105</v>
      </c>
      <c r="B25" s="282"/>
      <c r="C25" s="290"/>
      <c r="D25" s="291"/>
      <c r="E25" s="291"/>
      <c r="F25" s="291"/>
      <c r="G25" s="291"/>
      <c r="H25" s="291"/>
      <c r="I25" s="292"/>
      <c r="J25" s="283" t="s">
        <v>149</v>
      </c>
      <c r="K25" s="284"/>
      <c r="L25" s="284"/>
      <c r="M25" s="284"/>
      <c r="N25" s="284"/>
      <c r="O25" s="284"/>
      <c r="P25" s="285"/>
      <c r="Q25" s="286"/>
      <c r="R25" s="279"/>
      <c r="S25" s="279"/>
      <c r="T25" s="279"/>
      <c r="U25" s="279"/>
      <c r="V25" s="279"/>
      <c r="W25" s="279"/>
      <c r="X25" s="279"/>
      <c r="Y25" s="279"/>
      <c r="Z25" s="279"/>
      <c r="AA25" s="293"/>
      <c r="AB25" s="286"/>
      <c r="AC25" s="279"/>
      <c r="AD25" s="279"/>
      <c r="AE25" s="279"/>
      <c r="AF25" s="279"/>
      <c r="AG25" s="279"/>
      <c r="AH25" s="279"/>
      <c r="AI25" s="286"/>
      <c r="AJ25" s="279"/>
      <c r="AK25" s="279"/>
      <c r="AL25" s="279"/>
      <c r="AM25" s="279"/>
      <c r="AN25" s="279"/>
      <c r="AO25" s="279"/>
      <c r="AP25" s="279"/>
      <c r="AQ25" s="279"/>
      <c r="AR25" s="302" t="s">
        <v>106</v>
      </c>
      <c r="AS25" s="303"/>
      <c r="AT25" s="303"/>
      <c r="AU25" s="303"/>
      <c r="AV25" s="303"/>
      <c r="AW25" s="303"/>
      <c r="AX25" s="303"/>
      <c r="AY25" s="303"/>
      <c r="AZ25" s="303"/>
      <c r="BA25" s="303"/>
      <c r="BB25" s="303"/>
      <c r="BC25" s="303"/>
      <c r="BD25" s="303"/>
      <c r="BE25" s="303"/>
      <c r="BF25" s="303"/>
      <c r="BG25" s="303"/>
      <c r="BH25" s="303"/>
      <c r="BI25" s="303"/>
      <c r="BJ25" s="303"/>
      <c r="BK25" s="303"/>
      <c r="BL25" s="303"/>
      <c r="BM25" s="303"/>
      <c r="BN25" s="303"/>
      <c r="BO25" s="303"/>
      <c r="BP25" s="303"/>
      <c r="BQ25" s="303"/>
      <c r="BR25" s="303"/>
      <c r="BS25" s="303"/>
      <c r="BT25" s="303"/>
      <c r="BU25" s="303"/>
      <c r="BV25" s="303"/>
      <c r="BW25" s="303"/>
      <c r="BX25" s="303"/>
      <c r="BY25" s="303"/>
      <c r="BZ25" s="304"/>
    </row>
    <row r="26" spans="1:78">
      <c r="A26" s="281" t="s">
        <v>107</v>
      </c>
      <c r="B26" s="282"/>
      <c r="C26" s="283"/>
      <c r="D26" s="284"/>
      <c r="E26" s="284"/>
      <c r="F26" s="284"/>
      <c r="G26" s="284"/>
      <c r="H26" s="284"/>
      <c r="I26" s="285"/>
      <c r="J26" s="283" t="s">
        <v>108</v>
      </c>
      <c r="K26" s="284"/>
      <c r="L26" s="284"/>
      <c r="M26" s="284"/>
      <c r="N26" s="284"/>
      <c r="O26" s="284"/>
      <c r="P26" s="285"/>
      <c r="Q26" s="286"/>
      <c r="R26" s="279"/>
      <c r="S26" s="279"/>
      <c r="T26" s="279"/>
      <c r="U26" s="279"/>
      <c r="V26" s="279"/>
      <c r="W26" s="279"/>
      <c r="X26" s="279"/>
      <c r="Y26" s="279"/>
      <c r="Z26" s="279"/>
      <c r="AA26" s="293"/>
      <c r="AB26" s="286"/>
      <c r="AC26" s="279"/>
      <c r="AD26" s="279"/>
      <c r="AE26" s="279"/>
      <c r="AF26" s="279"/>
      <c r="AG26" s="279"/>
      <c r="AH26" s="279"/>
      <c r="AI26" s="286"/>
      <c r="AJ26" s="279"/>
      <c r="AK26" s="279"/>
      <c r="AL26" s="279"/>
      <c r="AM26" s="279"/>
      <c r="AN26" s="279"/>
      <c r="AO26" s="279"/>
      <c r="AP26" s="279"/>
      <c r="AQ26" s="279"/>
      <c r="AR26" s="278" t="s">
        <v>150</v>
      </c>
      <c r="AS26" s="279"/>
      <c r="AT26" s="279"/>
      <c r="AU26" s="279"/>
      <c r="AV26" s="279"/>
      <c r="AW26" s="279"/>
      <c r="AX26" s="279"/>
      <c r="AY26" s="279"/>
      <c r="AZ26" s="279"/>
      <c r="BA26" s="279"/>
      <c r="BB26" s="279"/>
      <c r="BC26" s="279"/>
      <c r="BD26" s="279"/>
      <c r="BE26" s="279"/>
      <c r="BF26" s="279"/>
      <c r="BG26" s="279"/>
      <c r="BH26" s="279"/>
      <c r="BI26" s="279"/>
      <c r="BJ26" s="279"/>
      <c r="BK26" s="279"/>
      <c r="BL26" s="279"/>
      <c r="BM26" s="279"/>
      <c r="BN26" s="279"/>
      <c r="BO26" s="279"/>
      <c r="BP26" s="279"/>
      <c r="BQ26" s="279"/>
      <c r="BR26" s="279"/>
      <c r="BS26" s="279"/>
      <c r="BT26" s="279"/>
      <c r="BU26" s="279"/>
      <c r="BV26" s="279"/>
      <c r="BW26" s="279"/>
      <c r="BX26" s="279"/>
      <c r="BY26" s="279"/>
      <c r="BZ26" s="280"/>
    </row>
    <row r="27" spans="1:78" ht="15.75" customHeight="1">
      <c r="A27" s="305">
        <v>4</v>
      </c>
      <c r="B27" s="306"/>
      <c r="C27" s="283" t="s">
        <v>109</v>
      </c>
      <c r="D27" s="284"/>
      <c r="E27" s="284"/>
      <c r="F27" s="284"/>
      <c r="G27" s="284"/>
      <c r="H27" s="284"/>
      <c r="I27" s="285"/>
      <c r="J27" s="149"/>
      <c r="K27" s="307"/>
      <c r="L27" s="307"/>
      <c r="M27" s="307"/>
      <c r="N27" s="307"/>
      <c r="O27" s="307"/>
      <c r="P27" s="308"/>
      <c r="Q27" s="286"/>
      <c r="R27" s="279"/>
      <c r="S27" s="279"/>
      <c r="T27" s="279"/>
      <c r="U27" s="279"/>
      <c r="V27" s="279"/>
      <c r="W27" s="279"/>
      <c r="X27" s="279"/>
      <c r="Y27" s="279"/>
      <c r="Z27" s="279"/>
      <c r="AA27" s="293"/>
      <c r="AB27" s="286"/>
      <c r="AC27" s="279"/>
      <c r="AD27" s="279"/>
      <c r="AE27" s="279"/>
      <c r="AF27" s="279"/>
      <c r="AG27" s="279"/>
      <c r="AH27" s="279"/>
      <c r="AI27" s="286"/>
      <c r="AJ27" s="279"/>
      <c r="AK27" s="279"/>
      <c r="AL27" s="279"/>
      <c r="AM27" s="279"/>
      <c r="AN27" s="279"/>
      <c r="AO27" s="279"/>
      <c r="AP27" s="279"/>
      <c r="AQ27" s="279"/>
      <c r="AR27" s="299" t="s">
        <v>197</v>
      </c>
      <c r="AS27" s="300"/>
      <c r="AT27" s="300"/>
      <c r="AU27" s="300"/>
      <c r="AV27" s="300"/>
      <c r="AW27" s="300"/>
      <c r="AX27" s="300"/>
      <c r="AY27" s="300"/>
      <c r="AZ27" s="300"/>
      <c r="BA27" s="300"/>
      <c r="BB27" s="300"/>
      <c r="BC27" s="300"/>
      <c r="BD27" s="300"/>
      <c r="BE27" s="300"/>
      <c r="BF27" s="300"/>
      <c r="BG27" s="300"/>
      <c r="BH27" s="300"/>
      <c r="BI27" s="300"/>
      <c r="BJ27" s="300"/>
      <c r="BK27" s="300"/>
      <c r="BL27" s="300"/>
      <c r="BM27" s="300"/>
      <c r="BN27" s="300"/>
      <c r="BO27" s="300"/>
      <c r="BP27" s="300"/>
      <c r="BQ27" s="300"/>
      <c r="BR27" s="300"/>
      <c r="BS27" s="300"/>
      <c r="BT27" s="300"/>
      <c r="BU27" s="300"/>
      <c r="BV27" s="300"/>
      <c r="BW27" s="300"/>
      <c r="BX27" s="300"/>
      <c r="BY27" s="300"/>
      <c r="BZ27" s="301"/>
    </row>
    <row r="28" spans="1:7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8"/>
      <c r="BG28" s="138"/>
      <c r="BH28" s="138"/>
      <c r="BI28" s="138"/>
      <c r="BJ28" s="138"/>
      <c r="BK28" s="138"/>
      <c r="BL28" s="138"/>
      <c r="BM28" s="138"/>
      <c r="BN28" s="138"/>
      <c r="BO28" s="138"/>
      <c r="BP28" s="138"/>
      <c r="BQ28" s="138"/>
      <c r="BR28" s="138"/>
      <c r="BS28" s="138"/>
      <c r="BT28" s="138"/>
      <c r="BU28" s="138"/>
      <c r="BV28" s="138"/>
      <c r="BW28" s="138"/>
      <c r="BX28" s="138"/>
      <c r="BY28" s="138"/>
      <c r="BZ28" s="138"/>
    </row>
  </sheetData>
  <mergeCells count="146">
    <mergeCell ref="AR14:BZ14"/>
    <mergeCell ref="AI14:AQ14"/>
    <mergeCell ref="A8:B8"/>
    <mergeCell ref="AB14:AH14"/>
    <mergeCell ref="AB15:AH15"/>
    <mergeCell ref="AB16:AH16"/>
    <mergeCell ref="AB24:AH24"/>
    <mergeCell ref="AB25:AH25"/>
    <mergeCell ref="AB17:AH17"/>
    <mergeCell ref="AB18:AH18"/>
    <mergeCell ref="AR15:BZ15"/>
    <mergeCell ref="Q24:AA24"/>
    <mergeCell ref="AR24:BZ24"/>
    <mergeCell ref="A9:B9"/>
    <mergeCell ref="C9:I9"/>
    <mergeCell ref="K9:P9"/>
    <mergeCell ref="Q9:AA9"/>
    <mergeCell ref="Q14:AA14"/>
    <mergeCell ref="A14:B14"/>
    <mergeCell ref="C14:I14"/>
    <mergeCell ref="K14:P14"/>
    <mergeCell ref="AR8:BZ8"/>
    <mergeCell ref="AB8:AH8"/>
    <mergeCell ref="Q8:AA8"/>
    <mergeCell ref="A1:I1"/>
    <mergeCell ref="A2:P2"/>
    <mergeCell ref="Q2:BZ2"/>
    <mergeCell ref="A3:B4"/>
    <mergeCell ref="C3:P3"/>
    <mergeCell ref="C4:I4"/>
    <mergeCell ref="J4:P4"/>
    <mergeCell ref="Q3:AA4"/>
    <mergeCell ref="Q7:AA7"/>
    <mergeCell ref="AR7:BZ7"/>
    <mergeCell ref="AR3:BZ4"/>
    <mergeCell ref="A7:B7"/>
    <mergeCell ref="C7:I7"/>
    <mergeCell ref="J7:P7"/>
    <mergeCell ref="AB7:AH7"/>
    <mergeCell ref="AB3:AH4"/>
    <mergeCell ref="AI3:AQ4"/>
    <mergeCell ref="AI7:AQ7"/>
    <mergeCell ref="AR9:BZ9"/>
    <mergeCell ref="A10:B10"/>
    <mergeCell ref="J10:P10"/>
    <mergeCell ref="Q10:Z10"/>
    <mergeCell ref="AR10:BZ10"/>
    <mergeCell ref="A13:B13"/>
    <mergeCell ref="J13:P13"/>
    <mergeCell ref="Q13:Z13"/>
    <mergeCell ref="AR13:BZ13"/>
    <mergeCell ref="AB9:AH9"/>
    <mergeCell ref="AB10:AH10"/>
    <mergeCell ref="AB13:AH13"/>
    <mergeCell ref="AR12:BZ12"/>
    <mergeCell ref="AR11:BZ11"/>
    <mergeCell ref="AI8:AQ8"/>
    <mergeCell ref="AI9:AQ9"/>
    <mergeCell ref="AI10:AQ10"/>
    <mergeCell ref="AI13:AQ13"/>
    <mergeCell ref="C8:I8"/>
    <mergeCell ref="J8:P8"/>
    <mergeCell ref="A12:B12"/>
    <mergeCell ref="J12:P12"/>
    <mergeCell ref="Q12:Z12"/>
    <mergeCell ref="AB12:AH12"/>
    <mergeCell ref="AI12:AQ12"/>
    <mergeCell ref="A11:B11"/>
    <mergeCell ref="J11:P11"/>
    <mergeCell ref="Q11:Z11"/>
    <mergeCell ref="AB11:AH11"/>
    <mergeCell ref="AI11:AQ11"/>
    <mergeCell ref="AR17:BZ17"/>
    <mergeCell ref="AI16:AQ16"/>
    <mergeCell ref="AI17:AQ17"/>
    <mergeCell ref="AI18:AQ18"/>
    <mergeCell ref="AI15:AQ15"/>
    <mergeCell ref="A16:B16"/>
    <mergeCell ref="J16:P16"/>
    <mergeCell ref="Q16:Z16"/>
    <mergeCell ref="AR16:BZ16"/>
    <mergeCell ref="A15:B15"/>
    <mergeCell ref="J15:P15"/>
    <mergeCell ref="AR27:BZ27"/>
    <mergeCell ref="Q25:AA25"/>
    <mergeCell ref="A25:B25"/>
    <mergeCell ref="C25:I25"/>
    <mergeCell ref="J25:P25"/>
    <mergeCell ref="AR25:BZ25"/>
    <mergeCell ref="Q26:AA26"/>
    <mergeCell ref="AR26:BZ26"/>
    <mergeCell ref="A26:B26"/>
    <mergeCell ref="C26:I26"/>
    <mergeCell ref="J26:P26"/>
    <mergeCell ref="Q27:AA27"/>
    <mergeCell ref="A27:B27"/>
    <mergeCell ref="C27:I27"/>
    <mergeCell ref="K27:P27"/>
    <mergeCell ref="AB26:AH26"/>
    <mergeCell ref="AB27:AH27"/>
    <mergeCell ref="AI25:AQ25"/>
    <mergeCell ref="AI26:AQ26"/>
    <mergeCell ref="AI27:AQ27"/>
    <mergeCell ref="A24:B24"/>
    <mergeCell ref="C24:I24"/>
    <mergeCell ref="J24:P24"/>
    <mergeCell ref="AI24:AQ24"/>
    <mergeCell ref="A21:B21"/>
    <mergeCell ref="J21:P21"/>
    <mergeCell ref="A20:B20"/>
    <mergeCell ref="J20:P20"/>
    <mergeCell ref="A19:B19"/>
    <mergeCell ref="J19:P19"/>
    <mergeCell ref="A23:B23"/>
    <mergeCell ref="J23:P23"/>
    <mergeCell ref="AI20:AQ20"/>
    <mergeCell ref="AI21:AQ21"/>
    <mergeCell ref="AI22:AQ22"/>
    <mergeCell ref="AI23:AQ23"/>
    <mergeCell ref="AB21:AH21"/>
    <mergeCell ref="AB22:AH22"/>
    <mergeCell ref="AB23:AH23"/>
    <mergeCell ref="AR23:BZ23"/>
    <mergeCell ref="A22:B22"/>
    <mergeCell ref="J22:P22"/>
    <mergeCell ref="AR22:BZ22"/>
    <mergeCell ref="AI19:AQ19"/>
    <mergeCell ref="A5:B5"/>
    <mergeCell ref="C5:I5"/>
    <mergeCell ref="J5:P5"/>
    <mergeCell ref="Q5:AA5"/>
    <mergeCell ref="AB5:AH5"/>
    <mergeCell ref="AI5:AQ5"/>
    <mergeCell ref="AR5:BZ5"/>
    <mergeCell ref="A6:B6"/>
    <mergeCell ref="C6:I6"/>
    <mergeCell ref="J6:P6"/>
    <mergeCell ref="Q6:AA6"/>
    <mergeCell ref="AB6:AH6"/>
    <mergeCell ref="AI6:AQ6"/>
    <mergeCell ref="AR6:BZ6"/>
    <mergeCell ref="Q15:Z15"/>
    <mergeCell ref="A18:B18"/>
    <mergeCell ref="J18:P18"/>
    <mergeCell ref="A17:B17"/>
    <mergeCell ref="J17:P17"/>
  </mergeCells>
  <phoneticPr fontId="53"/>
  <conditionalFormatting sqref="Q5:Q27 AB5:AB27 AI5:AI27 AR5:AR27">
    <cfRule type="expression" dxfId="0" priority="19" stopIfTrue="1">
      <formula>FIND("○",#REF!)</formula>
    </cfRule>
  </conditionalFormatting>
  <dataValidations count="4">
    <dataValidation type="list" allowBlank="1" showInputMessage="1" showErrorMessage="1" sqref="U65543:X65543 IM65543:IP65543 SI65543:SL65543 ACE65543:ACH65543 AMA65543:AMD65543 AVW65543:AVZ65543 BFS65543:BFV65543 BPO65543:BPR65543 BZK65543:BZN65543 CJG65543:CJJ65543 CTC65543:CTF65543 DCY65543:DDB65543 DMU65543:DMX65543 DWQ65543:DWT65543 EGM65543:EGP65543 EQI65543:EQL65543 FAE65543:FAH65543 FKA65543:FKD65543 FTW65543:FTZ65543 GDS65543:GDV65543 GNO65543:GNR65543 GXK65543:GXN65543 HHG65543:HHJ65543 HRC65543:HRF65543 IAY65543:IBB65543 IKU65543:IKX65543 IUQ65543:IUT65543 JEM65543:JEP65543 JOI65543:JOL65543 JYE65543:JYH65543 KIA65543:KID65543 KRW65543:KRZ65543 LBS65543:LBV65543 LLO65543:LLR65543 LVK65543:LVN65543 MFG65543:MFJ65543 MPC65543:MPF65543 MYY65543:MZB65543 NIU65543:NIX65543 NSQ65543:NST65543 OCM65543:OCP65543 OMI65543:OML65543 OWE65543:OWH65543 PGA65543:PGD65543 PPW65543:PPZ65543 PZS65543:PZV65543 QJO65543:QJR65543 QTK65543:QTN65543 RDG65543:RDJ65543 RNC65543:RNF65543 RWY65543:RXB65543 SGU65543:SGX65543 SQQ65543:SQT65543 TAM65543:TAP65543 TKI65543:TKL65543 TUE65543:TUH65543 UEA65543:UED65543 UNW65543:UNZ65543 UXS65543:UXV65543 VHO65543:VHR65543 VRK65543:VRN65543 WBG65543:WBJ65543 WLC65543:WLF65543 WUY65543:WVB65543 U131079:X131079 IM131079:IP131079 SI131079:SL131079 ACE131079:ACH131079 AMA131079:AMD131079 AVW131079:AVZ131079 BFS131079:BFV131079 BPO131079:BPR131079 BZK131079:BZN131079 CJG131079:CJJ131079 CTC131079:CTF131079 DCY131079:DDB131079 DMU131079:DMX131079 DWQ131079:DWT131079 EGM131079:EGP131079 EQI131079:EQL131079 FAE131079:FAH131079 FKA131079:FKD131079 FTW131079:FTZ131079 GDS131079:GDV131079 GNO131079:GNR131079 GXK131079:GXN131079 HHG131079:HHJ131079 HRC131079:HRF131079 IAY131079:IBB131079 IKU131079:IKX131079 IUQ131079:IUT131079 JEM131079:JEP131079 JOI131079:JOL131079 JYE131079:JYH131079 KIA131079:KID131079 KRW131079:KRZ131079 LBS131079:LBV131079 LLO131079:LLR131079 LVK131079:LVN131079 MFG131079:MFJ131079 MPC131079:MPF131079 MYY131079:MZB131079 NIU131079:NIX131079 NSQ131079:NST131079 OCM131079:OCP131079 OMI131079:OML131079 OWE131079:OWH131079 PGA131079:PGD131079 PPW131079:PPZ131079 PZS131079:PZV131079 QJO131079:QJR131079 QTK131079:QTN131079 RDG131079:RDJ131079 RNC131079:RNF131079 RWY131079:RXB131079 SGU131079:SGX131079 SQQ131079:SQT131079 TAM131079:TAP131079 TKI131079:TKL131079 TUE131079:TUH131079 UEA131079:UED131079 UNW131079:UNZ131079 UXS131079:UXV131079 VHO131079:VHR131079 VRK131079:VRN131079 WBG131079:WBJ131079 WLC131079:WLF131079 WUY131079:WVB131079 U196615:X196615 IM196615:IP196615 SI196615:SL196615 ACE196615:ACH196615 AMA196615:AMD196615 AVW196615:AVZ196615 BFS196615:BFV196615 BPO196615:BPR196615 BZK196615:BZN196615 CJG196615:CJJ196615 CTC196615:CTF196615 DCY196615:DDB196615 DMU196615:DMX196615 DWQ196615:DWT196615 EGM196615:EGP196615 EQI196615:EQL196615 FAE196615:FAH196615 FKA196615:FKD196615 FTW196615:FTZ196615 GDS196615:GDV196615 GNO196615:GNR196615 GXK196615:GXN196615 HHG196615:HHJ196615 HRC196615:HRF196615 IAY196615:IBB196615 IKU196615:IKX196615 IUQ196615:IUT196615 JEM196615:JEP196615 JOI196615:JOL196615 JYE196615:JYH196615 KIA196615:KID196615 KRW196615:KRZ196615 LBS196615:LBV196615 LLO196615:LLR196615 LVK196615:LVN196615 MFG196615:MFJ196615 MPC196615:MPF196615 MYY196615:MZB196615 NIU196615:NIX196615 NSQ196615:NST196615 OCM196615:OCP196615 OMI196615:OML196615 OWE196615:OWH196615 PGA196615:PGD196615 PPW196615:PPZ196615 PZS196615:PZV196615 QJO196615:QJR196615 QTK196615:QTN196615 RDG196615:RDJ196615 RNC196615:RNF196615 RWY196615:RXB196615 SGU196615:SGX196615 SQQ196615:SQT196615 TAM196615:TAP196615 TKI196615:TKL196615 TUE196615:TUH196615 UEA196615:UED196615 UNW196615:UNZ196615 UXS196615:UXV196615 VHO196615:VHR196615 VRK196615:VRN196615 WBG196615:WBJ196615 WLC196615:WLF196615 WUY196615:WVB196615 U262151:X262151 IM262151:IP262151 SI262151:SL262151 ACE262151:ACH262151 AMA262151:AMD262151 AVW262151:AVZ262151 BFS262151:BFV262151 BPO262151:BPR262151 BZK262151:BZN262151 CJG262151:CJJ262151 CTC262151:CTF262151 DCY262151:DDB262151 DMU262151:DMX262151 DWQ262151:DWT262151 EGM262151:EGP262151 EQI262151:EQL262151 FAE262151:FAH262151 FKA262151:FKD262151 FTW262151:FTZ262151 GDS262151:GDV262151 GNO262151:GNR262151 GXK262151:GXN262151 HHG262151:HHJ262151 HRC262151:HRF262151 IAY262151:IBB262151 IKU262151:IKX262151 IUQ262151:IUT262151 JEM262151:JEP262151 JOI262151:JOL262151 JYE262151:JYH262151 KIA262151:KID262151 KRW262151:KRZ262151 LBS262151:LBV262151 LLO262151:LLR262151 LVK262151:LVN262151 MFG262151:MFJ262151 MPC262151:MPF262151 MYY262151:MZB262151 NIU262151:NIX262151 NSQ262151:NST262151 OCM262151:OCP262151 OMI262151:OML262151 OWE262151:OWH262151 PGA262151:PGD262151 PPW262151:PPZ262151 PZS262151:PZV262151 QJO262151:QJR262151 QTK262151:QTN262151 RDG262151:RDJ262151 RNC262151:RNF262151 RWY262151:RXB262151 SGU262151:SGX262151 SQQ262151:SQT262151 TAM262151:TAP262151 TKI262151:TKL262151 TUE262151:TUH262151 UEA262151:UED262151 UNW262151:UNZ262151 UXS262151:UXV262151 VHO262151:VHR262151 VRK262151:VRN262151 WBG262151:WBJ262151 WLC262151:WLF262151 WUY262151:WVB262151 U327687:X327687 IM327687:IP327687 SI327687:SL327687 ACE327687:ACH327687 AMA327687:AMD327687 AVW327687:AVZ327687 BFS327687:BFV327687 BPO327687:BPR327687 BZK327687:BZN327687 CJG327687:CJJ327687 CTC327687:CTF327687 DCY327687:DDB327687 DMU327687:DMX327687 DWQ327687:DWT327687 EGM327687:EGP327687 EQI327687:EQL327687 FAE327687:FAH327687 FKA327687:FKD327687 FTW327687:FTZ327687 GDS327687:GDV327687 GNO327687:GNR327687 GXK327687:GXN327687 HHG327687:HHJ327687 HRC327687:HRF327687 IAY327687:IBB327687 IKU327687:IKX327687 IUQ327687:IUT327687 JEM327687:JEP327687 JOI327687:JOL327687 JYE327687:JYH327687 KIA327687:KID327687 KRW327687:KRZ327687 LBS327687:LBV327687 LLO327687:LLR327687 LVK327687:LVN327687 MFG327687:MFJ327687 MPC327687:MPF327687 MYY327687:MZB327687 NIU327687:NIX327687 NSQ327687:NST327687 OCM327687:OCP327687 OMI327687:OML327687 OWE327687:OWH327687 PGA327687:PGD327687 PPW327687:PPZ327687 PZS327687:PZV327687 QJO327687:QJR327687 QTK327687:QTN327687 RDG327687:RDJ327687 RNC327687:RNF327687 RWY327687:RXB327687 SGU327687:SGX327687 SQQ327687:SQT327687 TAM327687:TAP327687 TKI327687:TKL327687 TUE327687:TUH327687 UEA327687:UED327687 UNW327687:UNZ327687 UXS327687:UXV327687 VHO327687:VHR327687 VRK327687:VRN327687 WBG327687:WBJ327687 WLC327687:WLF327687 WUY327687:WVB327687 U393223:X393223 IM393223:IP393223 SI393223:SL393223 ACE393223:ACH393223 AMA393223:AMD393223 AVW393223:AVZ393223 BFS393223:BFV393223 BPO393223:BPR393223 BZK393223:BZN393223 CJG393223:CJJ393223 CTC393223:CTF393223 DCY393223:DDB393223 DMU393223:DMX393223 DWQ393223:DWT393223 EGM393223:EGP393223 EQI393223:EQL393223 FAE393223:FAH393223 FKA393223:FKD393223 FTW393223:FTZ393223 GDS393223:GDV393223 GNO393223:GNR393223 GXK393223:GXN393223 HHG393223:HHJ393223 HRC393223:HRF393223 IAY393223:IBB393223 IKU393223:IKX393223 IUQ393223:IUT393223 JEM393223:JEP393223 JOI393223:JOL393223 JYE393223:JYH393223 KIA393223:KID393223 KRW393223:KRZ393223 LBS393223:LBV393223 LLO393223:LLR393223 LVK393223:LVN393223 MFG393223:MFJ393223 MPC393223:MPF393223 MYY393223:MZB393223 NIU393223:NIX393223 NSQ393223:NST393223 OCM393223:OCP393223 OMI393223:OML393223 OWE393223:OWH393223 PGA393223:PGD393223 PPW393223:PPZ393223 PZS393223:PZV393223 QJO393223:QJR393223 QTK393223:QTN393223 RDG393223:RDJ393223 RNC393223:RNF393223 RWY393223:RXB393223 SGU393223:SGX393223 SQQ393223:SQT393223 TAM393223:TAP393223 TKI393223:TKL393223 TUE393223:TUH393223 UEA393223:UED393223 UNW393223:UNZ393223 UXS393223:UXV393223 VHO393223:VHR393223 VRK393223:VRN393223 WBG393223:WBJ393223 WLC393223:WLF393223 WUY393223:WVB393223 U458759:X458759 IM458759:IP458759 SI458759:SL458759 ACE458759:ACH458759 AMA458759:AMD458759 AVW458759:AVZ458759 BFS458759:BFV458759 BPO458759:BPR458759 BZK458759:BZN458759 CJG458759:CJJ458759 CTC458759:CTF458759 DCY458759:DDB458759 DMU458759:DMX458759 DWQ458759:DWT458759 EGM458759:EGP458759 EQI458759:EQL458759 FAE458759:FAH458759 FKA458759:FKD458759 FTW458759:FTZ458759 GDS458759:GDV458759 GNO458759:GNR458759 GXK458759:GXN458759 HHG458759:HHJ458759 HRC458759:HRF458759 IAY458759:IBB458759 IKU458759:IKX458759 IUQ458759:IUT458759 JEM458759:JEP458759 JOI458759:JOL458759 JYE458759:JYH458759 KIA458759:KID458759 KRW458759:KRZ458759 LBS458759:LBV458759 LLO458759:LLR458759 LVK458759:LVN458759 MFG458759:MFJ458759 MPC458759:MPF458759 MYY458759:MZB458759 NIU458759:NIX458759 NSQ458759:NST458759 OCM458759:OCP458759 OMI458759:OML458759 OWE458759:OWH458759 PGA458759:PGD458759 PPW458759:PPZ458759 PZS458759:PZV458759 QJO458759:QJR458759 QTK458759:QTN458759 RDG458759:RDJ458759 RNC458759:RNF458759 RWY458759:RXB458759 SGU458759:SGX458759 SQQ458759:SQT458759 TAM458759:TAP458759 TKI458759:TKL458759 TUE458759:TUH458759 UEA458759:UED458759 UNW458759:UNZ458759 UXS458759:UXV458759 VHO458759:VHR458759 VRK458759:VRN458759 WBG458759:WBJ458759 WLC458759:WLF458759 WUY458759:WVB458759 U524295:X524295 IM524295:IP524295 SI524295:SL524295 ACE524295:ACH524295 AMA524295:AMD524295 AVW524295:AVZ524295 BFS524295:BFV524295 BPO524295:BPR524295 BZK524295:BZN524295 CJG524295:CJJ524295 CTC524295:CTF524295 DCY524295:DDB524295 DMU524295:DMX524295 DWQ524295:DWT524295 EGM524295:EGP524295 EQI524295:EQL524295 FAE524295:FAH524295 FKA524295:FKD524295 FTW524295:FTZ524295 GDS524295:GDV524295 GNO524295:GNR524295 GXK524295:GXN524295 HHG524295:HHJ524295 HRC524295:HRF524295 IAY524295:IBB524295 IKU524295:IKX524295 IUQ524295:IUT524295 JEM524295:JEP524295 JOI524295:JOL524295 JYE524295:JYH524295 KIA524295:KID524295 KRW524295:KRZ524295 LBS524295:LBV524295 LLO524295:LLR524295 LVK524295:LVN524295 MFG524295:MFJ524295 MPC524295:MPF524295 MYY524295:MZB524295 NIU524295:NIX524295 NSQ524295:NST524295 OCM524295:OCP524295 OMI524295:OML524295 OWE524295:OWH524295 PGA524295:PGD524295 PPW524295:PPZ524295 PZS524295:PZV524295 QJO524295:QJR524295 QTK524295:QTN524295 RDG524295:RDJ524295 RNC524295:RNF524295 RWY524295:RXB524295 SGU524295:SGX524295 SQQ524295:SQT524295 TAM524295:TAP524295 TKI524295:TKL524295 TUE524295:TUH524295 UEA524295:UED524295 UNW524295:UNZ524295 UXS524295:UXV524295 VHO524295:VHR524295 VRK524295:VRN524295 WBG524295:WBJ524295 WLC524295:WLF524295 WUY524295:WVB524295 U589831:X589831 IM589831:IP589831 SI589831:SL589831 ACE589831:ACH589831 AMA589831:AMD589831 AVW589831:AVZ589831 BFS589831:BFV589831 BPO589831:BPR589831 BZK589831:BZN589831 CJG589831:CJJ589831 CTC589831:CTF589831 DCY589831:DDB589831 DMU589831:DMX589831 DWQ589831:DWT589831 EGM589831:EGP589831 EQI589831:EQL589831 FAE589831:FAH589831 FKA589831:FKD589831 FTW589831:FTZ589831 GDS589831:GDV589831 GNO589831:GNR589831 GXK589831:GXN589831 HHG589831:HHJ589831 HRC589831:HRF589831 IAY589831:IBB589831 IKU589831:IKX589831 IUQ589831:IUT589831 JEM589831:JEP589831 JOI589831:JOL589831 JYE589831:JYH589831 KIA589831:KID589831 KRW589831:KRZ589831 LBS589831:LBV589831 LLO589831:LLR589831 LVK589831:LVN589831 MFG589831:MFJ589831 MPC589831:MPF589831 MYY589831:MZB589831 NIU589831:NIX589831 NSQ589831:NST589831 OCM589831:OCP589831 OMI589831:OML589831 OWE589831:OWH589831 PGA589831:PGD589831 PPW589831:PPZ589831 PZS589831:PZV589831 QJO589831:QJR589831 QTK589831:QTN589831 RDG589831:RDJ589831 RNC589831:RNF589831 RWY589831:RXB589831 SGU589831:SGX589831 SQQ589831:SQT589831 TAM589831:TAP589831 TKI589831:TKL589831 TUE589831:TUH589831 UEA589831:UED589831 UNW589831:UNZ589831 UXS589831:UXV589831 VHO589831:VHR589831 VRK589831:VRN589831 WBG589831:WBJ589831 WLC589831:WLF589831 WUY589831:WVB589831 U655367:X655367 IM655367:IP655367 SI655367:SL655367 ACE655367:ACH655367 AMA655367:AMD655367 AVW655367:AVZ655367 BFS655367:BFV655367 BPO655367:BPR655367 BZK655367:BZN655367 CJG655367:CJJ655367 CTC655367:CTF655367 DCY655367:DDB655367 DMU655367:DMX655367 DWQ655367:DWT655367 EGM655367:EGP655367 EQI655367:EQL655367 FAE655367:FAH655367 FKA655367:FKD655367 FTW655367:FTZ655367 GDS655367:GDV655367 GNO655367:GNR655367 GXK655367:GXN655367 HHG655367:HHJ655367 HRC655367:HRF655367 IAY655367:IBB655367 IKU655367:IKX655367 IUQ655367:IUT655367 JEM655367:JEP655367 JOI655367:JOL655367 JYE655367:JYH655367 KIA655367:KID655367 KRW655367:KRZ655367 LBS655367:LBV655367 LLO655367:LLR655367 LVK655367:LVN655367 MFG655367:MFJ655367 MPC655367:MPF655367 MYY655367:MZB655367 NIU655367:NIX655367 NSQ655367:NST655367 OCM655367:OCP655367 OMI655367:OML655367 OWE655367:OWH655367 PGA655367:PGD655367 PPW655367:PPZ655367 PZS655367:PZV655367 QJO655367:QJR655367 QTK655367:QTN655367 RDG655367:RDJ655367 RNC655367:RNF655367 RWY655367:RXB655367 SGU655367:SGX655367 SQQ655367:SQT655367 TAM655367:TAP655367 TKI655367:TKL655367 TUE655367:TUH655367 UEA655367:UED655367 UNW655367:UNZ655367 UXS655367:UXV655367 VHO655367:VHR655367 VRK655367:VRN655367 WBG655367:WBJ655367 WLC655367:WLF655367 WUY655367:WVB655367 U720903:X720903 IM720903:IP720903 SI720903:SL720903 ACE720903:ACH720903 AMA720903:AMD720903 AVW720903:AVZ720903 BFS720903:BFV720903 BPO720903:BPR720903 BZK720903:BZN720903 CJG720903:CJJ720903 CTC720903:CTF720903 DCY720903:DDB720903 DMU720903:DMX720903 DWQ720903:DWT720903 EGM720903:EGP720903 EQI720903:EQL720903 FAE720903:FAH720903 FKA720903:FKD720903 FTW720903:FTZ720903 GDS720903:GDV720903 GNO720903:GNR720903 GXK720903:GXN720903 HHG720903:HHJ720903 HRC720903:HRF720903 IAY720903:IBB720903 IKU720903:IKX720903 IUQ720903:IUT720903 JEM720903:JEP720903 JOI720903:JOL720903 JYE720903:JYH720903 KIA720903:KID720903 KRW720903:KRZ720903 LBS720903:LBV720903 LLO720903:LLR720903 LVK720903:LVN720903 MFG720903:MFJ720903 MPC720903:MPF720903 MYY720903:MZB720903 NIU720903:NIX720903 NSQ720903:NST720903 OCM720903:OCP720903 OMI720903:OML720903 OWE720903:OWH720903 PGA720903:PGD720903 PPW720903:PPZ720903 PZS720903:PZV720903 QJO720903:QJR720903 QTK720903:QTN720903 RDG720903:RDJ720903 RNC720903:RNF720903 RWY720903:RXB720903 SGU720903:SGX720903 SQQ720903:SQT720903 TAM720903:TAP720903 TKI720903:TKL720903 TUE720903:TUH720903 UEA720903:UED720903 UNW720903:UNZ720903 UXS720903:UXV720903 VHO720903:VHR720903 VRK720903:VRN720903 WBG720903:WBJ720903 WLC720903:WLF720903 WUY720903:WVB720903 U786439:X786439 IM786439:IP786439 SI786439:SL786439 ACE786439:ACH786439 AMA786439:AMD786439 AVW786439:AVZ786439 BFS786439:BFV786439 BPO786439:BPR786439 BZK786439:BZN786439 CJG786439:CJJ786439 CTC786439:CTF786439 DCY786439:DDB786439 DMU786439:DMX786439 DWQ786439:DWT786439 EGM786439:EGP786439 EQI786439:EQL786439 FAE786439:FAH786439 FKA786439:FKD786439 FTW786439:FTZ786439 GDS786439:GDV786439 GNO786439:GNR786439 GXK786439:GXN786439 HHG786439:HHJ786439 HRC786439:HRF786439 IAY786439:IBB786439 IKU786439:IKX786439 IUQ786439:IUT786439 JEM786439:JEP786439 JOI786439:JOL786439 JYE786439:JYH786439 KIA786439:KID786439 KRW786439:KRZ786439 LBS786439:LBV786439 LLO786439:LLR786439 LVK786439:LVN786439 MFG786439:MFJ786439 MPC786439:MPF786439 MYY786439:MZB786439 NIU786439:NIX786439 NSQ786439:NST786439 OCM786439:OCP786439 OMI786439:OML786439 OWE786439:OWH786439 PGA786439:PGD786439 PPW786439:PPZ786439 PZS786439:PZV786439 QJO786439:QJR786439 QTK786439:QTN786439 RDG786439:RDJ786439 RNC786439:RNF786439 RWY786439:RXB786439 SGU786439:SGX786439 SQQ786439:SQT786439 TAM786439:TAP786439 TKI786439:TKL786439 TUE786439:TUH786439 UEA786439:UED786439 UNW786439:UNZ786439 UXS786439:UXV786439 VHO786439:VHR786439 VRK786439:VRN786439 WBG786439:WBJ786439 WLC786439:WLF786439 WUY786439:WVB786439 U851975:X851975 IM851975:IP851975 SI851975:SL851975 ACE851975:ACH851975 AMA851975:AMD851975 AVW851975:AVZ851975 BFS851975:BFV851975 BPO851975:BPR851975 BZK851975:BZN851975 CJG851975:CJJ851975 CTC851975:CTF851975 DCY851975:DDB851975 DMU851975:DMX851975 DWQ851975:DWT851975 EGM851975:EGP851975 EQI851975:EQL851975 FAE851975:FAH851975 FKA851975:FKD851975 FTW851975:FTZ851975 GDS851975:GDV851975 GNO851975:GNR851975 GXK851975:GXN851975 HHG851975:HHJ851975 HRC851975:HRF851975 IAY851975:IBB851975 IKU851975:IKX851975 IUQ851975:IUT851975 JEM851975:JEP851975 JOI851975:JOL851975 JYE851975:JYH851975 KIA851975:KID851975 KRW851975:KRZ851975 LBS851975:LBV851975 LLO851975:LLR851975 LVK851975:LVN851975 MFG851975:MFJ851975 MPC851975:MPF851975 MYY851975:MZB851975 NIU851975:NIX851975 NSQ851975:NST851975 OCM851975:OCP851975 OMI851975:OML851975 OWE851975:OWH851975 PGA851975:PGD851975 PPW851975:PPZ851975 PZS851975:PZV851975 QJO851975:QJR851975 QTK851975:QTN851975 RDG851975:RDJ851975 RNC851975:RNF851975 RWY851975:RXB851975 SGU851975:SGX851975 SQQ851975:SQT851975 TAM851975:TAP851975 TKI851975:TKL851975 TUE851975:TUH851975 UEA851975:UED851975 UNW851975:UNZ851975 UXS851975:UXV851975 VHO851975:VHR851975 VRK851975:VRN851975 WBG851975:WBJ851975 WLC851975:WLF851975 WUY851975:WVB851975 U917511:X917511 IM917511:IP917511 SI917511:SL917511 ACE917511:ACH917511 AMA917511:AMD917511 AVW917511:AVZ917511 BFS917511:BFV917511 BPO917511:BPR917511 BZK917511:BZN917511 CJG917511:CJJ917511 CTC917511:CTF917511 DCY917511:DDB917511 DMU917511:DMX917511 DWQ917511:DWT917511 EGM917511:EGP917511 EQI917511:EQL917511 FAE917511:FAH917511 FKA917511:FKD917511 FTW917511:FTZ917511 GDS917511:GDV917511 GNO917511:GNR917511 GXK917511:GXN917511 HHG917511:HHJ917511 HRC917511:HRF917511 IAY917511:IBB917511 IKU917511:IKX917511 IUQ917511:IUT917511 JEM917511:JEP917511 JOI917511:JOL917511 JYE917511:JYH917511 KIA917511:KID917511 KRW917511:KRZ917511 LBS917511:LBV917511 LLO917511:LLR917511 LVK917511:LVN917511 MFG917511:MFJ917511 MPC917511:MPF917511 MYY917511:MZB917511 NIU917511:NIX917511 NSQ917511:NST917511 OCM917511:OCP917511 OMI917511:OML917511 OWE917511:OWH917511 PGA917511:PGD917511 PPW917511:PPZ917511 PZS917511:PZV917511 QJO917511:QJR917511 QTK917511:QTN917511 RDG917511:RDJ917511 RNC917511:RNF917511 RWY917511:RXB917511 SGU917511:SGX917511 SQQ917511:SQT917511 TAM917511:TAP917511 TKI917511:TKL917511 TUE917511:TUH917511 UEA917511:UED917511 UNW917511:UNZ917511 UXS917511:UXV917511 VHO917511:VHR917511 VRK917511:VRN917511 WBG917511:WBJ917511 WLC917511:WLF917511 WUY917511:WVB917511 U983047:X983047 IM983047:IP983047 SI983047:SL983047 ACE983047:ACH983047 AMA983047:AMD983047 AVW983047:AVZ983047 BFS983047:BFV983047 BPO983047:BPR983047 BZK983047:BZN983047 CJG983047:CJJ983047 CTC983047:CTF983047 DCY983047:DDB983047 DMU983047:DMX983047 DWQ983047:DWT983047 EGM983047:EGP983047 EQI983047:EQL983047 FAE983047:FAH983047 FKA983047:FKD983047 FTW983047:FTZ983047 GDS983047:GDV983047 GNO983047:GNR983047 GXK983047:GXN983047 HHG983047:HHJ983047 HRC983047:HRF983047 IAY983047:IBB983047 IKU983047:IKX983047 IUQ983047:IUT983047 JEM983047:JEP983047 JOI983047:JOL983047 JYE983047:JYH983047 KIA983047:KID983047 KRW983047:KRZ983047 LBS983047:LBV983047 LLO983047:LLR983047 LVK983047:LVN983047 MFG983047:MFJ983047 MPC983047:MPF983047 MYY983047:MZB983047 NIU983047:NIX983047 NSQ983047:NST983047 OCM983047:OCP983047 OMI983047:OML983047 OWE983047:OWH983047 PGA983047:PGD983047 PPW983047:PPZ983047 PZS983047:PZV983047 QJO983047:QJR983047 QTK983047:QTN983047 RDG983047:RDJ983047 RNC983047:RNF983047 RWY983047:RXB983047 SGU983047:SGX983047 SQQ983047:SQT983047 TAM983047:TAP983047 TKI983047:TKL983047 TUE983047:TUH983047 UEA983047:UED983047 UNW983047:UNZ983047 UXS983047:UXV983047 VHO983047:VHR983047 VRK983047:VRN983047 WBG983047:WBJ983047 WLC983047:WLF983047 WUY983047:WVB983047 IH983046:IK983046 SD983046:SG983046 ABZ983046:ACC983046 ALV983046:ALY983046 AVR983046:AVU983046 BFN983046:BFQ983046 BPJ983046:BPM983046 BZF983046:BZI983046 CJB983046:CJE983046 CSX983046:CTA983046 DCT983046:DCW983046 DMP983046:DMS983046 DWL983046:DWO983046 EGH983046:EGK983046 EQD983046:EQG983046 EZZ983046:FAC983046 FJV983046:FJY983046 FTR983046:FTU983046 GDN983046:GDQ983046 GNJ983046:GNM983046 GXF983046:GXI983046 HHB983046:HHE983046 HQX983046:HRA983046 IAT983046:IAW983046 IKP983046:IKS983046 IUL983046:IUO983046 JEH983046:JEK983046 JOD983046:JOG983046 JXZ983046:JYC983046 KHV983046:KHY983046 KRR983046:KRU983046 LBN983046:LBQ983046 LLJ983046:LLM983046 LVF983046:LVI983046 MFB983046:MFE983046 MOX983046:MPA983046 MYT983046:MYW983046 NIP983046:NIS983046 NSL983046:NSO983046 OCH983046:OCK983046 OMD983046:OMG983046 OVZ983046:OWC983046 PFV983046:PFY983046 PPR983046:PPU983046 PZN983046:PZQ983046 QJJ983046:QJM983046 QTF983046:QTI983046 RDB983046:RDE983046 RMX983046:RNA983046 RWT983046:RWW983046 SGP983046:SGS983046 SQL983046:SQO983046 TAH983046:TAK983046 TKD983046:TKG983046 TTZ983046:TUC983046 UDV983046:UDY983046 UNR983046:UNU983046 UXN983046:UXQ983046 VHJ983046:VHM983046 VRF983046:VRI983046 WBB983046:WBE983046 WKX983046:WLA983046 WUT983046:WUW983046 IH65542:IK65542 SD65542:SG65542 ABZ65542:ACC65542 ALV65542:ALY65542 AVR65542:AVU65542 BFN65542:BFQ65542 BPJ65542:BPM65542 BZF65542:BZI65542 CJB65542:CJE65542 CSX65542:CTA65542 DCT65542:DCW65542 DMP65542:DMS65542 DWL65542:DWO65542 EGH65542:EGK65542 EQD65542:EQG65542 EZZ65542:FAC65542 FJV65542:FJY65542 FTR65542:FTU65542 GDN65542:GDQ65542 GNJ65542:GNM65542 GXF65542:GXI65542 HHB65542:HHE65542 HQX65542:HRA65542 IAT65542:IAW65542 IKP65542:IKS65542 IUL65542:IUO65542 JEH65542:JEK65542 JOD65542:JOG65542 JXZ65542:JYC65542 KHV65542:KHY65542 KRR65542:KRU65542 LBN65542:LBQ65542 LLJ65542:LLM65542 LVF65542:LVI65542 MFB65542:MFE65542 MOX65542:MPA65542 MYT65542:MYW65542 NIP65542:NIS65542 NSL65542:NSO65542 OCH65542:OCK65542 OMD65542:OMG65542 OVZ65542:OWC65542 PFV65542:PFY65542 PPR65542:PPU65542 PZN65542:PZQ65542 QJJ65542:QJM65542 QTF65542:QTI65542 RDB65542:RDE65542 RMX65542:RNA65542 RWT65542:RWW65542 SGP65542:SGS65542 SQL65542:SQO65542 TAH65542:TAK65542 TKD65542:TKG65542 TTZ65542:TUC65542 UDV65542:UDY65542 UNR65542:UNU65542 UXN65542:UXQ65542 VHJ65542:VHM65542 VRF65542:VRI65542 WBB65542:WBE65542 WKX65542:WLA65542 WUT65542:WUW65542 IH131078:IK131078 SD131078:SG131078 ABZ131078:ACC131078 ALV131078:ALY131078 AVR131078:AVU131078 BFN131078:BFQ131078 BPJ131078:BPM131078 BZF131078:BZI131078 CJB131078:CJE131078 CSX131078:CTA131078 DCT131078:DCW131078 DMP131078:DMS131078 DWL131078:DWO131078 EGH131078:EGK131078 EQD131078:EQG131078 EZZ131078:FAC131078 FJV131078:FJY131078 FTR131078:FTU131078 GDN131078:GDQ131078 GNJ131078:GNM131078 GXF131078:GXI131078 HHB131078:HHE131078 HQX131078:HRA131078 IAT131078:IAW131078 IKP131078:IKS131078 IUL131078:IUO131078 JEH131078:JEK131078 JOD131078:JOG131078 JXZ131078:JYC131078 KHV131078:KHY131078 KRR131078:KRU131078 LBN131078:LBQ131078 LLJ131078:LLM131078 LVF131078:LVI131078 MFB131078:MFE131078 MOX131078:MPA131078 MYT131078:MYW131078 NIP131078:NIS131078 NSL131078:NSO131078 OCH131078:OCK131078 OMD131078:OMG131078 OVZ131078:OWC131078 PFV131078:PFY131078 PPR131078:PPU131078 PZN131078:PZQ131078 QJJ131078:QJM131078 QTF131078:QTI131078 RDB131078:RDE131078 RMX131078:RNA131078 RWT131078:RWW131078 SGP131078:SGS131078 SQL131078:SQO131078 TAH131078:TAK131078 TKD131078:TKG131078 TTZ131078:TUC131078 UDV131078:UDY131078 UNR131078:UNU131078 UXN131078:UXQ131078 VHJ131078:VHM131078 VRF131078:VRI131078 WBB131078:WBE131078 WKX131078:WLA131078 WUT131078:WUW131078 IH196614:IK196614 SD196614:SG196614 ABZ196614:ACC196614 ALV196614:ALY196614 AVR196614:AVU196614 BFN196614:BFQ196614 BPJ196614:BPM196614 BZF196614:BZI196614 CJB196614:CJE196614 CSX196614:CTA196614 DCT196614:DCW196614 DMP196614:DMS196614 DWL196614:DWO196614 EGH196614:EGK196614 EQD196614:EQG196614 EZZ196614:FAC196614 FJV196614:FJY196614 FTR196614:FTU196614 GDN196614:GDQ196614 GNJ196614:GNM196614 GXF196614:GXI196614 HHB196614:HHE196614 HQX196614:HRA196614 IAT196614:IAW196614 IKP196614:IKS196614 IUL196614:IUO196614 JEH196614:JEK196614 JOD196614:JOG196614 JXZ196614:JYC196614 KHV196614:KHY196614 KRR196614:KRU196614 LBN196614:LBQ196614 LLJ196614:LLM196614 LVF196614:LVI196614 MFB196614:MFE196614 MOX196614:MPA196614 MYT196614:MYW196614 NIP196614:NIS196614 NSL196614:NSO196614 OCH196614:OCK196614 OMD196614:OMG196614 OVZ196614:OWC196614 PFV196614:PFY196614 PPR196614:PPU196614 PZN196614:PZQ196614 QJJ196614:QJM196614 QTF196614:QTI196614 RDB196614:RDE196614 RMX196614:RNA196614 RWT196614:RWW196614 SGP196614:SGS196614 SQL196614:SQO196614 TAH196614:TAK196614 TKD196614:TKG196614 TTZ196614:TUC196614 UDV196614:UDY196614 UNR196614:UNU196614 UXN196614:UXQ196614 VHJ196614:VHM196614 VRF196614:VRI196614 WBB196614:WBE196614 WKX196614:WLA196614 WUT196614:WUW196614 IH262150:IK262150 SD262150:SG262150 ABZ262150:ACC262150 ALV262150:ALY262150 AVR262150:AVU262150 BFN262150:BFQ262150 BPJ262150:BPM262150 BZF262150:BZI262150 CJB262150:CJE262150 CSX262150:CTA262150 DCT262150:DCW262150 DMP262150:DMS262150 DWL262150:DWO262150 EGH262150:EGK262150 EQD262150:EQG262150 EZZ262150:FAC262150 FJV262150:FJY262150 FTR262150:FTU262150 GDN262150:GDQ262150 GNJ262150:GNM262150 GXF262150:GXI262150 HHB262150:HHE262150 HQX262150:HRA262150 IAT262150:IAW262150 IKP262150:IKS262150 IUL262150:IUO262150 JEH262150:JEK262150 JOD262150:JOG262150 JXZ262150:JYC262150 KHV262150:KHY262150 KRR262150:KRU262150 LBN262150:LBQ262150 LLJ262150:LLM262150 LVF262150:LVI262150 MFB262150:MFE262150 MOX262150:MPA262150 MYT262150:MYW262150 NIP262150:NIS262150 NSL262150:NSO262150 OCH262150:OCK262150 OMD262150:OMG262150 OVZ262150:OWC262150 PFV262150:PFY262150 PPR262150:PPU262150 PZN262150:PZQ262150 QJJ262150:QJM262150 QTF262150:QTI262150 RDB262150:RDE262150 RMX262150:RNA262150 RWT262150:RWW262150 SGP262150:SGS262150 SQL262150:SQO262150 TAH262150:TAK262150 TKD262150:TKG262150 TTZ262150:TUC262150 UDV262150:UDY262150 UNR262150:UNU262150 UXN262150:UXQ262150 VHJ262150:VHM262150 VRF262150:VRI262150 WBB262150:WBE262150 WKX262150:WLA262150 WUT262150:WUW262150 IH327686:IK327686 SD327686:SG327686 ABZ327686:ACC327686 ALV327686:ALY327686 AVR327686:AVU327686 BFN327686:BFQ327686 BPJ327686:BPM327686 BZF327686:BZI327686 CJB327686:CJE327686 CSX327686:CTA327686 DCT327686:DCW327686 DMP327686:DMS327686 DWL327686:DWO327686 EGH327686:EGK327686 EQD327686:EQG327686 EZZ327686:FAC327686 FJV327686:FJY327686 FTR327686:FTU327686 GDN327686:GDQ327686 GNJ327686:GNM327686 GXF327686:GXI327686 HHB327686:HHE327686 HQX327686:HRA327686 IAT327686:IAW327686 IKP327686:IKS327686 IUL327686:IUO327686 JEH327686:JEK327686 JOD327686:JOG327686 JXZ327686:JYC327686 KHV327686:KHY327686 KRR327686:KRU327686 LBN327686:LBQ327686 LLJ327686:LLM327686 LVF327686:LVI327686 MFB327686:MFE327686 MOX327686:MPA327686 MYT327686:MYW327686 NIP327686:NIS327686 NSL327686:NSO327686 OCH327686:OCK327686 OMD327686:OMG327686 OVZ327686:OWC327686 PFV327686:PFY327686 PPR327686:PPU327686 PZN327686:PZQ327686 QJJ327686:QJM327686 QTF327686:QTI327686 RDB327686:RDE327686 RMX327686:RNA327686 RWT327686:RWW327686 SGP327686:SGS327686 SQL327686:SQO327686 TAH327686:TAK327686 TKD327686:TKG327686 TTZ327686:TUC327686 UDV327686:UDY327686 UNR327686:UNU327686 UXN327686:UXQ327686 VHJ327686:VHM327686 VRF327686:VRI327686 WBB327686:WBE327686 WKX327686:WLA327686 WUT327686:WUW327686 IH393222:IK393222 SD393222:SG393222 ABZ393222:ACC393222 ALV393222:ALY393222 AVR393222:AVU393222 BFN393222:BFQ393222 BPJ393222:BPM393222 BZF393222:BZI393222 CJB393222:CJE393222 CSX393222:CTA393222 DCT393222:DCW393222 DMP393222:DMS393222 DWL393222:DWO393222 EGH393222:EGK393222 EQD393222:EQG393222 EZZ393222:FAC393222 FJV393222:FJY393222 FTR393222:FTU393222 GDN393222:GDQ393222 GNJ393222:GNM393222 GXF393222:GXI393222 HHB393222:HHE393222 HQX393222:HRA393222 IAT393222:IAW393222 IKP393222:IKS393222 IUL393222:IUO393222 JEH393222:JEK393222 JOD393222:JOG393222 JXZ393222:JYC393222 KHV393222:KHY393222 KRR393222:KRU393222 LBN393222:LBQ393222 LLJ393222:LLM393222 LVF393222:LVI393222 MFB393222:MFE393222 MOX393222:MPA393222 MYT393222:MYW393222 NIP393222:NIS393222 NSL393222:NSO393222 OCH393222:OCK393222 OMD393222:OMG393222 OVZ393222:OWC393222 PFV393222:PFY393222 PPR393222:PPU393222 PZN393222:PZQ393222 QJJ393222:QJM393222 QTF393222:QTI393222 RDB393222:RDE393222 RMX393222:RNA393222 RWT393222:RWW393222 SGP393222:SGS393222 SQL393222:SQO393222 TAH393222:TAK393222 TKD393222:TKG393222 TTZ393222:TUC393222 UDV393222:UDY393222 UNR393222:UNU393222 UXN393222:UXQ393222 VHJ393222:VHM393222 VRF393222:VRI393222 WBB393222:WBE393222 WKX393222:WLA393222 WUT393222:WUW393222 IH458758:IK458758 SD458758:SG458758 ABZ458758:ACC458758 ALV458758:ALY458758 AVR458758:AVU458758 BFN458758:BFQ458758 BPJ458758:BPM458758 BZF458758:BZI458758 CJB458758:CJE458758 CSX458758:CTA458758 DCT458758:DCW458758 DMP458758:DMS458758 DWL458758:DWO458758 EGH458758:EGK458758 EQD458758:EQG458758 EZZ458758:FAC458758 FJV458758:FJY458758 FTR458758:FTU458758 GDN458758:GDQ458758 GNJ458758:GNM458758 GXF458758:GXI458758 HHB458758:HHE458758 HQX458758:HRA458758 IAT458758:IAW458758 IKP458758:IKS458758 IUL458758:IUO458758 JEH458758:JEK458758 JOD458758:JOG458758 JXZ458758:JYC458758 KHV458758:KHY458758 KRR458758:KRU458758 LBN458758:LBQ458758 LLJ458758:LLM458758 LVF458758:LVI458758 MFB458758:MFE458758 MOX458758:MPA458758 MYT458758:MYW458758 NIP458758:NIS458758 NSL458758:NSO458758 OCH458758:OCK458758 OMD458758:OMG458758 OVZ458758:OWC458758 PFV458758:PFY458758 PPR458758:PPU458758 PZN458758:PZQ458758 QJJ458758:QJM458758 QTF458758:QTI458758 RDB458758:RDE458758 RMX458758:RNA458758 RWT458758:RWW458758 SGP458758:SGS458758 SQL458758:SQO458758 TAH458758:TAK458758 TKD458758:TKG458758 TTZ458758:TUC458758 UDV458758:UDY458758 UNR458758:UNU458758 UXN458758:UXQ458758 VHJ458758:VHM458758 VRF458758:VRI458758 WBB458758:WBE458758 WKX458758:WLA458758 WUT458758:WUW458758 IH524294:IK524294 SD524294:SG524294 ABZ524294:ACC524294 ALV524294:ALY524294 AVR524294:AVU524294 BFN524294:BFQ524294 BPJ524294:BPM524294 BZF524294:BZI524294 CJB524294:CJE524294 CSX524294:CTA524294 DCT524294:DCW524294 DMP524294:DMS524294 DWL524294:DWO524294 EGH524294:EGK524294 EQD524294:EQG524294 EZZ524294:FAC524294 FJV524294:FJY524294 FTR524294:FTU524294 GDN524294:GDQ524294 GNJ524294:GNM524294 GXF524294:GXI524294 HHB524294:HHE524294 HQX524294:HRA524294 IAT524294:IAW524294 IKP524294:IKS524294 IUL524294:IUO524294 JEH524294:JEK524294 JOD524294:JOG524294 JXZ524294:JYC524294 KHV524294:KHY524294 KRR524294:KRU524294 LBN524294:LBQ524294 LLJ524294:LLM524294 LVF524294:LVI524294 MFB524294:MFE524294 MOX524294:MPA524294 MYT524294:MYW524294 NIP524294:NIS524294 NSL524294:NSO524294 OCH524294:OCK524294 OMD524294:OMG524294 OVZ524294:OWC524294 PFV524294:PFY524294 PPR524294:PPU524294 PZN524294:PZQ524294 QJJ524294:QJM524294 QTF524294:QTI524294 RDB524294:RDE524294 RMX524294:RNA524294 RWT524294:RWW524294 SGP524294:SGS524294 SQL524294:SQO524294 TAH524294:TAK524294 TKD524294:TKG524294 TTZ524294:TUC524294 UDV524294:UDY524294 UNR524294:UNU524294 UXN524294:UXQ524294 VHJ524294:VHM524294 VRF524294:VRI524294 WBB524294:WBE524294 WKX524294:WLA524294 WUT524294:WUW524294 IH589830:IK589830 SD589830:SG589830 ABZ589830:ACC589830 ALV589830:ALY589830 AVR589830:AVU589830 BFN589830:BFQ589830 BPJ589830:BPM589830 BZF589830:BZI589830 CJB589830:CJE589830 CSX589830:CTA589830 DCT589830:DCW589830 DMP589830:DMS589830 DWL589830:DWO589830 EGH589830:EGK589830 EQD589830:EQG589830 EZZ589830:FAC589830 FJV589830:FJY589830 FTR589830:FTU589830 GDN589830:GDQ589830 GNJ589830:GNM589830 GXF589830:GXI589830 HHB589830:HHE589830 HQX589830:HRA589830 IAT589830:IAW589830 IKP589830:IKS589830 IUL589830:IUO589830 JEH589830:JEK589830 JOD589830:JOG589830 JXZ589830:JYC589830 KHV589830:KHY589830 KRR589830:KRU589830 LBN589830:LBQ589830 LLJ589830:LLM589830 LVF589830:LVI589830 MFB589830:MFE589830 MOX589830:MPA589830 MYT589830:MYW589830 NIP589830:NIS589830 NSL589830:NSO589830 OCH589830:OCK589830 OMD589830:OMG589830 OVZ589830:OWC589830 PFV589830:PFY589830 PPR589830:PPU589830 PZN589830:PZQ589830 QJJ589830:QJM589830 QTF589830:QTI589830 RDB589830:RDE589830 RMX589830:RNA589830 RWT589830:RWW589830 SGP589830:SGS589830 SQL589830:SQO589830 TAH589830:TAK589830 TKD589830:TKG589830 TTZ589830:TUC589830 UDV589830:UDY589830 UNR589830:UNU589830 UXN589830:UXQ589830 VHJ589830:VHM589830 VRF589830:VRI589830 WBB589830:WBE589830 WKX589830:WLA589830 WUT589830:WUW589830 IH655366:IK655366 SD655366:SG655366 ABZ655366:ACC655366 ALV655366:ALY655366 AVR655366:AVU655366 BFN655366:BFQ655366 BPJ655366:BPM655366 BZF655366:BZI655366 CJB655366:CJE655366 CSX655366:CTA655366 DCT655366:DCW655366 DMP655366:DMS655366 DWL655366:DWO655366 EGH655366:EGK655366 EQD655366:EQG655366 EZZ655366:FAC655366 FJV655366:FJY655366 FTR655366:FTU655366 GDN655366:GDQ655366 GNJ655366:GNM655366 GXF655366:GXI655366 HHB655366:HHE655366 HQX655366:HRA655366 IAT655366:IAW655366 IKP655366:IKS655366 IUL655366:IUO655366 JEH655366:JEK655366 JOD655366:JOG655366 JXZ655366:JYC655366 KHV655366:KHY655366 KRR655366:KRU655366 LBN655366:LBQ655366 LLJ655366:LLM655366 LVF655366:LVI655366 MFB655366:MFE655366 MOX655366:MPA655366 MYT655366:MYW655366 NIP655366:NIS655366 NSL655366:NSO655366 OCH655366:OCK655366 OMD655366:OMG655366 OVZ655366:OWC655366 PFV655366:PFY655366 PPR655366:PPU655366 PZN655366:PZQ655366 QJJ655366:QJM655366 QTF655366:QTI655366 RDB655366:RDE655366 RMX655366:RNA655366 RWT655366:RWW655366 SGP655366:SGS655366 SQL655366:SQO655366 TAH655366:TAK655366 TKD655366:TKG655366 TTZ655366:TUC655366 UDV655366:UDY655366 UNR655366:UNU655366 UXN655366:UXQ655366 VHJ655366:VHM655366 VRF655366:VRI655366 WBB655366:WBE655366 WKX655366:WLA655366 WUT655366:WUW655366 IH720902:IK720902 SD720902:SG720902 ABZ720902:ACC720902 ALV720902:ALY720902 AVR720902:AVU720902 BFN720902:BFQ720902 BPJ720902:BPM720902 BZF720902:BZI720902 CJB720902:CJE720902 CSX720902:CTA720902 DCT720902:DCW720902 DMP720902:DMS720902 DWL720902:DWO720902 EGH720902:EGK720902 EQD720902:EQG720902 EZZ720902:FAC720902 FJV720902:FJY720902 FTR720902:FTU720902 GDN720902:GDQ720902 GNJ720902:GNM720902 GXF720902:GXI720902 HHB720902:HHE720902 HQX720902:HRA720902 IAT720902:IAW720902 IKP720902:IKS720902 IUL720902:IUO720902 JEH720902:JEK720902 JOD720902:JOG720902 JXZ720902:JYC720902 KHV720902:KHY720902 KRR720902:KRU720902 LBN720902:LBQ720902 LLJ720902:LLM720902 LVF720902:LVI720902 MFB720902:MFE720902 MOX720902:MPA720902 MYT720902:MYW720902 NIP720902:NIS720902 NSL720902:NSO720902 OCH720902:OCK720902 OMD720902:OMG720902 OVZ720902:OWC720902 PFV720902:PFY720902 PPR720902:PPU720902 PZN720902:PZQ720902 QJJ720902:QJM720902 QTF720902:QTI720902 RDB720902:RDE720902 RMX720902:RNA720902 RWT720902:RWW720902 SGP720902:SGS720902 SQL720902:SQO720902 TAH720902:TAK720902 TKD720902:TKG720902 TTZ720902:TUC720902 UDV720902:UDY720902 UNR720902:UNU720902 UXN720902:UXQ720902 VHJ720902:VHM720902 VRF720902:VRI720902 WBB720902:WBE720902 WKX720902:WLA720902 WUT720902:WUW720902 IH786438:IK786438 SD786438:SG786438 ABZ786438:ACC786438 ALV786438:ALY786438 AVR786438:AVU786438 BFN786438:BFQ786438 BPJ786438:BPM786438 BZF786438:BZI786438 CJB786438:CJE786438 CSX786438:CTA786438 DCT786438:DCW786438 DMP786438:DMS786438 DWL786438:DWO786438 EGH786438:EGK786438 EQD786438:EQG786438 EZZ786438:FAC786438 FJV786438:FJY786438 FTR786438:FTU786438 GDN786438:GDQ786438 GNJ786438:GNM786438 GXF786438:GXI786438 HHB786438:HHE786438 HQX786438:HRA786438 IAT786438:IAW786438 IKP786438:IKS786438 IUL786438:IUO786438 JEH786438:JEK786438 JOD786438:JOG786438 JXZ786438:JYC786438 KHV786438:KHY786438 KRR786438:KRU786438 LBN786438:LBQ786438 LLJ786438:LLM786438 LVF786438:LVI786438 MFB786438:MFE786438 MOX786438:MPA786438 MYT786438:MYW786438 NIP786438:NIS786438 NSL786438:NSO786438 OCH786438:OCK786438 OMD786438:OMG786438 OVZ786438:OWC786438 PFV786438:PFY786438 PPR786438:PPU786438 PZN786438:PZQ786438 QJJ786438:QJM786438 QTF786438:QTI786438 RDB786438:RDE786438 RMX786438:RNA786438 RWT786438:RWW786438 SGP786438:SGS786438 SQL786438:SQO786438 TAH786438:TAK786438 TKD786438:TKG786438 TTZ786438:TUC786438 UDV786438:UDY786438 UNR786438:UNU786438 UXN786438:UXQ786438 VHJ786438:VHM786438 VRF786438:VRI786438 WBB786438:WBE786438 WKX786438:WLA786438 WUT786438:WUW786438 IH851974:IK851974 SD851974:SG851974 ABZ851974:ACC851974 ALV851974:ALY851974 AVR851974:AVU851974 BFN851974:BFQ851974 BPJ851974:BPM851974 BZF851974:BZI851974 CJB851974:CJE851974 CSX851974:CTA851974 DCT851974:DCW851974 DMP851974:DMS851974 DWL851974:DWO851974 EGH851974:EGK851974 EQD851974:EQG851974 EZZ851974:FAC851974 FJV851974:FJY851974 FTR851974:FTU851974 GDN851974:GDQ851974 GNJ851974:GNM851974 GXF851974:GXI851974 HHB851974:HHE851974 HQX851974:HRA851974 IAT851974:IAW851974 IKP851974:IKS851974 IUL851974:IUO851974 JEH851974:JEK851974 JOD851974:JOG851974 JXZ851974:JYC851974 KHV851974:KHY851974 KRR851974:KRU851974 LBN851974:LBQ851974 LLJ851974:LLM851974 LVF851974:LVI851974 MFB851974:MFE851974 MOX851974:MPA851974 MYT851974:MYW851974 NIP851974:NIS851974 NSL851974:NSO851974 OCH851974:OCK851974 OMD851974:OMG851974 OVZ851974:OWC851974 PFV851974:PFY851974 PPR851974:PPU851974 PZN851974:PZQ851974 QJJ851974:QJM851974 QTF851974:QTI851974 RDB851974:RDE851974 RMX851974:RNA851974 RWT851974:RWW851974 SGP851974:SGS851974 SQL851974:SQO851974 TAH851974:TAK851974 TKD851974:TKG851974 TTZ851974:TUC851974 UDV851974:UDY851974 UNR851974:UNU851974 UXN851974:UXQ851974 VHJ851974:VHM851974 VRF851974:VRI851974 WBB851974:WBE851974 WKX851974:WLA851974 WUT851974:WUW851974 IH917510:IK917510 SD917510:SG917510 ABZ917510:ACC917510 ALV917510:ALY917510 AVR917510:AVU917510 BFN917510:BFQ917510 BPJ917510:BPM917510 BZF917510:BZI917510 CJB917510:CJE917510 CSX917510:CTA917510 DCT917510:DCW917510 DMP917510:DMS917510 DWL917510:DWO917510 EGH917510:EGK917510 EQD917510:EQG917510 EZZ917510:FAC917510 FJV917510:FJY917510 FTR917510:FTU917510 GDN917510:GDQ917510 GNJ917510:GNM917510 GXF917510:GXI917510 HHB917510:HHE917510 HQX917510:HRA917510 IAT917510:IAW917510 IKP917510:IKS917510 IUL917510:IUO917510 JEH917510:JEK917510 JOD917510:JOG917510 JXZ917510:JYC917510 KHV917510:KHY917510 KRR917510:KRU917510 LBN917510:LBQ917510 LLJ917510:LLM917510 LVF917510:LVI917510 MFB917510:MFE917510 MOX917510:MPA917510 MYT917510:MYW917510 NIP917510:NIS917510 NSL917510:NSO917510 OCH917510:OCK917510 OMD917510:OMG917510 OVZ917510:OWC917510 PFV917510:PFY917510 PPR917510:PPU917510 PZN917510:PZQ917510 QJJ917510:QJM917510 QTF917510:QTI917510 RDB917510:RDE917510 RMX917510:RNA917510 RWT917510:RWW917510 SGP917510:SGS917510 SQL917510:SQO917510 TAH917510:TAK917510 TKD917510:TKG917510 TTZ917510:TUC917510 UDV917510:UDY917510 UNR917510:UNU917510 UXN917510:UXQ917510 VHJ917510:VHM917510 VRF917510:VRI917510 WBB917510:WBE917510 WKX917510:WLA917510 WUT917510:WUW917510 Q917510:S917510 Q851974:S851974 Q786438:S786438 Q720902:S720902 Q655366:S655366 Q589830:S589830 Q524294:S524294 Q458758:S458758 Q393222:S393222 Q327686:S327686 Q262150:S262150 Q196614:S196614 Q131078:S131078 Q65542:S65542 Q983046:S983046 AF131079:AH131079 AF196615:AH196615 AF262151:AH262151 AF327687:AH327687 AF393223:AH393223 AF458759:AH458759 AF524295:AH524295 AF589831:AH589831 AF655367:AH655367 AF720903:AH720903 AF786439:AH786439 AF851975:AH851975 AF917511:AH917511 AF983047:AH983047 AB983046:AD983046 AB917510:AD917510 AB851974:AD851974 AB786438:AD786438 AB720902:AD720902 AB655366:AD655366 AB589830:AD589830 AB524294:AD524294 AB458758:AD458758 AB393222:AD393222 AB327686:AD327686 AB262150:AD262150 AB196614:AD196614 AB131078:AD131078 AB65542:AD65542 AF65543:AH65543 AO131079:AQ131079 AO196615:AQ196615 AO262151:AQ262151 AO327687:AQ327687 AO393223:AQ393223 AO458759:AQ458759 AO524295:AQ524295 AO589831:AQ589831 AO655367:AQ655367 AO720903:AQ720903 AO786439:AQ786439 AO851975:AQ851975 AO917511:AQ917511 AO983047:AQ983047 AI917510:AK917510 AI851974:AK851974 AI786438:AK786438 AI720902:AK720902 AI655366:AK655366 AI589830:AK589830 AI524294:AK524294 AI458758:AK458758 AI393222:AK393222 AI327686:AK327686 AI262150:AK262150 AI196614:AK196614 AI131078:AK131078 AI65542:AK65542 AO65543:AQ65543 AI983046:AK983046 AL131079:AM131079 AL196615:AM196615 AL262151:AM262151 AL327687:AM327687 AL393223:AM393223 AL458759:AM458759 AL524295:AM524295 AL589831:AM589831 AL655367:AM655367 AL720903:AM720903 AL786439:AM786439 AL851975:AM851975 AL917511:AM917511 AL983047:AM983047 AL65543:AM65543" xr:uid="{996E16F4-7283-4A3B-82B5-250897E5BBD4}">
      <formula1>"○, ○（オンライン処理設計書なし）"</formula1>
    </dataValidation>
    <dataValidation type="list" allowBlank="1" showInputMessage="1" showErrorMessage="1" sqref="V65549:Y65552 IN65549:IQ65552 SJ65549:SM65552 ACF65549:ACI65552 AMB65549:AME65552 AVX65549:AWA65552 BFT65549:BFW65552 BPP65549:BPS65552 BZL65549:BZO65552 CJH65549:CJK65552 CTD65549:CTG65552 DCZ65549:DDC65552 DMV65549:DMY65552 DWR65549:DWU65552 EGN65549:EGQ65552 EQJ65549:EQM65552 FAF65549:FAI65552 FKB65549:FKE65552 FTX65549:FUA65552 GDT65549:GDW65552 GNP65549:GNS65552 GXL65549:GXO65552 HHH65549:HHK65552 HRD65549:HRG65552 IAZ65549:IBC65552 IKV65549:IKY65552 IUR65549:IUU65552 JEN65549:JEQ65552 JOJ65549:JOM65552 JYF65549:JYI65552 KIB65549:KIE65552 KRX65549:KSA65552 LBT65549:LBW65552 LLP65549:LLS65552 LVL65549:LVO65552 MFH65549:MFK65552 MPD65549:MPG65552 MYZ65549:MZC65552 NIV65549:NIY65552 NSR65549:NSU65552 OCN65549:OCQ65552 OMJ65549:OMM65552 OWF65549:OWI65552 PGB65549:PGE65552 PPX65549:PQA65552 PZT65549:PZW65552 QJP65549:QJS65552 QTL65549:QTO65552 RDH65549:RDK65552 RND65549:RNG65552 RWZ65549:RXC65552 SGV65549:SGY65552 SQR65549:SQU65552 TAN65549:TAQ65552 TKJ65549:TKM65552 TUF65549:TUI65552 UEB65549:UEE65552 UNX65549:UOA65552 UXT65549:UXW65552 VHP65549:VHS65552 VRL65549:VRO65552 WBH65549:WBK65552 WLD65549:WLG65552 WUZ65549:WVC65552 V131085:Y131088 IN131085:IQ131088 SJ131085:SM131088 ACF131085:ACI131088 AMB131085:AME131088 AVX131085:AWA131088 BFT131085:BFW131088 BPP131085:BPS131088 BZL131085:BZO131088 CJH131085:CJK131088 CTD131085:CTG131088 DCZ131085:DDC131088 DMV131085:DMY131088 DWR131085:DWU131088 EGN131085:EGQ131088 EQJ131085:EQM131088 FAF131085:FAI131088 FKB131085:FKE131088 FTX131085:FUA131088 GDT131085:GDW131088 GNP131085:GNS131088 GXL131085:GXO131088 HHH131085:HHK131088 HRD131085:HRG131088 IAZ131085:IBC131088 IKV131085:IKY131088 IUR131085:IUU131088 JEN131085:JEQ131088 JOJ131085:JOM131088 JYF131085:JYI131088 KIB131085:KIE131088 KRX131085:KSA131088 LBT131085:LBW131088 LLP131085:LLS131088 LVL131085:LVO131088 MFH131085:MFK131088 MPD131085:MPG131088 MYZ131085:MZC131088 NIV131085:NIY131088 NSR131085:NSU131088 OCN131085:OCQ131088 OMJ131085:OMM131088 OWF131085:OWI131088 PGB131085:PGE131088 PPX131085:PQA131088 PZT131085:PZW131088 QJP131085:QJS131088 QTL131085:QTO131088 RDH131085:RDK131088 RND131085:RNG131088 RWZ131085:RXC131088 SGV131085:SGY131088 SQR131085:SQU131088 TAN131085:TAQ131088 TKJ131085:TKM131088 TUF131085:TUI131088 UEB131085:UEE131088 UNX131085:UOA131088 UXT131085:UXW131088 VHP131085:VHS131088 VRL131085:VRO131088 WBH131085:WBK131088 WLD131085:WLG131088 WUZ131085:WVC131088 V196621:Y196624 IN196621:IQ196624 SJ196621:SM196624 ACF196621:ACI196624 AMB196621:AME196624 AVX196621:AWA196624 BFT196621:BFW196624 BPP196621:BPS196624 BZL196621:BZO196624 CJH196621:CJK196624 CTD196621:CTG196624 DCZ196621:DDC196624 DMV196621:DMY196624 DWR196621:DWU196624 EGN196621:EGQ196624 EQJ196621:EQM196624 FAF196621:FAI196624 FKB196621:FKE196624 FTX196621:FUA196624 GDT196621:GDW196624 GNP196621:GNS196624 GXL196621:GXO196624 HHH196621:HHK196624 HRD196621:HRG196624 IAZ196621:IBC196624 IKV196621:IKY196624 IUR196621:IUU196624 JEN196621:JEQ196624 JOJ196621:JOM196624 JYF196621:JYI196624 KIB196621:KIE196624 KRX196621:KSA196624 LBT196621:LBW196624 LLP196621:LLS196624 LVL196621:LVO196624 MFH196621:MFK196624 MPD196621:MPG196624 MYZ196621:MZC196624 NIV196621:NIY196624 NSR196621:NSU196624 OCN196621:OCQ196624 OMJ196621:OMM196624 OWF196621:OWI196624 PGB196621:PGE196624 PPX196621:PQA196624 PZT196621:PZW196624 QJP196621:QJS196624 QTL196621:QTO196624 RDH196621:RDK196624 RND196621:RNG196624 RWZ196621:RXC196624 SGV196621:SGY196624 SQR196621:SQU196624 TAN196621:TAQ196624 TKJ196621:TKM196624 TUF196621:TUI196624 UEB196621:UEE196624 UNX196621:UOA196624 UXT196621:UXW196624 VHP196621:VHS196624 VRL196621:VRO196624 WBH196621:WBK196624 WLD196621:WLG196624 WUZ196621:WVC196624 V262157:Y262160 IN262157:IQ262160 SJ262157:SM262160 ACF262157:ACI262160 AMB262157:AME262160 AVX262157:AWA262160 BFT262157:BFW262160 BPP262157:BPS262160 BZL262157:BZO262160 CJH262157:CJK262160 CTD262157:CTG262160 DCZ262157:DDC262160 DMV262157:DMY262160 DWR262157:DWU262160 EGN262157:EGQ262160 EQJ262157:EQM262160 FAF262157:FAI262160 FKB262157:FKE262160 FTX262157:FUA262160 GDT262157:GDW262160 GNP262157:GNS262160 GXL262157:GXO262160 HHH262157:HHK262160 HRD262157:HRG262160 IAZ262157:IBC262160 IKV262157:IKY262160 IUR262157:IUU262160 JEN262157:JEQ262160 JOJ262157:JOM262160 JYF262157:JYI262160 KIB262157:KIE262160 KRX262157:KSA262160 LBT262157:LBW262160 LLP262157:LLS262160 LVL262157:LVO262160 MFH262157:MFK262160 MPD262157:MPG262160 MYZ262157:MZC262160 NIV262157:NIY262160 NSR262157:NSU262160 OCN262157:OCQ262160 OMJ262157:OMM262160 OWF262157:OWI262160 PGB262157:PGE262160 PPX262157:PQA262160 PZT262157:PZW262160 QJP262157:QJS262160 QTL262157:QTO262160 RDH262157:RDK262160 RND262157:RNG262160 RWZ262157:RXC262160 SGV262157:SGY262160 SQR262157:SQU262160 TAN262157:TAQ262160 TKJ262157:TKM262160 TUF262157:TUI262160 UEB262157:UEE262160 UNX262157:UOA262160 UXT262157:UXW262160 VHP262157:VHS262160 VRL262157:VRO262160 WBH262157:WBK262160 WLD262157:WLG262160 WUZ262157:WVC262160 V327693:Y327696 IN327693:IQ327696 SJ327693:SM327696 ACF327693:ACI327696 AMB327693:AME327696 AVX327693:AWA327696 BFT327693:BFW327696 BPP327693:BPS327696 BZL327693:BZO327696 CJH327693:CJK327696 CTD327693:CTG327696 DCZ327693:DDC327696 DMV327693:DMY327696 DWR327693:DWU327696 EGN327693:EGQ327696 EQJ327693:EQM327696 FAF327693:FAI327696 FKB327693:FKE327696 FTX327693:FUA327696 GDT327693:GDW327696 GNP327693:GNS327696 GXL327693:GXO327696 HHH327693:HHK327696 HRD327693:HRG327696 IAZ327693:IBC327696 IKV327693:IKY327696 IUR327693:IUU327696 JEN327693:JEQ327696 JOJ327693:JOM327696 JYF327693:JYI327696 KIB327693:KIE327696 KRX327693:KSA327696 LBT327693:LBW327696 LLP327693:LLS327696 LVL327693:LVO327696 MFH327693:MFK327696 MPD327693:MPG327696 MYZ327693:MZC327696 NIV327693:NIY327696 NSR327693:NSU327696 OCN327693:OCQ327696 OMJ327693:OMM327696 OWF327693:OWI327696 PGB327693:PGE327696 PPX327693:PQA327696 PZT327693:PZW327696 QJP327693:QJS327696 QTL327693:QTO327696 RDH327693:RDK327696 RND327693:RNG327696 RWZ327693:RXC327696 SGV327693:SGY327696 SQR327693:SQU327696 TAN327693:TAQ327696 TKJ327693:TKM327696 TUF327693:TUI327696 UEB327693:UEE327696 UNX327693:UOA327696 UXT327693:UXW327696 VHP327693:VHS327696 VRL327693:VRO327696 WBH327693:WBK327696 WLD327693:WLG327696 WUZ327693:WVC327696 V393229:Y393232 IN393229:IQ393232 SJ393229:SM393232 ACF393229:ACI393232 AMB393229:AME393232 AVX393229:AWA393232 BFT393229:BFW393232 BPP393229:BPS393232 BZL393229:BZO393232 CJH393229:CJK393232 CTD393229:CTG393232 DCZ393229:DDC393232 DMV393229:DMY393232 DWR393229:DWU393232 EGN393229:EGQ393232 EQJ393229:EQM393232 FAF393229:FAI393232 FKB393229:FKE393232 FTX393229:FUA393232 GDT393229:GDW393232 GNP393229:GNS393232 GXL393229:GXO393232 HHH393229:HHK393232 HRD393229:HRG393232 IAZ393229:IBC393232 IKV393229:IKY393232 IUR393229:IUU393232 JEN393229:JEQ393232 JOJ393229:JOM393232 JYF393229:JYI393232 KIB393229:KIE393232 KRX393229:KSA393232 LBT393229:LBW393232 LLP393229:LLS393232 LVL393229:LVO393232 MFH393229:MFK393232 MPD393229:MPG393232 MYZ393229:MZC393232 NIV393229:NIY393232 NSR393229:NSU393232 OCN393229:OCQ393232 OMJ393229:OMM393232 OWF393229:OWI393232 PGB393229:PGE393232 PPX393229:PQA393232 PZT393229:PZW393232 QJP393229:QJS393232 QTL393229:QTO393232 RDH393229:RDK393232 RND393229:RNG393232 RWZ393229:RXC393232 SGV393229:SGY393232 SQR393229:SQU393232 TAN393229:TAQ393232 TKJ393229:TKM393232 TUF393229:TUI393232 UEB393229:UEE393232 UNX393229:UOA393232 UXT393229:UXW393232 VHP393229:VHS393232 VRL393229:VRO393232 WBH393229:WBK393232 WLD393229:WLG393232 WUZ393229:WVC393232 V458765:Y458768 IN458765:IQ458768 SJ458765:SM458768 ACF458765:ACI458768 AMB458765:AME458768 AVX458765:AWA458768 BFT458765:BFW458768 BPP458765:BPS458768 BZL458765:BZO458768 CJH458765:CJK458768 CTD458765:CTG458768 DCZ458765:DDC458768 DMV458765:DMY458768 DWR458765:DWU458768 EGN458765:EGQ458768 EQJ458765:EQM458768 FAF458765:FAI458768 FKB458765:FKE458768 FTX458765:FUA458768 GDT458765:GDW458768 GNP458765:GNS458768 GXL458765:GXO458768 HHH458765:HHK458768 HRD458765:HRG458768 IAZ458765:IBC458768 IKV458765:IKY458768 IUR458765:IUU458768 JEN458765:JEQ458768 JOJ458765:JOM458768 JYF458765:JYI458768 KIB458765:KIE458768 KRX458765:KSA458768 LBT458765:LBW458768 LLP458765:LLS458768 LVL458765:LVO458768 MFH458765:MFK458768 MPD458765:MPG458768 MYZ458765:MZC458768 NIV458765:NIY458768 NSR458765:NSU458768 OCN458765:OCQ458768 OMJ458765:OMM458768 OWF458765:OWI458768 PGB458765:PGE458768 PPX458765:PQA458768 PZT458765:PZW458768 QJP458765:QJS458768 QTL458765:QTO458768 RDH458765:RDK458768 RND458765:RNG458768 RWZ458765:RXC458768 SGV458765:SGY458768 SQR458765:SQU458768 TAN458765:TAQ458768 TKJ458765:TKM458768 TUF458765:TUI458768 UEB458765:UEE458768 UNX458765:UOA458768 UXT458765:UXW458768 VHP458765:VHS458768 VRL458765:VRO458768 WBH458765:WBK458768 WLD458765:WLG458768 WUZ458765:WVC458768 V524301:Y524304 IN524301:IQ524304 SJ524301:SM524304 ACF524301:ACI524304 AMB524301:AME524304 AVX524301:AWA524304 BFT524301:BFW524304 BPP524301:BPS524304 BZL524301:BZO524304 CJH524301:CJK524304 CTD524301:CTG524304 DCZ524301:DDC524304 DMV524301:DMY524304 DWR524301:DWU524304 EGN524301:EGQ524304 EQJ524301:EQM524304 FAF524301:FAI524304 FKB524301:FKE524304 FTX524301:FUA524304 GDT524301:GDW524304 GNP524301:GNS524304 GXL524301:GXO524304 HHH524301:HHK524304 HRD524301:HRG524304 IAZ524301:IBC524304 IKV524301:IKY524304 IUR524301:IUU524304 JEN524301:JEQ524304 JOJ524301:JOM524304 JYF524301:JYI524304 KIB524301:KIE524304 KRX524301:KSA524304 LBT524301:LBW524304 LLP524301:LLS524304 LVL524301:LVO524304 MFH524301:MFK524304 MPD524301:MPG524304 MYZ524301:MZC524304 NIV524301:NIY524304 NSR524301:NSU524304 OCN524301:OCQ524304 OMJ524301:OMM524304 OWF524301:OWI524304 PGB524301:PGE524304 PPX524301:PQA524304 PZT524301:PZW524304 QJP524301:QJS524304 QTL524301:QTO524304 RDH524301:RDK524304 RND524301:RNG524304 RWZ524301:RXC524304 SGV524301:SGY524304 SQR524301:SQU524304 TAN524301:TAQ524304 TKJ524301:TKM524304 TUF524301:TUI524304 UEB524301:UEE524304 UNX524301:UOA524304 UXT524301:UXW524304 VHP524301:VHS524304 VRL524301:VRO524304 WBH524301:WBK524304 WLD524301:WLG524304 WUZ524301:WVC524304 V589837:Y589840 IN589837:IQ589840 SJ589837:SM589840 ACF589837:ACI589840 AMB589837:AME589840 AVX589837:AWA589840 BFT589837:BFW589840 BPP589837:BPS589840 BZL589837:BZO589840 CJH589837:CJK589840 CTD589837:CTG589840 DCZ589837:DDC589840 DMV589837:DMY589840 DWR589837:DWU589840 EGN589837:EGQ589840 EQJ589837:EQM589840 FAF589837:FAI589840 FKB589837:FKE589840 FTX589837:FUA589840 GDT589837:GDW589840 GNP589837:GNS589840 GXL589837:GXO589840 HHH589837:HHK589840 HRD589837:HRG589840 IAZ589837:IBC589840 IKV589837:IKY589840 IUR589837:IUU589840 JEN589837:JEQ589840 JOJ589837:JOM589840 JYF589837:JYI589840 KIB589837:KIE589840 KRX589837:KSA589840 LBT589837:LBW589840 LLP589837:LLS589840 LVL589837:LVO589840 MFH589837:MFK589840 MPD589837:MPG589840 MYZ589837:MZC589840 NIV589837:NIY589840 NSR589837:NSU589840 OCN589837:OCQ589840 OMJ589837:OMM589840 OWF589837:OWI589840 PGB589837:PGE589840 PPX589837:PQA589840 PZT589837:PZW589840 QJP589837:QJS589840 QTL589837:QTO589840 RDH589837:RDK589840 RND589837:RNG589840 RWZ589837:RXC589840 SGV589837:SGY589840 SQR589837:SQU589840 TAN589837:TAQ589840 TKJ589837:TKM589840 TUF589837:TUI589840 UEB589837:UEE589840 UNX589837:UOA589840 UXT589837:UXW589840 VHP589837:VHS589840 VRL589837:VRO589840 WBH589837:WBK589840 WLD589837:WLG589840 WUZ589837:WVC589840 V655373:Y655376 IN655373:IQ655376 SJ655373:SM655376 ACF655373:ACI655376 AMB655373:AME655376 AVX655373:AWA655376 BFT655373:BFW655376 BPP655373:BPS655376 BZL655373:BZO655376 CJH655373:CJK655376 CTD655373:CTG655376 DCZ655373:DDC655376 DMV655373:DMY655376 DWR655373:DWU655376 EGN655373:EGQ655376 EQJ655373:EQM655376 FAF655373:FAI655376 FKB655373:FKE655376 FTX655373:FUA655376 GDT655373:GDW655376 GNP655373:GNS655376 GXL655373:GXO655376 HHH655373:HHK655376 HRD655373:HRG655376 IAZ655373:IBC655376 IKV655373:IKY655376 IUR655373:IUU655376 JEN655373:JEQ655376 JOJ655373:JOM655376 JYF655373:JYI655376 KIB655373:KIE655376 KRX655373:KSA655376 LBT655373:LBW655376 LLP655373:LLS655376 LVL655373:LVO655376 MFH655373:MFK655376 MPD655373:MPG655376 MYZ655373:MZC655376 NIV655373:NIY655376 NSR655373:NSU655376 OCN655373:OCQ655376 OMJ655373:OMM655376 OWF655373:OWI655376 PGB655373:PGE655376 PPX655373:PQA655376 PZT655373:PZW655376 QJP655373:QJS655376 QTL655373:QTO655376 RDH655373:RDK655376 RND655373:RNG655376 RWZ655373:RXC655376 SGV655373:SGY655376 SQR655373:SQU655376 TAN655373:TAQ655376 TKJ655373:TKM655376 TUF655373:TUI655376 UEB655373:UEE655376 UNX655373:UOA655376 UXT655373:UXW655376 VHP655373:VHS655376 VRL655373:VRO655376 WBH655373:WBK655376 WLD655373:WLG655376 WUZ655373:WVC655376 V720909:Y720912 IN720909:IQ720912 SJ720909:SM720912 ACF720909:ACI720912 AMB720909:AME720912 AVX720909:AWA720912 BFT720909:BFW720912 BPP720909:BPS720912 BZL720909:BZO720912 CJH720909:CJK720912 CTD720909:CTG720912 DCZ720909:DDC720912 DMV720909:DMY720912 DWR720909:DWU720912 EGN720909:EGQ720912 EQJ720909:EQM720912 FAF720909:FAI720912 FKB720909:FKE720912 FTX720909:FUA720912 GDT720909:GDW720912 GNP720909:GNS720912 GXL720909:GXO720912 HHH720909:HHK720912 HRD720909:HRG720912 IAZ720909:IBC720912 IKV720909:IKY720912 IUR720909:IUU720912 JEN720909:JEQ720912 JOJ720909:JOM720912 JYF720909:JYI720912 KIB720909:KIE720912 KRX720909:KSA720912 LBT720909:LBW720912 LLP720909:LLS720912 LVL720909:LVO720912 MFH720909:MFK720912 MPD720909:MPG720912 MYZ720909:MZC720912 NIV720909:NIY720912 NSR720909:NSU720912 OCN720909:OCQ720912 OMJ720909:OMM720912 OWF720909:OWI720912 PGB720909:PGE720912 PPX720909:PQA720912 PZT720909:PZW720912 QJP720909:QJS720912 QTL720909:QTO720912 RDH720909:RDK720912 RND720909:RNG720912 RWZ720909:RXC720912 SGV720909:SGY720912 SQR720909:SQU720912 TAN720909:TAQ720912 TKJ720909:TKM720912 TUF720909:TUI720912 UEB720909:UEE720912 UNX720909:UOA720912 UXT720909:UXW720912 VHP720909:VHS720912 VRL720909:VRO720912 WBH720909:WBK720912 WLD720909:WLG720912 WUZ720909:WVC720912 V786445:Y786448 IN786445:IQ786448 SJ786445:SM786448 ACF786445:ACI786448 AMB786445:AME786448 AVX786445:AWA786448 BFT786445:BFW786448 BPP786445:BPS786448 BZL786445:BZO786448 CJH786445:CJK786448 CTD786445:CTG786448 DCZ786445:DDC786448 DMV786445:DMY786448 DWR786445:DWU786448 EGN786445:EGQ786448 EQJ786445:EQM786448 FAF786445:FAI786448 FKB786445:FKE786448 FTX786445:FUA786448 GDT786445:GDW786448 GNP786445:GNS786448 GXL786445:GXO786448 HHH786445:HHK786448 HRD786445:HRG786448 IAZ786445:IBC786448 IKV786445:IKY786448 IUR786445:IUU786448 JEN786445:JEQ786448 JOJ786445:JOM786448 JYF786445:JYI786448 KIB786445:KIE786448 KRX786445:KSA786448 LBT786445:LBW786448 LLP786445:LLS786448 LVL786445:LVO786448 MFH786445:MFK786448 MPD786445:MPG786448 MYZ786445:MZC786448 NIV786445:NIY786448 NSR786445:NSU786448 OCN786445:OCQ786448 OMJ786445:OMM786448 OWF786445:OWI786448 PGB786445:PGE786448 PPX786445:PQA786448 PZT786445:PZW786448 QJP786445:QJS786448 QTL786445:QTO786448 RDH786445:RDK786448 RND786445:RNG786448 RWZ786445:RXC786448 SGV786445:SGY786448 SQR786445:SQU786448 TAN786445:TAQ786448 TKJ786445:TKM786448 TUF786445:TUI786448 UEB786445:UEE786448 UNX786445:UOA786448 UXT786445:UXW786448 VHP786445:VHS786448 VRL786445:VRO786448 WBH786445:WBK786448 WLD786445:WLG786448 WUZ786445:WVC786448 V851981:Y851984 IN851981:IQ851984 SJ851981:SM851984 ACF851981:ACI851984 AMB851981:AME851984 AVX851981:AWA851984 BFT851981:BFW851984 BPP851981:BPS851984 BZL851981:BZO851984 CJH851981:CJK851984 CTD851981:CTG851984 DCZ851981:DDC851984 DMV851981:DMY851984 DWR851981:DWU851984 EGN851981:EGQ851984 EQJ851981:EQM851984 FAF851981:FAI851984 FKB851981:FKE851984 FTX851981:FUA851984 GDT851981:GDW851984 GNP851981:GNS851984 GXL851981:GXO851984 HHH851981:HHK851984 HRD851981:HRG851984 IAZ851981:IBC851984 IKV851981:IKY851984 IUR851981:IUU851984 JEN851981:JEQ851984 JOJ851981:JOM851984 JYF851981:JYI851984 KIB851981:KIE851984 KRX851981:KSA851984 LBT851981:LBW851984 LLP851981:LLS851984 LVL851981:LVO851984 MFH851981:MFK851984 MPD851981:MPG851984 MYZ851981:MZC851984 NIV851981:NIY851984 NSR851981:NSU851984 OCN851981:OCQ851984 OMJ851981:OMM851984 OWF851981:OWI851984 PGB851981:PGE851984 PPX851981:PQA851984 PZT851981:PZW851984 QJP851981:QJS851984 QTL851981:QTO851984 RDH851981:RDK851984 RND851981:RNG851984 RWZ851981:RXC851984 SGV851981:SGY851984 SQR851981:SQU851984 TAN851981:TAQ851984 TKJ851981:TKM851984 TUF851981:TUI851984 UEB851981:UEE851984 UNX851981:UOA851984 UXT851981:UXW851984 VHP851981:VHS851984 VRL851981:VRO851984 WBH851981:WBK851984 WLD851981:WLG851984 WUZ851981:WVC851984 V917517:Y917520 IN917517:IQ917520 SJ917517:SM917520 ACF917517:ACI917520 AMB917517:AME917520 AVX917517:AWA917520 BFT917517:BFW917520 BPP917517:BPS917520 BZL917517:BZO917520 CJH917517:CJK917520 CTD917517:CTG917520 DCZ917517:DDC917520 DMV917517:DMY917520 DWR917517:DWU917520 EGN917517:EGQ917520 EQJ917517:EQM917520 FAF917517:FAI917520 FKB917517:FKE917520 FTX917517:FUA917520 GDT917517:GDW917520 GNP917517:GNS917520 GXL917517:GXO917520 HHH917517:HHK917520 HRD917517:HRG917520 IAZ917517:IBC917520 IKV917517:IKY917520 IUR917517:IUU917520 JEN917517:JEQ917520 JOJ917517:JOM917520 JYF917517:JYI917520 KIB917517:KIE917520 KRX917517:KSA917520 LBT917517:LBW917520 LLP917517:LLS917520 LVL917517:LVO917520 MFH917517:MFK917520 MPD917517:MPG917520 MYZ917517:MZC917520 NIV917517:NIY917520 NSR917517:NSU917520 OCN917517:OCQ917520 OMJ917517:OMM917520 OWF917517:OWI917520 PGB917517:PGE917520 PPX917517:PQA917520 PZT917517:PZW917520 QJP917517:QJS917520 QTL917517:QTO917520 RDH917517:RDK917520 RND917517:RNG917520 RWZ917517:RXC917520 SGV917517:SGY917520 SQR917517:SQU917520 TAN917517:TAQ917520 TKJ917517:TKM917520 TUF917517:TUI917520 UEB917517:UEE917520 UNX917517:UOA917520 UXT917517:UXW917520 VHP917517:VHS917520 VRL917517:VRO917520 WBH917517:WBK917520 WLD917517:WLG917520 WUZ917517:WVC917520 V983053:Y983056 IN983053:IQ983056 SJ983053:SM983056 ACF983053:ACI983056 AMB983053:AME983056 AVX983053:AWA983056 BFT983053:BFW983056 BPP983053:BPS983056 BZL983053:BZO983056 CJH983053:CJK983056 CTD983053:CTG983056 DCZ983053:DDC983056 DMV983053:DMY983056 DWR983053:DWU983056 EGN983053:EGQ983056 EQJ983053:EQM983056 FAF983053:FAI983056 FKB983053:FKE983056 FTX983053:FUA983056 GDT983053:GDW983056 GNP983053:GNS983056 GXL983053:GXO983056 HHH983053:HHK983056 HRD983053:HRG983056 IAZ983053:IBC983056 IKV983053:IKY983056 IUR983053:IUU983056 JEN983053:JEQ983056 JOJ983053:JOM983056 JYF983053:JYI983056 KIB983053:KIE983056 KRX983053:KSA983056 LBT983053:LBW983056 LLP983053:LLS983056 LVL983053:LVO983056 MFH983053:MFK983056 MPD983053:MPG983056 MYZ983053:MZC983056 NIV983053:NIY983056 NSR983053:NSU983056 OCN983053:OCQ983056 OMJ983053:OMM983056 OWF983053:OWI983056 PGB983053:PGE983056 PPX983053:PQA983056 PZT983053:PZW983056 QJP983053:QJS983056 QTL983053:QTO983056 RDH983053:RDK983056 RND983053:RNG983056 RWZ983053:RXC983056 SGV983053:SGY983056 SQR983053:SQU983056 TAN983053:TAQ983056 TKJ983053:TKM983056 TUF983053:TUI983056 UEB983053:UEE983056 UNX983053:UOA983056 UXT983053:UXW983056 VHP983053:VHS983056 VRL983053:VRO983056 WBH983053:WBK983056 WLD983053:WLG983056 WUZ983053:WVC983056 Q65543:T65543 II65543:IL65543 SE65543:SH65543 ACA65543:ACD65543 ALW65543:ALZ65543 AVS65543:AVV65543 BFO65543:BFR65543 BPK65543:BPN65543 BZG65543:BZJ65543 CJC65543:CJF65543 CSY65543:CTB65543 DCU65543:DCX65543 DMQ65543:DMT65543 DWM65543:DWP65543 EGI65543:EGL65543 EQE65543:EQH65543 FAA65543:FAD65543 FJW65543:FJZ65543 FTS65543:FTV65543 GDO65543:GDR65543 GNK65543:GNN65543 GXG65543:GXJ65543 HHC65543:HHF65543 HQY65543:HRB65543 IAU65543:IAX65543 IKQ65543:IKT65543 IUM65543:IUP65543 JEI65543:JEL65543 JOE65543:JOH65543 JYA65543:JYD65543 KHW65543:KHZ65543 KRS65543:KRV65543 LBO65543:LBR65543 LLK65543:LLN65543 LVG65543:LVJ65543 MFC65543:MFF65543 MOY65543:MPB65543 MYU65543:MYX65543 NIQ65543:NIT65543 NSM65543:NSP65543 OCI65543:OCL65543 OME65543:OMH65543 OWA65543:OWD65543 PFW65543:PFZ65543 PPS65543:PPV65543 PZO65543:PZR65543 QJK65543:QJN65543 QTG65543:QTJ65543 RDC65543:RDF65543 RMY65543:RNB65543 RWU65543:RWX65543 SGQ65543:SGT65543 SQM65543:SQP65543 TAI65543:TAL65543 TKE65543:TKH65543 TUA65543:TUD65543 UDW65543:UDZ65543 UNS65543:UNV65543 UXO65543:UXR65543 VHK65543:VHN65543 VRG65543:VRJ65543 WBC65543:WBF65543 WKY65543:WLB65543 WUU65543:WUX65543 Q131079:T131079 II131079:IL131079 SE131079:SH131079 ACA131079:ACD131079 ALW131079:ALZ131079 AVS131079:AVV131079 BFO131079:BFR131079 BPK131079:BPN131079 BZG131079:BZJ131079 CJC131079:CJF131079 CSY131079:CTB131079 DCU131079:DCX131079 DMQ131079:DMT131079 DWM131079:DWP131079 EGI131079:EGL131079 EQE131079:EQH131079 FAA131079:FAD131079 FJW131079:FJZ131079 FTS131079:FTV131079 GDO131079:GDR131079 GNK131079:GNN131079 GXG131079:GXJ131079 HHC131079:HHF131079 HQY131079:HRB131079 IAU131079:IAX131079 IKQ131079:IKT131079 IUM131079:IUP131079 JEI131079:JEL131079 JOE131079:JOH131079 JYA131079:JYD131079 KHW131079:KHZ131079 KRS131079:KRV131079 LBO131079:LBR131079 LLK131079:LLN131079 LVG131079:LVJ131079 MFC131079:MFF131079 MOY131079:MPB131079 MYU131079:MYX131079 NIQ131079:NIT131079 NSM131079:NSP131079 OCI131079:OCL131079 OME131079:OMH131079 OWA131079:OWD131079 PFW131079:PFZ131079 PPS131079:PPV131079 PZO131079:PZR131079 QJK131079:QJN131079 QTG131079:QTJ131079 RDC131079:RDF131079 RMY131079:RNB131079 RWU131079:RWX131079 SGQ131079:SGT131079 SQM131079:SQP131079 TAI131079:TAL131079 TKE131079:TKH131079 TUA131079:TUD131079 UDW131079:UDZ131079 UNS131079:UNV131079 UXO131079:UXR131079 VHK131079:VHN131079 VRG131079:VRJ131079 WBC131079:WBF131079 WKY131079:WLB131079 WUU131079:WUX131079 Q196615:T196615 II196615:IL196615 SE196615:SH196615 ACA196615:ACD196615 ALW196615:ALZ196615 AVS196615:AVV196615 BFO196615:BFR196615 BPK196615:BPN196615 BZG196615:BZJ196615 CJC196615:CJF196615 CSY196615:CTB196615 DCU196615:DCX196615 DMQ196615:DMT196615 DWM196615:DWP196615 EGI196615:EGL196615 EQE196615:EQH196615 FAA196615:FAD196615 FJW196615:FJZ196615 FTS196615:FTV196615 GDO196615:GDR196615 GNK196615:GNN196615 GXG196615:GXJ196615 HHC196615:HHF196615 HQY196615:HRB196615 IAU196615:IAX196615 IKQ196615:IKT196615 IUM196615:IUP196615 JEI196615:JEL196615 JOE196615:JOH196615 JYA196615:JYD196615 KHW196615:KHZ196615 KRS196615:KRV196615 LBO196615:LBR196615 LLK196615:LLN196615 LVG196615:LVJ196615 MFC196615:MFF196615 MOY196615:MPB196615 MYU196615:MYX196615 NIQ196615:NIT196615 NSM196615:NSP196615 OCI196615:OCL196615 OME196615:OMH196615 OWA196615:OWD196615 PFW196615:PFZ196615 PPS196615:PPV196615 PZO196615:PZR196615 QJK196615:QJN196615 QTG196615:QTJ196615 RDC196615:RDF196615 RMY196615:RNB196615 RWU196615:RWX196615 SGQ196615:SGT196615 SQM196615:SQP196615 TAI196615:TAL196615 TKE196615:TKH196615 TUA196615:TUD196615 UDW196615:UDZ196615 UNS196615:UNV196615 UXO196615:UXR196615 VHK196615:VHN196615 VRG196615:VRJ196615 WBC196615:WBF196615 WKY196615:WLB196615 WUU196615:WUX196615 Q262151:T262151 II262151:IL262151 SE262151:SH262151 ACA262151:ACD262151 ALW262151:ALZ262151 AVS262151:AVV262151 BFO262151:BFR262151 BPK262151:BPN262151 BZG262151:BZJ262151 CJC262151:CJF262151 CSY262151:CTB262151 DCU262151:DCX262151 DMQ262151:DMT262151 DWM262151:DWP262151 EGI262151:EGL262151 EQE262151:EQH262151 FAA262151:FAD262151 FJW262151:FJZ262151 FTS262151:FTV262151 GDO262151:GDR262151 GNK262151:GNN262151 GXG262151:GXJ262151 HHC262151:HHF262151 HQY262151:HRB262151 IAU262151:IAX262151 IKQ262151:IKT262151 IUM262151:IUP262151 JEI262151:JEL262151 JOE262151:JOH262151 JYA262151:JYD262151 KHW262151:KHZ262151 KRS262151:KRV262151 LBO262151:LBR262151 LLK262151:LLN262151 LVG262151:LVJ262151 MFC262151:MFF262151 MOY262151:MPB262151 MYU262151:MYX262151 NIQ262151:NIT262151 NSM262151:NSP262151 OCI262151:OCL262151 OME262151:OMH262151 OWA262151:OWD262151 PFW262151:PFZ262151 PPS262151:PPV262151 PZO262151:PZR262151 QJK262151:QJN262151 QTG262151:QTJ262151 RDC262151:RDF262151 RMY262151:RNB262151 RWU262151:RWX262151 SGQ262151:SGT262151 SQM262151:SQP262151 TAI262151:TAL262151 TKE262151:TKH262151 TUA262151:TUD262151 UDW262151:UDZ262151 UNS262151:UNV262151 UXO262151:UXR262151 VHK262151:VHN262151 VRG262151:VRJ262151 WBC262151:WBF262151 WKY262151:WLB262151 WUU262151:WUX262151 Q327687:T327687 II327687:IL327687 SE327687:SH327687 ACA327687:ACD327687 ALW327687:ALZ327687 AVS327687:AVV327687 BFO327687:BFR327687 BPK327687:BPN327687 BZG327687:BZJ327687 CJC327687:CJF327687 CSY327687:CTB327687 DCU327687:DCX327687 DMQ327687:DMT327687 DWM327687:DWP327687 EGI327687:EGL327687 EQE327687:EQH327687 FAA327687:FAD327687 FJW327687:FJZ327687 FTS327687:FTV327687 GDO327687:GDR327687 GNK327687:GNN327687 GXG327687:GXJ327687 HHC327687:HHF327687 HQY327687:HRB327687 IAU327687:IAX327687 IKQ327687:IKT327687 IUM327687:IUP327687 JEI327687:JEL327687 JOE327687:JOH327687 JYA327687:JYD327687 KHW327687:KHZ327687 KRS327687:KRV327687 LBO327687:LBR327687 LLK327687:LLN327687 LVG327687:LVJ327687 MFC327687:MFF327687 MOY327687:MPB327687 MYU327687:MYX327687 NIQ327687:NIT327687 NSM327687:NSP327687 OCI327687:OCL327687 OME327687:OMH327687 OWA327687:OWD327687 PFW327687:PFZ327687 PPS327687:PPV327687 PZO327687:PZR327687 QJK327687:QJN327687 QTG327687:QTJ327687 RDC327687:RDF327687 RMY327687:RNB327687 RWU327687:RWX327687 SGQ327687:SGT327687 SQM327687:SQP327687 TAI327687:TAL327687 TKE327687:TKH327687 TUA327687:TUD327687 UDW327687:UDZ327687 UNS327687:UNV327687 UXO327687:UXR327687 VHK327687:VHN327687 VRG327687:VRJ327687 WBC327687:WBF327687 WKY327687:WLB327687 WUU327687:WUX327687 Q393223:T393223 II393223:IL393223 SE393223:SH393223 ACA393223:ACD393223 ALW393223:ALZ393223 AVS393223:AVV393223 BFO393223:BFR393223 BPK393223:BPN393223 BZG393223:BZJ393223 CJC393223:CJF393223 CSY393223:CTB393223 DCU393223:DCX393223 DMQ393223:DMT393223 DWM393223:DWP393223 EGI393223:EGL393223 EQE393223:EQH393223 FAA393223:FAD393223 FJW393223:FJZ393223 FTS393223:FTV393223 GDO393223:GDR393223 GNK393223:GNN393223 GXG393223:GXJ393223 HHC393223:HHF393223 HQY393223:HRB393223 IAU393223:IAX393223 IKQ393223:IKT393223 IUM393223:IUP393223 JEI393223:JEL393223 JOE393223:JOH393223 JYA393223:JYD393223 KHW393223:KHZ393223 KRS393223:KRV393223 LBO393223:LBR393223 LLK393223:LLN393223 LVG393223:LVJ393223 MFC393223:MFF393223 MOY393223:MPB393223 MYU393223:MYX393223 NIQ393223:NIT393223 NSM393223:NSP393223 OCI393223:OCL393223 OME393223:OMH393223 OWA393223:OWD393223 PFW393223:PFZ393223 PPS393223:PPV393223 PZO393223:PZR393223 QJK393223:QJN393223 QTG393223:QTJ393223 RDC393223:RDF393223 RMY393223:RNB393223 RWU393223:RWX393223 SGQ393223:SGT393223 SQM393223:SQP393223 TAI393223:TAL393223 TKE393223:TKH393223 TUA393223:TUD393223 UDW393223:UDZ393223 UNS393223:UNV393223 UXO393223:UXR393223 VHK393223:VHN393223 VRG393223:VRJ393223 WBC393223:WBF393223 WKY393223:WLB393223 WUU393223:WUX393223 Q458759:T458759 II458759:IL458759 SE458759:SH458759 ACA458759:ACD458759 ALW458759:ALZ458759 AVS458759:AVV458759 BFO458759:BFR458759 BPK458759:BPN458759 BZG458759:BZJ458759 CJC458759:CJF458759 CSY458759:CTB458759 DCU458759:DCX458759 DMQ458759:DMT458759 DWM458759:DWP458759 EGI458759:EGL458759 EQE458759:EQH458759 FAA458759:FAD458759 FJW458759:FJZ458759 FTS458759:FTV458759 GDO458759:GDR458759 GNK458759:GNN458759 GXG458759:GXJ458759 HHC458759:HHF458759 HQY458759:HRB458759 IAU458759:IAX458759 IKQ458759:IKT458759 IUM458759:IUP458759 JEI458759:JEL458759 JOE458759:JOH458759 JYA458759:JYD458759 KHW458759:KHZ458759 KRS458759:KRV458759 LBO458759:LBR458759 LLK458759:LLN458759 LVG458759:LVJ458759 MFC458759:MFF458759 MOY458759:MPB458759 MYU458759:MYX458759 NIQ458759:NIT458759 NSM458759:NSP458759 OCI458759:OCL458759 OME458759:OMH458759 OWA458759:OWD458759 PFW458759:PFZ458759 PPS458759:PPV458759 PZO458759:PZR458759 QJK458759:QJN458759 QTG458759:QTJ458759 RDC458759:RDF458759 RMY458759:RNB458759 RWU458759:RWX458759 SGQ458759:SGT458759 SQM458759:SQP458759 TAI458759:TAL458759 TKE458759:TKH458759 TUA458759:TUD458759 UDW458759:UDZ458759 UNS458759:UNV458759 UXO458759:UXR458759 VHK458759:VHN458759 VRG458759:VRJ458759 WBC458759:WBF458759 WKY458759:WLB458759 WUU458759:WUX458759 Q524295:T524295 II524295:IL524295 SE524295:SH524295 ACA524295:ACD524295 ALW524295:ALZ524295 AVS524295:AVV524295 BFO524295:BFR524295 BPK524295:BPN524295 BZG524295:BZJ524295 CJC524295:CJF524295 CSY524295:CTB524295 DCU524295:DCX524295 DMQ524295:DMT524295 DWM524295:DWP524295 EGI524295:EGL524295 EQE524295:EQH524295 FAA524295:FAD524295 FJW524295:FJZ524295 FTS524295:FTV524295 GDO524295:GDR524295 GNK524295:GNN524295 GXG524295:GXJ524295 HHC524295:HHF524295 HQY524295:HRB524295 IAU524295:IAX524295 IKQ524295:IKT524295 IUM524295:IUP524295 JEI524295:JEL524295 JOE524295:JOH524295 JYA524295:JYD524295 KHW524295:KHZ524295 KRS524295:KRV524295 LBO524295:LBR524295 LLK524295:LLN524295 LVG524295:LVJ524295 MFC524295:MFF524295 MOY524295:MPB524295 MYU524295:MYX524295 NIQ524295:NIT524295 NSM524295:NSP524295 OCI524295:OCL524295 OME524295:OMH524295 OWA524295:OWD524295 PFW524295:PFZ524295 PPS524295:PPV524295 PZO524295:PZR524295 QJK524295:QJN524295 QTG524295:QTJ524295 RDC524295:RDF524295 RMY524295:RNB524295 RWU524295:RWX524295 SGQ524295:SGT524295 SQM524295:SQP524295 TAI524295:TAL524295 TKE524295:TKH524295 TUA524295:TUD524295 UDW524295:UDZ524295 UNS524295:UNV524295 UXO524295:UXR524295 VHK524295:VHN524295 VRG524295:VRJ524295 WBC524295:WBF524295 WKY524295:WLB524295 WUU524295:WUX524295 Q589831:T589831 II589831:IL589831 SE589831:SH589831 ACA589831:ACD589831 ALW589831:ALZ589831 AVS589831:AVV589831 BFO589831:BFR589831 BPK589831:BPN589831 BZG589831:BZJ589831 CJC589831:CJF589831 CSY589831:CTB589831 DCU589831:DCX589831 DMQ589831:DMT589831 DWM589831:DWP589831 EGI589831:EGL589831 EQE589831:EQH589831 FAA589831:FAD589831 FJW589831:FJZ589831 FTS589831:FTV589831 GDO589831:GDR589831 GNK589831:GNN589831 GXG589831:GXJ589831 HHC589831:HHF589831 HQY589831:HRB589831 IAU589831:IAX589831 IKQ589831:IKT589831 IUM589831:IUP589831 JEI589831:JEL589831 JOE589831:JOH589831 JYA589831:JYD589831 KHW589831:KHZ589831 KRS589831:KRV589831 LBO589831:LBR589831 LLK589831:LLN589831 LVG589831:LVJ589831 MFC589831:MFF589831 MOY589831:MPB589831 MYU589831:MYX589831 NIQ589831:NIT589831 NSM589831:NSP589831 OCI589831:OCL589831 OME589831:OMH589831 OWA589831:OWD589831 PFW589831:PFZ589831 PPS589831:PPV589831 PZO589831:PZR589831 QJK589831:QJN589831 QTG589831:QTJ589831 RDC589831:RDF589831 RMY589831:RNB589831 RWU589831:RWX589831 SGQ589831:SGT589831 SQM589831:SQP589831 TAI589831:TAL589831 TKE589831:TKH589831 TUA589831:TUD589831 UDW589831:UDZ589831 UNS589831:UNV589831 UXO589831:UXR589831 VHK589831:VHN589831 VRG589831:VRJ589831 WBC589831:WBF589831 WKY589831:WLB589831 WUU589831:WUX589831 Q655367:T655367 II655367:IL655367 SE655367:SH655367 ACA655367:ACD655367 ALW655367:ALZ655367 AVS655367:AVV655367 BFO655367:BFR655367 BPK655367:BPN655367 BZG655367:BZJ655367 CJC655367:CJF655367 CSY655367:CTB655367 DCU655367:DCX655367 DMQ655367:DMT655367 DWM655367:DWP655367 EGI655367:EGL655367 EQE655367:EQH655367 FAA655367:FAD655367 FJW655367:FJZ655367 FTS655367:FTV655367 GDO655367:GDR655367 GNK655367:GNN655367 GXG655367:GXJ655367 HHC655367:HHF655367 HQY655367:HRB655367 IAU655367:IAX655367 IKQ655367:IKT655367 IUM655367:IUP655367 JEI655367:JEL655367 JOE655367:JOH655367 JYA655367:JYD655367 KHW655367:KHZ655367 KRS655367:KRV655367 LBO655367:LBR655367 LLK655367:LLN655367 LVG655367:LVJ655367 MFC655367:MFF655367 MOY655367:MPB655367 MYU655367:MYX655367 NIQ655367:NIT655367 NSM655367:NSP655367 OCI655367:OCL655367 OME655367:OMH655367 OWA655367:OWD655367 PFW655367:PFZ655367 PPS655367:PPV655367 PZO655367:PZR655367 QJK655367:QJN655367 QTG655367:QTJ655367 RDC655367:RDF655367 RMY655367:RNB655367 RWU655367:RWX655367 SGQ655367:SGT655367 SQM655367:SQP655367 TAI655367:TAL655367 TKE655367:TKH655367 TUA655367:TUD655367 UDW655367:UDZ655367 UNS655367:UNV655367 UXO655367:UXR655367 VHK655367:VHN655367 VRG655367:VRJ655367 WBC655367:WBF655367 WKY655367:WLB655367 WUU655367:WUX655367 Q720903:T720903 II720903:IL720903 SE720903:SH720903 ACA720903:ACD720903 ALW720903:ALZ720903 AVS720903:AVV720903 BFO720903:BFR720903 BPK720903:BPN720903 BZG720903:BZJ720903 CJC720903:CJF720903 CSY720903:CTB720903 DCU720903:DCX720903 DMQ720903:DMT720903 DWM720903:DWP720903 EGI720903:EGL720903 EQE720903:EQH720903 FAA720903:FAD720903 FJW720903:FJZ720903 FTS720903:FTV720903 GDO720903:GDR720903 GNK720903:GNN720903 GXG720903:GXJ720903 HHC720903:HHF720903 HQY720903:HRB720903 IAU720903:IAX720903 IKQ720903:IKT720903 IUM720903:IUP720903 JEI720903:JEL720903 JOE720903:JOH720903 JYA720903:JYD720903 KHW720903:KHZ720903 KRS720903:KRV720903 LBO720903:LBR720903 LLK720903:LLN720903 LVG720903:LVJ720903 MFC720903:MFF720903 MOY720903:MPB720903 MYU720903:MYX720903 NIQ720903:NIT720903 NSM720903:NSP720903 OCI720903:OCL720903 OME720903:OMH720903 OWA720903:OWD720903 PFW720903:PFZ720903 PPS720903:PPV720903 PZO720903:PZR720903 QJK720903:QJN720903 QTG720903:QTJ720903 RDC720903:RDF720903 RMY720903:RNB720903 RWU720903:RWX720903 SGQ720903:SGT720903 SQM720903:SQP720903 TAI720903:TAL720903 TKE720903:TKH720903 TUA720903:TUD720903 UDW720903:UDZ720903 UNS720903:UNV720903 UXO720903:UXR720903 VHK720903:VHN720903 VRG720903:VRJ720903 WBC720903:WBF720903 WKY720903:WLB720903 WUU720903:WUX720903 Q786439:T786439 II786439:IL786439 SE786439:SH786439 ACA786439:ACD786439 ALW786439:ALZ786439 AVS786439:AVV786439 BFO786439:BFR786439 BPK786439:BPN786439 BZG786439:BZJ786439 CJC786439:CJF786439 CSY786439:CTB786439 DCU786439:DCX786439 DMQ786439:DMT786439 DWM786439:DWP786439 EGI786439:EGL786439 EQE786439:EQH786439 FAA786439:FAD786439 FJW786439:FJZ786439 FTS786439:FTV786439 GDO786439:GDR786439 GNK786439:GNN786439 GXG786439:GXJ786439 HHC786439:HHF786439 HQY786439:HRB786439 IAU786439:IAX786439 IKQ786439:IKT786439 IUM786439:IUP786439 JEI786439:JEL786439 JOE786439:JOH786439 JYA786439:JYD786439 KHW786439:KHZ786439 KRS786439:KRV786439 LBO786439:LBR786439 LLK786439:LLN786439 LVG786439:LVJ786439 MFC786439:MFF786439 MOY786439:MPB786439 MYU786439:MYX786439 NIQ786439:NIT786439 NSM786439:NSP786439 OCI786439:OCL786439 OME786439:OMH786439 OWA786439:OWD786439 PFW786439:PFZ786439 PPS786439:PPV786439 PZO786439:PZR786439 QJK786439:QJN786439 QTG786439:QTJ786439 RDC786439:RDF786439 RMY786439:RNB786439 RWU786439:RWX786439 SGQ786439:SGT786439 SQM786439:SQP786439 TAI786439:TAL786439 TKE786439:TKH786439 TUA786439:TUD786439 UDW786439:UDZ786439 UNS786439:UNV786439 UXO786439:UXR786439 VHK786439:VHN786439 VRG786439:VRJ786439 WBC786439:WBF786439 WKY786439:WLB786439 WUU786439:WUX786439 Q851975:T851975 II851975:IL851975 SE851975:SH851975 ACA851975:ACD851975 ALW851975:ALZ851975 AVS851975:AVV851975 BFO851975:BFR851975 BPK851975:BPN851975 BZG851975:BZJ851975 CJC851975:CJF851975 CSY851975:CTB851975 DCU851975:DCX851975 DMQ851975:DMT851975 DWM851975:DWP851975 EGI851975:EGL851975 EQE851975:EQH851975 FAA851975:FAD851975 FJW851975:FJZ851975 FTS851975:FTV851975 GDO851975:GDR851975 GNK851975:GNN851975 GXG851975:GXJ851975 HHC851975:HHF851975 HQY851975:HRB851975 IAU851975:IAX851975 IKQ851975:IKT851975 IUM851975:IUP851975 JEI851975:JEL851975 JOE851975:JOH851975 JYA851975:JYD851975 KHW851975:KHZ851975 KRS851975:KRV851975 LBO851975:LBR851975 LLK851975:LLN851975 LVG851975:LVJ851975 MFC851975:MFF851975 MOY851975:MPB851975 MYU851975:MYX851975 NIQ851975:NIT851975 NSM851975:NSP851975 OCI851975:OCL851975 OME851975:OMH851975 OWA851975:OWD851975 PFW851975:PFZ851975 PPS851975:PPV851975 PZO851975:PZR851975 QJK851975:QJN851975 QTG851975:QTJ851975 RDC851975:RDF851975 RMY851975:RNB851975 RWU851975:RWX851975 SGQ851975:SGT851975 SQM851975:SQP851975 TAI851975:TAL851975 TKE851975:TKH851975 TUA851975:TUD851975 UDW851975:UDZ851975 UNS851975:UNV851975 UXO851975:UXR851975 VHK851975:VHN851975 VRG851975:VRJ851975 WBC851975:WBF851975 WKY851975:WLB851975 WUU851975:WUX851975 Q917511:T917511 II917511:IL917511 SE917511:SH917511 ACA917511:ACD917511 ALW917511:ALZ917511 AVS917511:AVV917511 BFO917511:BFR917511 BPK917511:BPN917511 BZG917511:BZJ917511 CJC917511:CJF917511 CSY917511:CTB917511 DCU917511:DCX917511 DMQ917511:DMT917511 DWM917511:DWP917511 EGI917511:EGL917511 EQE917511:EQH917511 FAA917511:FAD917511 FJW917511:FJZ917511 FTS917511:FTV917511 GDO917511:GDR917511 GNK917511:GNN917511 GXG917511:GXJ917511 HHC917511:HHF917511 HQY917511:HRB917511 IAU917511:IAX917511 IKQ917511:IKT917511 IUM917511:IUP917511 JEI917511:JEL917511 JOE917511:JOH917511 JYA917511:JYD917511 KHW917511:KHZ917511 KRS917511:KRV917511 LBO917511:LBR917511 LLK917511:LLN917511 LVG917511:LVJ917511 MFC917511:MFF917511 MOY917511:MPB917511 MYU917511:MYX917511 NIQ917511:NIT917511 NSM917511:NSP917511 OCI917511:OCL917511 OME917511:OMH917511 OWA917511:OWD917511 PFW917511:PFZ917511 PPS917511:PPV917511 PZO917511:PZR917511 QJK917511:QJN917511 QTG917511:QTJ917511 RDC917511:RDF917511 RMY917511:RNB917511 RWU917511:RWX917511 SGQ917511:SGT917511 SQM917511:SQP917511 TAI917511:TAL917511 TKE917511:TKH917511 TUA917511:TUD917511 UDW917511:UDZ917511 UNS917511:UNV917511 UXO917511:UXR917511 VHK917511:VHN917511 VRG917511:VRJ917511 WBC917511:WBF917511 WKY917511:WLB917511 WUU917511:WUX917511 Q983047:T983047 II983047:IL983047 SE983047:SH983047 ACA983047:ACD983047 ALW983047:ALZ983047 AVS983047:AVV983047 BFO983047:BFR983047 BPK983047:BPN983047 BZG983047:BZJ983047 CJC983047:CJF983047 CSY983047:CTB983047 DCU983047:DCX983047 DMQ983047:DMT983047 DWM983047:DWP983047 EGI983047:EGL983047 EQE983047:EQH983047 FAA983047:FAD983047 FJW983047:FJZ983047 FTS983047:FTV983047 GDO983047:GDR983047 GNK983047:GNN983047 GXG983047:GXJ983047 HHC983047:HHF983047 HQY983047:HRB983047 IAU983047:IAX983047 IKQ983047:IKT983047 IUM983047:IUP983047 JEI983047:JEL983047 JOE983047:JOH983047 JYA983047:JYD983047 KHW983047:KHZ983047 KRS983047:KRV983047 LBO983047:LBR983047 LLK983047:LLN983047 LVG983047:LVJ983047 MFC983047:MFF983047 MOY983047:MPB983047 MYU983047:MYX983047 NIQ983047:NIT983047 NSM983047:NSP983047 OCI983047:OCL983047 OME983047:OMH983047 OWA983047:OWD983047 PFW983047:PFZ983047 PPS983047:PPV983047 PZO983047:PZR983047 QJK983047:QJN983047 QTG983047:QTJ983047 RDC983047:RDF983047 RMY983047:RNB983047 RWU983047:RWX983047 SGQ983047:SGT983047 SQM983047:SQP983047 TAI983047:TAL983047 TKE983047:TKH983047 TUA983047:TUD983047 UDW983047:UDZ983047 UNS983047:UNV983047 UXO983047:UXR983047 VHK983047:VHN983047 VRG983047:VRJ983047 WBC983047:WBF983047 WKY983047:WLB983047 WUU983047:WUX983047 ID983046:IG983046 RZ983046:SC983046 ABV983046:ABY983046 ALR983046:ALU983046 AVN983046:AVQ983046 BFJ983046:BFM983046 BPF983046:BPI983046 BZB983046:BZE983046 CIX983046:CJA983046 CST983046:CSW983046 DCP983046:DCS983046 DML983046:DMO983046 DWH983046:DWK983046 EGD983046:EGG983046 EPZ983046:EQC983046 EZV983046:EZY983046 FJR983046:FJU983046 FTN983046:FTQ983046 GDJ983046:GDM983046 GNF983046:GNI983046 GXB983046:GXE983046 HGX983046:HHA983046 HQT983046:HQW983046 IAP983046:IAS983046 IKL983046:IKO983046 IUH983046:IUK983046 JED983046:JEG983046 JNZ983046:JOC983046 JXV983046:JXY983046 KHR983046:KHU983046 KRN983046:KRQ983046 LBJ983046:LBM983046 LLF983046:LLI983046 LVB983046:LVE983046 MEX983046:MFA983046 MOT983046:MOW983046 MYP983046:MYS983046 NIL983046:NIO983046 NSH983046:NSK983046 OCD983046:OCG983046 OLZ983046:OMC983046 OVV983046:OVY983046 PFR983046:PFU983046 PPN983046:PPQ983046 PZJ983046:PZM983046 QJF983046:QJI983046 QTB983046:QTE983046 RCX983046:RDA983046 RMT983046:RMW983046 RWP983046:RWS983046 SGL983046:SGO983046 SQH983046:SQK983046 TAD983046:TAG983046 TJZ983046:TKC983046 TTV983046:TTY983046 UDR983046:UDU983046 UNN983046:UNQ983046 UXJ983046:UXM983046 VHF983046:VHI983046 VRB983046:VRE983046 WAX983046:WBA983046 WKT983046:WKW983046 WUP983046:WUS983046 ID65542:IG65542 RZ65542:SC65542 ABV65542:ABY65542 ALR65542:ALU65542 AVN65542:AVQ65542 BFJ65542:BFM65542 BPF65542:BPI65542 BZB65542:BZE65542 CIX65542:CJA65542 CST65542:CSW65542 DCP65542:DCS65542 DML65542:DMO65542 DWH65542:DWK65542 EGD65542:EGG65542 EPZ65542:EQC65542 EZV65542:EZY65542 FJR65542:FJU65542 FTN65542:FTQ65542 GDJ65542:GDM65542 GNF65542:GNI65542 GXB65542:GXE65542 HGX65542:HHA65542 HQT65542:HQW65542 IAP65542:IAS65542 IKL65542:IKO65542 IUH65542:IUK65542 JED65542:JEG65542 JNZ65542:JOC65542 JXV65542:JXY65542 KHR65542:KHU65542 KRN65542:KRQ65542 LBJ65542:LBM65542 LLF65542:LLI65542 LVB65542:LVE65542 MEX65542:MFA65542 MOT65542:MOW65542 MYP65542:MYS65542 NIL65542:NIO65542 NSH65542:NSK65542 OCD65542:OCG65542 OLZ65542:OMC65542 OVV65542:OVY65542 PFR65542:PFU65542 PPN65542:PPQ65542 PZJ65542:PZM65542 QJF65542:QJI65542 QTB65542:QTE65542 RCX65542:RDA65542 RMT65542:RMW65542 RWP65542:RWS65542 SGL65542:SGO65542 SQH65542:SQK65542 TAD65542:TAG65542 TJZ65542:TKC65542 TTV65542:TTY65542 UDR65542:UDU65542 UNN65542:UNQ65542 UXJ65542:UXM65542 VHF65542:VHI65542 VRB65542:VRE65542 WAX65542:WBA65542 WKT65542:WKW65542 WUP65542:WUS65542 ID131078:IG131078 RZ131078:SC131078 ABV131078:ABY131078 ALR131078:ALU131078 AVN131078:AVQ131078 BFJ131078:BFM131078 BPF131078:BPI131078 BZB131078:BZE131078 CIX131078:CJA131078 CST131078:CSW131078 DCP131078:DCS131078 DML131078:DMO131078 DWH131078:DWK131078 EGD131078:EGG131078 EPZ131078:EQC131078 EZV131078:EZY131078 FJR131078:FJU131078 FTN131078:FTQ131078 GDJ131078:GDM131078 GNF131078:GNI131078 GXB131078:GXE131078 HGX131078:HHA131078 HQT131078:HQW131078 IAP131078:IAS131078 IKL131078:IKO131078 IUH131078:IUK131078 JED131078:JEG131078 JNZ131078:JOC131078 JXV131078:JXY131078 KHR131078:KHU131078 KRN131078:KRQ131078 LBJ131078:LBM131078 LLF131078:LLI131078 LVB131078:LVE131078 MEX131078:MFA131078 MOT131078:MOW131078 MYP131078:MYS131078 NIL131078:NIO131078 NSH131078:NSK131078 OCD131078:OCG131078 OLZ131078:OMC131078 OVV131078:OVY131078 PFR131078:PFU131078 PPN131078:PPQ131078 PZJ131078:PZM131078 QJF131078:QJI131078 QTB131078:QTE131078 RCX131078:RDA131078 RMT131078:RMW131078 RWP131078:RWS131078 SGL131078:SGO131078 SQH131078:SQK131078 TAD131078:TAG131078 TJZ131078:TKC131078 TTV131078:TTY131078 UDR131078:UDU131078 UNN131078:UNQ131078 UXJ131078:UXM131078 VHF131078:VHI131078 VRB131078:VRE131078 WAX131078:WBA131078 WKT131078:WKW131078 WUP131078:WUS131078 ID196614:IG196614 RZ196614:SC196614 ABV196614:ABY196614 ALR196614:ALU196614 AVN196614:AVQ196614 BFJ196614:BFM196614 BPF196614:BPI196614 BZB196614:BZE196614 CIX196614:CJA196614 CST196614:CSW196614 DCP196614:DCS196614 DML196614:DMO196614 DWH196614:DWK196614 EGD196614:EGG196614 EPZ196614:EQC196614 EZV196614:EZY196614 FJR196614:FJU196614 FTN196614:FTQ196614 GDJ196614:GDM196614 GNF196614:GNI196614 GXB196614:GXE196614 HGX196614:HHA196614 HQT196614:HQW196614 IAP196614:IAS196614 IKL196614:IKO196614 IUH196614:IUK196614 JED196614:JEG196614 JNZ196614:JOC196614 JXV196614:JXY196614 KHR196614:KHU196614 KRN196614:KRQ196614 LBJ196614:LBM196614 LLF196614:LLI196614 LVB196614:LVE196614 MEX196614:MFA196614 MOT196614:MOW196614 MYP196614:MYS196614 NIL196614:NIO196614 NSH196614:NSK196614 OCD196614:OCG196614 OLZ196614:OMC196614 OVV196614:OVY196614 PFR196614:PFU196614 PPN196614:PPQ196614 PZJ196614:PZM196614 QJF196614:QJI196614 QTB196614:QTE196614 RCX196614:RDA196614 RMT196614:RMW196614 RWP196614:RWS196614 SGL196614:SGO196614 SQH196614:SQK196614 TAD196614:TAG196614 TJZ196614:TKC196614 TTV196614:TTY196614 UDR196614:UDU196614 UNN196614:UNQ196614 UXJ196614:UXM196614 VHF196614:VHI196614 VRB196614:VRE196614 WAX196614:WBA196614 WKT196614:WKW196614 WUP196614:WUS196614 ID262150:IG262150 RZ262150:SC262150 ABV262150:ABY262150 ALR262150:ALU262150 AVN262150:AVQ262150 BFJ262150:BFM262150 BPF262150:BPI262150 BZB262150:BZE262150 CIX262150:CJA262150 CST262150:CSW262150 DCP262150:DCS262150 DML262150:DMO262150 DWH262150:DWK262150 EGD262150:EGG262150 EPZ262150:EQC262150 EZV262150:EZY262150 FJR262150:FJU262150 FTN262150:FTQ262150 GDJ262150:GDM262150 GNF262150:GNI262150 GXB262150:GXE262150 HGX262150:HHA262150 HQT262150:HQW262150 IAP262150:IAS262150 IKL262150:IKO262150 IUH262150:IUK262150 JED262150:JEG262150 JNZ262150:JOC262150 JXV262150:JXY262150 KHR262150:KHU262150 KRN262150:KRQ262150 LBJ262150:LBM262150 LLF262150:LLI262150 LVB262150:LVE262150 MEX262150:MFA262150 MOT262150:MOW262150 MYP262150:MYS262150 NIL262150:NIO262150 NSH262150:NSK262150 OCD262150:OCG262150 OLZ262150:OMC262150 OVV262150:OVY262150 PFR262150:PFU262150 PPN262150:PPQ262150 PZJ262150:PZM262150 QJF262150:QJI262150 QTB262150:QTE262150 RCX262150:RDA262150 RMT262150:RMW262150 RWP262150:RWS262150 SGL262150:SGO262150 SQH262150:SQK262150 TAD262150:TAG262150 TJZ262150:TKC262150 TTV262150:TTY262150 UDR262150:UDU262150 UNN262150:UNQ262150 UXJ262150:UXM262150 VHF262150:VHI262150 VRB262150:VRE262150 WAX262150:WBA262150 WKT262150:WKW262150 WUP262150:WUS262150 ID327686:IG327686 RZ327686:SC327686 ABV327686:ABY327686 ALR327686:ALU327686 AVN327686:AVQ327686 BFJ327686:BFM327686 BPF327686:BPI327686 BZB327686:BZE327686 CIX327686:CJA327686 CST327686:CSW327686 DCP327686:DCS327686 DML327686:DMO327686 DWH327686:DWK327686 EGD327686:EGG327686 EPZ327686:EQC327686 EZV327686:EZY327686 FJR327686:FJU327686 FTN327686:FTQ327686 GDJ327686:GDM327686 GNF327686:GNI327686 GXB327686:GXE327686 HGX327686:HHA327686 HQT327686:HQW327686 IAP327686:IAS327686 IKL327686:IKO327686 IUH327686:IUK327686 JED327686:JEG327686 JNZ327686:JOC327686 JXV327686:JXY327686 KHR327686:KHU327686 KRN327686:KRQ327686 LBJ327686:LBM327686 LLF327686:LLI327686 LVB327686:LVE327686 MEX327686:MFA327686 MOT327686:MOW327686 MYP327686:MYS327686 NIL327686:NIO327686 NSH327686:NSK327686 OCD327686:OCG327686 OLZ327686:OMC327686 OVV327686:OVY327686 PFR327686:PFU327686 PPN327686:PPQ327686 PZJ327686:PZM327686 QJF327686:QJI327686 QTB327686:QTE327686 RCX327686:RDA327686 RMT327686:RMW327686 RWP327686:RWS327686 SGL327686:SGO327686 SQH327686:SQK327686 TAD327686:TAG327686 TJZ327686:TKC327686 TTV327686:TTY327686 UDR327686:UDU327686 UNN327686:UNQ327686 UXJ327686:UXM327686 VHF327686:VHI327686 VRB327686:VRE327686 WAX327686:WBA327686 WKT327686:WKW327686 WUP327686:WUS327686 ID393222:IG393222 RZ393222:SC393222 ABV393222:ABY393222 ALR393222:ALU393222 AVN393222:AVQ393222 BFJ393222:BFM393222 BPF393222:BPI393222 BZB393222:BZE393222 CIX393222:CJA393222 CST393222:CSW393222 DCP393222:DCS393222 DML393222:DMO393222 DWH393222:DWK393222 EGD393222:EGG393222 EPZ393222:EQC393222 EZV393222:EZY393222 FJR393222:FJU393222 FTN393222:FTQ393222 GDJ393222:GDM393222 GNF393222:GNI393222 GXB393222:GXE393222 HGX393222:HHA393222 HQT393222:HQW393222 IAP393222:IAS393222 IKL393222:IKO393222 IUH393222:IUK393222 JED393222:JEG393222 JNZ393222:JOC393222 JXV393222:JXY393222 KHR393222:KHU393222 KRN393222:KRQ393222 LBJ393222:LBM393222 LLF393222:LLI393222 LVB393222:LVE393222 MEX393222:MFA393222 MOT393222:MOW393222 MYP393222:MYS393222 NIL393222:NIO393222 NSH393222:NSK393222 OCD393222:OCG393222 OLZ393222:OMC393222 OVV393222:OVY393222 PFR393222:PFU393222 PPN393222:PPQ393222 PZJ393222:PZM393222 QJF393222:QJI393222 QTB393222:QTE393222 RCX393222:RDA393222 RMT393222:RMW393222 RWP393222:RWS393222 SGL393222:SGO393222 SQH393222:SQK393222 TAD393222:TAG393222 TJZ393222:TKC393222 TTV393222:TTY393222 UDR393222:UDU393222 UNN393222:UNQ393222 UXJ393222:UXM393222 VHF393222:VHI393222 VRB393222:VRE393222 WAX393222:WBA393222 WKT393222:WKW393222 WUP393222:WUS393222 ID458758:IG458758 RZ458758:SC458758 ABV458758:ABY458758 ALR458758:ALU458758 AVN458758:AVQ458758 BFJ458758:BFM458758 BPF458758:BPI458758 BZB458758:BZE458758 CIX458758:CJA458758 CST458758:CSW458758 DCP458758:DCS458758 DML458758:DMO458758 DWH458758:DWK458758 EGD458758:EGG458758 EPZ458758:EQC458758 EZV458758:EZY458758 FJR458758:FJU458758 FTN458758:FTQ458758 GDJ458758:GDM458758 GNF458758:GNI458758 GXB458758:GXE458758 HGX458758:HHA458758 HQT458758:HQW458758 IAP458758:IAS458758 IKL458758:IKO458758 IUH458758:IUK458758 JED458758:JEG458758 JNZ458758:JOC458758 JXV458758:JXY458758 KHR458758:KHU458758 KRN458758:KRQ458758 LBJ458758:LBM458758 LLF458758:LLI458758 LVB458758:LVE458758 MEX458758:MFA458758 MOT458758:MOW458758 MYP458758:MYS458758 NIL458758:NIO458758 NSH458758:NSK458758 OCD458758:OCG458758 OLZ458758:OMC458758 OVV458758:OVY458758 PFR458758:PFU458758 PPN458758:PPQ458758 PZJ458758:PZM458758 QJF458758:QJI458758 QTB458758:QTE458758 RCX458758:RDA458758 RMT458758:RMW458758 RWP458758:RWS458758 SGL458758:SGO458758 SQH458758:SQK458758 TAD458758:TAG458758 TJZ458758:TKC458758 TTV458758:TTY458758 UDR458758:UDU458758 UNN458758:UNQ458758 UXJ458758:UXM458758 VHF458758:VHI458758 VRB458758:VRE458758 WAX458758:WBA458758 WKT458758:WKW458758 WUP458758:WUS458758 ID524294:IG524294 RZ524294:SC524294 ABV524294:ABY524294 ALR524294:ALU524294 AVN524294:AVQ524294 BFJ524294:BFM524294 BPF524294:BPI524294 BZB524294:BZE524294 CIX524294:CJA524294 CST524294:CSW524294 DCP524294:DCS524294 DML524294:DMO524294 DWH524294:DWK524294 EGD524294:EGG524294 EPZ524294:EQC524294 EZV524294:EZY524294 FJR524294:FJU524294 FTN524294:FTQ524294 GDJ524294:GDM524294 GNF524294:GNI524294 GXB524294:GXE524294 HGX524294:HHA524294 HQT524294:HQW524294 IAP524294:IAS524294 IKL524294:IKO524294 IUH524294:IUK524294 JED524294:JEG524294 JNZ524294:JOC524294 JXV524294:JXY524294 KHR524294:KHU524294 KRN524294:KRQ524294 LBJ524294:LBM524294 LLF524294:LLI524294 LVB524294:LVE524294 MEX524294:MFA524294 MOT524294:MOW524294 MYP524294:MYS524294 NIL524294:NIO524294 NSH524294:NSK524294 OCD524294:OCG524294 OLZ524294:OMC524294 OVV524294:OVY524294 PFR524294:PFU524294 PPN524294:PPQ524294 PZJ524294:PZM524294 QJF524294:QJI524294 QTB524294:QTE524294 RCX524294:RDA524294 RMT524294:RMW524294 RWP524294:RWS524294 SGL524294:SGO524294 SQH524294:SQK524294 TAD524294:TAG524294 TJZ524294:TKC524294 TTV524294:TTY524294 UDR524294:UDU524294 UNN524294:UNQ524294 UXJ524294:UXM524294 VHF524294:VHI524294 VRB524294:VRE524294 WAX524294:WBA524294 WKT524294:WKW524294 WUP524294:WUS524294 ID589830:IG589830 RZ589830:SC589830 ABV589830:ABY589830 ALR589830:ALU589830 AVN589830:AVQ589830 BFJ589830:BFM589830 BPF589830:BPI589830 BZB589830:BZE589830 CIX589830:CJA589830 CST589830:CSW589830 DCP589830:DCS589830 DML589830:DMO589830 DWH589830:DWK589830 EGD589830:EGG589830 EPZ589830:EQC589830 EZV589830:EZY589830 FJR589830:FJU589830 FTN589830:FTQ589830 GDJ589830:GDM589830 GNF589830:GNI589830 GXB589830:GXE589830 HGX589830:HHA589830 HQT589830:HQW589830 IAP589830:IAS589830 IKL589830:IKO589830 IUH589830:IUK589830 JED589830:JEG589830 JNZ589830:JOC589830 JXV589830:JXY589830 KHR589830:KHU589830 KRN589830:KRQ589830 LBJ589830:LBM589830 LLF589830:LLI589830 LVB589830:LVE589830 MEX589830:MFA589830 MOT589830:MOW589830 MYP589830:MYS589830 NIL589830:NIO589830 NSH589830:NSK589830 OCD589830:OCG589830 OLZ589830:OMC589830 OVV589830:OVY589830 PFR589830:PFU589830 PPN589830:PPQ589830 PZJ589830:PZM589830 QJF589830:QJI589830 QTB589830:QTE589830 RCX589830:RDA589830 RMT589830:RMW589830 RWP589830:RWS589830 SGL589830:SGO589830 SQH589830:SQK589830 TAD589830:TAG589830 TJZ589830:TKC589830 TTV589830:TTY589830 UDR589830:UDU589830 UNN589830:UNQ589830 UXJ589830:UXM589830 VHF589830:VHI589830 VRB589830:VRE589830 WAX589830:WBA589830 WKT589830:WKW589830 WUP589830:WUS589830 ID655366:IG655366 RZ655366:SC655366 ABV655366:ABY655366 ALR655366:ALU655366 AVN655366:AVQ655366 BFJ655366:BFM655366 BPF655366:BPI655366 BZB655366:BZE655366 CIX655366:CJA655366 CST655366:CSW655366 DCP655366:DCS655366 DML655366:DMO655366 DWH655366:DWK655366 EGD655366:EGG655366 EPZ655366:EQC655366 EZV655366:EZY655366 FJR655366:FJU655366 FTN655366:FTQ655366 GDJ655366:GDM655366 GNF655366:GNI655366 GXB655366:GXE655366 HGX655366:HHA655366 HQT655366:HQW655366 IAP655366:IAS655366 IKL655366:IKO655366 IUH655366:IUK655366 JED655366:JEG655366 JNZ655366:JOC655366 JXV655366:JXY655366 KHR655366:KHU655366 KRN655366:KRQ655366 LBJ655366:LBM655366 LLF655366:LLI655366 LVB655366:LVE655366 MEX655366:MFA655366 MOT655366:MOW655366 MYP655366:MYS655366 NIL655366:NIO655366 NSH655366:NSK655366 OCD655366:OCG655366 OLZ655366:OMC655366 OVV655366:OVY655366 PFR655366:PFU655366 PPN655366:PPQ655366 PZJ655366:PZM655366 QJF655366:QJI655366 QTB655366:QTE655366 RCX655366:RDA655366 RMT655366:RMW655366 RWP655366:RWS655366 SGL655366:SGO655366 SQH655366:SQK655366 TAD655366:TAG655366 TJZ655366:TKC655366 TTV655366:TTY655366 UDR655366:UDU655366 UNN655366:UNQ655366 UXJ655366:UXM655366 VHF655366:VHI655366 VRB655366:VRE655366 WAX655366:WBA655366 WKT655366:WKW655366 WUP655366:WUS655366 ID720902:IG720902 RZ720902:SC720902 ABV720902:ABY720902 ALR720902:ALU720902 AVN720902:AVQ720902 BFJ720902:BFM720902 BPF720902:BPI720902 BZB720902:BZE720902 CIX720902:CJA720902 CST720902:CSW720902 DCP720902:DCS720902 DML720902:DMO720902 DWH720902:DWK720902 EGD720902:EGG720902 EPZ720902:EQC720902 EZV720902:EZY720902 FJR720902:FJU720902 FTN720902:FTQ720902 GDJ720902:GDM720902 GNF720902:GNI720902 GXB720902:GXE720902 HGX720902:HHA720902 HQT720902:HQW720902 IAP720902:IAS720902 IKL720902:IKO720902 IUH720902:IUK720902 JED720902:JEG720902 JNZ720902:JOC720902 JXV720902:JXY720902 KHR720902:KHU720902 KRN720902:KRQ720902 LBJ720902:LBM720902 LLF720902:LLI720902 LVB720902:LVE720902 MEX720902:MFA720902 MOT720902:MOW720902 MYP720902:MYS720902 NIL720902:NIO720902 NSH720902:NSK720902 OCD720902:OCG720902 OLZ720902:OMC720902 OVV720902:OVY720902 PFR720902:PFU720902 PPN720902:PPQ720902 PZJ720902:PZM720902 QJF720902:QJI720902 QTB720902:QTE720902 RCX720902:RDA720902 RMT720902:RMW720902 RWP720902:RWS720902 SGL720902:SGO720902 SQH720902:SQK720902 TAD720902:TAG720902 TJZ720902:TKC720902 TTV720902:TTY720902 UDR720902:UDU720902 UNN720902:UNQ720902 UXJ720902:UXM720902 VHF720902:VHI720902 VRB720902:VRE720902 WAX720902:WBA720902 WKT720902:WKW720902 WUP720902:WUS720902 ID786438:IG786438 RZ786438:SC786438 ABV786438:ABY786438 ALR786438:ALU786438 AVN786438:AVQ786438 BFJ786438:BFM786438 BPF786438:BPI786438 BZB786438:BZE786438 CIX786438:CJA786438 CST786438:CSW786438 DCP786438:DCS786438 DML786438:DMO786438 DWH786438:DWK786438 EGD786438:EGG786438 EPZ786438:EQC786438 EZV786438:EZY786438 FJR786438:FJU786438 FTN786438:FTQ786438 GDJ786438:GDM786438 GNF786438:GNI786438 GXB786438:GXE786438 HGX786438:HHA786438 HQT786438:HQW786438 IAP786438:IAS786438 IKL786438:IKO786438 IUH786438:IUK786438 JED786438:JEG786438 JNZ786438:JOC786438 JXV786438:JXY786438 KHR786438:KHU786438 KRN786438:KRQ786438 LBJ786438:LBM786438 LLF786438:LLI786438 LVB786438:LVE786438 MEX786438:MFA786438 MOT786438:MOW786438 MYP786438:MYS786438 NIL786438:NIO786438 NSH786438:NSK786438 OCD786438:OCG786438 OLZ786438:OMC786438 OVV786438:OVY786438 PFR786438:PFU786438 PPN786438:PPQ786438 PZJ786438:PZM786438 QJF786438:QJI786438 QTB786438:QTE786438 RCX786438:RDA786438 RMT786438:RMW786438 RWP786438:RWS786438 SGL786438:SGO786438 SQH786438:SQK786438 TAD786438:TAG786438 TJZ786438:TKC786438 TTV786438:TTY786438 UDR786438:UDU786438 UNN786438:UNQ786438 UXJ786438:UXM786438 VHF786438:VHI786438 VRB786438:VRE786438 WAX786438:WBA786438 WKT786438:WKW786438 WUP786438:WUS786438 ID851974:IG851974 RZ851974:SC851974 ABV851974:ABY851974 ALR851974:ALU851974 AVN851974:AVQ851974 BFJ851974:BFM851974 BPF851974:BPI851974 BZB851974:BZE851974 CIX851974:CJA851974 CST851974:CSW851974 DCP851974:DCS851974 DML851974:DMO851974 DWH851974:DWK851974 EGD851974:EGG851974 EPZ851974:EQC851974 EZV851974:EZY851974 FJR851974:FJU851974 FTN851974:FTQ851974 GDJ851974:GDM851974 GNF851974:GNI851974 GXB851974:GXE851974 HGX851974:HHA851974 HQT851974:HQW851974 IAP851974:IAS851974 IKL851974:IKO851974 IUH851974:IUK851974 JED851974:JEG851974 JNZ851974:JOC851974 JXV851974:JXY851974 KHR851974:KHU851974 KRN851974:KRQ851974 LBJ851974:LBM851974 LLF851974:LLI851974 LVB851974:LVE851974 MEX851974:MFA851974 MOT851974:MOW851974 MYP851974:MYS851974 NIL851974:NIO851974 NSH851974:NSK851974 OCD851974:OCG851974 OLZ851974:OMC851974 OVV851974:OVY851974 PFR851974:PFU851974 PPN851974:PPQ851974 PZJ851974:PZM851974 QJF851974:QJI851974 QTB851974:QTE851974 RCX851974:RDA851974 RMT851974:RMW851974 RWP851974:RWS851974 SGL851974:SGO851974 SQH851974:SQK851974 TAD851974:TAG851974 TJZ851974:TKC851974 TTV851974:TTY851974 UDR851974:UDU851974 UNN851974:UNQ851974 UXJ851974:UXM851974 VHF851974:VHI851974 VRB851974:VRE851974 WAX851974:WBA851974 WKT851974:WKW851974 WUP851974:WUS851974 ID917510:IG917510 RZ917510:SC917510 ABV917510:ABY917510 ALR917510:ALU917510 AVN917510:AVQ917510 BFJ917510:BFM917510 BPF917510:BPI917510 BZB917510:BZE917510 CIX917510:CJA917510 CST917510:CSW917510 DCP917510:DCS917510 DML917510:DMO917510 DWH917510:DWK917510 EGD917510:EGG917510 EPZ917510:EQC917510 EZV917510:EZY917510 FJR917510:FJU917510 FTN917510:FTQ917510 GDJ917510:GDM917510 GNF917510:GNI917510 GXB917510:GXE917510 HGX917510:HHA917510 HQT917510:HQW917510 IAP917510:IAS917510 IKL917510:IKO917510 IUH917510:IUK917510 JED917510:JEG917510 JNZ917510:JOC917510 JXV917510:JXY917510 KHR917510:KHU917510 KRN917510:KRQ917510 LBJ917510:LBM917510 LLF917510:LLI917510 LVB917510:LVE917510 MEX917510:MFA917510 MOT917510:MOW917510 MYP917510:MYS917510 NIL917510:NIO917510 NSH917510:NSK917510 OCD917510:OCG917510 OLZ917510:OMC917510 OVV917510:OVY917510 PFR917510:PFU917510 PPN917510:PPQ917510 PZJ917510:PZM917510 QJF917510:QJI917510 QTB917510:QTE917510 RCX917510:RDA917510 RMT917510:RMW917510 RWP917510:RWS917510 SGL917510:SGO917510 SQH917510:SQK917510 TAD917510:TAG917510 TJZ917510:TKC917510 TTV917510:TTY917510 UDR917510:UDU917510 UNN917510:UNQ917510 UXJ917510:UXM917510 VHF917510:VHI917510 VRB917510:VRE917510 WAX917510:WBA917510 WKT917510:WKW917510 WUP917510:WUS917510 AG65549:AH65552 AG131085:AH131088 AG196621:AH196624 AG262157:AH262160 AG327693:AH327696 AG393229:AH393232 AG458765:AH458768 AG524301:AH524304 AG589837:AH589840 AG655373:AH655376 AG720909:AH720912 AG786445:AH786448 AG851981:AH851984 AG917517:AH917520 AG983053:AH983056 AB983047:AE983047 AB65543:AE65543 AB131079:AE131079 AB196615:AE196615 AB262151:AE262151 AB327687:AE327687 AB393223:AE393223 AB458759:AE458759 AB524295:AE524295 AB589831:AE589831 AB655367:AE655367 AB720903:AE720903 AB786439:AE786439 AB851975:AE851975 AB917511:AE917511 AP65549:AQ65552 AP131085:AQ131088 AP196621:AQ196624 AP262157:AQ262160 AP327693:AQ327696 AP393229:AQ393232 AP458765:AQ458768 AP524301:AQ524304 AP589837:AQ589840 AP655373:AQ655376 AP720909:AQ720912 AP786445:AQ786448 AP851981:AQ851984 AP917517:AQ917520 AP983053:AQ983056 AN65543 AN131079 AN196615 AN262151 AN327687 AN393223 AN458759 AN524295 AN589831 AN655367 AN720903 AN786439 AN851975 AN917511 AI917511:AK917511 AI851975:AK851975 AI786439:AK786439 AI720903:AK720903 AI655367:AK655367 AI589831:AK589831 AI524295:AK524295 AI458759:AK458759 AI393223:AK393223 AI327687:AK327687 AI262151:AK262151 AI196615:AK196615 AI131079:AK131079 AI65543:AK65543 AI983047:AK983047 AN983047 AM65549:AM65552 AM131085:AM131088 AM196621:AM196624 AM262157:AM262160 AM327693:AM327696 AM393229:AM393232 AM458765:AM458768 AM524301:AM524304 AM589837:AM589840 AM655373:AM655376 AM720909:AM720912 AM786445:AM786448 AM851981:AM851984 AM917517:AM917520 AM983053:AM983056" xr:uid="{19876C68-309A-4E27-9488-5B0BD1A5E560}">
      <formula1>"○"</formula1>
    </dataValidation>
    <dataValidation type="list" allowBlank="1" showInputMessage="1" showErrorMessage="1" sqref="WTV982999:WUJ983036 VQH982999:VQV983036 VGL982999:VGZ983036 UWP982999:UXD983036 UMT982999:UNH983036 UCX982999:UDL983036 TTB982999:TTP983036 TJF982999:TJT983036 SZJ982999:SZX983036 SPN982999:SQB983036 SFR982999:SGF983036 RVV982999:RWJ983036 RLZ982999:RMN983036 RCD982999:RCR983036 QSH982999:QSV983036 QIL982999:QIZ983036 PYP982999:PZD983036 POT982999:PPH983036 PEX982999:PFL983036 OVB982999:OVP983036 OLF982999:OLT983036 OBJ982999:OBX983036 NRN982999:NSB983036 NHR982999:NIF983036 MXV982999:MYJ983036 MNZ982999:MON983036 MED982999:MER983036 LUH982999:LUV983036 LKL982999:LKZ983036 LAP982999:LBD983036 KQT982999:KRH983036 KGX982999:KHL983036 JXB982999:JXP983036 JNF982999:JNT983036 JDJ982999:JDX983036 ITN982999:IUB983036 IJR982999:IKF983036 HZV982999:IAJ983036 HPZ982999:HQN983036 HGD982999:HGR983036 GWH982999:GWV983036 GML982999:GMZ983036 GCP982999:GDD983036 FST982999:FTH983036 FIX982999:FJL983036 EZB982999:EZP983036 EPF982999:EPT983036 EFJ982999:EFX983036 DVN982999:DWB983036 DLR982999:DMF983036 DBV982999:DCJ983036 CRZ982999:CSN983036 CID982999:CIR983036 BYH982999:BYV983036 BOL982999:BOZ983036 BEP982999:BFD983036 AUT982999:AVH983036 AKX982999:ALL983036 ABB982999:ABP983036 RF982999:RT983036 HJ982999:HX983036 WTV917463:WUJ917500 WJZ917463:WKN917500 WAD917463:WAR917500 VQH917463:VQV917500 VGL917463:VGZ917500 UWP917463:UXD917500 UMT917463:UNH917500 UCX917463:UDL917500 TTB917463:TTP917500 TJF917463:TJT917500 SZJ917463:SZX917500 SPN917463:SQB917500 SFR917463:SGF917500 RVV917463:RWJ917500 RLZ917463:RMN917500 RCD917463:RCR917500 QSH917463:QSV917500 QIL917463:QIZ917500 PYP917463:PZD917500 POT917463:PPH917500 PEX917463:PFL917500 OVB917463:OVP917500 OLF917463:OLT917500 OBJ917463:OBX917500 NRN917463:NSB917500 NHR917463:NIF917500 MXV917463:MYJ917500 MNZ917463:MON917500 MED917463:MER917500 LUH917463:LUV917500 LKL917463:LKZ917500 LAP917463:LBD917500 KQT917463:KRH917500 KGX917463:KHL917500 JXB917463:JXP917500 JNF917463:JNT917500 JDJ917463:JDX917500 ITN917463:IUB917500 IJR917463:IKF917500 HZV917463:IAJ917500 HPZ917463:HQN917500 HGD917463:HGR917500 GWH917463:GWV917500 GML917463:GMZ917500 GCP917463:GDD917500 FST917463:FTH917500 FIX917463:FJL917500 EZB917463:EZP917500 EPF917463:EPT917500 EFJ917463:EFX917500 DVN917463:DWB917500 DLR917463:DMF917500 DBV917463:DCJ917500 CRZ917463:CSN917500 CID917463:CIR917500 BYH917463:BYV917500 BOL917463:BOZ917500 BEP917463:BFD917500 AUT917463:AVH917500 AKX917463:ALL917500 ABB917463:ABP917500 RF917463:RT917500 HJ917463:HX917500 WTV851927:WUJ851964 WJZ851927:WKN851964 WAD851927:WAR851964 VQH851927:VQV851964 VGL851927:VGZ851964 UWP851927:UXD851964 UMT851927:UNH851964 UCX851927:UDL851964 TTB851927:TTP851964 TJF851927:TJT851964 SZJ851927:SZX851964 SPN851927:SQB851964 SFR851927:SGF851964 RVV851927:RWJ851964 RLZ851927:RMN851964 RCD851927:RCR851964 QSH851927:QSV851964 QIL851927:QIZ851964 PYP851927:PZD851964 POT851927:PPH851964 PEX851927:PFL851964 OVB851927:OVP851964 OLF851927:OLT851964 OBJ851927:OBX851964 NRN851927:NSB851964 NHR851927:NIF851964 MXV851927:MYJ851964 MNZ851927:MON851964 MED851927:MER851964 LUH851927:LUV851964 LKL851927:LKZ851964 LAP851927:LBD851964 KQT851927:KRH851964 KGX851927:KHL851964 JXB851927:JXP851964 JNF851927:JNT851964 JDJ851927:JDX851964 ITN851927:IUB851964 IJR851927:IKF851964 HZV851927:IAJ851964 HPZ851927:HQN851964 HGD851927:HGR851964 GWH851927:GWV851964 GML851927:GMZ851964 GCP851927:GDD851964 FST851927:FTH851964 FIX851927:FJL851964 EZB851927:EZP851964 EPF851927:EPT851964 EFJ851927:EFX851964 DVN851927:DWB851964 DLR851927:DMF851964 DBV851927:DCJ851964 CRZ851927:CSN851964 CID851927:CIR851964 BYH851927:BYV851964 BOL851927:BOZ851964 BEP851927:BFD851964 AUT851927:AVH851964 AKX851927:ALL851964 ABB851927:ABP851964 RF851927:RT851964 HJ851927:HX851964 WTV786391:WUJ786428 WJZ786391:WKN786428 WAD786391:WAR786428 VQH786391:VQV786428 VGL786391:VGZ786428 UWP786391:UXD786428 UMT786391:UNH786428 UCX786391:UDL786428 TTB786391:TTP786428 TJF786391:TJT786428 SZJ786391:SZX786428 SPN786391:SQB786428 SFR786391:SGF786428 RVV786391:RWJ786428 RLZ786391:RMN786428 RCD786391:RCR786428 QSH786391:QSV786428 QIL786391:QIZ786428 PYP786391:PZD786428 POT786391:PPH786428 PEX786391:PFL786428 OVB786391:OVP786428 OLF786391:OLT786428 OBJ786391:OBX786428 NRN786391:NSB786428 NHR786391:NIF786428 MXV786391:MYJ786428 MNZ786391:MON786428 MED786391:MER786428 LUH786391:LUV786428 LKL786391:LKZ786428 LAP786391:LBD786428 KQT786391:KRH786428 KGX786391:KHL786428 JXB786391:JXP786428 JNF786391:JNT786428 JDJ786391:JDX786428 ITN786391:IUB786428 IJR786391:IKF786428 HZV786391:IAJ786428 HPZ786391:HQN786428 HGD786391:HGR786428 GWH786391:GWV786428 GML786391:GMZ786428 GCP786391:GDD786428 FST786391:FTH786428 FIX786391:FJL786428 EZB786391:EZP786428 EPF786391:EPT786428 EFJ786391:EFX786428 DVN786391:DWB786428 DLR786391:DMF786428 DBV786391:DCJ786428 CRZ786391:CSN786428 CID786391:CIR786428 BYH786391:BYV786428 BOL786391:BOZ786428 BEP786391:BFD786428 AUT786391:AVH786428 AKX786391:ALL786428 ABB786391:ABP786428 RF786391:RT786428 HJ786391:HX786428 WTV720855:WUJ720892 WJZ720855:WKN720892 WAD720855:WAR720892 VQH720855:VQV720892 VGL720855:VGZ720892 UWP720855:UXD720892 UMT720855:UNH720892 UCX720855:UDL720892 TTB720855:TTP720892 TJF720855:TJT720892 SZJ720855:SZX720892 SPN720855:SQB720892 SFR720855:SGF720892 RVV720855:RWJ720892 RLZ720855:RMN720892 RCD720855:RCR720892 QSH720855:QSV720892 QIL720855:QIZ720892 PYP720855:PZD720892 POT720855:PPH720892 PEX720855:PFL720892 OVB720855:OVP720892 OLF720855:OLT720892 OBJ720855:OBX720892 NRN720855:NSB720892 NHR720855:NIF720892 MXV720855:MYJ720892 MNZ720855:MON720892 MED720855:MER720892 LUH720855:LUV720892 LKL720855:LKZ720892 LAP720855:LBD720892 KQT720855:KRH720892 KGX720855:KHL720892 JXB720855:JXP720892 JNF720855:JNT720892 JDJ720855:JDX720892 ITN720855:IUB720892 IJR720855:IKF720892 HZV720855:IAJ720892 HPZ720855:HQN720892 HGD720855:HGR720892 GWH720855:GWV720892 GML720855:GMZ720892 GCP720855:GDD720892 FST720855:FTH720892 FIX720855:FJL720892 EZB720855:EZP720892 EPF720855:EPT720892 EFJ720855:EFX720892 DVN720855:DWB720892 DLR720855:DMF720892 DBV720855:DCJ720892 CRZ720855:CSN720892 CID720855:CIR720892 BYH720855:BYV720892 BOL720855:BOZ720892 BEP720855:BFD720892 AUT720855:AVH720892 AKX720855:ALL720892 ABB720855:ABP720892 RF720855:RT720892 HJ720855:HX720892 WTV655319:WUJ655356 WJZ655319:WKN655356 WAD655319:WAR655356 VQH655319:VQV655356 VGL655319:VGZ655356 UWP655319:UXD655356 UMT655319:UNH655356 UCX655319:UDL655356 TTB655319:TTP655356 TJF655319:TJT655356 SZJ655319:SZX655356 SPN655319:SQB655356 SFR655319:SGF655356 RVV655319:RWJ655356 RLZ655319:RMN655356 RCD655319:RCR655356 QSH655319:QSV655356 QIL655319:QIZ655356 PYP655319:PZD655356 POT655319:PPH655356 PEX655319:PFL655356 OVB655319:OVP655356 OLF655319:OLT655356 OBJ655319:OBX655356 NRN655319:NSB655356 NHR655319:NIF655356 MXV655319:MYJ655356 MNZ655319:MON655356 MED655319:MER655356 LUH655319:LUV655356 LKL655319:LKZ655356 LAP655319:LBD655356 KQT655319:KRH655356 KGX655319:KHL655356 JXB655319:JXP655356 JNF655319:JNT655356 JDJ655319:JDX655356 ITN655319:IUB655356 IJR655319:IKF655356 HZV655319:IAJ655356 HPZ655319:HQN655356 HGD655319:HGR655356 GWH655319:GWV655356 GML655319:GMZ655356 GCP655319:GDD655356 FST655319:FTH655356 FIX655319:FJL655356 EZB655319:EZP655356 EPF655319:EPT655356 EFJ655319:EFX655356 DVN655319:DWB655356 DLR655319:DMF655356 DBV655319:DCJ655356 CRZ655319:CSN655356 CID655319:CIR655356 BYH655319:BYV655356 BOL655319:BOZ655356 BEP655319:BFD655356 AUT655319:AVH655356 AKX655319:ALL655356 ABB655319:ABP655356 RF655319:RT655356 HJ655319:HX655356 WTV589783:WUJ589820 WJZ589783:WKN589820 WAD589783:WAR589820 VQH589783:VQV589820 VGL589783:VGZ589820 UWP589783:UXD589820 UMT589783:UNH589820 UCX589783:UDL589820 TTB589783:TTP589820 TJF589783:TJT589820 SZJ589783:SZX589820 SPN589783:SQB589820 SFR589783:SGF589820 RVV589783:RWJ589820 RLZ589783:RMN589820 RCD589783:RCR589820 QSH589783:QSV589820 QIL589783:QIZ589820 PYP589783:PZD589820 POT589783:PPH589820 PEX589783:PFL589820 OVB589783:OVP589820 OLF589783:OLT589820 OBJ589783:OBX589820 NRN589783:NSB589820 NHR589783:NIF589820 MXV589783:MYJ589820 MNZ589783:MON589820 MED589783:MER589820 LUH589783:LUV589820 LKL589783:LKZ589820 LAP589783:LBD589820 KQT589783:KRH589820 KGX589783:KHL589820 JXB589783:JXP589820 JNF589783:JNT589820 JDJ589783:JDX589820 ITN589783:IUB589820 IJR589783:IKF589820 HZV589783:IAJ589820 HPZ589783:HQN589820 HGD589783:HGR589820 GWH589783:GWV589820 GML589783:GMZ589820 GCP589783:GDD589820 FST589783:FTH589820 FIX589783:FJL589820 EZB589783:EZP589820 EPF589783:EPT589820 EFJ589783:EFX589820 DVN589783:DWB589820 DLR589783:DMF589820 DBV589783:DCJ589820 CRZ589783:CSN589820 CID589783:CIR589820 BYH589783:BYV589820 BOL589783:BOZ589820 BEP589783:BFD589820 AUT589783:AVH589820 AKX589783:ALL589820 ABB589783:ABP589820 RF589783:RT589820 HJ589783:HX589820 WTV524247:WUJ524284 WJZ524247:WKN524284 WAD524247:WAR524284 VQH524247:VQV524284 VGL524247:VGZ524284 UWP524247:UXD524284 UMT524247:UNH524284 UCX524247:UDL524284 TTB524247:TTP524284 TJF524247:TJT524284 SZJ524247:SZX524284 SPN524247:SQB524284 SFR524247:SGF524284 RVV524247:RWJ524284 RLZ524247:RMN524284 RCD524247:RCR524284 QSH524247:QSV524284 QIL524247:QIZ524284 PYP524247:PZD524284 POT524247:PPH524284 PEX524247:PFL524284 OVB524247:OVP524284 OLF524247:OLT524284 OBJ524247:OBX524284 NRN524247:NSB524284 NHR524247:NIF524284 MXV524247:MYJ524284 MNZ524247:MON524284 MED524247:MER524284 LUH524247:LUV524284 LKL524247:LKZ524284 LAP524247:LBD524284 KQT524247:KRH524284 KGX524247:KHL524284 JXB524247:JXP524284 JNF524247:JNT524284 JDJ524247:JDX524284 ITN524247:IUB524284 IJR524247:IKF524284 HZV524247:IAJ524284 HPZ524247:HQN524284 HGD524247:HGR524284 GWH524247:GWV524284 GML524247:GMZ524284 GCP524247:GDD524284 FST524247:FTH524284 FIX524247:FJL524284 EZB524247:EZP524284 EPF524247:EPT524284 EFJ524247:EFX524284 DVN524247:DWB524284 DLR524247:DMF524284 DBV524247:DCJ524284 CRZ524247:CSN524284 CID524247:CIR524284 BYH524247:BYV524284 BOL524247:BOZ524284 BEP524247:BFD524284 AUT524247:AVH524284 AKX524247:ALL524284 ABB524247:ABP524284 RF524247:RT524284 HJ524247:HX524284 WTV458711:WUJ458748 WJZ458711:WKN458748 WAD458711:WAR458748 VQH458711:VQV458748 VGL458711:VGZ458748 UWP458711:UXD458748 UMT458711:UNH458748 UCX458711:UDL458748 TTB458711:TTP458748 TJF458711:TJT458748 SZJ458711:SZX458748 SPN458711:SQB458748 SFR458711:SGF458748 RVV458711:RWJ458748 RLZ458711:RMN458748 RCD458711:RCR458748 QSH458711:QSV458748 QIL458711:QIZ458748 PYP458711:PZD458748 POT458711:PPH458748 PEX458711:PFL458748 OVB458711:OVP458748 OLF458711:OLT458748 OBJ458711:OBX458748 NRN458711:NSB458748 NHR458711:NIF458748 MXV458711:MYJ458748 MNZ458711:MON458748 MED458711:MER458748 LUH458711:LUV458748 LKL458711:LKZ458748 LAP458711:LBD458748 KQT458711:KRH458748 KGX458711:KHL458748 JXB458711:JXP458748 JNF458711:JNT458748 JDJ458711:JDX458748 ITN458711:IUB458748 IJR458711:IKF458748 HZV458711:IAJ458748 HPZ458711:HQN458748 HGD458711:HGR458748 GWH458711:GWV458748 GML458711:GMZ458748 GCP458711:GDD458748 FST458711:FTH458748 FIX458711:FJL458748 EZB458711:EZP458748 EPF458711:EPT458748 EFJ458711:EFX458748 DVN458711:DWB458748 DLR458711:DMF458748 DBV458711:DCJ458748 CRZ458711:CSN458748 CID458711:CIR458748 BYH458711:BYV458748 BOL458711:BOZ458748 BEP458711:BFD458748 AUT458711:AVH458748 AKX458711:ALL458748 ABB458711:ABP458748 RF458711:RT458748 HJ458711:HX458748 WTV393175:WUJ393212 WJZ393175:WKN393212 WAD393175:WAR393212 VQH393175:VQV393212 VGL393175:VGZ393212 UWP393175:UXD393212 UMT393175:UNH393212 UCX393175:UDL393212 TTB393175:TTP393212 TJF393175:TJT393212 SZJ393175:SZX393212 SPN393175:SQB393212 SFR393175:SGF393212 RVV393175:RWJ393212 RLZ393175:RMN393212 RCD393175:RCR393212 QSH393175:QSV393212 QIL393175:QIZ393212 PYP393175:PZD393212 POT393175:PPH393212 PEX393175:PFL393212 OVB393175:OVP393212 OLF393175:OLT393212 OBJ393175:OBX393212 NRN393175:NSB393212 NHR393175:NIF393212 MXV393175:MYJ393212 MNZ393175:MON393212 MED393175:MER393212 LUH393175:LUV393212 LKL393175:LKZ393212 LAP393175:LBD393212 KQT393175:KRH393212 KGX393175:KHL393212 JXB393175:JXP393212 JNF393175:JNT393212 JDJ393175:JDX393212 ITN393175:IUB393212 IJR393175:IKF393212 HZV393175:IAJ393212 HPZ393175:HQN393212 HGD393175:HGR393212 GWH393175:GWV393212 GML393175:GMZ393212 GCP393175:GDD393212 FST393175:FTH393212 FIX393175:FJL393212 EZB393175:EZP393212 EPF393175:EPT393212 EFJ393175:EFX393212 DVN393175:DWB393212 DLR393175:DMF393212 DBV393175:DCJ393212 CRZ393175:CSN393212 CID393175:CIR393212 BYH393175:BYV393212 BOL393175:BOZ393212 BEP393175:BFD393212 AUT393175:AVH393212 AKX393175:ALL393212 ABB393175:ABP393212 RF393175:RT393212 HJ393175:HX393212 WTV327639:WUJ327676 WJZ327639:WKN327676 WAD327639:WAR327676 VQH327639:VQV327676 VGL327639:VGZ327676 UWP327639:UXD327676 UMT327639:UNH327676 UCX327639:UDL327676 TTB327639:TTP327676 TJF327639:TJT327676 SZJ327639:SZX327676 SPN327639:SQB327676 SFR327639:SGF327676 RVV327639:RWJ327676 RLZ327639:RMN327676 RCD327639:RCR327676 QSH327639:QSV327676 QIL327639:QIZ327676 PYP327639:PZD327676 POT327639:PPH327676 PEX327639:PFL327676 OVB327639:OVP327676 OLF327639:OLT327676 OBJ327639:OBX327676 NRN327639:NSB327676 NHR327639:NIF327676 MXV327639:MYJ327676 MNZ327639:MON327676 MED327639:MER327676 LUH327639:LUV327676 LKL327639:LKZ327676 LAP327639:LBD327676 KQT327639:KRH327676 KGX327639:KHL327676 JXB327639:JXP327676 JNF327639:JNT327676 JDJ327639:JDX327676 ITN327639:IUB327676 IJR327639:IKF327676 HZV327639:IAJ327676 HPZ327639:HQN327676 HGD327639:HGR327676 GWH327639:GWV327676 GML327639:GMZ327676 GCP327639:GDD327676 FST327639:FTH327676 FIX327639:FJL327676 EZB327639:EZP327676 EPF327639:EPT327676 EFJ327639:EFX327676 DVN327639:DWB327676 DLR327639:DMF327676 DBV327639:DCJ327676 CRZ327639:CSN327676 CID327639:CIR327676 BYH327639:BYV327676 BOL327639:BOZ327676 BEP327639:BFD327676 AUT327639:AVH327676 AKX327639:ALL327676 ABB327639:ABP327676 RF327639:RT327676 HJ327639:HX327676 WTV262103:WUJ262140 WJZ262103:WKN262140 WAD262103:WAR262140 VQH262103:VQV262140 VGL262103:VGZ262140 UWP262103:UXD262140 UMT262103:UNH262140 UCX262103:UDL262140 TTB262103:TTP262140 TJF262103:TJT262140 SZJ262103:SZX262140 SPN262103:SQB262140 SFR262103:SGF262140 RVV262103:RWJ262140 RLZ262103:RMN262140 RCD262103:RCR262140 QSH262103:QSV262140 QIL262103:QIZ262140 PYP262103:PZD262140 POT262103:PPH262140 PEX262103:PFL262140 OVB262103:OVP262140 OLF262103:OLT262140 OBJ262103:OBX262140 NRN262103:NSB262140 NHR262103:NIF262140 MXV262103:MYJ262140 MNZ262103:MON262140 MED262103:MER262140 LUH262103:LUV262140 LKL262103:LKZ262140 LAP262103:LBD262140 KQT262103:KRH262140 KGX262103:KHL262140 JXB262103:JXP262140 JNF262103:JNT262140 JDJ262103:JDX262140 ITN262103:IUB262140 IJR262103:IKF262140 HZV262103:IAJ262140 HPZ262103:HQN262140 HGD262103:HGR262140 GWH262103:GWV262140 GML262103:GMZ262140 GCP262103:GDD262140 FST262103:FTH262140 FIX262103:FJL262140 EZB262103:EZP262140 EPF262103:EPT262140 EFJ262103:EFX262140 DVN262103:DWB262140 DLR262103:DMF262140 DBV262103:DCJ262140 CRZ262103:CSN262140 CID262103:CIR262140 BYH262103:BYV262140 BOL262103:BOZ262140 BEP262103:BFD262140 AUT262103:AVH262140 AKX262103:ALL262140 ABB262103:ABP262140 RF262103:RT262140 HJ262103:HX262140 WTV196567:WUJ196604 WJZ196567:WKN196604 WAD196567:WAR196604 VQH196567:VQV196604 VGL196567:VGZ196604 UWP196567:UXD196604 UMT196567:UNH196604 UCX196567:UDL196604 TTB196567:TTP196604 TJF196567:TJT196604 SZJ196567:SZX196604 SPN196567:SQB196604 SFR196567:SGF196604 RVV196567:RWJ196604 RLZ196567:RMN196604 RCD196567:RCR196604 QSH196567:QSV196604 QIL196567:QIZ196604 PYP196567:PZD196604 POT196567:PPH196604 PEX196567:PFL196604 OVB196567:OVP196604 OLF196567:OLT196604 OBJ196567:OBX196604 NRN196567:NSB196604 NHR196567:NIF196604 MXV196567:MYJ196604 MNZ196567:MON196604 MED196567:MER196604 LUH196567:LUV196604 LKL196567:LKZ196604 LAP196567:LBD196604 KQT196567:KRH196604 KGX196567:KHL196604 JXB196567:JXP196604 JNF196567:JNT196604 JDJ196567:JDX196604 ITN196567:IUB196604 IJR196567:IKF196604 HZV196567:IAJ196604 HPZ196567:HQN196604 HGD196567:HGR196604 GWH196567:GWV196604 GML196567:GMZ196604 GCP196567:GDD196604 FST196567:FTH196604 FIX196567:FJL196604 EZB196567:EZP196604 EPF196567:EPT196604 EFJ196567:EFX196604 DVN196567:DWB196604 DLR196567:DMF196604 DBV196567:DCJ196604 CRZ196567:CSN196604 CID196567:CIR196604 BYH196567:BYV196604 BOL196567:BOZ196604 BEP196567:BFD196604 AUT196567:AVH196604 AKX196567:ALL196604 ABB196567:ABP196604 RF196567:RT196604 HJ196567:HX196604 WTV131031:WUJ131068 WJZ131031:WKN131068 WAD131031:WAR131068 VQH131031:VQV131068 VGL131031:VGZ131068 UWP131031:UXD131068 UMT131031:UNH131068 UCX131031:UDL131068 TTB131031:TTP131068 TJF131031:TJT131068 SZJ131031:SZX131068 SPN131031:SQB131068 SFR131031:SGF131068 RVV131031:RWJ131068 RLZ131031:RMN131068 RCD131031:RCR131068 QSH131031:QSV131068 QIL131031:QIZ131068 PYP131031:PZD131068 POT131031:PPH131068 PEX131031:PFL131068 OVB131031:OVP131068 OLF131031:OLT131068 OBJ131031:OBX131068 NRN131031:NSB131068 NHR131031:NIF131068 MXV131031:MYJ131068 MNZ131031:MON131068 MED131031:MER131068 LUH131031:LUV131068 LKL131031:LKZ131068 LAP131031:LBD131068 KQT131031:KRH131068 KGX131031:KHL131068 JXB131031:JXP131068 JNF131031:JNT131068 JDJ131031:JDX131068 ITN131031:IUB131068 IJR131031:IKF131068 HZV131031:IAJ131068 HPZ131031:HQN131068 HGD131031:HGR131068 GWH131031:GWV131068 GML131031:GMZ131068 GCP131031:GDD131068 FST131031:FTH131068 FIX131031:FJL131068 EZB131031:EZP131068 EPF131031:EPT131068 EFJ131031:EFX131068 DVN131031:DWB131068 DLR131031:DMF131068 DBV131031:DCJ131068 CRZ131031:CSN131068 CID131031:CIR131068 BYH131031:BYV131068 BOL131031:BOZ131068 BEP131031:BFD131068 AUT131031:AVH131068 AKX131031:ALL131068 ABB131031:ABP131068 RF131031:RT131068 HJ131031:HX131068 WTV65495:WUJ65532 WJZ65495:WKN65532 WAD65495:WAR65532 VQH65495:VQV65532 VGL65495:VGZ65532 UWP65495:UXD65532 UMT65495:UNH65532 UCX65495:UDL65532 TTB65495:TTP65532 TJF65495:TJT65532 SZJ65495:SZX65532 SPN65495:SQB65532 SFR65495:SGF65532 RVV65495:RWJ65532 RLZ65495:RMN65532 RCD65495:RCR65532 QSH65495:QSV65532 QIL65495:QIZ65532 PYP65495:PZD65532 POT65495:PPH65532 PEX65495:PFL65532 OVB65495:OVP65532 OLF65495:OLT65532 OBJ65495:OBX65532 NRN65495:NSB65532 NHR65495:NIF65532 MXV65495:MYJ65532 MNZ65495:MON65532 MED65495:MER65532 LUH65495:LUV65532 LKL65495:LKZ65532 LAP65495:LBD65532 KQT65495:KRH65532 KGX65495:KHL65532 JXB65495:JXP65532 JNF65495:JNT65532 JDJ65495:JDX65532 ITN65495:IUB65532 IJR65495:IKF65532 HZV65495:IAJ65532 HPZ65495:HQN65532 HGD65495:HGR65532 GWH65495:GWV65532 GML65495:GMZ65532 GCP65495:GDD65532 FST65495:FTH65532 FIX65495:FJL65532 EZB65495:EZP65532 EPF65495:EPT65532 EFJ65495:EFX65532 DVN65495:DWB65532 DLR65495:DMF65532 DBV65495:DCJ65532 CRZ65495:CSN65532 CID65495:CIR65532 BYH65495:BYV65532 BOL65495:BOZ65532 BEP65495:BFD65532 AUT65495:AVH65532 AKX65495:ALL65532 ABB65495:ABP65532 RF65495:RT65532 HJ65495:HX65532 WJZ982999:WKN983036 WAD982999:WAR983036 WJZ5:WKN27 WTV5:WUJ27 HJ5:HX27 RF5:RT27 ABB5:ABP27 AKX5:ALL27 AUT5:AVH27 BEP5:BFD27 BOL5:BOZ27 BYH5:BYV27 CID5:CIR27 CRZ5:CSN27 DBV5:DCJ27 DLR5:DMF27 DVN5:DWB27 EFJ5:EFX27 EPF5:EPT27 EZB5:EZP27 FIX5:FJL27 FST5:FTH27 GCP5:GDD27 GML5:GMZ27 GWH5:GWV27 HGD5:HGR27 HPZ5:HQN27 HZV5:IAJ27 IJR5:IKF27 ITN5:IUB27 JDJ5:JDX27 JNF5:JNT27 JXB5:JXP27 KGX5:KHL27 KQT5:KRH27 LAP5:LBD27 LKL5:LKZ27 LUH5:LUV27 MED5:MER27 MNZ5:MON27 MXV5:MYJ27 NHR5:NIF27 NRN5:NSB27 OBJ5:OBX27 OLF5:OLT27 OVB5:OVP27 PEX5:PFL27 POT5:PPH27 PYP5:PZD27 QIL5:QIZ27 QSH5:QSV27 RCD5:RCR27 RLZ5:RMN27 RVV5:RWJ27 SFR5:SGF27 SPN5:SQB27 SZJ5:SZX27 TJF5:TJT27 TTB5:TTP27 UCX5:UDL27 UMT5:UNH27 UWP5:UXD27 VGL5:VGZ27 VQH5:VQV27 WAD5:WAR27" xr:uid="{7BD5A66D-893A-4D7A-AA21-B4CFFDD6B43F}">
      <formula1>#REF!</formula1>
    </dataValidation>
    <dataValidation type="list" allowBlank="1" showInputMessage="1" showErrorMessage="1" sqref="HX983040:IE983045 RT983040:SA983045 ABP983040:ABW983045 ALL983040:ALS983045 AVH983040:AVO983045 BFD983040:BFK983045 BOZ983040:BPG983045 BYV983040:BZC983045 CIR983040:CIY983045 CSN983040:CSU983045 DCJ983040:DCQ983045 DMF983040:DMM983045 DWB983040:DWI983045 EFX983040:EGE983045 EPT983040:EQA983045 EZP983040:EZW983045 FJL983040:FJS983045 FTH983040:FTO983045 GDD983040:GDK983045 GMZ983040:GNG983045 GWV983040:GXC983045 HGR983040:HGY983045 HQN983040:HQU983045 IAJ983040:IAQ983045 IKF983040:IKM983045 IUB983040:IUI983045 JDX983040:JEE983045 JNT983040:JOA983045 JXP983040:JXW983045 KHL983040:KHS983045 KRH983040:KRO983045 LBD983040:LBK983045 LKZ983040:LLG983045 LUV983040:LVC983045 MER983040:MEY983045 MON983040:MOU983045 MYJ983040:MYQ983045 NIF983040:NIM983045 NSB983040:NSI983045 OBX983040:OCE983045 OLT983040:OMA983045 OVP983040:OVW983045 PFL983040:PFS983045 PPH983040:PPO983045 PZD983040:PZK983045 QIZ983040:QJG983045 QSV983040:QTC983045 RCR983040:RCY983045 RMN983040:RMU983045 RWJ983040:RWQ983045 SGF983040:SGM983045 SQB983040:SQI983045 SZX983040:TAE983045 TJT983040:TKA983045 TTP983040:TTW983045 UDL983040:UDS983045 UNH983040:UNO983045 UXD983040:UXK983045 VGZ983040:VHG983045 VQV983040:VRC983045 WAR983040:WAY983045 WKN983040:WKU983045 WUJ983040:WUQ983045 HX65536:IE65541 RT65536:SA65541 ABP65536:ABW65541 ALL65536:ALS65541 AVH65536:AVO65541 BFD65536:BFK65541 BOZ65536:BPG65541 BYV65536:BZC65541 CIR65536:CIY65541 CSN65536:CSU65541 DCJ65536:DCQ65541 DMF65536:DMM65541 DWB65536:DWI65541 EFX65536:EGE65541 EPT65536:EQA65541 EZP65536:EZW65541 FJL65536:FJS65541 FTH65536:FTO65541 GDD65536:GDK65541 GMZ65536:GNG65541 GWV65536:GXC65541 HGR65536:HGY65541 HQN65536:HQU65541 IAJ65536:IAQ65541 IKF65536:IKM65541 IUB65536:IUI65541 JDX65536:JEE65541 JNT65536:JOA65541 JXP65536:JXW65541 KHL65536:KHS65541 KRH65536:KRO65541 LBD65536:LBK65541 LKZ65536:LLG65541 LUV65536:LVC65541 MER65536:MEY65541 MON65536:MOU65541 MYJ65536:MYQ65541 NIF65536:NIM65541 NSB65536:NSI65541 OBX65536:OCE65541 OLT65536:OMA65541 OVP65536:OVW65541 PFL65536:PFS65541 PPH65536:PPO65541 PZD65536:PZK65541 QIZ65536:QJG65541 QSV65536:QTC65541 RCR65536:RCY65541 RMN65536:RMU65541 RWJ65536:RWQ65541 SGF65536:SGM65541 SQB65536:SQI65541 SZX65536:TAE65541 TJT65536:TKA65541 TTP65536:TTW65541 UDL65536:UDS65541 UNH65536:UNO65541 UXD65536:UXK65541 VGZ65536:VHG65541 VQV65536:VRC65541 WAR65536:WAY65541 WKN65536:WKU65541 WUJ65536:WUQ65541 HX131072:IE131077 RT131072:SA131077 ABP131072:ABW131077 ALL131072:ALS131077 AVH131072:AVO131077 BFD131072:BFK131077 BOZ131072:BPG131077 BYV131072:BZC131077 CIR131072:CIY131077 CSN131072:CSU131077 DCJ131072:DCQ131077 DMF131072:DMM131077 DWB131072:DWI131077 EFX131072:EGE131077 EPT131072:EQA131077 EZP131072:EZW131077 FJL131072:FJS131077 FTH131072:FTO131077 GDD131072:GDK131077 GMZ131072:GNG131077 GWV131072:GXC131077 HGR131072:HGY131077 HQN131072:HQU131077 IAJ131072:IAQ131077 IKF131072:IKM131077 IUB131072:IUI131077 JDX131072:JEE131077 JNT131072:JOA131077 JXP131072:JXW131077 KHL131072:KHS131077 KRH131072:KRO131077 LBD131072:LBK131077 LKZ131072:LLG131077 LUV131072:LVC131077 MER131072:MEY131077 MON131072:MOU131077 MYJ131072:MYQ131077 NIF131072:NIM131077 NSB131072:NSI131077 OBX131072:OCE131077 OLT131072:OMA131077 OVP131072:OVW131077 PFL131072:PFS131077 PPH131072:PPO131077 PZD131072:PZK131077 QIZ131072:QJG131077 QSV131072:QTC131077 RCR131072:RCY131077 RMN131072:RMU131077 RWJ131072:RWQ131077 SGF131072:SGM131077 SQB131072:SQI131077 SZX131072:TAE131077 TJT131072:TKA131077 TTP131072:TTW131077 UDL131072:UDS131077 UNH131072:UNO131077 UXD131072:UXK131077 VGZ131072:VHG131077 VQV131072:VRC131077 WAR131072:WAY131077 WKN131072:WKU131077 WUJ131072:WUQ131077 HX196608:IE196613 RT196608:SA196613 ABP196608:ABW196613 ALL196608:ALS196613 AVH196608:AVO196613 BFD196608:BFK196613 BOZ196608:BPG196613 BYV196608:BZC196613 CIR196608:CIY196613 CSN196608:CSU196613 DCJ196608:DCQ196613 DMF196608:DMM196613 DWB196608:DWI196613 EFX196608:EGE196613 EPT196608:EQA196613 EZP196608:EZW196613 FJL196608:FJS196613 FTH196608:FTO196613 GDD196608:GDK196613 GMZ196608:GNG196613 GWV196608:GXC196613 HGR196608:HGY196613 HQN196608:HQU196613 IAJ196608:IAQ196613 IKF196608:IKM196613 IUB196608:IUI196613 JDX196608:JEE196613 JNT196608:JOA196613 JXP196608:JXW196613 KHL196608:KHS196613 KRH196608:KRO196613 LBD196608:LBK196613 LKZ196608:LLG196613 LUV196608:LVC196613 MER196608:MEY196613 MON196608:MOU196613 MYJ196608:MYQ196613 NIF196608:NIM196613 NSB196608:NSI196613 OBX196608:OCE196613 OLT196608:OMA196613 OVP196608:OVW196613 PFL196608:PFS196613 PPH196608:PPO196613 PZD196608:PZK196613 QIZ196608:QJG196613 QSV196608:QTC196613 RCR196608:RCY196613 RMN196608:RMU196613 RWJ196608:RWQ196613 SGF196608:SGM196613 SQB196608:SQI196613 SZX196608:TAE196613 TJT196608:TKA196613 TTP196608:TTW196613 UDL196608:UDS196613 UNH196608:UNO196613 UXD196608:UXK196613 VGZ196608:VHG196613 VQV196608:VRC196613 WAR196608:WAY196613 WKN196608:WKU196613 WUJ196608:WUQ196613 HX262144:IE262149 RT262144:SA262149 ABP262144:ABW262149 ALL262144:ALS262149 AVH262144:AVO262149 BFD262144:BFK262149 BOZ262144:BPG262149 BYV262144:BZC262149 CIR262144:CIY262149 CSN262144:CSU262149 DCJ262144:DCQ262149 DMF262144:DMM262149 DWB262144:DWI262149 EFX262144:EGE262149 EPT262144:EQA262149 EZP262144:EZW262149 FJL262144:FJS262149 FTH262144:FTO262149 GDD262144:GDK262149 GMZ262144:GNG262149 GWV262144:GXC262149 HGR262144:HGY262149 HQN262144:HQU262149 IAJ262144:IAQ262149 IKF262144:IKM262149 IUB262144:IUI262149 JDX262144:JEE262149 JNT262144:JOA262149 JXP262144:JXW262149 KHL262144:KHS262149 KRH262144:KRO262149 LBD262144:LBK262149 LKZ262144:LLG262149 LUV262144:LVC262149 MER262144:MEY262149 MON262144:MOU262149 MYJ262144:MYQ262149 NIF262144:NIM262149 NSB262144:NSI262149 OBX262144:OCE262149 OLT262144:OMA262149 OVP262144:OVW262149 PFL262144:PFS262149 PPH262144:PPO262149 PZD262144:PZK262149 QIZ262144:QJG262149 QSV262144:QTC262149 RCR262144:RCY262149 RMN262144:RMU262149 RWJ262144:RWQ262149 SGF262144:SGM262149 SQB262144:SQI262149 SZX262144:TAE262149 TJT262144:TKA262149 TTP262144:TTW262149 UDL262144:UDS262149 UNH262144:UNO262149 UXD262144:UXK262149 VGZ262144:VHG262149 VQV262144:VRC262149 WAR262144:WAY262149 WKN262144:WKU262149 WUJ262144:WUQ262149 HX327680:IE327685 RT327680:SA327685 ABP327680:ABW327685 ALL327680:ALS327685 AVH327680:AVO327685 BFD327680:BFK327685 BOZ327680:BPG327685 BYV327680:BZC327685 CIR327680:CIY327685 CSN327680:CSU327685 DCJ327680:DCQ327685 DMF327680:DMM327685 DWB327680:DWI327685 EFX327680:EGE327685 EPT327680:EQA327685 EZP327680:EZW327685 FJL327680:FJS327685 FTH327680:FTO327685 GDD327680:GDK327685 GMZ327680:GNG327685 GWV327680:GXC327685 HGR327680:HGY327685 HQN327680:HQU327685 IAJ327680:IAQ327685 IKF327680:IKM327685 IUB327680:IUI327685 JDX327680:JEE327685 JNT327680:JOA327685 JXP327680:JXW327685 KHL327680:KHS327685 KRH327680:KRO327685 LBD327680:LBK327685 LKZ327680:LLG327685 LUV327680:LVC327685 MER327680:MEY327685 MON327680:MOU327685 MYJ327680:MYQ327685 NIF327680:NIM327685 NSB327680:NSI327685 OBX327680:OCE327685 OLT327680:OMA327685 OVP327680:OVW327685 PFL327680:PFS327685 PPH327680:PPO327685 PZD327680:PZK327685 QIZ327680:QJG327685 QSV327680:QTC327685 RCR327680:RCY327685 RMN327680:RMU327685 RWJ327680:RWQ327685 SGF327680:SGM327685 SQB327680:SQI327685 SZX327680:TAE327685 TJT327680:TKA327685 TTP327680:TTW327685 UDL327680:UDS327685 UNH327680:UNO327685 UXD327680:UXK327685 VGZ327680:VHG327685 VQV327680:VRC327685 WAR327680:WAY327685 WKN327680:WKU327685 WUJ327680:WUQ327685 HX393216:IE393221 RT393216:SA393221 ABP393216:ABW393221 ALL393216:ALS393221 AVH393216:AVO393221 BFD393216:BFK393221 BOZ393216:BPG393221 BYV393216:BZC393221 CIR393216:CIY393221 CSN393216:CSU393221 DCJ393216:DCQ393221 DMF393216:DMM393221 DWB393216:DWI393221 EFX393216:EGE393221 EPT393216:EQA393221 EZP393216:EZW393221 FJL393216:FJS393221 FTH393216:FTO393221 GDD393216:GDK393221 GMZ393216:GNG393221 GWV393216:GXC393221 HGR393216:HGY393221 HQN393216:HQU393221 IAJ393216:IAQ393221 IKF393216:IKM393221 IUB393216:IUI393221 JDX393216:JEE393221 JNT393216:JOA393221 JXP393216:JXW393221 KHL393216:KHS393221 KRH393216:KRO393221 LBD393216:LBK393221 LKZ393216:LLG393221 LUV393216:LVC393221 MER393216:MEY393221 MON393216:MOU393221 MYJ393216:MYQ393221 NIF393216:NIM393221 NSB393216:NSI393221 OBX393216:OCE393221 OLT393216:OMA393221 OVP393216:OVW393221 PFL393216:PFS393221 PPH393216:PPO393221 PZD393216:PZK393221 QIZ393216:QJG393221 QSV393216:QTC393221 RCR393216:RCY393221 RMN393216:RMU393221 RWJ393216:RWQ393221 SGF393216:SGM393221 SQB393216:SQI393221 SZX393216:TAE393221 TJT393216:TKA393221 TTP393216:TTW393221 UDL393216:UDS393221 UNH393216:UNO393221 UXD393216:UXK393221 VGZ393216:VHG393221 VQV393216:VRC393221 WAR393216:WAY393221 WKN393216:WKU393221 WUJ393216:WUQ393221 HX458752:IE458757 RT458752:SA458757 ABP458752:ABW458757 ALL458752:ALS458757 AVH458752:AVO458757 BFD458752:BFK458757 BOZ458752:BPG458757 BYV458752:BZC458757 CIR458752:CIY458757 CSN458752:CSU458757 DCJ458752:DCQ458757 DMF458752:DMM458757 DWB458752:DWI458757 EFX458752:EGE458757 EPT458752:EQA458757 EZP458752:EZW458757 FJL458752:FJS458757 FTH458752:FTO458757 GDD458752:GDK458757 GMZ458752:GNG458757 GWV458752:GXC458757 HGR458752:HGY458757 HQN458752:HQU458757 IAJ458752:IAQ458757 IKF458752:IKM458757 IUB458752:IUI458757 JDX458752:JEE458757 JNT458752:JOA458757 JXP458752:JXW458757 KHL458752:KHS458757 KRH458752:KRO458757 LBD458752:LBK458757 LKZ458752:LLG458757 LUV458752:LVC458757 MER458752:MEY458757 MON458752:MOU458757 MYJ458752:MYQ458757 NIF458752:NIM458757 NSB458752:NSI458757 OBX458752:OCE458757 OLT458752:OMA458757 OVP458752:OVW458757 PFL458752:PFS458757 PPH458752:PPO458757 PZD458752:PZK458757 QIZ458752:QJG458757 QSV458752:QTC458757 RCR458752:RCY458757 RMN458752:RMU458757 RWJ458752:RWQ458757 SGF458752:SGM458757 SQB458752:SQI458757 SZX458752:TAE458757 TJT458752:TKA458757 TTP458752:TTW458757 UDL458752:UDS458757 UNH458752:UNO458757 UXD458752:UXK458757 VGZ458752:VHG458757 VQV458752:VRC458757 WAR458752:WAY458757 WKN458752:WKU458757 WUJ458752:WUQ458757 HX524288:IE524293 RT524288:SA524293 ABP524288:ABW524293 ALL524288:ALS524293 AVH524288:AVO524293 BFD524288:BFK524293 BOZ524288:BPG524293 BYV524288:BZC524293 CIR524288:CIY524293 CSN524288:CSU524293 DCJ524288:DCQ524293 DMF524288:DMM524293 DWB524288:DWI524293 EFX524288:EGE524293 EPT524288:EQA524293 EZP524288:EZW524293 FJL524288:FJS524293 FTH524288:FTO524293 GDD524288:GDK524293 GMZ524288:GNG524293 GWV524288:GXC524293 HGR524288:HGY524293 HQN524288:HQU524293 IAJ524288:IAQ524293 IKF524288:IKM524293 IUB524288:IUI524293 JDX524288:JEE524293 JNT524288:JOA524293 JXP524288:JXW524293 KHL524288:KHS524293 KRH524288:KRO524293 LBD524288:LBK524293 LKZ524288:LLG524293 LUV524288:LVC524293 MER524288:MEY524293 MON524288:MOU524293 MYJ524288:MYQ524293 NIF524288:NIM524293 NSB524288:NSI524293 OBX524288:OCE524293 OLT524288:OMA524293 OVP524288:OVW524293 PFL524288:PFS524293 PPH524288:PPO524293 PZD524288:PZK524293 QIZ524288:QJG524293 QSV524288:QTC524293 RCR524288:RCY524293 RMN524288:RMU524293 RWJ524288:RWQ524293 SGF524288:SGM524293 SQB524288:SQI524293 SZX524288:TAE524293 TJT524288:TKA524293 TTP524288:TTW524293 UDL524288:UDS524293 UNH524288:UNO524293 UXD524288:UXK524293 VGZ524288:VHG524293 VQV524288:VRC524293 WAR524288:WAY524293 WKN524288:WKU524293 WUJ524288:WUQ524293 HX589824:IE589829 RT589824:SA589829 ABP589824:ABW589829 ALL589824:ALS589829 AVH589824:AVO589829 BFD589824:BFK589829 BOZ589824:BPG589829 BYV589824:BZC589829 CIR589824:CIY589829 CSN589824:CSU589829 DCJ589824:DCQ589829 DMF589824:DMM589829 DWB589824:DWI589829 EFX589824:EGE589829 EPT589824:EQA589829 EZP589824:EZW589829 FJL589824:FJS589829 FTH589824:FTO589829 GDD589824:GDK589829 GMZ589824:GNG589829 GWV589824:GXC589829 HGR589824:HGY589829 HQN589824:HQU589829 IAJ589824:IAQ589829 IKF589824:IKM589829 IUB589824:IUI589829 JDX589824:JEE589829 JNT589824:JOA589829 JXP589824:JXW589829 KHL589824:KHS589829 KRH589824:KRO589829 LBD589824:LBK589829 LKZ589824:LLG589829 LUV589824:LVC589829 MER589824:MEY589829 MON589824:MOU589829 MYJ589824:MYQ589829 NIF589824:NIM589829 NSB589824:NSI589829 OBX589824:OCE589829 OLT589824:OMA589829 OVP589824:OVW589829 PFL589824:PFS589829 PPH589824:PPO589829 PZD589824:PZK589829 QIZ589824:QJG589829 QSV589824:QTC589829 RCR589824:RCY589829 RMN589824:RMU589829 RWJ589824:RWQ589829 SGF589824:SGM589829 SQB589824:SQI589829 SZX589824:TAE589829 TJT589824:TKA589829 TTP589824:TTW589829 UDL589824:UDS589829 UNH589824:UNO589829 UXD589824:UXK589829 VGZ589824:VHG589829 VQV589824:VRC589829 WAR589824:WAY589829 WKN589824:WKU589829 WUJ589824:WUQ589829 HX655360:IE655365 RT655360:SA655365 ABP655360:ABW655365 ALL655360:ALS655365 AVH655360:AVO655365 BFD655360:BFK655365 BOZ655360:BPG655365 BYV655360:BZC655365 CIR655360:CIY655365 CSN655360:CSU655365 DCJ655360:DCQ655365 DMF655360:DMM655365 DWB655360:DWI655365 EFX655360:EGE655365 EPT655360:EQA655365 EZP655360:EZW655365 FJL655360:FJS655365 FTH655360:FTO655365 GDD655360:GDK655365 GMZ655360:GNG655365 GWV655360:GXC655365 HGR655360:HGY655365 HQN655360:HQU655365 IAJ655360:IAQ655365 IKF655360:IKM655365 IUB655360:IUI655365 JDX655360:JEE655365 JNT655360:JOA655365 JXP655360:JXW655365 KHL655360:KHS655365 KRH655360:KRO655365 LBD655360:LBK655365 LKZ655360:LLG655365 LUV655360:LVC655365 MER655360:MEY655365 MON655360:MOU655365 MYJ655360:MYQ655365 NIF655360:NIM655365 NSB655360:NSI655365 OBX655360:OCE655365 OLT655360:OMA655365 OVP655360:OVW655365 PFL655360:PFS655365 PPH655360:PPO655365 PZD655360:PZK655365 QIZ655360:QJG655365 QSV655360:QTC655365 RCR655360:RCY655365 RMN655360:RMU655365 RWJ655360:RWQ655365 SGF655360:SGM655365 SQB655360:SQI655365 SZX655360:TAE655365 TJT655360:TKA655365 TTP655360:TTW655365 UDL655360:UDS655365 UNH655360:UNO655365 UXD655360:UXK655365 VGZ655360:VHG655365 VQV655360:VRC655365 WAR655360:WAY655365 WKN655360:WKU655365 WUJ655360:WUQ655365 HX720896:IE720901 RT720896:SA720901 ABP720896:ABW720901 ALL720896:ALS720901 AVH720896:AVO720901 BFD720896:BFK720901 BOZ720896:BPG720901 BYV720896:BZC720901 CIR720896:CIY720901 CSN720896:CSU720901 DCJ720896:DCQ720901 DMF720896:DMM720901 DWB720896:DWI720901 EFX720896:EGE720901 EPT720896:EQA720901 EZP720896:EZW720901 FJL720896:FJS720901 FTH720896:FTO720901 GDD720896:GDK720901 GMZ720896:GNG720901 GWV720896:GXC720901 HGR720896:HGY720901 HQN720896:HQU720901 IAJ720896:IAQ720901 IKF720896:IKM720901 IUB720896:IUI720901 JDX720896:JEE720901 JNT720896:JOA720901 JXP720896:JXW720901 KHL720896:KHS720901 KRH720896:KRO720901 LBD720896:LBK720901 LKZ720896:LLG720901 LUV720896:LVC720901 MER720896:MEY720901 MON720896:MOU720901 MYJ720896:MYQ720901 NIF720896:NIM720901 NSB720896:NSI720901 OBX720896:OCE720901 OLT720896:OMA720901 OVP720896:OVW720901 PFL720896:PFS720901 PPH720896:PPO720901 PZD720896:PZK720901 QIZ720896:QJG720901 QSV720896:QTC720901 RCR720896:RCY720901 RMN720896:RMU720901 RWJ720896:RWQ720901 SGF720896:SGM720901 SQB720896:SQI720901 SZX720896:TAE720901 TJT720896:TKA720901 TTP720896:TTW720901 UDL720896:UDS720901 UNH720896:UNO720901 UXD720896:UXK720901 VGZ720896:VHG720901 VQV720896:VRC720901 WAR720896:WAY720901 WKN720896:WKU720901 WUJ720896:WUQ720901 HX786432:IE786437 RT786432:SA786437 ABP786432:ABW786437 ALL786432:ALS786437 AVH786432:AVO786437 BFD786432:BFK786437 BOZ786432:BPG786437 BYV786432:BZC786437 CIR786432:CIY786437 CSN786432:CSU786437 DCJ786432:DCQ786437 DMF786432:DMM786437 DWB786432:DWI786437 EFX786432:EGE786437 EPT786432:EQA786437 EZP786432:EZW786437 FJL786432:FJS786437 FTH786432:FTO786437 GDD786432:GDK786437 GMZ786432:GNG786437 GWV786432:GXC786437 HGR786432:HGY786437 HQN786432:HQU786437 IAJ786432:IAQ786437 IKF786432:IKM786437 IUB786432:IUI786437 JDX786432:JEE786437 JNT786432:JOA786437 JXP786432:JXW786437 KHL786432:KHS786437 KRH786432:KRO786437 LBD786432:LBK786437 LKZ786432:LLG786437 LUV786432:LVC786437 MER786432:MEY786437 MON786432:MOU786437 MYJ786432:MYQ786437 NIF786432:NIM786437 NSB786432:NSI786437 OBX786432:OCE786437 OLT786432:OMA786437 OVP786432:OVW786437 PFL786432:PFS786437 PPH786432:PPO786437 PZD786432:PZK786437 QIZ786432:QJG786437 QSV786432:QTC786437 RCR786432:RCY786437 RMN786432:RMU786437 RWJ786432:RWQ786437 SGF786432:SGM786437 SQB786432:SQI786437 SZX786432:TAE786437 TJT786432:TKA786437 TTP786432:TTW786437 UDL786432:UDS786437 UNH786432:UNO786437 UXD786432:UXK786437 VGZ786432:VHG786437 VQV786432:VRC786437 WAR786432:WAY786437 WKN786432:WKU786437 WUJ786432:WUQ786437 HX851968:IE851973 RT851968:SA851973 ABP851968:ABW851973 ALL851968:ALS851973 AVH851968:AVO851973 BFD851968:BFK851973 BOZ851968:BPG851973 BYV851968:BZC851973 CIR851968:CIY851973 CSN851968:CSU851973 DCJ851968:DCQ851973 DMF851968:DMM851973 DWB851968:DWI851973 EFX851968:EGE851973 EPT851968:EQA851973 EZP851968:EZW851973 FJL851968:FJS851973 FTH851968:FTO851973 GDD851968:GDK851973 GMZ851968:GNG851973 GWV851968:GXC851973 HGR851968:HGY851973 HQN851968:HQU851973 IAJ851968:IAQ851973 IKF851968:IKM851973 IUB851968:IUI851973 JDX851968:JEE851973 JNT851968:JOA851973 JXP851968:JXW851973 KHL851968:KHS851973 KRH851968:KRO851973 LBD851968:LBK851973 LKZ851968:LLG851973 LUV851968:LVC851973 MER851968:MEY851973 MON851968:MOU851973 MYJ851968:MYQ851973 NIF851968:NIM851973 NSB851968:NSI851973 OBX851968:OCE851973 OLT851968:OMA851973 OVP851968:OVW851973 PFL851968:PFS851973 PPH851968:PPO851973 PZD851968:PZK851973 QIZ851968:QJG851973 QSV851968:QTC851973 RCR851968:RCY851973 RMN851968:RMU851973 RWJ851968:RWQ851973 SGF851968:SGM851973 SQB851968:SQI851973 SZX851968:TAE851973 TJT851968:TKA851973 TTP851968:TTW851973 UDL851968:UDS851973 UNH851968:UNO851973 UXD851968:UXK851973 VGZ851968:VHG851973 VQV851968:VRC851973 WAR851968:WAY851973 WKN851968:WKU851973 WUJ851968:WUQ851973 HX917504:IE917509 RT917504:SA917509 ABP917504:ABW917509 ALL917504:ALS917509 AVH917504:AVO917509 BFD917504:BFK917509 BOZ917504:BPG917509 BYV917504:BZC917509 CIR917504:CIY917509 CSN917504:CSU917509 DCJ917504:DCQ917509 DMF917504:DMM917509 DWB917504:DWI917509 EFX917504:EGE917509 EPT917504:EQA917509 EZP917504:EZW917509 FJL917504:FJS917509 FTH917504:FTO917509 GDD917504:GDK917509 GMZ917504:GNG917509 GWV917504:GXC917509 HGR917504:HGY917509 HQN917504:HQU917509 IAJ917504:IAQ917509 IKF917504:IKM917509 IUB917504:IUI917509 JDX917504:JEE917509 JNT917504:JOA917509 JXP917504:JXW917509 KHL917504:KHS917509 KRH917504:KRO917509 LBD917504:LBK917509 LKZ917504:LLG917509 LUV917504:LVC917509 MER917504:MEY917509 MON917504:MOU917509 MYJ917504:MYQ917509 NIF917504:NIM917509 NSB917504:NSI917509 OBX917504:OCE917509 OLT917504:OMA917509 OVP917504:OVW917509 PFL917504:PFS917509 PPH917504:PPO917509 PZD917504:PZK917509 QIZ917504:QJG917509 QSV917504:QTC917509 RCR917504:RCY917509 RMN917504:RMU917509 RWJ917504:RWQ917509 SGF917504:SGM917509 SQB917504:SQI917509 SZX917504:TAE917509 TJT917504:TKA917509 TTP917504:TTW917509 UDL917504:UDS917509 UNH917504:UNO917509 UXD917504:UXK917509 VGZ917504:VHG917509 VQV917504:VRC917509 WAR917504:WAY917509 WKN917504:WKU917509 WUJ917504:WUQ917509" xr:uid="{92E3B9A6-2BA9-4464-BC49-C91A4CCFB7D3}">
      <formula1>"サーバ,クライアント"</formula1>
    </dataValidation>
  </dataValidations>
  <pageMargins left="0.7" right="0.7" top="0.75" bottom="0.75" header="0.3" footer="0.3"/>
  <pageSetup paperSize="9" scale="67" fitToHeight="0" orientation="landscape" r:id="rId1"/>
  <ignoredErrors>
    <ignoredError sqref="A7:B8 A14:B27 A10:B10 B13 A11:B12 A13"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6" customWidth="1"/>
    <col min="87" max="16384" width="2.453125" style="156"/>
  </cols>
  <sheetData>
    <row r="1" spans="1:85" ht="16.5" customHeight="1">
      <c r="A1" s="323" t="s">
        <v>151</v>
      </c>
      <c r="B1" s="323"/>
      <c r="C1" s="323"/>
      <c r="D1" s="323"/>
      <c r="E1" s="323"/>
      <c r="F1" s="323"/>
      <c r="G1" s="323"/>
      <c r="H1" s="323"/>
      <c r="I1" s="323"/>
      <c r="J1" s="323"/>
      <c r="K1" s="323"/>
      <c r="L1" s="323"/>
      <c r="M1" s="323"/>
    </row>
    <row r="2" spans="1:85" ht="13.75" customHeight="1">
      <c r="A2" s="157"/>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c r="AE2" s="158"/>
      <c r="AF2" s="158"/>
      <c r="AG2" s="158"/>
      <c r="AH2" s="158"/>
      <c r="AI2" s="158"/>
      <c r="AJ2" s="158"/>
      <c r="AK2" s="158"/>
      <c r="AL2" s="158"/>
      <c r="AM2" s="158"/>
      <c r="AN2" s="158"/>
      <c r="AO2" s="158"/>
      <c r="AP2" s="158"/>
      <c r="AQ2" s="158"/>
      <c r="AR2" s="158"/>
      <c r="AS2" s="158"/>
      <c r="AT2" s="158"/>
      <c r="AU2" s="158"/>
      <c r="AV2" s="158"/>
      <c r="AW2" s="158"/>
      <c r="AX2" s="158"/>
      <c r="AY2" s="158"/>
      <c r="AZ2" s="158"/>
      <c r="BA2" s="158"/>
      <c r="BB2" s="158"/>
      <c r="BC2" s="158"/>
      <c r="BD2" s="158"/>
      <c r="BE2" s="158"/>
      <c r="BF2" s="158"/>
      <c r="BG2" s="158"/>
      <c r="BH2" s="158"/>
      <c r="BI2" s="158"/>
      <c r="BJ2" s="158"/>
      <c r="BK2" s="158"/>
      <c r="BL2" s="158"/>
      <c r="BM2" s="158"/>
      <c r="BN2" s="158"/>
      <c r="BO2" s="158"/>
      <c r="BP2" s="158"/>
      <c r="BQ2" s="158"/>
      <c r="BR2" s="158"/>
      <c r="BS2" s="158"/>
      <c r="BT2" s="158"/>
      <c r="BU2" s="158"/>
      <c r="BV2" s="158"/>
      <c r="BW2" s="158"/>
      <c r="BX2" s="158"/>
      <c r="BY2" s="158"/>
      <c r="BZ2" s="158"/>
      <c r="CA2" s="158"/>
      <c r="CB2" s="158"/>
      <c r="CC2" s="158"/>
      <c r="CD2" s="158"/>
      <c r="CE2" s="158"/>
      <c r="CF2" s="158"/>
      <c r="CG2" s="159"/>
    </row>
    <row r="3" spans="1:85">
      <c r="A3" s="160"/>
      <c r="B3" s="156" t="s">
        <v>172</v>
      </c>
      <c r="CG3" s="161"/>
    </row>
    <row r="4" spans="1:85">
      <c r="A4" s="160"/>
      <c r="E4" s="162"/>
      <c r="CG4" s="161"/>
    </row>
    <row r="5" spans="1:85">
      <c r="A5" s="160"/>
      <c r="C5" s="156" t="s">
        <v>237</v>
      </c>
      <c r="CG5" s="161"/>
    </row>
    <row r="6" spans="1:85" ht="15" customHeight="1">
      <c r="A6" s="160"/>
      <c r="C6" s="328" t="s">
        <v>175</v>
      </c>
      <c r="D6" s="329"/>
      <c r="E6" s="329"/>
      <c r="F6" s="329"/>
      <c r="G6" s="329"/>
      <c r="H6" s="329"/>
      <c r="I6" s="329"/>
      <c r="J6" s="329"/>
      <c r="K6" s="330"/>
      <c r="L6" s="328" t="s">
        <v>176</v>
      </c>
      <c r="M6" s="329"/>
      <c r="N6" s="329"/>
      <c r="O6" s="329"/>
      <c r="P6" s="329"/>
      <c r="Q6" s="329"/>
      <c r="R6" s="329"/>
      <c r="S6" s="329"/>
      <c r="T6" s="329"/>
      <c r="U6" s="329"/>
      <c r="V6" s="329"/>
      <c r="W6" s="329"/>
      <c r="X6" s="329"/>
      <c r="Y6" s="329"/>
      <c r="Z6" s="329"/>
      <c r="AA6" s="329"/>
      <c r="AB6" s="329"/>
      <c r="AC6" s="330"/>
      <c r="CG6" s="161"/>
    </row>
    <row r="7" spans="1:85" ht="15" customHeight="1">
      <c r="A7" s="160"/>
      <c r="C7" s="334" t="s">
        <v>240</v>
      </c>
      <c r="D7" s="335"/>
      <c r="E7" s="335"/>
      <c r="F7" s="335"/>
      <c r="G7" s="335"/>
      <c r="H7" s="335"/>
      <c r="I7" s="335"/>
      <c r="J7" s="335"/>
      <c r="K7" s="336"/>
      <c r="L7" s="331" t="s">
        <v>174</v>
      </c>
      <c r="M7" s="332"/>
      <c r="N7" s="332"/>
      <c r="O7" s="332"/>
      <c r="P7" s="332"/>
      <c r="Q7" s="332"/>
      <c r="R7" s="332"/>
      <c r="S7" s="332"/>
      <c r="T7" s="332"/>
      <c r="U7" s="332"/>
      <c r="V7" s="332"/>
      <c r="W7" s="332"/>
      <c r="X7" s="332"/>
      <c r="Y7" s="332"/>
      <c r="Z7" s="332"/>
      <c r="AA7" s="332"/>
      <c r="AB7" s="332"/>
      <c r="AC7" s="333"/>
      <c r="CG7" s="161"/>
    </row>
    <row r="8" spans="1:85">
      <c r="A8" s="160"/>
      <c r="E8" s="162"/>
      <c r="CG8" s="161"/>
    </row>
    <row r="9" spans="1:85">
      <c r="A9" s="160"/>
      <c r="B9" s="156" t="s">
        <v>177</v>
      </c>
      <c r="CG9" s="161"/>
    </row>
    <row r="10" spans="1:85" hidden="1">
      <c r="A10" s="160"/>
      <c r="C10" s="328" t="s">
        <v>175</v>
      </c>
      <c r="D10" s="329"/>
      <c r="E10" s="329"/>
      <c r="F10" s="329"/>
      <c r="G10" s="329"/>
      <c r="H10" s="329"/>
      <c r="I10" s="329"/>
      <c r="J10" s="329"/>
      <c r="K10" s="330"/>
      <c r="L10" s="328" t="s">
        <v>176</v>
      </c>
      <c r="M10" s="329"/>
      <c r="N10" s="329"/>
      <c r="O10" s="329"/>
      <c r="P10" s="329"/>
      <c r="Q10" s="329"/>
      <c r="R10" s="329"/>
      <c r="S10" s="329"/>
      <c r="T10" s="329"/>
      <c r="U10" s="329"/>
      <c r="V10" s="329"/>
      <c r="W10" s="329"/>
      <c r="X10" s="329"/>
      <c r="Y10" s="329"/>
      <c r="Z10" s="329"/>
      <c r="AA10" s="329"/>
      <c r="AB10" s="329"/>
      <c r="AC10" s="330"/>
      <c r="CG10" s="161"/>
    </row>
    <row r="11" spans="1:85" hidden="1">
      <c r="A11" s="160"/>
      <c r="C11" s="334" t="s">
        <v>173</v>
      </c>
      <c r="D11" s="335"/>
      <c r="E11" s="335"/>
      <c r="F11" s="335"/>
      <c r="G11" s="335"/>
      <c r="H11" s="335"/>
      <c r="I11" s="335"/>
      <c r="J11" s="335"/>
      <c r="K11" s="336"/>
      <c r="L11" s="331" t="s">
        <v>174</v>
      </c>
      <c r="M11" s="332"/>
      <c r="N11" s="332"/>
      <c r="O11" s="332"/>
      <c r="P11" s="332"/>
      <c r="Q11" s="332"/>
      <c r="R11" s="332"/>
      <c r="S11" s="332"/>
      <c r="T11" s="332"/>
      <c r="U11" s="332"/>
      <c r="V11" s="332"/>
      <c r="W11" s="332"/>
      <c r="X11" s="332"/>
      <c r="Y11" s="332"/>
      <c r="Z11" s="332"/>
      <c r="AA11" s="332"/>
      <c r="AB11" s="332"/>
      <c r="AC11" s="333"/>
      <c r="CG11" s="161"/>
    </row>
    <row r="12" spans="1:85" ht="13.75" customHeight="1">
      <c r="A12" s="160"/>
      <c r="C12" s="182"/>
      <c r="CG12" s="161"/>
    </row>
    <row r="13" spans="1:85">
      <c r="A13" s="160"/>
      <c r="D13" s="182" t="s">
        <v>183</v>
      </c>
      <c r="CG13" s="161"/>
    </row>
    <row r="14" spans="1:85" ht="15" customHeight="1">
      <c r="A14" s="160"/>
      <c r="D14" s="324" t="s">
        <v>181</v>
      </c>
      <c r="E14" s="324"/>
      <c r="F14" s="324"/>
      <c r="G14" s="324"/>
      <c r="H14" s="324"/>
      <c r="I14" s="324"/>
      <c r="J14" s="324"/>
      <c r="K14" s="324"/>
      <c r="L14" s="324"/>
      <c r="M14" s="324"/>
      <c r="N14" s="324"/>
      <c r="O14" s="324"/>
      <c r="P14" s="324"/>
      <c r="Q14" s="324"/>
      <c r="R14" s="324"/>
      <c r="S14" s="324"/>
      <c r="T14" s="324"/>
      <c r="U14" s="325" t="s">
        <v>238</v>
      </c>
      <c r="V14" s="326"/>
      <c r="W14" s="326"/>
      <c r="X14" s="326"/>
      <c r="Y14" s="326"/>
      <c r="Z14" s="326"/>
      <c r="AA14" s="326"/>
      <c r="AB14" s="326"/>
      <c r="AC14" s="326"/>
      <c r="AD14" s="326"/>
      <c r="AE14" s="326"/>
      <c r="AF14" s="326"/>
      <c r="AG14" s="326"/>
      <c r="AH14" s="326"/>
      <c r="AI14" s="326"/>
      <c r="AJ14" s="326"/>
      <c r="AK14" s="326"/>
      <c r="AL14" s="326"/>
      <c r="AM14" s="326"/>
      <c r="AN14" s="326"/>
      <c r="AO14" s="326"/>
      <c r="AP14" s="326"/>
      <c r="AQ14" s="326"/>
      <c r="AR14" s="326"/>
      <c r="AS14" s="326"/>
      <c r="AT14" s="326"/>
      <c r="AU14" s="326"/>
      <c r="AV14" s="326"/>
      <c r="AW14" s="326"/>
      <c r="AX14" s="326"/>
      <c r="AY14" s="326"/>
      <c r="AZ14" s="326"/>
      <c r="BA14" s="327"/>
      <c r="CG14" s="161"/>
    </row>
    <row r="15" spans="1:85" ht="15.75" customHeight="1">
      <c r="A15" s="160"/>
      <c r="D15" s="324" t="s">
        <v>152</v>
      </c>
      <c r="E15" s="324"/>
      <c r="F15" s="324"/>
      <c r="G15" s="324"/>
      <c r="H15" s="324"/>
      <c r="I15" s="324"/>
      <c r="J15" s="324"/>
      <c r="K15" s="324"/>
      <c r="L15" s="324"/>
      <c r="M15" s="324"/>
      <c r="N15" s="324"/>
      <c r="O15" s="324"/>
      <c r="P15" s="324"/>
      <c r="Q15" s="324"/>
      <c r="R15" s="324"/>
      <c r="S15" s="324"/>
      <c r="T15" s="324"/>
      <c r="U15" s="325" t="s">
        <v>239</v>
      </c>
      <c r="V15" s="326"/>
      <c r="W15" s="326"/>
      <c r="X15" s="326"/>
      <c r="Y15" s="326"/>
      <c r="Z15" s="326"/>
      <c r="AA15" s="326"/>
      <c r="AB15" s="326"/>
      <c r="AC15" s="326"/>
      <c r="AD15" s="326"/>
      <c r="AE15" s="326"/>
      <c r="AF15" s="326"/>
      <c r="AG15" s="326"/>
      <c r="AH15" s="326"/>
      <c r="AI15" s="326"/>
      <c r="AJ15" s="326"/>
      <c r="AK15" s="326"/>
      <c r="AL15" s="326"/>
      <c r="AM15" s="326"/>
      <c r="AN15" s="326"/>
      <c r="AO15" s="326"/>
      <c r="AP15" s="326"/>
      <c r="AQ15" s="326"/>
      <c r="AR15" s="326"/>
      <c r="AS15" s="326"/>
      <c r="AT15" s="326"/>
      <c r="AU15" s="326"/>
      <c r="AV15" s="326"/>
      <c r="AW15" s="326"/>
      <c r="AX15" s="326"/>
      <c r="AY15" s="326"/>
      <c r="AZ15" s="326"/>
      <c r="BA15" s="327"/>
      <c r="CG15" s="161"/>
    </row>
    <row r="16" spans="1:85">
      <c r="A16" s="160"/>
      <c r="D16" s="181" t="s">
        <v>178</v>
      </c>
      <c r="CG16" s="161"/>
    </row>
    <row r="17" spans="1:85">
      <c r="A17" s="160"/>
      <c r="D17" s="156" t="s">
        <v>153</v>
      </c>
      <c r="CG17" s="161"/>
    </row>
    <row r="18" spans="1:85">
      <c r="A18" s="160"/>
      <c r="CG18" s="161"/>
    </row>
    <row r="19" spans="1:85">
      <c r="A19" s="160"/>
      <c r="B19" s="156" t="s">
        <v>184</v>
      </c>
      <c r="C19" s="182"/>
      <c r="CG19" s="161"/>
    </row>
    <row r="20" spans="1:85">
      <c r="A20" s="160"/>
      <c r="CG20" s="161"/>
    </row>
    <row r="21" spans="1:85">
      <c r="A21" s="160"/>
      <c r="D21" s="156" t="s">
        <v>154</v>
      </c>
      <c r="CG21" s="161"/>
    </row>
    <row r="22" spans="1:85">
      <c r="A22" s="160"/>
      <c r="E22" s="156" t="s">
        <v>155</v>
      </c>
      <c r="CG22" s="161"/>
    </row>
    <row r="23" spans="1:85">
      <c r="A23" s="160"/>
      <c r="F23" s="156" t="s">
        <v>96</v>
      </c>
      <c r="J23" s="156" t="s">
        <v>156</v>
      </c>
      <c r="K23" s="156" t="s">
        <v>157</v>
      </c>
      <c r="CG23" s="161"/>
    </row>
    <row r="24" spans="1:85">
      <c r="A24" s="160"/>
      <c r="E24" s="156" t="s">
        <v>158</v>
      </c>
      <c r="CG24" s="161"/>
    </row>
    <row r="25" spans="1:85">
      <c r="A25" s="160"/>
      <c r="E25" s="156" t="s">
        <v>159</v>
      </c>
      <c r="CG25" s="161"/>
    </row>
    <row r="26" spans="1:85">
      <c r="A26" s="160"/>
      <c r="F26" s="156" t="s">
        <v>160</v>
      </c>
      <c r="J26" s="156" t="s">
        <v>161</v>
      </c>
      <c r="K26" s="156" t="s">
        <v>162</v>
      </c>
      <c r="CG26" s="161"/>
    </row>
    <row r="27" spans="1:85">
      <c r="A27" s="160"/>
      <c r="E27" s="162"/>
      <c r="F27" s="156" t="s">
        <v>163</v>
      </c>
      <c r="I27" s="162"/>
      <c r="J27" s="156" t="s">
        <v>161</v>
      </c>
      <c r="K27" s="156" t="s">
        <v>164</v>
      </c>
      <c r="L27" s="162"/>
      <c r="CG27" s="161"/>
    </row>
    <row r="28" spans="1:85">
      <c r="A28" s="160"/>
      <c r="E28" s="162"/>
      <c r="F28" s="156" t="s">
        <v>165</v>
      </c>
      <c r="I28" s="162"/>
      <c r="J28" s="162"/>
      <c r="K28" s="162"/>
      <c r="L28" s="162"/>
      <c r="CG28" s="161"/>
    </row>
    <row r="29" spans="1:85">
      <c r="A29" s="160"/>
      <c r="F29" s="156" t="s">
        <v>166</v>
      </c>
      <c r="I29" s="162"/>
      <c r="J29" s="162"/>
      <c r="K29" s="162"/>
      <c r="L29" s="162"/>
      <c r="CG29" s="161"/>
    </row>
    <row r="30" spans="1:85">
      <c r="A30" s="160"/>
      <c r="F30" s="156" t="s">
        <v>167</v>
      </c>
      <c r="I30" s="162"/>
      <c r="J30" s="162"/>
      <c r="K30" s="162"/>
      <c r="L30" s="162"/>
      <c r="CG30" s="161"/>
    </row>
    <row r="31" spans="1:85">
      <c r="A31" s="160"/>
      <c r="F31" s="156" t="s">
        <v>168</v>
      </c>
      <c r="I31" s="162"/>
      <c r="J31" s="162"/>
      <c r="K31" s="162"/>
      <c r="L31" s="162"/>
      <c r="CG31" s="161"/>
    </row>
    <row r="32" spans="1:85">
      <c r="A32" s="160"/>
      <c r="F32" s="156" t="s">
        <v>169</v>
      </c>
      <c r="I32" s="162"/>
      <c r="J32" s="162"/>
      <c r="K32" s="162"/>
      <c r="L32" s="162"/>
      <c r="CG32" s="161"/>
    </row>
    <row r="33" spans="1:85">
      <c r="A33" s="160"/>
      <c r="CG33" s="161"/>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37"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2026-06-17T06:34:08Z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