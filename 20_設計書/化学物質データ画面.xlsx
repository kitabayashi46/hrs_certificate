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C:\Users\AMA1040\Documents\古竹作成\基本設計書\"/>
    </mc:Choice>
  </mc:AlternateContent>
  <xr:revisionPtr revIDLastSave="0" documentId="13_ncr:1_{FBB13FDC-06DB-419B-B9A3-C470AD0DB8BA}" xr6:coauthVersionLast="47" xr6:coauthVersionMax="47" xr10:uidLastSave="{00000000-0000-0000-0000-000000000000}"/>
  <bookViews>
    <workbookView xWindow="28680" yWindow="-120" windowWidth="29040" windowHeight="15720" tabRatio="859" xr2:uid="{00000000-000D-0000-FFFF-FFFF00000000}"/>
  </bookViews>
  <sheets>
    <sheet name="表紙" sheetId="2" r:id="rId1"/>
    <sheet name="変更来歴" sheetId="3" r:id="rId2"/>
    <sheet name="化学物質データ画面(日英併記)" sheetId="73" r:id="rId3"/>
    <sheet name="画面項目" sheetId="69" r:id="rId4"/>
    <sheet name="処理詳細" sheetId="74" r:id="rId5"/>
  </sheets>
  <definedNames>
    <definedName name="_2a1_" hidden="1">{"'Sheet1'!$A$3:$I$11"}</definedName>
    <definedName name="_a1" hidden="1">{"'Sheet1'!$A$3:$I$11"}</definedName>
    <definedName name="_Order1" hidden="1">255</definedName>
    <definedName name="a" hidden="1">{"'Sheet1'!$A$3:$I$11"}</definedName>
    <definedName name="AAA" hidden="1">{"'Sheet1'!$A$3:$I$11"}</definedName>
    <definedName name="aaaa" hidden="1">{"'Sheet1'!$A$3:$I$11"}</definedName>
    <definedName name="b" hidden="1">{"'Sheet1'!$A$3:$I$11"}</definedName>
    <definedName name="bb" hidden="1">{"'Sheet1'!$A$3:$I$11"}</definedName>
    <definedName name="bbb" hidden="1">{"'Sheet1'!$A$3:$I$11"}</definedName>
    <definedName name="bbbb" hidden="1">{"'Sheet1'!$A$3:$I$11"}</definedName>
    <definedName name="f" hidden="1">{"'Sheet1'!$A$3:$I$11"}</definedName>
    <definedName name="ff" hidden="1">{"'Sheet1'!$A$3:$I$11"}</definedName>
    <definedName name="HTML_CodePage" hidden="1">932</definedName>
    <definedName name="HTML_Control" hidden="1">{"'Sheet1'!$A$3:$I$11"}</definedName>
    <definedName name="HTML_Control2" hidden="1">{"'Sheet1'!$A$3:$I$11"}</definedName>
    <definedName name="HTML_Description" hidden="1">""</definedName>
    <definedName name="HTML_Email" hidden="1">""</definedName>
    <definedName name="HTML_Header" hidden="1">"Sheet1"</definedName>
    <definedName name="HTML_LastUpdate" hidden="1">"99/10/16"</definedName>
    <definedName name="HTML_LineAfter" hidden="1">FALSE</definedName>
    <definedName name="HTML_LineBefore" hidden="1">FALSE</definedName>
    <definedName name="HTML_Name" hidden="1">"清水秀樹"</definedName>
    <definedName name="HTML_OBDlg2" hidden="1">TRUE</definedName>
    <definedName name="HTML_OBDlg4" hidden="1">TRUE</definedName>
    <definedName name="HTML_OS" hidden="1">0</definedName>
    <definedName name="HTML_PathFile" hidden="1">"C:\My Documents\"</definedName>
    <definedName name="HTML_Title" hidden="1">"機能関連図"</definedName>
    <definedName name="i" hidden="1">{"'Sheet1'!$A$3:$I$11"}</definedName>
    <definedName name="IBD00110チェック仕様" hidden="1">{"'Sheet1'!$A$3:$I$11"}</definedName>
    <definedName name="IBE09000チェック仕様" hidden="1">{"'Sheet1'!$A$3:$I$11"}</definedName>
    <definedName name="ooo" hidden="1">{"'Sheet1'!$A$3:$I$11"}</definedName>
    <definedName name="_xlnm.Print_Area" localSheetId="2">'化学物質データ画面(日英併記)'!$A$1:$BC$54</definedName>
    <definedName name="_xlnm.Print_Area" localSheetId="3">画面項目!$A$1:$DA$31</definedName>
    <definedName name="_xlnm.Print_Area" localSheetId="4">処理詳細!$A$1:$CS$35</definedName>
    <definedName name="_xlnm.Print_Area" localSheetId="0">表紙!$A$1:$I$36</definedName>
    <definedName name="s" hidden="1">{"'Sheet1'!$A$3:$I$11"}</definedName>
    <definedName name="txtDatabaseName">"テキスト 8"</definedName>
    <definedName name="txtTableName">"テキスト 2"</definedName>
    <definedName name="txtUserName">"テキスト 4"</definedName>
    <definedName name="vvvv" hidden="1">{"'Sheet1'!$A$3:$I$11"}</definedName>
    <definedName name="wew" hidden="1">{"'Sheet1'!$A$3:$I$11"}</definedName>
    <definedName name="ああ" hidden="1">{"'Sheet1'!$A$3:$I$11"}</definedName>
    <definedName name="ささ" hidden="1">{"'Sheet1'!$A$3:$I$11"}</definedName>
    <definedName name="仮単価発注" hidden="1">{"'Sheet1'!$A$3:$I$11"}</definedName>
    <definedName name="荷札イレギュラー" hidden="1">{"'Sheet1'!$A$3:$I$11"}</definedName>
    <definedName name="画面遷移new" localSheetId="3" hidden="1">{"'画面仕様'!$C$22:$BY$40","'画面仕様'!$C$28:$BY$39"}</definedName>
    <definedName name="画面遷移new" localSheetId="4" hidden="1">{"'画面仕様'!$C$22:$BY$40","'画面仕様'!$C$28:$BY$39"}</definedName>
    <definedName name="画面遷移new" hidden="1">{"'画面仕様'!$C$22:$BY$40","'画面仕様'!$C$28:$BY$39"}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73" l="1"/>
  <c r="AA3" i="73"/>
  <c r="M3" i="73"/>
  <c r="A3" i="73"/>
  <c r="AZ2" i="73"/>
  <c r="M2" i="73"/>
  <c r="AV1" i="73"/>
  <c r="AN1" i="73"/>
  <c r="AA1" i="73"/>
  <c r="M1" i="73"/>
  <c r="AV2" i="73"/>
  <c r="AV3" i="73"/>
  <c r="AN2" i="73"/>
  <c r="AT1" i="3" l="1"/>
  <c r="AT3" i="3"/>
  <c r="B2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Q3" authorId="0" shapeId="0" xr:uid="{7F851CB6-8C45-41EC-B987-150022F2AA3B}">
      <text>
        <r>
          <rPr>
            <sz val="9"/>
            <color indexed="81"/>
            <rFont val="ＭＳ Ｐゴシック"/>
            <family val="3"/>
            <charset val="128"/>
          </rPr>
          <t>Oに関しては必ず記載すること。
空の場合でも「-」を記入する</t>
        </r>
      </text>
    </comment>
    <comment ref="AB3" authorId="0" shapeId="0" xr:uid="{8662274A-A404-456B-BE41-58794F54A5F6}">
      <text>
        <r>
          <rPr>
            <sz val="9"/>
            <color indexed="81"/>
            <rFont val="ＭＳ Ｐゴシック"/>
            <family val="3"/>
            <charset val="128"/>
          </rPr>
          <t>Oに関しては必ず記載すること。
空の場合でも「-」を記入する</t>
        </r>
      </text>
    </comment>
    <comment ref="AI3" authorId="0" shapeId="0" xr:uid="{208C9DCE-0B79-4666-A7C1-FA50F63097AB}">
      <text>
        <r>
          <rPr>
            <sz val="9"/>
            <color indexed="81"/>
            <rFont val="ＭＳ Ｐゴシック"/>
            <family val="3"/>
            <charset val="128"/>
          </rPr>
          <t>Oに関しては必ず記載すること。
空の場合でも「-」を記入する</t>
        </r>
      </text>
    </comment>
    <comment ref="C4" authorId="0" shapeId="0" xr:uid="{8E2E2B2F-35D0-4FDF-AE06-770A779BB48E}">
      <text>
        <r>
          <rPr>
            <sz val="9"/>
            <color indexed="81"/>
            <rFont val="ＭＳ Ｐゴシック"/>
            <family val="3"/>
            <charset val="128"/>
          </rPr>
          <t>画面上をエリア分割した単位で記載する。
項番の一桁目として定義する。</t>
        </r>
      </text>
    </comment>
    <comment ref="J4" authorId="0" shapeId="0" xr:uid="{FE3EEF43-1DDD-4BAC-BB6B-272166EFC57F}">
      <text>
        <r>
          <rPr>
            <sz val="9"/>
            <color indexed="81"/>
            <rFont val="ＭＳ Ｐゴシック"/>
            <family val="3"/>
            <charset val="128"/>
          </rPr>
          <t>項目に対する名称
Labelの項目名が表示名称とする
Hiddenパラメタは追記しない</t>
        </r>
      </text>
    </comment>
  </commentList>
</comments>
</file>

<file path=xl/sharedStrings.xml><?xml version="1.0" encoding="utf-8"?>
<sst xmlns="http://schemas.openxmlformats.org/spreadsheetml/2006/main" count="332" uniqueCount="266">
  <si>
    <t>HRS殿</t>
    <rPh sb="3" eb="4">
      <t>ドノ</t>
    </rPh>
    <phoneticPr fontId="12"/>
  </si>
  <si>
    <t>作成</t>
    <rPh sb="0" eb="2">
      <t>サクセイ</t>
    </rPh>
    <phoneticPr fontId="12"/>
  </si>
  <si>
    <t>照査</t>
    <rPh sb="0" eb="2">
      <t>ショウサ</t>
    </rPh>
    <phoneticPr fontId="12"/>
  </si>
  <si>
    <t>承認</t>
    <rPh sb="0" eb="2">
      <t>ショウニン</t>
    </rPh>
    <phoneticPr fontId="12"/>
  </si>
  <si>
    <t>文書名：</t>
    <rPh sb="0" eb="2">
      <t>ブンショ</t>
    </rPh>
    <rPh sb="2" eb="3">
      <t>メイ</t>
    </rPh>
    <phoneticPr fontId="12"/>
  </si>
  <si>
    <t>顧客名</t>
    <rPh sb="0" eb="2">
      <t>コキャク</t>
    </rPh>
    <rPh sb="2" eb="3">
      <t>メイ</t>
    </rPh>
    <phoneticPr fontId="12"/>
  </si>
  <si>
    <t>ヒロセ電機株式会社</t>
    <rPh sb="3" eb="5">
      <t>デンキ</t>
    </rPh>
    <rPh sb="5" eb="7">
      <t>カブシキ</t>
    </rPh>
    <rPh sb="7" eb="9">
      <t>カイシャ</t>
    </rPh>
    <phoneticPr fontId="12"/>
  </si>
  <si>
    <t>システム</t>
    <phoneticPr fontId="12"/>
  </si>
  <si>
    <t>作成者</t>
    <rPh sb="0" eb="2">
      <t>サクセイ</t>
    </rPh>
    <rPh sb="2" eb="3">
      <t>シャ</t>
    </rPh>
    <phoneticPr fontId="12"/>
  </si>
  <si>
    <t>作成日</t>
    <rPh sb="0" eb="3">
      <t>サクセイビ</t>
    </rPh>
    <phoneticPr fontId="12"/>
  </si>
  <si>
    <t>書類番号</t>
    <rPh sb="0" eb="2">
      <t>ショルイ</t>
    </rPh>
    <rPh sb="2" eb="4">
      <t>バンゴウ</t>
    </rPh>
    <phoneticPr fontId="12"/>
  </si>
  <si>
    <t>プロジェクト</t>
    <phoneticPr fontId="12"/>
  </si>
  <si>
    <t>修正者</t>
    <rPh sb="0" eb="2">
      <t>シュウセイ</t>
    </rPh>
    <rPh sb="2" eb="3">
      <t>シャ</t>
    </rPh>
    <phoneticPr fontId="12"/>
  </si>
  <si>
    <t>修正日</t>
    <rPh sb="0" eb="2">
      <t>シュウセイ</t>
    </rPh>
    <rPh sb="2" eb="3">
      <t>ビ</t>
    </rPh>
    <phoneticPr fontId="12"/>
  </si>
  <si>
    <t>内容</t>
    <rPh sb="0" eb="2">
      <t>ナイヨウ</t>
    </rPh>
    <phoneticPr fontId="12"/>
  </si>
  <si>
    <t>Rev</t>
    <phoneticPr fontId="12"/>
  </si>
  <si>
    <t>intra-mart Accel Platform</t>
    <phoneticPr fontId="12"/>
  </si>
  <si>
    <t>変更内容</t>
    <rPh sb="0" eb="2">
      <t>ヘンコウ</t>
    </rPh>
    <rPh sb="2" eb="4">
      <t>ナイヨウ</t>
    </rPh>
    <phoneticPr fontId="11"/>
  </si>
  <si>
    <t>変更・追加箇所</t>
    <rPh sb="0" eb="2">
      <t>ヘンコウ</t>
    </rPh>
    <rPh sb="3" eb="5">
      <t>ツイカ</t>
    </rPh>
    <rPh sb="5" eb="7">
      <t>カショ</t>
    </rPh>
    <phoneticPr fontId="11"/>
  </si>
  <si>
    <t>提出日</t>
    <rPh sb="0" eb="2">
      <t>テイシュツ</t>
    </rPh>
    <rPh sb="2" eb="3">
      <t>ビ</t>
    </rPh>
    <phoneticPr fontId="11"/>
  </si>
  <si>
    <t>作成者</t>
    <rPh sb="0" eb="3">
      <t>サクセイシャ</t>
    </rPh>
    <phoneticPr fontId="11"/>
  </si>
  <si>
    <t>承認者</t>
    <rPh sb="0" eb="2">
      <t>ショウニン</t>
    </rPh>
    <rPh sb="2" eb="3">
      <t>シャ</t>
    </rPh>
    <phoneticPr fontId="11"/>
  </si>
  <si>
    <t>備考</t>
    <rPh sb="0" eb="2">
      <t>ビコウ</t>
    </rPh>
    <phoneticPr fontId="11"/>
  </si>
  <si>
    <t>新規作成</t>
    <rPh sb="0" eb="2">
      <t>シンキ</t>
    </rPh>
    <rPh sb="2" eb="4">
      <t>サクセイ</t>
    </rPh>
    <phoneticPr fontId="49"/>
  </si>
  <si>
    <t>Rev.</t>
    <phoneticPr fontId="11"/>
  </si>
  <si>
    <t>変更来歴</t>
    <phoneticPr fontId="49"/>
  </si>
  <si>
    <t>画面設計書</t>
    <rPh sb="0" eb="2">
      <t>ガメン</t>
    </rPh>
    <rPh sb="2" eb="5">
      <t>セッケイショ</t>
    </rPh>
    <phoneticPr fontId="12"/>
  </si>
  <si>
    <t>画面名</t>
    <rPh sb="0" eb="2">
      <t>ガメン</t>
    </rPh>
    <rPh sb="2" eb="3">
      <t>メイ</t>
    </rPh>
    <phoneticPr fontId="49"/>
  </si>
  <si>
    <t>アメージングアクティビティ(株)</t>
    <rPh sb="13" eb="16">
      <t>カブシキガイシャ</t>
    </rPh>
    <phoneticPr fontId="12"/>
  </si>
  <si>
    <t>IMWF-53</t>
    <phoneticPr fontId="49"/>
  </si>
  <si>
    <t>ｒ1.0</t>
    <phoneticPr fontId="49"/>
  </si>
  <si>
    <t>古竹</t>
    <rPh sb="0" eb="2">
      <t>フルタケ</t>
    </rPh>
    <phoneticPr fontId="49"/>
  </si>
  <si>
    <t>・</t>
    <phoneticPr fontId="53"/>
  </si>
  <si>
    <t>2025/11/10</t>
    <phoneticPr fontId="53"/>
  </si>
  <si>
    <t>2024/6/10</t>
    <phoneticPr fontId="53"/>
  </si>
  <si>
    <t>2025-15746</t>
    <phoneticPr fontId="53"/>
  </si>
  <si>
    <t>2025-15742</t>
    <phoneticPr fontId="53"/>
  </si>
  <si>
    <t>2025-08887</t>
    <phoneticPr fontId="53"/>
  </si>
  <si>
    <t xml:space="preserve"> </t>
    <phoneticPr fontId="53"/>
  </si>
  <si>
    <r>
      <rPr>
        <sz val="10"/>
        <color rgb="FFFF9900"/>
        <rFont val="Meiryo UI"/>
        <family val="3"/>
        <charset val="128"/>
      </rPr>
      <t>ホーム</t>
    </r>
    <r>
      <rPr>
        <sz val="10"/>
        <rFont val="Meiryo UI"/>
        <family val="3"/>
        <charset val="128"/>
      </rPr>
      <t xml:space="preserve"> / 化学物質データ</t>
    </r>
    <rPh sb="5" eb="9">
      <t>カガクブッシツ</t>
    </rPh>
    <phoneticPr fontId="53"/>
  </si>
  <si>
    <t>YYYYMMDD</t>
  </si>
  <si>
    <t>YYYYMMDD</t>
    <phoneticPr fontId="53"/>
  </si>
  <si>
    <t>-</t>
    <phoneticPr fontId="53"/>
  </si>
  <si>
    <t>xx.xx(MB)</t>
    <phoneticPr fontId="53"/>
  </si>
  <si>
    <t>1. パンくずリストエリア</t>
    <phoneticPr fontId="11"/>
  </si>
  <si>
    <t>1.1　パンくずリスト</t>
    <phoneticPr fontId="11"/>
  </si>
  <si>
    <t>以下のようにパンくずリストを表示する。</t>
    <rPh sb="0" eb="2">
      <t>イカ</t>
    </rPh>
    <rPh sb="14" eb="16">
      <t>ヒョウジ</t>
    </rPh>
    <phoneticPr fontId="11"/>
  </si>
  <si>
    <t>『製品トップ &gt; 化学物質データ』</t>
    <rPh sb="1" eb="3">
      <t>セイヒン</t>
    </rPh>
    <rPh sb="9" eb="11">
      <t>カガク</t>
    </rPh>
    <rPh sb="11" eb="13">
      <t>ブッシツ</t>
    </rPh>
    <phoneticPr fontId="11"/>
  </si>
  <si>
    <t>2. お知らせエリア</t>
    <rPh sb="4" eb="5">
      <t>シ</t>
    </rPh>
    <phoneticPr fontId="11"/>
  </si>
  <si>
    <t>4．申請ドキュメントCSV(イメージ)</t>
  </si>
  <si>
    <t>4.6 申請された証明書</t>
    <rPh sb="4" eb="6">
      <t>シンセイ</t>
    </rPh>
    <rPh sb="9" eb="12">
      <t>ショウメイショ</t>
    </rPh>
    <phoneticPr fontId="5"/>
  </si>
  <si>
    <t>製品名</t>
    <rPh sb="0" eb="3">
      <t>セイヒンメイ</t>
    </rPh>
    <phoneticPr fontId="55"/>
  </si>
  <si>
    <t>CL Code</t>
    <phoneticPr fontId="55"/>
  </si>
  <si>
    <t>新製品区分</t>
    <rPh sb="0" eb="3">
      <t>シンセイヒン</t>
    </rPh>
    <rPh sb="3" eb="5">
      <t>クブン</t>
    </rPh>
    <phoneticPr fontId="55"/>
  </si>
  <si>
    <t>製品販売状況</t>
    <rPh sb="0" eb="2">
      <t>セイヒン</t>
    </rPh>
    <rPh sb="2" eb="4">
      <t>ハンバイ</t>
    </rPh>
    <rPh sb="4" eb="6">
      <t>ジョウキョウ</t>
    </rPh>
    <phoneticPr fontId="55"/>
  </si>
  <si>
    <t>PCN番号</t>
    <rPh sb="3" eb="5">
      <t>バンゴウ</t>
    </rPh>
    <phoneticPr fontId="55"/>
  </si>
  <si>
    <t>RoHS適合証明書</t>
    <rPh sb="4" eb="6">
      <t>テキゴウ</t>
    </rPh>
    <rPh sb="6" eb="9">
      <t>ショウメイショ</t>
    </rPh>
    <phoneticPr fontId="55"/>
  </si>
  <si>
    <t>ハロゲンフリー証明書</t>
    <phoneticPr fontId="55"/>
  </si>
  <si>
    <t>成分表</t>
    <phoneticPr fontId="55"/>
  </si>
  <si>
    <t>ICP</t>
    <phoneticPr fontId="55"/>
  </si>
  <si>
    <t>SDS</t>
    <phoneticPr fontId="55"/>
  </si>
  <si>
    <t>chemSHERPA</t>
    <phoneticPr fontId="55"/>
  </si>
  <si>
    <t>NameA</t>
    <phoneticPr fontId="55"/>
  </si>
  <si>
    <t>CL0123-4567-8-90</t>
    <phoneticPr fontId="55"/>
  </si>
  <si>
    <t>オリジナル</t>
    <phoneticPr fontId="55"/>
  </si>
  <si>
    <t>生産終了予定品</t>
    <rPh sb="0" eb="2">
      <t>セイサン</t>
    </rPh>
    <rPh sb="2" eb="4">
      <t>シュウリョウ</t>
    </rPh>
    <rPh sb="4" eb="6">
      <t>ヨテイ</t>
    </rPh>
    <rPh sb="6" eb="7">
      <t>ヒン</t>
    </rPh>
    <phoneticPr fontId="55"/>
  </si>
  <si>
    <t>2024-01</t>
    <phoneticPr fontId="55"/>
  </si>
  <si>
    <t>YES</t>
    <phoneticPr fontId="55"/>
  </si>
  <si>
    <t>-</t>
    <phoneticPr fontId="55"/>
  </si>
  <si>
    <t>NameB</t>
    <phoneticPr fontId="55"/>
  </si>
  <si>
    <t>CL0123-4567-8-91</t>
    <phoneticPr fontId="55"/>
  </si>
  <si>
    <t>オリジナル(特定社)</t>
    <phoneticPr fontId="55"/>
  </si>
  <si>
    <t>生産終了品</t>
    <rPh sb="0" eb="2">
      <t>セイサン</t>
    </rPh>
    <rPh sb="2" eb="4">
      <t>シュウリョウ</t>
    </rPh>
    <rPh sb="4" eb="5">
      <t>ヒン</t>
    </rPh>
    <phoneticPr fontId="55"/>
  </si>
  <si>
    <t>2023-12</t>
    <phoneticPr fontId="55"/>
  </si>
  <si>
    <t>NameC</t>
    <phoneticPr fontId="55"/>
  </si>
  <si>
    <t>CL0123-4567-8-92</t>
    <phoneticPr fontId="55"/>
  </si>
  <si>
    <t>カスタム(他社販売可)</t>
    <phoneticPr fontId="55"/>
  </si>
  <si>
    <t>新規設計非推奨</t>
    <rPh sb="0" eb="2">
      <t>シンキ</t>
    </rPh>
    <rPh sb="2" eb="4">
      <t>セッケイ</t>
    </rPh>
    <rPh sb="4" eb="5">
      <t>ヒ</t>
    </rPh>
    <rPh sb="5" eb="7">
      <t>スイショウ</t>
    </rPh>
    <phoneticPr fontId="55"/>
  </si>
  <si>
    <t>NameE</t>
    <phoneticPr fontId="55"/>
  </si>
  <si>
    <t>CL0123-4567-8-94</t>
    <phoneticPr fontId="55"/>
  </si>
  <si>
    <t>カスタム(他社販売不可)</t>
    <phoneticPr fontId="55"/>
  </si>
  <si>
    <t>販売品</t>
    <rPh sb="0" eb="2">
      <t>ハンバイ</t>
    </rPh>
    <rPh sb="2" eb="3">
      <t>ヒン</t>
    </rPh>
    <phoneticPr fontId="55"/>
  </si>
  <si>
    <t>※製品名、新製品区分、製品販売状況、PCN番号に関して、"-"は値なしを示す。</t>
    <rPh sb="1" eb="4">
      <t>セイヒンメイ</t>
    </rPh>
    <rPh sb="5" eb="8">
      <t>シンセイヒン</t>
    </rPh>
    <rPh sb="8" eb="10">
      <t>クブン</t>
    </rPh>
    <rPh sb="11" eb="13">
      <t>セイヒン</t>
    </rPh>
    <rPh sb="13" eb="15">
      <t>ハンバイ</t>
    </rPh>
    <rPh sb="15" eb="17">
      <t>ジョウキョウ</t>
    </rPh>
    <rPh sb="21" eb="23">
      <t>バンゴウ</t>
    </rPh>
    <rPh sb="24" eb="25">
      <t>カン</t>
    </rPh>
    <phoneticPr fontId="55"/>
  </si>
  <si>
    <t>※申請された証明書に関して、YESは、申請されたもの、"-"は、申請されなかったものを示す。</t>
    <rPh sb="1" eb="3">
      <t>シンセイ</t>
    </rPh>
    <rPh sb="6" eb="9">
      <t>ショウメイショ</t>
    </rPh>
    <rPh sb="10" eb="11">
      <t>カン</t>
    </rPh>
    <rPh sb="19" eb="21">
      <t>シンセイ</t>
    </rPh>
    <rPh sb="32" eb="34">
      <t>シンセイ</t>
    </rPh>
    <rPh sb="43" eb="44">
      <t>シメ</t>
    </rPh>
    <phoneticPr fontId="55"/>
  </si>
  <si>
    <t>※製品名の昇順、CLコードの昇順（値がない場合は末尾）にて出力する</t>
    <rPh sb="1" eb="4">
      <t>セイヒンメイ</t>
    </rPh>
    <rPh sb="5" eb="7">
      <t>ショウジュン</t>
    </rPh>
    <rPh sb="14" eb="16">
      <t>ショウジュン</t>
    </rPh>
    <rPh sb="17" eb="18">
      <t>アタイ</t>
    </rPh>
    <rPh sb="21" eb="23">
      <t>バアイ</t>
    </rPh>
    <rPh sb="24" eb="26">
      <t>マツビ</t>
    </rPh>
    <rPh sb="29" eb="31">
      <t>シュツリョク</t>
    </rPh>
    <phoneticPr fontId="55"/>
  </si>
  <si>
    <t>画面項目(Screen Items)</t>
    <rPh sb="0" eb="4">
      <t>ガメンコウモク</t>
    </rPh>
    <phoneticPr fontId="11"/>
  </si>
  <si>
    <t>必須記入</t>
    <rPh sb="0" eb="2">
      <t>ヒッス</t>
    </rPh>
    <rPh sb="2" eb="4">
      <t>キニュウ</t>
    </rPh>
    <phoneticPr fontId="11"/>
  </si>
  <si>
    <t>項番
(No)</t>
    <phoneticPr fontId="11"/>
  </si>
  <si>
    <t>項目名(Item Name)</t>
    <phoneticPr fontId="11"/>
  </si>
  <si>
    <t>初期値
(Default Value)</t>
    <rPh sb="0" eb="3">
      <t>ショキチ</t>
    </rPh>
    <phoneticPr fontId="11"/>
  </si>
  <si>
    <t>備考
(Comment)</t>
    <rPh sb="0" eb="2">
      <t>ビコウ</t>
    </rPh>
    <phoneticPr fontId="11"/>
  </si>
  <si>
    <t>エリア
（Area）</t>
    <phoneticPr fontId="11"/>
  </si>
  <si>
    <t>項目名
(Item Name)</t>
    <phoneticPr fontId="11"/>
  </si>
  <si>
    <t>1</t>
  </si>
  <si>
    <t>パンくずリストエリア</t>
  </si>
  <si>
    <t>1.1</t>
  </si>
  <si>
    <t>パンくずリスト</t>
  </si>
  <si>
    <t>-</t>
  </si>
  <si>
    <t>検索結果表示エリア</t>
    <phoneticPr fontId="55"/>
  </si>
  <si>
    <t>3.1</t>
    <phoneticPr fontId="55"/>
  </si>
  <si>
    <t>検索ヒット件数</t>
    <rPh sb="0" eb="2">
      <t>ケンサク</t>
    </rPh>
    <rPh sb="5" eb="7">
      <t>ケンスウ</t>
    </rPh>
    <phoneticPr fontId="55"/>
  </si>
  <si>
    <t>取得した件数を表示する。</t>
    <rPh sb="4" eb="6">
      <t>ケンスウ</t>
    </rPh>
    <rPh sb="7" eb="9">
      <t>ヒョウジ</t>
    </rPh>
    <phoneticPr fontId="55"/>
  </si>
  <si>
    <t>3.2</t>
    <phoneticPr fontId="55"/>
  </si>
  <si>
    <t>ページング</t>
    <phoneticPr fontId="55"/>
  </si>
  <si>
    <t xml:space="preserve">検索結果のページング。1ページあたり100件とする。
100件を超える場合、2ページ目(とそれ以降)へのナビゲーションが表示される。
</t>
    <rPh sb="60" eb="62">
      <t>ヒョウジ</t>
    </rPh>
    <phoneticPr fontId="55"/>
  </si>
  <si>
    <t>3.3</t>
  </si>
  <si>
    <t>申請履歴データ</t>
    <rPh sb="0" eb="2">
      <t>シンセイ</t>
    </rPh>
    <rPh sb="2" eb="4">
      <t>リレキ</t>
    </rPh>
    <phoneticPr fontId="55"/>
  </si>
  <si>
    <t>3.4</t>
  </si>
  <si>
    <t>受付番号</t>
    <rPh sb="0" eb="2">
      <t>ウケツケ</t>
    </rPh>
    <rPh sb="2" eb="4">
      <t>バンゴウ</t>
    </rPh>
    <phoneticPr fontId="55"/>
  </si>
  <si>
    <t>3.5</t>
  </si>
  <si>
    <t>3.6</t>
  </si>
  <si>
    <t>3.7</t>
  </si>
  <si>
    <t>3.8</t>
  </si>
  <si>
    <t>ダウンロード有効期限。ステータスが「処理中」の場合はNULL。</t>
    <rPh sb="6" eb="8">
      <t>ユウコウ</t>
    </rPh>
    <rPh sb="8" eb="10">
      <t>キゲン</t>
    </rPh>
    <rPh sb="18" eb="21">
      <t>ショリチュウ</t>
    </rPh>
    <rPh sb="23" eb="25">
      <t>バアイ</t>
    </rPh>
    <phoneticPr fontId="55"/>
  </si>
  <si>
    <t>3.9</t>
  </si>
  <si>
    <t>ステータスが「処理中」または「有効期限切れ」の場合は"-"を表示する
ステータスが「処理済」の場合の数字表示方式は以下の通り。
　　・数字の後に(MB)を追加
　　・単位はMB
　　・小数点第一位まで表記し、第二位を切り上げ
　　・カンマ付きのフォーマットとする
　　・右寄せで表示
例）ファイルサイズ：100,000バイト　→　100000÷1024÷1024=0.0953…　表示：0.10(MB)</t>
    <rPh sb="7" eb="10">
      <t>ショリチュウ</t>
    </rPh>
    <rPh sb="15" eb="19">
      <t>ユウコウキゲン</t>
    </rPh>
    <rPh sb="19" eb="20">
      <t>キ</t>
    </rPh>
    <rPh sb="23" eb="25">
      <t>バアイ</t>
    </rPh>
    <rPh sb="30" eb="32">
      <t>ヒョウジ</t>
    </rPh>
    <rPh sb="50" eb="52">
      <t>スウジ</t>
    </rPh>
    <rPh sb="52" eb="54">
      <t>ヒョウジ</t>
    </rPh>
    <rPh sb="54" eb="56">
      <t>ホウシキ</t>
    </rPh>
    <rPh sb="57" eb="59">
      <t>イカ</t>
    </rPh>
    <rPh sb="60" eb="61">
      <t>トオ</t>
    </rPh>
    <rPh sb="67" eb="69">
      <t>スウジ</t>
    </rPh>
    <rPh sb="70" eb="71">
      <t>アト</t>
    </rPh>
    <rPh sb="77" eb="79">
      <t>ツイカ</t>
    </rPh>
    <rPh sb="142" eb="143">
      <t>レイ</t>
    </rPh>
    <rPh sb="190" eb="192">
      <t>ヒョウジ</t>
    </rPh>
    <phoneticPr fontId="55"/>
  </si>
  <si>
    <t>3.10</t>
  </si>
  <si>
    <t>3.11</t>
  </si>
  <si>
    <t xml:space="preserve">                    をクリックすると、化学物質のリクエスト内容を記載したCSVをダウンロードする</t>
    <rPh sb="29" eb="31">
      <t>カガク</t>
    </rPh>
    <rPh sb="31" eb="33">
      <t>ブッシツ</t>
    </rPh>
    <rPh sb="39" eb="41">
      <t>ナイヨウ</t>
    </rPh>
    <rPh sb="42" eb="44">
      <t>キサイ</t>
    </rPh>
    <phoneticPr fontId="55"/>
  </si>
  <si>
    <t>3.12</t>
  </si>
  <si>
    <t>新規申請</t>
    <phoneticPr fontId="55"/>
  </si>
  <si>
    <t>申請ドキュメント詳細</t>
    <rPh sb="0" eb="2">
      <t>シンセイ</t>
    </rPh>
    <rPh sb="8" eb="10">
      <t>ショウサイ</t>
    </rPh>
    <phoneticPr fontId="55"/>
  </si>
  <si>
    <t>4.2</t>
    <phoneticPr fontId="55"/>
  </si>
  <si>
    <t>CL番号</t>
    <rPh sb="2" eb="4">
      <t>バンゴウ</t>
    </rPh>
    <phoneticPr fontId="55"/>
  </si>
  <si>
    <t>4.6</t>
    <phoneticPr fontId="55"/>
  </si>
  <si>
    <t>化学物質の申請履歴情報</t>
    <rPh sb="0" eb="2">
      <t>カガク</t>
    </rPh>
    <rPh sb="2" eb="4">
      <t>ブッシツ</t>
    </rPh>
    <rPh sb="5" eb="7">
      <t>シンセイ</t>
    </rPh>
    <rPh sb="7" eb="9">
      <t>リレキ</t>
    </rPh>
    <rPh sb="9" eb="11">
      <t>ジョウホウ</t>
    </rPh>
    <phoneticPr fontId="55"/>
  </si>
  <si>
    <t>利用可能な論理項目種別</t>
    <rPh sb="0" eb="11">
      <t>リヨウカノウロンリコウモクシュベツ</t>
    </rPh>
    <phoneticPr fontId="11"/>
  </si>
  <si>
    <t>固定/可変</t>
    <rPh sb="0" eb="2">
      <t>コテイ</t>
    </rPh>
    <rPh sb="3" eb="5">
      <t>カヘン</t>
    </rPh>
    <phoneticPr fontId="11"/>
  </si>
  <si>
    <t>Label</t>
    <phoneticPr fontId="11"/>
  </si>
  <si>
    <t>Fixed</t>
    <phoneticPr fontId="11"/>
  </si>
  <si>
    <t>Manual Operation Button</t>
    <phoneticPr fontId="11"/>
  </si>
  <si>
    <t>Variable</t>
    <phoneticPr fontId="11"/>
  </si>
  <si>
    <t>Image Button</t>
    <phoneticPr fontId="11"/>
  </si>
  <si>
    <t>Anchor Text</t>
    <phoneticPr fontId="11"/>
  </si>
  <si>
    <t>Textbox</t>
    <phoneticPr fontId="11"/>
  </si>
  <si>
    <t>Text Box (with spin button)</t>
    <phoneticPr fontId="11"/>
  </si>
  <si>
    <t>Password</t>
    <phoneticPr fontId="11"/>
  </si>
  <si>
    <t>Text Area</t>
    <phoneticPr fontId="11"/>
  </si>
  <si>
    <t>File field</t>
    <phoneticPr fontId="11"/>
  </si>
  <si>
    <t>Radio Button</t>
    <phoneticPr fontId="11"/>
  </si>
  <si>
    <t>Dropdown List</t>
    <phoneticPr fontId="11"/>
  </si>
  <si>
    <t>Checkbox</t>
    <phoneticPr fontId="11"/>
  </si>
  <si>
    <t>Calendar</t>
    <phoneticPr fontId="11"/>
  </si>
  <si>
    <t>Time Input</t>
    <phoneticPr fontId="11"/>
  </si>
  <si>
    <t>Loop Table</t>
    <phoneticPr fontId="11"/>
  </si>
  <si>
    <t>Image</t>
    <phoneticPr fontId="11"/>
  </si>
  <si>
    <t>Hidden Field</t>
    <phoneticPr fontId="11"/>
  </si>
  <si>
    <t>Included Screen</t>
    <phoneticPr fontId="11"/>
  </si>
  <si>
    <t>Text Output</t>
    <phoneticPr fontId="11"/>
  </si>
  <si>
    <t>Other</t>
    <phoneticPr fontId="11"/>
  </si>
  <si>
    <t>chemSHERPA対応バージョン：Ver1.05</t>
    <rPh sb="10" eb="12">
      <t>タイオウ</t>
    </rPh>
    <phoneticPr fontId="53"/>
  </si>
  <si>
    <t xml:space="preserve"> chemSHERPA version：Ver1.05</t>
    <phoneticPr fontId="53"/>
  </si>
  <si>
    <t xml:space="preserve"> AIS version：format ver4.1d substances list ver4.090</t>
    <phoneticPr fontId="53"/>
  </si>
  <si>
    <t>AIS対応バージョン：フォーマットVer4.1d　物質リストVer4.090</t>
    <rPh sb="3" eb="5">
      <t>タイオウ</t>
    </rPh>
    <rPh sb="25" eb="27">
      <t>ブッシツ</t>
    </rPh>
    <phoneticPr fontId="53"/>
  </si>
  <si>
    <t>♦NEW!!</t>
    <phoneticPr fontId="53"/>
  </si>
  <si>
    <t>Reception_number
受付番号</t>
    <rPh sb="17" eb="21">
      <t>ウケツケバンゴウ</t>
    </rPh>
    <phoneticPr fontId="53"/>
  </si>
  <si>
    <t>End_user
エンドユーザー</t>
    <phoneticPr fontId="53"/>
  </si>
  <si>
    <t>Applicatrion_date
申請日</t>
    <rPh sb="18" eb="21">
      <t>シンセイビ</t>
    </rPh>
    <phoneticPr fontId="53"/>
  </si>
  <si>
    <t>Expiry_date
有効期限日</t>
    <rPh sb="12" eb="17">
      <t>ユウコウキゲンビ</t>
    </rPh>
    <phoneticPr fontId="53"/>
  </si>
  <si>
    <t>File_size
ファイルサイズ</t>
    <phoneticPr fontId="53"/>
  </si>
  <si>
    <t>Status
ステータス</t>
    <phoneticPr fontId="53"/>
  </si>
  <si>
    <t>Document
ドキュメント</t>
    <phoneticPr fontId="53"/>
  </si>
  <si>
    <t>Submission_company 
提出先企業名</t>
    <rPh sb="20" eb="22">
      <t>テイシュツ</t>
    </rPh>
    <rPh sb="21" eb="24">
      <t>キギョウメイ</t>
    </rPh>
    <phoneticPr fontId="53"/>
  </si>
  <si>
    <t>A company
A社</t>
    <rPh sb="11" eb="12">
      <t>シャ</t>
    </rPh>
    <phoneticPr fontId="53"/>
  </si>
  <si>
    <t>B company
B社</t>
    <rPh sb="11" eb="12">
      <t>シャ</t>
    </rPh>
    <phoneticPr fontId="53"/>
  </si>
  <si>
    <t>C company
C社</t>
    <rPh sb="11" eb="12">
      <t>シャ</t>
    </rPh>
    <phoneticPr fontId="53"/>
  </si>
  <si>
    <t>2.2　日英表記切替ボタン</t>
    <rPh sb="4" eb="8">
      <t>ニチエイヒョウキ</t>
    </rPh>
    <rPh sb="8" eb="10">
      <t>キリカエ</t>
    </rPh>
    <phoneticPr fontId="11"/>
  </si>
  <si>
    <r>
      <rPr>
        <sz val="9"/>
        <rFont val="Meiryo UI"/>
        <family val="3"/>
        <charset val="128"/>
      </rPr>
      <t>検索ヒット件数:104件</t>
    </r>
    <r>
      <rPr>
        <sz val="8"/>
        <rFont val="Meiryo UI"/>
        <family val="3"/>
        <charset val="128"/>
      </rPr>
      <t xml:space="preserve">
</t>
    </r>
    <r>
      <rPr>
        <sz val="7.5"/>
        <rFont val="Meiryo UI"/>
        <family val="3"/>
        <charset val="128"/>
      </rPr>
      <t>Search results:104 results</t>
    </r>
    <phoneticPr fontId="53"/>
  </si>
  <si>
    <t>有効期限切れ
Expaired</t>
    <rPh sb="0" eb="5">
      <t>ユウコウキゲンギ</t>
    </rPh>
    <phoneticPr fontId="53"/>
  </si>
  <si>
    <t>処理中
Processing</t>
    <rPh sb="0" eb="3">
      <t>ショリチュウ</t>
    </rPh>
    <phoneticPr fontId="53"/>
  </si>
  <si>
    <r>
      <t>［お知らせ/</t>
    </r>
    <r>
      <rPr>
        <sz val="7"/>
        <rFont val="Meiryo UI"/>
        <family val="3"/>
        <charset val="128"/>
      </rPr>
      <t>Information</t>
    </r>
    <r>
      <rPr>
        <sz val="8"/>
        <rFont val="Meiryo UI"/>
        <family val="3"/>
        <charset val="128"/>
      </rPr>
      <t>］</t>
    </r>
    <rPh sb="2" eb="3">
      <t>シ</t>
    </rPh>
    <phoneticPr fontId="53"/>
  </si>
  <si>
    <t>r1.1</t>
    <phoneticPr fontId="49"/>
  </si>
  <si>
    <t>「化学物質データ画面(日英併記)」、「化学物質データ画面(日英切替)」シートを追加、「化学物質データ画面(日本語)」シートを削除</t>
    <rPh sb="31" eb="33">
      <t>キリカエ</t>
    </rPh>
    <rPh sb="39" eb="41">
      <t>ツイカ</t>
    </rPh>
    <rPh sb="53" eb="56">
      <t>ニホンゴ</t>
    </rPh>
    <rPh sb="62" eb="64">
      <t>サクジョ</t>
    </rPh>
    <phoneticPr fontId="49"/>
  </si>
  <si>
    <t>データ画面を日英併記と日英切替の2種類を作成</t>
    <rPh sb="3" eb="5">
      <t>ガメン</t>
    </rPh>
    <rPh sb="6" eb="8">
      <t>ニチエイ</t>
    </rPh>
    <rPh sb="8" eb="10">
      <t>ヘイキ</t>
    </rPh>
    <rPh sb="11" eb="13">
      <t>ニチエイ</t>
    </rPh>
    <rPh sb="13" eb="15">
      <t>キリカエ</t>
    </rPh>
    <rPh sb="17" eb="19">
      <t>シュルイ</t>
    </rPh>
    <rPh sb="20" eb="22">
      <t>サクセイ</t>
    </rPh>
    <phoneticPr fontId="49"/>
  </si>
  <si>
    <t>r1.2</t>
    <phoneticPr fontId="49"/>
  </si>
  <si>
    <t>「画面状態」シート、「化学物質データ画面(日英切替)」シート削除</t>
    <rPh sb="1" eb="5">
      <t>ガメンジョウタイ</t>
    </rPh>
    <rPh sb="30" eb="32">
      <t>サクジョ</t>
    </rPh>
    <phoneticPr fontId="49"/>
  </si>
  <si>
    <t>化学物質データ申請</t>
    <rPh sb="0" eb="4">
      <t>カガクブッシツ</t>
    </rPh>
    <rPh sb="7" eb="9">
      <t>シンセイ</t>
    </rPh>
    <phoneticPr fontId="49"/>
  </si>
  <si>
    <t>化学物質データトップ画面</t>
    <rPh sb="0" eb="4">
      <t>カガクブッシツ</t>
    </rPh>
    <rPh sb="10" eb="12">
      <t>ガメン</t>
    </rPh>
    <phoneticPr fontId="49"/>
  </si>
  <si>
    <t>※本画面へのログイン詳細は現時点では未定のため、確定次第追記予定</t>
    <rPh sb="1" eb="4">
      <t>ホンガメン</t>
    </rPh>
    <rPh sb="10" eb="12">
      <t>ショウサイ</t>
    </rPh>
    <rPh sb="13" eb="16">
      <t>ゲンジテン</t>
    </rPh>
    <rPh sb="18" eb="20">
      <t>ミテイ</t>
    </rPh>
    <rPh sb="24" eb="28">
      <t>カクテイシダイ</t>
    </rPh>
    <rPh sb="28" eb="32">
      <t>ツイキヨテイ</t>
    </rPh>
    <phoneticPr fontId="53"/>
  </si>
  <si>
    <t>NULL</t>
    <phoneticPr fontId="53"/>
  </si>
  <si>
    <t>お知らせエリア</t>
    <rPh sb="1" eb="2">
      <t>シ</t>
    </rPh>
    <phoneticPr fontId="53"/>
  </si>
  <si>
    <t>2.1</t>
    <phoneticPr fontId="53"/>
  </si>
  <si>
    <t>2.2</t>
    <phoneticPr fontId="53"/>
  </si>
  <si>
    <t>新着情報</t>
    <rPh sb="0" eb="4">
      <t>シンチャクジョウホウ</t>
    </rPh>
    <phoneticPr fontId="53"/>
  </si>
  <si>
    <t>日英表記切替ボタン</t>
    <rPh sb="0" eb="2">
      <t>ニチエイ</t>
    </rPh>
    <rPh sb="2" eb="4">
      <t>ヒョウキ</t>
    </rPh>
    <rPh sb="4" eb="6">
      <t>キリカエ</t>
    </rPh>
    <phoneticPr fontId="53"/>
  </si>
  <si>
    <t>フォーマット
(Format)</t>
    <phoneticPr fontId="11"/>
  </si>
  <si>
    <t>4.1</t>
    <phoneticPr fontId="55"/>
  </si>
  <si>
    <t>4.3</t>
  </si>
  <si>
    <t>4.4</t>
  </si>
  <si>
    <t>4.5</t>
  </si>
  <si>
    <t>製品販売状況</t>
    <rPh sb="0" eb="2">
      <t>セイヒン</t>
    </rPh>
    <rPh sb="2" eb="6">
      <t>ハンバイジョウキョウ</t>
    </rPh>
    <phoneticPr fontId="55"/>
  </si>
  <si>
    <t>申請履歴データ
　受付番号</t>
    <rPh sb="9" eb="11">
      <t>ウケツケ</t>
    </rPh>
    <rPh sb="11" eb="13">
      <t>バンゴウ</t>
    </rPh>
    <phoneticPr fontId="55"/>
  </si>
  <si>
    <t>申請履歴データ
　提出先企業名</t>
    <phoneticPr fontId="55"/>
  </si>
  <si>
    <t>申請履歴データ
　エンドユーザー</t>
    <phoneticPr fontId="55"/>
  </si>
  <si>
    <t>申請履歴データ
　申請日</t>
    <rPh sb="9" eb="11">
      <t>シンセイ</t>
    </rPh>
    <rPh sb="11" eb="12">
      <t>ビ</t>
    </rPh>
    <phoneticPr fontId="55"/>
  </si>
  <si>
    <t>申請履歴データ
　有効期限日</t>
    <rPh sb="9" eb="11">
      <t>ユウコウ</t>
    </rPh>
    <rPh sb="11" eb="13">
      <t>キゲン</t>
    </rPh>
    <rPh sb="13" eb="14">
      <t>ビ</t>
    </rPh>
    <phoneticPr fontId="55"/>
  </si>
  <si>
    <t>申請履歴データ
　ファイルサイズ</t>
    <phoneticPr fontId="55"/>
  </si>
  <si>
    <t>申請履歴データ
　ステータス</t>
    <phoneticPr fontId="55"/>
  </si>
  <si>
    <t>申請履歴データ
　ドキュメント</t>
    <phoneticPr fontId="55"/>
  </si>
  <si>
    <t xml:space="preserve">化学物質データ申請画面に遷移する。         </t>
    <phoneticPr fontId="55"/>
  </si>
  <si>
    <t>導出元：HrsChemicalSubstanceEntry.partNo
※値がない場合、"-"（ハイフン）を出力</t>
    <rPh sb="0" eb="2">
      <t>ドウシュツ</t>
    </rPh>
    <rPh sb="2" eb="3">
      <t>モト</t>
    </rPh>
    <rPh sb="38" eb="39">
      <t>アタイ</t>
    </rPh>
    <rPh sb="42" eb="44">
      <t>バアイ</t>
    </rPh>
    <rPh sb="55" eb="57">
      <t>シュツリョク</t>
    </rPh>
    <phoneticPr fontId="55"/>
  </si>
  <si>
    <t>導出元：HrsChemicalSubstanceEntry.clCode</t>
    <rPh sb="0" eb="2">
      <t>ドウシュツ</t>
    </rPh>
    <rPh sb="2" eb="3">
      <t>モト</t>
    </rPh>
    <phoneticPr fontId="55"/>
  </si>
  <si>
    <t>導出元：HrsChemicalSubstanceEntry.newProductClass
※値がない場合、"-"（ハイフン）を出力</t>
    <rPh sb="0" eb="2">
      <t>ドウシュツ</t>
    </rPh>
    <rPh sb="2" eb="3">
      <t>モト</t>
    </rPh>
    <rPh sb="47" eb="48">
      <t>アタイ</t>
    </rPh>
    <rPh sb="51" eb="53">
      <t>バアイ</t>
    </rPh>
    <rPh sb="64" eb="66">
      <t>シュツリョク</t>
    </rPh>
    <phoneticPr fontId="55"/>
  </si>
  <si>
    <t>導出元：HrsChemicalSubstanceEntry.productSalesStatusClass
※値がない場合、"-"（ハイフン）を出力</t>
    <rPh sb="0" eb="2">
      <t>ドウシュツ</t>
    </rPh>
    <rPh sb="2" eb="3">
      <t>モト</t>
    </rPh>
    <rPh sb="55" eb="56">
      <t>アタイ</t>
    </rPh>
    <rPh sb="59" eb="61">
      <t>バアイ</t>
    </rPh>
    <rPh sb="72" eb="74">
      <t>シュツリョク</t>
    </rPh>
    <phoneticPr fontId="55"/>
  </si>
  <si>
    <t>導出元：HrsChemicalSubstanceEntry.pcnNo
※値がない場合、"-"（ハイフン）を出力</t>
    <rPh sb="0" eb="2">
      <t>ドウシュツ</t>
    </rPh>
    <rPh sb="2" eb="3">
      <t>モト</t>
    </rPh>
    <rPh sb="37" eb="38">
      <t>アタイ</t>
    </rPh>
    <rPh sb="41" eb="43">
      <t>バアイ</t>
    </rPh>
    <rPh sb="54" eb="56">
      <t>シュツリョク</t>
    </rPh>
    <phoneticPr fontId="55"/>
  </si>
  <si>
    <t>導出元：HrsChemicalSubstanceEntry.requestedCertificates
例：YES/空白（何も出力しない）
（HrsChemicalSubstanceEntry.requestedCertificatesの値をAppEnumGroup.ChemicalSubstanceDataと照合する。対応する証明書存在する場合、「YES」を出力、存在しない場合、何も出力しない。）</t>
    <phoneticPr fontId="55"/>
  </si>
  <si>
    <t>導出元：ChemicalSubstanceStatus(processing/processed/unprocessed)
[HrsChemicalSubstance.status == ChemicalSubstanceStatus.processed]
　[現在日時 &lt; HrsChemicalSubstance.expDate]
　　　　　　　　　　　が表示され、クリックすることでファイルをダウンロード可能。
　[現在日時 &gt;= HrsChemicalSubstance.expDate]
    「有効期限切れ」を表示する
[HrsChemicalSubstance.status == ChemicalSubstanceStatus.processing]
    「処理中」を表示する</t>
    <rPh sb="181" eb="183">
      <t>ヒョウジ</t>
    </rPh>
    <rPh sb="206" eb="208">
      <t>カノウ</t>
    </rPh>
    <rPh sb="256" eb="258">
      <t>ユウコウ</t>
    </rPh>
    <rPh sb="258" eb="260">
      <t>キゲン</t>
    </rPh>
    <rPh sb="260" eb="261">
      <t>ギ</t>
    </rPh>
    <rPh sb="264" eb="266">
      <t>ヒョウジ</t>
    </rPh>
    <rPh sb="342" eb="345">
      <t>ショリチュウ</t>
    </rPh>
    <phoneticPr fontId="55"/>
  </si>
  <si>
    <t>処理詳細</t>
    <rPh sb="0" eb="2">
      <t>ショリ</t>
    </rPh>
    <rPh sb="2" eb="4">
      <t>ショウサイ</t>
    </rPh>
    <phoneticPr fontId="11"/>
  </si>
  <si>
    <t>１）　化学物質の申請履歴情報の取得</t>
    <rPh sb="15" eb="17">
      <t>シュトク</t>
    </rPh>
    <phoneticPr fontId="55"/>
  </si>
  <si>
    <t>抽出条件</t>
    <rPh sb="0" eb="2">
      <t>チュウシュツ</t>
    </rPh>
    <rPh sb="2" eb="4">
      <t>ジョウケン</t>
    </rPh>
    <phoneticPr fontId="55"/>
  </si>
  <si>
    <t>画面で検索結果一覧の各申請番号を利用して申請番号ごとの環境証明書申請詳細情報を取得する。</t>
    <rPh sb="0" eb="2">
      <t>ガメン</t>
    </rPh>
    <rPh sb="3" eb="5">
      <t>ケンサク</t>
    </rPh>
    <rPh sb="5" eb="7">
      <t>ケッカ</t>
    </rPh>
    <rPh sb="7" eb="9">
      <t>イチラン</t>
    </rPh>
    <rPh sb="10" eb="11">
      <t>カク</t>
    </rPh>
    <rPh sb="11" eb="13">
      <t>シンセイ</t>
    </rPh>
    <rPh sb="13" eb="15">
      <t>バンゴウ</t>
    </rPh>
    <rPh sb="16" eb="18">
      <t>リヨウ</t>
    </rPh>
    <rPh sb="20" eb="24">
      <t>シンセイバンゴウ</t>
    </rPh>
    <rPh sb="27" eb="29">
      <t>カンキョウ</t>
    </rPh>
    <rPh sb="29" eb="34">
      <t>ショウメイショシンセイ</t>
    </rPh>
    <rPh sb="34" eb="36">
      <t>ショウサイ</t>
    </rPh>
    <rPh sb="36" eb="38">
      <t>ジョウホウ</t>
    </rPh>
    <rPh sb="39" eb="41">
      <t>シュトク</t>
    </rPh>
    <phoneticPr fontId="55"/>
  </si>
  <si>
    <t>２）　申請書ダウンロード</t>
    <rPh sb="3" eb="6">
      <t>シンセイショ</t>
    </rPh>
    <phoneticPr fontId="55"/>
  </si>
  <si>
    <t>以下の通りS3から申請書ファイルロードする。</t>
    <rPh sb="0" eb="2">
      <t>イカ</t>
    </rPh>
    <rPh sb="3" eb="4">
      <t>トオ</t>
    </rPh>
    <rPh sb="9" eb="11">
      <t>シンセイ</t>
    </rPh>
    <rPh sb="11" eb="12">
      <t>ショ</t>
    </rPh>
    <phoneticPr fontId="55"/>
  </si>
  <si>
    <t>パス：[S3バケット][フォルダパス]/{受付番号}.zip</t>
    <phoneticPr fontId="55"/>
  </si>
  <si>
    <t>：</t>
    <phoneticPr fontId="55"/>
  </si>
  <si>
    <t>該当のHrsChemicalSubstance.appNo</t>
    <rPh sb="0" eb="2">
      <t>ガイトウ</t>
    </rPh>
    <phoneticPr fontId="55"/>
  </si>
  <si>
    <t>上記パスはlocal.propertiesから取得すること</t>
    <rPh sb="0" eb="2">
      <t>ジョウキ</t>
    </rPh>
    <rPh sb="23" eb="25">
      <t>シュトク</t>
    </rPh>
    <phoneticPr fontId="83"/>
  </si>
  <si>
    <t>取得キーは、以下の通り。</t>
    <rPh sb="0" eb="2">
      <t>シュトク</t>
    </rPh>
    <rPh sb="6" eb="8">
      <t>イカ</t>
    </rPh>
    <rPh sb="9" eb="10">
      <t>トオ</t>
    </rPh>
    <phoneticPr fontId="84"/>
  </si>
  <si>
    <t>S3バケット</t>
  </si>
  <si>
    <t>：</t>
  </si>
  <si>
    <t>if.batch.aws.s3.gm.bucketName</t>
  </si>
  <si>
    <t>フォルダパス</t>
    <phoneticPr fontId="55"/>
  </si>
  <si>
    <t>if.batch.aws.s3.directory.path.gm.backup.receive.cert</t>
    <phoneticPr fontId="55"/>
  </si>
  <si>
    <t>例：S3バケット：/sys-interface/gm/data/rcv/cert/2019-00001.zip</t>
  </si>
  <si>
    <t>※プロパティ名は ~backup.receive.cert となっているがフォルダはデータ取込済みフォルダを定義している。</t>
    <rPh sb="6" eb="7">
      <t>メイ</t>
    </rPh>
    <rPh sb="45" eb="47">
      <t>トリコミ</t>
    </rPh>
    <rPh sb="47" eb="48">
      <t>ズ</t>
    </rPh>
    <phoneticPr fontId="55"/>
  </si>
  <si>
    <t>※ダウンロードファイルはバッチ処理にてフォルダパスに配置される。</t>
    <rPh sb="15" eb="17">
      <t>ショリ</t>
    </rPh>
    <rPh sb="26" eb="28">
      <t>ハイチ</t>
    </rPh>
    <phoneticPr fontId="55"/>
  </si>
  <si>
    <t xml:space="preserve"> 　バッチ処理の詳細についてはバッチ定義書を参照。</t>
    <rPh sb="5" eb="7">
      <t>ショリ</t>
    </rPh>
    <rPh sb="8" eb="10">
      <t>ショウサイ</t>
    </rPh>
    <rPh sb="18" eb="21">
      <t>テイギショ</t>
    </rPh>
    <rPh sb="22" eb="24">
      <t>サンショウ</t>
    </rPh>
    <phoneticPr fontId="55"/>
  </si>
  <si>
    <t>　 参照ファイル：「SEBT060_バッチ機能定義書_環境証明書取込みバッチ.xlsx」</t>
    <rPh sb="2" eb="4">
      <t>サンショウ</t>
    </rPh>
    <phoneticPr fontId="55"/>
  </si>
  <si>
    <t>SVHC調査報告書</t>
    <rPh sb="4" eb="9">
      <t>チョウサホウコクショ</t>
    </rPh>
    <phoneticPr fontId="55"/>
  </si>
  <si>
    <t>化学物質データ / Chemical substance data</t>
    <rPh sb="0" eb="2">
      <t>カガク</t>
    </rPh>
    <rPh sb="2" eb="4">
      <t>ブッシツ</t>
    </rPh>
    <phoneticPr fontId="53"/>
  </si>
  <si>
    <t>「化学物質データ画面(日英併記)」、「画面項目」「処理詳細」</t>
    <rPh sb="19" eb="21">
      <t>ガメン</t>
    </rPh>
    <rPh sb="21" eb="23">
      <t>コウモク</t>
    </rPh>
    <rPh sb="25" eb="29">
      <t>ショリショウサイ</t>
    </rPh>
    <phoneticPr fontId="49"/>
  </si>
  <si>
    <t>詳細は「SERP100_帳票定義書_環境証明書申請内容.xlsx」に記載されているので、該当ファイルを参照</t>
    <phoneticPr fontId="53"/>
  </si>
  <si>
    <t>切替ボタンを押下して、お知らせエリア内の言語を日本語または英語に切り替える</t>
    <rPh sb="0" eb="2">
      <t>キリカエ</t>
    </rPh>
    <rPh sb="6" eb="8">
      <t>オウカ</t>
    </rPh>
    <rPh sb="12" eb="13">
      <t>シ</t>
    </rPh>
    <rPh sb="18" eb="19">
      <t>ナイ</t>
    </rPh>
    <rPh sb="20" eb="22">
      <t>ゲンゴ</t>
    </rPh>
    <rPh sb="23" eb="26">
      <t>ニホンゴ</t>
    </rPh>
    <rPh sb="29" eb="31">
      <t>エイゴ</t>
    </rPh>
    <rPh sb="32" eb="33">
      <t>キ</t>
    </rPh>
    <rPh sb="34" eb="35">
      <t>カ</t>
    </rPh>
    <phoneticPr fontId="5"/>
  </si>
  <si>
    <t>ログインユーザの申請履歴を表示対象とする</t>
    <rPh sb="8" eb="10">
      <t>シンセイ</t>
    </rPh>
    <rPh sb="10" eb="12">
      <t>リレキ</t>
    </rPh>
    <rPh sb="13" eb="15">
      <t>ヒョウジ</t>
    </rPh>
    <rPh sb="15" eb="17">
      <t>タイショウ</t>
    </rPh>
    <phoneticPr fontId="55"/>
  </si>
  <si>
    <t xml:space="preserve">検索結果が一覧表示される。1ページの上限は100件。    
受付が最新のものが最上位（日付降順）   
暦年-シーケンス番号   </t>
    <phoneticPr fontId="55"/>
  </si>
  <si>
    <t>1.　画面初期表示</t>
    <rPh sb="3" eb="9">
      <t>ガメンショキヒョウジ</t>
    </rPh>
    <phoneticPr fontId="53"/>
  </si>
  <si>
    <t>証明書申請テーブル</t>
    <rPh sb="0" eb="3">
      <t>ショウメイショ</t>
    </rPh>
    <rPh sb="3" eb="5">
      <t>シンセイ</t>
    </rPh>
    <phoneticPr fontId="53"/>
  </si>
  <si>
    <t>証明書申請テーブルから以下条件でデータを取得して画面「検索結果表示」エリアに表示する</t>
    <rPh sb="0" eb="3">
      <t>ショウメイショ</t>
    </rPh>
    <rPh sb="3" eb="5">
      <t>シンセイ</t>
    </rPh>
    <rPh sb="11" eb="13">
      <t>イカ</t>
    </rPh>
    <rPh sb="13" eb="15">
      <t>ジョウケン</t>
    </rPh>
    <rPh sb="20" eb="22">
      <t>シュトク</t>
    </rPh>
    <rPh sb="24" eb="26">
      <t>ガメン</t>
    </rPh>
    <rPh sb="27" eb="29">
      <t>ケンサク</t>
    </rPh>
    <rPh sb="29" eb="31">
      <t>ケッカ</t>
    </rPh>
    <rPh sb="31" eb="33">
      <t>ヒョウジ</t>
    </rPh>
    <rPh sb="38" eb="40">
      <t>ヒョウジ</t>
    </rPh>
    <phoneticPr fontId="53"/>
  </si>
  <si>
    <t>ユーザコード</t>
    <phoneticPr fontId="55"/>
  </si>
  <si>
    <t>ログインユーザ</t>
    <phoneticPr fontId="55"/>
  </si>
  <si>
    <t>識別</t>
    <rPh sb="0" eb="2">
      <t>シキベツ</t>
    </rPh>
    <phoneticPr fontId="55"/>
  </si>
  <si>
    <t>導出元（Source）</t>
    <rPh sb="0" eb="2">
      <t>ドウシュツ</t>
    </rPh>
    <rPh sb="2" eb="3">
      <t>モト</t>
    </rPh>
    <phoneticPr fontId="55"/>
  </si>
  <si>
    <t>2.　ドキュメントCSVダウンロード</t>
    <phoneticPr fontId="53"/>
  </si>
  <si>
    <t>ブック「SERP100_帳票定義書_環境証明書申請内容.xlsx」を参照</t>
  </si>
  <si>
    <t>導出元
(Source)</t>
    <rPh sb="0" eb="3">
      <t>ドウシュツモト</t>
    </rPh>
    <phoneticPr fontId="11"/>
  </si>
  <si>
    <t>証明書申請 受付番号</t>
    <rPh sb="0" eb="5">
      <t>ショウメイショシンセイ</t>
    </rPh>
    <rPh sb="6" eb="10">
      <t>ウケツケバンゴウ</t>
    </rPh>
    <phoneticPr fontId="53"/>
  </si>
  <si>
    <t>証明書申請 提出企業名</t>
    <rPh sb="0" eb="5">
      <t>ショウメイショシンセイ</t>
    </rPh>
    <rPh sb="6" eb="11">
      <t>テイシュツキギョウメイ</t>
    </rPh>
    <phoneticPr fontId="53"/>
  </si>
  <si>
    <t>証明書申請 エンドユーザ</t>
    <rPh sb="0" eb="5">
      <t>ショウメイショシンセイ</t>
    </rPh>
    <phoneticPr fontId="53"/>
  </si>
  <si>
    <t>証明書申請 申請日</t>
    <rPh sb="0" eb="5">
      <t>ショウメイショシンセイ</t>
    </rPh>
    <rPh sb="6" eb="9">
      <t>シンセイビ</t>
    </rPh>
    <phoneticPr fontId="53"/>
  </si>
  <si>
    <t>証明書申請 ファイルサイズ</t>
    <rPh sb="0" eb="5">
      <t>ショウメイショシンセイ</t>
    </rPh>
    <phoneticPr fontId="53"/>
  </si>
  <si>
    <t>証明書申請入力 製品名</t>
    <rPh sb="0" eb="5">
      <t>ショウメイショシンセイ</t>
    </rPh>
    <rPh sb="5" eb="7">
      <t>ニュウリョク</t>
    </rPh>
    <rPh sb="8" eb="11">
      <t>セイヒンメイ</t>
    </rPh>
    <phoneticPr fontId="53"/>
  </si>
  <si>
    <t>証明書申請入力 CLコード</t>
    <rPh sb="0" eb="5">
      <t>ショウメイショシンセイ</t>
    </rPh>
    <rPh sb="5" eb="7">
      <t>ニュウリョク</t>
    </rPh>
    <phoneticPr fontId="53"/>
  </si>
  <si>
    <t>証明書申請 ステータス</t>
    <rPh sb="0" eb="5">
      <t>ショウメイショシンセイ</t>
    </rPh>
    <phoneticPr fontId="53"/>
  </si>
  <si>
    <t>証明書申請入力 新製品区分</t>
    <rPh sb="0" eb="5">
      <t>ショウメイショシンセイ</t>
    </rPh>
    <rPh sb="5" eb="7">
      <t>ニュウリョク</t>
    </rPh>
    <rPh sb="8" eb="13">
      <t>シンセイヒンクブン</t>
    </rPh>
    <phoneticPr fontId="53"/>
  </si>
  <si>
    <t>証明書申請入力 製品販売状況</t>
    <rPh sb="0" eb="5">
      <t>ショウメイショシンセイ</t>
    </rPh>
    <rPh sb="5" eb="7">
      <t>ニュウリョク</t>
    </rPh>
    <rPh sb="8" eb="12">
      <t>セイヒンハンバイ</t>
    </rPh>
    <rPh sb="12" eb="14">
      <t>ジョウキョウ</t>
    </rPh>
    <phoneticPr fontId="53"/>
  </si>
  <si>
    <t>証明書申請入力 PCN No</t>
    <rPh sb="0" eb="5">
      <t>ショウメイショシンセイ</t>
    </rPh>
    <rPh sb="5" eb="7">
      <t>ニュウリョク</t>
    </rPh>
    <phoneticPr fontId="53"/>
  </si>
  <si>
    <t>「お知らせ登録画面」で登録したお知らせを表示する。</t>
    <rPh sb="2" eb="3">
      <t>シ</t>
    </rPh>
    <rPh sb="5" eb="9">
      <t>トウロクガメン</t>
    </rPh>
    <rPh sb="11" eb="13">
      <t>トウロク</t>
    </rPh>
    <rPh sb="16" eb="17">
      <t>シ</t>
    </rPh>
    <rPh sb="20" eb="22">
      <t>ヒョウジ</t>
    </rPh>
    <phoneticPr fontId="53"/>
  </si>
  <si>
    <t>機能仕様</t>
    <rPh sb="0" eb="4">
      <t>キノウシヨウ</t>
    </rPh>
    <phoneticPr fontId="11"/>
  </si>
  <si>
    <t>証明書申請テーブル、証明書申請入力</t>
    <rPh sb="0" eb="3">
      <t>ショウメイショ</t>
    </rPh>
    <rPh sb="3" eb="5">
      <t>シンセイ</t>
    </rPh>
    <rPh sb="10" eb="13">
      <t>ショウメイショ</t>
    </rPh>
    <rPh sb="13" eb="15">
      <t>シンセイ</t>
    </rPh>
    <rPh sb="15" eb="17">
      <t>ニュウリョク</t>
    </rPh>
    <phoneticPr fontId="55"/>
  </si>
  <si>
    <t>テーブル</t>
    <phoneticPr fontId="55"/>
  </si>
  <si>
    <t>証明書申請テーブル 受付番号=検索結果対象明細.申請番号</t>
    <rPh sb="0" eb="3">
      <t>ショウメイショ</t>
    </rPh>
    <rPh sb="3" eb="5">
      <t>シンセイ</t>
    </rPh>
    <rPh sb="10" eb="14">
      <t>ウケツケバンゴウ</t>
    </rPh>
    <rPh sb="15" eb="17">
      <t>ケンサク</t>
    </rPh>
    <rPh sb="17" eb="19">
      <t>ケッカ</t>
    </rPh>
    <rPh sb="19" eb="21">
      <t>タイショウ</t>
    </rPh>
    <rPh sb="21" eb="23">
      <t>メイサイ</t>
    </rPh>
    <rPh sb="24" eb="26">
      <t>シンセイ</t>
    </rPh>
    <rPh sb="26" eb="28">
      <t>バンゴウ</t>
    </rPh>
    <phoneticPr fontId="55"/>
  </si>
  <si>
    <t>新環境証明証システム移行</t>
    <rPh sb="0" eb="3">
      <t>シンカンキョウ</t>
    </rPh>
    <rPh sb="3" eb="6">
      <t>ショウメイショウ</t>
    </rPh>
    <rPh sb="10" eb="12">
      <t>イコウ</t>
    </rPh>
    <phoneticPr fontId="49"/>
  </si>
  <si>
    <t>お知らせ登録テーブル</t>
    <rPh sb="1" eb="2">
      <t>シ</t>
    </rPh>
    <rPh sb="4" eb="6">
      <t>トウロク</t>
    </rPh>
    <phoneticPr fontId="53"/>
  </si>
  <si>
    <t>1.2</t>
    <phoneticPr fontId="53"/>
  </si>
  <si>
    <t>お知らせ登録画面遷移ボタン</t>
    <rPh sb="1" eb="2">
      <t>シ</t>
    </rPh>
    <rPh sb="4" eb="8">
      <t>トウロクガメン</t>
    </rPh>
    <rPh sb="8" eb="10">
      <t>センイ</t>
    </rPh>
    <phoneticPr fontId="53"/>
  </si>
  <si>
    <t>押下するとお知らせ登録画面に遷移
このボタンが表示されるのはログインユーザが管理者権限を付与されている場合のみ</t>
    <rPh sb="0" eb="2">
      <t>オウカ</t>
    </rPh>
    <rPh sb="6" eb="7">
      <t>シ</t>
    </rPh>
    <rPh sb="9" eb="13">
      <t>トウロクガメン</t>
    </rPh>
    <rPh sb="14" eb="16">
      <t>センイ</t>
    </rPh>
    <rPh sb="23" eb="25">
      <t>ヒョウジ</t>
    </rPh>
    <rPh sb="38" eb="43">
      <t>カンリシャケンゲン</t>
    </rPh>
    <rPh sb="44" eb="46">
      <t>フヨ</t>
    </rPh>
    <rPh sb="51" eb="53">
      <t>バアイ</t>
    </rPh>
    <phoneticPr fontId="5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</si>
</sst>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quot;-&quot;"/>
    <numFmt numFmtId="177" formatCode="0.00_)"/>
    <numFmt numFmtId="178" formatCode="#,##0.00;[Red]\(#,##0.00\)"/>
    <numFmt numFmtId="179" formatCode="#,##0_ ;[Red]\-#,##0\ "/>
    <numFmt numFmtId="180" formatCode="yyyy/mm/dd"/>
  </numFmts>
  <fonts count="86">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6"/>
      <name val="ＭＳ Ｐゴシック"/>
      <family val="3"/>
      <charset val="128"/>
    </font>
    <font>
      <sz val="11"/>
      <name val="ＭＳ Ｐゴシック"/>
      <family val="3"/>
      <charset val="128"/>
    </font>
    <font>
      <sz val="11"/>
      <name val="Arial Black"/>
      <family val="2"/>
    </font>
    <font>
      <sz val="12"/>
      <name val="ＭＳ Ｐゴシック"/>
      <family val="3"/>
      <charset val="128"/>
    </font>
    <font>
      <sz val="16"/>
      <name val="ＭＳ Ｐゴシック"/>
      <family val="3"/>
      <charset val="128"/>
    </font>
    <font>
      <b/>
      <u/>
      <sz val="10"/>
      <name val="ＭＳ Ｐゴシック"/>
      <family val="3"/>
      <charset val="128"/>
    </font>
    <font>
      <b/>
      <sz val="10"/>
      <name val="ＭＳ Ｐゴシック"/>
      <family val="3"/>
      <charset val="128"/>
    </font>
    <font>
      <sz val="10"/>
      <name val="ＭＳ Ｐゴシック"/>
      <family val="3"/>
      <charset val="128"/>
    </font>
    <font>
      <sz val="9"/>
      <name val="ＭＳ Ｐゴシック"/>
      <family val="3"/>
      <charset val="128"/>
    </font>
    <font>
      <sz val="8"/>
      <name val="ＭＳ Ｐゴシック"/>
      <family val="3"/>
      <charset val="128"/>
    </font>
    <font>
      <sz val="11"/>
      <name val="ＭＳ 明朝"/>
      <family val="1"/>
      <charset val="128"/>
    </font>
    <font>
      <sz val="10"/>
      <color indexed="8"/>
      <name val="Arial"/>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9"/>
      <name val="Times New Roman"/>
      <family val="1"/>
    </font>
    <font>
      <sz val="8"/>
      <name val="Arial"/>
      <family val="2"/>
    </font>
    <font>
      <b/>
      <sz val="12"/>
      <name val="Arial"/>
      <family val="2"/>
    </font>
    <font>
      <b/>
      <sz val="10"/>
      <color indexed="8"/>
      <name val="ＭＳ ゴシック"/>
      <family val="3"/>
      <charset val="128"/>
    </font>
    <font>
      <b/>
      <i/>
      <sz val="16"/>
      <name val="Helv"/>
      <family val="2"/>
    </font>
    <font>
      <sz val="10"/>
      <name val="Arial"/>
      <family val="2"/>
    </font>
    <font>
      <sz val="10"/>
      <color indexed="8"/>
      <name val="_x001b_$B#M#S_x001b_(B _x001b_$B%4%7%C%/_x001b_(B"/>
      <family val="1"/>
    </font>
    <font>
      <b/>
      <i/>
      <sz val="10"/>
      <color indexed="8"/>
      <name val="_x001b_$B#M#S_x001b_(B _x001b_$B%4%7%C%/_x001b_(B"/>
      <family val="1"/>
    </font>
    <font>
      <b/>
      <sz val="10"/>
      <color indexed="9"/>
      <name val="_x001b_$B#M#S_x001b_(B _x001b_$B%4%7%C%/_x001b_(B"/>
      <family val="1"/>
    </font>
    <font>
      <b/>
      <sz val="10"/>
      <color indexed="17"/>
      <name val="_x001b_$B#M#S_x001b_(B _x001b_$B%4%7%C%/_x001b_(B"/>
      <family val="1"/>
    </font>
    <font>
      <b/>
      <sz val="16"/>
      <color indexed="13"/>
      <name val="_x001b_$B#M#S_x001b_(B _x001b_$B%4%7%C%/_x001b_(B"/>
      <family val="1"/>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i/>
      <sz val="10"/>
      <name val="Times New Roman"/>
      <family val="1"/>
    </font>
    <font>
      <b/>
      <sz val="11"/>
      <name val="Helv"/>
      <family val="2"/>
    </font>
    <font>
      <b/>
      <sz val="9"/>
      <name val="Times New Roman"/>
      <family val="1"/>
    </font>
    <font>
      <sz val="8"/>
      <color indexed="8"/>
      <name val="Wingdings"/>
      <charset val="2"/>
    </font>
    <font>
      <sz val="11"/>
      <name val="明朝"/>
      <family val="3"/>
      <charset val="128"/>
    </font>
    <font>
      <sz val="14"/>
      <name val="ＭＳ 明朝"/>
      <family val="1"/>
      <charset val="128"/>
    </font>
    <font>
      <b/>
      <sz val="9"/>
      <name val="ＭＳ Ｐゴシック"/>
      <family val="3"/>
      <charset val="128"/>
    </font>
    <font>
      <sz val="6"/>
      <name val="ＭＳ Ｐゴシック"/>
      <family val="3"/>
      <charset val="128"/>
    </font>
    <font>
      <b/>
      <sz val="10"/>
      <color indexed="9"/>
      <name val="ＭＳ Ｐゴシック"/>
      <family val="3"/>
      <charset val="128"/>
    </font>
    <font>
      <sz val="10"/>
      <color theme="1"/>
      <name val="ＭＳ Ｐゴシック"/>
      <family val="3"/>
      <charset val="128"/>
      <scheme val="minor"/>
    </font>
    <font>
      <b/>
      <sz val="12"/>
      <color theme="0"/>
      <name val="ＭＳ Ｐゴシック"/>
      <family val="3"/>
      <charset val="128"/>
      <scheme val="minor"/>
    </font>
    <font>
      <sz val="6"/>
      <name val="ＭＳ Ｐゴシック"/>
      <family val="3"/>
      <charset val="128"/>
      <scheme val="minor"/>
    </font>
    <font>
      <sz val="11"/>
      <color theme="1"/>
      <name val="ＭＳ Ｐゴシック"/>
      <family val="2"/>
      <scheme val="minor"/>
    </font>
    <font>
      <sz val="6"/>
      <name val="ＭＳ Ｐゴシック"/>
      <family val="2"/>
      <charset val="128"/>
      <scheme val="minor"/>
    </font>
    <font>
      <sz val="11"/>
      <color theme="1"/>
      <name val="ＭＳ Ｐゴシック"/>
      <family val="3"/>
      <charset val="128"/>
      <scheme val="minor"/>
    </font>
    <font>
      <sz val="9"/>
      <color theme="1"/>
      <name val="ＭＳ Ｐゴシック"/>
      <family val="3"/>
      <charset val="128"/>
      <scheme val="minor"/>
    </font>
    <font>
      <b/>
      <sz val="12"/>
      <name val="Arial Black"/>
      <family val="2"/>
    </font>
    <font>
      <sz val="10"/>
      <color theme="0"/>
      <name val="Meiryo UI"/>
      <family val="3"/>
      <charset val="128"/>
    </font>
    <font>
      <sz val="10"/>
      <name val="Meiryo UI"/>
      <family val="3"/>
      <charset val="128"/>
    </font>
    <font>
      <sz val="10"/>
      <color theme="1"/>
      <name val="Meiryo UI"/>
      <family val="3"/>
      <charset val="128"/>
    </font>
    <font>
      <sz val="11"/>
      <color theme="1"/>
      <name val="Meiryo UI"/>
      <family val="3"/>
      <charset val="128"/>
    </font>
    <font>
      <sz val="11"/>
      <color rgb="FFFF0000"/>
      <name val="Meiryo UI"/>
      <family val="3"/>
      <charset val="128"/>
    </font>
    <font>
      <b/>
      <sz val="10"/>
      <color theme="1"/>
      <name val="Meiryo UI"/>
      <family val="3"/>
      <charset val="128"/>
    </font>
    <font>
      <sz val="9"/>
      <name val="Meiryo UI"/>
      <family val="3"/>
      <charset val="128"/>
    </font>
    <font>
      <sz val="11"/>
      <name val="Meiryo UI"/>
      <family val="3"/>
      <charset val="128"/>
    </font>
    <font>
      <sz val="16"/>
      <name val="Meiryo UI"/>
      <family val="3"/>
      <charset val="128"/>
    </font>
    <font>
      <b/>
      <sz val="10"/>
      <name val="Meiryo UI"/>
      <family val="3"/>
      <charset val="128"/>
    </font>
    <font>
      <sz val="8"/>
      <name val="Meiryo UI"/>
      <family val="3"/>
      <charset val="128"/>
    </font>
    <font>
      <sz val="8"/>
      <color theme="1"/>
      <name val="Meiryo UI"/>
      <family val="3"/>
      <charset val="128"/>
    </font>
    <font>
      <sz val="8"/>
      <color rgb="FF0000FF"/>
      <name val="Meiryo UI"/>
      <family val="3"/>
      <charset val="128"/>
    </font>
    <font>
      <sz val="6"/>
      <name val="Meiryo UI"/>
      <family val="3"/>
      <charset val="128"/>
    </font>
    <font>
      <sz val="6"/>
      <color theme="1"/>
      <name val="Meiryo UI"/>
      <family val="3"/>
      <charset val="128"/>
    </font>
    <font>
      <sz val="7.5"/>
      <color theme="0"/>
      <name val="Meiryo UI"/>
      <family val="3"/>
      <charset val="128"/>
    </font>
    <font>
      <sz val="10"/>
      <color rgb="FFFF9900"/>
      <name val="Meiryo UI"/>
      <family val="3"/>
      <charset val="128"/>
    </font>
    <font>
      <sz val="9"/>
      <color theme="1"/>
      <name val="Meiryo UI"/>
      <family val="3"/>
      <charset val="128"/>
    </font>
    <font>
      <b/>
      <sz val="11"/>
      <name val="Meiryo UI"/>
      <family val="3"/>
      <charset val="128"/>
    </font>
    <font>
      <b/>
      <sz val="9"/>
      <name val="Meiryo UI"/>
      <family val="3"/>
      <charset val="128"/>
    </font>
    <font>
      <sz val="9"/>
      <color indexed="81"/>
      <name val="ＭＳ Ｐゴシック"/>
      <family val="3"/>
      <charset val="128"/>
    </font>
    <font>
      <sz val="7.5"/>
      <name val="Meiryo UI"/>
      <family val="3"/>
      <charset val="128"/>
    </font>
    <font>
      <sz val="7"/>
      <name val="Meiryo UI"/>
      <family val="3"/>
      <charset val="128"/>
    </font>
    <font>
      <sz val="9"/>
      <color rgb="FFFF0000"/>
      <name val="Meiryo UI"/>
      <family val="3"/>
      <charset val="128"/>
    </font>
    <font>
      <b/>
      <sz val="9"/>
      <color indexed="81"/>
      <name val="ＭＳ Ｐゴシック"/>
      <family val="3"/>
      <charset val="128"/>
    </font>
    <font>
      <sz val="12"/>
      <name val="Meiryo UI"/>
      <family val="3"/>
      <charset val="128"/>
    </font>
    <font>
      <sz val="10.5"/>
      <color rgb="FF000000"/>
      <name val="Meiryo UI"/>
      <family val="3"/>
      <charset val="128"/>
    </font>
  </fonts>
  <fills count="27">
    <fill>
      <patternFill patternType="none"/>
    </fill>
    <fill>
      <patternFill patternType="gray125"/>
    </fill>
    <fill>
      <patternFill patternType="solid">
        <fgColor indexed="47"/>
      </patternFill>
    </fill>
    <fill>
      <patternFill patternType="solid">
        <fgColor indexed="12"/>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17"/>
      </patternFill>
    </fill>
    <fill>
      <patternFill patternType="solid">
        <fgColor indexed="43"/>
      </patternFill>
    </fill>
    <fill>
      <patternFill patternType="solid">
        <fgColor indexed="9"/>
        <bgColor indexed="64"/>
      </patternFill>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theme="0"/>
        <bgColor indexed="64"/>
      </patternFill>
    </fill>
    <fill>
      <patternFill patternType="solid">
        <fgColor rgb="FFFFCC66"/>
        <bgColor indexed="64"/>
      </patternFill>
    </fill>
    <fill>
      <patternFill patternType="solid">
        <fgColor rgb="FFCCCCFF"/>
        <bgColor indexed="64"/>
      </patternFill>
    </fill>
    <fill>
      <patternFill patternType="solid">
        <fgColor theme="1"/>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0.14996795556505021"/>
        <bgColor indexed="64"/>
      </patternFill>
    </fill>
    <fill>
      <patternFill patternType="solid">
        <fgColor rgb="FFCCECFF"/>
        <bgColor indexed="64"/>
      </patternFill>
    </fill>
    <fill>
      <patternFill patternType="solid">
        <fgColor rgb="FFFFFFFF"/>
        <bgColor indexed="64"/>
      </patternFill>
    </fill>
    <fill>
      <patternFill patternType="solid">
        <fgColor rgb="FFC0C0C0"/>
        <bgColor indexed="64"/>
      </patternFill>
    </fill>
    <fill>
      <patternFill patternType="solid">
        <fgColor rgb="FF969696"/>
        <bgColor indexed="64"/>
      </patternFill>
    </fill>
    <fill>
      <patternFill patternType="solid">
        <fgColor theme="0" tint="-0.249977111117893"/>
        <bgColor indexed="64"/>
      </patternFill>
    </fill>
  </fills>
  <borders count="65">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top style="hair">
        <color indexed="64"/>
      </top>
      <bottom style="hair">
        <color indexed="64"/>
      </bottom>
      <diagonal/>
    </border>
    <border>
      <left/>
      <right style="thin">
        <color indexed="64"/>
      </right>
      <top style="thin">
        <color indexed="64"/>
      </top>
      <bottom style="thin">
        <color indexed="64"/>
      </bottom>
      <diagonal/>
    </border>
    <border>
      <left/>
      <right style="thin">
        <color indexed="64"/>
      </right>
      <top style="hair">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hair">
        <color indexed="64"/>
      </top>
      <bottom/>
      <diagonal/>
    </border>
    <border>
      <left/>
      <right/>
      <top/>
      <bottom style="thin">
        <color theme="0" tint="-0.14999847407452621"/>
      </bottom>
      <diagonal/>
    </border>
    <border>
      <left/>
      <right style="thin">
        <color theme="0" tint="-0.14999847407452621"/>
      </right>
      <top/>
      <bottom/>
      <diagonal/>
    </border>
    <border>
      <left/>
      <right/>
      <top/>
      <bottom style="thin">
        <color theme="0"/>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indexed="64"/>
      </left>
      <right/>
      <top style="hair">
        <color indexed="64"/>
      </top>
      <bottom style="hair">
        <color indexed="64"/>
      </bottom>
      <diagonal/>
    </border>
    <border>
      <left/>
      <right style="thin">
        <color indexed="0"/>
      </right>
      <top style="thin">
        <color indexed="64"/>
      </top>
      <bottom style="thin">
        <color indexed="64"/>
      </bottom>
      <diagonal/>
    </border>
    <border>
      <left style="thin">
        <color indexed="0"/>
      </left>
      <right/>
      <top/>
      <bottom style="thin">
        <color indexed="0"/>
      </bottom>
      <diagonal/>
    </border>
    <border>
      <left/>
      <right/>
      <top/>
      <bottom style="thin">
        <color indexed="0"/>
      </bottom>
      <diagonal/>
    </border>
    <border>
      <left/>
      <right style="thin">
        <color indexed="0"/>
      </right>
      <top/>
      <bottom style="thin">
        <color indexed="0"/>
      </bottom>
      <diagonal/>
    </border>
    <border>
      <left style="thin">
        <color indexed="0"/>
      </left>
      <right/>
      <top style="thin">
        <color indexed="64"/>
      </top>
      <bottom style="thin">
        <color indexed="64"/>
      </bottom>
      <diagonal/>
    </border>
    <border>
      <left style="thin">
        <color indexed="0"/>
      </left>
      <right/>
      <top style="thin">
        <color indexed="0"/>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0"/>
      </left>
      <right/>
      <top style="thin">
        <color indexed="0"/>
      </top>
      <bottom style="thin">
        <color indexed="64"/>
      </bottom>
      <diagonal/>
    </border>
    <border>
      <left/>
      <right/>
      <top style="thin">
        <color indexed="0"/>
      </top>
      <bottom style="thin">
        <color indexed="64"/>
      </bottom>
      <diagonal/>
    </border>
    <border>
      <left/>
      <right style="thin">
        <color indexed="0"/>
      </right>
      <top style="thin">
        <color indexed="0"/>
      </top>
      <bottom style="thin">
        <color indexed="64"/>
      </bottom>
      <diagonal/>
    </border>
    <border>
      <left style="thin">
        <color indexed="64"/>
      </left>
      <right/>
      <top style="hair">
        <color indexed="64"/>
      </top>
      <bottom style="thin">
        <color indexed="64"/>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indexed="64"/>
      </top>
      <bottom/>
      <diagonal/>
    </border>
  </borders>
  <cellStyleXfs count="187">
    <xf numFmtId="0" fontId="0" fillId="0" borderId="0">
      <alignment vertical="center"/>
    </xf>
    <xf numFmtId="0" fontId="22" fillId="0" borderId="0"/>
    <xf numFmtId="0" fontId="22" fillId="0" borderId="0"/>
    <xf numFmtId="176" fontId="23" fillId="0" borderId="0" applyFill="0" applyBorder="0" applyAlignment="0"/>
    <xf numFmtId="0" fontId="24" fillId="3" borderId="0">
      <alignment horizontal="left"/>
    </xf>
    <xf numFmtId="0" fontId="25" fillId="3" borderId="0">
      <alignment horizontal="right"/>
    </xf>
    <xf numFmtId="0" fontId="26" fillId="4" borderId="0">
      <alignment horizontal="center"/>
    </xf>
    <xf numFmtId="0" fontId="25" fillId="3" borderId="0">
      <alignment horizontal="right"/>
    </xf>
    <xf numFmtId="0" fontId="26" fillId="4" borderId="0">
      <alignment horizontal="left"/>
    </xf>
    <xf numFmtId="0" fontId="27" fillId="0" borderId="0">
      <alignment horizontal="left"/>
    </xf>
    <xf numFmtId="38" fontId="28" fillId="5" borderId="0" applyNumberFormat="0" applyBorder="0" applyAlignment="0" applyProtection="0"/>
    <xf numFmtId="0" fontId="29" fillId="0" borderId="1" applyNumberFormat="0" applyAlignment="0" applyProtection="0">
      <alignment horizontal="left" vertical="center"/>
    </xf>
    <xf numFmtId="0" fontId="29" fillId="0" borderId="2">
      <alignment horizontal="left" vertical="center"/>
    </xf>
    <xf numFmtId="10" fontId="28" fillId="6" borderId="3" applyNumberFormat="0" applyBorder="0" applyAlignment="0" applyProtection="0"/>
    <xf numFmtId="0" fontId="24" fillId="3" borderId="0">
      <alignment horizontal="left"/>
    </xf>
    <xf numFmtId="0" fontId="30" fillId="4" borderId="0">
      <alignment horizontal="left"/>
    </xf>
    <xf numFmtId="177" fontId="31" fillId="0" borderId="0"/>
    <xf numFmtId="0" fontId="32" fillId="0" borderId="0"/>
    <xf numFmtId="178" fontId="33" fillId="4" borderId="0">
      <alignment horizontal="right"/>
    </xf>
    <xf numFmtId="0" fontId="34" fillId="7" borderId="0">
      <alignment horizontal="center"/>
    </xf>
    <xf numFmtId="0" fontId="35" fillId="8" borderId="0"/>
    <xf numFmtId="0" fontId="36" fillId="4" borderId="0" applyBorder="0">
      <alignment horizontal="centerContinuous"/>
    </xf>
    <xf numFmtId="0" fontId="37" fillId="8" borderId="0" applyBorder="0">
      <alignment horizontal="centerContinuous"/>
    </xf>
    <xf numFmtId="10" fontId="32" fillId="0" borderId="0" applyFont="0" applyFill="0" applyBorder="0" applyAlignment="0" applyProtection="0"/>
    <xf numFmtId="4" fontId="27" fillId="0" borderId="0">
      <alignment horizontal="right"/>
    </xf>
    <xf numFmtId="0" fontId="30" fillId="9" borderId="0">
      <alignment horizontal="center"/>
    </xf>
    <xf numFmtId="49" fontId="38" fillId="4" borderId="0">
      <alignment horizontal="center"/>
    </xf>
    <xf numFmtId="4" fontId="39" fillId="0" borderId="0">
      <alignment horizontal="right"/>
    </xf>
    <xf numFmtId="0" fontId="25" fillId="3" borderId="0">
      <alignment horizontal="center"/>
    </xf>
    <xf numFmtId="0" fontId="25" fillId="3" borderId="0">
      <alignment horizontal="centerContinuous"/>
    </xf>
    <xf numFmtId="0" fontId="40" fillId="4" borderId="0">
      <alignment horizontal="left"/>
    </xf>
    <xf numFmtId="49" fontId="40" fillId="4" borderId="0">
      <alignment horizontal="center"/>
    </xf>
    <xf numFmtId="0" fontId="24" fillId="3" borderId="0">
      <alignment horizontal="left"/>
    </xf>
    <xf numFmtId="49" fontId="40" fillId="4" borderId="0">
      <alignment horizontal="left"/>
    </xf>
    <xf numFmtId="0" fontId="24" fillId="3" borderId="0">
      <alignment horizontal="centerContinuous"/>
    </xf>
    <xf numFmtId="0" fontId="24" fillId="3" borderId="0">
      <alignment horizontal="right"/>
    </xf>
    <xf numFmtId="49" fontId="30" fillId="4" borderId="0">
      <alignment horizontal="left"/>
    </xf>
    <xf numFmtId="0" fontId="25" fillId="3" borderId="0">
      <alignment horizontal="right"/>
    </xf>
    <xf numFmtId="0" fontId="40" fillId="2" borderId="0">
      <alignment horizontal="center"/>
    </xf>
    <xf numFmtId="0" fontId="41" fillId="2" borderId="0">
      <alignment horizontal="center"/>
    </xf>
    <xf numFmtId="0" fontId="42" fillId="0" borderId="0">
      <alignment horizontal="left"/>
    </xf>
    <xf numFmtId="0" fontId="43" fillId="0" borderId="0"/>
    <xf numFmtId="0" fontId="44" fillId="0" borderId="0">
      <alignment horizontal="center"/>
    </xf>
    <xf numFmtId="0" fontId="45" fillId="4" borderId="0">
      <alignment horizontal="center"/>
    </xf>
    <xf numFmtId="0" fontId="46" fillId="0" borderId="0"/>
    <xf numFmtId="0" fontId="13" fillId="0" borderId="0">
      <alignment vertical="center"/>
    </xf>
    <xf numFmtId="0" fontId="13" fillId="0" borderId="0"/>
    <xf numFmtId="0" fontId="13" fillId="0" borderId="0"/>
    <xf numFmtId="0" fontId="13" fillId="0" borderId="0"/>
    <xf numFmtId="0" fontId="13" fillId="0" borderId="0"/>
    <xf numFmtId="0" fontId="13" fillId="0" borderId="0">
      <alignment vertical="center"/>
    </xf>
    <xf numFmtId="0" fontId="47" fillId="0" borderId="0"/>
    <xf numFmtId="0" fontId="10" fillId="0" borderId="0">
      <alignment vertical="center"/>
    </xf>
    <xf numFmtId="0" fontId="9" fillId="0" borderId="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4" fillId="0" borderId="0"/>
    <xf numFmtId="0" fontId="4" fillId="0" borderId="0">
      <alignment vertical="center"/>
    </xf>
    <xf numFmtId="0" fontId="56" fillId="0" borderId="0">
      <alignment vertical="center"/>
    </xf>
    <xf numFmtId="0" fontId="1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344">
    <xf numFmtId="0" fontId="0" fillId="0" borderId="0" xfId="0">
      <alignment vertical="center"/>
    </xf>
    <xf numFmtId="0" fontId="13" fillId="0" borderId="0" xfId="48"/>
    <xf numFmtId="0" fontId="14" fillId="0" borderId="0" xfId="48" applyFont="1"/>
    <xf numFmtId="0" fontId="15" fillId="0" borderId="3" xfId="48" applyFont="1" applyBorder="1" applyAlignment="1">
      <alignment horizontal="center"/>
    </xf>
    <xf numFmtId="14" fontId="15" fillId="0" borderId="4" xfId="48" applyNumberFormat="1" applyFont="1" applyBorder="1" applyAlignment="1">
      <alignment horizontal="center"/>
    </xf>
    <xf numFmtId="0" fontId="15" fillId="0" borderId="4" xfId="48" applyFont="1" applyBorder="1" applyAlignment="1">
      <alignment horizontal="center"/>
    </xf>
    <xf numFmtId="0" fontId="15" fillId="0" borderId="5" xfId="48" applyFont="1" applyBorder="1" applyAlignment="1">
      <alignment horizontal="center"/>
    </xf>
    <xf numFmtId="0" fontId="16" fillId="0" borderId="0" xfId="48" applyFont="1"/>
    <xf numFmtId="0" fontId="19" fillId="0" borderId="0" xfId="48" applyFont="1" applyAlignment="1">
      <alignment vertical="center"/>
    </xf>
    <xf numFmtId="0" fontId="15" fillId="14" borderId="0" xfId="48" applyFont="1" applyFill="1" applyAlignment="1">
      <alignment horizontal="center"/>
    </xf>
    <xf numFmtId="14" fontId="15" fillId="14" borderId="0" xfId="48" applyNumberFormat="1" applyFont="1" applyFill="1" applyAlignment="1">
      <alignment horizontal="center"/>
    </xf>
    <xf numFmtId="0" fontId="17" fillId="11" borderId="0" xfId="48" applyFont="1" applyFill="1" applyAlignment="1">
      <alignment vertical="center"/>
    </xf>
    <xf numFmtId="0" fontId="18" fillId="12" borderId="0" xfId="48" applyFont="1" applyFill="1" applyAlignment="1">
      <alignment vertical="center"/>
    </xf>
    <xf numFmtId="0" fontId="19" fillId="0" borderId="0" xfId="48" applyFont="1" applyAlignment="1">
      <alignment horizontal="left" vertical="center"/>
    </xf>
    <xf numFmtId="0" fontId="18" fillId="12" borderId="0" xfId="48" applyFont="1" applyFill="1" applyAlignment="1">
      <alignment horizontal="center" vertical="center"/>
    </xf>
    <xf numFmtId="0" fontId="19" fillId="0" borderId="0" xfId="48" applyFont="1" applyAlignment="1">
      <alignment horizontal="center" vertical="center"/>
    </xf>
    <xf numFmtId="14" fontId="19" fillId="0" borderId="0" xfId="48" applyNumberFormat="1" applyFont="1" applyAlignment="1">
      <alignment horizontal="center" vertical="center"/>
    </xf>
    <xf numFmtId="0" fontId="18" fillId="11" borderId="0" xfId="48" applyFont="1" applyFill="1" applyAlignment="1">
      <alignment vertical="center"/>
    </xf>
    <xf numFmtId="0" fontId="20" fillId="0" borderId="0" xfId="48" applyFont="1" applyAlignment="1">
      <alignment vertical="center"/>
    </xf>
    <xf numFmtId="49" fontId="19" fillId="0" borderId="0" xfId="48" applyNumberFormat="1" applyFont="1" applyAlignment="1">
      <alignment horizontal="center" vertical="center"/>
    </xf>
    <xf numFmtId="0" fontId="21" fillId="0" borderId="0" xfId="48" applyFont="1" applyAlignment="1">
      <alignment vertical="center"/>
    </xf>
    <xf numFmtId="49" fontId="19" fillId="14" borderId="13" xfId="0" applyNumberFormat="1" applyFont="1" applyFill="1" applyBorder="1" applyAlignment="1">
      <alignment vertical="top"/>
    </xf>
    <xf numFmtId="0" fontId="0" fillId="14" borderId="0" xfId="0" applyFill="1" applyAlignment="1">
      <alignment vertical="center" wrapText="1"/>
    </xf>
    <xf numFmtId="49" fontId="19" fillId="10" borderId="15" xfId="0" applyNumberFormat="1" applyFont="1" applyFill="1" applyBorder="1" applyAlignment="1">
      <alignment horizontal="center" vertical="center"/>
    </xf>
    <xf numFmtId="0" fontId="51" fillId="14" borderId="0" xfId="0" applyFont="1" applyFill="1">
      <alignment vertical="center"/>
    </xf>
    <xf numFmtId="0" fontId="0" fillId="14" borderId="0" xfId="0" applyFill="1">
      <alignment vertical="center"/>
    </xf>
    <xf numFmtId="0" fontId="19" fillId="10" borderId="20" xfId="46" applyFont="1" applyFill="1" applyBorder="1" applyAlignment="1">
      <alignment horizontal="centerContinuous"/>
    </xf>
    <xf numFmtId="0" fontId="19" fillId="10" borderId="19" xfId="46" applyFont="1" applyFill="1" applyBorder="1" applyAlignment="1">
      <alignment horizontal="centerContinuous"/>
    </xf>
    <xf numFmtId="0" fontId="51" fillId="14" borderId="0" xfId="0" applyFont="1" applyFill="1" applyAlignment="1">
      <alignment vertical="center" wrapText="1"/>
    </xf>
    <xf numFmtId="0" fontId="19" fillId="0" borderId="2" xfId="0" applyFont="1" applyBorder="1" applyAlignment="1">
      <alignment horizontal="center" vertical="top"/>
    </xf>
    <xf numFmtId="0" fontId="19" fillId="19" borderId="2" xfId="0" applyFont="1" applyFill="1" applyBorder="1" applyAlignment="1">
      <alignment horizontal="center" vertical="top"/>
    </xf>
    <xf numFmtId="0" fontId="19" fillId="20" borderId="2" xfId="0" applyFont="1" applyFill="1" applyBorder="1" applyAlignment="1">
      <alignment horizontal="center" vertical="top"/>
    </xf>
    <xf numFmtId="0" fontId="60" fillId="10" borderId="16" xfId="46" applyFont="1" applyFill="1" applyBorder="1" applyAlignment="1">
      <alignment horizontal="centerContinuous"/>
    </xf>
    <xf numFmtId="0" fontId="60" fillId="10" borderId="9" xfId="46" applyFont="1" applyFill="1" applyBorder="1" applyAlignment="1">
      <alignment horizontal="centerContinuous"/>
    </xf>
    <xf numFmtId="0" fontId="61" fillId="14" borderId="0" xfId="0" applyFont="1" applyFill="1">
      <alignment vertical="center"/>
    </xf>
    <xf numFmtId="0" fontId="62" fillId="14" borderId="0" xfId="0" applyFont="1" applyFill="1">
      <alignment vertical="center"/>
    </xf>
    <xf numFmtId="0" fontId="60" fillId="10" borderId="6" xfId="49" applyFont="1" applyFill="1" applyBorder="1" applyAlignment="1">
      <alignment horizontal="right" vertical="center"/>
    </xf>
    <xf numFmtId="0" fontId="61" fillId="14" borderId="6" xfId="161" quotePrefix="1" applyFont="1" applyFill="1" applyBorder="1">
      <alignment vertical="center"/>
    </xf>
    <xf numFmtId="0" fontId="61" fillId="14" borderId="0" xfId="161" applyFont="1" applyFill="1">
      <alignment vertical="center"/>
    </xf>
    <xf numFmtId="0" fontId="61" fillId="14" borderId="11" xfId="161" applyFont="1" applyFill="1" applyBorder="1">
      <alignment vertical="center"/>
    </xf>
    <xf numFmtId="0" fontId="63" fillId="14" borderId="0" xfId="161" applyFont="1" applyFill="1">
      <alignment vertical="center"/>
    </xf>
    <xf numFmtId="0" fontId="61" fillId="0" borderId="0" xfId="161" applyFont="1">
      <alignment vertical="center"/>
    </xf>
    <xf numFmtId="0" fontId="61" fillId="0" borderId="0" xfId="161" quotePrefix="1" applyFont="1">
      <alignment vertical="center"/>
    </xf>
    <xf numFmtId="0" fontId="61" fillId="0" borderId="0" xfId="161" applyFont="1" applyAlignment="1">
      <alignment horizontal="center" vertical="center"/>
    </xf>
    <xf numFmtId="0" fontId="61" fillId="0" borderId="0" xfId="0" applyFont="1">
      <alignment vertical="center"/>
    </xf>
    <xf numFmtId="0" fontId="59" fillId="14" borderId="6" xfId="161" quotePrefix="1" applyFont="1" applyFill="1" applyBorder="1">
      <alignment vertical="center"/>
    </xf>
    <xf numFmtId="0" fontId="64" fillId="14" borderId="0" xfId="0" applyFont="1" applyFill="1">
      <alignment vertical="center"/>
    </xf>
    <xf numFmtId="0" fontId="61" fillId="0" borderId="0" xfId="161" quotePrefix="1" applyFont="1" applyAlignment="1">
      <alignment horizontal="left" vertical="center"/>
    </xf>
    <xf numFmtId="0" fontId="61" fillId="0" borderId="0" xfId="161" applyFont="1" applyAlignment="1">
      <alignment horizontal="left" vertical="center"/>
    </xf>
    <xf numFmtId="0" fontId="60" fillId="10" borderId="16" xfId="46" applyFont="1" applyFill="1" applyBorder="1" applyAlignment="1">
      <alignment horizontal="center"/>
    </xf>
    <xf numFmtId="0" fontId="60" fillId="10" borderId="9" xfId="46" applyFont="1" applyFill="1" applyBorder="1" applyAlignment="1">
      <alignment horizontal="center"/>
    </xf>
    <xf numFmtId="0" fontId="61" fillId="14" borderId="0" xfId="0" applyFont="1" applyFill="1" applyAlignment="1">
      <alignment vertical="center" wrapText="1"/>
    </xf>
    <xf numFmtId="0" fontId="60" fillId="10" borderId="7" xfId="49" applyFont="1" applyFill="1" applyBorder="1" applyAlignment="1">
      <alignment horizontal="right" vertical="center"/>
    </xf>
    <xf numFmtId="0" fontId="60" fillId="10" borderId="21" xfId="46" applyFont="1" applyFill="1" applyBorder="1" applyAlignment="1">
      <alignment horizontal="center"/>
    </xf>
    <xf numFmtId="0" fontId="62" fillId="14" borderId="0" xfId="0" applyFont="1" applyFill="1" applyAlignment="1">
      <alignment vertical="center" wrapText="1"/>
    </xf>
    <xf numFmtId="0" fontId="60" fillId="0" borderId="0" xfId="161" applyFont="1">
      <alignment vertical="center"/>
    </xf>
    <xf numFmtId="0" fontId="60" fillId="0" borderId="6" xfId="161" quotePrefix="1" applyFont="1" applyBorder="1">
      <alignment vertical="center"/>
    </xf>
    <xf numFmtId="0" fontId="66" fillId="0" borderId="0" xfId="0" applyFont="1">
      <alignment vertical="center"/>
    </xf>
    <xf numFmtId="0" fontId="60" fillId="0" borderId="0" xfId="161" quotePrefix="1" applyFont="1">
      <alignment vertical="center"/>
    </xf>
    <xf numFmtId="0" fontId="60" fillId="0" borderId="0" xfId="0" applyFont="1">
      <alignment vertical="center"/>
    </xf>
    <xf numFmtId="0" fontId="60" fillId="0" borderId="11" xfId="161" applyFont="1" applyBorder="1">
      <alignment vertical="center"/>
    </xf>
    <xf numFmtId="0" fontId="66" fillId="0" borderId="0" xfId="161" applyFont="1">
      <alignment vertical="center"/>
    </xf>
    <xf numFmtId="0" fontId="60" fillId="0" borderId="0" xfId="161" applyFont="1" applyAlignment="1">
      <alignment horizontal="left" vertical="center"/>
    </xf>
    <xf numFmtId="0" fontId="60" fillId="0" borderId="0" xfId="161" applyFont="1" applyAlignment="1">
      <alignment horizontal="center" vertical="center"/>
    </xf>
    <xf numFmtId="0" fontId="68" fillId="0" borderId="0" xfId="0" applyFont="1">
      <alignment vertical="center"/>
    </xf>
    <xf numFmtId="0" fontId="60" fillId="0" borderId="0" xfId="0" applyFont="1" applyAlignment="1">
      <alignment vertical="center" wrapText="1"/>
    </xf>
    <xf numFmtId="0" fontId="60" fillId="0" borderId="6" xfId="161" applyFont="1" applyBorder="1">
      <alignment vertical="center"/>
    </xf>
    <xf numFmtId="0" fontId="60" fillId="0" borderId="0" xfId="161" quotePrefix="1" applyFont="1" applyAlignment="1">
      <alignment horizontal="center" vertical="center"/>
    </xf>
    <xf numFmtId="0" fontId="65" fillId="0" borderId="0" xfId="0" applyFont="1">
      <alignment vertical="center"/>
    </xf>
    <xf numFmtId="0" fontId="60" fillId="0" borderId="0" xfId="0" applyFont="1" applyAlignment="1">
      <alignment horizontal="left" vertical="center"/>
    </xf>
    <xf numFmtId="0" fontId="60" fillId="0" borderId="14" xfId="161" applyFont="1" applyBorder="1">
      <alignment vertical="center"/>
    </xf>
    <xf numFmtId="0" fontId="69" fillId="22" borderId="0" xfId="161" applyFont="1" applyFill="1">
      <alignment vertical="center"/>
    </xf>
    <xf numFmtId="0" fontId="70" fillId="22" borderId="0" xfId="161" applyFont="1" applyFill="1">
      <alignment vertical="center"/>
    </xf>
    <xf numFmtId="0" fontId="70" fillId="22" borderId="0" xfId="161" quotePrefix="1" applyFont="1" applyFill="1">
      <alignment vertical="center"/>
    </xf>
    <xf numFmtId="0" fontId="70" fillId="22" borderId="0" xfId="161" applyFont="1" applyFill="1" applyAlignment="1">
      <alignment horizontal="center" vertical="center"/>
    </xf>
    <xf numFmtId="0" fontId="70" fillId="22" borderId="0" xfId="0" applyFont="1" applyFill="1">
      <alignment vertical="center"/>
    </xf>
    <xf numFmtId="0" fontId="70" fillId="22" borderId="0" xfId="0" applyFont="1" applyFill="1" applyAlignment="1">
      <alignment vertical="center" wrapText="1"/>
    </xf>
    <xf numFmtId="0" fontId="71" fillId="22" borderId="0" xfId="161" applyFont="1" applyFill="1">
      <alignment vertical="center"/>
    </xf>
    <xf numFmtId="14" fontId="71" fillId="22" borderId="0" xfId="161" quotePrefix="1" applyNumberFormat="1" applyFont="1" applyFill="1">
      <alignment vertical="center"/>
    </xf>
    <xf numFmtId="0" fontId="71" fillId="22" borderId="0" xfId="161" quotePrefix="1" applyFont="1" applyFill="1">
      <alignment vertical="center"/>
    </xf>
    <xf numFmtId="0" fontId="69" fillId="22" borderId="0" xfId="161" quotePrefix="1" applyFont="1" applyFill="1">
      <alignment vertical="center"/>
    </xf>
    <xf numFmtId="0" fontId="69" fillId="22" borderId="0" xfId="161" applyFont="1" applyFill="1" applyAlignment="1">
      <alignment horizontal="left" vertical="center"/>
    </xf>
    <xf numFmtId="0" fontId="69" fillId="22" borderId="0" xfId="0" applyFont="1" applyFill="1">
      <alignment vertical="center"/>
    </xf>
    <xf numFmtId="0" fontId="69" fillId="22" borderId="0" xfId="161" applyFont="1" applyFill="1" applyAlignment="1">
      <alignment horizontal="center" vertical="center"/>
    </xf>
    <xf numFmtId="0" fontId="69" fillId="22" borderId="0" xfId="161" quotePrefix="1" applyFont="1" applyFill="1" applyAlignment="1">
      <alignment horizontal="left" vertical="center"/>
    </xf>
    <xf numFmtId="0" fontId="69" fillId="22" borderId="0" xfId="0" applyFont="1" applyFill="1" applyAlignment="1">
      <alignment vertical="center" wrapText="1"/>
    </xf>
    <xf numFmtId="0" fontId="69" fillId="22" borderId="27" xfId="161" applyFont="1" applyFill="1" applyBorder="1">
      <alignment vertical="center"/>
    </xf>
    <xf numFmtId="0" fontId="69" fillId="22" borderId="28" xfId="161" applyFont="1" applyFill="1" applyBorder="1">
      <alignment vertical="center"/>
    </xf>
    <xf numFmtId="0" fontId="69" fillId="22" borderId="28" xfId="161" quotePrefix="1" applyFont="1" applyFill="1" applyBorder="1">
      <alignment vertical="center"/>
    </xf>
    <xf numFmtId="0" fontId="69" fillId="22" borderId="28" xfId="161" applyFont="1" applyFill="1" applyBorder="1" applyAlignment="1">
      <alignment horizontal="center" vertical="center"/>
    </xf>
    <xf numFmtId="0" fontId="69" fillId="22" borderId="28" xfId="0" applyFont="1" applyFill="1" applyBorder="1">
      <alignment vertical="center"/>
    </xf>
    <xf numFmtId="0" fontId="69" fillId="22" borderId="28" xfId="0" applyFont="1" applyFill="1" applyBorder="1" applyAlignment="1">
      <alignment vertical="center" wrapText="1"/>
    </xf>
    <xf numFmtId="0" fontId="69" fillId="14" borderId="0" xfId="0" applyFont="1" applyFill="1">
      <alignment vertical="center"/>
    </xf>
    <xf numFmtId="0" fontId="69" fillId="14" borderId="0" xfId="161" applyFont="1" applyFill="1">
      <alignment vertical="center"/>
    </xf>
    <xf numFmtId="0" fontId="69" fillId="14" borderId="0" xfId="0" applyFont="1" applyFill="1" applyAlignment="1">
      <alignment horizontal="left" vertical="center"/>
    </xf>
    <xf numFmtId="0" fontId="69" fillId="14" borderId="0" xfId="161" applyFont="1" applyFill="1" applyAlignment="1">
      <alignment horizontal="left" vertical="center"/>
    </xf>
    <xf numFmtId="0" fontId="69" fillId="14" borderId="0" xfId="161" applyFont="1" applyFill="1" applyAlignment="1">
      <alignment horizontal="center" vertical="center"/>
    </xf>
    <xf numFmtId="0" fontId="69" fillId="14" borderId="0" xfId="0" applyFont="1" applyFill="1" applyAlignment="1">
      <alignment horizontal="center" vertical="center"/>
    </xf>
    <xf numFmtId="0" fontId="69" fillId="18" borderId="0" xfId="0" applyFont="1" applyFill="1">
      <alignment vertical="center"/>
    </xf>
    <xf numFmtId="179" fontId="69" fillId="18" borderId="0" xfId="161" quotePrefix="1" applyNumberFormat="1" applyFont="1" applyFill="1">
      <alignment vertical="center"/>
    </xf>
    <xf numFmtId="0" fontId="69" fillId="18" borderId="0" xfId="161" applyFont="1" applyFill="1">
      <alignment vertical="center"/>
    </xf>
    <xf numFmtId="0" fontId="69" fillId="18" borderId="0" xfId="161" applyFont="1" applyFill="1" applyAlignment="1">
      <alignment horizontal="center" vertical="center"/>
    </xf>
    <xf numFmtId="0" fontId="69" fillId="18" borderId="0" xfId="161" applyFont="1" applyFill="1" applyAlignment="1">
      <alignment horizontal="left" vertical="center"/>
    </xf>
    <xf numFmtId="0" fontId="72" fillId="14" borderId="29" xfId="0" applyFont="1" applyFill="1" applyBorder="1" applyAlignment="1">
      <alignment horizontal="centerContinuous" vertical="center"/>
    </xf>
    <xf numFmtId="0" fontId="72" fillId="14" borderId="30" xfId="0" applyFont="1" applyFill="1" applyBorder="1" applyAlignment="1">
      <alignment horizontal="centerContinuous" vertical="center"/>
    </xf>
    <xf numFmtId="0" fontId="72" fillId="14" borderId="31" xfId="0" applyFont="1" applyFill="1" applyBorder="1" applyAlignment="1">
      <alignment horizontal="centerContinuous" vertical="center"/>
    </xf>
    <xf numFmtId="0" fontId="72" fillId="0" borderId="29" xfId="0" applyFont="1" applyBorder="1" applyAlignment="1">
      <alignment horizontal="centerContinuous" vertical="center"/>
    </xf>
    <xf numFmtId="0" fontId="72" fillId="0" borderId="30" xfId="0" applyFont="1" applyBorder="1" applyAlignment="1">
      <alignment horizontal="centerContinuous" vertical="center"/>
    </xf>
    <xf numFmtId="0" fontId="72" fillId="0" borderId="30" xfId="161" applyFont="1" applyBorder="1" applyAlignment="1">
      <alignment horizontal="centerContinuous" vertical="center"/>
    </xf>
    <xf numFmtId="0" fontId="72" fillId="0" borderId="31" xfId="161" applyFont="1" applyBorder="1" applyAlignment="1">
      <alignment horizontal="centerContinuous" vertical="center"/>
    </xf>
    <xf numFmtId="0" fontId="72" fillId="0" borderId="29" xfId="161" applyFont="1" applyBorder="1" applyAlignment="1">
      <alignment horizontal="centerContinuous" vertical="center"/>
    </xf>
    <xf numFmtId="0" fontId="72" fillId="0" borderId="31" xfId="0" quotePrefix="1" applyFont="1" applyBorder="1" applyAlignment="1">
      <alignment horizontal="centerContinuous" vertical="center"/>
    </xf>
    <xf numFmtId="0" fontId="72" fillId="0" borderId="31" xfId="0" applyFont="1" applyBorder="1" applyAlignment="1">
      <alignment horizontal="centerContinuous" vertical="center"/>
    </xf>
    <xf numFmtId="180" fontId="72" fillId="0" borderId="29" xfId="161" applyNumberFormat="1" applyFont="1" applyBorder="1" applyAlignment="1">
      <alignment horizontal="centerContinuous" vertical="center"/>
    </xf>
    <xf numFmtId="0" fontId="72" fillId="0" borderId="29" xfId="0" applyFont="1" applyBorder="1">
      <alignment vertical="center"/>
    </xf>
    <xf numFmtId="0" fontId="60" fillId="18" borderId="6" xfId="161" quotePrefix="1" applyFont="1" applyFill="1" applyBorder="1">
      <alignment vertical="center"/>
    </xf>
    <xf numFmtId="0" fontId="65" fillId="18" borderId="0" xfId="0" applyFont="1" applyFill="1">
      <alignment vertical="center"/>
    </xf>
    <xf numFmtId="0" fontId="60" fillId="18" borderId="0" xfId="0" applyFont="1" applyFill="1">
      <alignment vertical="center"/>
    </xf>
    <xf numFmtId="0" fontId="69" fillId="18" borderId="0" xfId="0" applyFont="1" applyFill="1" applyAlignment="1">
      <alignment horizontal="center" vertical="center"/>
    </xf>
    <xf numFmtId="0" fontId="60" fillId="18" borderId="11" xfId="161" applyFont="1" applyFill="1" applyBorder="1">
      <alignment vertical="center"/>
    </xf>
    <xf numFmtId="0" fontId="60" fillId="18" borderId="0" xfId="161" quotePrefix="1" applyFont="1" applyFill="1">
      <alignment vertical="center"/>
    </xf>
    <xf numFmtId="180" fontId="72" fillId="0" borderId="29" xfId="161" quotePrefix="1" applyNumberFormat="1" applyFont="1" applyBorder="1" applyAlignment="1">
      <alignment horizontal="centerContinuous" vertical="center"/>
    </xf>
    <xf numFmtId="0" fontId="66" fillId="23" borderId="0" xfId="0" applyFont="1" applyFill="1">
      <alignment vertical="center"/>
    </xf>
    <xf numFmtId="0" fontId="57" fillId="14" borderId="0" xfId="0" applyFont="1" applyFill="1">
      <alignment vertical="center"/>
    </xf>
    <xf numFmtId="0" fontId="76" fillId="14" borderId="0" xfId="0" applyFont="1" applyFill="1">
      <alignment vertical="center"/>
    </xf>
    <xf numFmtId="0" fontId="65" fillId="23" borderId="0" xfId="0" applyFont="1" applyFill="1" applyAlignment="1">
      <alignment horizontal="left" vertical="center"/>
    </xf>
    <xf numFmtId="0" fontId="65" fillId="14" borderId="0" xfId="0" applyFont="1" applyFill="1">
      <alignment vertical="center"/>
    </xf>
    <xf numFmtId="0" fontId="66" fillId="14" borderId="0" xfId="0" applyFont="1" applyFill="1">
      <alignment vertical="center"/>
    </xf>
    <xf numFmtId="0" fontId="60" fillId="0" borderId="8" xfId="161" applyFont="1" applyBorder="1">
      <alignment vertical="center"/>
    </xf>
    <xf numFmtId="0" fontId="66" fillId="0" borderId="8" xfId="0" applyFont="1" applyBorder="1">
      <alignment vertical="center"/>
    </xf>
    <xf numFmtId="0" fontId="66" fillId="0" borderId="8" xfId="0" applyFont="1" applyBorder="1" applyAlignment="1">
      <alignment vertical="center" wrapText="1"/>
    </xf>
    <xf numFmtId="0" fontId="60" fillId="0" borderId="12" xfId="161" applyFont="1" applyBorder="1">
      <alignment vertical="center"/>
    </xf>
    <xf numFmtId="0" fontId="66" fillId="0" borderId="12" xfId="0" applyFont="1" applyBorder="1">
      <alignment vertical="center"/>
    </xf>
    <xf numFmtId="0" fontId="66" fillId="0" borderId="12" xfId="0" applyFont="1" applyBorder="1" applyAlignment="1">
      <alignment vertical="center" wrapText="1"/>
    </xf>
    <xf numFmtId="0" fontId="60" fillId="10" borderId="25" xfId="46" applyFont="1" applyFill="1" applyBorder="1" applyAlignment="1">
      <alignment horizontal="center"/>
    </xf>
    <xf numFmtId="0" fontId="60" fillId="10" borderId="18" xfId="46" applyFont="1" applyFill="1" applyBorder="1" applyAlignment="1">
      <alignment horizontal="center"/>
    </xf>
    <xf numFmtId="0" fontId="60" fillId="10" borderId="39" xfId="46" applyFont="1" applyFill="1" applyBorder="1" applyAlignment="1">
      <alignment horizontal="center"/>
    </xf>
    <xf numFmtId="0" fontId="66" fillId="0" borderId="0" xfId="0" applyFont="1" applyAlignment="1">
      <alignment vertical="center" wrapText="1"/>
    </xf>
    <xf numFmtId="0" fontId="66" fillId="23" borderId="0" xfId="184" applyFont="1" applyFill="1">
      <alignment vertical="center"/>
    </xf>
    <xf numFmtId="0" fontId="66" fillId="14" borderId="0" xfId="184" applyFont="1" applyFill="1">
      <alignment vertical="center"/>
    </xf>
    <xf numFmtId="0" fontId="66" fillId="0" borderId="0" xfId="184" applyFont="1">
      <alignment vertical="center"/>
    </xf>
    <xf numFmtId="0" fontId="60" fillId="0" borderId="41" xfId="184" applyFont="1" applyBorder="1" applyAlignment="1" applyProtection="1">
      <alignment vertical="center" wrapText="1"/>
      <protection locked="0"/>
    </xf>
    <xf numFmtId="0" fontId="60" fillId="0" borderId="42" xfId="184" applyFont="1" applyBorder="1" applyAlignment="1" applyProtection="1">
      <alignment vertical="center" wrapText="1"/>
      <protection locked="0"/>
    </xf>
    <xf numFmtId="0" fontId="60" fillId="0" borderId="43" xfId="184" applyFont="1" applyBorder="1" applyAlignment="1" applyProtection="1">
      <alignment vertical="center" wrapText="1"/>
      <protection locked="0"/>
    </xf>
    <xf numFmtId="0" fontId="60" fillId="0" borderId="44" xfId="184" applyFont="1" applyBorder="1" applyAlignment="1">
      <alignment horizontal="left" vertical="center" wrapText="1"/>
    </xf>
    <xf numFmtId="0" fontId="60" fillId="0" borderId="2" xfId="184" applyFont="1" applyBorder="1" applyAlignment="1">
      <alignment horizontal="left" vertical="center" wrapText="1"/>
    </xf>
    <xf numFmtId="0" fontId="60" fillId="0" borderId="40" xfId="184" applyFont="1" applyBorder="1" applyAlignment="1">
      <alignment horizontal="left" vertical="center" wrapText="1"/>
    </xf>
    <xf numFmtId="0" fontId="60" fillId="0" borderId="10" xfId="184" applyFont="1" applyBorder="1" applyAlignment="1">
      <alignment horizontal="left" vertical="center" wrapText="1"/>
    </xf>
    <xf numFmtId="0" fontId="60" fillId="0" borderId="17" xfId="184" applyFont="1" applyBorder="1" applyAlignment="1">
      <alignment horizontal="left" vertical="center" wrapText="1"/>
    </xf>
    <xf numFmtId="0" fontId="60" fillId="0" borderId="48" xfId="184" applyFont="1" applyBorder="1" applyAlignment="1" applyProtection="1">
      <alignment vertical="center" wrapText="1"/>
      <protection locked="0"/>
    </xf>
    <xf numFmtId="0" fontId="68" fillId="0" borderId="45" xfId="184" applyFont="1" applyBorder="1" applyAlignment="1">
      <alignment horizontal="left" vertical="center"/>
    </xf>
    <xf numFmtId="0" fontId="68" fillId="0" borderId="46" xfId="184" applyFont="1" applyBorder="1" applyAlignment="1">
      <alignment horizontal="left" vertical="center"/>
    </xf>
    <xf numFmtId="0" fontId="60" fillId="0" borderId="46" xfId="184" applyFont="1" applyBorder="1" applyAlignment="1">
      <alignment horizontal="left" vertical="center"/>
    </xf>
    <xf numFmtId="0" fontId="66" fillId="0" borderId="46" xfId="184" applyFont="1" applyBorder="1">
      <alignment vertical="center"/>
    </xf>
    <xf numFmtId="0" fontId="66" fillId="0" borderId="47" xfId="184" applyFont="1" applyBorder="1">
      <alignment vertical="center"/>
    </xf>
    <xf numFmtId="0" fontId="77" fillId="0" borderId="10" xfId="184" applyFont="1" applyBorder="1" applyProtection="1">
      <alignment vertical="center"/>
      <protection locked="0"/>
    </xf>
    <xf numFmtId="0" fontId="60" fillId="0" borderId="45" xfId="184" applyFont="1" applyBorder="1" applyAlignment="1">
      <alignment horizontal="left" vertical="center"/>
    </xf>
    <xf numFmtId="0" fontId="66" fillId="0" borderId="10" xfId="184" applyFont="1" applyBorder="1" applyProtection="1">
      <alignment vertical="center"/>
      <protection locked="0"/>
    </xf>
    <xf numFmtId="0" fontId="68" fillId="14" borderId="0" xfId="184" applyFont="1" applyFill="1">
      <alignment vertical="center"/>
    </xf>
    <xf numFmtId="0" fontId="78" fillId="14" borderId="0" xfId="184" applyFont="1" applyFill="1">
      <alignment vertical="center"/>
    </xf>
    <xf numFmtId="0" fontId="66" fillId="14" borderId="0" xfId="184" applyFont="1" applyFill="1" applyAlignment="1">
      <alignment vertical="center" wrapText="1"/>
    </xf>
    <xf numFmtId="0" fontId="65" fillId="14" borderId="0" xfId="184" applyFont="1" applyFill="1" applyAlignment="1">
      <alignment vertical="center" wrapText="1"/>
    </xf>
    <xf numFmtId="0" fontId="60" fillId="14" borderId="0" xfId="184" applyFont="1" applyFill="1" applyAlignment="1">
      <alignment vertical="center" wrapText="1"/>
    </xf>
    <xf numFmtId="0" fontId="74" fillId="0" borderId="0" xfId="161" quotePrefix="1" applyFont="1">
      <alignment vertical="center"/>
    </xf>
    <xf numFmtId="0" fontId="59" fillId="0" borderId="0" xfId="161" quotePrefix="1" applyFont="1">
      <alignment vertical="center"/>
    </xf>
    <xf numFmtId="0" fontId="73" fillId="0" borderId="0" xfId="0" applyFont="1">
      <alignment vertical="center"/>
    </xf>
    <xf numFmtId="0" fontId="60" fillId="10" borderId="51" xfId="46" applyFont="1" applyFill="1" applyBorder="1" applyAlignment="1">
      <alignment horizontal="center"/>
    </xf>
    <xf numFmtId="0" fontId="72" fillId="14" borderId="29" xfId="0" applyFont="1" applyFill="1" applyBorder="1" applyAlignment="1">
      <alignment horizontal="centerContinuous" vertical="center" wrapText="1"/>
    </xf>
    <xf numFmtId="0" fontId="72" fillId="0" borderId="29" xfId="0" applyFont="1" applyBorder="1" applyAlignment="1">
      <alignment horizontal="centerContinuous" vertical="center" wrapText="1"/>
    </xf>
    <xf numFmtId="0" fontId="66" fillId="0" borderId="0" xfId="186" applyFont="1">
      <alignment vertical="center"/>
    </xf>
    <xf numFmtId="0" fontId="66" fillId="0" borderId="15" xfId="186" applyFont="1" applyBorder="1">
      <alignment vertical="center"/>
    </xf>
    <xf numFmtId="0" fontId="66" fillId="0" borderId="12" xfId="186" applyFont="1" applyBorder="1">
      <alignment vertical="center"/>
    </xf>
    <xf numFmtId="0" fontId="66" fillId="0" borderId="13" xfId="186" applyFont="1" applyBorder="1">
      <alignment vertical="center"/>
    </xf>
    <xf numFmtId="0" fontId="66" fillId="0" borderId="6" xfId="186" applyFont="1" applyBorder="1">
      <alignment vertical="center"/>
    </xf>
    <xf numFmtId="0" fontId="66" fillId="0" borderId="11" xfId="186" applyFont="1" applyBorder="1">
      <alignment vertical="center"/>
    </xf>
    <xf numFmtId="0" fontId="63" fillId="0" borderId="0" xfId="186" applyFont="1">
      <alignment vertical="center"/>
    </xf>
    <xf numFmtId="0" fontId="66" fillId="0" borderId="7" xfId="186" applyFont="1" applyBorder="1">
      <alignment vertical="center"/>
    </xf>
    <xf numFmtId="0" fontId="66" fillId="0" borderId="8" xfId="186" applyFont="1" applyBorder="1">
      <alignment vertical="center"/>
    </xf>
    <xf numFmtId="0" fontId="66" fillId="0" borderId="14" xfId="186" applyFont="1" applyBorder="1">
      <alignment vertical="center"/>
    </xf>
    <xf numFmtId="0" fontId="82" fillId="14" borderId="58" xfId="0" applyFont="1" applyFill="1" applyBorder="1">
      <alignment vertical="center"/>
    </xf>
    <xf numFmtId="0" fontId="57" fillId="14" borderId="59" xfId="0" applyFont="1" applyFill="1" applyBorder="1">
      <alignment vertical="center"/>
    </xf>
    <xf numFmtId="0" fontId="65" fillId="23" borderId="59" xfId="0" applyFont="1" applyFill="1" applyBorder="1" applyAlignment="1">
      <alignment horizontal="left" vertical="center"/>
    </xf>
    <xf numFmtId="0" fontId="76" fillId="14" borderId="59" xfId="0" applyFont="1" applyFill="1" applyBorder="1">
      <alignment vertical="center"/>
    </xf>
    <xf numFmtId="0" fontId="57" fillId="14" borderId="60" xfId="0" applyFont="1" applyFill="1" applyBorder="1">
      <alignment vertical="center"/>
    </xf>
    <xf numFmtId="0" fontId="65" fillId="0" borderId="6" xfId="0" applyFont="1" applyBorder="1">
      <alignment vertical="center"/>
    </xf>
    <xf numFmtId="0" fontId="57" fillId="14" borderId="11" xfId="0" applyFont="1" applyFill="1" applyBorder="1">
      <alignment vertical="center"/>
    </xf>
    <xf numFmtId="0" fontId="65" fillId="23" borderId="6" xfId="0" applyFont="1" applyFill="1" applyBorder="1" applyAlignment="1">
      <alignment horizontal="left" vertical="center"/>
    </xf>
    <xf numFmtId="0" fontId="65" fillId="23" borderId="0" xfId="0" applyFont="1" applyFill="1">
      <alignment vertical="center"/>
    </xf>
    <xf numFmtId="0" fontId="76" fillId="14" borderId="6" xfId="0" applyFont="1" applyFill="1" applyBorder="1">
      <alignment vertical="center"/>
    </xf>
    <xf numFmtId="0" fontId="65" fillId="14" borderId="6" xfId="0" applyFont="1" applyFill="1" applyBorder="1">
      <alignment vertical="center"/>
    </xf>
    <xf numFmtId="0" fontId="82" fillId="0" borderId="0" xfId="0" applyFont="1">
      <alignment vertical="center"/>
    </xf>
    <xf numFmtId="0" fontId="76" fillId="14" borderId="62" xfId="0" applyFont="1" applyFill="1" applyBorder="1">
      <alignment vertical="center"/>
    </xf>
    <xf numFmtId="0" fontId="57" fillId="14" borderId="62" xfId="0" applyFont="1" applyFill="1" applyBorder="1">
      <alignment vertical="center"/>
    </xf>
    <xf numFmtId="0" fontId="57" fillId="14" borderId="63" xfId="0" applyFont="1" applyFill="1" applyBorder="1">
      <alignment vertical="center"/>
    </xf>
    <xf numFmtId="0" fontId="85" fillId="0" borderId="0" xfId="0" applyFont="1">
      <alignment vertical="center"/>
    </xf>
    <xf numFmtId="0" fontId="60" fillId="0" borderId="0" xfId="186" applyFont="1">
      <alignment vertical="center"/>
    </xf>
    <xf numFmtId="0" fontId="57" fillId="14" borderId="61" xfId="0" applyFont="1" applyFill="1" applyBorder="1">
      <alignment vertical="center"/>
    </xf>
    <xf numFmtId="14" fontId="58" fillId="14" borderId="0" xfId="48" applyNumberFormat="1" applyFont="1" applyFill="1" applyAlignment="1">
      <alignment horizontal="center" vertical="center"/>
    </xf>
    <xf numFmtId="0" fontId="58" fillId="14" borderId="0" xfId="48" applyFont="1" applyFill="1" applyAlignment="1">
      <alignment horizontal="center" vertical="center"/>
    </xf>
    <xf numFmtId="0" fontId="19" fillId="0" borderId="0" xfId="48" applyFont="1" applyAlignment="1">
      <alignment horizontal="center" vertical="center" wrapText="1"/>
    </xf>
    <xf numFmtId="0" fontId="15" fillId="0" borderId="3" xfId="48" applyFont="1" applyBorder="1" applyAlignment="1">
      <alignment horizontal="center"/>
    </xf>
    <xf numFmtId="0" fontId="15" fillId="14" borderId="0" xfId="48" applyFont="1" applyFill="1" applyAlignment="1">
      <alignment horizontal="center"/>
    </xf>
    <xf numFmtId="0" fontId="19" fillId="0" borderId="0" xfId="48" applyFont="1" applyAlignment="1">
      <alignment horizontal="center" vertical="center"/>
    </xf>
    <xf numFmtId="14" fontId="51" fillId="0" borderId="3" xfId="0" applyNumberFormat="1" applyFont="1" applyBorder="1" applyAlignment="1">
      <alignment horizontal="center" vertical="center"/>
    </xf>
    <xf numFmtId="0" fontId="51" fillId="0" borderId="3" xfId="0" applyFont="1" applyBorder="1" applyAlignment="1">
      <alignment horizontal="center" vertical="center"/>
    </xf>
    <xf numFmtId="0" fontId="51" fillId="0" borderId="3" xfId="0" applyFont="1" applyBorder="1">
      <alignment vertical="center"/>
    </xf>
    <xf numFmtId="0" fontId="51" fillId="0" borderId="3" xfId="0" applyFont="1" applyBorder="1" applyAlignment="1">
      <alignment vertical="center" wrapText="1"/>
    </xf>
    <xf numFmtId="0" fontId="51" fillId="0" borderId="22" xfId="0" applyFont="1" applyBorder="1">
      <alignment vertical="center"/>
    </xf>
    <xf numFmtId="0" fontId="0" fillId="0" borderId="3" xfId="0" applyBorder="1">
      <alignment vertical="center"/>
    </xf>
    <xf numFmtId="14" fontId="19" fillId="0" borderId="3" xfId="50" applyNumberFormat="1" applyFont="1" applyBorder="1" applyAlignment="1">
      <alignment horizontal="center" vertical="center"/>
    </xf>
    <xf numFmtId="0" fontId="19" fillId="0" borderId="3" xfId="50" applyFont="1" applyBorder="1" applyAlignment="1">
      <alignment horizontal="center" vertical="center"/>
    </xf>
    <xf numFmtId="14" fontId="19" fillId="0" borderId="10" xfId="50" applyNumberFormat="1" applyFont="1" applyBorder="1" applyAlignment="1">
      <alignment horizontal="center" vertical="center"/>
    </xf>
    <xf numFmtId="14" fontId="19" fillId="0" borderId="2" xfId="50" applyNumberFormat="1" applyFont="1" applyBorder="1" applyAlignment="1">
      <alignment horizontal="center" vertical="center"/>
    </xf>
    <xf numFmtId="14" fontId="19" fillId="0" borderId="17" xfId="50" applyNumberFormat="1" applyFont="1" applyBorder="1" applyAlignment="1">
      <alignment horizontal="center" vertical="center"/>
    </xf>
    <xf numFmtId="14" fontId="51" fillId="0" borderId="22" xfId="0" applyNumberFormat="1" applyFont="1" applyBorder="1" applyAlignment="1">
      <alignment horizontal="center" vertical="center"/>
    </xf>
    <xf numFmtId="0" fontId="51" fillId="0" borderId="22" xfId="0" applyFont="1" applyBorder="1" applyAlignment="1">
      <alignment horizontal="center" vertical="center"/>
    </xf>
    <xf numFmtId="0" fontId="51" fillId="0" borderId="10" xfId="0" applyFont="1" applyBorder="1" applyAlignment="1">
      <alignment vertical="center" wrapText="1"/>
    </xf>
    <xf numFmtId="0" fontId="51" fillId="0" borderId="2" xfId="0" applyFont="1" applyBorder="1">
      <alignment vertical="center"/>
    </xf>
    <xf numFmtId="0" fontId="51" fillId="0" borderId="17" xfId="0" applyFont="1" applyBorder="1">
      <alignment vertical="center"/>
    </xf>
    <xf numFmtId="0" fontId="51" fillId="0" borderId="15" xfId="0" applyFont="1" applyBorder="1" applyAlignment="1">
      <alignment horizontal="center" vertical="center"/>
    </xf>
    <xf numFmtId="0" fontId="51" fillId="0" borderId="13" xfId="0" applyFont="1" applyBorder="1" applyAlignment="1">
      <alignment horizontal="center" vertical="center"/>
    </xf>
    <xf numFmtId="0" fontId="0" fillId="0" borderId="3" xfId="0" applyBorder="1" applyAlignment="1">
      <alignment horizontal="center" vertical="center"/>
    </xf>
    <xf numFmtId="0" fontId="18" fillId="12" borderId="10" xfId="48" applyFont="1" applyFill="1" applyBorder="1" applyAlignment="1">
      <alignment horizontal="left" vertical="center"/>
    </xf>
    <xf numFmtId="0" fontId="18" fillId="12" borderId="2" xfId="48" applyFont="1" applyFill="1" applyBorder="1" applyAlignment="1">
      <alignment horizontal="left" vertical="center"/>
    </xf>
    <xf numFmtId="0" fontId="18" fillId="12" borderId="17" xfId="48" applyFont="1" applyFill="1" applyBorder="1" applyAlignment="1">
      <alignment horizontal="left" vertical="center"/>
    </xf>
    <xf numFmtId="0" fontId="48" fillId="15" borderId="23" xfId="48" applyFont="1" applyFill="1" applyBorder="1" applyAlignment="1">
      <alignment vertical="center"/>
    </xf>
    <xf numFmtId="0" fontId="18" fillId="12" borderId="3" xfId="48" applyFont="1" applyFill="1" applyBorder="1" applyAlignment="1">
      <alignment vertical="center"/>
    </xf>
    <xf numFmtId="0" fontId="20" fillId="0" borderId="10" xfId="48" applyFont="1" applyBorder="1" applyAlignment="1">
      <alignment vertical="center"/>
    </xf>
    <xf numFmtId="0" fontId="20" fillId="0" borderId="2" xfId="48" applyFont="1" applyBorder="1" applyAlignment="1">
      <alignment vertical="center"/>
    </xf>
    <xf numFmtId="0" fontId="20" fillId="0" borderId="17" xfId="48" applyFont="1" applyBorder="1" applyAlignment="1">
      <alignment vertical="center"/>
    </xf>
    <xf numFmtId="0" fontId="18" fillId="12" borderId="3" xfId="48" applyFont="1" applyFill="1" applyBorder="1" applyAlignment="1">
      <alignment horizontal="left" vertical="center"/>
    </xf>
    <xf numFmtId="0" fontId="19" fillId="0" borderId="3" xfId="48" applyFont="1" applyBorder="1" applyAlignment="1">
      <alignment horizontal="left" vertical="center"/>
    </xf>
    <xf numFmtId="0" fontId="13" fillId="16" borderId="3" xfId="50" applyFill="1" applyBorder="1" applyAlignment="1">
      <alignment horizontal="left" vertical="center"/>
    </xf>
    <xf numFmtId="14" fontId="19" fillId="0" borderId="3" xfId="48" applyNumberFormat="1" applyFont="1" applyBorder="1" applyAlignment="1">
      <alignment horizontal="center" vertical="center"/>
    </xf>
    <xf numFmtId="0" fontId="51" fillId="14" borderId="15" xfId="0" applyFont="1" applyFill="1" applyBorder="1" applyAlignment="1">
      <alignment vertical="center" wrapText="1"/>
    </xf>
    <xf numFmtId="0" fontId="51" fillId="14" borderId="12" xfId="0" applyFont="1" applyFill="1" applyBorder="1" applyAlignment="1">
      <alignment vertical="center" wrapText="1"/>
    </xf>
    <xf numFmtId="0" fontId="51" fillId="14" borderId="13" xfId="0" applyFont="1" applyFill="1" applyBorder="1" applyAlignment="1">
      <alignment vertical="center" wrapText="1"/>
    </xf>
    <xf numFmtId="0" fontId="51" fillId="14" borderId="7" xfId="0" applyFont="1" applyFill="1" applyBorder="1" applyAlignment="1">
      <alignment vertical="center" wrapText="1"/>
    </xf>
    <xf numFmtId="0" fontId="51" fillId="14" borderId="8" xfId="0" applyFont="1" applyFill="1" applyBorder="1" applyAlignment="1">
      <alignment vertical="center" wrapText="1"/>
    </xf>
    <xf numFmtId="0" fontId="51" fillId="14" borderId="14" xfId="0" applyFont="1" applyFill="1" applyBorder="1" applyAlignment="1">
      <alignment vertical="center" wrapText="1"/>
    </xf>
    <xf numFmtId="0" fontId="18" fillId="15" borderId="24" xfId="48" applyFont="1" applyFill="1" applyBorder="1" applyAlignment="1">
      <alignment vertical="center"/>
    </xf>
    <xf numFmtId="0" fontId="19" fillId="0" borderId="3" xfId="48" applyFont="1" applyBorder="1" applyAlignment="1">
      <alignment vertical="center"/>
    </xf>
    <xf numFmtId="0" fontId="51" fillId="14" borderId="3" xfId="0" applyFont="1" applyFill="1" applyBorder="1">
      <alignment vertical="center"/>
    </xf>
    <xf numFmtId="0" fontId="17" fillId="15" borderId="22" xfId="48" applyFont="1" applyFill="1" applyBorder="1" applyAlignment="1">
      <alignment vertical="center"/>
    </xf>
    <xf numFmtId="0" fontId="52" fillId="17" borderId="8" xfId="0" applyFont="1" applyFill="1" applyBorder="1" applyAlignment="1">
      <alignment horizontal="center" vertical="center"/>
    </xf>
    <xf numFmtId="0" fontId="51" fillId="14" borderId="3" xfId="0" applyFont="1" applyFill="1" applyBorder="1" applyAlignment="1">
      <alignment vertical="center" wrapText="1"/>
    </xf>
    <xf numFmtId="0" fontId="19" fillId="0" borderId="3" xfId="48" applyFont="1" applyBorder="1" applyAlignment="1">
      <alignment horizontal="center" vertical="center"/>
    </xf>
    <xf numFmtId="0" fontId="13" fillId="16" borderId="10" xfId="50" applyFill="1" applyBorder="1" applyAlignment="1">
      <alignment horizontal="center" vertical="center"/>
    </xf>
    <xf numFmtId="0" fontId="13" fillId="16" borderId="17" xfId="50" applyFill="1" applyBorder="1" applyAlignment="1">
      <alignment horizontal="center" vertical="center"/>
    </xf>
    <xf numFmtId="0" fontId="68" fillId="25" borderId="22" xfId="184" applyFont="1" applyFill="1" applyBorder="1" applyAlignment="1">
      <alignment horizontal="center" vertical="center"/>
    </xf>
    <xf numFmtId="0" fontId="60" fillId="0" borderId="32" xfId="0" applyFont="1" applyBorder="1" applyAlignment="1">
      <alignment horizontal="center" vertical="center" wrapText="1"/>
    </xf>
    <xf numFmtId="0" fontId="60" fillId="0" borderId="32" xfId="0" quotePrefix="1" applyFont="1" applyBorder="1" applyAlignment="1">
      <alignment horizontal="center" vertical="center" wrapText="1"/>
    </xf>
    <xf numFmtId="0" fontId="60" fillId="21" borderId="33" xfId="0" applyFont="1" applyFill="1" applyBorder="1" applyAlignment="1">
      <alignment horizontal="center" vertical="center" wrapText="1"/>
    </xf>
    <xf numFmtId="0" fontId="60" fillId="21" borderId="34" xfId="0" applyFont="1" applyFill="1" applyBorder="1" applyAlignment="1">
      <alignment horizontal="center" vertical="center" wrapText="1"/>
    </xf>
    <xf numFmtId="0" fontId="60" fillId="21" borderId="35" xfId="0" applyFont="1" applyFill="1" applyBorder="1" applyAlignment="1">
      <alignment horizontal="center" vertical="center" wrapText="1"/>
    </xf>
    <xf numFmtId="0" fontId="60" fillId="21" borderId="36" xfId="0" applyFont="1" applyFill="1" applyBorder="1" applyAlignment="1">
      <alignment horizontal="center" vertical="center" wrapText="1"/>
    </xf>
    <xf numFmtId="0" fontId="60" fillId="21" borderId="37" xfId="0" applyFont="1" applyFill="1" applyBorder="1" applyAlignment="1">
      <alignment horizontal="center" vertical="center" wrapText="1"/>
    </xf>
    <xf numFmtId="0" fontId="60" fillId="21" borderId="38" xfId="0" applyFont="1" applyFill="1" applyBorder="1" applyAlignment="1">
      <alignment horizontal="center" vertical="center" wrapText="1"/>
    </xf>
    <xf numFmtId="17" fontId="60" fillId="0" borderId="32" xfId="0" quotePrefix="1" applyNumberFormat="1" applyFont="1" applyBorder="1" applyAlignment="1">
      <alignment horizontal="center" vertical="center" wrapText="1"/>
    </xf>
    <xf numFmtId="0" fontId="60" fillId="21" borderId="32" xfId="0" applyFont="1" applyFill="1" applyBorder="1" applyAlignment="1">
      <alignment horizontal="center" vertical="center" wrapText="1"/>
    </xf>
    <xf numFmtId="0" fontId="20" fillId="0" borderId="3" xfId="48" applyFont="1" applyBorder="1" applyAlignment="1">
      <alignment vertical="center"/>
    </xf>
    <xf numFmtId="0" fontId="69" fillId="18" borderId="0" xfId="0" applyFont="1" applyFill="1" applyAlignment="1">
      <alignment horizontal="left" vertical="center" wrapText="1"/>
    </xf>
    <xf numFmtId="0" fontId="69" fillId="18" borderId="0" xfId="0" applyFont="1" applyFill="1" applyAlignment="1">
      <alignment horizontal="left" vertical="center"/>
    </xf>
    <xf numFmtId="0" fontId="69" fillId="22" borderId="52" xfId="0" applyFont="1" applyFill="1" applyBorder="1" applyAlignment="1">
      <alignment horizontal="center" vertical="center" wrapText="1"/>
    </xf>
    <xf numFmtId="0" fontId="69" fillId="22" borderId="53" xfId="0" applyFont="1" applyFill="1" applyBorder="1" applyAlignment="1">
      <alignment horizontal="center" vertical="center"/>
    </xf>
    <xf numFmtId="0" fontId="69" fillId="22" borderId="54" xfId="0" applyFont="1" applyFill="1" applyBorder="1" applyAlignment="1">
      <alignment horizontal="center" vertical="center"/>
    </xf>
    <xf numFmtId="0" fontId="69" fillId="22" borderId="55" xfId="0" applyFont="1" applyFill="1" applyBorder="1" applyAlignment="1">
      <alignment horizontal="center" vertical="center"/>
    </xf>
    <xf numFmtId="0" fontId="69" fillId="22" borderId="56" xfId="0" applyFont="1" applyFill="1" applyBorder="1" applyAlignment="1">
      <alignment horizontal="center" vertical="center"/>
    </xf>
    <xf numFmtId="0" fontId="69" fillId="22" borderId="57" xfId="0" applyFont="1" applyFill="1" applyBorder="1" applyAlignment="1">
      <alignment horizontal="center" vertical="center"/>
    </xf>
    <xf numFmtId="0" fontId="50" fillId="13" borderId="10" xfId="49" applyFont="1" applyFill="1" applyBorder="1" applyAlignment="1">
      <alignment horizontal="center" vertical="center"/>
    </xf>
    <xf numFmtId="0" fontId="50" fillId="13" borderId="2" xfId="49" applyFont="1" applyFill="1" applyBorder="1" applyAlignment="1">
      <alignment horizontal="center" vertical="center"/>
    </xf>
    <xf numFmtId="0" fontId="50" fillId="13" borderId="17" xfId="49" applyFont="1" applyFill="1" applyBorder="1" applyAlignment="1">
      <alignment horizontal="center" vertical="center"/>
    </xf>
    <xf numFmtId="0" fontId="19" fillId="10" borderId="10" xfId="46" applyFont="1" applyFill="1" applyBorder="1" applyAlignment="1">
      <alignment horizontal="center"/>
    </xf>
    <xf numFmtId="0" fontId="19" fillId="10" borderId="17" xfId="46" applyFont="1" applyFill="1" applyBorder="1" applyAlignment="1">
      <alignment horizontal="center"/>
    </xf>
    <xf numFmtId="179" fontId="69" fillId="14" borderId="0" xfId="161" quotePrefix="1" applyNumberFormat="1" applyFont="1" applyFill="1" applyAlignment="1">
      <alignment horizontal="right" vertical="center"/>
    </xf>
    <xf numFmtId="179" fontId="69" fillId="22" borderId="52" xfId="161" quotePrefix="1" applyNumberFormat="1" applyFont="1" applyFill="1" applyBorder="1" applyAlignment="1">
      <alignment horizontal="center" vertical="center" wrapText="1"/>
    </xf>
    <xf numFmtId="179" fontId="69" fillId="22" borderId="53" xfId="161" quotePrefix="1" applyNumberFormat="1" applyFont="1" applyFill="1" applyBorder="1" applyAlignment="1">
      <alignment horizontal="center" vertical="center"/>
    </xf>
    <xf numFmtId="179" fontId="69" fillId="22" borderId="54" xfId="161" quotePrefix="1" applyNumberFormat="1" applyFont="1" applyFill="1" applyBorder="1" applyAlignment="1">
      <alignment horizontal="center" vertical="center"/>
    </xf>
    <xf numFmtId="179" fontId="69" fillId="22" borderId="55" xfId="161" quotePrefix="1" applyNumberFormat="1" applyFont="1" applyFill="1" applyBorder="1" applyAlignment="1">
      <alignment horizontal="center" vertical="center"/>
    </xf>
    <xf numFmtId="179" fontId="69" fillId="22" borderId="56" xfId="161" quotePrefix="1" applyNumberFormat="1" applyFont="1" applyFill="1" applyBorder="1" applyAlignment="1">
      <alignment horizontal="center" vertical="center"/>
    </xf>
    <xf numFmtId="179" fontId="69" fillId="22" borderId="57" xfId="161" quotePrefix="1" applyNumberFormat="1" applyFont="1" applyFill="1" applyBorder="1" applyAlignment="1">
      <alignment horizontal="center" vertical="center"/>
    </xf>
    <xf numFmtId="0" fontId="69" fillId="22" borderId="52" xfId="161" applyFont="1" applyFill="1" applyBorder="1" applyAlignment="1">
      <alignment horizontal="center" vertical="center" wrapText="1"/>
    </xf>
    <xf numFmtId="0" fontId="69" fillId="22" borderId="53" xfId="161" applyFont="1" applyFill="1" applyBorder="1" applyAlignment="1">
      <alignment horizontal="center" vertical="center"/>
    </xf>
    <xf numFmtId="0" fontId="69" fillId="22" borderId="54" xfId="161" applyFont="1" applyFill="1" applyBorder="1" applyAlignment="1">
      <alignment horizontal="center" vertical="center"/>
    </xf>
    <xf numFmtId="0" fontId="69" fillId="22" borderId="55" xfId="161" applyFont="1" applyFill="1" applyBorder="1" applyAlignment="1">
      <alignment horizontal="center" vertical="center"/>
    </xf>
    <xf numFmtId="0" fontId="69" fillId="22" borderId="56" xfId="161" applyFont="1" applyFill="1" applyBorder="1" applyAlignment="1">
      <alignment horizontal="center" vertical="center"/>
    </xf>
    <xf numFmtId="0" fontId="69" fillId="22" borderId="57" xfId="161" applyFont="1" applyFill="1" applyBorder="1" applyAlignment="1">
      <alignment horizontal="center" vertical="center"/>
    </xf>
    <xf numFmtId="0" fontId="67" fillId="0" borderId="26" xfId="161" quotePrefix="1" applyFont="1" applyBorder="1" applyAlignment="1">
      <alignment horizontal="center" vertical="center"/>
    </xf>
    <xf numFmtId="49" fontId="60" fillId="0" borderId="10" xfId="45" applyNumberFormat="1" applyFont="1" applyBorder="1" applyAlignment="1">
      <alignment horizontal="left" vertical="center" wrapText="1"/>
    </xf>
    <xf numFmtId="49" fontId="60" fillId="0" borderId="40" xfId="45" applyNumberFormat="1" applyFont="1" applyBorder="1" applyAlignment="1">
      <alignment horizontal="left" vertical="center" wrapText="1"/>
    </xf>
    <xf numFmtId="0" fontId="60" fillId="0" borderId="45" xfId="184" applyFont="1" applyBorder="1" applyAlignment="1" applyProtection="1">
      <alignment vertical="center" wrapText="1"/>
      <protection locked="0"/>
    </xf>
    <xf numFmtId="0" fontId="60" fillId="0" borderId="46" xfId="184" applyFont="1" applyBorder="1" applyAlignment="1" applyProtection="1">
      <alignment vertical="center" wrapText="1"/>
      <protection locked="0"/>
    </xf>
    <xf numFmtId="0" fontId="60" fillId="0" borderId="47" xfId="184" applyFont="1" applyBorder="1" applyAlignment="1" applyProtection="1">
      <alignment vertical="center" wrapText="1"/>
      <protection locked="0"/>
    </xf>
    <xf numFmtId="0" fontId="60" fillId="0" borderId="44" xfId="184" applyFont="1" applyBorder="1" applyAlignment="1" applyProtection="1">
      <alignment horizontal="left" vertical="center" wrapText="1"/>
      <protection locked="0"/>
    </xf>
    <xf numFmtId="0" fontId="60" fillId="0" borderId="2" xfId="184" applyFont="1" applyBorder="1" applyAlignment="1" applyProtection="1">
      <alignment horizontal="left" vertical="center" wrapText="1"/>
      <protection locked="0"/>
    </xf>
    <xf numFmtId="0" fontId="60" fillId="0" borderId="41" xfId="184" applyFont="1" applyBorder="1" applyAlignment="1" applyProtection="1">
      <alignment vertical="center" wrapText="1"/>
      <protection locked="0"/>
    </xf>
    <xf numFmtId="0" fontId="60" fillId="0" borderId="42" xfId="184" applyFont="1" applyBorder="1" applyAlignment="1" applyProtection="1">
      <alignment vertical="center" wrapText="1"/>
      <protection locked="0"/>
    </xf>
    <xf numFmtId="0" fontId="60" fillId="0" borderId="43" xfId="184" applyFont="1" applyBorder="1" applyAlignment="1" applyProtection="1">
      <alignment vertical="center" wrapText="1"/>
      <protection locked="0"/>
    </xf>
    <xf numFmtId="0" fontId="60" fillId="0" borderId="10" xfId="184" applyFont="1" applyBorder="1" applyAlignment="1">
      <alignment horizontal="left" vertical="center" wrapText="1"/>
    </xf>
    <xf numFmtId="0" fontId="60" fillId="0" borderId="2" xfId="184" applyFont="1" applyBorder="1" applyAlignment="1">
      <alignment horizontal="left" vertical="center" wrapText="1"/>
    </xf>
    <xf numFmtId="0" fontId="60" fillId="0" borderId="17" xfId="184" applyFont="1" applyBorder="1" applyAlignment="1">
      <alignment horizontal="left" vertical="center" wrapText="1"/>
    </xf>
    <xf numFmtId="0" fontId="60" fillId="0" borderId="44" xfId="184" applyFont="1" applyBorder="1" applyAlignment="1">
      <alignment horizontal="left" vertical="center" wrapText="1"/>
    </xf>
    <xf numFmtId="0" fontId="60" fillId="0" borderId="40" xfId="184" applyFont="1" applyBorder="1" applyAlignment="1">
      <alignment horizontal="left" vertical="center" wrapText="1"/>
    </xf>
    <xf numFmtId="0" fontId="60" fillId="0" borderId="44" xfId="184" applyFont="1" applyBorder="1" applyAlignment="1" applyProtection="1">
      <alignment vertical="center" wrapText="1"/>
      <protection locked="0"/>
    </xf>
    <xf numFmtId="0" fontId="60" fillId="0" borderId="2" xfId="184" applyFont="1" applyBorder="1" applyAlignment="1" applyProtection="1">
      <alignment vertical="center" wrapText="1"/>
      <protection locked="0"/>
    </xf>
    <xf numFmtId="0" fontId="60" fillId="0" borderId="40" xfId="184" applyFont="1" applyBorder="1" applyAlignment="1" applyProtection="1">
      <alignment vertical="center" wrapText="1"/>
      <protection locked="0"/>
    </xf>
    <xf numFmtId="0" fontId="60" fillId="0" borderId="10" xfId="184" applyFont="1" applyBorder="1" applyAlignment="1">
      <alignment horizontal="left" vertical="top" wrapText="1"/>
    </xf>
    <xf numFmtId="0" fontId="60" fillId="0" borderId="2" xfId="184" applyFont="1" applyBorder="1" applyAlignment="1">
      <alignment horizontal="left" vertical="top" wrapText="1"/>
    </xf>
    <xf numFmtId="0" fontId="60" fillId="0" borderId="17" xfId="184" applyFont="1" applyBorder="1" applyAlignment="1">
      <alignment horizontal="left" vertical="top" wrapText="1"/>
    </xf>
    <xf numFmtId="0" fontId="60" fillId="0" borderId="10" xfId="45" applyFont="1" applyBorder="1" applyAlignment="1">
      <alignment horizontal="left" vertical="center" wrapText="1"/>
    </xf>
    <xf numFmtId="0" fontId="60" fillId="0" borderId="40" xfId="45" applyFont="1" applyBorder="1" applyAlignment="1">
      <alignment horizontal="left" vertical="center" wrapText="1"/>
    </xf>
    <xf numFmtId="0" fontId="60" fillId="0" borderId="49" xfId="184" applyFont="1" applyBorder="1" applyAlignment="1" applyProtection="1">
      <alignment horizontal="left" vertical="center" wrapText="1"/>
      <protection locked="0"/>
    </xf>
    <xf numFmtId="0" fontId="60" fillId="0" borderId="50" xfId="184" applyFont="1" applyBorder="1" applyAlignment="1" applyProtection="1">
      <alignment horizontal="left" vertical="center" wrapText="1"/>
      <protection locked="0"/>
    </xf>
    <xf numFmtId="0" fontId="68" fillId="26" borderId="3" xfId="184" applyFont="1" applyFill="1" applyBorder="1" applyAlignment="1">
      <alignment horizontal="center" vertical="center"/>
    </xf>
    <xf numFmtId="0" fontId="60" fillId="26" borderId="3" xfId="184" applyFont="1" applyFill="1" applyBorder="1" applyAlignment="1">
      <alignment horizontal="center" vertical="center"/>
    </xf>
    <xf numFmtId="0" fontId="68" fillId="24" borderId="3" xfId="184" applyFont="1" applyFill="1" applyBorder="1" applyAlignment="1">
      <alignment horizontal="center" vertical="center" wrapText="1"/>
    </xf>
    <xf numFmtId="0" fontId="68" fillId="24" borderId="3" xfId="184" applyFont="1" applyFill="1" applyBorder="1" applyAlignment="1">
      <alignment horizontal="center" vertical="center"/>
    </xf>
    <xf numFmtId="0" fontId="68" fillId="26" borderId="3" xfId="184" applyFont="1" applyFill="1" applyBorder="1" applyAlignment="1" applyProtection="1">
      <alignment horizontal="center" vertical="center" wrapText="1"/>
      <protection locked="0"/>
    </xf>
    <xf numFmtId="0" fontId="68" fillId="24" borderId="15" xfId="184" applyFont="1" applyFill="1" applyBorder="1" applyAlignment="1">
      <alignment horizontal="center" vertical="center" wrapText="1"/>
    </xf>
    <xf numFmtId="0" fontId="68" fillId="24" borderId="12" xfId="184" applyFont="1" applyFill="1" applyBorder="1" applyAlignment="1">
      <alignment horizontal="center" vertical="center" wrapText="1"/>
    </xf>
    <xf numFmtId="0" fontId="68" fillId="24" borderId="13" xfId="184" applyFont="1" applyFill="1" applyBorder="1" applyAlignment="1">
      <alignment horizontal="center" vertical="center" wrapText="1"/>
    </xf>
    <xf numFmtId="0" fontId="68" fillId="24" borderId="7" xfId="184" applyFont="1" applyFill="1" applyBorder="1" applyAlignment="1">
      <alignment horizontal="center" vertical="center" wrapText="1"/>
    </xf>
    <xf numFmtId="0" fontId="68" fillId="24" borderId="8" xfId="184" applyFont="1" applyFill="1" applyBorder="1" applyAlignment="1">
      <alignment horizontal="center" vertical="center" wrapText="1"/>
    </xf>
    <xf numFmtId="0" fontId="68" fillId="24" borderId="14" xfId="184" applyFont="1" applyFill="1" applyBorder="1" applyAlignment="1">
      <alignment horizontal="center" vertical="center" wrapText="1"/>
    </xf>
    <xf numFmtId="0" fontId="68" fillId="24" borderId="64" xfId="184" applyFont="1" applyFill="1" applyBorder="1" applyAlignment="1">
      <alignment horizontal="center" vertical="center" wrapText="1"/>
    </xf>
    <xf numFmtId="0" fontId="68" fillId="24" borderId="61" xfId="184" applyFont="1" applyFill="1" applyBorder="1" applyAlignment="1">
      <alignment horizontal="center" vertical="center" wrapText="1"/>
    </xf>
    <xf numFmtId="0" fontId="68" fillId="24" borderId="62" xfId="184" applyFont="1" applyFill="1" applyBorder="1" applyAlignment="1">
      <alignment horizontal="center" vertical="center" wrapText="1"/>
    </xf>
    <xf numFmtId="0" fontId="60" fillId="0" borderId="44" xfId="184" applyFont="1" applyBorder="1" applyAlignment="1">
      <alignment horizontal="center" vertical="center" wrapText="1"/>
    </xf>
    <xf numFmtId="0" fontId="60" fillId="0" borderId="2" xfId="184" applyFont="1" applyBorder="1" applyAlignment="1">
      <alignment horizontal="center" vertical="center" wrapText="1"/>
    </xf>
    <xf numFmtId="0" fontId="60" fillId="0" borderId="40" xfId="184" applyFont="1" applyBorder="1" applyAlignment="1">
      <alignment horizontal="center" vertical="center" wrapText="1"/>
    </xf>
    <xf numFmtId="0" fontId="77" fillId="25" borderId="22" xfId="186" applyFont="1" applyFill="1" applyBorder="1" applyAlignment="1">
      <alignment horizontal="center" vertical="center"/>
    </xf>
    <xf numFmtId="0" fontId="66" fillId="26" borderId="3" xfId="186" applyFont="1" applyFill="1" applyBorder="1" applyAlignment="1">
      <alignment horizontal="left" vertical="center"/>
    </xf>
    <xf numFmtId="0" fontId="66" fillId="0" borderId="10" xfId="186" applyFont="1" applyBorder="1" applyAlignment="1">
      <alignment horizontal="left" vertical="center" wrapText="1"/>
    </xf>
    <xf numFmtId="0" fontId="66" fillId="0" borderId="2" xfId="186" applyFont="1" applyBorder="1" applyAlignment="1">
      <alignment horizontal="left" vertical="center" wrapText="1"/>
    </xf>
    <xf numFmtId="0" fontId="66" fillId="0" borderId="17" xfId="186" applyFont="1" applyBorder="1" applyAlignment="1">
      <alignment horizontal="left" vertical="center" wrapText="1"/>
    </xf>
    <xf numFmtId="0" fontId="66" fillId="26" borderId="10" xfId="186" applyFont="1" applyFill="1" applyBorder="1" applyAlignment="1">
      <alignment horizontal="center" vertical="center"/>
    </xf>
    <xf numFmtId="0" fontId="66" fillId="26" borderId="2" xfId="186" applyFont="1" applyFill="1" applyBorder="1" applyAlignment="1">
      <alignment horizontal="center" vertical="center"/>
    </xf>
    <xf numFmtId="0" fontId="66" fillId="26" borderId="17" xfId="186" applyFont="1" applyFill="1" applyBorder="1" applyAlignment="1">
      <alignment horizontal="center" vertical="center"/>
    </xf>
    <xf numFmtId="0" fontId="66" fillId="0" borderId="10" xfId="186" applyFont="1" applyBorder="1" applyAlignment="1">
      <alignment horizontal="center" vertical="center" wrapText="1"/>
    </xf>
    <xf numFmtId="0" fontId="66" fillId="0" borderId="2" xfId="186" applyFont="1" applyBorder="1" applyAlignment="1">
      <alignment horizontal="center" vertical="center" wrapText="1"/>
    </xf>
    <xf numFmtId="0" fontId="66" fillId="0" borderId="17" xfId="186" applyFont="1" applyBorder="1" applyAlignment="1">
      <alignment horizontal="center" vertical="center" wrapText="1"/>
    </xf>
    <xf numFmtId="0" fontId="66" fillId="0" borderId="10" xfId="186" applyFont="1" applyBorder="1" applyAlignment="1">
      <alignment horizontal="center" vertical="center"/>
    </xf>
    <xf numFmtId="0" fontId="66" fillId="0" borderId="2" xfId="186" applyFont="1" applyBorder="1" applyAlignment="1">
      <alignment horizontal="center" vertical="center"/>
    </xf>
    <xf numFmtId="0" fontId="66" fillId="0" borderId="17" xfId="186" applyFont="1" applyBorder="1" applyAlignment="1">
      <alignment horizontal="center" vertical="center"/>
    </xf>
  </cellXfs>
  <cellStyles count="187">
    <cellStyle name="0301" xfId="1" xr:uid="{00000000-0005-0000-0000-000000000000}"/>
    <cellStyle name="0_x0014_標準_F_02?P_Dd080301" xfId="2" xr:uid="{00000000-0005-0000-0000-000001000000}"/>
    <cellStyle name="Calc Currency (0)" xfId="3" xr:uid="{00000000-0005-0000-0000-000002000000}"/>
    <cellStyle name="ColumnAttributeAbovePrompt" xfId="4" xr:uid="{00000000-0005-0000-0000-000003000000}"/>
    <cellStyle name="ColumnAttributePrompt" xfId="5" xr:uid="{00000000-0005-0000-0000-000004000000}"/>
    <cellStyle name="ColumnAttributeValue" xfId="6" xr:uid="{00000000-0005-0000-0000-000005000000}"/>
    <cellStyle name="ColumnHeadingPrompt" xfId="7" xr:uid="{00000000-0005-0000-0000-000006000000}"/>
    <cellStyle name="ColumnHeadingValue" xfId="8" xr:uid="{00000000-0005-0000-0000-000007000000}"/>
    <cellStyle name="entry" xfId="9" xr:uid="{00000000-0005-0000-0000-000008000000}"/>
    <cellStyle name="Grey" xfId="10" xr:uid="{00000000-0005-0000-0000-000009000000}"/>
    <cellStyle name="Header1" xfId="11" xr:uid="{00000000-0005-0000-0000-00000A000000}"/>
    <cellStyle name="Header2" xfId="12" xr:uid="{00000000-0005-0000-0000-00000B000000}"/>
    <cellStyle name="Input [yellow]" xfId="13" xr:uid="{00000000-0005-0000-0000-00000C000000}"/>
    <cellStyle name="LineItemPrompt" xfId="14" xr:uid="{00000000-0005-0000-0000-00000D000000}"/>
    <cellStyle name="LineItemValue" xfId="15" xr:uid="{00000000-0005-0000-0000-00000E000000}"/>
    <cellStyle name="Normal - Style1" xfId="16" xr:uid="{00000000-0005-0000-0000-00000F000000}"/>
    <cellStyle name="Normal_#18-Internet" xfId="17" xr:uid="{00000000-0005-0000-0000-000010000000}"/>
    <cellStyle name="OUTPUT AMOUNTS" xfId="18" xr:uid="{00000000-0005-0000-0000-000011000000}"/>
    <cellStyle name="OUTPUT COLUMN HEADINGS" xfId="19" xr:uid="{00000000-0005-0000-0000-000012000000}"/>
    <cellStyle name="OUTPUT LINE ITEMS" xfId="20" xr:uid="{00000000-0005-0000-0000-000013000000}"/>
    <cellStyle name="OUTPUT REPORT HEADING" xfId="21" xr:uid="{00000000-0005-0000-0000-000014000000}"/>
    <cellStyle name="OUTPUT REPORT TITLE" xfId="22" xr:uid="{00000000-0005-0000-0000-000015000000}"/>
    <cellStyle name="Percent [2]" xfId="23" xr:uid="{00000000-0005-0000-0000-000016000000}"/>
    <cellStyle name="price" xfId="24" xr:uid="{00000000-0005-0000-0000-000017000000}"/>
    <cellStyle name="ReportTitlePrompt" xfId="25" xr:uid="{00000000-0005-0000-0000-000018000000}"/>
    <cellStyle name="ReportTitleValue" xfId="26" xr:uid="{00000000-0005-0000-0000-000019000000}"/>
    <cellStyle name="revised" xfId="27" xr:uid="{00000000-0005-0000-0000-00001A000000}"/>
    <cellStyle name="RowAcctAbovePrompt" xfId="28" xr:uid="{00000000-0005-0000-0000-00001B000000}"/>
    <cellStyle name="RowAcctSOBAbovePrompt" xfId="29" xr:uid="{00000000-0005-0000-0000-00001C000000}"/>
    <cellStyle name="RowAcctSOBValue" xfId="30" xr:uid="{00000000-0005-0000-0000-00001D000000}"/>
    <cellStyle name="RowAcctValue" xfId="31" xr:uid="{00000000-0005-0000-0000-00001E000000}"/>
    <cellStyle name="RowAttrAbovePrompt" xfId="32" xr:uid="{00000000-0005-0000-0000-00001F000000}"/>
    <cellStyle name="RowAttrValue" xfId="33" xr:uid="{00000000-0005-0000-0000-000020000000}"/>
    <cellStyle name="RowColSetAbovePrompt" xfId="34" xr:uid="{00000000-0005-0000-0000-000021000000}"/>
    <cellStyle name="RowColSetLeftPrompt" xfId="35" xr:uid="{00000000-0005-0000-0000-000022000000}"/>
    <cellStyle name="RowColSetValue" xfId="36" xr:uid="{00000000-0005-0000-0000-000023000000}"/>
    <cellStyle name="RowLeftPrompt" xfId="37" xr:uid="{00000000-0005-0000-0000-000024000000}"/>
    <cellStyle name="SampleUsingFormatMask" xfId="38" xr:uid="{00000000-0005-0000-0000-000025000000}"/>
    <cellStyle name="SampleWithNoFormatMask" xfId="39" xr:uid="{00000000-0005-0000-0000-000026000000}"/>
    <cellStyle name="section" xfId="40" xr:uid="{00000000-0005-0000-0000-000027000000}"/>
    <cellStyle name="subhead" xfId="41" xr:uid="{00000000-0005-0000-0000-000028000000}"/>
    <cellStyle name="title" xfId="42" xr:uid="{00000000-0005-0000-0000-000029000000}"/>
    <cellStyle name="UploadThisRowValue" xfId="43" xr:uid="{00000000-0005-0000-0000-00002A000000}"/>
    <cellStyle name="_x001d__x000c_K_x0014__x000d_&gt;V_x0001_&gt;_x0014_n_x001e__x0007__x0001__x0001_" xfId="44" xr:uid="{00000000-0005-0000-0000-00002B000000}"/>
    <cellStyle name="標準" xfId="0" builtinId="0"/>
    <cellStyle name="標準 10" xfId="184" xr:uid="{EA538841-B3F7-4189-AE1D-AD4B02F64DDE}"/>
    <cellStyle name="標準 11" xfId="185" xr:uid="{9A33E0B3-3601-4446-AF7C-40986B16F916}"/>
    <cellStyle name="標準 12" xfId="186" xr:uid="{868DCC0C-A919-469A-8C51-D8FACEBCB55E}"/>
    <cellStyle name="標準 2" xfId="45" xr:uid="{00000000-0005-0000-0000-00002D000000}"/>
    <cellStyle name="標準 2 2" xfId="161" xr:uid="{00000000-0005-0000-0000-00002E000000}"/>
    <cellStyle name="標準 2 2 2 2" xfId="181" xr:uid="{00000000-0005-0000-0000-00002F000000}"/>
    <cellStyle name="標準 2 2 3 3" xfId="180" xr:uid="{00000000-0005-0000-0000-000030000000}"/>
    <cellStyle name="標準 2 2 3 3 2" xfId="183" xr:uid="{A9F8D5FD-FFE5-47DC-8F2A-256F756463B6}"/>
    <cellStyle name="標準 2 3" xfId="163" xr:uid="{00000000-0005-0000-0000-000031000000}"/>
    <cellStyle name="標準 3" xfId="46" xr:uid="{00000000-0005-0000-0000-000032000000}"/>
    <cellStyle name="標準 4" xfId="47" xr:uid="{00000000-0005-0000-0000-000033000000}"/>
    <cellStyle name="標準 5" xfId="52" xr:uid="{00000000-0005-0000-0000-000034000000}"/>
    <cellStyle name="標準 5 2" xfId="55" xr:uid="{00000000-0005-0000-0000-000035000000}"/>
    <cellStyle name="標準 5 2 2" xfId="61" xr:uid="{00000000-0005-0000-0000-000036000000}"/>
    <cellStyle name="標準 5 2 2 2" xfId="91" xr:uid="{00000000-0005-0000-0000-000037000000}"/>
    <cellStyle name="標準 5 2 2 2 2" xfId="137" xr:uid="{00000000-0005-0000-0000-000038000000}"/>
    <cellStyle name="標準 5 2 2 3" xfId="107" xr:uid="{00000000-0005-0000-0000-000039000000}"/>
    <cellStyle name="標準 5 2 2 3 2" xfId="153" xr:uid="{00000000-0005-0000-0000-00003A000000}"/>
    <cellStyle name="標準 5 2 2 4" xfId="81" xr:uid="{00000000-0005-0000-0000-00003B000000}"/>
    <cellStyle name="標準 5 2 2 4 2" xfId="177" xr:uid="{00000000-0005-0000-0000-00003C000000}"/>
    <cellStyle name="標準 5 2 2 5" xfId="127" xr:uid="{00000000-0005-0000-0000-00003D000000}"/>
    <cellStyle name="標準 5 2 3" xfId="65" xr:uid="{00000000-0005-0000-0000-00003E000000}"/>
    <cellStyle name="標準 5 2 3 2" xfId="95" xr:uid="{00000000-0005-0000-0000-00003F000000}"/>
    <cellStyle name="標準 5 2 3 2 2" xfId="141" xr:uid="{00000000-0005-0000-0000-000040000000}"/>
    <cellStyle name="標準 5 2 3 3" xfId="111" xr:uid="{00000000-0005-0000-0000-000041000000}"/>
    <cellStyle name="標準 5 2 3 3 2" xfId="157" xr:uid="{00000000-0005-0000-0000-000042000000}"/>
    <cellStyle name="標準 5 2 3 4" xfId="75" xr:uid="{00000000-0005-0000-0000-000043000000}"/>
    <cellStyle name="標準 5 2 3 4 2" xfId="171" xr:uid="{00000000-0005-0000-0000-000044000000}"/>
    <cellStyle name="標準 5 2 3 5" xfId="121" xr:uid="{00000000-0005-0000-0000-000045000000}"/>
    <cellStyle name="標準 5 2 4" xfId="85" xr:uid="{00000000-0005-0000-0000-000046000000}"/>
    <cellStyle name="標準 5 2 4 2" xfId="131" xr:uid="{00000000-0005-0000-0000-000047000000}"/>
    <cellStyle name="標準 5 2 5" xfId="101" xr:uid="{00000000-0005-0000-0000-000048000000}"/>
    <cellStyle name="標準 5 2 5 2" xfId="147" xr:uid="{00000000-0005-0000-0000-000049000000}"/>
    <cellStyle name="標準 5 2 6" xfId="71" xr:uid="{00000000-0005-0000-0000-00004A000000}"/>
    <cellStyle name="標準 5 2 6 2" xfId="167" xr:uid="{00000000-0005-0000-0000-00004B000000}"/>
    <cellStyle name="標準 5 2 7" xfId="117" xr:uid="{00000000-0005-0000-0000-00004C000000}"/>
    <cellStyle name="標準 5 3" xfId="58" xr:uid="{00000000-0005-0000-0000-00004D000000}"/>
    <cellStyle name="標準 5 3 2" xfId="88" xr:uid="{00000000-0005-0000-0000-00004E000000}"/>
    <cellStyle name="標準 5 3 2 2" xfId="134" xr:uid="{00000000-0005-0000-0000-00004F000000}"/>
    <cellStyle name="標準 5 3 3" xfId="104" xr:uid="{00000000-0005-0000-0000-000050000000}"/>
    <cellStyle name="標準 5 3 3 2" xfId="150" xr:uid="{00000000-0005-0000-0000-000051000000}"/>
    <cellStyle name="標準 5 3 4" xfId="78" xr:uid="{00000000-0005-0000-0000-000052000000}"/>
    <cellStyle name="標準 5 3 4 2" xfId="174" xr:uid="{00000000-0005-0000-0000-000053000000}"/>
    <cellStyle name="標準 5 3 5" xfId="124" xr:uid="{00000000-0005-0000-0000-000054000000}"/>
    <cellStyle name="標準 5 4" xfId="62" xr:uid="{00000000-0005-0000-0000-000055000000}"/>
    <cellStyle name="標準 5 4 2" xfId="92" xr:uid="{00000000-0005-0000-0000-000056000000}"/>
    <cellStyle name="標準 5 4 2 2" xfId="138" xr:uid="{00000000-0005-0000-0000-000057000000}"/>
    <cellStyle name="標準 5 4 3" xfId="108" xr:uid="{00000000-0005-0000-0000-000058000000}"/>
    <cellStyle name="標準 5 4 3 2" xfId="154" xr:uid="{00000000-0005-0000-0000-000059000000}"/>
    <cellStyle name="標準 5 4 4" xfId="72" xr:uid="{00000000-0005-0000-0000-00005A000000}"/>
    <cellStyle name="標準 5 4 4 2" xfId="168" xr:uid="{00000000-0005-0000-0000-00005B000000}"/>
    <cellStyle name="標準 5 4 5" xfId="118" xr:uid="{00000000-0005-0000-0000-00005C000000}"/>
    <cellStyle name="標準 5 5" xfId="82" xr:uid="{00000000-0005-0000-0000-00005D000000}"/>
    <cellStyle name="標準 5 5 2" xfId="128" xr:uid="{00000000-0005-0000-0000-00005E000000}"/>
    <cellStyle name="標準 5 6" xfId="98" xr:uid="{00000000-0005-0000-0000-00005F000000}"/>
    <cellStyle name="標準 5 6 2" xfId="144" xr:uid="{00000000-0005-0000-0000-000060000000}"/>
    <cellStyle name="標準 5 7" xfId="68" xr:uid="{00000000-0005-0000-0000-000061000000}"/>
    <cellStyle name="標準 5 7 2" xfId="164" xr:uid="{00000000-0005-0000-0000-000062000000}"/>
    <cellStyle name="標準 5 8" xfId="114" xr:uid="{00000000-0005-0000-0000-000063000000}"/>
    <cellStyle name="標準 6" xfId="53" xr:uid="{00000000-0005-0000-0000-000064000000}"/>
    <cellStyle name="標準 6 10" xfId="182" xr:uid="{00000000-0005-0000-0000-000065000000}"/>
    <cellStyle name="標準 6 2" xfId="56" xr:uid="{00000000-0005-0000-0000-000066000000}"/>
    <cellStyle name="標準 6 2 2" xfId="66" xr:uid="{00000000-0005-0000-0000-000067000000}"/>
    <cellStyle name="標準 6 2 2 2" xfId="112" xr:uid="{00000000-0005-0000-0000-000068000000}"/>
    <cellStyle name="標準 6 2 2 2 2" xfId="158" xr:uid="{00000000-0005-0000-0000-000069000000}"/>
    <cellStyle name="標準 6 2 2 3" xfId="96" xr:uid="{00000000-0005-0000-0000-00006A000000}"/>
    <cellStyle name="標準 6 2 2 3 2" xfId="178" xr:uid="{00000000-0005-0000-0000-00006B000000}"/>
    <cellStyle name="標準 6 2 2 4" xfId="142" xr:uid="{00000000-0005-0000-0000-00006C000000}"/>
    <cellStyle name="標準 6 2 3" xfId="86" xr:uid="{00000000-0005-0000-0000-00006D000000}"/>
    <cellStyle name="標準 6 2 3 2" xfId="132" xr:uid="{00000000-0005-0000-0000-00006E000000}"/>
    <cellStyle name="標準 6 2 4" xfId="102" xr:uid="{00000000-0005-0000-0000-00006F000000}"/>
    <cellStyle name="標準 6 2 4 2" xfId="148" xr:uid="{00000000-0005-0000-0000-000070000000}"/>
    <cellStyle name="標準 6 2 5" xfId="76" xr:uid="{00000000-0005-0000-0000-000071000000}"/>
    <cellStyle name="標準 6 2 5 2" xfId="172" xr:uid="{00000000-0005-0000-0000-000072000000}"/>
    <cellStyle name="標準 6 2 6" xfId="122" xr:uid="{00000000-0005-0000-0000-000073000000}"/>
    <cellStyle name="標準 6 3" xfId="59" xr:uid="{00000000-0005-0000-0000-000074000000}"/>
    <cellStyle name="標準 6 3 2" xfId="89" xr:uid="{00000000-0005-0000-0000-000075000000}"/>
    <cellStyle name="標準 6 3 2 2" xfId="135" xr:uid="{00000000-0005-0000-0000-000076000000}"/>
    <cellStyle name="標準 6 3 3" xfId="105" xr:uid="{00000000-0005-0000-0000-000077000000}"/>
    <cellStyle name="標準 6 3 3 2" xfId="151" xr:uid="{00000000-0005-0000-0000-000078000000}"/>
    <cellStyle name="標準 6 3 4" xfId="79" xr:uid="{00000000-0005-0000-0000-000079000000}"/>
    <cellStyle name="標準 6 3 4 2" xfId="175" xr:uid="{00000000-0005-0000-0000-00007A000000}"/>
    <cellStyle name="標準 6 3 5" xfId="125" xr:uid="{00000000-0005-0000-0000-00007B000000}"/>
    <cellStyle name="標準 6 4" xfId="63" xr:uid="{00000000-0005-0000-0000-00007C000000}"/>
    <cellStyle name="標準 6 4 2" xfId="93" xr:uid="{00000000-0005-0000-0000-00007D000000}"/>
    <cellStyle name="標準 6 4 2 2" xfId="139" xr:uid="{00000000-0005-0000-0000-00007E000000}"/>
    <cellStyle name="標準 6 4 3" xfId="109" xr:uid="{00000000-0005-0000-0000-00007F000000}"/>
    <cellStyle name="標準 6 4 3 2" xfId="155" xr:uid="{00000000-0005-0000-0000-000080000000}"/>
    <cellStyle name="標準 6 4 4" xfId="73" xr:uid="{00000000-0005-0000-0000-000081000000}"/>
    <cellStyle name="標準 6 4 4 2" xfId="169" xr:uid="{00000000-0005-0000-0000-000082000000}"/>
    <cellStyle name="標準 6 4 5" xfId="119" xr:uid="{00000000-0005-0000-0000-000083000000}"/>
    <cellStyle name="標準 6 5" xfId="83" xr:uid="{00000000-0005-0000-0000-000084000000}"/>
    <cellStyle name="標準 6 5 2" xfId="129" xr:uid="{00000000-0005-0000-0000-000085000000}"/>
    <cellStyle name="標準 6 6" xfId="99" xr:uid="{00000000-0005-0000-0000-000086000000}"/>
    <cellStyle name="標準 6 6 2" xfId="145" xr:uid="{00000000-0005-0000-0000-000087000000}"/>
    <cellStyle name="標準 6 7" xfId="69" xr:uid="{00000000-0005-0000-0000-000088000000}"/>
    <cellStyle name="標準 6 7 2" xfId="165" xr:uid="{00000000-0005-0000-0000-000089000000}"/>
    <cellStyle name="標準 6 8" xfId="115" xr:uid="{00000000-0005-0000-0000-00008A000000}"/>
    <cellStyle name="標準 7" xfId="54" xr:uid="{00000000-0005-0000-0000-00008B000000}"/>
    <cellStyle name="標準 7 2" xfId="57" xr:uid="{00000000-0005-0000-0000-00008C000000}"/>
    <cellStyle name="標準 7 2 2" xfId="67" xr:uid="{00000000-0005-0000-0000-00008D000000}"/>
    <cellStyle name="標準 7 2 2 2" xfId="113" xr:uid="{00000000-0005-0000-0000-00008E000000}"/>
    <cellStyle name="標準 7 2 2 2 2" xfId="159" xr:uid="{00000000-0005-0000-0000-00008F000000}"/>
    <cellStyle name="標準 7 2 2 3" xfId="97" xr:uid="{00000000-0005-0000-0000-000090000000}"/>
    <cellStyle name="標準 7 2 2 3 2" xfId="179" xr:uid="{00000000-0005-0000-0000-000091000000}"/>
    <cellStyle name="標準 7 2 2 4" xfId="143" xr:uid="{00000000-0005-0000-0000-000092000000}"/>
    <cellStyle name="標準 7 2 3" xfId="87" xr:uid="{00000000-0005-0000-0000-000093000000}"/>
    <cellStyle name="標準 7 2 3 2" xfId="133" xr:uid="{00000000-0005-0000-0000-000094000000}"/>
    <cellStyle name="標準 7 2 4" xfId="103" xr:uid="{00000000-0005-0000-0000-000095000000}"/>
    <cellStyle name="標準 7 2 4 2" xfId="149" xr:uid="{00000000-0005-0000-0000-000096000000}"/>
    <cellStyle name="標準 7 2 5" xfId="77" xr:uid="{00000000-0005-0000-0000-000097000000}"/>
    <cellStyle name="標準 7 2 5 2" xfId="173" xr:uid="{00000000-0005-0000-0000-000098000000}"/>
    <cellStyle name="標準 7 2 6" xfId="123" xr:uid="{00000000-0005-0000-0000-000099000000}"/>
    <cellStyle name="標準 7 3" xfId="60" xr:uid="{00000000-0005-0000-0000-00009A000000}"/>
    <cellStyle name="標準 7 3 2" xfId="90" xr:uid="{00000000-0005-0000-0000-00009B000000}"/>
    <cellStyle name="標準 7 3 2 2" xfId="136" xr:uid="{00000000-0005-0000-0000-00009C000000}"/>
    <cellStyle name="標準 7 3 3" xfId="106" xr:uid="{00000000-0005-0000-0000-00009D000000}"/>
    <cellStyle name="標準 7 3 3 2" xfId="152" xr:uid="{00000000-0005-0000-0000-00009E000000}"/>
    <cellStyle name="標準 7 3 4" xfId="80" xr:uid="{00000000-0005-0000-0000-00009F000000}"/>
    <cellStyle name="標準 7 3 4 2" xfId="176" xr:uid="{00000000-0005-0000-0000-0000A0000000}"/>
    <cellStyle name="標準 7 3 5" xfId="126" xr:uid="{00000000-0005-0000-0000-0000A1000000}"/>
    <cellStyle name="標準 7 4" xfId="64" xr:uid="{00000000-0005-0000-0000-0000A2000000}"/>
    <cellStyle name="標準 7 4 2" xfId="94" xr:uid="{00000000-0005-0000-0000-0000A3000000}"/>
    <cellStyle name="標準 7 4 2 2" xfId="140" xr:uid="{00000000-0005-0000-0000-0000A4000000}"/>
    <cellStyle name="標準 7 4 3" xfId="110" xr:uid="{00000000-0005-0000-0000-0000A5000000}"/>
    <cellStyle name="標準 7 4 3 2" xfId="156" xr:uid="{00000000-0005-0000-0000-0000A6000000}"/>
    <cellStyle name="標準 7 4 4" xfId="74" xr:uid="{00000000-0005-0000-0000-0000A7000000}"/>
    <cellStyle name="標準 7 4 4 2" xfId="170" xr:uid="{00000000-0005-0000-0000-0000A8000000}"/>
    <cellStyle name="標準 7 4 5" xfId="120" xr:uid="{00000000-0005-0000-0000-0000A9000000}"/>
    <cellStyle name="標準 7 5" xfId="84" xr:uid="{00000000-0005-0000-0000-0000AA000000}"/>
    <cellStyle name="標準 7 5 2" xfId="130" xr:uid="{00000000-0005-0000-0000-0000AB000000}"/>
    <cellStyle name="標準 7 6" xfId="100" xr:uid="{00000000-0005-0000-0000-0000AC000000}"/>
    <cellStyle name="標準 7 6 2" xfId="146" xr:uid="{00000000-0005-0000-0000-0000AD000000}"/>
    <cellStyle name="標準 7 7" xfId="70" xr:uid="{00000000-0005-0000-0000-0000AE000000}"/>
    <cellStyle name="標準 7 7 2" xfId="166" xr:uid="{00000000-0005-0000-0000-0000AF000000}"/>
    <cellStyle name="標準 7 8" xfId="116" xr:uid="{00000000-0005-0000-0000-0000B0000000}"/>
    <cellStyle name="標準 8" xfId="160" xr:uid="{00000000-0005-0000-0000-0000B1000000}"/>
    <cellStyle name="標準 9" xfId="162" xr:uid="{00000000-0005-0000-0000-0000B2000000}"/>
    <cellStyle name="標準_4システム概要" xfId="48" xr:uid="{00000000-0005-0000-0000-0000B3000000}"/>
    <cellStyle name="標準_SX-XXXX_HBP0010_詳細設計(sample)_1回打合せ完了" xfId="49" xr:uid="{00000000-0005-0000-0000-0000B5000000}"/>
    <cellStyle name="標準_要件ポイント説明書一覧_rd06_20060623" xfId="50" xr:uid="{00000000-0005-0000-0000-0000B6000000}"/>
    <cellStyle name="未定義" xfId="51" xr:uid="{00000000-0005-0000-0000-0000B7000000}"/>
  </cellStyles>
  <dxfs count="4">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s>
  <tableStyles count="0" defaultTableStyle="TableStyleMedium2" defaultPivotStyle="PivotStyleLight16"/>
  <colors>
    <mruColors>
      <color rgb="FFFFFFCC"/>
      <color rgb="FF339933"/>
      <color rgb="FF99FF99"/>
      <color rgb="FFFF9900"/>
      <color rgb="FF013284"/>
      <color rgb="FF004098"/>
      <color rgb="FF333399"/>
      <color rgb="FF000099"/>
      <color rgb="FF003399"/>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517797</xdr:colOff>
      <xdr:row>1</xdr:row>
      <xdr:rowOff>176893</xdr:rowOff>
    </xdr:from>
    <xdr:to>
      <xdr:col>8</xdr:col>
      <xdr:colOff>190137</xdr:colOff>
      <xdr:row>18</xdr:row>
      <xdr:rowOff>138806</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476250" y="349250"/>
          <a:ext cx="7366000" cy="2990850"/>
        </a:xfrm>
        <a:prstGeom prst="rect">
          <a:avLst/>
        </a:prstGeom>
        <a:solidFill>
          <a:srgbClr val="FFFFFF"/>
        </a:solidFill>
        <a:ln w="9525">
          <a:solidFill>
            <a:srgbClr val="000000"/>
          </a:solidFill>
          <a:miter lim="800000"/>
          <a:headEnd/>
          <a:tailEnd/>
        </a:ln>
        <a:effectLst>
          <a:outerShdw dist="271792" dir="3155679" algn="ctr" rotWithShape="0">
            <a:srgbClr val="808080">
              <a:alpha val="50000"/>
            </a:srgbClr>
          </a:outerShdw>
        </a:effectLst>
      </xdr:spPr>
      <xdr:txBody>
        <a:bodyPr vertOverflow="clip" wrap="square" lIns="54864" tIns="32004" rIns="54864" bIns="32004" anchor="ctr" upright="1"/>
        <a:lstStyle/>
        <a:p>
          <a:pPr algn="ctr" rtl="0">
            <a:lnSpc>
              <a:spcPts val="3500"/>
            </a:lnSpc>
            <a:defRPr sz="1000"/>
          </a:pPr>
          <a:endParaRPr lang="ja-JP" altLang="en-US" sz="2800" b="0" i="0" strike="noStrike">
            <a:solidFill>
              <a:srgbClr val="000000"/>
            </a:solidFill>
            <a:latin typeface="ＭＳ Ｐゴシック"/>
            <a:ea typeface="ＭＳ Ｐゴシック"/>
          </a:endParaRPr>
        </a:p>
        <a:p>
          <a:pPr algn="ctr" rtl="0">
            <a:lnSpc>
              <a:spcPts val="3400"/>
            </a:lnSpc>
            <a:defRPr sz="1000"/>
          </a:pPr>
          <a:r>
            <a:rPr lang="ja-JP" altLang="en-US" sz="2800" b="0" i="0" strike="noStrike">
              <a:solidFill>
                <a:srgbClr val="000000"/>
              </a:solidFill>
              <a:latin typeface="ＭＳ Ｐゴシック"/>
              <a:ea typeface="ＭＳ Ｐゴシック"/>
            </a:rPr>
            <a:t>ヒロセ電機株式会社様</a:t>
          </a:r>
          <a:endParaRPr lang="en-US" altLang="ja-JP" sz="2800" b="0" i="0" strike="noStrike">
            <a:solidFill>
              <a:srgbClr val="000000"/>
            </a:solidFill>
            <a:latin typeface="ＭＳ Ｐゴシック"/>
            <a:ea typeface="ＭＳ Ｐゴシック"/>
          </a:endParaRPr>
        </a:p>
        <a:p>
          <a:pPr algn="ctr" rtl="0">
            <a:lnSpc>
              <a:spcPts val="3400"/>
            </a:lnSpc>
            <a:defRPr sz="1000"/>
          </a:pPr>
          <a:r>
            <a:rPr lang="ja-JP" altLang="en-US" sz="2800" b="0" i="0" strike="noStrike">
              <a:solidFill>
                <a:srgbClr val="000000"/>
              </a:solidFill>
              <a:latin typeface="ＭＳ Ｐゴシック"/>
              <a:ea typeface="ＭＳ Ｐゴシック"/>
            </a:rPr>
            <a:t>新環境証明書</a:t>
          </a:r>
          <a:endParaRPr lang="ja-JP" altLang="en-US" sz="3600" b="0" i="0" strike="noStrike">
            <a:solidFill>
              <a:srgbClr val="000000"/>
            </a:solidFill>
            <a:latin typeface="ＭＳ Ｐゴシック"/>
            <a:ea typeface="ＭＳ Ｐゴシック"/>
          </a:endParaRPr>
        </a:p>
        <a:p>
          <a:pPr algn="ctr" rtl="0">
            <a:lnSpc>
              <a:spcPts val="4300"/>
            </a:lnSpc>
            <a:defRPr sz="1000"/>
          </a:pPr>
          <a:r>
            <a:rPr lang="ja-JP" altLang="en-US" sz="3600" b="0" i="0" strike="noStrike">
              <a:solidFill>
                <a:srgbClr val="000000"/>
              </a:solidFill>
              <a:latin typeface="ＭＳ Ｐゴシック"/>
              <a:ea typeface="ＭＳ Ｐゴシック"/>
            </a:rPr>
            <a:t>画面設計書</a:t>
          </a:r>
          <a:endParaRPr lang="en-US" altLang="ja-JP" sz="3600" b="0" i="0" strike="noStrike">
            <a:solidFill>
              <a:srgbClr val="000000"/>
            </a:solidFill>
            <a:latin typeface="ＭＳ Ｐゴシック"/>
            <a:ea typeface="ＭＳ Ｐゴシック"/>
          </a:endParaRPr>
        </a:p>
        <a:p>
          <a:pPr algn="ctr" rtl="0">
            <a:lnSpc>
              <a:spcPts val="4300"/>
            </a:lnSpc>
            <a:defRPr sz="1000"/>
          </a:pPr>
          <a:r>
            <a:rPr lang="ja-JP" altLang="en-US" sz="3600" b="0" i="0" strike="noStrike">
              <a:solidFill>
                <a:srgbClr val="000000"/>
              </a:solidFill>
              <a:latin typeface="ＭＳ Ｐゴシック"/>
              <a:ea typeface="+mn-ea"/>
            </a:rPr>
            <a:t>化学物質データ画面</a:t>
          </a:r>
        </a:p>
      </xdr:txBody>
    </xdr:sp>
    <xdr:clientData/>
  </xdr:twoCellAnchor>
  <xdr:twoCellAnchor editAs="oneCell">
    <xdr:from>
      <xdr:col>0</xdr:col>
      <xdr:colOff>638175</xdr:colOff>
      <xdr:row>2</xdr:row>
      <xdr:rowOff>114300</xdr:rowOff>
    </xdr:from>
    <xdr:to>
      <xdr:col>2</xdr:col>
      <xdr:colOff>781050</xdr:colOff>
      <xdr:row>5</xdr:row>
      <xdr:rowOff>133350</xdr:rowOff>
    </xdr:to>
    <xdr:pic>
      <xdr:nvPicPr>
        <xdr:cNvPr id="82435" name="Picture 2">
          <a:extLst>
            <a:ext uri="{FF2B5EF4-FFF2-40B4-BE49-F238E27FC236}">
              <a16:creationId xmlns:a16="http://schemas.microsoft.com/office/drawing/2014/main" id="{00000000-0008-0000-0000-00000342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8175" y="476250"/>
          <a:ext cx="191452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493032</xdr:colOff>
      <xdr:row>22</xdr:row>
      <xdr:rowOff>101963</xdr:rowOff>
    </xdr:from>
    <xdr:to>
      <xdr:col>5</xdr:col>
      <xdr:colOff>590008</xdr:colOff>
      <xdr:row>24</xdr:row>
      <xdr:rowOff>306</xdr:rowOff>
    </xdr:to>
    <xdr:sp macro="" textlink="">
      <xdr:nvSpPr>
        <xdr:cNvPr id="4" name="Rectangle 5">
          <a:extLst>
            <a:ext uri="{FF2B5EF4-FFF2-40B4-BE49-F238E27FC236}">
              <a16:creationId xmlns:a16="http://schemas.microsoft.com/office/drawing/2014/main" id="{00000000-0008-0000-0000-000004000000}"/>
            </a:ext>
          </a:extLst>
        </xdr:cNvPr>
        <xdr:cNvSpPr>
          <a:spLocks noChangeArrowheads="1"/>
        </xdr:cNvSpPr>
      </xdr:nvSpPr>
      <xdr:spPr bwMode="auto">
        <a:xfrm>
          <a:off x="3100705" y="4008120"/>
          <a:ext cx="2070856" cy="259309"/>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200" b="0" i="0" strike="noStrike">
              <a:solidFill>
                <a:srgbClr val="000000"/>
              </a:solidFill>
              <a:latin typeface="ＭＳ Ｐゴシック" panose="020B0600070205080204" pitchFamily="50" charset="-128"/>
              <a:ea typeface="ＭＳ Ｐゴシック" panose="020B0600070205080204" pitchFamily="50" charset="-128"/>
            </a:rPr>
            <a:t>文書番号：</a:t>
          </a:r>
          <a:r>
            <a:rPr lang="en-US" altLang="ja-JP" sz="1200" b="0" i="0" strike="noStrike">
              <a:solidFill>
                <a:srgbClr val="000000"/>
              </a:solidFill>
              <a:latin typeface="ＭＳ Ｐゴシック" panose="020B0600070205080204" pitchFamily="50" charset="-128"/>
              <a:ea typeface="ＭＳ Ｐゴシック" panose="020B0600070205080204" pitchFamily="50" charset="-128"/>
            </a:rPr>
            <a:t>IMWF</a:t>
          </a:r>
          <a:r>
            <a:rPr lang="en-US" altLang="ja-JP" sz="1200">
              <a:effectLst/>
              <a:latin typeface="ＭＳ Ｐゴシック" panose="020B0600070205080204" pitchFamily="50" charset="-128"/>
              <a:ea typeface="ＭＳ Ｐゴシック" panose="020B0600070205080204" pitchFamily="50" charset="-128"/>
              <a:cs typeface="+mn-cs"/>
            </a:rPr>
            <a:t>-53</a:t>
          </a:r>
          <a:endParaRPr lang="en-US" altLang="ja-JP" sz="1200" b="0" i="0" strike="noStrike">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6</xdr:col>
      <xdr:colOff>266700</xdr:colOff>
      <xdr:row>34</xdr:row>
      <xdr:rowOff>114300</xdr:rowOff>
    </xdr:from>
    <xdr:to>
      <xdr:col>8</xdr:col>
      <xdr:colOff>933450</xdr:colOff>
      <xdr:row>36</xdr:row>
      <xdr:rowOff>114300</xdr:rowOff>
    </xdr:to>
    <xdr:pic>
      <xdr:nvPicPr>
        <xdr:cNvPr id="82438" name="Picture 40" descr="logo_eimei">
          <a:extLst>
            <a:ext uri="{FF2B5EF4-FFF2-40B4-BE49-F238E27FC236}">
              <a16:creationId xmlns:a16="http://schemas.microsoft.com/office/drawing/2014/main" id="{00000000-0008-0000-0000-0000064201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19850" y="6457950"/>
          <a:ext cx="285750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20</xdr:col>
      <xdr:colOff>28575</xdr:colOff>
      <xdr:row>20</xdr:row>
      <xdr:rowOff>95251</xdr:rowOff>
    </xdr:from>
    <xdr:to>
      <xdr:col>32</xdr:col>
      <xdr:colOff>38100</xdr:colOff>
      <xdr:row>23</xdr:row>
      <xdr:rowOff>19051</xdr:rowOff>
    </xdr:to>
    <xdr:sp macro="" textlink="">
      <xdr:nvSpPr>
        <xdr:cNvPr id="2" name="正方形/長方形 1">
          <a:extLst>
            <a:ext uri="{FF2B5EF4-FFF2-40B4-BE49-F238E27FC236}">
              <a16:creationId xmlns:a16="http://schemas.microsoft.com/office/drawing/2014/main" id="{8C71FAD8-4596-453B-B7D3-C6F6B965E217}"/>
            </a:ext>
          </a:extLst>
        </xdr:cNvPr>
        <xdr:cNvSpPr/>
      </xdr:nvSpPr>
      <xdr:spPr>
        <a:xfrm>
          <a:off x="3626908" y="3418418"/>
          <a:ext cx="2168525" cy="400050"/>
        </a:xfrm>
        <a:prstGeom prst="rect">
          <a:avLst/>
        </a:prstGeom>
        <a:solidFill>
          <a:srgbClr val="3366CC"/>
        </a:solidFill>
        <a:ln w="12700"/>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marL="0" marR="0" lvl="0" indent="0" algn="ctr" defTabSz="914400" eaLnBrk="1" fontAlgn="auto" latinLnBrk="0" hangingPunct="1">
            <a:lnSpc>
              <a:spcPts val="900"/>
            </a:lnSpc>
            <a:spcBef>
              <a:spcPts val="0"/>
            </a:spcBef>
            <a:spcAft>
              <a:spcPts val="0"/>
            </a:spcAft>
            <a:buClrTx/>
            <a:buSzTx/>
            <a:buFontTx/>
            <a:buNone/>
            <a:tabLst/>
            <a:defRPr/>
          </a:pPr>
          <a:r>
            <a:rPr kumimoji="1" lang="ja-JP" altLang="ja-JP" sz="1000">
              <a:solidFill>
                <a:schemeClr val="bg1"/>
              </a:solidFill>
              <a:effectLst/>
              <a:latin typeface="+mn-lt"/>
              <a:ea typeface="+mn-ea"/>
              <a:cs typeface="+mn-cs"/>
            </a:rPr>
            <a:t>新規申請</a:t>
          </a:r>
          <a:endParaRPr kumimoji="1" lang="en-US" altLang="ja-JP" sz="800">
            <a:solidFill>
              <a:schemeClr val="bg1"/>
            </a:solidFill>
            <a:latin typeface="Meiryo UI" panose="020B0604030504040204" pitchFamily="50" charset="-128"/>
            <a:ea typeface="Meiryo UI" panose="020B0604030504040204" pitchFamily="50" charset="-128"/>
          </a:endParaRPr>
        </a:p>
        <a:p>
          <a:pPr algn="ctr">
            <a:lnSpc>
              <a:spcPts val="900"/>
            </a:lnSpc>
          </a:pPr>
          <a:r>
            <a:rPr kumimoji="1" lang="en-US" altLang="ja-JP" sz="800">
              <a:solidFill>
                <a:schemeClr val="bg1"/>
              </a:solidFill>
              <a:latin typeface="Meiryo UI" panose="020B0604030504040204" pitchFamily="50" charset="-128"/>
              <a:ea typeface="Meiryo UI" panose="020B0604030504040204" pitchFamily="50" charset="-128"/>
            </a:rPr>
            <a:t>New</a:t>
          </a:r>
          <a:r>
            <a:rPr kumimoji="1" lang="en-US" altLang="ja-JP" sz="800" baseline="0">
              <a:solidFill>
                <a:schemeClr val="bg1"/>
              </a:solidFill>
              <a:latin typeface="Meiryo UI" panose="020B0604030504040204" pitchFamily="50" charset="-128"/>
              <a:ea typeface="Meiryo UI" panose="020B0604030504040204" pitchFamily="50" charset="-128"/>
            </a:rPr>
            <a:t> application</a:t>
          </a:r>
          <a:endParaRPr kumimoji="1" lang="ja-JP" altLang="en-US" sz="8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39</xdr:col>
      <xdr:colOff>123826</xdr:colOff>
      <xdr:row>30</xdr:row>
      <xdr:rowOff>25402</xdr:rowOff>
    </xdr:from>
    <xdr:to>
      <xdr:col>44</xdr:col>
      <xdr:colOff>53976</xdr:colOff>
      <xdr:row>30</xdr:row>
      <xdr:rowOff>190501</xdr:rowOff>
    </xdr:to>
    <xdr:sp macro="" textlink="">
      <xdr:nvSpPr>
        <xdr:cNvPr id="3" name="正方形/長方形 2">
          <a:extLst>
            <a:ext uri="{FF2B5EF4-FFF2-40B4-BE49-F238E27FC236}">
              <a16:creationId xmlns:a16="http://schemas.microsoft.com/office/drawing/2014/main" id="{7A92A804-86EA-40BD-AD8C-829417A59D24}"/>
            </a:ext>
          </a:extLst>
        </xdr:cNvPr>
        <xdr:cNvSpPr/>
      </xdr:nvSpPr>
      <xdr:spPr>
        <a:xfrm>
          <a:off x="7178676" y="5143502"/>
          <a:ext cx="838200" cy="161924"/>
        </a:xfrm>
        <a:prstGeom prst="rect">
          <a:avLst/>
        </a:prstGeom>
        <a:solidFill>
          <a:srgbClr val="003399"/>
        </a:solidFill>
        <a:ln w="12700"/>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r>
            <a:rPr kumimoji="1" lang="en-US" altLang="ja-JP" sz="700">
              <a:solidFill>
                <a:schemeClr val="bg1"/>
              </a:solidFill>
              <a:latin typeface="Meiryo UI" panose="020B0604030504040204" pitchFamily="50" charset="-128"/>
              <a:ea typeface="Meiryo UI" panose="020B0604030504040204" pitchFamily="50" charset="-128"/>
            </a:rPr>
            <a:t>CSV Downroad</a:t>
          </a:r>
          <a:endParaRPr kumimoji="1" lang="ja-JP" altLang="en-US" sz="7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39</xdr:col>
      <xdr:colOff>123826</xdr:colOff>
      <xdr:row>30</xdr:row>
      <xdr:rowOff>25402</xdr:rowOff>
    </xdr:from>
    <xdr:to>
      <xdr:col>44</xdr:col>
      <xdr:colOff>57151</xdr:colOff>
      <xdr:row>30</xdr:row>
      <xdr:rowOff>187326</xdr:rowOff>
    </xdr:to>
    <xdr:sp macro="" textlink="">
      <xdr:nvSpPr>
        <xdr:cNvPr id="4" name="正方形/長方形 3">
          <a:extLst>
            <a:ext uri="{FF2B5EF4-FFF2-40B4-BE49-F238E27FC236}">
              <a16:creationId xmlns:a16="http://schemas.microsoft.com/office/drawing/2014/main" id="{AABB37EC-8E71-42FF-9690-67F95C8E8D79}"/>
            </a:ext>
          </a:extLst>
        </xdr:cNvPr>
        <xdr:cNvSpPr/>
      </xdr:nvSpPr>
      <xdr:spPr>
        <a:xfrm>
          <a:off x="7178676" y="5143502"/>
          <a:ext cx="841375" cy="158749"/>
        </a:xfrm>
        <a:prstGeom prst="rect">
          <a:avLst/>
        </a:prstGeom>
        <a:solidFill>
          <a:srgbClr val="003399"/>
        </a:solidFill>
        <a:ln w="12700"/>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r>
            <a:rPr kumimoji="1" lang="en-US" altLang="ja-JP" sz="700">
              <a:solidFill>
                <a:schemeClr val="bg1"/>
              </a:solidFill>
              <a:latin typeface="Meiryo UI" panose="020B0604030504040204" pitchFamily="50" charset="-128"/>
              <a:ea typeface="Meiryo UI" panose="020B0604030504040204" pitchFamily="50" charset="-128"/>
            </a:rPr>
            <a:t>CSV Download</a:t>
          </a:r>
          <a:endParaRPr kumimoji="1" lang="ja-JP" altLang="en-US" sz="7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39</xdr:col>
      <xdr:colOff>120650</xdr:colOff>
      <xdr:row>31</xdr:row>
      <xdr:rowOff>28575</xdr:rowOff>
    </xdr:from>
    <xdr:to>
      <xdr:col>44</xdr:col>
      <xdr:colOff>53975</xdr:colOff>
      <xdr:row>31</xdr:row>
      <xdr:rowOff>193674</xdr:rowOff>
    </xdr:to>
    <xdr:sp macro="" textlink="">
      <xdr:nvSpPr>
        <xdr:cNvPr id="5" name="正方形/長方形 4">
          <a:extLst>
            <a:ext uri="{FF2B5EF4-FFF2-40B4-BE49-F238E27FC236}">
              <a16:creationId xmlns:a16="http://schemas.microsoft.com/office/drawing/2014/main" id="{03F3DE7E-5C18-4052-BCCD-A7E929CEA396}"/>
            </a:ext>
          </a:extLst>
        </xdr:cNvPr>
        <xdr:cNvSpPr/>
      </xdr:nvSpPr>
      <xdr:spPr>
        <a:xfrm>
          <a:off x="7181850" y="5349875"/>
          <a:ext cx="835025" cy="168274"/>
        </a:xfrm>
        <a:prstGeom prst="rect">
          <a:avLst/>
        </a:prstGeom>
        <a:solidFill>
          <a:srgbClr val="003399"/>
        </a:solidFill>
        <a:ln w="12700"/>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r>
            <a:rPr kumimoji="1" lang="en-US" altLang="ja-JP" sz="700">
              <a:solidFill>
                <a:schemeClr val="bg1"/>
              </a:solidFill>
              <a:latin typeface="Meiryo UI" panose="020B0604030504040204" pitchFamily="50" charset="-128"/>
              <a:ea typeface="Meiryo UI" panose="020B0604030504040204" pitchFamily="50" charset="-128"/>
            </a:rPr>
            <a:t>CSV Download</a:t>
          </a:r>
          <a:endParaRPr kumimoji="1" lang="ja-JP" altLang="en-US" sz="7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39</xdr:col>
      <xdr:colOff>123825</xdr:colOff>
      <xdr:row>32</xdr:row>
      <xdr:rowOff>28575</xdr:rowOff>
    </xdr:from>
    <xdr:to>
      <xdr:col>44</xdr:col>
      <xdr:colOff>57150</xdr:colOff>
      <xdr:row>32</xdr:row>
      <xdr:rowOff>193674</xdr:rowOff>
    </xdr:to>
    <xdr:sp macro="" textlink="">
      <xdr:nvSpPr>
        <xdr:cNvPr id="6" name="正方形/長方形 5">
          <a:extLst>
            <a:ext uri="{FF2B5EF4-FFF2-40B4-BE49-F238E27FC236}">
              <a16:creationId xmlns:a16="http://schemas.microsoft.com/office/drawing/2014/main" id="{7E3B5D07-F277-4685-9C98-239FD5F54C40}"/>
            </a:ext>
          </a:extLst>
        </xdr:cNvPr>
        <xdr:cNvSpPr/>
      </xdr:nvSpPr>
      <xdr:spPr>
        <a:xfrm>
          <a:off x="7178675" y="5559425"/>
          <a:ext cx="841375" cy="168274"/>
        </a:xfrm>
        <a:prstGeom prst="rect">
          <a:avLst/>
        </a:prstGeom>
        <a:solidFill>
          <a:srgbClr val="003399"/>
        </a:solidFill>
        <a:ln w="12700"/>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r>
            <a:rPr kumimoji="1" lang="en-US" altLang="ja-JP" sz="700">
              <a:solidFill>
                <a:schemeClr val="bg1"/>
              </a:solidFill>
              <a:latin typeface="Meiryo UI" panose="020B0604030504040204" pitchFamily="50" charset="-128"/>
              <a:ea typeface="Meiryo UI" panose="020B0604030504040204" pitchFamily="50" charset="-128"/>
            </a:rPr>
            <a:t>CSV Download</a:t>
          </a:r>
          <a:endParaRPr kumimoji="1" lang="ja-JP" altLang="en-US" sz="7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34</xdr:col>
      <xdr:colOff>168275</xdr:colOff>
      <xdr:row>31</xdr:row>
      <xdr:rowOff>44450</xdr:rowOff>
    </xdr:from>
    <xdr:to>
      <xdr:col>37</xdr:col>
      <xdr:colOff>177800</xdr:colOff>
      <xdr:row>31</xdr:row>
      <xdr:rowOff>171450</xdr:rowOff>
    </xdr:to>
    <xdr:sp macro="" textlink="">
      <xdr:nvSpPr>
        <xdr:cNvPr id="7" name="正方形/長方形 6">
          <a:extLst>
            <a:ext uri="{FF2B5EF4-FFF2-40B4-BE49-F238E27FC236}">
              <a16:creationId xmlns:a16="http://schemas.microsoft.com/office/drawing/2014/main" id="{C1738CAF-E96C-4648-8547-6BACAA23AFBF}"/>
            </a:ext>
          </a:extLst>
        </xdr:cNvPr>
        <xdr:cNvSpPr/>
      </xdr:nvSpPr>
      <xdr:spPr>
        <a:xfrm>
          <a:off x="6321425" y="5372100"/>
          <a:ext cx="555625" cy="123825"/>
        </a:xfrm>
        <a:prstGeom prst="rect">
          <a:avLst/>
        </a:prstGeom>
        <a:solidFill>
          <a:srgbClr val="003399"/>
        </a:solidFill>
        <a:ln w="12700"/>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r>
            <a:rPr kumimoji="1" lang="en-US" altLang="ja-JP" sz="700">
              <a:solidFill>
                <a:schemeClr val="bg1"/>
              </a:solidFill>
              <a:latin typeface="Meiryo UI" panose="020B0604030504040204" pitchFamily="50" charset="-128"/>
              <a:ea typeface="Meiryo UI" panose="020B0604030504040204" pitchFamily="50" charset="-128"/>
            </a:rPr>
            <a:t>Downlo</a:t>
          </a:r>
          <a:endParaRPr kumimoji="1" lang="ja-JP" altLang="en-US" sz="7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10</xdr:col>
      <xdr:colOff>152401</xdr:colOff>
      <xdr:row>9</xdr:row>
      <xdr:rowOff>19050</xdr:rowOff>
    </xdr:from>
    <xdr:to>
      <xdr:col>12</xdr:col>
      <xdr:colOff>171451</xdr:colOff>
      <xdr:row>10</xdr:row>
      <xdr:rowOff>114300</xdr:rowOff>
    </xdr:to>
    <xdr:sp macro="" textlink="">
      <xdr:nvSpPr>
        <xdr:cNvPr id="8" name="正方形/長方形 7">
          <a:extLst>
            <a:ext uri="{FF2B5EF4-FFF2-40B4-BE49-F238E27FC236}">
              <a16:creationId xmlns:a16="http://schemas.microsoft.com/office/drawing/2014/main" id="{589A95FE-F896-41BC-A9BE-E08F49504AB1}"/>
            </a:ext>
          </a:extLst>
        </xdr:cNvPr>
        <xdr:cNvSpPr/>
      </xdr:nvSpPr>
      <xdr:spPr>
        <a:xfrm>
          <a:off x="1962151" y="1628775"/>
          <a:ext cx="381000" cy="24765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57150</xdr:colOff>
      <xdr:row>23</xdr:row>
      <xdr:rowOff>38100</xdr:rowOff>
    </xdr:from>
    <xdr:to>
      <xdr:col>7</xdr:col>
      <xdr:colOff>76200</xdr:colOff>
      <xdr:row>24</xdr:row>
      <xdr:rowOff>120650</xdr:rowOff>
    </xdr:to>
    <xdr:sp macro="" textlink="">
      <xdr:nvSpPr>
        <xdr:cNvPr id="9" name="正方形/長方形 8">
          <a:extLst>
            <a:ext uri="{FF2B5EF4-FFF2-40B4-BE49-F238E27FC236}">
              <a16:creationId xmlns:a16="http://schemas.microsoft.com/office/drawing/2014/main" id="{CD807AE1-8AC8-4101-A194-69318C222936}"/>
            </a:ext>
          </a:extLst>
        </xdr:cNvPr>
        <xdr:cNvSpPr/>
      </xdr:nvSpPr>
      <xdr:spPr>
        <a:xfrm>
          <a:off x="962025" y="3905250"/>
          <a:ext cx="381000" cy="24765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25400</xdr:colOff>
      <xdr:row>26</xdr:row>
      <xdr:rowOff>66675</xdr:rowOff>
    </xdr:from>
    <xdr:to>
      <xdr:col>33</xdr:col>
      <xdr:colOff>141817</xdr:colOff>
      <xdr:row>27</xdr:row>
      <xdr:rowOff>76200</xdr:rowOff>
    </xdr:to>
    <xdr:grpSp>
      <xdr:nvGrpSpPr>
        <xdr:cNvPr id="10" name="グループ化 9">
          <a:extLst>
            <a:ext uri="{FF2B5EF4-FFF2-40B4-BE49-F238E27FC236}">
              <a16:creationId xmlns:a16="http://schemas.microsoft.com/office/drawing/2014/main" id="{64C8A02E-155D-4823-8CE3-89CB16E911E8}"/>
            </a:ext>
          </a:extLst>
        </xdr:cNvPr>
        <xdr:cNvGrpSpPr/>
      </xdr:nvGrpSpPr>
      <xdr:grpSpPr>
        <a:xfrm>
          <a:off x="4552950" y="4473575"/>
          <a:ext cx="1564217" cy="174625"/>
          <a:chOff x="4526492" y="4349750"/>
          <a:chExt cx="1555750" cy="171450"/>
        </a:xfrm>
      </xdr:grpSpPr>
      <xdr:grpSp>
        <xdr:nvGrpSpPr>
          <xdr:cNvPr id="11" name="グループ化 10">
            <a:extLst>
              <a:ext uri="{FF2B5EF4-FFF2-40B4-BE49-F238E27FC236}">
                <a16:creationId xmlns:a16="http://schemas.microsoft.com/office/drawing/2014/main" id="{159AB6D4-7C13-850B-09CE-B1C82A6B44C8}"/>
              </a:ext>
            </a:extLst>
          </xdr:cNvPr>
          <xdr:cNvGrpSpPr/>
        </xdr:nvGrpSpPr>
        <xdr:grpSpPr>
          <a:xfrm>
            <a:off x="4523317" y="4352925"/>
            <a:ext cx="316441" cy="168275"/>
            <a:chOff x="4552950" y="5273675"/>
            <a:chExt cx="311150" cy="174625"/>
          </a:xfrm>
        </xdr:grpSpPr>
        <xdr:sp macro="" textlink="">
          <xdr:nvSpPr>
            <xdr:cNvPr id="13" name="正方形/長方形 12">
              <a:extLst>
                <a:ext uri="{FF2B5EF4-FFF2-40B4-BE49-F238E27FC236}">
                  <a16:creationId xmlns:a16="http://schemas.microsoft.com/office/drawing/2014/main" id="{A5C447CD-B7E6-D45C-1284-5ED1024E5692}"/>
                </a:ext>
              </a:extLst>
            </xdr:cNvPr>
            <xdr:cNvSpPr/>
          </xdr:nvSpPr>
          <xdr:spPr>
            <a:xfrm>
              <a:off x="4552950" y="5273675"/>
              <a:ext cx="152400" cy="174625"/>
            </a:xfrm>
            <a:prstGeom prst="rect">
              <a:avLst/>
            </a:prstGeom>
            <a:solidFill>
              <a:schemeClr val="bg1">
                <a:lumMod val="95000"/>
              </a:schemeClr>
            </a:solidFill>
            <a:ln w="12700">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t"/>
            <a:lstStyle/>
            <a:p>
              <a:pPr algn="ctr">
                <a:lnSpc>
                  <a:spcPts val="900"/>
                </a:lnSpc>
              </a:pPr>
              <a:r>
                <a:rPr kumimoji="1" lang="en-US" altLang="ja-JP" sz="700">
                  <a:solidFill>
                    <a:schemeClr val="bg1">
                      <a:lumMod val="50000"/>
                    </a:schemeClr>
                  </a:solidFill>
                </a:rPr>
                <a:t>1</a:t>
              </a:r>
              <a:endParaRPr kumimoji="1" lang="ja-JP" altLang="en-US" sz="800">
                <a:solidFill>
                  <a:schemeClr val="bg1">
                    <a:lumMod val="50000"/>
                  </a:schemeClr>
                </a:solidFill>
              </a:endParaRPr>
            </a:p>
          </xdr:txBody>
        </xdr:sp>
        <xdr:sp macro="" textlink="">
          <xdr:nvSpPr>
            <xdr:cNvPr id="14" name="正方形/長方形 13">
              <a:extLst>
                <a:ext uri="{FF2B5EF4-FFF2-40B4-BE49-F238E27FC236}">
                  <a16:creationId xmlns:a16="http://schemas.microsoft.com/office/drawing/2014/main" id="{854B9735-52EA-CA8D-1674-48597E68D797}"/>
                </a:ext>
              </a:extLst>
            </xdr:cNvPr>
            <xdr:cNvSpPr/>
          </xdr:nvSpPr>
          <xdr:spPr>
            <a:xfrm>
              <a:off x="4711700" y="5273675"/>
              <a:ext cx="152400" cy="171450"/>
            </a:xfrm>
            <a:prstGeom prst="rect">
              <a:avLst/>
            </a:prstGeom>
            <a:noFill/>
            <a:ln w="12700">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t"/>
            <a:lstStyle/>
            <a:p>
              <a:pPr algn="ctr">
                <a:lnSpc>
                  <a:spcPts val="900"/>
                </a:lnSpc>
              </a:pPr>
              <a:r>
                <a:rPr kumimoji="1" lang="en-US" altLang="ja-JP" sz="700">
                  <a:solidFill>
                    <a:srgbClr val="00B0F0"/>
                  </a:solidFill>
                </a:rPr>
                <a:t>2</a:t>
              </a:r>
              <a:endParaRPr kumimoji="1" lang="ja-JP" altLang="en-US" sz="800">
                <a:solidFill>
                  <a:srgbClr val="00B0F0"/>
                </a:solidFill>
              </a:endParaRPr>
            </a:p>
          </xdr:txBody>
        </xdr:sp>
      </xdr:grpSp>
      <xdr:sp macro="" textlink="">
        <xdr:nvSpPr>
          <xdr:cNvPr id="12" name="四角形: 角を丸くする 11">
            <a:extLst>
              <a:ext uri="{FF2B5EF4-FFF2-40B4-BE49-F238E27FC236}">
                <a16:creationId xmlns:a16="http://schemas.microsoft.com/office/drawing/2014/main" id="{BA228B3F-57DD-B8F9-9641-647F630B5F9C}"/>
              </a:ext>
            </a:extLst>
          </xdr:cNvPr>
          <xdr:cNvSpPr/>
        </xdr:nvSpPr>
        <xdr:spPr>
          <a:xfrm>
            <a:off x="4902200" y="4397375"/>
            <a:ext cx="1180042" cy="97367"/>
          </a:xfrm>
          <a:prstGeom prst="roundRect">
            <a:avLst/>
          </a:prstGeom>
          <a:solidFill>
            <a:schemeClr val="bg1">
              <a:lumMod val="75000"/>
            </a:schemeClr>
          </a:solidFill>
          <a:ln w="12700">
            <a:no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r>
              <a:rPr kumimoji="1" lang="en-US" altLang="ja-JP" sz="800">
                <a:solidFill>
                  <a:schemeClr val="bg1"/>
                </a:solidFill>
              </a:rPr>
              <a:t>104</a:t>
            </a:r>
            <a:r>
              <a:rPr kumimoji="1" lang="ja-JP" altLang="en-US" sz="800" baseline="0">
                <a:solidFill>
                  <a:schemeClr val="bg1"/>
                </a:solidFill>
              </a:rPr>
              <a:t> </a:t>
            </a:r>
            <a:r>
              <a:rPr kumimoji="1" lang="en-US" altLang="ja-JP" sz="800" baseline="0">
                <a:solidFill>
                  <a:schemeClr val="bg1"/>
                </a:solidFill>
              </a:rPr>
              <a:t>results (2 of2 pages)</a:t>
            </a:r>
            <a:endParaRPr kumimoji="1" lang="ja-JP" altLang="en-US" sz="800">
              <a:solidFill>
                <a:schemeClr val="bg1"/>
              </a:solidFill>
            </a:endParaRPr>
          </a:p>
        </xdr:txBody>
      </xdr:sp>
    </xdr:grpSp>
    <xdr:clientData/>
  </xdr:twoCellAnchor>
  <xdr:twoCellAnchor>
    <xdr:from>
      <xdr:col>26</xdr:col>
      <xdr:colOff>161925</xdr:colOff>
      <xdr:row>24</xdr:row>
      <xdr:rowOff>161925</xdr:rowOff>
    </xdr:from>
    <xdr:to>
      <xdr:col>29</xdr:col>
      <xdr:colOff>0</xdr:colOff>
      <xdr:row>26</xdr:row>
      <xdr:rowOff>85725</xdr:rowOff>
    </xdr:to>
    <xdr:sp macro="" textlink="">
      <xdr:nvSpPr>
        <xdr:cNvPr id="15" name="正方形/長方形 14">
          <a:extLst>
            <a:ext uri="{FF2B5EF4-FFF2-40B4-BE49-F238E27FC236}">
              <a16:creationId xmlns:a16="http://schemas.microsoft.com/office/drawing/2014/main" id="{1DFEB044-059C-4A76-9A77-42556C7D0542}"/>
            </a:ext>
          </a:extLst>
        </xdr:cNvPr>
        <xdr:cNvSpPr/>
      </xdr:nvSpPr>
      <xdr:spPr>
        <a:xfrm>
          <a:off x="4864100" y="4187825"/>
          <a:ext cx="384175" cy="24765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3.2</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66675</xdr:colOff>
      <xdr:row>26</xdr:row>
      <xdr:rowOff>76200</xdr:rowOff>
    </xdr:from>
    <xdr:to>
      <xdr:col>10</xdr:col>
      <xdr:colOff>92075</xdr:colOff>
      <xdr:row>27</xdr:row>
      <xdr:rowOff>158750</xdr:rowOff>
    </xdr:to>
    <xdr:sp macro="" textlink="">
      <xdr:nvSpPr>
        <xdr:cNvPr id="16" name="正方形/長方形 15">
          <a:extLst>
            <a:ext uri="{FF2B5EF4-FFF2-40B4-BE49-F238E27FC236}">
              <a16:creationId xmlns:a16="http://schemas.microsoft.com/office/drawing/2014/main" id="{89E2BF9C-B287-4F26-9799-40DEBD7E3508}"/>
            </a:ext>
          </a:extLst>
        </xdr:cNvPr>
        <xdr:cNvSpPr/>
      </xdr:nvSpPr>
      <xdr:spPr>
        <a:xfrm>
          <a:off x="1511300" y="4429125"/>
          <a:ext cx="390525" cy="24765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3.4</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152400</xdr:colOff>
      <xdr:row>27</xdr:row>
      <xdr:rowOff>85725</xdr:rowOff>
    </xdr:from>
    <xdr:to>
      <xdr:col>5</xdr:col>
      <xdr:colOff>177800</xdr:colOff>
      <xdr:row>28</xdr:row>
      <xdr:rowOff>168275</xdr:rowOff>
    </xdr:to>
    <xdr:sp macro="" textlink="">
      <xdr:nvSpPr>
        <xdr:cNvPr id="17" name="正方形/長方形 16">
          <a:extLst>
            <a:ext uri="{FF2B5EF4-FFF2-40B4-BE49-F238E27FC236}">
              <a16:creationId xmlns:a16="http://schemas.microsoft.com/office/drawing/2014/main" id="{E23CEE48-1CE3-4F8C-8A30-E7B0C1FDBE31}"/>
            </a:ext>
          </a:extLst>
        </xdr:cNvPr>
        <xdr:cNvSpPr/>
      </xdr:nvSpPr>
      <xdr:spPr>
        <a:xfrm>
          <a:off x="695325" y="4597400"/>
          <a:ext cx="390525" cy="24765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3.3</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171450</xdr:colOff>
      <xdr:row>27</xdr:row>
      <xdr:rowOff>123825</xdr:rowOff>
    </xdr:from>
    <xdr:to>
      <xdr:col>28</xdr:col>
      <xdr:colOff>15875</xdr:colOff>
      <xdr:row>28</xdr:row>
      <xdr:rowOff>206375</xdr:rowOff>
    </xdr:to>
    <xdr:sp macro="" textlink="">
      <xdr:nvSpPr>
        <xdr:cNvPr id="18" name="正方形/長方形 17">
          <a:extLst>
            <a:ext uri="{FF2B5EF4-FFF2-40B4-BE49-F238E27FC236}">
              <a16:creationId xmlns:a16="http://schemas.microsoft.com/office/drawing/2014/main" id="{7EC6D3A4-3D1A-4A77-B736-3EA19EE42C79}"/>
            </a:ext>
          </a:extLst>
        </xdr:cNvPr>
        <xdr:cNvSpPr/>
      </xdr:nvSpPr>
      <xdr:spPr>
        <a:xfrm>
          <a:off x="4695825" y="4635500"/>
          <a:ext cx="387350" cy="24765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3.8</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38100</xdr:colOff>
      <xdr:row>26</xdr:row>
      <xdr:rowOff>104775</xdr:rowOff>
    </xdr:from>
    <xdr:to>
      <xdr:col>24</xdr:col>
      <xdr:colOff>63500</xdr:colOff>
      <xdr:row>28</xdr:row>
      <xdr:rowOff>25400</xdr:rowOff>
    </xdr:to>
    <xdr:sp macro="" textlink="">
      <xdr:nvSpPr>
        <xdr:cNvPr id="19" name="正方形/長方形 18">
          <a:extLst>
            <a:ext uri="{FF2B5EF4-FFF2-40B4-BE49-F238E27FC236}">
              <a16:creationId xmlns:a16="http://schemas.microsoft.com/office/drawing/2014/main" id="{14669DD9-EF99-4DCA-B211-AC4D233C8CCE}"/>
            </a:ext>
          </a:extLst>
        </xdr:cNvPr>
        <xdr:cNvSpPr/>
      </xdr:nvSpPr>
      <xdr:spPr>
        <a:xfrm>
          <a:off x="4019550" y="4454525"/>
          <a:ext cx="390525" cy="25082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3.7</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28575</xdr:colOff>
      <xdr:row>26</xdr:row>
      <xdr:rowOff>95250</xdr:rowOff>
    </xdr:from>
    <xdr:to>
      <xdr:col>15</xdr:col>
      <xdr:colOff>53975</xdr:colOff>
      <xdr:row>28</xdr:row>
      <xdr:rowOff>15875</xdr:rowOff>
    </xdr:to>
    <xdr:sp macro="" textlink="">
      <xdr:nvSpPr>
        <xdr:cNvPr id="20" name="正方形/長方形 19">
          <a:extLst>
            <a:ext uri="{FF2B5EF4-FFF2-40B4-BE49-F238E27FC236}">
              <a16:creationId xmlns:a16="http://schemas.microsoft.com/office/drawing/2014/main" id="{98D9C524-AFCC-4545-84F0-20896637E77D}"/>
            </a:ext>
          </a:extLst>
        </xdr:cNvPr>
        <xdr:cNvSpPr/>
      </xdr:nvSpPr>
      <xdr:spPr>
        <a:xfrm>
          <a:off x="2378075" y="4448175"/>
          <a:ext cx="390525" cy="24447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3.5</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34925</xdr:colOff>
      <xdr:row>26</xdr:row>
      <xdr:rowOff>130175</xdr:rowOff>
    </xdr:from>
    <xdr:to>
      <xdr:col>37</xdr:col>
      <xdr:colOff>120650</xdr:colOff>
      <xdr:row>28</xdr:row>
      <xdr:rowOff>53975</xdr:rowOff>
    </xdr:to>
    <xdr:sp macro="" textlink="">
      <xdr:nvSpPr>
        <xdr:cNvPr id="21" name="正方形/長方形 20">
          <a:extLst>
            <a:ext uri="{FF2B5EF4-FFF2-40B4-BE49-F238E27FC236}">
              <a16:creationId xmlns:a16="http://schemas.microsoft.com/office/drawing/2014/main" id="{EABA4CE0-7012-4096-8222-D3D2C96F821D}"/>
            </a:ext>
          </a:extLst>
        </xdr:cNvPr>
        <xdr:cNvSpPr/>
      </xdr:nvSpPr>
      <xdr:spPr>
        <a:xfrm>
          <a:off x="6369050" y="4483100"/>
          <a:ext cx="450850" cy="24765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3.10</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47625</xdr:colOff>
      <xdr:row>27</xdr:row>
      <xdr:rowOff>95250</xdr:rowOff>
    </xdr:from>
    <xdr:to>
      <xdr:col>33</xdr:col>
      <xdr:colOff>76200</xdr:colOff>
      <xdr:row>28</xdr:row>
      <xdr:rowOff>180975</xdr:rowOff>
    </xdr:to>
    <xdr:sp macro="" textlink="">
      <xdr:nvSpPr>
        <xdr:cNvPr id="22" name="正方形/長方形 21">
          <a:extLst>
            <a:ext uri="{FF2B5EF4-FFF2-40B4-BE49-F238E27FC236}">
              <a16:creationId xmlns:a16="http://schemas.microsoft.com/office/drawing/2014/main" id="{9BF02A47-82AA-4B41-9825-323458BDCD2F}"/>
            </a:ext>
          </a:extLst>
        </xdr:cNvPr>
        <xdr:cNvSpPr/>
      </xdr:nvSpPr>
      <xdr:spPr>
        <a:xfrm>
          <a:off x="5654675" y="4610100"/>
          <a:ext cx="393700" cy="24447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3.9</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47626</xdr:colOff>
      <xdr:row>26</xdr:row>
      <xdr:rowOff>123824</xdr:rowOff>
    </xdr:from>
    <xdr:to>
      <xdr:col>20</xdr:col>
      <xdr:colOff>66676</xdr:colOff>
      <xdr:row>28</xdr:row>
      <xdr:rowOff>19049</xdr:rowOff>
    </xdr:to>
    <xdr:sp macro="" textlink="">
      <xdr:nvSpPr>
        <xdr:cNvPr id="23" name="正方形/長方形 22">
          <a:extLst>
            <a:ext uri="{FF2B5EF4-FFF2-40B4-BE49-F238E27FC236}">
              <a16:creationId xmlns:a16="http://schemas.microsoft.com/office/drawing/2014/main" id="{178FAE26-526D-4CA2-8A08-1D892979D95F}"/>
            </a:ext>
          </a:extLst>
        </xdr:cNvPr>
        <xdr:cNvSpPr/>
      </xdr:nvSpPr>
      <xdr:spPr>
        <a:xfrm>
          <a:off x="3302001" y="4479924"/>
          <a:ext cx="381000" cy="21590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3.6</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76200</xdr:colOff>
      <xdr:row>27</xdr:row>
      <xdr:rowOff>123824</xdr:rowOff>
    </xdr:from>
    <xdr:to>
      <xdr:col>45</xdr:col>
      <xdr:colOff>130176</xdr:colOff>
      <xdr:row>33</xdr:row>
      <xdr:rowOff>38099</xdr:rowOff>
    </xdr:to>
    <xdr:sp macro="" textlink="">
      <xdr:nvSpPr>
        <xdr:cNvPr id="24" name="角丸四角形 78">
          <a:extLst>
            <a:ext uri="{FF2B5EF4-FFF2-40B4-BE49-F238E27FC236}">
              <a16:creationId xmlns:a16="http://schemas.microsoft.com/office/drawing/2014/main" id="{C4444F6F-ADEB-4194-9D0A-90257BF70A30}"/>
            </a:ext>
          </a:extLst>
        </xdr:cNvPr>
        <xdr:cNvSpPr/>
      </xdr:nvSpPr>
      <xdr:spPr>
        <a:xfrm>
          <a:off x="1162050" y="4641849"/>
          <a:ext cx="7112001" cy="1139825"/>
        </a:xfrm>
        <a:prstGeom prst="roundRect">
          <a:avLst/>
        </a:prstGeom>
        <a:noFill/>
        <a:ln w="63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104775</xdr:colOff>
      <xdr:row>26</xdr:row>
      <xdr:rowOff>104775</xdr:rowOff>
    </xdr:from>
    <xdr:to>
      <xdr:col>43</xdr:col>
      <xdr:colOff>9525</xdr:colOff>
      <xdr:row>28</xdr:row>
      <xdr:rowOff>25400</xdr:rowOff>
    </xdr:to>
    <xdr:sp macro="" textlink="">
      <xdr:nvSpPr>
        <xdr:cNvPr id="25" name="正方形/長方形 24">
          <a:extLst>
            <a:ext uri="{FF2B5EF4-FFF2-40B4-BE49-F238E27FC236}">
              <a16:creationId xmlns:a16="http://schemas.microsoft.com/office/drawing/2014/main" id="{6F52CF76-7823-4B40-8F22-1D93FB83CA93}"/>
            </a:ext>
          </a:extLst>
        </xdr:cNvPr>
        <xdr:cNvSpPr/>
      </xdr:nvSpPr>
      <xdr:spPr>
        <a:xfrm>
          <a:off x="7340600" y="4454525"/>
          <a:ext cx="447675" cy="25082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3.11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114300</xdr:colOff>
      <xdr:row>20</xdr:row>
      <xdr:rowOff>59266</xdr:rowOff>
    </xdr:from>
    <xdr:to>
      <xdr:col>19</xdr:col>
      <xdr:colOff>20108</xdr:colOff>
      <xdr:row>21</xdr:row>
      <xdr:rowOff>148166</xdr:rowOff>
    </xdr:to>
    <xdr:sp macro="" textlink="">
      <xdr:nvSpPr>
        <xdr:cNvPr id="26" name="正方形/長方形 25">
          <a:extLst>
            <a:ext uri="{FF2B5EF4-FFF2-40B4-BE49-F238E27FC236}">
              <a16:creationId xmlns:a16="http://schemas.microsoft.com/office/drawing/2014/main" id="{5BBCFEEB-B826-4895-8F6C-AD7EC06998DE}"/>
            </a:ext>
          </a:extLst>
        </xdr:cNvPr>
        <xdr:cNvSpPr/>
      </xdr:nvSpPr>
      <xdr:spPr>
        <a:xfrm>
          <a:off x="2992967" y="3382433"/>
          <a:ext cx="445558" cy="24765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3.12</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127001</xdr:colOff>
      <xdr:row>6</xdr:row>
      <xdr:rowOff>45508</xdr:rowOff>
    </xdr:from>
    <xdr:to>
      <xdr:col>11</xdr:col>
      <xdr:colOff>146052</xdr:colOff>
      <xdr:row>7</xdr:row>
      <xdr:rowOff>26459</xdr:rowOff>
    </xdr:to>
    <xdr:sp macro="" textlink="">
      <xdr:nvSpPr>
        <xdr:cNvPr id="42" name="正方形/長方形 41">
          <a:extLst>
            <a:ext uri="{FF2B5EF4-FFF2-40B4-BE49-F238E27FC236}">
              <a16:creationId xmlns:a16="http://schemas.microsoft.com/office/drawing/2014/main" id="{BE36935B-ED84-44AC-89ED-E47D62951693}"/>
            </a:ext>
          </a:extLst>
        </xdr:cNvPr>
        <xdr:cNvSpPr/>
      </xdr:nvSpPr>
      <xdr:spPr>
        <a:xfrm>
          <a:off x="1746251" y="902758"/>
          <a:ext cx="378884" cy="245534"/>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0</xdr:colOff>
      <xdr:row>36</xdr:row>
      <xdr:rowOff>85725</xdr:rowOff>
    </xdr:from>
    <xdr:to>
      <xdr:col>10</xdr:col>
      <xdr:colOff>19050</xdr:colOff>
      <xdr:row>37</xdr:row>
      <xdr:rowOff>171450</xdr:rowOff>
    </xdr:to>
    <xdr:sp macro="" textlink="">
      <xdr:nvSpPr>
        <xdr:cNvPr id="27" name="線吹き出し 1 (枠付き) 12">
          <a:extLst>
            <a:ext uri="{FF2B5EF4-FFF2-40B4-BE49-F238E27FC236}">
              <a16:creationId xmlns:a16="http://schemas.microsoft.com/office/drawing/2014/main" id="{41E8B6E0-F020-44BC-90D9-04990363B089}"/>
            </a:ext>
          </a:extLst>
        </xdr:cNvPr>
        <xdr:cNvSpPr/>
      </xdr:nvSpPr>
      <xdr:spPr>
        <a:xfrm>
          <a:off x="0" y="6102350"/>
          <a:ext cx="1828800" cy="279400"/>
        </a:xfrm>
        <a:prstGeom prst="borderCallout1">
          <a:avLst>
            <a:gd name="adj1" fmla="val 112916"/>
            <a:gd name="adj2" fmla="val 7511"/>
            <a:gd name="adj3" fmla="val 161448"/>
            <a:gd name="adj4" fmla="val 8482"/>
          </a:avLst>
        </a:prstGeom>
        <a:solidFill>
          <a:schemeClr val="accent3">
            <a:lumMod val="40000"/>
            <a:lumOff val="60000"/>
          </a:schemeClr>
        </a:solidFill>
        <a:ln>
          <a:solidFill>
            <a:schemeClr val="accent3">
              <a:lumMod val="7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a:t>
          </a:r>
          <a:r>
            <a:rPr kumimoji="1" lang="ja-JP" altLang="en-US"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．申請ドキュメント</a:t>
          </a: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イメージ</a:t>
          </a: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38099</xdr:colOff>
      <xdr:row>38</xdr:row>
      <xdr:rowOff>76198</xdr:rowOff>
    </xdr:from>
    <xdr:to>
      <xdr:col>48</xdr:col>
      <xdr:colOff>161924</xdr:colOff>
      <xdr:row>38</xdr:row>
      <xdr:rowOff>152399</xdr:rowOff>
    </xdr:to>
    <xdr:sp macro="" textlink="">
      <xdr:nvSpPr>
        <xdr:cNvPr id="28" name="右大かっこ 27">
          <a:extLst>
            <a:ext uri="{FF2B5EF4-FFF2-40B4-BE49-F238E27FC236}">
              <a16:creationId xmlns:a16="http://schemas.microsoft.com/office/drawing/2014/main" id="{84FEB974-09D2-486D-BFC5-66CE6ADF4D51}"/>
            </a:ext>
          </a:extLst>
        </xdr:cNvPr>
        <xdr:cNvSpPr/>
      </xdr:nvSpPr>
      <xdr:spPr>
        <a:xfrm rot="5400000" flipH="1">
          <a:off x="6307136" y="4008436"/>
          <a:ext cx="76201" cy="5013325"/>
        </a:xfrm>
        <a:prstGeom prst="rightBracket">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2</xdr:col>
      <xdr:colOff>57150</xdr:colOff>
      <xdr:row>38</xdr:row>
      <xdr:rowOff>66675</xdr:rowOff>
    </xdr:from>
    <xdr:to>
      <xdr:col>4</xdr:col>
      <xdr:colOff>114300</xdr:colOff>
      <xdr:row>39</xdr:row>
      <xdr:rowOff>104775</xdr:rowOff>
    </xdr:to>
    <xdr:sp macro="" textlink="">
      <xdr:nvSpPr>
        <xdr:cNvPr id="29" name="正方形/長方形 28">
          <a:extLst>
            <a:ext uri="{FF2B5EF4-FFF2-40B4-BE49-F238E27FC236}">
              <a16:creationId xmlns:a16="http://schemas.microsoft.com/office/drawing/2014/main" id="{F7C9DFF6-A6AD-4038-914D-AC10282B7C13}"/>
            </a:ext>
          </a:extLst>
        </xdr:cNvPr>
        <xdr:cNvSpPr/>
      </xdr:nvSpPr>
      <xdr:spPr>
        <a:xfrm>
          <a:off x="419100" y="6464300"/>
          <a:ext cx="419100" cy="22860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0</xdr:colOff>
      <xdr:row>37</xdr:row>
      <xdr:rowOff>6350</xdr:rowOff>
    </xdr:from>
    <xdr:to>
      <xdr:col>36</xdr:col>
      <xdr:colOff>57150</xdr:colOff>
      <xdr:row>38</xdr:row>
      <xdr:rowOff>44450</xdr:rowOff>
    </xdr:to>
    <xdr:sp macro="" textlink="">
      <xdr:nvSpPr>
        <xdr:cNvPr id="30" name="正方形/長方形 29">
          <a:extLst>
            <a:ext uri="{FF2B5EF4-FFF2-40B4-BE49-F238E27FC236}">
              <a16:creationId xmlns:a16="http://schemas.microsoft.com/office/drawing/2014/main" id="{DB642E6B-DB0E-42FB-A28F-71D531BDC048}"/>
            </a:ext>
          </a:extLst>
        </xdr:cNvPr>
        <xdr:cNvSpPr/>
      </xdr:nvSpPr>
      <xdr:spPr>
        <a:xfrm>
          <a:off x="6153150" y="6219825"/>
          <a:ext cx="419100" cy="22860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4.6</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152400</xdr:colOff>
      <xdr:row>38</xdr:row>
      <xdr:rowOff>15875</xdr:rowOff>
    </xdr:from>
    <xdr:to>
      <xdr:col>20</xdr:col>
      <xdr:colOff>28575</xdr:colOff>
      <xdr:row>39</xdr:row>
      <xdr:rowOff>53975</xdr:rowOff>
    </xdr:to>
    <xdr:sp macro="" textlink="">
      <xdr:nvSpPr>
        <xdr:cNvPr id="31" name="正方形/長方形 30">
          <a:extLst>
            <a:ext uri="{FF2B5EF4-FFF2-40B4-BE49-F238E27FC236}">
              <a16:creationId xmlns:a16="http://schemas.microsoft.com/office/drawing/2014/main" id="{339ACD2A-832A-4E33-B713-6AFD6F8A06CA}"/>
            </a:ext>
          </a:extLst>
        </xdr:cNvPr>
        <xdr:cNvSpPr/>
      </xdr:nvSpPr>
      <xdr:spPr>
        <a:xfrm>
          <a:off x="3228975" y="6416675"/>
          <a:ext cx="415925" cy="22860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4.5</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139700</xdr:colOff>
      <xdr:row>37</xdr:row>
      <xdr:rowOff>161925</xdr:rowOff>
    </xdr:from>
    <xdr:to>
      <xdr:col>16</xdr:col>
      <xdr:colOff>15875</xdr:colOff>
      <xdr:row>39</xdr:row>
      <xdr:rowOff>9525</xdr:rowOff>
    </xdr:to>
    <xdr:sp macro="" textlink="">
      <xdr:nvSpPr>
        <xdr:cNvPr id="32" name="正方形/長方形 31">
          <a:extLst>
            <a:ext uri="{FF2B5EF4-FFF2-40B4-BE49-F238E27FC236}">
              <a16:creationId xmlns:a16="http://schemas.microsoft.com/office/drawing/2014/main" id="{2196D2FE-31DF-4B02-812D-AC21C33E76BD}"/>
            </a:ext>
          </a:extLst>
        </xdr:cNvPr>
        <xdr:cNvSpPr/>
      </xdr:nvSpPr>
      <xdr:spPr>
        <a:xfrm>
          <a:off x="2495550" y="6369050"/>
          <a:ext cx="415925" cy="22860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4.4</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161925</xdr:colOff>
      <xdr:row>38</xdr:row>
      <xdr:rowOff>34925</xdr:rowOff>
    </xdr:from>
    <xdr:to>
      <xdr:col>12</xdr:col>
      <xdr:colOff>38100</xdr:colOff>
      <xdr:row>39</xdr:row>
      <xdr:rowOff>73025</xdr:rowOff>
    </xdr:to>
    <xdr:sp macro="" textlink="">
      <xdr:nvSpPr>
        <xdr:cNvPr id="33" name="正方形/長方形 32">
          <a:extLst>
            <a:ext uri="{FF2B5EF4-FFF2-40B4-BE49-F238E27FC236}">
              <a16:creationId xmlns:a16="http://schemas.microsoft.com/office/drawing/2014/main" id="{711ECB34-D7D2-4627-B9BE-566A865F0BA5}"/>
            </a:ext>
          </a:extLst>
        </xdr:cNvPr>
        <xdr:cNvSpPr/>
      </xdr:nvSpPr>
      <xdr:spPr>
        <a:xfrm>
          <a:off x="1787525" y="6435725"/>
          <a:ext cx="422275" cy="22860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4.3</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152400</xdr:colOff>
      <xdr:row>38</xdr:row>
      <xdr:rowOff>63500</xdr:rowOff>
    </xdr:from>
    <xdr:to>
      <xdr:col>8</xdr:col>
      <xdr:colOff>28575</xdr:colOff>
      <xdr:row>39</xdr:row>
      <xdr:rowOff>101600</xdr:rowOff>
    </xdr:to>
    <xdr:sp macro="" textlink="">
      <xdr:nvSpPr>
        <xdr:cNvPr id="34" name="正方形/長方形 33">
          <a:extLst>
            <a:ext uri="{FF2B5EF4-FFF2-40B4-BE49-F238E27FC236}">
              <a16:creationId xmlns:a16="http://schemas.microsoft.com/office/drawing/2014/main" id="{261251B0-0D73-498F-A419-7BCD29408ECB}"/>
            </a:ext>
          </a:extLst>
        </xdr:cNvPr>
        <xdr:cNvSpPr/>
      </xdr:nvSpPr>
      <xdr:spPr>
        <a:xfrm>
          <a:off x="1057275" y="6467475"/>
          <a:ext cx="415925" cy="22860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4.2</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21167</xdr:colOff>
      <xdr:row>10</xdr:row>
      <xdr:rowOff>134407</xdr:rowOff>
    </xdr:from>
    <xdr:to>
      <xdr:col>44</xdr:col>
      <xdr:colOff>29634</xdr:colOff>
      <xdr:row>12</xdr:row>
      <xdr:rowOff>92075</xdr:rowOff>
    </xdr:to>
    <xdr:grpSp>
      <xdr:nvGrpSpPr>
        <xdr:cNvPr id="35" name="グループ化 34">
          <a:extLst>
            <a:ext uri="{FF2B5EF4-FFF2-40B4-BE49-F238E27FC236}">
              <a16:creationId xmlns:a16="http://schemas.microsoft.com/office/drawing/2014/main" id="{81A05C2D-BB67-43BD-BA62-C0674ED9DAB5}"/>
            </a:ext>
          </a:extLst>
        </xdr:cNvPr>
        <xdr:cNvGrpSpPr/>
      </xdr:nvGrpSpPr>
      <xdr:grpSpPr>
        <a:xfrm>
          <a:off x="7079192" y="1896532"/>
          <a:ext cx="910167" cy="281518"/>
          <a:chOff x="13567834" y="4773083"/>
          <a:chExt cx="898525" cy="275168"/>
        </a:xfrm>
      </xdr:grpSpPr>
      <xdr:grpSp>
        <xdr:nvGrpSpPr>
          <xdr:cNvPr id="36" name="グループ化 35">
            <a:extLst>
              <a:ext uri="{FF2B5EF4-FFF2-40B4-BE49-F238E27FC236}">
                <a16:creationId xmlns:a16="http://schemas.microsoft.com/office/drawing/2014/main" id="{781ACD6A-7598-867B-26DC-9A5DC63A2087}"/>
              </a:ext>
            </a:extLst>
          </xdr:cNvPr>
          <xdr:cNvGrpSpPr/>
        </xdr:nvGrpSpPr>
        <xdr:grpSpPr>
          <a:xfrm>
            <a:off x="13567834" y="4773083"/>
            <a:ext cx="898525" cy="275168"/>
            <a:chOff x="13712825" y="4519083"/>
            <a:chExt cx="898525" cy="275168"/>
          </a:xfrm>
        </xdr:grpSpPr>
        <xdr:sp macro="" textlink="">
          <xdr:nvSpPr>
            <xdr:cNvPr id="38" name="四角形: 角を丸くする 37">
              <a:extLst>
                <a:ext uri="{FF2B5EF4-FFF2-40B4-BE49-F238E27FC236}">
                  <a16:creationId xmlns:a16="http://schemas.microsoft.com/office/drawing/2014/main" id="{8873E80C-2C13-E49A-5079-E4E88612DC8C}"/>
                </a:ext>
              </a:extLst>
            </xdr:cNvPr>
            <xdr:cNvSpPr/>
          </xdr:nvSpPr>
          <xdr:spPr>
            <a:xfrm>
              <a:off x="13712825" y="4519083"/>
              <a:ext cx="898525" cy="275168"/>
            </a:xfrm>
            <a:prstGeom prst="roundRect">
              <a:avLst/>
            </a:prstGeom>
            <a:solidFill>
              <a:schemeClr val="bg1"/>
            </a:solidFill>
            <a:ln w="190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endParaRPr kumimoji="1" lang="ja-JP" altLang="en-US" sz="1200" b="1">
                <a:solidFill>
                  <a:schemeClr val="tx2"/>
                </a:solidFill>
              </a:endParaRPr>
            </a:p>
          </xdr:txBody>
        </xdr:sp>
        <xdr:sp macro="" textlink="">
          <xdr:nvSpPr>
            <xdr:cNvPr id="39" name="四角形: 角を丸くする 38">
              <a:extLst>
                <a:ext uri="{FF2B5EF4-FFF2-40B4-BE49-F238E27FC236}">
                  <a16:creationId xmlns:a16="http://schemas.microsoft.com/office/drawing/2014/main" id="{167FA85D-4B1D-44C0-6A41-29F700D65CEC}"/>
                </a:ext>
              </a:extLst>
            </xdr:cNvPr>
            <xdr:cNvSpPr/>
          </xdr:nvSpPr>
          <xdr:spPr>
            <a:xfrm>
              <a:off x="13740340" y="4561419"/>
              <a:ext cx="433917" cy="205316"/>
            </a:xfrm>
            <a:prstGeom prst="roundRect">
              <a:avLst/>
            </a:prstGeom>
            <a:ln w="12700">
              <a:no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r>
                <a:rPr kumimoji="1" lang="en-US" altLang="ja-JP" sz="1200" b="1">
                  <a:solidFill>
                    <a:schemeClr val="tx2"/>
                  </a:solidFill>
                </a:rPr>
                <a:t>JPN</a:t>
              </a:r>
              <a:endParaRPr kumimoji="1" lang="ja-JP" altLang="en-US" sz="1200" b="1">
                <a:solidFill>
                  <a:schemeClr val="tx2"/>
                </a:solidFill>
              </a:endParaRPr>
            </a:p>
          </xdr:txBody>
        </xdr:sp>
      </xdr:grpSp>
      <xdr:sp macro="" textlink="">
        <xdr:nvSpPr>
          <xdr:cNvPr id="37" name="四角形: 角を丸くする 36">
            <a:extLst>
              <a:ext uri="{FF2B5EF4-FFF2-40B4-BE49-F238E27FC236}">
                <a16:creationId xmlns:a16="http://schemas.microsoft.com/office/drawing/2014/main" id="{8F3C40C0-5227-7A21-52AE-92449C23C862}"/>
              </a:ext>
            </a:extLst>
          </xdr:cNvPr>
          <xdr:cNvSpPr/>
        </xdr:nvSpPr>
        <xdr:spPr>
          <a:xfrm>
            <a:off x="14023864" y="4784726"/>
            <a:ext cx="439209" cy="258233"/>
          </a:xfrm>
          <a:prstGeom prst="roundRect">
            <a:avLst/>
          </a:prstGeom>
          <a:solidFill>
            <a:schemeClr val="tx2"/>
          </a:solidFill>
          <a:ln w="19050">
            <a:no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r>
              <a:rPr kumimoji="1" lang="en-US" altLang="ja-JP" sz="1200" b="1">
                <a:solidFill>
                  <a:schemeClr val="bg1"/>
                </a:solidFill>
              </a:rPr>
              <a:t>ENG</a:t>
            </a:r>
            <a:endParaRPr kumimoji="1" lang="ja-JP" altLang="en-US" sz="1200" b="1">
              <a:solidFill>
                <a:schemeClr val="bg1"/>
              </a:solidFill>
            </a:endParaRPr>
          </a:p>
        </xdr:txBody>
      </xdr:sp>
    </xdr:grpSp>
    <xdr:clientData/>
  </xdr:twoCellAnchor>
  <xdr:twoCellAnchor>
    <xdr:from>
      <xdr:col>36</xdr:col>
      <xdr:colOff>169333</xdr:colOff>
      <xdr:row>9</xdr:row>
      <xdr:rowOff>21166</xdr:rowOff>
    </xdr:from>
    <xdr:to>
      <xdr:col>39</xdr:col>
      <xdr:colOff>8466</xdr:colOff>
      <xdr:row>10</xdr:row>
      <xdr:rowOff>113241</xdr:rowOff>
    </xdr:to>
    <xdr:sp macro="" textlink="">
      <xdr:nvSpPr>
        <xdr:cNvPr id="40" name="正方形/長方形 39">
          <a:extLst>
            <a:ext uri="{FF2B5EF4-FFF2-40B4-BE49-F238E27FC236}">
              <a16:creationId xmlns:a16="http://schemas.microsoft.com/office/drawing/2014/main" id="{B3E70894-5DB9-408D-BD46-2314A70156F6}"/>
            </a:ext>
          </a:extLst>
        </xdr:cNvPr>
        <xdr:cNvSpPr/>
      </xdr:nvSpPr>
      <xdr:spPr>
        <a:xfrm>
          <a:off x="6646333" y="1608666"/>
          <a:ext cx="378883" cy="240242"/>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2.2</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104775</xdr:colOff>
      <xdr:row>23</xdr:row>
      <xdr:rowOff>28575</xdr:rowOff>
    </xdr:from>
    <xdr:to>
      <xdr:col>67</xdr:col>
      <xdr:colOff>68262</xdr:colOff>
      <xdr:row>27</xdr:row>
      <xdr:rowOff>65088</xdr:rowOff>
    </xdr:to>
    <xdr:sp macro="" textlink="">
      <xdr:nvSpPr>
        <xdr:cNvPr id="41" name="吹き出し: 四角形 40">
          <a:extLst>
            <a:ext uri="{FF2B5EF4-FFF2-40B4-BE49-F238E27FC236}">
              <a16:creationId xmlns:a16="http://schemas.microsoft.com/office/drawing/2014/main" id="{3B882197-C82F-441F-8261-0A5120F2CF1A}"/>
            </a:ext>
          </a:extLst>
        </xdr:cNvPr>
        <xdr:cNvSpPr/>
      </xdr:nvSpPr>
      <xdr:spPr>
        <a:xfrm>
          <a:off x="9696450" y="3895725"/>
          <a:ext cx="2497137" cy="741363"/>
        </a:xfrm>
        <a:prstGeom prst="wedgeRectCallout">
          <a:avLst>
            <a:gd name="adj1" fmla="val -106313"/>
            <a:gd name="adj2" fmla="val -104536"/>
          </a:avLst>
        </a:prstGeom>
        <a:ln w="1270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t"/>
        <a:lstStyle/>
        <a:p>
          <a:pPr algn="l">
            <a:lnSpc>
              <a:spcPts val="900"/>
            </a:lnSpc>
          </a:pPr>
          <a:r>
            <a:rPr kumimoji="1" lang="en-US" altLang="ja-JP" sz="1050">
              <a:solidFill>
                <a:srgbClr val="FF0000"/>
              </a:solidFill>
            </a:rPr>
            <a:t>AA</a:t>
          </a:r>
          <a:r>
            <a:rPr kumimoji="1" lang="ja-JP" altLang="en-US" sz="1050">
              <a:solidFill>
                <a:srgbClr val="FF0000"/>
              </a:solidFill>
            </a:rPr>
            <a:t>古竹</a:t>
          </a:r>
          <a:endParaRPr kumimoji="1" lang="en-US" altLang="ja-JP" sz="1050">
            <a:solidFill>
              <a:srgbClr val="FF0000"/>
            </a:solidFill>
          </a:endParaRPr>
        </a:p>
        <a:p>
          <a:pPr algn="l">
            <a:lnSpc>
              <a:spcPts val="900"/>
            </a:lnSpc>
          </a:pPr>
          <a:endParaRPr kumimoji="1" lang="en-US" altLang="ja-JP" sz="1050">
            <a:solidFill>
              <a:srgbClr val="FF0000"/>
            </a:solidFill>
          </a:endParaRPr>
        </a:p>
        <a:p>
          <a:pPr algn="l">
            <a:lnSpc>
              <a:spcPts val="900"/>
            </a:lnSpc>
          </a:pPr>
          <a:r>
            <a:rPr kumimoji="1" lang="ja-JP" altLang="en-US" sz="1050">
              <a:solidFill>
                <a:srgbClr val="FF0000"/>
              </a:solidFill>
            </a:rPr>
            <a:t>ここに表示するお知らせは最新のお知らせ何件分にいたしますか。</a:t>
          </a:r>
        </a:p>
      </xdr:txBody>
    </xdr:sp>
    <xdr:clientData/>
  </xdr:twoCellAnchor>
  <xdr:twoCellAnchor>
    <xdr:from>
      <xdr:col>55</xdr:col>
      <xdr:colOff>44450</xdr:colOff>
      <xdr:row>32</xdr:row>
      <xdr:rowOff>177800</xdr:rowOff>
    </xdr:from>
    <xdr:to>
      <xdr:col>69</xdr:col>
      <xdr:colOff>11112</xdr:colOff>
      <xdr:row>37</xdr:row>
      <xdr:rowOff>36513</xdr:rowOff>
    </xdr:to>
    <xdr:sp macro="" textlink="">
      <xdr:nvSpPr>
        <xdr:cNvPr id="43" name="吹き出し: 四角形 42">
          <a:extLst>
            <a:ext uri="{FF2B5EF4-FFF2-40B4-BE49-F238E27FC236}">
              <a16:creationId xmlns:a16="http://schemas.microsoft.com/office/drawing/2014/main" id="{397A2D95-13B5-4FF1-B215-E547D3DA34FE}"/>
            </a:ext>
          </a:extLst>
        </xdr:cNvPr>
        <xdr:cNvSpPr/>
      </xdr:nvSpPr>
      <xdr:spPr>
        <a:xfrm>
          <a:off x="9998075" y="5768975"/>
          <a:ext cx="2500312" cy="754063"/>
        </a:xfrm>
        <a:prstGeom prst="wedgeRectCallout">
          <a:avLst>
            <a:gd name="adj1" fmla="val -109742"/>
            <a:gd name="adj2" fmla="val -83062"/>
          </a:avLst>
        </a:prstGeom>
        <a:ln w="1270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t"/>
        <a:lstStyle/>
        <a:p>
          <a:pPr algn="l">
            <a:lnSpc>
              <a:spcPts val="900"/>
            </a:lnSpc>
          </a:pPr>
          <a:r>
            <a:rPr kumimoji="1" lang="en-US" altLang="ja-JP" sz="1050">
              <a:solidFill>
                <a:srgbClr val="FF0000"/>
              </a:solidFill>
            </a:rPr>
            <a:t>AA</a:t>
          </a:r>
          <a:r>
            <a:rPr kumimoji="1" lang="ja-JP" altLang="en-US" sz="1050">
              <a:solidFill>
                <a:srgbClr val="FF0000"/>
              </a:solidFill>
            </a:rPr>
            <a:t>古竹</a:t>
          </a:r>
          <a:endParaRPr kumimoji="1" lang="en-US" altLang="ja-JP" sz="1050">
            <a:solidFill>
              <a:srgbClr val="FF0000"/>
            </a:solidFill>
          </a:endParaRPr>
        </a:p>
        <a:p>
          <a:pPr algn="l">
            <a:lnSpc>
              <a:spcPts val="900"/>
            </a:lnSpc>
          </a:pPr>
          <a:endParaRPr kumimoji="1" lang="en-US" altLang="ja-JP" sz="1050">
            <a:solidFill>
              <a:srgbClr val="FF0000"/>
            </a:solidFill>
          </a:endParaRPr>
        </a:p>
        <a:p>
          <a:pPr algn="l">
            <a:lnSpc>
              <a:spcPts val="900"/>
            </a:lnSpc>
          </a:pPr>
          <a:r>
            <a:rPr kumimoji="1" lang="ja-JP" altLang="en-US" sz="1050">
              <a:solidFill>
                <a:srgbClr val="FF0000"/>
              </a:solidFill>
            </a:rPr>
            <a:t>レイアウト例のため</a:t>
          </a:r>
          <a:r>
            <a:rPr kumimoji="1" lang="en-US" altLang="ja-JP" sz="1050">
              <a:solidFill>
                <a:srgbClr val="FF0000"/>
              </a:solidFill>
            </a:rPr>
            <a:t>3</a:t>
          </a:r>
          <a:r>
            <a:rPr kumimoji="1" lang="ja-JP" altLang="en-US" sz="1050">
              <a:solidFill>
                <a:srgbClr val="FF0000"/>
              </a:solidFill>
            </a:rPr>
            <a:t>件分にとどめてますが、</a:t>
          </a:r>
          <a:r>
            <a:rPr kumimoji="1" lang="en-US" altLang="ja-JP" sz="1050">
              <a:solidFill>
                <a:srgbClr val="FF0000"/>
              </a:solidFill>
            </a:rPr>
            <a:t>1</a:t>
          </a:r>
          <a:r>
            <a:rPr kumimoji="1" lang="ja-JP" altLang="en-US" sz="1050">
              <a:solidFill>
                <a:srgbClr val="FF0000"/>
              </a:solidFill>
            </a:rPr>
            <a:t>ページに表示する申請履歴数は何件にいたしますか。</a:t>
          </a:r>
        </a:p>
      </xdr:txBody>
    </xdr:sp>
    <xdr:clientData/>
  </xdr:twoCellAnchor>
  <xdr:twoCellAnchor>
    <xdr:from>
      <xdr:col>42</xdr:col>
      <xdr:colOff>38101</xdr:colOff>
      <xdr:row>7</xdr:row>
      <xdr:rowOff>63500</xdr:rowOff>
    </xdr:from>
    <xdr:to>
      <xdr:col>50</xdr:col>
      <xdr:colOff>1</xdr:colOff>
      <xdr:row>8</xdr:row>
      <xdr:rowOff>187325</xdr:rowOff>
    </xdr:to>
    <xdr:grpSp>
      <xdr:nvGrpSpPr>
        <xdr:cNvPr id="47" name="グループ化 46">
          <a:extLst>
            <a:ext uri="{FF2B5EF4-FFF2-40B4-BE49-F238E27FC236}">
              <a16:creationId xmlns:a16="http://schemas.microsoft.com/office/drawing/2014/main" id="{53FCF7D6-BA63-21BE-85D8-DBC90C60215D}"/>
            </a:ext>
          </a:extLst>
        </xdr:cNvPr>
        <xdr:cNvGrpSpPr/>
      </xdr:nvGrpSpPr>
      <xdr:grpSpPr>
        <a:xfrm>
          <a:off x="7639051" y="1209675"/>
          <a:ext cx="1409700" cy="282575"/>
          <a:chOff x="7639051" y="1206500"/>
          <a:chExt cx="1409700" cy="285750"/>
        </a:xfrm>
      </xdr:grpSpPr>
      <xdr:pic>
        <xdr:nvPicPr>
          <xdr:cNvPr id="45" name="グラフィックス 44" descr="リスト 枠線">
            <a:extLst>
              <a:ext uri="{FF2B5EF4-FFF2-40B4-BE49-F238E27FC236}">
                <a16:creationId xmlns:a16="http://schemas.microsoft.com/office/drawing/2014/main" id="{CC6067D3-9B62-F6A8-20C4-985ED35E7D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77150" y="1238252"/>
            <a:ext cx="227762" cy="228598"/>
          </a:xfrm>
          <a:prstGeom prst="rect">
            <a:avLst/>
          </a:prstGeom>
        </xdr:spPr>
      </xdr:pic>
      <xdr:sp macro="" textlink="">
        <xdr:nvSpPr>
          <xdr:cNvPr id="46" name="四角形: 角を丸くする 45">
            <a:extLst>
              <a:ext uri="{FF2B5EF4-FFF2-40B4-BE49-F238E27FC236}">
                <a16:creationId xmlns:a16="http://schemas.microsoft.com/office/drawing/2014/main" id="{6536AAC1-25FB-669D-8EFB-83DD6D078319}"/>
              </a:ext>
            </a:extLst>
          </xdr:cNvPr>
          <xdr:cNvSpPr/>
        </xdr:nvSpPr>
        <xdr:spPr>
          <a:xfrm>
            <a:off x="7639051" y="1206500"/>
            <a:ext cx="1409700" cy="285750"/>
          </a:xfrm>
          <a:prstGeom prst="roundRect">
            <a:avLst/>
          </a:prstGeom>
          <a:noFill/>
          <a:ln w="19050">
            <a:solidFill>
              <a:schemeClr val="tx1"/>
            </a:solidFill>
            <a:prstDash val="sysDot"/>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r>
              <a:rPr kumimoji="1" lang="ja-JP" altLang="en-US" sz="800">
                <a:solidFill>
                  <a:sysClr val="windowText" lastClr="000000"/>
                </a:solidFill>
                <a:latin typeface="Meiryo UI" panose="020B0604030504040204" pitchFamily="50" charset="-128"/>
                <a:ea typeface="Meiryo UI" panose="020B0604030504040204" pitchFamily="50" charset="-128"/>
              </a:rPr>
              <a:t>お知らせ登録画面へ</a:t>
            </a:r>
          </a:p>
        </xdr:txBody>
      </xdr:sp>
    </xdr:grpSp>
    <xdr:clientData/>
  </xdr:twoCellAnchor>
  <xdr:twoCellAnchor>
    <xdr:from>
      <xdr:col>39</xdr:col>
      <xdr:colOff>152400</xdr:colOff>
      <xdr:row>6</xdr:row>
      <xdr:rowOff>123825</xdr:rowOff>
    </xdr:from>
    <xdr:to>
      <xdr:col>41</xdr:col>
      <xdr:colOff>171451</xdr:colOff>
      <xdr:row>7</xdr:row>
      <xdr:rowOff>101601</xdr:rowOff>
    </xdr:to>
    <xdr:sp macro="" textlink="">
      <xdr:nvSpPr>
        <xdr:cNvPr id="48" name="正方形/長方形 47">
          <a:extLst>
            <a:ext uri="{FF2B5EF4-FFF2-40B4-BE49-F238E27FC236}">
              <a16:creationId xmlns:a16="http://schemas.microsoft.com/office/drawing/2014/main" id="{306CB694-3BB3-436C-A77E-37D1F852597C}"/>
            </a:ext>
          </a:extLst>
        </xdr:cNvPr>
        <xdr:cNvSpPr/>
      </xdr:nvSpPr>
      <xdr:spPr>
        <a:xfrm>
          <a:off x="7210425" y="1000125"/>
          <a:ext cx="381001" cy="244476"/>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1.2</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44</xdr:col>
      <xdr:colOff>68077</xdr:colOff>
      <xdr:row>20</xdr:row>
      <xdr:rowOff>746845</xdr:rowOff>
    </xdr:from>
    <xdr:to>
      <xdr:col>47</xdr:col>
      <xdr:colOff>110599</xdr:colOff>
      <xdr:row>20</xdr:row>
      <xdr:rowOff>1066159</xdr:rowOff>
    </xdr:to>
    <xdr:grpSp>
      <xdr:nvGrpSpPr>
        <xdr:cNvPr id="2" name="グループ化 1">
          <a:extLst>
            <a:ext uri="{FF2B5EF4-FFF2-40B4-BE49-F238E27FC236}">
              <a16:creationId xmlns:a16="http://schemas.microsoft.com/office/drawing/2014/main" id="{DECAFAD5-3809-48BF-8ECA-5544A1EE8B2E}"/>
            </a:ext>
          </a:extLst>
        </xdr:cNvPr>
        <xdr:cNvGrpSpPr/>
      </xdr:nvGrpSpPr>
      <xdr:grpSpPr>
        <a:xfrm>
          <a:off x="7796961" y="7574402"/>
          <a:ext cx="546787" cy="316139"/>
          <a:chOff x="8931542" y="11352484"/>
          <a:chExt cx="668543" cy="278702"/>
        </a:xfrm>
      </xdr:grpSpPr>
      <xdr:pic>
        <xdr:nvPicPr>
          <xdr:cNvPr id="3" name="図 2">
            <a:extLst>
              <a:ext uri="{FF2B5EF4-FFF2-40B4-BE49-F238E27FC236}">
                <a16:creationId xmlns:a16="http://schemas.microsoft.com/office/drawing/2014/main" id="{9956B9AA-3601-1CB9-811C-AFED339C69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1550" y="11352484"/>
            <a:ext cx="660534" cy="255557"/>
          </a:xfrm>
          <a:prstGeom prst="rect">
            <a:avLst/>
          </a:prstGeom>
          <a:solidFill>
            <a:srgbClr val="FF0000"/>
          </a:solidFill>
        </xdr:spPr>
      </xdr:pic>
      <xdr:sp macro="" textlink="">
        <xdr:nvSpPr>
          <xdr:cNvPr id="4" name="正方形/長方形 3">
            <a:extLst>
              <a:ext uri="{FF2B5EF4-FFF2-40B4-BE49-F238E27FC236}">
                <a16:creationId xmlns:a16="http://schemas.microsoft.com/office/drawing/2014/main" id="{36B61F46-26C8-C7D2-FBE1-268CB82D152C}"/>
              </a:ext>
            </a:extLst>
          </xdr:cNvPr>
          <xdr:cNvSpPr/>
        </xdr:nvSpPr>
        <xdr:spPr>
          <a:xfrm>
            <a:off x="8931542" y="11371527"/>
            <a:ext cx="668543" cy="2596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t>Download</a:t>
            </a:r>
            <a:endParaRPr kumimoji="1" lang="ja-JP" altLang="en-US" sz="900"/>
          </a:p>
        </xdr:txBody>
      </xdr:sp>
    </xdr:grpSp>
    <xdr:clientData/>
  </xdr:twoCellAnchor>
  <xdr:twoCellAnchor>
    <xdr:from>
      <xdr:col>43</xdr:col>
      <xdr:colOff>95250</xdr:colOff>
      <xdr:row>21</xdr:row>
      <xdr:rowOff>54429</xdr:rowOff>
    </xdr:from>
    <xdr:to>
      <xdr:col>47</xdr:col>
      <xdr:colOff>9725</xdr:colOff>
      <xdr:row>21</xdr:row>
      <xdr:rowOff>259906</xdr:rowOff>
    </xdr:to>
    <xdr:sp macro="" textlink="">
      <xdr:nvSpPr>
        <xdr:cNvPr id="9" name="正方形/長方形 8">
          <a:extLst>
            <a:ext uri="{FF2B5EF4-FFF2-40B4-BE49-F238E27FC236}">
              <a16:creationId xmlns:a16="http://schemas.microsoft.com/office/drawing/2014/main" id="{671980EF-E650-4FB4-A370-5226F4040192}"/>
            </a:ext>
          </a:extLst>
        </xdr:cNvPr>
        <xdr:cNvSpPr/>
      </xdr:nvSpPr>
      <xdr:spPr bwMode="auto">
        <a:xfrm>
          <a:off x="6741583" y="8743346"/>
          <a:ext cx="591809" cy="205477"/>
        </a:xfrm>
        <a:prstGeom prst="rect">
          <a:avLst/>
        </a:prstGeom>
        <a:solidFill>
          <a:srgbClr val="002879"/>
        </a:solidFill>
        <a:ln w="6350" cap="flat" cmpd="sng" algn="ctr">
          <a:solidFill>
            <a:schemeClr val="bg1">
              <a:lumMod val="7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ja-JP" sz="500" b="1" i="0" u="none" strike="noStrike" kern="1200" cap="none" normalizeH="0" baseline="0">
              <a:ln>
                <a:noFill/>
              </a:ln>
              <a:solidFill>
                <a:schemeClr val="bg1"/>
              </a:solidFill>
              <a:effectLst/>
              <a:latin typeface="メイリオ" panose="020B0604030504040204" pitchFamily="50" charset="-128"/>
              <a:ea typeface="メイリオ" panose="020B0604030504040204" pitchFamily="50" charset="-128"/>
              <a:cs typeface="メイリオ" panose="020B0604030504040204" pitchFamily="50" charset="-128"/>
            </a:rPr>
            <a:t>CSV Download</a:t>
          </a:r>
          <a:endParaRPr kumimoji="1" lang="ja-JP" altLang="ja-JP" sz="500" b="1" i="0" u="none" strike="noStrike" kern="1200" cap="none" normalizeH="0" baseline="0">
            <a:ln>
              <a:noFill/>
            </a:ln>
            <a:solidFill>
              <a:schemeClr val="bg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2700"/>
      </a:spPr>
      <a:bodyPr vertOverflow="clip" horzOverflow="clip" lIns="36000" tIns="36000" rIns="36000" bIns="36000" rtlCol="0" anchor="t"/>
      <a:lstStyle>
        <a:defPPr algn="l">
          <a:lnSpc>
            <a:spcPts val="900"/>
          </a:lnSpc>
          <a:defRPr kumimoji="1" sz="800">
            <a:solidFill>
              <a:sysClr val="windowText" lastClr="000000"/>
            </a:solidFill>
          </a:defRPr>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T123"/>
  <sheetViews>
    <sheetView showGridLines="0" tabSelected="1" view="pageBreakPreview" zoomScaleNormal="80" zoomScaleSheetLayoutView="100" workbookViewId="0"/>
  </sheetViews>
  <sheetFormatPr defaultColWidth="8" defaultRowHeight="13"/>
  <cols>
    <col min="1" max="1" width="8.90625" style="1" customWidth="1"/>
    <col min="2" max="8" width="14.36328125" style="1" customWidth="1"/>
    <col min="9" max="9" width="13.6328125" style="1" customWidth="1"/>
    <col min="10" max="10" width="3.36328125" style="1" customWidth="1"/>
    <col min="11" max="11" width="23.7265625" style="1" customWidth="1"/>
    <col min="12" max="12" width="10" style="1" customWidth="1"/>
    <col min="13" max="13" width="23.36328125" style="1" customWidth="1"/>
    <col min="14" max="14" width="9.08984375" style="1" customWidth="1"/>
    <col min="15" max="15" width="19.90625" style="1" customWidth="1"/>
    <col min="16" max="16" width="6.7265625" style="1" customWidth="1"/>
    <col min="17" max="17" width="7.36328125" style="1" customWidth="1"/>
    <col min="18" max="18" width="6.7265625" style="1" customWidth="1"/>
    <col min="19" max="19" width="11" style="1" customWidth="1"/>
    <col min="20" max="20" width="9.90625" style="1" customWidth="1"/>
    <col min="21" max="21" width="8" style="1" customWidth="1"/>
    <col min="22" max="22" width="11.6328125" style="1" customWidth="1"/>
    <col min="23" max="16384" width="8" style="1"/>
  </cols>
  <sheetData>
    <row r="1" spans="12:12" ht="14.25" customHeight="1"/>
    <row r="2" spans="12:12" ht="14.25" customHeight="1"/>
    <row r="3" spans="12:12" ht="14.25" customHeight="1"/>
    <row r="4" spans="12:12" ht="14.25" customHeight="1"/>
    <row r="5" spans="12:12" ht="14.25" customHeight="1"/>
    <row r="6" spans="12:12" ht="14.25" customHeight="1"/>
    <row r="7" spans="12:12" ht="14.25" customHeight="1"/>
    <row r="8" spans="12:12" ht="14.25" customHeight="1"/>
    <row r="9" spans="12:12" ht="14.25" customHeight="1"/>
    <row r="10" spans="12:12" ht="14.25" customHeight="1">
      <c r="L10" s="2"/>
    </row>
    <row r="11" spans="12:12" ht="14.25" customHeight="1"/>
    <row r="12" spans="12:12" ht="14.25" customHeight="1"/>
    <row r="13" spans="12:12" ht="14.25" customHeight="1"/>
    <row r="14" spans="12:12" ht="14.25" customHeight="1"/>
    <row r="15" spans="12:12" ht="14.25" customHeight="1"/>
    <row r="16" spans="12:12" ht="14.25" customHeight="1"/>
    <row r="17" spans="2:8" ht="14.25" customHeight="1"/>
    <row r="18" spans="2:8" ht="14.25" customHeight="1"/>
    <row r="19" spans="2:8" ht="14.25" customHeight="1"/>
    <row r="20" spans="2:8" ht="14.25" customHeight="1"/>
    <row r="21" spans="2:8" ht="14.25" customHeight="1"/>
    <row r="22" spans="2:8" ht="14.25" customHeight="1">
      <c r="B22" s="197" t="str">
        <f ca="1">TEXT(変更来歴!AT2,"yyyy年 mm月 dd日") &amp; " " &amp; 変更来歴!AT3</f>
        <v>2026年 05月 20日 r1.2</v>
      </c>
      <c r="C22" s="198"/>
      <c r="D22" s="198"/>
      <c r="E22" s="198"/>
      <c r="F22" s="198"/>
      <c r="G22" s="198"/>
      <c r="H22" s="198"/>
    </row>
    <row r="23" spans="2:8" ht="14.25" customHeight="1"/>
    <row r="24" spans="2:8" ht="14.25" customHeight="1"/>
    <row r="25" spans="2:8" ht="14.25" customHeight="1"/>
    <row r="26" spans="2:8" ht="14.25" customHeight="1"/>
    <row r="27" spans="2:8" ht="14.25" customHeight="1"/>
    <row r="28" spans="2:8" ht="14.25" customHeight="1">
      <c r="C28" s="200" t="s">
        <v>28</v>
      </c>
      <c r="D28" s="200"/>
      <c r="E28" s="200"/>
      <c r="F28" s="200" t="s">
        <v>0</v>
      </c>
      <c r="G28" s="200"/>
    </row>
    <row r="29" spans="2:8" ht="14.25" customHeight="1">
      <c r="C29" s="3" t="s">
        <v>1</v>
      </c>
      <c r="D29" s="3" t="s">
        <v>2</v>
      </c>
      <c r="E29" s="3" t="s">
        <v>3</v>
      </c>
      <c r="F29" s="3" t="s">
        <v>2</v>
      </c>
      <c r="G29" s="3" t="s">
        <v>3</v>
      </c>
    </row>
    <row r="30" spans="2:8" ht="14.25" customHeight="1">
      <c r="C30" s="4"/>
      <c r="D30" s="4"/>
      <c r="E30" s="4"/>
      <c r="F30" s="5"/>
      <c r="G30" s="5"/>
    </row>
    <row r="31" spans="2:8" ht="29.25" customHeight="1">
      <c r="C31" s="6"/>
      <c r="D31" s="6"/>
      <c r="E31" s="6"/>
      <c r="F31" s="6"/>
      <c r="G31" s="6"/>
    </row>
    <row r="32" spans="2:8" ht="14.25" customHeight="1"/>
    <row r="33" spans="3:20" ht="14.25" customHeight="1">
      <c r="C33" s="201"/>
      <c r="D33" s="201"/>
      <c r="E33" s="201"/>
      <c r="F33" s="201"/>
      <c r="G33" s="201"/>
      <c r="H33" s="7"/>
      <c r="I33" s="7"/>
    </row>
    <row r="34" spans="3:20" ht="14.25" customHeight="1">
      <c r="C34" s="9"/>
      <c r="D34" s="9"/>
      <c r="E34" s="9"/>
      <c r="F34" s="9"/>
      <c r="G34" s="9"/>
    </row>
    <row r="35" spans="3:20" ht="14.25" customHeight="1">
      <c r="C35" s="10"/>
      <c r="D35" s="10"/>
      <c r="E35" s="10"/>
      <c r="F35" s="9"/>
      <c r="G35" s="9"/>
    </row>
    <row r="36" spans="3:20" ht="29.25" customHeight="1">
      <c r="C36" s="9"/>
      <c r="D36" s="9"/>
      <c r="E36" s="9"/>
      <c r="F36" s="9"/>
      <c r="G36" s="9"/>
    </row>
    <row r="37" spans="3:20" ht="14.25" customHeight="1">
      <c r="K37" s="11"/>
      <c r="L37" s="12"/>
      <c r="M37" s="8"/>
      <c r="N37" s="12"/>
      <c r="O37" s="8"/>
      <c r="P37" s="14"/>
      <c r="Q37" s="15"/>
      <c r="R37" s="14"/>
      <c r="S37" s="16"/>
      <c r="T37" s="14"/>
    </row>
    <row r="38" spans="3:20" ht="14.25" customHeight="1">
      <c r="K38" s="17"/>
      <c r="L38" s="12"/>
      <c r="M38" s="18"/>
      <c r="N38" s="12"/>
      <c r="O38" s="8"/>
      <c r="P38" s="14"/>
      <c r="Q38" s="15"/>
      <c r="R38" s="14"/>
      <c r="S38" s="16"/>
      <c r="T38" s="199"/>
    </row>
    <row r="39" spans="3:20" ht="14.25" customHeight="1">
      <c r="K39" s="17"/>
      <c r="L39" s="12"/>
      <c r="M39" s="8"/>
      <c r="N39" s="12"/>
      <c r="O39" s="8"/>
      <c r="P39" s="8"/>
      <c r="Q39" s="8"/>
      <c r="R39" s="14"/>
      <c r="S39" s="19"/>
      <c r="T39" s="202"/>
    </row>
    <row r="40" spans="3:20" ht="14.25" customHeight="1"/>
    <row r="41" spans="3:20" ht="14.25" customHeight="1">
      <c r="K41" s="11"/>
      <c r="L41" s="12"/>
      <c r="M41" s="8"/>
      <c r="N41" s="12"/>
      <c r="O41" s="13"/>
      <c r="P41" s="14"/>
      <c r="Q41" s="15"/>
      <c r="R41" s="14"/>
      <c r="S41" s="16"/>
      <c r="T41" s="14"/>
    </row>
    <row r="42" spans="3:20" s="8" customFormat="1" ht="14.25" customHeight="1">
      <c r="K42" s="17"/>
      <c r="L42" s="12"/>
      <c r="M42" s="18"/>
      <c r="N42" s="12"/>
      <c r="P42" s="14"/>
      <c r="Q42" s="15"/>
      <c r="R42" s="14"/>
      <c r="S42" s="16"/>
      <c r="T42" s="199"/>
    </row>
    <row r="43" spans="3:20" s="8" customFormat="1" ht="14.25" customHeight="1">
      <c r="K43" s="17"/>
      <c r="L43" s="12"/>
      <c r="N43" s="12"/>
      <c r="R43" s="14"/>
      <c r="S43" s="19"/>
      <c r="T43" s="199"/>
    </row>
    <row r="44" spans="3:20" s="8" customFormat="1" ht="14.25" customHeight="1">
      <c r="K44" s="1"/>
      <c r="L44" s="1"/>
      <c r="M44" s="1"/>
      <c r="N44" s="1"/>
      <c r="O44" s="1"/>
      <c r="P44" s="1"/>
      <c r="Q44" s="1"/>
      <c r="R44" s="1"/>
      <c r="S44" s="1"/>
      <c r="T44" s="1"/>
    </row>
    <row r="45" spans="3:20" ht="14.25" customHeight="1">
      <c r="K45" s="11"/>
      <c r="L45" s="12"/>
      <c r="M45" s="8"/>
      <c r="N45" s="12"/>
      <c r="O45" s="13"/>
      <c r="P45" s="14"/>
      <c r="Q45" s="15"/>
      <c r="R45" s="14"/>
      <c r="S45" s="16"/>
      <c r="T45" s="14"/>
    </row>
    <row r="46" spans="3:20" ht="14.25" customHeight="1">
      <c r="K46" s="17"/>
      <c r="L46" s="12"/>
      <c r="M46" s="18"/>
      <c r="N46" s="12"/>
      <c r="O46" s="8"/>
      <c r="P46" s="14"/>
      <c r="Q46" s="15"/>
      <c r="R46" s="14"/>
      <c r="S46" s="16"/>
      <c r="T46" s="199"/>
    </row>
    <row r="47" spans="3:20" ht="14.25" customHeight="1">
      <c r="K47" s="17"/>
      <c r="L47" s="12"/>
      <c r="M47" s="8"/>
      <c r="N47" s="12"/>
      <c r="O47" s="8"/>
      <c r="P47" s="8"/>
      <c r="Q47" s="8"/>
      <c r="R47" s="14"/>
      <c r="S47" s="19"/>
      <c r="T47" s="199"/>
    </row>
    <row r="48" spans="3:20" ht="14.25" customHeight="1"/>
    <row r="49" spans="11:20" ht="14.25" customHeight="1">
      <c r="K49" s="11"/>
      <c r="L49" s="12"/>
      <c r="M49" s="8"/>
      <c r="N49" s="12"/>
      <c r="O49" s="13"/>
      <c r="P49" s="14"/>
      <c r="Q49" s="15"/>
      <c r="R49" s="14"/>
      <c r="S49" s="16"/>
      <c r="T49" s="14"/>
    </row>
    <row r="50" spans="11:20" ht="14.25" customHeight="1">
      <c r="K50" s="17"/>
      <c r="L50" s="12"/>
      <c r="M50" s="18"/>
      <c r="N50" s="12"/>
      <c r="O50" s="8"/>
      <c r="P50" s="14"/>
      <c r="Q50" s="15"/>
      <c r="R50" s="14"/>
      <c r="S50" s="16"/>
      <c r="T50" s="199"/>
    </row>
    <row r="51" spans="11:20" ht="14.25" customHeight="1">
      <c r="K51" s="17"/>
      <c r="L51" s="12"/>
      <c r="M51" s="8"/>
      <c r="N51" s="12"/>
      <c r="O51" s="8"/>
      <c r="P51" s="8"/>
      <c r="Q51" s="8"/>
      <c r="R51" s="14"/>
      <c r="S51" s="19"/>
      <c r="T51" s="199"/>
    </row>
    <row r="52" spans="11:20" ht="14.25" customHeight="1"/>
    <row r="53" spans="11:20" ht="14.25" customHeight="1">
      <c r="K53" s="11"/>
      <c r="L53" s="12"/>
      <c r="M53" s="8"/>
      <c r="N53" s="12"/>
      <c r="O53" s="13"/>
      <c r="P53" s="14"/>
      <c r="Q53" s="15"/>
      <c r="R53" s="14"/>
      <c r="S53" s="16"/>
      <c r="T53" s="14"/>
    </row>
    <row r="54" spans="11:20">
      <c r="K54" s="17"/>
      <c r="L54" s="12"/>
      <c r="M54" s="18"/>
      <c r="N54" s="12"/>
      <c r="O54" s="8"/>
      <c r="P54" s="14"/>
      <c r="Q54" s="15"/>
      <c r="R54" s="14"/>
      <c r="S54" s="16"/>
      <c r="T54" s="199"/>
    </row>
    <row r="55" spans="11:20">
      <c r="K55" s="17"/>
      <c r="L55" s="12"/>
      <c r="M55" s="8"/>
      <c r="N55" s="12"/>
      <c r="O55" s="8"/>
      <c r="P55" s="8"/>
      <c r="Q55" s="8"/>
      <c r="R55" s="14"/>
      <c r="S55" s="19"/>
      <c r="T55" s="202"/>
    </row>
    <row r="57" spans="11:20">
      <c r="K57" s="11"/>
      <c r="L57" s="12"/>
      <c r="M57" s="8"/>
      <c r="N57" s="12"/>
      <c r="O57" s="13"/>
      <c r="P57" s="14"/>
      <c r="Q57" s="15"/>
      <c r="R57" s="14"/>
      <c r="S57" s="16"/>
      <c r="T57" s="14"/>
    </row>
    <row r="58" spans="11:20">
      <c r="K58" s="17"/>
      <c r="L58" s="12"/>
      <c r="M58" s="18"/>
      <c r="N58" s="12"/>
      <c r="O58" s="8"/>
      <c r="P58" s="14"/>
      <c r="Q58" s="15"/>
      <c r="R58" s="14"/>
      <c r="S58" s="16"/>
      <c r="T58" s="199"/>
    </row>
    <row r="59" spans="11:20">
      <c r="K59" s="17"/>
      <c r="L59" s="12"/>
      <c r="M59" s="8"/>
      <c r="N59" s="12"/>
      <c r="O59" s="8"/>
      <c r="P59" s="8"/>
      <c r="Q59" s="8"/>
      <c r="R59" s="14"/>
      <c r="S59" s="19"/>
      <c r="T59" s="202"/>
    </row>
    <row r="61" spans="11:20">
      <c r="K61" s="11"/>
      <c r="L61" s="12"/>
      <c r="M61" s="8"/>
      <c r="N61" s="12"/>
      <c r="O61" s="13"/>
      <c r="P61" s="14"/>
      <c r="Q61" s="15"/>
      <c r="R61" s="14"/>
      <c r="S61" s="16"/>
      <c r="T61" s="14"/>
    </row>
    <row r="62" spans="11:20">
      <c r="K62" s="17"/>
      <c r="L62" s="12"/>
      <c r="M62" s="18"/>
      <c r="N62" s="12"/>
      <c r="O62" s="8"/>
      <c r="P62" s="14"/>
      <c r="Q62" s="15"/>
      <c r="R62" s="14"/>
      <c r="S62" s="16"/>
      <c r="T62" s="199"/>
    </row>
    <row r="63" spans="11:20">
      <c r="K63" s="17"/>
      <c r="L63" s="12"/>
      <c r="M63" s="8"/>
      <c r="N63" s="12"/>
      <c r="O63" s="8"/>
      <c r="P63" s="8"/>
      <c r="Q63" s="8"/>
      <c r="R63" s="14"/>
      <c r="S63" s="19"/>
      <c r="T63" s="202"/>
    </row>
    <row r="65" spans="11:20">
      <c r="K65" s="11"/>
      <c r="L65" s="12"/>
      <c r="M65" s="8"/>
      <c r="N65" s="12"/>
      <c r="O65" s="13"/>
      <c r="P65" s="14"/>
      <c r="Q65" s="15"/>
      <c r="R65" s="14"/>
      <c r="S65" s="16"/>
      <c r="T65" s="14"/>
    </row>
    <row r="66" spans="11:20">
      <c r="K66" s="17"/>
      <c r="L66" s="12"/>
      <c r="M66" s="18"/>
      <c r="N66" s="12"/>
      <c r="O66" s="8"/>
      <c r="P66" s="14"/>
      <c r="Q66" s="15"/>
      <c r="R66" s="14"/>
      <c r="S66" s="16"/>
      <c r="T66" s="199"/>
    </row>
    <row r="67" spans="11:20">
      <c r="K67" s="17"/>
      <c r="L67" s="12"/>
      <c r="M67" s="8"/>
      <c r="N67" s="12"/>
      <c r="O67" s="8"/>
      <c r="P67" s="8"/>
      <c r="Q67" s="8"/>
      <c r="R67" s="14"/>
      <c r="S67" s="19"/>
      <c r="T67" s="202"/>
    </row>
    <row r="69" spans="11:20">
      <c r="K69" s="11"/>
      <c r="L69" s="12"/>
      <c r="M69" s="8"/>
      <c r="N69" s="12"/>
      <c r="O69" s="13"/>
      <c r="P69" s="14"/>
      <c r="Q69" s="15"/>
      <c r="R69" s="14"/>
      <c r="S69" s="16"/>
      <c r="T69" s="14"/>
    </row>
    <row r="70" spans="11:20">
      <c r="K70" s="17"/>
      <c r="L70" s="12"/>
      <c r="M70" s="18"/>
      <c r="N70" s="12"/>
      <c r="O70" s="8"/>
      <c r="P70" s="14"/>
      <c r="Q70" s="15"/>
      <c r="R70" s="14"/>
      <c r="S70" s="16"/>
      <c r="T70" s="199"/>
    </row>
    <row r="71" spans="11:20">
      <c r="K71" s="17"/>
      <c r="L71" s="12"/>
      <c r="M71" s="20"/>
      <c r="N71" s="12"/>
      <c r="O71" s="8"/>
      <c r="P71" s="8"/>
      <c r="Q71" s="8"/>
      <c r="R71" s="14"/>
      <c r="S71" s="19"/>
      <c r="T71" s="202"/>
    </row>
    <row r="73" spans="11:20">
      <c r="K73" s="11"/>
      <c r="L73" s="12"/>
      <c r="M73" s="8"/>
      <c r="N73" s="12"/>
      <c r="O73" s="13"/>
      <c r="P73" s="14"/>
      <c r="Q73" s="15"/>
      <c r="R73" s="14"/>
      <c r="S73" s="16"/>
      <c r="T73" s="14"/>
    </row>
    <row r="74" spans="11:20">
      <c r="K74" s="17"/>
      <c r="L74" s="12"/>
      <c r="M74" s="18"/>
      <c r="N74" s="12"/>
      <c r="O74" s="8"/>
      <c r="P74" s="14"/>
      <c r="Q74" s="15"/>
      <c r="R74" s="14"/>
      <c r="S74" s="16"/>
      <c r="T74" s="199"/>
    </row>
    <row r="75" spans="11:20">
      <c r="K75" s="17"/>
      <c r="L75" s="12"/>
      <c r="M75" s="8"/>
      <c r="N75" s="12"/>
      <c r="O75" s="8"/>
      <c r="P75" s="8"/>
      <c r="Q75" s="8"/>
      <c r="R75" s="14"/>
      <c r="S75" s="19"/>
      <c r="T75" s="202"/>
    </row>
    <row r="77" spans="11:20">
      <c r="K77" s="11"/>
      <c r="L77" s="12"/>
      <c r="M77" s="8"/>
      <c r="N77" s="12"/>
      <c r="O77" s="13"/>
      <c r="P77" s="14"/>
      <c r="Q77" s="15"/>
      <c r="R77" s="14"/>
      <c r="S77" s="16"/>
      <c r="T77" s="14"/>
    </row>
    <row r="78" spans="11:20">
      <c r="K78" s="17"/>
      <c r="L78" s="12"/>
      <c r="M78" s="18"/>
      <c r="N78" s="12"/>
      <c r="O78" s="8"/>
      <c r="P78" s="14"/>
      <c r="Q78" s="15"/>
      <c r="R78" s="14"/>
      <c r="S78" s="16"/>
      <c r="T78" s="199"/>
    </row>
    <row r="79" spans="11:20">
      <c r="K79" s="17"/>
      <c r="L79" s="12"/>
      <c r="M79" s="20"/>
      <c r="N79" s="12"/>
      <c r="O79" s="8"/>
      <c r="P79" s="8"/>
      <c r="Q79" s="8"/>
      <c r="R79" s="14"/>
      <c r="S79" s="19"/>
      <c r="T79" s="202"/>
    </row>
    <row r="81" spans="11:20">
      <c r="K81" s="11"/>
      <c r="L81" s="12"/>
      <c r="M81" s="8"/>
      <c r="N81" s="12"/>
      <c r="O81" s="13"/>
      <c r="P81" s="14"/>
      <c r="Q81" s="15"/>
      <c r="R81" s="14"/>
      <c r="S81" s="16"/>
      <c r="T81" s="14"/>
    </row>
    <row r="82" spans="11:20">
      <c r="K82" s="17"/>
      <c r="L82" s="12"/>
      <c r="M82" s="18"/>
      <c r="N82" s="12"/>
      <c r="O82" s="8"/>
      <c r="P82" s="14"/>
      <c r="Q82" s="15"/>
      <c r="R82" s="14"/>
      <c r="S82" s="16"/>
      <c r="T82" s="199"/>
    </row>
    <row r="83" spans="11:20">
      <c r="K83" s="17"/>
      <c r="L83" s="12"/>
      <c r="M83" s="8"/>
      <c r="N83" s="12"/>
      <c r="O83" s="8"/>
      <c r="P83" s="8"/>
      <c r="Q83" s="8"/>
      <c r="R83" s="14"/>
      <c r="S83" s="19"/>
      <c r="T83" s="202"/>
    </row>
    <row r="85" spans="11:20">
      <c r="K85" s="11"/>
      <c r="L85" s="12"/>
      <c r="M85" s="8"/>
      <c r="N85" s="12"/>
      <c r="O85" s="13"/>
      <c r="P85" s="14"/>
      <c r="Q85" s="15"/>
      <c r="R85" s="14"/>
      <c r="S85" s="16"/>
      <c r="T85" s="14"/>
    </row>
    <row r="86" spans="11:20">
      <c r="K86" s="17"/>
      <c r="L86" s="12"/>
      <c r="M86" s="18"/>
      <c r="N86" s="12"/>
      <c r="O86" s="8"/>
      <c r="P86" s="14"/>
      <c r="Q86" s="15"/>
      <c r="R86" s="14"/>
      <c r="S86" s="16"/>
      <c r="T86" s="199"/>
    </row>
    <row r="87" spans="11:20">
      <c r="K87" s="17"/>
      <c r="L87" s="12"/>
      <c r="M87" s="8"/>
      <c r="N87" s="12"/>
      <c r="O87" s="8"/>
      <c r="P87" s="8"/>
      <c r="Q87" s="8"/>
      <c r="R87" s="14"/>
      <c r="S87" s="19"/>
      <c r="T87" s="202"/>
    </row>
    <row r="89" spans="11:20">
      <c r="K89" s="11"/>
      <c r="L89" s="12"/>
      <c r="M89" s="8"/>
      <c r="N89" s="12"/>
      <c r="O89" s="13"/>
      <c r="P89" s="14"/>
      <c r="Q89" s="15"/>
      <c r="R89" s="14"/>
      <c r="S89" s="16"/>
      <c r="T89" s="14"/>
    </row>
    <row r="90" spans="11:20">
      <c r="K90" s="17"/>
      <c r="L90" s="12"/>
      <c r="M90" s="18"/>
      <c r="N90" s="12"/>
      <c r="O90" s="8"/>
      <c r="P90" s="14"/>
      <c r="Q90" s="15"/>
      <c r="R90" s="14"/>
      <c r="S90" s="16"/>
      <c r="T90" s="199"/>
    </row>
    <row r="91" spans="11:20">
      <c r="K91" s="17"/>
      <c r="L91" s="12"/>
      <c r="M91" s="18"/>
      <c r="N91" s="12"/>
      <c r="O91" s="8"/>
      <c r="P91" s="8"/>
      <c r="Q91" s="8"/>
      <c r="R91" s="14"/>
      <c r="S91" s="19"/>
      <c r="T91" s="202"/>
    </row>
    <row r="93" spans="11:20">
      <c r="K93" s="11"/>
      <c r="L93" s="12"/>
      <c r="M93" s="8"/>
      <c r="N93" s="12"/>
      <c r="O93" s="13"/>
      <c r="P93" s="14"/>
      <c r="Q93" s="15"/>
      <c r="R93" s="14"/>
      <c r="S93" s="16"/>
      <c r="T93" s="14"/>
    </row>
    <row r="94" spans="11:20">
      <c r="K94" s="17"/>
      <c r="L94" s="12"/>
      <c r="M94" s="18"/>
      <c r="N94" s="12"/>
      <c r="O94" s="8"/>
      <c r="P94" s="14"/>
      <c r="Q94" s="15"/>
      <c r="R94" s="14"/>
      <c r="S94" s="16"/>
      <c r="T94" s="199"/>
    </row>
    <row r="95" spans="11:20">
      <c r="K95" s="17"/>
      <c r="L95" s="12"/>
      <c r="M95" s="20"/>
      <c r="N95" s="12"/>
      <c r="O95" s="8"/>
      <c r="P95" s="8"/>
      <c r="Q95" s="8"/>
      <c r="R95" s="14"/>
      <c r="S95" s="19"/>
      <c r="T95" s="202"/>
    </row>
    <row r="97" spans="11:20">
      <c r="K97" s="11"/>
      <c r="L97" s="12"/>
      <c r="M97" s="8"/>
      <c r="N97" s="12"/>
      <c r="O97" s="13"/>
      <c r="P97" s="14"/>
      <c r="Q97" s="15"/>
      <c r="R97" s="14"/>
      <c r="S97" s="16"/>
      <c r="T97" s="14"/>
    </row>
    <row r="98" spans="11:20">
      <c r="K98" s="17"/>
      <c r="L98" s="12"/>
      <c r="M98" s="18"/>
      <c r="N98" s="12"/>
      <c r="O98" s="8"/>
      <c r="P98" s="14"/>
      <c r="Q98" s="15"/>
      <c r="R98" s="14"/>
      <c r="S98" s="16"/>
      <c r="T98" s="199"/>
    </row>
    <row r="99" spans="11:20">
      <c r="K99" s="17"/>
      <c r="L99" s="12"/>
      <c r="M99" s="20"/>
      <c r="N99" s="12"/>
      <c r="O99" s="8"/>
      <c r="P99" s="8"/>
      <c r="Q99" s="8"/>
      <c r="R99" s="14"/>
      <c r="S99" s="19"/>
      <c r="T99" s="202"/>
    </row>
    <row r="101" spans="11:20">
      <c r="K101" s="11"/>
      <c r="L101" s="12"/>
      <c r="M101" s="8"/>
      <c r="N101" s="12"/>
      <c r="O101" s="13"/>
      <c r="P101" s="14"/>
      <c r="Q101" s="15"/>
      <c r="R101" s="14"/>
      <c r="S101" s="16"/>
      <c r="T101" s="14"/>
    </row>
    <row r="102" spans="11:20">
      <c r="K102" s="17"/>
      <c r="L102" s="12"/>
      <c r="M102" s="18"/>
      <c r="N102" s="12"/>
      <c r="O102" s="8"/>
      <c r="P102" s="14"/>
      <c r="Q102" s="15"/>
      <c r="R102" s="14"/>
      <c r="S102" s="16"/>
      <c r="T102" s="199"/>
    </row>
    <row r="103" spans="11:20">
      <c r="K103" s="17"/>
      <c r="L103" s="12"/>
      <c r="M103" s="8"/>
      <c r="N103" s="12"/>
      <c r="O103" s="8"/>
      <c r="P103" s="8"/>
      <c r="Q103" s="8"/>
      <c r="R103" s="14"/>
      <c r="S103" s="19"/>
      <c r="T103" s="202"/>
    </row>
    <row r="105" spans="11:20">
      <c r="K105" s="11"/>
      <c r="L105" s="12"/>
      <c r="M105" s="8"/>
      <c r="N105" s="12"/>
      <c r="O105" s="13"/>
      <c r="P105" s="14"/>
      <c r="Q105" s="15"/>
      <c r="R105" s="14"/>
      <c r="S105" s="16"/>
      <c r="T105" s="14"/>
    </row>
    <row r="106" spans="11:20">
      <c r="K106" s="17"/>
      <c r="L106" s="12"/>
      <c r="M106" s="18"/>
      <c r="N106" s="12"/>
      <c r="O106" s="8"/>
      <c r="P106" s="14"/>
      <c r="Q106" s="15"/>
      <c r="R106" s="14"/>
      <c r="S106" s="16"/>
      <c r="T106" s="199"/>
    </row>
    <row r="107" spans="11:20">
      <c r="K107" s="17"/>
      <c r="L107" s="12"/>
      <c r="M107" s="8"/>
      <c r="N107" s="12"/>
      <c r="O107" s="8"/>
      <c r="P107" s="8"/>
      <c r="Q107" s="8"/>
      <c r="R107" s="14"/>
      <c r="S107" s="19"/>
      <c r="T107" s="202"/>
    </row>
    <row r="109" spans="11:20">
      <c r="K109" s="11"/>
      <c r="L109" s="12"/>
      <c r="M109" s="8"/>
      <c r="N109" s="12"/>
      <c r="O109" s="13"/>
      <c r="P109" s="14"/>
      <c r="Q109" s="15"/>
      <c r="R109" s="14"/>
      <c r="S109" s="16"/>
      <c r="T109" s="14"/>
    </row>
    <row r="110" spans="11:20">
      <c r="K110" s="17"/>
      <c r="L110" s="12"/>
      <c r="M110" s="18"/>
      <c r="N110" s="12"/>
      <c r="O110" s="8"/>
      <c r="P110" s="14"/>
      <c r="Q110" s="15"/>
      <c r="R110" s="14"/>
      <c r="S110" s="16"/>
      <c r="T110" s="199"/>
    </row>
    <row r="111" spans="11:20">
      <c r="K111" s="17"/>
      <c r="L111" s="12"/>
      <c r="M111" s="8"/>
      <c r="N111" s="12"/>
      <c r="O111" s="8"/>
      <c r="P111" s="8"/>
      <c r="Q111" s="8"/>
      <c r="R111" s="14"/>
      <c r="S111" s="19"/>
      <c r="T111" s="202"/>
    </row>
    <row r="113" spans="11:20">
      <c r="K113" s="11"/>
      <c r="L113" s="12"/>
      <c r="M113" s="8"/>
      <c r="N113" s="12"/>
      <c r="O113" s="13"/>
      <c r="P113" s="14"/>
      <c r="Q113" s="15"/>
      <c r="R113" s="14"/>
      <c r="S113" s="16"/>
      <c r="T113" s="14"/>
    </row>
    <row r="114" spans="11:20">
      <c r="K114" s="17"/>
      <c r="L114" s="12"/>
      <c r="M114" s="18"/>
      <c r="N114" s="12"/>
      <c r="O114" s="8"/>
      <c r="P114" s="14"/>
      <c r="Q114" s="15"/>
      <c r="R114" s="14"/>
      <c r="S114" s="16"/>
      <c r="T114" s="199"/>
    </row>
    <row r="115" spans="11:20">
      <c r="K115" s="17"/>
      <c r="L115" s="12"/>
      <c r="M115" s="8"/>
      <c r="N115" s="12"/>
      <c r="O115" s="8"/>
      <c r="P115" s="8"/>
      <c r="Q115" s="8"/>
      <c r="R115" s="14"/>
      <c r="S115" s="19"/>
      <c r="T115" s="202"/>
    </row>
    <row r="117" spans="11:20">
      <c r="K117" s="11"/>
      <c r="L117" s="12"/>
      <c r="M117" s="8"/>
      <c r="N117" s="12"/>
      <c r="O117" s="13"/>
      <c r="P117" s="14"/>
      <c r="Q117" s="15"/>
      <c r="R117" s="14"/>
      <c r="S117" s="16"/>
      <c r="T117" s="14"/>
    </row>
    <row r="118" spans="11:20">
      <c r="K118" s="17"/>
      <c r="L118" s="12"/>
      <c r="M118" s="18"/>
      <c r="N118" s="12"/>
      <c r="O118" s="8"/>
      <c r="P118" s="14"/>
      <c r="Q118" s="15"/>
      <c r="R118" s="14"/>
      <c r="S118" s="16"/>
      <c r="T118" s="199"/>
    </row>
    <row r="119" spans="11:20">
      <c r="K119" s="17"/>
      <c r="L119" s="12"/>
      <c r="M119" s="8"/>
      <c r="N119" s="12"/>
      <c r="O119" s="8"/>
      <c r="P119" s="8"/>
      <c r="Q119" s="8"/>
      <c r="R119" s="14"/>
      <c r="S119" s="19"/>
      <c r="T119" s="202"/>
    </row>
    <row r="121" spans="11:20">
      <c r="K121" s="11"/>
      <c r="L121" s="12"/>
      <c r="M121" s="8"/>
      <c r="N121" s="12"/>
      <c r="O121" s="13"/>
      <c r="P121" s="14"/>
      <c r="Q121" s="15"/>
      <c r="R121" s="14"/>
      <c r="S121" s="16"/>
      <c r="T121" s="14"/>
    </row>
    <row r="122" spans="11:20">
      <c r="K122" s="17"/>
      <c r="L122" s="12"/>
      <c r="M122" s="18"/>
      <c r="N122" s="12"/>
      <c r="O122" s="8"/>
      <c r="P122" s="14"/>
      <c r="Q122" s="15"/>
      <c r="R122" s="14"/>
      <c r="S122" s="16"/>
      <c r="T122" s="199"/>
    </row>
    <row r="123" spans="11:20">
      <c r="K123" s="17"/>
      <c r="L123" s="12"/>
      <c r="M123" s="8"/>
      <c r="N123" s="12"/>
      <c r="O123" s="8"/>
      <c r="P123" s="8"/>
      <c r="Q123" s="8"/>
      <c r="R123" s="14"/>
      <c r="S123" s="19"/>
      <c r="T123" s="202"/>
    </row>
  </sheetData>
  <mergeCells count="27">
    <mergeCell ref="T118:T119"/>
    <mergeCell ref="T122:T123"/>
    <mergeCell ref="T94:T95"/>
    <mergeCell ref="T98:T99"/>
    <mergeCell ref="T102:T103"/>
    <mergeCell ref="T106:T107"/>
    <mergeCell ref="T110:T111"/>
    <mergeCell ref="T114:T115"/>
    <mergeCell ref="T90:T91"/>
    <mergeCell ref="T46:T47"/>
    <mergeCell ref="T50:T51"/>
    <mergeCell ref="T54:T55"/>
    <mergeCell ref="T58:T59"/>
    <mergeCell ref="T62:T63"/>
    <mergeCell ref="T66:T67"/>
    <mergeCell ref="T70:T71"/>
    <mergeCell ref="T74:T75"/>
    <mergeCell ref="T78:T79"/>
    <mergeCell ref="T82:T83"/>
    <mergeCell ref="T86:T87"/>
    <mergeCell ref="B22:H22"/>
    <mergeCell ref="T42:T43"/>
    <mergeCell ref="C28:E28"/>
    <mergeCell ref="F28:G28"/>
    <mergeCell ref="C33:E33"/>
    <mergeCell ref="F33:G33"/>
    <mergeCell ref="T38:T39"/>
  </mergeCells>
  <phoneticPr fontId="11"/>
  <printOptions horizontalCentered="1"/>
  <pageMargins left="0.39370078740157483" right="0.39370078740157483" top="0.39370078740157483" bottom="0.39370078740157483" header="0.19685039370078741" footer="0.19685039370078741"/>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A34"/>
  <sheetViews>
    <sheetView view="pageBreakPreview" zoomScaleNormal="100" zoomScaleSheetLayoutView="100" workbookViewId="0">
      <selection sqref="A1:H1"/>
    </sheetView>
  </sheetViews>
  <sheetFormatPr defaultRowHeight="13"/>
  <cols>
    <col min="1" max="64" width="2.6328125" customWidth="1"/>
  </cols>
  <sheetData>
    <row r="1" spans="1:53" ht="12" customHeight="1">
      <c r="A1" s="243" t="s">
        <v>4</v>
      </c>
      <c r="B1" s="243"/>
      <c r="C1" s="243"/>
      <c r="D1" s="243"/>
      <c r="E1" s="243"/>
      <c r="F1" s="243"/>
      <c r="G1" s="243"/>
      <c r="H1" s="243"/>
      <c r="I1" s="226" t="s">
        <v>5</v>
      </c>
      <c r="J1" s="226"/>
      <c r="K1" s="226"/>
      <c r="L1" s="226"/>
      <c r="M1" s="241" t="s">
        <v>6</v>
      </c>
      <c r="N1" s="241"/>
      <c r="O1" s="241"/>
      <c r="P1" s="241"/>
      <c r="Q1" s="241"/>
      <c r="R1" s="241"/>
      <c r="S1" s="241"/>
      <c r="T1" s="241"/>
      <c r="U1" s="241"/>
      <c r="V1" s="241"/>
      <c r="W1" s="241"/>
      <c r="X1" s="226" t="s">
        <v>7</v>
      </c>
      <c r="Y1" s="226"/>
      <c r="Z1" s="226"/>
      <c r="AA1" s="245" t="s">
        <v>176</v>
      </c>
      <c r="AB1" s="245"/>
      <c r="AC1" s="245"/>
      <c r="AD1" s="245"/>
      <c r="AE1" s="245"/>
      <c r="AF1" s="245"/>
      <c r="AG1" s="245"/>
      <c r="AH1" s="245"/>
      <c r="AI1" s="245"/>
      <c r="AJ1" s="245"/>
      <c r="AK1" s="230" t="s">
        <v>8</v>
      </c>
      <c r="AL1" s="230"/>
      <c r="AM1" s="230"/>
      <c r="AN1" s="231" t="s">
        <v>31</v>
      </c>
      <c r="AO1" s="231"/>
      <c r="AP1" s="231"/>
      <c r="AQ1" s="230" t="s">
        <v>9</v>
      </c>
      <c r="AR1" s="230"/>
      <c r="AS1" s="230"/>
      <c r="AT1" s="233">
        <f>AL7</f>
        <v>46125</v>
      </c>
      <c r="AU1" s="233"/>
      <c r="AV1" s="233"/>
      <c r="AW1" s="233"/>
      <c r="AX1" s="222" t="s">
        <v>10</v>
      </c>
      <c r="AY1" s="223"/>
      <c r="AZ1" s="223"/>
      <c r="BA1" s="224"/>
    </row>
    <row r="2" spans="1:53">
      <c r="A2" s="225" t="s">
        <v>16</v>
      </c>
      <c r="B2" s="225"/>
      <c r="C2" s="225"/>
      <c r="D2" s="225"/>
      <c r="E2" s="225"/>
      <c r="F2" s="225"/>
      <c r="G2" s="225"/>
      <c r="H2" s="225"/>
      <c r="I2" s="226" t="s">
        <v>11</v>
      </c>
      <c r="J2" s="226"/>
      <c r="K2" s="226"/>
      <c r="L2" s="226"/>
      <c r="M2" s="227" t="s">
        <v>261</v>
      </c>
      <c r="N2" s="228"/>
      <c r="O2" s="228"/>
      <c r="P2" s="228"/>
      <c r="Q2" s="228"/>
      <c r="R2" s="228"/>
      <c r="S2" s="228"/>
      <c r="T2" s="228"/>
      <c r="U2" s="228"/>
      <c r="V2" s="228"/>
      <c r="W2" s="229"/>
      <c r="X2" s="226"/>
      <c r="Y2" s="226"/>
      <c r="Z2" s="226"/>
      <c r="AA2" s="245"/>
      <c r="AB2" s="245"/>
      <c r="AC2" s="245"/>
      <c r="AD2" s="245"/>
      <c r="AE2" s="245"/>
      <c r="AF2" s="245"/>
      <c r="AG2" s="245"/>
      <c r="AH2" s="245"/>
      <c r="AI2" s="245"/>
      <c r="AJ2" s="245"/>
      <c r="AK2" s="230" t="s">
        <v>12</v>
      </c>
      <c r="AL2" s="230"/>
      <c r="AM2" s="230"/>
      <c r="AN2" s="231" t="s">
        <v>31</v>
      </c>
      <c r="AO2" s="231"/>
      <c r="AP2" s="231"/>
      <c r="AQ2" s="230" t="s">
        <v>13</v>
      </c>
      <c r="AR2" s="230"/>
      <c r="AS2" s="230"/>
      <c r="AT2" s="233">
        <v>46162</v>
      </c>
      <c r="AU2" s="233"/>
      <c r="AV2" s="233"/>
      <c r="AW2" s="233"/>
      <c r="AX2" s="234" t="s">
        <v>29</v>
      </c>
      <c r="AY2" s="235"/>
      <c r="AZ2" s="235"/>
      <c r="BA2" s="236"/>
    </row>
    <row r="3" spans="1:53" ht="12" customHeight="1">
      <c r="A3" s="240" t="s">
        <v>26</v>
      </c>
      <c r="B3" s="240"/>
      <c r="C3" s="240"/>
      <c r="D3" s="240"/>
      <c r="E3" s="240"/>
      <c r="F3" s="240"/>
      <c r="G3" s="240"/>
      <c r="H3" s="240"/>
      <c r="I3" s="226" t="s">
        <v>14</v>
      </c>
      <c r="J3" s="226"/>
      <c r="K3" s="226"/>
      <c r="L3" s="226"/>
      <c r="M3" s="241"/>
      <c r="N3" s="241"/>
      <c r="O3" s="241"/>
      <c r="P3" s="241"/>
      <c r="Q3" s="241"/>
      <c r="R3" s="241"/>
      <c r="S3" s="241"/>
      <c r="T3" s="241"/>
      <c r="U3" s="241"/>
      <c r="V3" s="241"/>
      <c r="W3" s="241"/>
      <c r="X3" s="226" t="s">
        <v>27</v>
      </c>
      <c r="Y3" s="226"/>
      <c r="Z3" s="226"/>
      <c r="AA3" s="242" t="s">
        <v>177</v>
      </c>
      <c r="AB3" s="242"/>
      <c r="AC3" s="242"/>
      <c r="AD3" s="242"/>
      <c r="AE3" s="242"/>
      <c r="AF3" s="242"/>
      <c r="AG3" s="242"/>
      <c r="AH3" s="242"/>
      <c r="AI3" s="242"/>
      <c r="AJ3" s="242"/>
      <c r="AK3" s="242"/>
      <c r="AL3" s="242"/>
      <c r="AM3" s="242"/>
      <c r="AN3" s="242"/>
      <c r="AO3" s="242"/>
      <c r="AP3" s="242"/>
      <c r="AQ3" s="230" t="s">
        <v>15</v>
      </c>
      <c r="AR3" s="230"/>
      <c r="AS3" s="230"/>
      <c r="AT3" s="246" t="str">
        <f ca="1">INDIRECT("A" &amp; COUNTA(A7:A39) + 6)</f>
        <v>r1.2</v>
      </c>
      <c r="AU3" s="246"/>
      <c r="AV3" s="246"/>
      <c r="AW3" s="246"/>
      <c r="AX3" s="237"/>
      <c r="AY3" s="238"/>
      <c r="AZ3" s="238"/>
      <c r="BA3" s="239"/>
    </row>
    <row r="4" spans="1:53" ht="5.9" customHeight="1"/>
    <row r="5" spans="1:53" ht="14">
      <c r="A5" s="244" t="s">
        <v>25</v>
      </c>
      <c r="B5" s="244"/>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spans="1:53">
      <c r="A6" s="247" t="s">
        <v>24</v>
      </c>
      <c r="B6" s="248"/>
      <c r="C6" s="232" t="s">
        <v>17</v>
      </c>
      <c r="D6" s="232"/>
      <c r="E6" s="232"/>
      <c r="F6" s="232"/>
      <c r="G6" s="232"/>
      <c r="H6" s="232"/>
      <c r="I6" s="232"/>
      <c r="J6" s="232"/>
      <c r="K6" s="232"/>
      <c r="L6" s="232"/>
      <c r="M6" s="232"/>
      <c r="N6" s="232"/>
      <c r="O6" s="232"/>
      <c r="P6" s="232"/>
      <c r="Q6" s="232" t="s">
        <v>18</v>
      </c>
      <c r="R6" s="232"/>
      <c r="S6" s="232"/>
      <c r="T6" s="232"/>
      <c r="U6" s="232"/>
      <c r="V6" s="232"/>
      <c r="W6" s="232"/>
      <c r="X6" s="232"/>
      <c r="Y6" s="232"/>
      <c r="Z6" s="232"/>
      <c r="AA6" s="232"/>
      <c r="AB6" s="232"/>
      <c r="AC6" s="232"/>
      <c r="AD6" s="232"/>
      <c r="AE6" s="232"/>
      <c r="AF6" s="232"/>
      <c r="AG6" s="232"/>
      <c r="AH6" s="232"/>
      <c r="AI6" s="232"/>
      <c r="AJ6" s="232"/>
      <c r="AK6" s="232"/>
      <c r="AL6" s="232" t="s">
        <v>19</v>
      </c>
      <c r="AM6" s="232"/>
      <c r="AN6" s="232"/>
      <c r="AO6" s="232"/>
      <c r="AP6" s="232" t="s">
        <v>20</v>
      </c>
      <c r="AQ6" s="232"/>
      <c r="AR6" s="232"/>
      <c r="AS6" s="232" t="s">
        <v>21</v>
      </c>
      <c r="AT6" s="232"/>
      <c r="AU6" s="232"/>
      <c r="AV6" s="232" t="s">
        <v>22</v>
      </c>
      <c r="AW6" s="232"/>
      <c r="AX6" s="232"/>
      <c r="AY6" s="232"/>
      <c r="AZ6" s="232"/>
      <c r="BA6" s="232"/>
    </row>
    <row r="7" spans="1:53">
      <c r="A7" s="204" t="s">
        <v>30</v>
      </c>
      <c r="B7" s="204"/>
      <c r="C7" s="205" t="s">
        <v>23</v>
      </c>
      <c r="D7" s="205"/>
      <c r="E7" s="205"/>
      <c r="F7" s="205"/>
      <c r="G7" s="205"/>
      <c r="H7" s="205"/>
      <c r="I7" s="205"/>
      <c r="J7" s="205"/>
      <c r="K7" s="205"/>
      <c r="L7" s="205"/>
      <c r="M7" s="205"/>
      <c r="N7" s="205"/>
      <c r="O7" s="205"/>
      <c r="P7" s="205"/>
      <c r="Q7" s="205"/>
      <c r="R7" s="205"/>
      <c r="S7" s="205"/>
      <c r="T7" s="205"/>
      <c r="U7" s="205"/>
      <c r="V7" s="205"/>
      <c r="W7" s="205"/>
      <c r="X7" s="205"/>
      <c r="Y7" s="205"/>
      <c r="Z7" s="205"/>
      <c r="AA7" s="205"/>
      <c r="AB7" s="205"/>
      <c r="AC7" s="205"/>
      <c r="AD7" s="205"/>
      <c r="AE7" s="205"/>
      <c r="AF7" s="205"/>
      <c r="AG7" s="205"/>
      <c r="AH7" s="205"/>
      <c r="AI7" s="205"/>
      <c r="AJ7" s="205"/>
      <c r="AK7" s="205"/>
      <c r="AL7" s="209">
        <v>46125</v>
      </c>
      <c r="AM7" s="210"/>
      <c r="AN7" s="210"/>
      <c r="AO7" s="210"/>
      <c r="AP7" s="205" t="s">
        <v>31</v>
      </c>
      <c r="AQ7" s="205"/>
      <c r="AR7" s="205"/>
      <c r="AS7" s="205"/>
      <c r="AT7" s="205"/>
      <c r="AU7" s="205"/>
      <c r="AV7" s="205"/>
      <c r="AW7" s="205"/>
      <c r="AX7" s="205"/>
      <c r="AY7" s="205"/>
      <c r="AZ7" s="205"/>
      <c r="BA7" s="205"/>
    </row>
    <row r="8" spans="1:53" ht="26.5" customHeight="1">
      <c r="A8" s="219" t="s">
        <v>171</v>
      </c>
      <c r="B8" s="220"/>
      <c r="C8" s="206" t="s">
        <v>173</v>
      </c>
      <c r="D8" s="206"/>
      <c r="E8" s="206"/>
      <c r="F8" s="206"/>
      <c r="G8" s="206"/>
      <c r="H8" s="206"/>
      <c r="I8" s="206"/>
      <c r="J8" s="206"/>
      <c r="K8" s="206"/>
      <c r="L8" s="206"/>
      <c r="M8" s="206"/>
      <c r="N8" s="206"/>
      <c r="O8" s="206"/>
      <c r="P8" s="206"/>
      <c r="Q8" s="216" t="s">
        <v>172</v>
      </c>
      <c r="R8" s="217"/>
      <c r="S8" s="217"/>
      <c r="T8" s="217"/>
      <c r="U8" s="217"/>
      <c r="V8" s="217"/>
      <c r="W8" s="217"/>
      <c r="X8" s="217"/>
      <c r="Y8" s="217"/>
      <c r="Z8" s="217"/>
      <c r="AA8" s="217"/>
      <c r="AB8" s="217"/>
      <c r="AC8" s="217"/>
      <c r="AD8" s="217"/>
      <c r="AE8" s="217"/>
      <c r="AF8" s="217"/>
      <c r="AG8" s="217"/>
      <c r="AH8" s="217"/>
      <c r="AI8" s="217"/>
      <c r="AJ8" s="217"/>
      <c r="AK8" s="218"/>
      <c r="AL8" s="211">
        <v>46134</v>
      </c>
      <c r="AM8" s="212"/>
      <c r="AN8" s="212"/>
      <c r="AO8" s="213"/>
      <c r="AP8" s="205" t="s">
        <v>31</v>
      </c>
      <c r="AQ8" s="205"/>
      <c r="AR8" s="205"/>
      <c r="AS8" s="205"/>
      <c r="AT8" s="205"/>
      <c r="AU8" s="205"/>
      <c r="AV8" s="205"/>
      <c r="AW8" s="205"/>
      <c r="AX8" s="205"/>
      <c r="AY8" s="205"/>
      <c r="AZ8" s="205"/>
      <c r="BA8" s="205"/>
    </row>
    <row r="9" spans="1:53">
      <c r="A9" s="219" t="s">
        <v>174</v>
      </c>
      <c r="B9" s="220"/>
      <c r="C9" s="205" t="s">
        <v>175</v>
      </c>
      <c r="D9" s="205"/>
      <c r="E9" s="205"/>
      <c r="F9" s="205"/>
      <c r="G9" s="205"/>
      <c r="H9" s="205"/>
      <c r="I9" s="205"/>
      <c r="J9" s="205"/>
      <c r="K9" s="205"/>
      <c r="L9" s="205"/>
      <c r="M9" s="205"/>
      <c r="N9" s="205"/>
      <c r="O9" s="205"/>
      <c r="P9" s="205"/>
      <c r="Q9" s="216" t="s">
        <v>230</v>
      </c>
      <c r="R9" s="217"/>
      <c r="S9" s="217"/>
      <c r="T9" s="217"/>
      <c r="U9" s="217"/>
      <c r="V9" s="217"/>
      <c r="W9" s="217"/>
      <c r="X9" s="217"/>
      <c r="Y9" s="217"/>
      <c r="Z9" s="217"/>
      <c r="AA9" s="217"/>
      <c r="AB9" s="217"/>
      <c r="AC9" s="217"/>
      <c r="AD9" s="217"/>
      <c r="AE9" s="217"/>
      <c r="AF9" s="217"/>
      <c r="AG9" s="217"/>
      <c r="AH9" s="217"/>
      <c r="AI9" s="217"/>
      <c r="AJ9" s="217"/>
      <c r="AK9" s="218"/>
      <c r="AL9" s="211">
        <v>46162</v>
      </c>
      <c r="AM9" s="212"/>
      <c r="AN9" s="212"/>
      <c r="AO9" s="213"/>
      <c r="AP9" s="205" t="s">
        <v>31</v>
      </c>
      <c r="AQ9" s="205"/>
      <c r="AR9" s="205"/>
      <c r="AS9" s="205"/>
      <c r="AT9" s="205"/>
      <c r="AU9" s="205"/>
      <c r="AV9" s="205"/>
      <c r="AW9" s="205"/>
      <c r="AX9" s="205"/>
      <c r="AY9" s="205"/>
      <c r="AZ9" s="205"/>
      <c r="BA9" s="205"/>
    </row>
    <row r="10" spans="1:53">
      <c r="A10" s="204"/>
      <c r="B10" s="204"/>
      <c r="C10" s="205"/>
      <c r="D10" s="205"/>
      <c r="E10" s="205"/>
      <c r="F10" s="205"/>
      <c r="G10" s="205"/>
      <c r="H10" s="205"/>
      <c r="I10" s="205"/>
      <c r="J10" s="205"/>
      <c r="K10" s="205"/>
      <c r="L10" s="205"/>
      <c r="M10" s="205"/>
      <c r="N10" s="205"/>
      <c r="O10" s="205"/>
      <c r="P10" s="205"/>
      <c r="Q10" s="206"/>
      <c r="R10" s="205"/>
      <c r="S10" s="205"/>
      <c r="T10" s="205"/>
      <c r="U10" s="205"/>
      <c r="V10" s="205"/>
      <c r="W10" s="205"/>
      <c r="X10" s="205"/>
      <c r="Y10" s="205"/>
      <c r="Z10" s="205"/>
      <c r="AA10" s="205"/>
      <c r="AB10" s="205"/>
      <c r="AC10" s="205"/>
      <c r="AD10" s="205"/>
      <c r="AE10" s="205"/>
      <c r="AF10" s="205"/>
      <c r="AG10" s="205"/>
      <c r="AH10" s="205"/>
      <c r="AI10" s="205"/>
      <c r="AJ10" s="205"/>
      <c r="AK10" s="205"/>
      <c r="AL10" s="203"/>
      <c r="AM10" s="204"/>
      <c r="AN10" s="204"/>
      <c r="AO10" s="204"/>
      <c r="AP10" s="205"/>
      <c r="AQ10" s="205"/>
      <c r="AR10" s="205"/>
      <c r="AS10" s="205"/>
      <c r="AT10" s="205"/>
      <c r="AU10" s="205"/>
      <c r="AV10" s="205"/>
      <c r="AW10" s="205"/>
      <c r="AX10" s="205"/>
      <c r="AY10" s="205"/>
      <c r="AZ10" s="205"/>
      <c r="BA10" s="205"/>
    </row>
    <row r="11" spans="1:53">
      <c r="A11" s="204"/>
      <c r="B11" s="204"/>
      <c r="C11" s="206"/>
      <c r="D11" s="205"/>
      <c r="E11" s="205"/>
      <c r="F11" s="205"/>
      <c r="G11" s="205"/>
      <c r="H11" s="205"/>
      <c r="I11" s="205"/>
      <c r="J11" s="205"/>
      <c r="K11" s="205"/>
      <c r="L11" s="205"/>
      <c r="M11" s="205"/>
      <c r="N11" s="205"/>
      <c r="O11" s="205"/>
      <c r="P11" s="205"/>
      <c r="Q11" s="206"/>
      <c r="R11" s="205"/>
      <c r="S11" s="205"/>
      <c r="T11" s="205"/>
      <c r="U11" s="205"/>
      <c r="V11" s="205"/>
      <c r="W11" s="205"/>
      <c r="X11" s="205"/>
      <c r="Y11" s="205"/>
      <c r="Z11" s="205"/>
      <c r="AA11" s="205"/>
      <c r="AB11" s="205"/>
      <c r="AC11" s="205"/>
      <c r="AD11" s="205"/>
      <c r="AE11" s="205"/>
      <c r="AF11" s="205"/>
      <c r="AG11" s="205"/>
      <c r="AH11" s="205"/>
      <c r="AI11" s="205"/>
      <c r="AJ11" s="205"/>
      <c r="AK11" s="205"/>
      <c r="AL11" s="203"/>
      <c r="AM11" s="204"/>
      <c r="AN11" s="204"/>
      <c r="AO11" s="204"/>
      <c r="AP11" s="205"/>
      <c r="AQ11" s="205"/>
      <c r="AR11" s="205"/>
      <c r="AS11" s="205"/>
      <c r="AT11" s="205"/>
      <c r="AU11" s="205"/>
      <c r="AV11" s="205"/>
      <c r="AW11" s="205"/>
      <c r="AX11" s="205"/>
      <c r="AY11" s="205"/>
      <c r="AZ11" s="205"/>
      <c r="BA11" s="205"/>
    </row>
    <row r="12" spans="1:53">
      <c r="A12" s="204"/>
      <c r="B12" s="204"/>
      <c r="C12" s="205"/>
      <c r="D12" s="205"/>
      <c r="E12" s="205"/>
      <c r="F12" s="205"/>
      <c r="G12" s="205"/>
      <c r="H12" s="205"/>
      <c r="I12" s="205"/>
      <c r="J12" s="205"/>
      <c r="K12" s="205"/>
      <c r="L12" s="205"/>
      <c r="M12" s="205"/>
      <c r="N12" s="205"/>
      <c r="O12" s="205"/>
      <c r="P12" s="205"/>
      <c r="Q12" s="205"/>
      <c r="R12" s="205"/>
      <c r="S12" s="205"/>
      <c r="T12" s="205"/>
      <c r="U12" s="205"/>
      <c r="V12" s="205"/>
      <c r="W12" s="205"/>
      <c r="X12" s="205"/>
      <c r="Y12" s="205"/>
      <c r="Z12" s="205"/>
      <c r="AA12" s="205"/>
      <c r="AB12" s="205"/>
      <c r="AC12" s="205"/>
      <c r="AD12" s="205"/>
      <c r="AE12" s="205"/>
      <c r="AF12" s="205"/>
      <c r="AG12" s="205"/>
      <c r="AH12" s="205"/>
      <c r="AI12" s="205"/>
      <c r="AJ12" s="205"/>
      <c r="AK12" s="205"/>
      <c r="AL12" s="203"/>
      <c r="AM12" s="204"/>
      <c r="AN12" s="204"/>
      <c r="AO12" s="204"/>
      <c r="AP12" s="205"/>
      <c r="AQ12" s="205"/>
      <c r="AR12" s="205"/>
      <c r="AS12" s="205"/>
      <c r="AT12" s="205"/>
      <c r="AU12" s="205"/>
      <c r="AV12" s="205"/>
      <c r="AW12" s="205"/>
      <c r="AX12" s="205"/>
      <c r="AY12" s="205"/>
      <c r="AZ12" s="205"/>
      <c r="BA12" s="205"/>
    </row>
    <row r="13" spans="1:53">
      <c r="A13" s="215"/>
      <c r="B13" s="215"/>
      <c r="C13" s="207"/>
      <c r="D13" s="207"/>
      <c r="E13" s="207"/>
      <c r="F13" s="207"/>
      <c r="G13" s="207"/>
      <c r="H13" s="207"/>
      <c r="I13" s="207"/>
      <c r="J13" s="207"/>
      <c r="K13" s="207"/>
      <c r="L13" s="207"/>
      <c r="M13" s="207"/>
      <c r="N13" s="207"/>
      <c r="O13" s="207"/>
      <c r="P13" s="207"/>
      <c r="Q13" s="206"/>
      <c r="R13" s="205"/>
      <c r="S13" s="205"/>
      <c r="T13" s="205"/>
      <c r="U13" s="205"/>
      <c r="V13" s="205"/>
      <c r="W13" s="205"/>
      <c r="X13" s="205"/>
      <c r="Y13" s="205"/>
      <c r="Z13" s="205"/>
      <c r="AA13" s="205"/>
      <c r="AB13" s="205"/>
      <c r="AC13" s="205"/>
      <c r="AD13" s="205"/>
      <c r="AE13" s="205"/>
      <c r="AF13" s="205"/>
      <c r="AG13" s="205"/>
      <c r="AH13" s="205"/>
      <c r="AI13" s="205"/>
      <c r="AJ13" s="205"/>
      <c r="AK13" s="205"/>
      <c r="AL13" s="214"/>
      <c r="AM13" s="215"/>
      <c r="AN13" s="215"/>
      <c r="AO13" s="215"/>
      <c r="AP13" s="205"/>
      <c r="AQ13" s="205"/>
      <c r="AR13" s="205"/>
      <c r="AS13" s="207"/>
      <c r="AT13" s="207"/>
      <c r="AU13" s="207"/>
      <c r="AV13" s="207"/>
      <c r="AW13" s="207"/>
      <c r="AX13" s="207"/>
      <c r="AY13" s="207"/>
      <c r="AZ13" s="207"/>
      <c r="BA13" s="207"/>
    </row>
    <row r="14" spans="1:53">
      <c r="A14" s="204"/>
      <c r="B14" s="204"/>
      <c r="C14" s="205"/>
      <c r="D14" s="205"/>
      <c r="E14" s="205"/>
      <c r="F14" s="205"/>
      <c r="G14" s="205"/>
      <c r="H14" s="205"/>
      <c r="I14" s="205"/>
      <c r="J14" s="205"/>
      <c r="K14" s="205"/>
      <c r="L14" s="205"/>
      <c r="M14" s="205"/>
      <c r="N14" s="205"/>
      <c r="O14" s="205"/>
      <c r="P14" s="205"/>
      <c r="Q14" s="206"/>
      <c r="R14" s="205"/>
      <c r="S14" s="205"/>
      <c r="T14" s="205"/>
      <c r="U14" s="205"/>
      <c r="V14" s="205"/>
      <c r="W14" s="205"/>
      <c r="X14" s="205"/>
      <c r="Y14" s="205"/>
      <c r="Z14" s="205"/>
      <c r="AA14" s="205"/>
      <c r="AB14" s="205"/>
      <c r="AC14" s="205"/>
      <c r="AD14" s="205"/>
      <c r="AE14" s="205"/>
      <c r="AF14" s="205"/>
      <c r="AG14" s="205"/>
      <c r="AH14" s="205"/>
      <c r="AI14" s="205"/>
      <c r="AJ14" s="205"/>
      <c r="AK14" s="205"/>
      <c r="AL14" s="203"/>
      <c r="AM14" s="204"/>
      <c r="AN14" s="204"/>
      <c r="AO14" s="204"/>
      <c r="AP14" s="205"/>
      <c r="AQ14" s="205"/>
      <c r="AR14" s="205"/>
      <c r="AS14" s="205"/>
      <c r="AT14" s="205"/>
      <c r="AU14" s="205"/>
      <c r="AV14" s="205"/>
      <c r="AW14" s="205"/>
      <c r="AX14" s="205"/>
      <c r="AY14" s="205"/>
      <c r="AZ14" s="205"/>
      <c r="BA14" s="205"/>
    </row>
    <row r="15" spans="1:53">
      <c r="A15" s="204"/>
      <c r="B15" s="204"/>
      <c r="C15" s="205"/>
      <c r="D15" s="205"/>
      <c r="E15" s="205"/>
      <c r="F15" s="205"/>
      <c r="G15" s="205"/>
      <c r="H15" s="205"/>
      <c r="I15" s="205"/>
      <c r="J15" s="205"/>
      <c r="K15" s="205"/>
      <c r="L15" s="205"/>
      <c r="M15" s="205"/>
      <c r="N15" s="205"/>
      <c r="O15" s="205"/>
      <c r="P15" s="205"/>
      <c r="Q15" s="206"/>
      <c r="R15" s="205"/>
      <c r="S15" s="205"/>
      <c r="T15" s="205"/>
      <c r="U15" s="205"/>
      <c r="V15" s="205"/>
      <c r="W15" s="205"/>
      <c r="X15" s="205"/>
      <c r="Y15" s="205"/>
      <c r="Z15" s="205"/>
      <c r="AA15" s="205"/>
      <c r="AB15" s="205"/>
      <c r="AC15" s="205"/>
      <c r="AD15" s="205"/>
      <c r="AE15" s="205"/>
      <c r="AF15" s="205"/>
      <c r="AG15" s="205"/>
      <c r="AH15" s="205"/>
      <c r="AI15" s="205"/>
      <c r="AJ15" s="205"/>
      <c r="AK15" s="205"/>
      <c r="AL15" s="203"/>
      <c r="AM15" s="204"/>
      <c r="AN15" s="204"/>
      <c r="AO15" s="204"/>
      <c r="AP15" s="205"/>
      <c r="AQ15" s="205"/>
      <c r="AR15" s="205"/>
      <c r="AS15" s="205"/>
      <c r="AT15" s="205"/>
      <c r="AU15" s="205"/>
      <c r="AV15" s="205"/>
      <c r="AW15" s="205"/>
      <c r="AX15" s="205"/>
      <c r="AY15" s="205"/>
      <c r="AZ15" s="205"/>
      <c r="BA15" s="205"/>
    </row>
    <row r="16" spans="1:53">
      <c r="A16" s="204"/>
      <c r="B16" s="204"/>
      <c r="C16" s="205"/>
      <c r="D16" s="205"/>
      <c r="E16" s="205"/>
      <c r="F16" s="205"/>
      <c r="G16" s="205"/>
      <c r="H16" s="205"/>
      <c r="I16" s="205"/>
      <c r="J16" s="205"/>
      <c r="K16" s="205"/>
      <c r="L16" s="205"/>
      <c r="M16" s="205"/>
      <c r="N16" s="205"/>
      <c r="O16" s="205"/>
      <c r="P16" s="205"/>
      <c r="Q16" s="206"/>
      <c r="R16" s="205"/>
      <c r="S16" s="205"/>
      <c r="T16" s="205"/>
      <c r="U16" s="205"/>
      <c r="V16" s="205"/>
      <c r="W16" s="205"/>
      <c r="X16" s="205"/>
      <c r="Y16" s="205"/>
      <c r="Z16" s="205"/>
      <c r="AA16" s="205"/>
      <c r="AB16" s="205"/>
      <c r="AC16" s="205"/>
      <c r="AD16" s="205"/>
      <c r="AE16" s="205"/>
      <c r="AF16" s="205"/>
      <c r="AG16" s="205"/>
      <c r="AH16" s="205"/>
      <c r="AI16" s="205"/>
      <c r="AJ16" s="205"/>
      <c r="AK16" s="205"/>
      <c r="AL16" s="203"/>
      <c r="AM16" s="204"/>
      <c r="AN16" s="204"/>
      <c r="AO16" s="204"/>
      <c r="AP16" s="205"/>
      <c r="AQ16" s="205"/>
      <c r="AR16" s="205"/>
      <c r="AS16" s="205"/>
      <c r="AT16" s="205"/>
      <c r="AU16" s="205"/>
      <c r="AV16" s="205"/>
      <c r="AW16" s="205"/>
      <c r="AX16" s="205"/>
      <c r="AY16" s="205"/>
      <c r="AZ16" s="205"/>
      <c r="BA16" s="205"/>
    </row>
    <row r="17" spans="1:53">
      <c r="A17" s="221"/>
      <c r="B17" s="221"/>
      <c r="C17" s="205"/>
      <c r="D17" s="205"/>
      <c r="E17" s="205"/>
      <c r="F17" s="205"/>
      <c r="G17" s="205"/>
      <c r="H17" s="205"/>
      <c r="I17" s="205"/>
      <c r="J17" s="205"/>
      <c r="K17" s="205"/>
      <c r="L17" s="205"/>
      <c r="M17" s="205"/>
      <c r="N17" s="205"/>
      <c r="O17" s="205"/>
      <c r="P17" s="205"/>
      <c r="Q17" s="205"/>
      <c r="R17" s="208"/>
      <c r="S17" s="208"/>
      <c r="T17" s="208"/>
      <c r="U17" s="208"/>
      <c r="V17" s="208"/>
      <c r="W17" s="208"/>
      <c r="X17" s="208"/>
      <c r="Y17" s="208"/>
      <c r="Z17" s="208"/>
      <c r="AA17" s="208"/>
      <c r="AB17" s="208"/>
      <c r="AC17" s="208"/>
      <c r="AD17" s="208"/>
      <c r="AE17" s="208"/>
      <c r="AF17" s="208"/>
      <c r="AG17" s="208"/>
      <c r="AH17" s="208"/>
      <c r="AI17" s="208"/>
      <c r="AJ17" s="208"/>
      <c r="AK17" s="208"/>
      <c r="AL17" s="203"/>
      <c r="AM17" s="204"/>
      <c r="AN17" s="204"/>
      <c r="AO17" s="204"/>
      <c r="AP17" s="205"/>
      <c r="AQ17" s="208"/>
      <c r="AR17" s="208"/>
      <c r="AS17" s="208"/>
      <c r="AT17" s="208"/>
      <c r="AU17" s="208"/>
      <c r="AV17" s="208"/>
      <c r="AW17" s="208"/>
      <c r="AX17" s="208"/>
      <c r="AY17" s="208"/>
      <c r="AZ17" s="208"/>
      <c r="BA17" s="208"/>
    </row>
    <row r="18" spans="1:53">
      <c r="A18" s="221"/>
      <c r="B18" s="221"/>
      <c r="C18" s="205"/>
      <c r="D18" s="205"/>
      <c r="E18" s="205"/>
      <c r="F18" s="205"/>
      <c r="G18" s="205"/>
      <c r="H18" s="205"/>
      <c r="I18" s="205"/>
      <c r="J18" s="205"/>
      <c r="K18" s="205"/>
      <c r="L18" s="205"/>
      <c r="M18" s="205"/>
      <c r="N18" s="205"/>
      <c r="O18" s="205"/>
      <c r="P18" s="205"/>
      <c r="Q18" s="205"/>
      <c r="R18" s="208"/>
      <c r="S18" s="208"/>
      <c r="T18" s="208"/>
      <c r="U18" s="208"/>
      <c r="V18" s="208"/>
      <c r="W18" s="208"/>
      <c r="X18" s="208"/>
      <c r="Y18" s="208"/>
      <c r="Z18" s="208"/>
      <c r="AA18" s="208"/>
      <c r="AB18" s="208"/>
      <c r="AC18" s="208"/>
      <c r="AD18" s="208"/>
      <c r="AE18" s="208"/>
      <c r="AF18" s="208"/>
      <c r="AG18" s="208"/>
      <c r="AH18" s="208"/>
      <c r="AI18" s="208"/>
      <c r="AJ18" s="208"/>
      <c r="AK18" s="208"/>
      <c r="AL18" s="203"/>
      <c r="AM18" s="204"/>
      <c r="AN18" s="204"/>
      <c r="AO18" s="204"/>
      <c r="AP18" s="205"/>
      <c r="AQ18" s="208"/>
      <c r="AR18" s="208"/>
      <c r="AS18" s="208"/>
      <c r="AT18" s="208"/>
      <c r="AU18" s="208"/>
      <c r="AV18" s="208"/>
      <c r="AW18" s="208"/>
      <c r="AX18" s="208"/>
      <c r="AY18" s="208"/>
      <c r="AZ18" s="208"/>
      <c r="BA18" s="208"/>
    </row>
    <row r="19" spans="1:53">
      <c r="A19" s="204"/>
      <c r="B19" s="204"/>
      <c r="C19" s="205"/>
      <c r="D19" s="205"/>
      <c r="E19" s="205"/>
      <c r="F19" s="205"/>
      <c r="G19" s="205"/>
      <c r="H19" s="205"/>
      <c r="I19" s="205"/>
      <c r="J19" s="205"/>
      <c r="K19" s="205"/>
      <c r="L19" s="205"/>
      <c r="M19" s="205"/>
      <c r="N19" s="205"/>
      <c r="O19" s="205"/>
      <c r="P19" s="205"/>
      <c r="Q19" s="205"/>
      <c r="R19" s="205"/>
      <c r="S19" s="205"/>
      <c r="T19" s="205"/>
      <c r="U19" s="205"/>
      <c r="V19" s="205"/>
      <c r="W19" s="205"/>
      <c r="X19" s="205"/>
      <c r="Y19" s="205"/>
      <c r="Z19" s="205"/>
      <c r="AA19" s="205"/>
      <c r="AB19" s="205"/>
      <c r="AC19" s="205"/>
      <c r="AD19" s="205"/>
      <c r="AE19" s="205"/>
      <c r="AF19" s="205"/>
      <c r="AG19" s="205"/>
      <c r="AH19" s="205"/>
      <c r="AI19" s="205"/>
      <c r="AJ19" s="205"/>
      <c r="AK19" s="205"/>
      <c r="AL19" s="203"/>
      <c r="AM19" s="203"/>
      <c r="AN19" s="203"/>
      <c r="AO19" s="203"/>
      <c r="AP19" s="205"/>
      <c r="AQ19" s="205"/>
      <c r="AR19" s="205"/>
      <c r="AS19" s="205"/>
      <c r="AT19" s="205"/>
      <c r="AU19" s="205"/>
      <c r="AV19" s="205"/>
      <c r="AW19" s="205"/>
      <c r="AX19" s="205"/>
      <c r="AY19" s="205"/>
      <c r="AZ19" s="205"/>
      <c r="BA19" s="205"/>
    </row>
    <row r="20" spans="1:53">
      <c r="A20" s="204"/>
      <c r="B20" s="204"/>
      <c r="C20" s="205"/>
      <c r="D20" s="205"/>
      <c r="E20" s="205"/>
      <c r="F20" s="205"/>
      <c r="G20" s="205"/>
      <c r="H20" s="205"/>
      <c r="I20" s="205"/>
      <c r="J20" s="205"/>
      <c r="K20" s="205"/>
      <c r="L20" s="205"/>
      <c r="M20" s="205"/>
      <c r="N20" s="205"/>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AL20" s="203"/>
      <c r="AM20" s="203"/>
      <c r="AN20" s="203"/>
      <c r="AO20" s="203"/>
      <c r="AP20" s="205"/>
      <c r="AQ20" s="205"/>
      <c r="AR20" s="205"/>
      <c r="AS20" s="205"/>
      <c r="AT20" s="205"/>
      <c r="AU20" s="205"/>
      <c r="AV20" s="205"/>
      <c r="AW20" s="205"/>
      <c r="AX20" s="205"/>
      <c r="AY20" s="205"/>
      <c r="AZ20" s="205"/>
      <c r="BA20" s="205"/>
    </row>
    <row r="21" spans="1:53" ht="13.5" customHeight="1">
      <c r="A21" s="204"/>
      <c r="B21" s="204"/>
      <c r="C21" s="205"/>
      <c r="D21" s="205"/>
      <c r="E21" s="205"/>
      <c r="F21" s="205"/>
      <c r="G21" s="205"/>
      <c r="H21" s="205"/>
      <c r="I21" s="205"/>
      <c r="J21" s="205"/>
      <c r="K21" s="205"/>
      <c r="L21" s="205"/>
      <c r="M21" s="205"/>
      <c r="N21" s="205"/>
      <c r="O21" s="205"/>
      <c r="P21" s="205"/>
      <c r="Q21" s="205"/>
      <c r="R21" s="208"/>
      <c r="S21" s="208"/>
      <c r="T21" s="208"/>
      <c r="U21" s="208"/>
      <c r="V21" s="208"/>
      <c r="W21" s="208"/>
      <c r="X21" s="208"/>
      <c r="Y21" s="208"/>
      <c r="Z21" s="208"/>
      <c r="AA21" s="208"/>
      <c r="AB21" s="208"/>
      <c r="AC21" s="208"/>
      <c r="AD21" s="208"/>
      <c r="AE21" s="208"/>
      <c r="AF21" s="208"/>
      <c r="AG21" s="208"/>
      <c r="AH21" s="208"/>
      <c r="AI21" s="208"/>
      <c r="AJ21" s="208"/>
      <c r="AK21" s="208"/>
      <c r="AL21" s="203"/>
      <c r="AM21" s="203"/>
      <c r="AN21" s="203"/>
      <c r="AO21" s="203"/>
      <c r="AP21" s="205"/>
      <c r="AQ21" s="205"/>
      <c r="AR21" s="205"/>
      <c r="AS21" s="205"/>
      <c r="AT21" s="205"/>
      <c r="AU21" s="205"/>
      <c r="AV21" s="205"/>
      <c r="AW21" s="205"/>
      <c r="AX21" s="205"/>
      <c r="AY21" s="205"/>
      <c r="AZ21" s="205"/>
      <c r="BA21" s="205"/>
    </row>
    <row r="22" spans="1:53">
      <c r="A22" s="204"/>
      <c r="B22" s="204"/>
      <c r="C22" s="205"/>
      <c r="D22" s="205"/>
      <c r="E22" s="205"/>
      <c r="F22" s="205"/>
      <c r="G22" s="205"/>
      <c r="H22" s="205"/>
      <c r="I22" s="205"/>
      <c r="J22" s="205"/>
      <c r="K22" s="205"/>
      <c r="L22" s="205"/>
      <c r="M22" s="205"/>
      <c r="N22" s="205"/>
      <c r="O22" s="205"/>
      <c r="P22" s="205"/>
      <c r="Q22" s="205"/>
      <c r="R22" s="205"/>
      <c r="S22" s="205"/>
      <c r="T22" s="205"/>
      <c r="U22" s="205"/>
      <c r="V22" s="205"/>
      <c r="W22" s="205"/>
      <c r="X22" s="205"/>
      <c r="Y22" s="205"/>
      <c r="Z22" s="205"/>
      <c r="AA22" s="205"/>
      <c r="AB22" s="205"/>
      <c r="AC22" s="205"/>
      <c r="AD22" s="205"/>
      <c r="AE22" s="205"/>
      <c r="AF22" s="205"/>
      <c r="AG22" s="205"/>
      <c r="AH22" s="205"/>
      <c r="AI22" s="205"/>
      <c r="AJ22" s="205"/>
      <c r="AK22" s="205"/>
      <c r="AL22" s="203"/>
      <c r="AM22" s="203"/>
      <c r="AN22" s="203"/>
      <c r="AO22" s="203"/>
      <c r="AP22" s="205"/>
      <c r="AQ22" s="205"/>
      <c r="AR22" s="205"/>
      <c r="AS22" s="205"/>
      <c r="AT22" s="205"/>
      <c r="AU22" s="205"/>
      <c r="AV22" s="205"/>
      <c r="AW22" s="205"/>
      <c r="AX22" s="205"/>
      <c r="AY22" s="205"/>
      <c r="AZ22" s="205"/>
      <c r="BA22" s="205"/>
    </row>
    <row r="23" spans="1:53">
      <c r="A23" s="204"/>
      <c r="B23" s="204"/>
      <c r="C23" s="205"/>
      <c r="D23" s="205"/>
      <c r="E23" s="205"/>
      <c r="F23" s="205"/>
      <c r="G23" s="205"/>
      <c r="H23" s="205"/>
      <c r="I23" s="205"/>
      <c r="J23" s="205"/>
      <c r="K23" s="205"/>
      <c r="L23" s="205"/>
      <c r="M23" s="205"/>
      <c r="N23" s="205"/>
      <c r="O23" s="205"/>
      <c r="P23" s="205"/>
      <c r="Q23" s="205"/>
      <c r="R23" s="208"/>
      <c r="S23" s="208"/>
      <c r="T23" s="208"/>
      <c r="U23" s="208"/>
      <c r="V23" s="208"/>
      <c r="W23" s="208"/>
      <c r="X23" s="208"/>
      <c r="Y23" s="208"/>
      <c r="Z23" s="208"/>
      <c r="AA23" s="208"/>
      <c r="AB23" s="208"/>
      <c r="AC23" s="208"/>
      <c r="AD23" s="208"/>
      <c r="AE23" s="208"/>
      <c r="AF23" s="208"/>
      <c r="AG23" s="208"/>
      <c r="AH23" s="208"/>
      <c r="AI23" s="208"/>
      <c r="AJ23" s="208"/>
      <c r="AK23" s="208"/>
      <c r="AL23" s="203"/>
      <c r="AM23" s="203"/>
      <c r="AN23" s="203"/>
      <c r="AO23" s="203"/>
      <c r="AP23" s="205"/>
      <c r="AQ23" s="205"/>
      <c r="AR23" s="205"/>
      <c r="AS23" s="205"/>
      <c r="AT23" s="205"/>
      <c r="AU23" s="205"/>
      <c r="AV23" s="205"/>
      <c r="AW23" s="205"/>
      <c r="AX23" s="205"/>
      <c r="AY23" s="205"/>
      <c r="AZ23" s="205"/>
      <c r="BA23" s="205"/>
    </row>
    <row r="24" spans="1:53">
      <c r="A24" s="204"/>
      <c r="B24" s="204"/>
      <c r="C24" s="205"/>
      <c r="D24" s="205"/>
      <c r="E24" s="205"/>
      <c r="F24" s="205"/>
      <c r="G24" s="205"/>
      <c r="H24" s="205"/>
      <c r="I24" s="205"/>
      <c r="J24" s="205"/>
      <c r="K24" s="205"/>
      <c r="L24" s="205"/>
      <c r="M24" s="205"/>
      <c r="N24" s="205"/>
      <c r="O24" s="205"/>
      <c r="P24" s="205"/>
      <c r="Q24" s="205"/>
      <c r="R24" s="205"/>
      <c r="S24" s="205"/>
      <c r="T24" s="205"/>
      <c r="U24" s="205"/>
      <c r="V24" s="205"/>
      <c r="W24" s="205"/>
      <c r="X24" s="205"/>
      <c r="Y24" s="205"/>
      <c r="Z24" s="205"/>
      <c r="AA24" s="205"/>
      <c r="AB24" s="205"/>
      <c r="AC24" s="205"/>
      <c r="AD24" s="205"/>
      <c r="AE24" s="205"/>
      <c r="AF24" s="205"/>
      <c r="AG24" s="205"/>
      <c r="AH24" s="205"/>
      <c r="AI24" s="205"/>
      <c r="AJ24" s="205"/>
      <c r="AK24" s="205"/>
      <c r="AL24" s="203"/>
      <c r="AM24" s="203"/>
      <c r="AN24" s="203"/>
      <c r="AO24" s="203"/>
      <c r="AP24" s="205"/>
      <c r="AQ24" s="205"/>
      <c r="AR24" s="205"/>
      <c r="AS24" s="205"/>
      <c r="AT24" s="205"/>
      <c r="AU24" s="205"/>
      <c r="AV24" s="205"/>
      <c r="AW24" s="205"/>
      <c r="AX24" s="205"/>
      <c r="AY24" s="205"/>
      <c r="AZ24" s="205"/>
      <c r="BA24" s="205"/>
    </row>
    <row r="25" spans="1:53">
      <c r="A25" s="204"/>
      <c r="B25" s="204"/>
      <c r="C25" s="205"/>
      <c r="D25" s="205"/>
      <c r="E25" s="205"/>
      <c r="F25" s="205"/>
      <c r="G25" s="205"/>
      <c r="H25" s="205"/>
      <c r="I25" s="205"/>
      <c r="J25" s="205"/>
      <c r="K25" s="205"/>
      <c r="L25" s="205"/>
      <c r="M25" s="205"/>
      <c r="N25" s="205"/>
      <c r="O25" s="205"/>
      <c r="P25" s="205"/>
      <c r="Q25" s="205"/>
      <c r="R25" s="205"/>
      <c r="S25" s="205"/>
      <c r="T25" s="205"/>
      <c r="U25" s="205"/>
      <c r="V25" s="205"/>
      <c r="W25" s="205"/>
      <c r="X25" s="205"/>
      <c r="Y25" s="205"/>
      <c r="Z25" s="205"/>
      <c r="AA25" s="205"/>
      <c r="AB25" s="205"/>
      <c r="AC25" s="205"/>
      <c r="AD25" s="205"/>
      <c r="AE25" s="205"/>
      <c r="AF25" s="205"/>
      <c r="AG25" s="205"/>
      <c r="AH25" s="205"/>
      <c r="AI25" s="205"/>
      <c r="AJ25" s="205"/>
      <c r="AK25" s="205"/>
      <c r="AL25" s="203"/>
      <c r="AM25" s="204"/>
      <c r="AN25" s="204"/>
      <c r="AO25" s="204"/>
      <c r="AP25" s="205"/>
      <c r="AQ25" s="205"/>
      <c r="AR25" s="205"/>
      <c r="AS25" s="205"/>
      <c r="AT25" s="205"/>
      <c r="AU25" s="205"/>
      <c r="AV25" s="205"/>
      <c r="AW25" s="205"/>
      <c r="AX25" s="205"/>
      <c r="AY25" s="205"/>
      <c r="AZ25" s="205"/>
      <c r="BA25" s="205"/>
    </row>
    <row r="26" spans="1:53">
      <c r="A26" s="204"/>
      <c r="B26" s="204"/>
      <c r="C26" s="205"/>
      <c r="D26" s="205"/>
      <c r="E26" s="205"/>
      <c r="F26" s="205"/>
      <c r="G26" s="205"/>
      <c r="H26" s="205"/>
      <c r="I26" s="205"/>
      <c r="J26" s="205"/>
      <c r="K26" s="205"/>
      <c r="L26" s="205"/>
      <c r="M26" s="205"/>
      <c r="N26" s="205"/>
      <c r="O26" s="205"/>
      <c r="P26" s="205"/>
      <c r="Q26" s="205"/>
      <c r="R26" s="205"/>
      <c r="S26" s="205"/>
      <c r="T26" s="205"/>
      <c r="U26" s="205"/>
      <c r="V26" s="205"/>
      <c r="W26" s="205"/>
      <c r="X26" s="205"/>
      <c r="Y26" s="205"/>
      <c r="Z26" s="205"/>
      <c r="AA26" s="205"/>
      <c r="AB26" s="205"/>
      <c r="AC26" s="205"/>
      <c r="AD26" s="205"/>
      <c r="AE26" s="205"/>
      <c r="AF26" s="205"/>
      <c r="AG26" s="205"/>
      <c r="AH26" s="205"/>
      <c r="AI26" s="205"/>
      <c r="AJ26" s="205"/>
      <c r="AK26" s="205"/>
      <c r="AL26" s="203"/>
      <c r="AM26" s="204"/>
      <c r="AN26" s="204"/>
      <c r="AO26" s="204"/>
      <c r="AP26" s="205"/>
      <c r="AQ26" s="205"/>
      <c r="AR26" s="205"/>
      <c r="AS26" s="205"/>
      <c r="AT26" s="205"/>
      <c r="AU26" s="205"/>
      <c r="AV26" s="205"/>
      <c r="AW26" s="205"/>
      <c r="AX26" s="205"/>
      <c r="AY26" s="205"/>
      <c r="AZ26" s="205"/>
      <c r="BA26" s="205"/>
    </row>
    <row r="27" spans="1:53">
      <c r="A27" s="204"/>
      <c r="B27" s="204"/>
      <c r="C27" s="205"/>
      <c r="D27" s="205"/>
      <c r="E27" s="205"/>
      <c r="F27" s="205"/>
      <c r="G27" s="205"/>
      <c r="H27" s="205"/>
      <c r="I27" s="205"/>
      <c r="J27" s="205"/>
      <c r="K27" s="205"/>
      <c r="L27" s="205"/>
      <c r="M27" s="205"/>
      <c r="N27" s="205"/>
      <c r="O27" s="205"/>
      <c r="P27" s="205"/>
      <c r="Q27" s="205"/>
      <c r="R27" s="205"/>
      <c r="S27" s="205"/>
      <c r="T27" s="205"/>
      <c r="U27" s="205"/>
      <c r="V27" s="205"/>
      <c r="W27" s="205"/>
      <c r="X27" s="205"/>
      <c r="Y27" s="205"/>
      <c r="Z27" s="205"/>
      <c r="AA27" s="205"/>
      <c r="AB27" s="205"/>
      <c r="AC27" s="205"/>
      <c r="AD27" s="205"/>
      <c r="AE27" s="205"/>
      <c r="AF27" s="205"/>
      <c r="AG27" s="205"/>
      <c r="AH27" s="205"/>
      <c r="AI27" s="205"/>
      <c r="AJ27" s="205"/>
      <c r="AK27" s="205"/>
      <c r="AL27" s="203"/>
      <c r="AM27" s="204"/>
      <c r="AN27" s="204"/>
      <c r="AO27" s="204"/>
      <c r="AP27" s="205"/>
      <c r="AQ27" s="205"/>
      <c r="AR27" s="205"/>
      <c r="AS27" s="205"/>
      <c r="AT27" s="205"/>
      <c r="AU27" s="205"/>
      <c r="AV27" s="205"/>
      <c r="AW27" s="205"/>
      <c r="AX27" s="205"/>
      <c r="AY27" s="205"/>
      <c r="AZ27" s="205"/>
      <c r="BA27" s="205"/>
    </row>
    <row r="28" spans="1:53">
      <c r="A28" s="204"/>
      <c r="B28" s="204"/>
      <c r="C28" s="205"/>
      <c r="D28" s="205"/>
      <c r="E28" s="205"/>
      <c r="F28" s="205"/>
      <c r="G28" s="205"/>
      <c r="H28" s="205"/>
      <c r="I28" s="205"/>
      <c r="J28" s="205"/>
      <c r="K28" s="205"/>
      <c r="L28" s="205"/>
      <c r="M28" s="205"/>
      <c r="N28" s="205"/>
      <c r="O28" s="205"/>
      <c r="P28" s="205"/>
      <c r="Q28" s="205"/>
      <c r="R28" s="205"/>
      <c r="S28" s="205"/>
      <c r="T28" s="205"/>
      <c r="U28" s="205"/>
      <c r="V28" s="205"/>
      <c r="W28" s="205"/>
      <c r="X28" s="205"/>
      <c r="Y28" s="205"/>
      <c r="Z28" s="205"/>
      <c r="AA28" s="205"/>
      <c r="AB28" s="205"/>
      <c r="AC28" s="205"/>
      <c r="AD28" s="205"/>
      <c r="AE28" s="205"/>
      <c r="AF28" s="205"/>
      <c r="AG28" s="205"/>
      <c r="AH28" s="205"/>
      <c r="AI28" s="205"/>
      <c r="AJ28" s="205"/>
      <c r="AK28" s="205"/>
      <c r="AL28" s="203"/>
      <c r="AM28" s="204"/>
      <c r="AN28" s="204"/>
      <c r="AO28" s="204"/>
      <c r="AP28" s="205"/>
      <c r="AQ28" s="205"/>
      <c r="AR28" s="205"/>
      <c r="AS28" s="205"/>
      <c r="AT28" s="205"/>
      <c r="AU28" s="205"/>
      <c r="AV28" s="205"/>
      <c r="AW28" s="205"/>
      <c r="AX28" s="205"/>
      <c r="AY28" s="205"/>
      <c r="AZ28" s="205"/>
      <c r="BA28" s="205"/>
    </row>
    <row r="29" spans="1:53">
      <c r="A29" s="204"/>
      <c r="B29" s="204"/>
      <c r="C29" s="205"/>
      <c r="D29" s="205"/>
      <c r="E29" s="205"/>
      <c r="F29" s="205"/>
      <c r="G29" s="205"/>
      <c r="H29" s="205"/>
      <c r="I29" s="205"/>
      <c r="J29" s="205"/>
      <c r="K29" s="205"/>
      <c r="L29" s="205"/>
      <c r="M29" s="205"/>
      <c r="N29" s="205"/>
      <c r="O29" s="205"/>
      <c r="P29" s="205"/>
      <c r="Q29" s="205"/>
      <c r="R29" s="205"/>
      <c r="S29" s="205"/>
      <c r="T29" s="205"/>
      <c r="U29" s="205"/>
      <c r="V29" s="205"/>
      <c r="W29" s="205"/>
      <c r="X29" s="205"/>
      <c r="Y29" s="205"/>
      <c r="Z29" s="205"/>
      <c r="AA29" s="205"/>
      <c r="AB29" s="205"/>
      <c r="AC29" s="205"/>
      <c r="AD29" s="205"/>
      <c r="AE29" s="205"/>
      <c r="AF29" s="205"/>
      <c r="AG29" s="205"/>
      <c r="AH29" s="205"/>
      <c r="AI29" s="205"/>
      <c r="AJ29" s="205"/>
      <c r="AK29" s="205"/>
      <c r="AL29" s="203"/>
      <c r="AM29" s="204"/>
      <c r="AN29" s="204"/>
      <c r="AO29" s="204"/>
      <c r="AP29" s="205"/>
      <c r="AQ29" s="205"/>
      <c r="AR29" s="205"/>
      <c r="AS29" s="205"/>
      <c r="AT29" s="205"/>
      <c r="AU29" s="205"/>
      <c r="AV29" s="205"/>
      <c r="AW29" s="205"/>
      <c r="AX29" s="205"/>
      <c r="AY29" s="205"/>
      <c r="AZ29" s="205"/>
      <c r="BA29" s="205"/>
    </row>
    <row r="30" spans="1:53">
      <c r="A30" s="204"/>
      <c r="B30" s="204"/>
      <c r="C30" s="205"/>
      <c r="D30" s="205"/>
      <c r="E30" s="205"/>
      <c r="F30" s="205"/>
      <c r="G30" s="205"/>
      <c r="H30" s="205"/>
      <c r="I30" s="205"/>
      <c r="J30" s="205"/>
      <c r="K30" s="205"/>
      <c r="L30" s="205"/>
      <c r="M30" s="205"/>
      <c r="N30" s="205"/>
      <c r="O30" s="205"/>
      <c r="P30" s="205"/>
      <c r="Q30" s="205"/>
      <c r="R30" s="205"/>
      <c r="S30" s="205"/>
      <c r="T30" s="205"/>
      <c r="U30" s="205"/>
      <c r="V30" s="205"/>
      <c r="W30" s="205"/>
      <c r="X30" s="205"/>
      <c r="Y30" s="205"/>
      <c r="Z30" s="205"/>
      <c r="AA30" s="205"/>
      <c r="AB30" s="205"/>
      <c r="AC30" s="205"/>
      <c r="AD30" s="205"/>
      <c r="AE30" s="205"/>
      <c r="AF30" s="205"/>
      <c r="AG30" s="205"/>
      <c r="AH30" s="205"/>
      <c r="AI30" s="205"/>
      <c r="AJ30" s="205"/>
      <c r="AK30" s="205"/>
      <c r="AL30" s="204"/>
      <c r="AM30" s="204"/>
      <c r="AN30" s="204"/>
      <c r="AO30" s="204"/>
      <c r="AP30" s="205"/>
      <c r="AQ30" s="205"/>
      <c r="AR30" s="205"/>
      <c r="AS30" s="205"/>
      <c r="AT30" s="205"/>
      <c r="AU30" s="205"/>
      <c r="AV30" s="205"/>
      <c r="AW30" s="205"/>
      <c r="AX30" s="205"/>
      <c r="AY30" s="205"/>
      <c r="AZ30" s="205"/>
      <c r="BA30" s="205"/>
    </row>
    <row r="31" spans="1:53">
      <c r="A31" s="204"/>
      <c r="B31" s="204"/>
      <c r="C31" s="205"/>
      <c r="D31" s="205"/>
      <c r="E31" s="205"/>
      <c r="F31" s="205"/>
      <c r="G31" s="205"/>
      <c r="H31" s="205"/>
      <c r="I31" s="205"/>
      <c r="J31" s="205"/>
      <c r="K31" s="205"/>
      <c r="L31" s="205"/>
      <c r="M31" s="205"/>
      <c r="N31" s="205"/>
      <c r="O31" s="205"/>
      <c r="P31" s="205"/>
      <c r="Q31" s="205"/>
      <c r="R31" s="205"/>
      <c r="S31" s="205"/>
      <c r="T31" s="205"/>
      <c r="U31" s="205"/>
      <c r="V31" s="205"/>
      <c r="W31" s="205"/>
      <c r="X31" s="205"/>
      <c r="Y31" s="205"/>
      <c r="Z31" s="205"/>
      <c r="AA31" s="205"/>
      <c r="AB31" s="205"/>
      <c r="AC31" s="205"/>
      <c r="AD31" s="205"/>
      <c r="AE31" s="205"/>
      <c r="AF31" s="205"/>
      <c r="AG31" s="205"/>
      <c r="AH31" s="205"/>
      <c r="AI31" s="205"/>
      <c r="AJ31" s="205"/>
      <c r="AK31" s="205"/>
      <c r="AL31" s="204"/>
      <c r="AM31" s="204"/>
      <c r="AN31" s="204"/>
      <c r="AO31" s="204"/>
      <c r="AP31" s="205"/>
      <c r="AQ31" s="205"/>
      <c r="AR31" s="205"/>
      <c r="AS31" s="205"/>
      <c r="AT31" s="205"/>
      <c r="AU31" s="205"/>
      <c r="AV31" s="205"/>
      <c r="AW31" s="205"/>
      <c r="AX31" s="205"/>
      <c r="AY31" s="205"/>
      <c r="AZ31" s="205"/>
      <c r="BA31" s="205"/>
    </row>
    <row r="32" spans="1:53">
      <c r="A32" s="204"/>
      <c r="B32" s="204"/>
      <c r="C32" s="205"/>
      <c r="D32" s="205"/>
      <c r="E32" s="205"/>
      <c r="F32" s="205"/>
      <c r="G32" s="205"/>
      <c r="H32" s="205"/>
      <c r="I32" s="205"/>
      <c r="J32" s="205"/>
      <c r="K32" s="205"/>
      <c r="L32" s="205"/>
      <c r="M32" s="205"/>
      <c r="N32" s="205"/>
      <c r="O32" s="205"/>
      <c r="P32" s="205"/>
      <c r="Q32" s="205"/>
      <c r="R32" s="205"/>
      <c r="S32" s="205"/>
      <c r="T32" s="205"/>
      <c r="U32" s="205"/>
      <c r="V32" s="205"/>
      <c r="W32" s="205"/>
      <c r="X32" s="205"/>
      <c r="Y32" s="205"/>
      <c r="Z32" s="205"/>
      <c r="AA32" s="205"/>
      <c r="AB32" s="205"/>
      <c r="AC32" s="205"/>
      <c r="AD32" s="205"/>
      <c r="AE32" s="205"/>
      <c r="AF32" s="205"/>
      <c r="AG32" s="205"/>
      <c r="AH32" s="205"/>
      <c r="AI32" s="205"/>
      <c r="AJ32" s="205"/>
      <c r="AK32" s="205"/>
      <c r="AL32" s="204"/>
      <c r="AM32" s="204"/>
      <c r="AN32" s="204"/>
      <c r="AO32" s="204"/>
      <c r="AP32" s="205"/>
      <c r="AQ32" s="205"/>
      <c r="AR32" s="205"/>
      <c r="AS32" s="205"/>
      <c r="AT32" s="205"/>
      <c r="AU32" s="205"/>
      <c r="AV32" s="205"/>
      <c r="AW32" s="205"/>
      <c r="AX32" s="205"/>
      <c r="AY32" s="205"/>
      <c r="AZ32" s="205"/>
      <c r="BA32" s="205"/>
    </row>
    <row r="33" spans="1:53">
      <c r="A33" s="204"/>
      <c r="B33" s="204"/>
      <c r="C33" s="205"/>
      <c r="D33" s="205"/>
      <c r="E33" s="205"/>
      <c r="F33" s="205"/>
      <c r="G33" s="205"/>
      <c r="H33" s="205"/>
      <c r="I33" s="205"/>
      <c r="J33" s="205"/>
      <c r="K33" s="205"/>
      <c r="L33" s="205"/>
      <c r="M33" s="205"/>
      <c r="N33" s="205"/>
      <c r="O33" s="205"/>
      <c r="P33" s="205"/>
      <c r="Q33" s="205"/>
      <c r="R33" s="205"/>
      <c r="S33" s="205"/>
      <c r="T33" s="205"/>
      <c r="U33" s="205"/>
      <c r="V33" s="205"/>
      <c r="W33" s="205"/>
      <c r="X33" s="205"/>
      <c r="Y33" s="205"/>
      <c r="Z33" s="205"/>
      <c r="AA33" s="205"/>
      <c r="AB33" s="205"/>
      <c r="AC33" s="205"/>
      <c r="AD33" s="205"/>
      <c r="AE33" s="205"/>
      <c r="AF33" s="205"/>
      <c r="AG33" s="205"/>
      <c r="AH33" s="205"/>
      <c r="AI33" s="205"/>
      <c r="AJ33" s="205"/>
      <c r="AK33" s="205"/>
      <c r="AL33" s="204"/>
      <c r="AM33" s="204"/>
      <c r="AN33" s="204"/>
      <c r="AO33" s="204"/>
      <c r="AP33" s="205"/>
      <c r="AQ33" s="205"/>
      <c r="AR33" s="205"/>
      <c r="AS33" s="205"/>
      <c r="AT33" s="205"/>
      <c r="AU33" s="205"/>
      <c r="AV33" s="205"/>
      <c r="AW33" s="205"/>
      <c r="AX33" s="205"/>
      <c r="AY33" s="205"/>
      <c r="AZ33" s="205"/>
      <c r="BA33" s="205"/>
    </row>
    <row r="34" spans="1:53">
      <c r="A34" s="204"/>
      <c r="B34" s="204"/>
      <c r="C34" s="205"/>
      <c r="D34" s="205"/>
      <c r="E34" s="205"/>
      <c r="F34" s="205"/>
      <c r="G34" s="205"/>
      <c r="H34" s="205"/>
      <c r="I34" s="205"/>
      <c r="J34" s="205"/>
      <c r="K34" s="205"/>
      <c r="L34" s="205"/>
      <c r="M34" s="205"/>
      <c r="N34" s="205"/>
      <c r="O34" s="205"/>
      <c r="P34" s="205"/>
      <c r="Q34" s="205"/>
      <c r="R34" s="205"/>
      <c r="S34" s="205"/>
      <c r="T34" s="205"/>
      <c r="U34" s="205"/>
      <c r="V34" s="205"/>
      <c r="W34" s="205"/>
      <c r="X34" s="205"/>
      <c r="Y34" s="205"/>
      <c r="Z34" s="205"/>
      <c r="AA34" s="205"/>
      <c r="AB34" s="205"/>
      <c r="AC34" s="205"/>
      <c r="AD34" s="205"/>
      <c r="AE34" s="205"/>
      <c r="AF34" s="205"/>
      <c r="AG34" s="205"/>
      <c r="AH34" s="205"/>
      <c r="AI34" s="205"/>
      <c r="AJ34" s="205"/>
      <c r="AK34" s="205"/>
      <c r="AL34" s="204"/>
      <c r="AM34" s="204"/>
      <c r="AN34" s="204"/>
      <c r="AO34" s="204"/>
      <c r="AP34" s="205"/>
      <c r="AQ34" s="205"/>
      <c r="AR34" s="205"/>
      <c r="AS34" s="205"/>
      <c r="AT34" s="205"/>
      <c r="AU34" s="205"/>
      <c r="AV34" s="205"/>
      <c r="AW34" s="205"/>
      <c r="AX34" s="205"/>
      <c r="AY34" s="205"/>
      <c r="AZ34" s="205"/>
      <c r="BA34" s="205"/>
    </row>
  </sheetData>
  <mergeCells count="229">
    <mergeCell ref="AK1:AM1"/>
    <mergeCell ref="AT3:AW3"/>
    <mergeCell ref="AN1:AP1"/>
    <mergeCell ref="AQ1:AS1"/>
    <mergeCell ref="AT1:AW1"/>
    <mergeCell ref="A6:B6"/>
    <mergeCell ref="C6:P6"/>
    <mergeCell ref="Q6:AK6"/>
    <mergeCell ref="AL6:AO6"/>
    <mergeCell ref="AX1:BA1"/>
    <mergeCell ref="A2:H2"/>
    <mergeCell ref="I2:L2"/>
    <mergeCell ref="M2:W2"/>
    <mergeCell ref="AK2:AM2"/>
    <mergeCell ref="AN2:AP2"/>
    <mergeCell ref="AP6:AR6"/>
    <mergeCell ref="AS6:AU6"/>
    <mergeCell ref="AT2:AW2"/>
    <mergeCell ref="AX2:BA3"/>
    <mergeCell ref="A3:H3"/>
    <mergeCell ref="I3:L3"/>
    <mergeCell ref="M3:W3"/>
    <mergeCell ref="X3:Z3"/>
    <mergeCell ref="AA3:AP3"/>
    <mergeCell ref="AQ3:AS3"/>
    <mergeCell ref="AV6:BA6"/>
    <mergeCell ref="AQ2:AS2"/>
    <mergeCell ref="A1:H1"/>
    <mergeCell ref="I1:L1"/>
    <mergeCell ref="A5:BA5"/>
    <mergeCell ref="M1:W1"/>
    <mergeCell ref="X1:Z2"/>
    <mergeCell ref="AA1:AJ2"/>
    <mergeCell ref="A8:B8"/>
    <mergeCell ref="A14:B14"/>
    <mergeCell ref="A34:B34"/>
    <mergeCell ref="A20:B20"/>
    <mergeCell ref="A21:B21"/>
    <mergeCell ref="A22:B22"/>
    <mergeCell ref="A29:B29"/>
    <mergeCell ref="A30:B30"/>
    <mergeCell ref="A31:B31"/>
    <mergeCell ref="A27:B27"/>
    <mergeCell ref="A28:B28"/>
    <mergeCell ref="A32:B32"/>
    <mergeCell ref="A33:B33"/>
    <mergeCell ref="A15:B15"/>
    <mergeCell ref="A16:B16"/>
    <mergeCell ref="A17:B17"/>
    <mergeCell ref="A18:B18"/>
    <mergeCell ref="A19:B19"/>
    <mergeCell ref="A23:B23"/>
    <mergeCell ref="A24:B24"/>
    <mergeCell ref="A25:B25"/>
    <mergeCell ref="A26:B26"/>
    <mergeCell ref="A9:B9"/>
    <mergeCell ref="A10:B10"/>
    <mergeCell ref="A11:B11"/>
    <mergeCell ref="A12:B12"/>
    <mergeCell ref="A13:B13"/>
    <mergeCell ref="A7:B7"/>
    <mergeCell ref="C33:P33"/>
    <mergeCell ref="C27:P27"/>
    <mergeCell ref="C28:P28"/>
    <mergeCell ref="C24:P24"/>
    <mergeCell ref="C25:P25"/>
    <mergeCell ref="C26:P26"/>
    <mergeCell ref="C29:P29"/>
    <mergeCell ref="C22:P22"/>
    <mergeCell ref="C23:P23"/>
    <mergeCell ref="C7:P7"/>
    <mergeCell ref="C8:P8"/>
    <mergeCell ref="C9:P9"/>
    <mergeCell ref="C10:P10"/>
    <mergeCell ref="C18:P18"/>
    <mergeCell ref="C19:P19"/>
    <mergeCell ref="C20:P20"/>
    <mergeCell ref="C21:P21"/>
    <mergeCell ref="C11:P11"/>
    <mergeCell ref="C12:P12"/>
    <mergeCell ref="C13:P13"/>
    <mergeCell ref="C34:P34"/>
    <mergeCell ref="Q7:AK7"/>
    <mergeCell ref="Q8:AK8"/>
    <mergeCell ref="Q9:AK9"/>
    <mergeCell ref="Q10:AK10"/>
    <mergeCell ref="Q11:AK11"/>
    <mergeCell ref="Q12:AK12"/>
    <mergeCell ref="Q19:AK19"/>
    <mergeCell ref="Q20:AK20"/>
    <mergeCell ref="Q21:AK21"/>
    <mergeCell ref="Q13:AK13"/>
    <mergeCell ref="Q34:AK34"/>
    <mergeCell ref="Q30:AK30"/>
    <mergeCell ref="Q31:AK31"/>
    <mergeCell ref="Q32:AK32"/>
    <mergeCell ref="Q33:AK33"/>
    <mergeCell ref="Q23:AK23"/>
    <mergeCell ref="C17:P17"/>
    <mergeCell ref="C14:P14"/>
    <mergeCell ref="C15:P15"/>
    <mergeCell ref="C16:P16"/>
    <mergeCell ref="C30:P30"/>
    <mergeCell ref="C31:P31"/>
    <mergeCell ref="C32:P32"/>
    <mergeCell ref="AL29:AO29"/>
    <mergeCell ref="AL27:AO27"/>
    <mergeCell ref="AL28:AO28"/>
    <mergeCell ref="Q29:AK29"/>
    <mergeCell ref="Q27:AK27"/>
    <mergeCell ref="Q28:AK28"/>
    <mergeCell ref="AL7:AO7"/>
    <mergeCell ref="AL8:AO8"/>
    <mergeCell ref="AL17:AO17"/>
    <mergeCell ref="AL18:AO18"/>
    <mergeCell ref="AL19:AO19"/>
    <mergeCell ref="AL9:AO9"/>
    <mergeCell ref="AL10:AO10"/>
    <mergeCell ref="AL11:AO11"/>
    <mergeCell ref="AL12:AO12"/>
    <mergeCell ref="AL13:AO13"/>
    <mergeCell ref="AL21:AO21"/>
    <mergeCell ref="Q17:AK17"/>
    <mergeCell ref="Q18:AK18"/>
    <mergeCell ref="Q22:AK22"/>
    <mergeCell ref="Q14:AK14"/>
    <mergeCell ref="AL14:AO14"/>
    <mergeCell ref="Q15:AK15"/>
    <mergeCell ref="AL15:AO15"/>
    <mergeCell ref="AL32:AO32"/>
    <mergeCell ref="AL33:AO33"/>
    <mergeCell ref="AL34:AO34"/>
    <mergeCell ref="AP7:AR7"/>
    <mergeCell ref="AP8:AR8"/>
    <mergeCell ref="AP9:AR9"/>
    <mergeCell ref="AP10:AR10"/>
    <mergeCell ref="AP18:AR18"/>
    <mergeCell ref="AP19:AR19"/>
    <mergeCell ref="AP20:AR20"/>
    <mergeCell ref="AP21:AR21"/>
    <mergeCell ref="AP11:AR11"/>
    <mergeCell ref="AP12:AR12"/>
    <mergeCell ref="AP13:AR13"/>
    <mergeCell ref="AP17:AR17"/>
    <mergeCell ref="AP22:AR22"/>
    <mergeCell ref="AP23:AR23"/>
    <mergeCell ref="AL30:AO30"/>
    <mergeCell ref="AL31:AO31"/>
    <mergeCell ref="AL20:AO20"/>
    <mergeCell ref="AP26:AR26"/>
    <mergeCell ref="AP29:AR29"/>
    <mergeCell ref="AP30:AR30"/>
    <mergeCell ref="AP33:AR33"/>
    <mergeCell ref="AS34:AU34"/>
    <mergeCell ref="AP34:AR34"/>
    <mergeCell ref="AS7:AU7"/>
    <mergeCell ref="AS8:AU8"/>
    <mergeCell ref="AS9:AU9"/>
    <mergeCell ref="AS10:AU10"/>
    <mergeCell ref="AS11:AU11"/>
    <mergeCell ref="AS12:AU12"/>
    <mergeCell ref="AS19:AU19"/>
    <mergeCell ref="AS20:AU20"/>
    <mergeCell ref="AS21:AU21"/>
    <mergeCell ref="AS13:AU13"/>
    <mergeCell ref="AS17:AU17"/>
    <mergeCell ref="AS18:AU18"/>
    <mergeCell ref="AS22:AU22"/>
    <mergeCell ref="AS23:AU23"/>
    <mergeCell ref="AS24:AU24"/>
    <mergeCell ref="AS29:AU29"/>
    <mergeCell ref="AS27:AU27"/>
    <mergeCell ref="AS32:AU32"/>
    <mergeCell ref="AS33:AU33"/>
    <mergeCell ref="AP24:AR24"/>
    <mergeCell ref="AP25:AR25"/>
    <mergeCell ref="AP32:AR32"/>
    <mergeCell ref="AV7:BA7"/>
    <mergeCell ref="AV8:BA8"/>
    <mergeCell ref="AV9:BA9"/>
    <mergeCell ref="AV10:BA10"/>
    <mergeCell ref="AV11:BA11"/>
    <mergeCell ref="AV12:BA12"/>
    <mergeCell ref="AV34:BA34"/>
    <mergeCell ref="AV24:BA24"/>
    <mergeCell ref="AV25:BA25"/>
    <mergeCell ref="AV26:BA26"/>
    <mergeCell ref="AV29:BA29"/>
    <mergeCell ref="AV30:BA30"/>
    <mergeCell ref="AV31:BA31"/>
    <mergeCell ref="AV27:BA27"/>
    <mergeCell ref="AV28:BA28"/>
    <mergeCell ref="AV32:BA32"/>
    <mergeCell ref="AV33:BA33"/>
    <mergeCell ref="AV13:BA13"/>
    <mergeCell ref="AV22:BA22"/>
    <mergeCell ref="AV23:BA23"/>
    <mergeCell ref="AV17:BA17"/>
    <mergeCell ref="AV18:BA18"/>
    <mergeCell ref="AV19:BA19"/>
    <mergeCell ref="AV16:BA16"/>
    <mergeCell ref="AV20:BA20"/>
    <mergeCell ref="AV21:BA21"/>
    <mergeCell ref="AV14:BA14"/>
    <mergeCell ref="AV15:BA15"/>
    <mergeCell ref="AS28:AU28"/>
    <mergeCell ref="AS30:AU30"/>
    <mergeCell ref="AS31:AU31"/>
    <mergeCell ref="AS25:AU25"/>
    <mergeCell ref="AP31:AR31"/>
    <mergeCell ref="AP27:AR27"/>
    <mergeCell ref="AP28:AR28"/>
    <mergeCell ref="AS16:AU16"/>
    <mergeCell ref="AP15:AR15"/>
    <mergeCell ref="AS26:AU26"/>
    <mergeCell ref="AS14:AU14"/>
    <mergeCell ref="AS15:AU15"/>
    <mergeCell ref="AL22:AO22"/>
    <mergeCell ref="AL23:AO23"/>
    <mergeCell ref="AL24:AO24"/>
    <mergeCell ref="AL25:AO25"/>
    <mergeCell ref="AL26:AO26"/>
    <mergeCell ref="Q24:AK24"/>
    <mergeCell ref="Q25:AK25"/>
    <mergeCell ref="Q26:AK26"/>
    <mergeCell ref="AP14:AR14"/>
    <mergeCell ref="Q16:AK16"/>
    <mergeCell ref="AL16:AO16"/>
    <mergeCell ref="AP16:AR16"/>
  </mergeCells>
  <phoneticPr fontId="49"/>
  <pageMargins left="0.39370078740157483" right="0.39370078740157483" top="0.39370078740157483" bottom="0.39370078740157483" header="0.19685039370078741" footer="0.19685039370078741"/>
  <pageSetup paperSize="9" fitToHeight="0" orientation="landscape" r:id="rId1"/>
  <headerFooter>
    <oddFooter>&amp;L&amp;"-,太字"&amp;12©2016 Amazing-Activity Corporation All Rights Reserved&amp;C- &amp;P &amp; -&amp;R&amp;F_&amp;A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7388F-305C-4A6A-83C2-FAED49C29600}">
  <dimension ref="A1:DX186"/>
  <sheetViews>
    <sheetView showGridLines="0" topLeftCell="A5" zoomScaleNormal="100" zoomScaleSheetLayoutView="100" workbookViewId="0">
      <pane ySplit="2" topLeftCell="A7" activePane="bottomLeft" state="frozen"/>
      <selection sqref="A1:I1"/>
      <selection pane="bottomLeft" activeCell="A7" sqref="A7"/>
    </sheetView>
  </sheetViews>
  <sheetFormatPr defaultColWidth="9" defaultRowHeight="13"/>
  <cols>
    <col min="1" max="18" width="2.6328125" style="25" customWidth="1"/>
    <col min="19" max="22" width="2.6328125" style="22" customWidth="1"/>
    <col min="23" max="24" width="2.6328125" style="25" customWidth="1"/>
    <col min="25" max="26" width="2.6328125" style="22" customWidth="1"/>
    <col min="27" max="29" width="2.6328125" style="25" customWidth="1"/>
    <col min="30" max="55" width="2.6328125" style="22" customWidth="1"/>
    <col min="56" max="56" width="2.6328125" style="28" customWidth="1"/>
    <col min="57" max="128" width="2.6328125" style="123" customWidth="1"/>
    <col min="129" max="16384" width="9" style="25"/>
  </cols>
  <sheetData>
    <row r="1" spans="1:85" ht="12" customHeight="1">
      <c r="A1" s="243" t="s">
        <v>4</v>
      </c>
      <c r="B1" s="243"/>
      <c r="C1" s="243"/>
      <c r="D1" s="243"/>
      <c r="E1" s="243"/>
      <c r="F1" s="243"/>
      <c r="G1" s="243"/>
      <c r="H1" s="243"/>
      <c r="I1" s="226" t="s">
        <v>5</v>
      </c>
      <c r="J1" s="226"/>
      <c r="K1" s="226"/>
      <c r="L1" s="226"/>
      <c r="M1" s="241" t="str">
        <f>変更来歴!M1</f>
        <v>ヒロセ電機株式会社</v>
      </c>
      <c r="N1" s="241"/>
      <c r="O1" s="241"/>
      <c r="P1" s="241"/>
      <c r="Q1" s="241"/>
      <c r="R1" s="241"/>
      <c r="S1" s="241"/>
      <c r="T1" s="241"/>
      <c r="U1" s="241"/>
      <c r="V1" s="241"/>
      <c r="W1" s="241"/>
      <c r="X1" s="226" t="s">
        <v>7</v>
      </c>
      <c r="Y1" s="226"/>
      <c r="Z1" s="226"/>
      <c r="AA1" s="245" t="str">
        <f>変更来歴!AA1</f>
        <v>化学物質データ申請</v>
      </c>
      <c r="AB1" s="245"/>
      <c r="AC1" s="245"/>
      <c r="AD1" s="245"/>
      <c r="AE1" s="245"/>
      <c r="AF1" s="245"/>
      <c r="AG1" s="245"/>
      <c r="AH1" s="245"/>
      <c r="AI1" s="245"/>
      <c r="AJ1" s="245"/>
      <c r="AK1" s="230" t="s">
        <v>8</v>
      </c>
      <c r="AL1" s="230"/>
      <c r="AM1" s="230"/>
      <c r="AN1" s="231" t="str">
        <f>変更来歴!AP7</f>
        <v>古竹</v>
      </c>
      <c r="AO1" s="231"/>
      <c r="AP1" s="231"/>
      <c r="AQ1" s="231"/>
      <c r="AR1" s="231"/>
      <c r="AS1" s="230" t="s">
        <v>9</v>
      </c>
      <c r="AT1" s="230"/>
      <c r="AU1" s="230"/>
      <c r="AV1" s="233">
        <f>変更来歴!AL7</f>
        <v>46125</v>
      </c>
      <c r="AW1" s="246"/>
      <c r="AX1" s="246"/>
      <c r="AY1" s="246"/>
      <c r="AZ1" s="222" t="s">
        <v>10</v>
      </c>
      <c r="BA1" s="223"/>
      <c r="BB1" s="223"/>
      <c r="BC1" s="224"/>
    </row>
    <row r="2" spans="1:85">
      <c r="A2" s="225" t="s">
        <v>16</v>
      </c>
      <c r="B2" s="225"/>
      <c r="C2" s="225"/>
      <c r="D2" s="225"/>
      <c r="E2" s="225"/>
      <c r="F2" s="225"/>
      <c r="G2" s="225"/>
      <c r="H2" s="225"/>
      <c r="I2" s="226" t="s">
        <v>11</v>
      </c>
      <c r="J2" s="226"/>
      <c r="K2" s="226"/>
      <c r="L2" s="226"/>
      <c r="M2" s="260" t="str">
        <f>変更来歴!M2</f>
        <v>新環境証明証システム移行</v>
      </c>
      <c r="N2" s="260"/>
      <c r="O2" s="260"/>
      <c r="P2" s="260"/>
      <c r="Q2" s="260"/>
      <c r="R2" s="260"/>
      <c r="S2" s="260"/>
      <c r="T2" s="260"/>
      <c r="U2" s="260"/>
      <c r="V2" s="260"/>
      <c r="W2" s="260"/>
      <c r="X2" s="226"/>
      <c r="Y2" s="226"/>
      <c r="Z2" s="226"/>
      <c r="AA2" s="245"/>
      <c r="AB2" s="245"/>
      <c r="AC2" s="245"/>
      <c r="AD2" s="245"/>
      <c r="AE2" s="245"/>
      <c r="AF2" s="245"/>
      <c r="AG2" s="245"/>
      <c r="AH2" s="245"/>
      <c r="AI2" s="245"/>
      <c r="AJ2" s="245"/>
      <c r="AK2" s="230" t="s">
        <v>12</v>
      </c>
      <c r="AL2" s="230"/>
      <c r="AM2" s="230"/>
      <c r="AN2" s="231" t="str">
        <f ca="1">INDIRECT("変更来歴!AP" &amp; COUNTA(変更来歴!AP7:'変更来歴'!AP39) + 6)</f>
        <v>古竹</v>
      </c>
      <c r="AO2" s="231"/>
      <c r="AP2" s="231"/>
      <c r="AQ2" s="231"/>
      <c r="AR2" s="231"/>
      <c r="AS2" s="230" t="s">
        <v>13</v>
      </c>
      <c r="AT2" s="230"/>
      <c r="AU2" s="230"/>
      <c r="AV2" s="233">
        <f ca="1">INDIRECT("変更来歴!AL" &amp; COUNTA(変更来歴!AL7:'変更来歴'!AL39) + 6)</f>
        <v>46162</v>
      </c>
      <c r="AW2" s="246"/>
      <c r="AX2" s="246"/>
      <c r="AY2" s="246"/>
      <c r="AZ2" s="234" t="str">
        <f>変更来歴!AX2</f>
        <v>IMWF-53</v>
      </c>
      <c r="BA2" s="235"/>
      <c r="BB2" s="235"/>
      <c r="BC2" s="236"/>
    </row>
    <row r="3" spans="1:85" ht="12" customHeight="1">
      <c r="A3" s="240" t="str">
        <f>変更来歴!A3</f>
        <v>画面設計書</v>
      </c>
      <c r="B3" s="240"/>
      <c r="C3" s="240"/>
      <c r="D3" s="240"/>
      <c r="E3" s="240"/>
      <c r="F3" s="240"/>
      <c r="G3" s="240"/>
      <c r="H3" s="240"/>
      <c r="I3" s="226" t="s">
        <v>14</v>
      </c>
      <c r="J3" s="226"/>
      <c r="K3" s="226"/>
      <c r="L3" s="226"/>
      <c r="M3" s="241" t="str">
        <f ca="1">RIGHT(CELL("filename",A1),LEN(CELL("filename",A1))-FIND("]",CELL("filename",A1)))</f>
        <v>化学物質データ画面(日英併記)</v>
      </c>
      <c r="N3" s="241"/>
      <c r="O3" s="241"/>
      <c r="P3" s="241"/>
      <c r="Q3" s="241"/>
      <c r="R3" s="241"/>
      <c r="S3" s="241"/>
      <c r="T3" s="241"/>
      <c r="U3" s="241"/>
      <c r="V3" s="241"/>
      <c r="W3" s="241"/>
      <c r="X3" s="226" t="s">
        <v>27</v>
      </c>
      <c r="Y3" s="226"/>
      <c r="Z3" s="226"/>
      <c r="AA3" s="242" t="str">
        <f ca="1">MID(CELL("filename"),FIND("]",CELL("filename"))+1,LEN(CELL("filename"))) &amp; "画面"</f>
        <v>画面項目画面</v>
      </c>
      <c r="AB3" s="242"/>
      <c r="AC3" s="242"/>
      <c r="AD3" s="242"/>
      <c r="AE3" s="242"/>
      <c r="AF3" s="242"/>
      <c r="AG3" s="242"/>
      <c r="AH3" s="242"/>
      <c r="AI3" s="242"/>
      <c r="AJ3" s="242"/>
      <c r="AK3" s="242"/>
      <c r="AL3" s="242"/>
      <c r="AM3" s="242"/>
      <c r="AN3" s="242"/>
      <c r="AO3" s="242"/>
      <c r="AP3" s="242"/>
      <c r="AQ3" s="242"/>
      <c r="AR3" s="242"/>
      <c r="AS3" s="230" t="s">
        <v>15</v>
      </c>
      <c r="AT3" s="230"/>
      <c r="AU3" s="230"/>
      <c r="AV3" s="246" t="str">
        <f ca="1">INDIRECT("変更来歴!A" &amp; COUNTA(変更来歴!A7:'変更来歴'!A39) + 6)</f>
        <v>r1.2</v>
      </c>
      <c r="AW3" s="246"/>
      <c r="AX3" s="246"/>
      <c r="AY3" s="246"/>
      <c r="AZ3" s="237"/>
      <c r="BA3" s="238"/>
      <c r="BB3" s="238"/>
      <c r="BC3" s="239"/>
    </row>
    <row r="4" spans="1:85" ht="5.9" customHeight="1"/>
    <row r="5" spans="1:85" ht="13.5" customHeight="1">
      <c r="A5" s="269" t="str">
        <f ca="1">"画面レイアウト"&amp;"("&amp;MID(CELL("filename"),FIND("]",CELL("filename"))+1,LEN(CELL("filename")))&amp;")"</f>
        <v>画面レイアウト(画面項目)</v>
      </c>
      <c r="B5" s="270"/>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c r="AE5" s="270"/>
      <c r="AF5" s="270"/>
      <c r="AG5" s="270"/>
      <c r="AH5" s="270"/>
      <c r="AI5" s="270"/>
      <c r="AJ5" s="270"/>
      <c r="AK5" s="270"/>
      <c r="AL5" s="270"/>
      <c r="AM5" s="270"/>
      <c r="AN5" s="270"/>
      <c r="AO5" s="270"/>
      <c r="AP5" s="270"/>
      <c r="AQ5" s="270"/>
      <c r="AR5" s="270"/>
      <c r="AS5" s="270"/>
      <c r="AT5" s="270"/>
      <c r="AU5" s="270"/>
      <c r="AV5" s="270"/>
      <c r="AW5" s="270"/>
      <c r="AX5" s="270"/>
      <c r="AY5" s="270"/>
      <c r="AZ5" s="270"/>
      <c r="BA5" s="271"/>
      <c r="BB5" s="272" t="s">
        <v>24</v>
      </c>
      <c r="BC5" s="273"/>
      <c r="BD5" s="24"/>
    </row>
    <row r="6" spans="1:85" ht="13.5" customHeight="1">
      <c r="A6" s="23"/>
      <c r="B6" s="29">
        <v>1</v>
      </c>
      <c r="C6" s="29">
        <v>2</v>
      </c>
      <c r="D6" s="29">
        <v>3</v>
      </c>
      <c r="E6" s="29">
        <v>4</v>
      </c>
      <c r="F6" s="29">
        <v>5</v>
      </c>
      <c r="G6" s="29">
        <v>6</v>
      </c>
      <c r="H6" s="29">
        <v>7</v>
      </c>
      <c r="I6" s="29">
        <v>8</v>
      </c>
      <c r="J6" s="29">
        <v>9</v>
      </c>
      <c r="K6" s="29">
        <v>10</v>
      </c>
      <c r="L6" s="29">
        <v>11</v>
      </c>
      <c r="M6" s="29">
        <v>12</v>
      </c>
      <c r="N6" s="29">
        <v>13</v>
      </c>
      <c r="O6" s="29">
        <v>14</v>
      </c>
      <c r="P6" s="29">
        <v>15</v>
      </c>
      <c r="Q6" s="29">
        <v>16</v>
      </c>
      <c r="R6" s="29">
        <v>17</v>
      </c>
      <c r="S6" s="31">
        <v>18</v>
      </c>
      <c r="T6" s="31">
        <v>19</v>
      </c>
      <c r="U6" s="31">
        <v>20</v>
      </c>
      <c r="V6" s="31">
        <v>21</v>
      </c>
      <c r="W6" s="31">
        <v>22</v>
      </c>
      <c r="X6" s="31">
        <v>23</v>
      </c>
      <c r="Y6" s="31">
        <v>24</v>
      </c>
      <c r="Z6" s="31">
        <v>25</v>
      </c>
      <c r="AA6" s="31">
        <v>26</v>
      </c>
      <c r="AB6" s="31">
        <v>27</v>
      </c>
      <c r="AC6" s="31">
        <v>28</v>
      </c>
      <c r="AD6" s="31">
        <v>29</v>
      </c>
      <c r="AE6" s="31">
        <v>30</v>
      </c>
      <c r="AF6" s="31">
        <v>31</v>
      </c>
      <c r="AG6" s="31">
        <v>32</v>
      </c>
      <c r="AH6" s="31">
        <v>33</v>
      </c>
      <c r="AI6" s="31">
        <v>34</v>
      </c>
      <c r="AJ6" s="30">
        <v>35</v>
      </c>
      <c r="AK6" s="30">
        <v>36</v>
      </c>
      <c r="AL6" s="30">
        <v>37</v>
      </c>
      <c r="AM6" s="30">
        <v>38</v>
      </c>
      <c r="AN6" s="30">
        <v>39</v>
      </c>
      <c r="AO6" s="30">
        <v>40</v>
      </c>
      <c r="AP6" s="30">
        <v>41</v>
      </c>
      <c r="AQ6" s="30">
        <v>42</v>
      </c>
      <c r="AR6" s="30">
        <v>43</v>
      </c>
      <c r="AS6" s="30">
        <v>44</v>
      </c>
      <c r="AT6" s="30">
        <v>45</v>
      </c>
      <c r="AU6" s="30">
        <v>46</v>
      </c>
      <c r="AV6" s="30">
        <v>47</v>
      </c>
      <c r="AW6" s="30">
        <v>48</v>
      </c>
      <c r="AX6" s="30">
        <v>49</v>
      </c>
      <c r="AY6" s="30">
        <v>50</v>
      </c>
      <c r="AZ6" s="30">
        <v>51</v>
      </c>
      <c r="BA6" s="21"/>
      <c r="BB6" s="27"/>
      <c r="BC6" s="26"/>
      <c r="BD6" s="24"/>
    </row>
    <row r="7" spans="1:85" ht="21" customHeight="1">
      <c r="A7" s="36"/>
      <c r="B7" s="115"/>
      <c r="C7" s="120" t="s">
        <v>39</v>
      </c>
      <c r="D7" s="116"/>
      <c r="E7" s="117"/>
      <c r="F7" s="117"/>
      <c r="G7" s="117"/>
      <c r="H7" s="98"/>
      <c r="I7" s="98"/>
      <c r="J7" s="99"/>
      <c r="K7" s="99"/>
      <c r="L7" s="99"/>
      <c r="M7" s="99"/>
      <c r="N7" s="102"/>
      <c r="O7" s="101"/>
      <c r="P7" s="102"/>
      <c r="Q7" s="98"/>
      <c r="R7" s="98"/>
      <c r="S7" s="98"/>
      <c r="T7" s="100"/>
      <c r="U7" s="100"/>
      <c r="V7" s="100"/>
      <c r="W7" s="100"/>
      <c r="X7" s="100"/>
      <c r="Y7" s="101"/>
      <c r="Z7" s="100"/>
      <c r="AA7" s="98"/>
      <c r="AB7" s="101"/>
      <c r="AC7" s="100"/>
      <c r="AD7" s="98"/>
      <c r="AE7" s="101"/>
      <c r="AF7" s="98"/>
      <c r="AG7" s="98"/>
      <c r="AH7" s="101"/>
      <c r="AI7" s="98"/>
      <c r="AJ7" s="98"/>
      <c r="AK7" s="118"/>
      <c r="AL7" s="98"/>
      <c r="AM7" s="98"/>
      <c r="AN7" s="98"/>
      <c r="AO7" s="98"/>
      <c r="AP7" s="98"/>
      <c r="AQ7" s="98"/>
      <c r="AR7" s="98"/>
      <c r="AS7" s="98"/>
      <c r="AT7" s="117"/>
      <c r="AU7" s="117"/>
      <c r="AV7" s="117"/>
      <c r="AW7" s="117"/>
      <c r="AX7" s="117"/>
      <c r="AY7" s="117"/>
      <c r="AZ7" s="119"/>
      <c r="BA7" s="60"/>
      <c r="BB7" s="49"/>
      <c r="BC7" s="50"/>
      <c r="BD7" s="34"/>
      <c r="BE7" s="124"/>
      <c r="BF7" s="124"/>
      <c r="BN7" s="124"/>
      <c r="BO7" s="124"/>
      <c r="BP7" s="124"/>
      <c r="BQ7" s="124"/>
      <c r="BR7" s="124"/>
      <c r="BS7" s="124"/>
      <c r="BT7" s="124"/>
    </row>
    <row r="8" spans="1:85" ht="12.65" customHeight="1">
      <c r="A8" s="36"/>
      <c r="B8" s="56"/>
      <c r="C8" s="67"/>
      <c r="D8" s="68"/>
      <c r="E8" s="59"/>
      <c r="F8" s="59"/>
      <c r="G8" s="59"/>
      <c r="H8" s="92"/>
      <c r="I8" s="92"/>
      <c r="J8" s="92"/>
      <c r="K8" s="92"/>
      <c r="L8" s="92"/>
      <c r="M8" s="92"/>
      <c r="N8" s="92"/>
      <c r="O8" s="92"/>
      <c r="P8" s="92"/>
      <c r="Q8" s="92"/>
      <c r="R8" s="92"/>
      <c r="S8" s="92"/>
      <c r="T8" s="92"/>
      <c r="U8" s="92"/>
      <c r="V8" s="92"/>
      <c r="W8" s="92"/>
      <c r="X8" s="92"/>
      <c r="Y8" s="92"/>
      <c r="Z8" s="92"/>
      <c r="AA8" s="92"/>
      <c r="AB8" s="92"/>
      <c r="AC8" s="92"/>
      <c r="AD8" s="92"/>
      <c r="AE8" s="92"/>
      <c r="AF8" s="92"/>
      <c r="AG8" s="92"/>
      <c r="AH8" s="92"/>
      <c r="AI8" s="92"/>
      <c r="AJ8" s="92"/>
      <c r="AK8" s="92"/>
      <c r="AL8" s="92"/>
      <c r="AM8" s="92"/>
      <c r="AN8" s="92"/>
      <c r="AO8" s="92"/>
      <c r="AP8" s="92"/>
      <c r="AQ8" s="92"/>
      <c r="AR8" s="92"/>
      <c r="AS8" s="94"/>
      <c r="AT8" s="69"/>
      <c r="AU8" s="69"/>
      <c r="AV8" s="69"/>
      <c r="AW8" s="69"/>
      <c r="AX8" s="69"/>
      <c r="AY8" s="69"/>
      <c r="AZ8" s="60"/>
      <c r="BA8" s="60"/>
      <c r="BB8" s="49"/>
      <c r="BC8" s="50"/>
      <c r="BD8" s="34"/>
      <c r="BE8" s="249" t="s">
        <v>257</v>
      </c>
      <c r="BF8" s="249"/>
      <c r="BG8" s="249"/>
      <c r="BH8" s="249"/>
      <c r="BI8" s="249"/>
      <c r="BJ8" s="249"/>
      <c r="BK8" s="249"/>
      <c r="BL8" s="249"/>
      <c r="BM8" s="249"/>
      <c r="BN8" s="125"/>
      <c r="BO8" s="125"/>
      <c r="BP8" s="125"/>
      <c r="BQ8" s="125"/>
      <c r="BR8" s="125"/>
      <c r="BS8" s="124"/>
      <c r="BT8" s="124"/>
    </row>
    <row r="9" spans="1:85" ht="24" customHeight="1">
      <c r="A9" s="36"/>
      <c r="B9" s="37"/>
      <c r="C9" s="40"/>
      <c r="D9" s="40"/>
      <c r="E9" s="40"/>
      <c r="F9" s="38"/>
      <c r="G9" s="38"/>
      <c r="H9" s="287" t="s">
        <v>229</v>
      </c>
      <c r="I9" s="287"/>
      <c r="J9" s="287"/>
      <c r="K9" s="287"/>
      <c r="L9" s="287"/>
      <c r="M9" s="287"/>
      <c r="N9" s="287"/>
      <c r="O9" s="287"/>
      <c r="P9" s="287"/>
      <c r="Q9" s="287"/>
      <c r="R9" s="287"/>
      <c r="S9" s="287"/>
      <c r="T9" s="287"/>
      <c r="U9" s="287"/>
      <c r="V9" s="287"/>
      <c r="W9" s="287"/>
      <c r="X9" s="287"/>
      <c r="Y9" s="287"/>
      <c r="Z9" s="287"/>
      <c r="AA9" s="287"/>
      <c r="AB9" s="287"/>
      <c r="AC9" s="287"/>
      <c r="AD9" s="287"/>
      <c r="AE9" s="287"/>
      <c r="AF9" s="287"/>
      <c r="AG9" s="287"/>
      <c r="AH9" s="287"/>
      <c r="AI9" s="287"/>
      <c r="AJ9" s="287"/>
      <c r="AK9" s="287"/>
      <c r="AL9" s="287"/>
      <c r="AM9" s="287"/>
      <c r="AN9" s="287"/>
      <c r="AO9" s="287"/>
      <c r="AP9" s="287"/>
      <c r="AQ9" s="287"/>
      <c r="AR9" s="287"/>
      <c r="AS9" s="287"/>
      <c r="AT9" s="43"/>
      <c r="AU9" s="41"/>
      <c r="AV9" s="44"/>
      <c r="AW9" s="44"/>
      <c r="AX9" s="44"/>
      <c r="AY9" s="38"/>
      <c r="AZ9" s="39"/>
      <c r="BA9" s="39"/>
      <c r="BB9" s="32"/>
      <c r="BC9" s="33"/>
      <c r="BD9" s="34"/>
      <c r="BE9" s="179" t="s">
        <v>178</v>
      </c>
      <c r="BF9" s="180"/>
      <c r="BG9" s="180"/>
      <c r="BH9" s="180"/>
      <c r="BI9" s="180"/>
      <c r="BJ9" s="180"/>
      <c r="BK9" s="180"/>
      <c r="BL9" s="180"/>
      <c r="BM9" s="180"/>
      <c r="BN9" s="181"/>
      <c r="BO9" s="181"/>
      <c r="BP9" s="181"/>
      <c r="BQ9" s="181"/>
      <c r="BR9" s="181"/>
      <c r="BS9" s="182"/>
      <c r="BT9" s="182"/>
      <c r="BU9" s="180"/>
      <c r="BV9" s="180"/>
      <c r="BW9" s="180"/>
      <c r="BX9" s="180"/>
      <c r="BY9" s="180"/>
      <c r="BZ9" s="180"/>
      <c r="CA9" s="180"/>
      <c r="CB9" s="180"/>
      <c r="CC9" s="180"/>
      <c r="CD9" s="180"/>
      <c r="CE9" s="180"/>
      <c r="CF9" s="180"/>
      <c r="CG9" s="183"/>
    </row>
    <row r="10" spans="1:85" ht="12" customHeight="1">
      <c r="A10" s="36"/>
      <c r="B10" s="45"/>
      <c r="C10" s="46"/>
      <c r="D10" s="34"/>
      <c r="E10" s="34"/>
      <c r="F10" s="34"/>
      <c r="G10" s="34"/>
      <c r="H10" s="47"/>
      <c r="I10" s="42"/>
      <c r="J10" s="41"/>
      <c r="K10" s="42"/>
      <c r="L10" s="41"/>
      <c r="M10" s="48"/>
      <c r="N10" s="48"/>
      <c r="O10" s="44"/>
      <c r="P10" s="48"/>
      <c r="Q10" s="44"/>
      <c r="R10" s="48"/>
      <c r="S10" s="35"/>
      <c r="T10" s="34"/>
      <c r="U10" s="34"/>
      <c r="V10" s="34"/>
      <c r="W10" s="34"/>
      <c r="X10" s="34"/>
      <c r="Y10" s="47"/>
      <c r="Z10" s="42"/>
      <c r="AA10" s="41"/>
      <c r="AB10" s="42"/>
      <c r="AC10" s="41"/>
      <c r="AD10" s="48"/>
      <c r="AE10" s="48"/>
      <c r="AF10" s="44"/>
      <c r="AG10" s="48"/>
      <c r="AH10" s="48"/>
      <c r="AI10" s="43"/>
      <c r="AJ10" s="48"/>
      <c r="AK10" s="44"/>
      <c r="AL10" s="34"/>
      <c r="AM10" s="34"/>
      <c r="AN10" s="34"/>
      <c r="AO10" s="34"/>
      <c r="AP10" s="34"/>
      <c r="AQ10" s="34"/>
      <c r="AR10" s="34"/>
      <c r="AS10" s="41"/>
      <c r="AT10" s="43"/>
      <c r="AU10" s="41"/>
      <c r="AV10" s="44"/>
      <c r="AW10" s="44"/>
      <c r="AX10" s="44"/>
      <c r="AY10" s="38"/>
      <c r="AZ10" s="39"/>
      <c r="BA10" s="39"/>
      <c r="BB10" s="32"/>
      <c r="BC10" s="33"/>
      <c r="BD10" s="34"/>
      <c r="BE10" s="184" t="s">
        <v>44</v>
      </c>
      <c r="BF10" s="68"/>
      <c r="BG10" s="125"/>
      <c r="BH10" s="125"/>
      <c r="BI10" s="125"/>
      <c r="BJ10" s="125"/>
      <c r="BK10" s="125"/>
      <c r="BL10" s="125"/>
      <c r="BM10" s="125"/>
      <c r="BN10" s="124"/>
      <c r="BO10" s="124"/>
      <c r="BP10" s="124"/>
      <c r="BQ10" s="124"/>
      <c r="BR10" s="124"/>
      <c r="BS10" s="124"/>
      <c r="BT10" s="124"/>
      <c r="CG10" s="185"/>
    </row>
    <row r="11" spans="1:85" ht="12.65" customHeight="1">
      <c r="A11" s="36"/>
      <c r="B11" s="37"/>
      <c r="C11" s="34"/>
      <c r="D11" s="34"/>
      <c r="E11" s="34"/>
      <c r="F11" s="35"/>
      <c r="G11" s="40"/>
      <c r="H11" s="71"/>
      <c r="I11" s="71"/>
      <c r="J11" s="71"/>
      <c r="K11" s="71"/>
      <c r="L11" s="71"/>
      <c r="M11" s="71"/>
      <c r="N11" s="71"/>
      <c r="O11" s="71"/>
      <c r="P11" s="71"/>
      <c r="Q11" s="71"/>
      <c r="R11" s="71"/>
      <c r="S11" s="71"/>
      <c r="T11" s="72"/>
      <c r="U11" s="72"/>
      <c r="V11" s="72"/>
      <c r="W11" s="72"/>
      <c r="X11" s="73"/>
      <c r="Y11" s="72"/>
      <c r="Z11" s="72"/>
      <c r="AA11" s="72"/>
      <c r="AB11" s="74"/>
      <c r="AC11" s="72"/>
      <c r="AD11" s="75"/>
      <c r="AE11" s="75"/>
      <c r="AF11" s="75"/>
      <c r="AG11" s="75"/>
      <c r="AH11" s="75"/>
      <c r="AI11" s="71"/>
      <c r="AJ11" s="72"/>
      <c r="AK11" s="72"/>
      <c r="AL11" s="72"/>
      <c r="AM11" s="72"/>
      <c r="AN11" s="76"/>
      <c r="AO11" s="73"/>
      <c r="AP11" s="73"/>
      <c r="AQ11" s="72"/>
      <c r="AR11" s="72"/>
      <c r="AS11" s="72"/>
      <c r="AT11" s="43"/>
      <c r="AU11" s="41"/>
      <c r="AV11" s="44"/>
      <c r="AW11" s="44"/>
      <c r="AX11" s="44"/>
      <c r="AY11" s="38"/>
      <c r="AZ11" s="39"/>
      <c r="BA11" s="39"/>
      <c r="BB11" s="32"/>
      <c r="BC11" s="33"/>
      <c r="BD11" s="34"/>
      <c r="BE11" s="186"/>
      <c r="BF11" s="68" t="s">
        <v>45</v>
      </c>
      <c r="BG11" s="68"/>
      <c r="BH11" s="68"/>
      <c r="BI11" s="125"/>
      <c r="BJ11" s="125"/>
      <c r="BK11" s="125"/>
      <c r="BL11" s="125"/>
      <c r="BM11" s="125"/>
      <c r="BN11" s="124"/>
      <c r="BO11" s="124"/>
      <c r="BP11" s="124"/>
      <c r="BQ11" s="124"/>
      <c r="BR11" s="124"/>
      <c r="BS11" s="124"/>
      <c r="BT11" s="124"/>
      <c r="CG11" s="185"/>
    </row>
    <row r="12" spans="1:85" ht="12.65" customHeight="1">
      <c r="A12" s="36"/>
      <c r="B12" s="56"/>
      <c r="C12" s="55"/>
      <c r="D12" s="57"/>
      <c r="E12" s="57"/>
      <c r="F12" s="57"/>
      <c r="G12" s="55"/>
      <c r="H12" s="71"/>
      <c r="I12" s="71" t="s">
        <v>170</v>
      </c>
      <c r="J12" s="71"/>
      <c r="K12" s="71"/>
      <c r="L12" s="71"/>
      <c r="M12" s="71"/>
      <c r="N12" s="71"/>
      <c r="O12" s="71"/>
      <c r="P12" s="71"/>
      <c r="Q12" s="71"/>
      <c r="R12" s="71"/>
      <c r="S12" s="71"/>
      <c r="T12" s="72"/>
      <c r="U12" s="72"/>
      <c r="V12" s="72"/>
      <c r="W12" s="72"/>
      <c r="X12" s="73"/>
      <c r="Y12" s="72"/>
      <c r="Z12" s="71"/>
      <c r="AA12" s="71"/>
      <c r="AB12" s="71"/>
      <c r="AC12" s="71"/>
      <c r="AD12" s="71"/>
      <c r="AE12" s="71"/>
      <c r="AF12" s="71"/>
      <c r="AG12" s="71"/>
      <c r="AH12" s="71"/>
      <c r="AI12" s="71"/>
      <c r="AJ12" s="71"/>
      <c r="AK12" s="71"/>
      <c r="AL12" s="71"/>
      <c r="AM12" s="71"/>
      <c r="AN12" s="71"/>
      <c r="AO12" s="71"/>
      <c r="AP12" s="71"/>
      <c r="AQ12" s="71"/>
      <c r="AR12" s="71"/>
      <c r="AS12" s="71"/>
      <c r="AT12" s="55"/>
      <c r="AU12" s="55"/>
      <c r="AV12" s="55"/>
      <c r="AW12" s="55"/>
      <c r="AX12" s="59"/>
      <c r="AY12" s="55"/>
      <c r="AZ12" s="60"/>
      <c r="BA12" s="60"/>
      <c r="BB12" s="32"/>
      <c r="BC12" s="33"/>
      <c r="BD12" s="34"/>
      <c r="BE12" s="184"/>
      <c r="BF12" s="68"/>
      <c r="BG12" s="68" t="s">
        <v>46</v>
      </c>
      <c r="BH12" s="187"/>
      <c r="BI12" s="125"/>
      <c r="BJ12" s="125"/>
      <c r="BK12" s="125"/>
      <c r="BL12" s="125"/>
      <c r="BM12" s="125"/>
      <c r="BN12" s="124"/>
      <c r="BO12" s="124"/>
      <c r="BP12" s="124"/>
      <c r="BQ12" s="124"/>
      <c r="BR12" s="124"/>
      <c r="BS12" s="124"/>
      <c r="BT12" s="124"/>
      <c r="CG12" s="185"/>
    </row>
    <row r="13" spans="1:85" ht="12.65" customHeight="1">
      <c r="A13" s="36"/>
      <c r="B13" s="56"/>
      <c r="C13" s="61"/>
      <c r="D13" s="57"/>
      <c r="E13" s="57"/>
      <c r="F13" s="57"/>
      <c r="G13" s="59"/>
      <c r="H13" s="71"/>
      <c r="I13" s="77" t="s">
        <v>154</v>
      </c>
      <c r="J13" s="78"/>
      <c r="K13" s="77"/>
      <c r="L13" s="77"/>
      <c r="M13" s="77"/>
      <c r="N13" s="77"/>
      <c r="O13" s="77"/>
      <c r="P13" s="77"/>
      <c r="Q13" s="77"/>
      <c r="R13" s="77"/>
      <c r="S13" s="77"/>
      <c r="T13" s="77"/>
      <c r="U13" s="77"/>
      <c r="V13" s="77"/>
      <c r="W13" s="77"/>
      <c r="X13" s="79"/>
      <c r="Y13" s="71"/>
      <c r="Z13" s="71"/>
      <c r="AA13" s="80"/>
      <c r="AB13" s="71"/>
      <c r="AC13" s="81"/>
      <c r="AD13" s="81"/>
      <c r="AE13" s="82"/>
      <c r="AF13" s="81"/>
      <c r="AG13" s="82"/>
      <c r="AH13" s="81"/>
      <c r="AI13" s="83"/>
      <c r="AJ13" s="81"/>
      <c r="AK13" s="82"/>
      <c r="AL13" s="82"/>
      <c r="AM13" s="82"/>
      <c r="AN13" s="82"/>
      <c r="AO13" s="82"/>
      <c r="AP13" s="82"/>
      <c r="AQ13" s="82"/>
      <c r="AR13" s="82"/>
      <c r="AS13" s="82"/>
      <c r="AT13" s="59"/>
      <c r="AU13" s="59"/>
      <c r="AV13" s="59"/>
      <c r="AW13" s="59"/>
      <c r="AX13" s="59"/>
      <c r="AY13" s="55"/>
      <c r="AZ13" s="60"/>
      <c r="BA13" s="60"/>
      <c r="BB13" s="32"/>
      <c r="BC13" s="33"/>
      <c r="BD13" s="34"/>
      <c r="BE13" s="184"/>
      <c r="BF13" s="68"/>
      <c r="BG13" s="68" t="s">
        <v>47</v>
      </c>
      <c r="BH13" s="187"/>
      <c r="BI13" s="68"/>
      <c r="BJ13" s="125"/>
      <c r="BK13" s="125"/>
      <c r="BL13" s="125"/>
      <c r="BM13" s="125"/>
      <c r="BN13" s="124"/>
      <c r="BO13" s="124"/>
      <c r="BP13" s="124"/>
      <c r="BQ13" s="124"/>
      <c r="BR13" s="124"/>
      <c r="BS13" s="124"/>
      <c r="BT13" s="124"/>
      <c r="CG13" s="185"/>
    </row>
    <row r="14" spans="1:85" ht="12.65" customHeight="1">
      <c r="A14" s="36"/>
      <c r="B14" s="56"/>
      <c r="C14" s="64"/>
      <c r="D14" s="59"/>
      <c r="E14" s="59"/>
      <c r="F14" s="59"/>
      <c r="G14" s="59"/>
      <c r="H14" s="84"/>
      <c r="I14" s="79"/>
      <c r="J14" s="77"/>
      <c r="K14" s="79"/>
      <c r="L14" s="77"/>
      <c r="M14" s="77"/>
      <c r="N14" s="77"/>
      <c r="O14" s="77"/>
      <c r="P14" s="77"/>
      <c r="Q14" s="77"/>
      <c r="R14" s="77"/>
      <c r="S14" s="77"/>
      <c r="T14" s="77"/>
      <c r="U14" s="77"/>
      <c r="V14" s="77"/>
      <c r="W14" s="77"/>
      <c r="X14" s="79"/>
      <c r="Y14" s="71"/>
      <c r="Z14" s="80"/>
      <c r="AA14" s="71"/>
      <c r="AB14" s="80"/>
      <c r="AC14" s="71"/>
      <c r="AD14" s="81"/>
      <c r="AE14" s="81"/>
      <c r="AF14" s="82"/>
      <c r="AG14" s="81"/>
      <c r="AH14" s="81"/>
      <c r="AI14" s="83"/>
      <c r="AJ14" s="81"/>
      <c r="AK14" s="82"/>
      <c r="AL14" s="82"/>
      <c r="AM14" s="82"/>
      <c r="AN14" s="82"/>
      <c r="AO14" s="82"/>
      <c r="AP14" s="82"/>
      <c r="AQ14" s="82"/>
      <c r="AR14" s="82"/>
      <c r="AS14" s="71"/>
      <c r="AT14" s="63"/>
      <c r="AU14" s="55"/>
      <c r="AV14" s="59"/>
      <c r="AW14" s="59"/>
      <c r="AX14" s="59"/>
      <c r="AY14" s="55"/>
      <c r="AZ14" s="60"/>
      <c r="BA14" s="60"/>
      <c r="BB14" s="32"/>
      <c r="BC14" s="33"/>
      <c r="BD14" s="34"/>
      <c r="BE14" s="188"/>
      <c r="BF14" s="124"/>
      <c r="BG14" s="126"/>
      <c r="BH14" s="124"/>
      <c r="BI14" s="124"/>
      <c r="BJ14" s="124"/>
      <c r="BK14" s="124"/>
      <c r="BL14" s="124"/>
      <c r="BM14" s="124"/>
      <c r="BN14" s="124"/>
      <c r="BO14" s="124"/>
      <c r="BP14" s="124"/>
      <c r="BQ14" s="124"/>
      <c r="BR14" s="124"/>
      <c r="BS14" s="124"/>
      <c r="BT14" s="124"/>
      <c r="CG14" s="185"/>
    </row>
    <row r="15" spans="1:85" ht="12.65" customHeight="1">
      <c r="A15" s="36"/>
      <c r="B15" s="56"/>
      <c r="C15" s="55"/>
      <c r="D15" s="59"/>
      <c r="E15" s="59"/>
      <c r="F15" s="59"/>
      <c r="G15" s="59"/>
      <c r="H15" s="84"/>
      <c r="I15" s="77" t="s">
        <v>32</v>
      </c>
      <c r="J15" s="78" t="s">
        <v>33</v>
      </c>
      <c r="K15" s="77"/>
      <c r="L15" s="77"/>
      <c r="M15" s="77"/>
      <c r="N15" s="77"/>
      <c r="O15" s="77" t="s">
        <v>151</v>
      </c>
      <c r="P15" s="77"/>
      <c r="Q15" s="77"/>
      <c r="R15" s="77"/>
      <c r="S15" s="77"/>
      <c r="T15" s="77"/>
      <c r="U15" s="77"/>
      <c r="V15" s="77"/>
      <c r="W15" s="77"/>
      <c r="X15" s="79"/>
      <c r="Y15" s="71"/>
      <c r="Z15" s="82"/>
      <c r="AA15" s="82"/>
      <c r="AB15" s="82"/>
      <c r="AC15" s="82"/>
      <c r="AD15" s="82"/>
      <c r="AE15" s="82"/>
      <c r="AF15" s="82"/>
      <c r="AG15" s="82"/>
      <c r="AH15" s="82"/>
      <c r="AI15" s="82"/>
      <c r="AJ15" s="82"/>
      <c r="AK15" s="82"/>
      <c r="AL15" s="82"/>
      <c r="AM15" s="71"/>
      <c r="AN15" s="71"/>
      <c r="AO15" s="71"/>
      <c r="AP15" s="71"/>
      <c r="AQ15" s="71"/>
      <c r="AR15" s="71"/>
      <c r="AS15" s="71"/>
      <c r="AT15" s="55"/>
      <c r="AU15" s="55"/>
      <c r="AV15" s="55"/>
      <c r="AW15" s="55"/>
      <c r="AX15" s="59"/>
      <c r="AY15" s="55"/>
      <c r="AZ15" s="60"/>
      <c r="BA15" s="60"/>
      <c r="BB15" s="32"/>
      <c r="BC15" s="33"/>
      <c r="BD15" s="34"/>
      <c r="BE15" s="184" t="s">
        <v>48</v>
      </c>
      <c r="BF15" s="124"/>
      <c r="BG15" s="124"/>
      <c r="BH15" s="124"/>
      <c r="BI15" s="124"/>
      <c r="BJ15" s="124"/>
      <c r="BK15" s="124"/>
      <c r="BL15" s="124"/>
      <c r="BM15" s="124"/>
      <c r="CG15" s="185"/>
    </row>
    <row r="16" spans="1:85" ht="12.65" customHeight="1">
      <c r="A16" s="36"/>
      <c r="B16" s="56"/>
      <c r="C16" s="55"/>
      <c r="D16" s="55"/>
      <c r="E16" s="55"/>
      <c r="F16" s="55"/>
      <c r="G16" s="55"/>
      <c r="H16" s="80"/>
      <c r="I16" s="79"/>
      <c r="J16" s="77"/>
      <c r="K16" s="79"/>
      <c r="L16" s="77"/>
      <c r="M16" s="77"/>
      <c r="N16" s="77"/>
      <c r="O16" s="77" t="s">
        <v>150</v>
      </c>
      <c r="P16" s="77"/>
      <c r="Q16" s="77"/>
      <c r="R16" s="77"/>
      <c r="S16" s="77"/>
      <c r="T16" s="77"/>
      <c r="U16" s="77"/>
      <c r="V16" s="77"/>
      <c r="W16" s="77"/>
      <c r="X16" s="79"/>
      <c r="Y16" s="71"/>
      <c r="Z16" s="71"/>
      <c r="AA16" s="71"/>
      <c r="AB16" s="83"/>
      <c r="AC16" s="71"/>
      <c r="AD16" s="82"/>
      <c r="AE16" s="82"/>
      <c r="AF16" s="82"/>
      <c r="AG16" s="82"/>
      <c r="AH16" s="82"/>
      <c r="AI16" s="71"/>
      <c r="AJ16" s="71"/>
      <c r="AK16" s="71"/>
      <c r="AL16" s="71"/>
      <c r="AM16" s="71"/>
      <c r="AN16" s="85"/>
      <c r="AO16" s="80"/>
      <c r="AP16" s="80"/>
      <c r="AQ16" s="86"/>
      <c r="AR16" s="71"/>
      <c r="AS16" s="71"/>
      <c r="AT16" s="63"/>
      <c r="AU16" s="55"/>
      <c r="AV16" s="59"/>
      <c r="AW16" s="59"/>
      <c r="AX16" s="59"/>
      <c r="AY16" s="55"/>
      <c r="AZ16" s="60"/>
      <c r="BA16" s="60"/>
      <c r="BB16" s="32"/>
      <c r="BC16" s="33"/>
      <c r="BD16" s="34"/>
      <c r="BE16" s="188"/>
      <c r="BF16" s="68" t="s">
        <v>166</v>
      </c>
      <c r="BG16" s="124"/>
      <c r="BH16" s="124"/>
      <c r="BI16" s="124"/>
      <c r="BJ16" s="124"/>
      <c r="BK16" s="124"/>
      <c r="BL16" s="124"/>
      <c r="BM16" s="124"/>
      <c r="CG16" s="185"/>
    </row>
    <row r="17" spans="1:85" ht="12.65" customHeight="1">
      <c r="A17" s="36"/>
      <c r="B17" s="56"/>
      <c r="C17" s="55"/>
      <c r="D17" s="55"/>
      <c r="E17" s="55"/>
      <c r="F17" s="55"/>
      <c r="G17" s="55"/>
      <c r="H17" s="80"/>
      <c r="I17" s="79"/>
      <c r="J17" s="77"/>
      <c r="K17" s="79"/>
      <c r="L17" s="77"/>
      <c r="M17" s="77"/>
      <c r="N17" s="77"/>
      <c r="O17" s="77"/>
      <c r="P17" s="77"/>
      <c r="Q17" s="77"/>
      <c r="R17" s="77"/>
      <c r="S17" s="77"/>
      <c r="T17" s="77"/>
      <c r="U17" s="77"/>
      <c r="V17" s="77"/>
      <c r="W17" s="77"/>
      <c r="X17" s="79"/>
      <c r="Y17" s="71"/>
      <c r="Z17" s="71"/>
      <c r="AA17" s="71"/>
      <c r="AB17" s="71"/>
      <c r="AC17" s="83"/>
      <c r="AD17" s="71"/>
      <c r="AE17" s="82"/>
      <c r="AF17" s="82"/>
      <c r="AG17" s="82"/>
      <c r="AH17" s="82"/>
      <c r="AI17" s="71"/>
      <c r="AJ17" s="71"/>
      <c r="AK17" s="71"/>
      <c r="AL17" s="71"/>
      <c r="AM17" s="71"/>
      <c r="AN17" s="71"/>
      <c r="AO17" s="71"/>
      <c r="AP17" s="80"/>
      <c r="AQ17" s="71"/>
      <c r="AR17" s="71"/>
      <c r="AS17" s="71"/>
      <c r="AT17" s="63"/>
      <c r="AU17" s="55"/>
      <c r="AV17" s="59"/>
      <c r="AW17" s="59"/>
      <c r="AX17" s="59"/>
      <c r="AY17" s="55"/>
      <c r="AZ17" s="60"/>
      <c r="BA17" s="60"/>
      <c r="BB17" s="32"/>
      <c r="BC17" s="33"/>
      <c r="BD17" s="34"/>
      <c r="BE17" s="188"/>
      <c r="BG17" s="68" t="s">
        <v>232</v>
      </c>
      <c r="BJ17" s="124"/>
      <c r="BK17" s="124"/>
      <c r="BL17" s="124"/>
      <c r="BM17" s="124"/>
      <c r="CG17" s="185"/>
    </row>
    <row r="18" spans="1:85" s="123" customFormat="1" ht="12.65" customHeight="1">
      <c r="A18" s="36"/>
      <c r="B18" s="56"/>
      <c r="C18" s="55"/>
      <c r="D18" s="55"/>
      <c r="E18" s="55"/>
      <c r="F18" s="55"/>
      <c r="G18" s="55"/>
      <c r="H18" s="80"/>
      <c r="I18" s="77" t="s">
        <v>32</v>
      </c>
      <c r="J18" s="78" t="s">
        <v>34</v>
      </c>
      <c r="K18" s="77"/>
      <c r="L18" s="77"/>
      <c r="M18" s="77"/>
      <c r="N18" s="77"/>
      <c r="O18" s="77" t="s">
        <v>152</v>
      </c>
      <c r="P18" s="77"/>
      <c r="Q18" s="77"/>
      <c r="R18" s="77"/>
      <c r="S18" s="77"/>
      <c r="T18" s="77"/>
      <c r="U18" s="77"/>
      <c r="V18" s="77"/>
      <c r="W18" s="77"/>
      <c r="X18" s="79"/>
      <c r="Y18" s="71"/>
      <c r="Z18" s="71"/>
      <c r="AA18" s="71"/>
      <c r="AB18" s="71"/>
      <c r="AC18" s="83"/>
      <c r="AD18" s="71"/>
      <c r="AE18" s="82"/>
      <c r="AF18" s="82"/>
      <c r="AG18" s="82"/>
      <c r="AH18" s="82"/>
      <c r="AI18" s="71"/>
      <c r="AJ18" s="71"/>
      <c r="AK18" s="71"/>
      <c r="AL18" s="71"/>
      <c r="AM18" s="71"/>
      <c r="AN18" s="85"/>
      <c r="AO18" s="80"/>
      <c r="AP18" s="80"/>
      <c r="AQ18" s="71"/>
      <c r="AR18" s="71"/>
      <c r="AS18" s="71"/>
      <c r="AT18" s="63"/>
      <c r="AU18" s="55"/>
      <c r="AV18" s="59"/>
      <c r="AW18" s="59"/>
      <c r="AX18" s="59"/>
      <c r="AY18" s="55"/>
      <c r="AZ18" s="60"/>
      <c r="BA18" s="60"/>
      <c r="BB18" s="32"/>
      <c r="BC18" s="33"/>
      <c r="BD18" s="34"/>
      <c r="BE18" s="189"/>
      <c r="BF18" s="68"/>
      <c r="BG18" s="190"/>
      <c r="BH18" s="124"/>
      <c r="BI18" s="124"/>
      <c r="BJ18" s="124"/>
      <c r="BK18" s="124"/>
      <c r="BL18" s="124"/>
      <c r="BM18" s="124"/>
      <c r="BN18" s="124"/>
      <c r="BO18" s="124"/>
      <c r="BP18" s="124"/>
      <c r="BQ18" s="124"/>
      <c r="BR18" s="124"/>
      <c r="BS18" s="124"/>
      <c r="BT18" s="124"/>
      <c r="CG18" s="185"/>
    </row>
    <row r="19" spans="1:85" s="123" customFormat="1" ht="12.65" customHeight="1">
      <c r="A19" s="36"/>
      <c r="B19" s="56"/>
      <c r="C19" s="61"/>
      <c r="D19" s="55"/>
      <c r="E19" s="55"/>
      <c r="F19" s="55"/>
      <c r="G19" s="55"/>
      <c r="H19" s="80"/>
      <c r="I19" s="79"/>
      <c r="J19" s="77"/>
      <c r="K19" s="77"/>
      <c r="L19" s="77"/>
      <c r="M19" s="77"/>
      <c r="N19" s="77"/>
      <c r="O19" s="77" t="s">
        <v>153</v>
      </c>
      <c r="P19" s="77"/>
      <c r="Q19" s="71"/>
      <c r="R19" s="71"/>
      <c r="S19" s="71"/>
      <c r="T19" s="71"/>
      <c r="U19" s="71"/>
      <c r="V19" s="71"/>
      <c r="W19" s="71"/>
      <c r="X19" s="80"/>
      <c r="Y19" s="71"/>
      <c r="Z19" s="71"/>
      <c r="AA19" s="71"/>
      <c r="AB19" s="71"/>
      <c r="AC19" s="83"/>
      <c r="AD19" s="71"/>
      <c r="AE19" s="82"/>
      <c r="AF19" s="82"/>
      <c r="AG19" s="82"/>
      <c r="AH19" s="82"/>
      <c r="AI19" s="71"/>
      <c r="AJ19" s="71"/>
      <c r="AK19" s="71"/>
      <c r="AL19" s="71"/>
      <c r="AM19" s="71"/>
      <c r="AN19" s="85"/>
      <c r="AO19" s="80"/>
      <c r="AP19" s="80"/>
      <c r="AQ19" s="71"/>
      <c r="AR19" s="71"/>
      <c r="AS19" s="71"/>
      <c r="AT19" s="63"/>
      <c r="AU19" s="55"/>
      <c r="AV19" s="59"/>
      <c r="AW19" s="59"/>
      <c r="AX19" s="59"/>
      <c r="AY19" s="55"/>
      <c r="AZ19" s="60"/>
      <c r="BA19" s="60"/>
      <c r="BB19" s="32"/>
      <c r="BC19" s="33"/>
      <c r="BD19" s="34"/>
      <c r="BE19" s="188" t="s">
        <v>49</v>
      </c>
      <c r="BF19" s="124"/>
      <c r="BH19" s="124"/>
      <c r="BJ19" s="124"/>
      <c r="BK19" s="124"/>
      <c r="BL19" s="124"/>
      <c r="BM19" s="124"/>
      <c r="BN19" s="124"/>
      <c r="BO19" s="124"/>
      <c r="BP19" s="124"/>
      <c r="BQ19" s="124"/>
      <c r="BR19" s="124"/>
      <c r="BS19" s="124"/>
      <c r="BT19" s="124"/>
      <c r="CG19" s="185"/>
    </row>
    <row r="20" spans="1:85" s="123" customFormat="1" ht="12.65" customHeight="1">
      <c r="A20" s="36"/>
      <c r="B20" s="56"/>
      <c r="C20" s="61"/>
      <c r="D20" s="55"/>
      <c r="E20" s="55"/>
      <c r="F20" s="55"/>
      <c r="G20" s="55"/>
      <c r="H20" s="80"/>
      <c r="I20" s="87"/>
      <c r="J20" s="87"/>
      <c r="K20" s="87"/>
      <c r="L20" s="87"/>
      <c r="M20" s="87"/>
      <c r="N20" s="87"/>
      <c r="O20" s="87"/>
      <c r="P20" s="87"/>
      <c r="Q20" s="87"/>
      <c r="R20" s="87"/>
      <c r="S20" s="87"/>
      <c r="T20" s="87"/>
      <c r="U20" s="87"/>
      <c r="V20" s="87"/>
      <c r="W20" s="87"/>
      <c r="X20" s="88"/>
      <c r="Y20" s="87"/>
      <c r="Z20" s="87"/>
      <c r="AA20" s="87"/>
      <c r="AB20" s="87"/>
      <c r="AC20" s="89"/>
      <c r="AD20" s="87"/>
      <c r="AE20" s="90"/>
      <c r="AF20" s="90"/>
      <c r="AG20" s="90"/>
      <c r="AH20" s="90"/>
      <c r="AI20" s="87"/>
      <c r="AJ20" s="87"/>
      <c r="AK20" s="87"/>
      <c r="AL20" s="87"/>
      <c r="AM20" s="87"/>
      <c r="AN20" s="91"/>
      <c r="AO20" s="88"/>
      <c r="AP20" s="88"/>
      <c r="AQ20" s="87"/>
      <c r="AR20" s="87"/>
      <c r="AS20" s="71"/>
      <c r="AT20" s="63"/>
      <c r="AU20" s="55"/>
      <c r="AV20" s="59"/>
      <c r="AW20" s="59"/>
      <c r="AX20" s="59"/>
      <c r="AY20" s="55"/>
      <c r="AZ20" s="60"/>
      <c r="BA20" s="60"/>
      <c r="BB20" s="32"/>
      <c r="BC20" s="33"/>
      <c r="BD20" s="34"/>
      <c r="BE20" s="188"/>
      <c r="BF20" s="124" t="s">
        <v>50</v>
      </c>
      <c r="BG20" s="124"/>
      <c r="BH20" s="124"/>
      <c r="BI20" s="124"/>
      <c r="BN20" s="124"/>
      <c r="BO20" s="124"/>
      <c r="BP20" s="124"/>
      <c r="BQ20" s="124"/>
      <c r="BR20" s="124"/>
      <c r="BS20" s="124"/>
      <c r="BT20" s="124"/>
      <c r="CG20" s="185"/>
    </row>
    <row r="21" spans="1:85" s="123" customFormat="1" ht="12.65" customHeight="1">
      <c r="A21" s="36"/>
      <c r="B21" s="56"/>
      <c r="C21" s="55"/>
      <c r="D21" s="55"/>
      <c r="E21" s="55"/>
      <c r="F21" s="55"/>
      <c r="G21" s="55"/>
      <c r="H21" s="92"/>
      <c r="I21" s="92"/>
      <c r="J21" s="92"/>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92"/>
      <c r="AS21" s="93"/>
      <c r="AT21" s="63"/>
      <c r="AU21" s="55"/>
      <c r="AV21" s="59"/>
      <c r="AW21" s="59"/>
      <c r="AX21" s="59"/>
      <c r="AY21" s="55"/>
      <c r="AZ21" s="60"/>
      <c r="BA21" s="60"/>
      <c r="BB21" s="32"/>
      <c r="BC21" s="33"/>
      <c r="BD21" s="35"/>
      <c r="BE21" s="188"/>
      <c r="BF21" s="124"/>
      <c r="BG21" s="124" t="s">
        <v>231</v>
      </c>
      <c r="BH21" s="124"/>
      <c r="BI21" s="124"/>
      <c r="BN21" s="124"/>
      <c r="BO21" s="124"/>
      <c r="BP21" s="124"/>
      <c r="BQ21" s="124"/>
      <c r="BR21" s="124"/>
      <c r="BS21" s="124"/>
      <c r="BT21" s="124"/>
      <c r="CG21" s="185"/>
    </row>
    <row r="22" spans="1:85" s="123" customFormat="1" ht="12.65" customHeight="1">
      <c r="A22" s="36"/>
      <c r="B22" s="56"/>
      <c r="C22" s="67"/>
      <c r="D22" s="68"/>
      <c r="E22" s="59"/>
      <c r="F22" s="59"/>
      <c r="G22" s="59"/>
      <c r="H22" s="92"/>
      <c r="I22" s="92"/>
      <c r="J22" s="92"/>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2"/>
      <c r="AR22" s="92"/>
      <c r="AS22" s="92"/>
      <c r="AT22" s="65"/>
      <c r="AU22" s="59"/>
      <c r="AV22" s="59"/>
      <c r="AW22" s="59"/>
      <c r="AX22" s="59"/>
      <c r="AY22" s="59"/>
      <c r="AZ22" s="60"/>
      <c r="BA22" s="60"/>
      <c r="BB22" s="49"/>
      <c r="BC22" s="50"/>
      <c r="BD22" s="34"/>
      <c r="BE22" s="196"/>
      <c r="BF22" s="192"/>
      <c r="BG22" s="192"/>
      <c r="BH22" s="192"/>
      <c r="BI22" s="192"/>
      <c r="BJ22" s="192"/>
      <c r="BK22" s="192"/>
      <c r="BL22" s="192"/>
      <c r="BM22" s="192"/>
      <c r="BN22" s="191"/>
      <c r="BO22" s="191"/>
      <c r="BP22" s="191"/>
      <c r="BQ22" s="191"/>
      <c r="BR22" s="191"/>
      <c r="BS22" s="191"/>
      <c r="BT22" s="191"/>
      <c r="BU22" s="192"/>
      <c r="BV22" s="192"/>
      <c r="BW22" s="192"/>
      <c r="BX22" s="192"/>
      <c r="BY22" s="192"/>
      <c r="BZ22" s="192"/>
      <c r="CA22" s="192"/>
      <c r="CB22" s="192"/>
      <c r="CC22" s="192"/>
      <c r="CD22" s="192"/>
      <c r="CE22" s="192"/>
      <c r="CF22" s="192"/>
      <c r="CG22" s="193"/>
    </row>
    <row r="23" spans="1:85" s="123" customFormat="1" ht="12.65" customHeight="1">
      <c r="A23" s="36"/>
      <c r="B23" s="56"/>
      <c r="C23" s="67"/>
      <c r="D23" s="68"/>
      <c r="E23" s="59"/>
      <c r="F23" s="59"/>
      <c r="G23" s="59"/>
      <c r="H23" s="92"/>
      <c r="I23" s="92"/>
      <c r="J23" s="92"/>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2"/>
      <c r="AR23" s="92"/>
      <c r="AS23" s="94"/>
      <c r="AT23" s="69"/>
      <c r="AU23" s="69"/>
      <c r="AV23" s="69"/>
      <c r="AW23" s="69"/>
      <c r="AX23" s="69"/>
      <c r="AY23" s="69"/>
      <c r="AZ23" s="60"/>
      <c r="BA23" s="60"/>
      <c r="BB23" s="49"/>
      <c r="BC23" s="50"/>
      <c r="BD23" s="34"/>
      <c r="BE23" s="124"/>
      <c r="BF23" s="124"/>
      <c r="BG23" s="124"/>
      <c r="BH23" s="124"/>
      <c r="BI23" s="124"/>
      <c r="BJ23" s="124"/>
      <c r="BK23" s="124"/>
      <c r="BL23" s="124"/>
      <c r="BM23" s="124"/>
      <c r="BN23" s="124"/>
      <c r="BO23" s="124"/>
      <c r="BP23" s="124"/>
      <c r="BQ23" s="124"/>
      <c r="BR23" s="124"/>
      <c r="BS23" s="124"/>
      <c r="BT23" s="124"/>
    </row>
    <row r="24" spans="1:85" s="123" customFormat="1" ht="12.65" customHeight="1">
      <c r="A24" s="36"/>
      <c r="B24" s="56"/>
      <c r="C24" s="67"/>
      <c r="D24" s="68"/>
      <c r="E24" s="59"/>
      <c r="F24" s="59"/>
      <c r="G24" s="59"/>
      <c r="H24" s="92"/>
      <c r="I24" s="92"/>
      <c r="J24" s="274"/>
      <c r="K24" s="274"/>
      <c r="L24" s="274"/>
      <c r="M24" s="274"/>
      <c r="N24" s="95"/>
      <c r="O24" s="96"/>
      <c r="P24" s="95"/>
      <c r="Q24" s="92"/>
      <c r="R24" s="92"/>
      <c r="S24" s="92"/>
      <c r="T24" s="93"/>
      <c r="U24" s="93"/>
      <c r="V24" s="93"/>
      <c r="W24" s="93"/>
      <c r="X24" s="93"/>
      <c r="Y24" s="96"/>
      <c r="Z24" s="93"/>
      <c r="AA24" s="92"/>
      <c r="AB24" s="96"/>
      <c r="AC24" s="93"/>
      <c r="AD24" s="92"/>
      <c r="AE24" s="96"/>
      <c r="AF24" s="92"/>
      <c r="AG24" s="92"/>
      <c r="AH24" s="96"/>
      <c r="AI24" s="92"/>
      <c r="AJ24" s="92"/>
      <c r="AK24" s="97"/>
      <c r="AL24" s="92"/>
      <c r="AM24" s="92"/>
      <c r="AN24" s="92"/>
      <c r="AO24" s="92"/>
      <c r="AP24" s="92"/>
      <c r="AQ24" s="92"/>
      <c r="AR24" s="92"/>
      <c r="AS24" s="92"/>
      <c r="AT24" s="59"/>
      <c r="AU24" s="59"/>
      <c r="AV24" s="59"/>
      <c r="AW24" s="59"/>
      <c r="AX24" s="59"/>
      <c r="AY24" s="59"/>
      <c r="AZ24" s="60"/>
      <c r="BA24" s="60"/>
      <c r="BB24" s="49"/>
      <c r="BC24" s="50"/>
      <c r="BD24" s="34"/>
      <c r="BE24" s="124"/>
      <c r="BF24" s="124"/>
      <c r="BG24" s="124"/>
      <c r="BH24" s="124"/>
      <c r="BI24" s="124"/>
      <c r="BJ24" s="124"/>
      <c r="BK24" s="124"/>
      <c r="BL24" s="124"/>
      <c r="BM24" s="124"/>
      <c r="BN24" s="124"/>
      <c r="BO24" s="124"/>
      <c r="BP24" s="124"/>
      <c r="BQ24" s="124"/>
      <c r="BR24" s="124"/>
      <c r="BS24" s="124"/>
      <c r="BT24" s="124"/>
    </row>
    <row r="25" spans="1:85" s="123" customFormat="1" ht="15" customHeight="1">
      <c r="A25" s="36"/>
      <c r="B25" s="66"/>
      <c r="C25" s="62"/>
      <c r="D25" s="62"/>
      <c r="E25" s="62"/>
      <c r="F25" s="62"/>
      <c r="G25" s="62"/>
      <c r="H25" s="98"/>
      <c r="I25" s="261" t="s">
        <v>167</v>
      </c>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59"/>
      <c r="AU25" s="59"/>
      <c r="AV25" s="59"/>
      <c r="AW25" s="59"/>
      <c r="AX25" s="63"/>
      <c r="AY25" s="55"/>
      <c r="AZ25" s="60"/>
      <c r="BA25" s="60"/>
      <c r="BB25" s="32"/>
      <c r="BC25" s="33"/>
      <c r="BD25" s="34"/>
      <c r="BE25" s="124"/>
      <c r="BF25" s="124"/>
      <c r="BG25" s="124"/>
      <c r="BH25" s="124"/>
      <c r="BI25" s="124"/>
      <c r="BJ25" s="124"/>
      <c r="BK25" s="124"/>
      <c r="BL25" s="124"/>
      <c r="BM25" s="124"/>
      <c r="BN25" s="124"/>
      <c r="BO25" s="124"/>
      <c r="BP25" s="124"/>
      <c r="BQ25" s="124"/>
      <c r="BR25" s="124"/>
      <c r="BS25" s="124"/>
      <c r="BT25" s="124"/>
    </row>
    <row r="26" spans="1:85" s="123" customFormat="1" ht="15" customHeight="1">
      <c r="A26" s="36"/>
      <c r="B26" s="66"/>
      <c r="C26" s="62"/>
      <c r="D26" s="62"/>
      <c r="E26" s="62"/>
      <c r="F26" s="62"/>
      <c r="G26" s="62"/>
      <c r="H26" s="98"/>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59"/>
      <c r="AU26" s="59"/>
      <c r="AV26" s="59"/>
      <c r="AW26" s="59"/>
      <c r="AX26" s="63"/>
      <c r="AY26" s="55"/>
      <c r="AZ26" s="60"/>
      <c r="BA26" s="60"/>
      <c r="BB26" s="32"/>
      <c r="BC26" s="33"/>
      <c r="BD26" s="34"/>
      <c r="BE26" s="124"/>
      <c r="BF26" s="124"/>
      <c r="BG26" s="124"/>
      <c r="BH26" s="124"/>
      <c r="BI26" s="124"/>
      <c r="BJ26" s="124"/>
      <c r="BK26" s="124"/>
      <c r="BL26" s="124"/>
      <c r="BM26" s="124"/>
      <c r="BN26" s="124"/>
      <c r="BO26" s="124"/>
      <c r="BP26" s="124"/>
      <c r="BQ26" s="124"/>
      <c r="BR26" s="124"/>
      <c r="BS26" s="124"/>
      <c r="BT26" s="124"/>
    </row>
    <row r="27" spans="1:85" s="123" customFormat="1" ht="12.65" customHeight="1">
      <c r="A27" s="36"/>
      <c r="B27" s="56"/>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60"/>
      <c r="BA27" s="60"/>
      <c r="BB27" s="49"/>
      <c r="BC27" s="50"/>
      <c r="BD27" s="34"/>
      <c r="BE27" s="124"/>
      <c r="BF27" s="124"/>
      <c r="BG27" s="124"/>
      <c r="BH27" s="124"/>
      <c r="BI27" s="124"/>
      <c r="BJ27" s="124"/>
      <c r="BK27" s="124"/>
      <c r="BL27" s="124"/>
      <c r="BM27" s="124"/>
      <c r="BN27" s="124"/>
      <c r="BO27" s="124"/>
      <c r="BP27" s="124"/>
      <c r="BQ27" s="124"/>
      <c r="BR27" s="124"/>
      <c r="BS27" s="124"/>
      <c r="BT27" s="124"/>
    </row>
    <row r="28" spans="1:85" s="123" customFormat="1" ht="12.65" customHeight="1">
      <c r="A28" s="36"/>
      <c r="B28" s="56"/>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60"/>
      <c r="BA28" s="60"/>
      <c r="BB28" s="49"/>
      <c r="BC28" s="50"/>
      <c r="BD28" s="34"/>
      <c r="BE28" s="124"/>
      <c r="BF28" s="124"/>
      <c r="BG28" s="124"/>
      <c r="BH28" s="124"/>
      <c r="BI28" s="124"/>
      <c r="BJ28" s="124"/>
      <c r="BK28" s="124"/>
      <c r="BL28" s="124"/>
      <c r="BM28" s="124"/>
      <c r="BN28" s="124"/>
      <c r="BO28" s="124"/>
      <c r="BP28" s="124"/>
      <c r="BQ28" s="124"/>
      <c r="BR28" s="124"/>
      <c r="BS28" s="124"/>
      <c r="BT28" s="124"/>
    </row>
    <row r="29" spans="1:85" s="123" customFormat="1" ht="17.149999999999999" customHeight="1">
      <c r="A29" s="36"/>
      <c r="B29" s="56"/>
      <c r="C29" s="55"/>
      <c r="D29" s="55"/>
      <c r="E29" s="55"/>
      <c r="F29" s="55"/>
      <c r="G29" s="55"/>
      <c r="H29" s="263" t="s">
        <v>155</v>
      </c>
      <c r="I29" s="264"/>
      <c r="J29" s="264"/>
      <c r="K29" s="264"/>
      <c r="L29" s="265"/>
      <c r="M29" s="275" t="s">
        <v>162</v>
      </c>
      <c r="N29" s="276"/>
      <c r="O29" s="276"/>
      <c r="P29" s="276"/>
      <c r="Q29" s="277"/>
      <c r="R29" s="263" t="s">
        <v>156</v>
      </c>
      <c r="S29" s="264"/>
      <c r="T29" s="264"/>
      <c r="U29" s="264"/>
      <c r="V29" s="265"/>
      <c r="W29" s="281" t="s">
        <v>157</v>
      </c>
      <c r="X29" s="282"/>
      <c r="Y29" s="282"/>
      <c r="Z29" s="283"/>
      <c r="AA29" s="281" t="s">
        <v>158</v>
      </c>
      <c r="AB29" s="282"/>
      <c r="AC29" s="282"/>
      <c r="AD29" s="283"/>
      <c r="AE29" s="263" t="s">
        <v>159</v>
      </c>
      <c r="AF29" s="264"/>
      <c r="AG29" s="264"/>
      <c r="AH29" s="265"/>
      <c r="AI29" s="263" t="s">
        <v>160</v>
      </c>
      <c r="AJ29" s="264"/>
      <c r="AK29" s="264"/>
      <c r="AL29" s="264"/>
      <c r="AM29" s="265"/>
      <c r="AN29" s="263" t="s">
        <v>161</v>
      </c>
      <c r="AO29" s="264"/>
      <c r="AP29" s="264"/>
      <c r="AQ29" s="264"/>
      <c r="AR29" s="264"/>
      <c r="AS29" s="265"/>
      <c r="AT29" s="63"/>
      <c r="AU29" s="55"/>
      <c r="AV29" s="59"/>
      <c r="AW29" s="59"/>
      <c r="AX29" s="59"/>
      <c r="AY29" s="55"/>
      <c r="AZ29" s="60"/>
      <c r="BA29" s="60"/>
      <c r="BB29" s="32"/>
      <c r="BC29" s="33"/>
      <c r="BD29" s="35"/>
      <c r="BE29" s="124"/>
      <c r="BF29" s="124"/>
      <c r="BG29" s="124"/>
      <c r="BH29" s="124"/>
      <c r="BI29" s="124"/>
      <c r="BJ29" s="124"/>
      <c r="BK29" s="124"/>
      <c r="BL29" s="124"/>
      <c r="BM29" s="124"/>
      <c r="BN29" s="124"/>
      <c r="BO29" s="124"/>
      <c r="BP29" s="124"/>
      <c r="BQ29" s="124"/>
      <c r="BR29" s="124"/>
      <c r="BS29" s="124"/>
      <c r="BT29" s="124"/>
    </row>
    <row r="30" spans="1:85" s="123" customFormat="1" ht="17.149999999999999" customHeight="1">
      <c r="A30" s="36"/>
      <c r="B30" s="56"/>
      <c r="C30" s="55"/>
      <c r="D30" s="55"/>
      <c r="E30" s="55"/>
      <c r="F30" s="55"/>
      <c r="G30" s="55"/>
      <c r="H30" s="266"/>
      <c r="I30" s="267"/>
      <c r="J30" s="267"/>
      <c r="K30" s="267"/>
      <c r="L30" s="268"/>
      <c r="M30" s="278"/>
      <c r="N30" s="279"/>
      <c r="O30" s="279"/>
      <c r="P30" s="279"/>
      <c r="Q30" s="280"/>
      <c r="R30" s="266"/>
      <c r="S30" s="267"/>
      <c r="T30" s="267"/>
      <c r="U30" s="267"/>
      <c r="V30" s="268"/>
      <c r="W30" s="284"/>
      <c r="X30" s="285"/>
      <c r="Y30" s="285"/>
      <c r="Z30" s="286"/>
      <c r="AA30" s="284"/>
      <c r="AB30" s="285"/>
      <c r="AC30" s="285"/>
      <c r="AD30" s="286"/>
      <c r="AE30" s="266"/>
      <c r="AF30" s="267"/>
      <c r="AG30" s="267"/>
      <c r="AH30" s="268"/>
      <c r="AI30" s="266"/>
      <c r="AJ30" s="267"/>
      <c r="AK30" s="267"/>
      <c r="AL30" s="267"/>
      <c r="AM30" s="268"/>
      <c r="AN30" s="266"/>
      <c r="AO30" s="267"/>
      <c r="AP30" s="267"/>
      <c r="AQ30" s="267"/>
      <c r="AR30" s="267"/>
      <c r="AS30" s="268"/>
      <c r="AT30" s="63"/>
      <c r="AU30" s="55"/>
      <c r="AV30" s="59"/>
      <c r="AW30" s="59"/>
      <c r="AX30" s="59"/>
      <c r="AY30" s="55"/>
      <c r="AZ30" s="60"/>
      <c r="BA30" s="60"/>
      <c r="BB30" s="32"/>
      <c r="BC30" s="33"/>
      <c r="BD30" s="35"/>
      <c r="BE30" s="124"/>
      <c r="BF30" s="124"/>
      <c r="BG30" s="126"/>
      <c r="BH30" s="124"/>
      <c r="BI30" s="124"/>
      <c r="BJ30" s="124"/>
      <c r="BK30" s="124"/>
      <c r="BL30" s="124"/>
      <c r="BM30" s="124"/>
      <c r="BN30" s="124"/>
      <c r="BO30" s="124"/>
      <c r="BP30" s="124"/>
      <c r="BQ30" s="124"/>
      <c r="BR30" s="124"/>
      <c r="BS30" s="124"/>
      <c r="BT30" s="124"/>
    </row>
    <row r="31" spans="1:85" s="123" customFormat="1" ht="16.5" customHeight="1">
      <c r="A31" s="36"/>
      <c r="B31" s="56"/>
      <c r="C31" s="67"/>
      <c r="D31" s="68"/>
      <c r="E31" s="59"/>
      <c r="F31" s="59"/>
      <c r="G31" s="59"/>
      <c r="H31" s="103" t="s">
        <v>35</v>
      </c>
      <c r="I31" s="104"/>
      <c r="J31" s="104"/>
      <c r="K31" s="104"/>
      <c r="L31" s="105"/>
      <c r="M31" s="167" t="s">
        <v>163</v>
      </c>
      <c r="N31" s="104"/>
      <c r="O31" s="104"/>
      <c r="P31" s="104"/>
      <c r="Q31" s="105"/>
      <c r="R31" s="167" t="s">
        <v>163</v>
      </c>
      <c r="S31" s="107"/>
      <c r="T31" s="108"/>
      <c r="U31" s="108"/>
      <c r="V31" s="109"/>
      <c r="W31" s="121" t="s">
        <v>41</v>
      </c>
      <c r="X31" s="108"/>
      <c r="Y31" s="109"/>
      <c r="Z31" s="110"/>
      <c r="AA31" s="113" t="s">
        <v>40</v>
      </c>
      <c r="AB31" s="107"/>
      <c r="AC31" s="108"/>
      <c r="AD31" s="109"/>
      <c r="AE31" s="110" t="s">
        <v>42</v>
      </c>
      <c r="AF31" s="107"/>
      <c r="AG31" s="107"/>
      <c r="AH31" s="111"/>
      <c r="AI31" s="168" t="s">
        <v>169</v>
      </c>
      <c r="AJ31" s="107"/>
      <c r="AK31" s="107"/>
      <c r="AL31" s="107"/>
      <c r="AM31" s="111"/>
      <c r="AN31" s="114"/>
      <c r="AO31" s="107"/>
      <c r="AP31" s="107"/>
      <c r="AQ31" s="107"/>
      <c r="AR31" s="107"/>
      <c r="AS31" s="112"/>
      <c r="AT31" s="65"/>
      <c r="AU31" s="59"/>
      <c r="AV31" s="59"/>
      <c r="AW31" s="59"/>
      <c r="AX31" s="59"/>
      <c r="AY31" s="59"/>
      <c r="AZ31" s="60"/>
      <c r="BA31" s="60"/>
      <c r="BB31" s="49"/>
      <c r="BC31" s="50"/>
      <c r="BD31" s="34"/>
      <c r="BE31" s="124"/>
      <c r="BF31" s="124"/>
      <c r="BG31" s="126"/>
      <c r="BH31" s="124"/>
      <c r="BI31" s="124"/>
      <c r="BJ31" s="124"/>
      <c r="BK31" s="124"/>
      <c r="BL31" s="124"/>
      <c r="BM31" s="124"/>
      <c r="BN31" s="124"/>
      <c r="BO31" s="124"/>
      <c r="BP31" s="124"/>
      <c r="BQ31" s="124"/>
      <c r="BR31" s="124"/>
      <c r="BS31" s="124"/>
      <c r="BT31" s="124"/>
    </row>
    <row r="32" spans="1:85" s="123" customFormat="1" ht="16.5" customHeight="1">
      <c r="A32" s="36"/>
      <c r="B32" s="56"/>
      <c r="C32" s="67"/>
      <c r="D32" s="68"/>
      <c r="E32" s="59"/>
      <c r="F32" s="59"/>
      <c r="G32" s="59"/>
      <c r="H32" s="103" t="s">
        <v>36</v>
      </c>
      <c r="I32" s="104"/>
      <c r="J32" s="104"/>
      <c r="K32" s="104"/>
      <c r="L32" s="105"/>
      <c r="M32" s="167" t="s">
        <v>164</v>
      </c>
      <c r="N32" s="104"/>
      <c r="O32" s="104"/>
      <c r="P32" s="104"/>
      <c r="Q32" s="105"/>
      <c r="R32" s="167" t="s">
        <v>164</v>
      </c>
      <c r="S32" s="107"/>
      <c r="T32" s="108"/>
      <c r="U32" s="108"/>
      <c r="V32" s="109"/>
      <c r="W32" s="121" t="s">
        <v>41</v>
      </c>
      <c r="X32" s="108"/>
      <c r="Y32" s="109"/>
      <c r="Z32" s="110"/>
      <c r="AA32" s="113" t="s">
        <v>179</v>
      </c>
      <c r="AB32" s="107"/>
      <c r="AC32" s="108"/>
      <c r="AD32" s="109"/>
      <c r="AE32" s="110" t="s">
        <v>43</v>
      </c>
      <c r="AF32" s="107"/>
      <c r="AG32" s="107"/>
      <c r="AH32" s="111"/>
      <c r="AI32" s="106" t="s">
        <v>38</v>
      </c>
      <c r="AJ32" s="107"/>
      <c r="AK32" s="107"/>
      <c r="AL32" s="107"/>
      <c r="AM32" s="111"/>
      <c r="AN32" s="114"/>
      <c r="AO32" s="107"/>
      <c r="AP32" s="107"/>
      <c r="AQ32" s="107"/>
      <c r="AR32" s="107"/>
      <c r="AS32" s="112"/>
      <c r="AT32" s="69"/>
      <c r="AU32" s="69"/>
      <c r="AV32" s="69"/>
      <c r="AW32" s="69"/>
      <c r="AX32" s="69"/>
      <c r="AY32" s="69"/>
      <c r="AZ32" s="60"/>
      <c r="BA32" s="60"/>
      <c r="BB32" s="49"/>
      <c r="BC32" s="50"/>
      <c r="BD32" s="34"/>
      <c r="BE32" s="124"/>
      <c r="BF32" s="124"/>
      <c r="BG32" s="126"/>
      <c r="BH32" s="124"/>
      <c r="BI32" s="124"/>
      <c r="BJ32" s="124"/>
      <c r="BK32" s="124"/>
      <c r="BL32" s="124"/>
      <c r="BM32" s="124"/>
      <c r="BN32" s="124"/>
      <c r="BO32" s="124"/>
      <c r="BP32" s="124"/>
      <c r="BQ32" s="124"/>
      <c r="BR32" s="124"/>
      <c r="BS32" s="124"/>
      <c r="BT32" s="124"/>
    </row>
    <row r="33" spans="1:72" s="123" customFormat="1" ht="16.5" customHeight="1">
      <c r="A33" s="36"/>
      <c r="B33" s="56"/>
      <c r="C33" s="58"/>
      <c r="D33" s="58"/>
      <c r="E33" s="58"/>
      <c r="F33" s="58"/>
      <c r="G33" s="58"/>
      <c r="H33" s="103" t="s">
        <v>37</v>
      </c>
      <c r="I33" s="104"/>
      <c r="J33" s="104"/>
      <c r="K33" s="104"/>
      <c r="L33" s="105"/>
      <c r="M33" s="167" t="s">
        <v>165</v>
      </c>
      <c r="N33" s="104"/>
      <c r="O33" s="104"/>
      <c r="P33" s="104"/>
      <c r="Q33" s="105"/>
      <c r="R33" s="167" t="s">
        <v>165</v>
      </c>
      <c r="S33" s="107"/>
      <c r="T33" s="108"/>
      <c r="U33" s="108"/>
      <c r="V33" s="109"/>
      <c r="W33" s="121" t="s">
        <v>41</v>
      </c>
      <c r="X33" s="108"/>
      <c r="Y33" s="109"/>
      <c r="Z33" s="110"/>
      <c r="AA33" s="113" t="s">
        <v>40</v>
      </c>
      <c r="AB33" s="107"/>
      <c r="AC33" s="108"/>
      <c r="AD33" s="109"/>
      <c r="AE33" s="110" t="s">
        <v>42</v>
      </c>
      <c r="AF33" s="107"/>
      <c r="AG33" s="107"/>
      <c r="AH33" s="111"/>
      <c r="AI33" s="168" t="s">
        <v>168</v>
      </c>
      <c r="AJ33" s="107"/>
      <c r="AK33" s="107"/>
      <c r="AL33" s="107"/>
      <c r="AM33" s="111"/>
      <c r="AN33" s="114"/>
      <c r="AO33" s="107"/>
      <c r="AP33" s="107"/>
      <c r="AQ33" s="107"/>
      <c r="AR33" s="107"/>
      <c r="AS33" s="112"/>
      <c r="AT33" s="58"/>
      <c r="AU33" s="58"/>
      <c r="AV33" s="58"/>
      <c r="AW33" s="58"/>
      <c r="AX33" s="58"/>
      <c r="AY33" s="58"/>
      <c r="AZ33" s="60"/>
      <c r="BA33" s="60"/>
      <c r="BB33" s="49"/>
      <c r="BC33" s="50"/>
      <c r="BD33" s="34"/>
      <c r="BE33" s="124"/>
      <c r="BF33" s="124"/>
      <c r="BG33" s="124"/>
      <c r="BH33" s="124"/>
      <c r="BI33" s="124"/>
      <c r="BJ33" s="124"/>
      <c r="BK33" s="124"/>
      <c r="BL33" s="124"/>
      <c r="BM33" s="124"/>
      <c r="BN33" s="124"/>
      <c r="BO33" s="124"/>
      <c r="BP33" s="124"/>
      <c r="BQ33" s="124"/>
      <c r="BR33" s="124"/>
      <c r="BS33" s="124"/>
      <c r="BT33" s="124"/>
    </row>
    <row r="34" spans="1:72" s="123" customFormat="1" ht="12.65" customHeight="1">
      <c r="A34" s="36"/>
      <c r="B34" s="56"/>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60"/>
      <c r="BA34" s="60"/>
      <c r="BB34" s="49"/>
      <c r="BC34" s="50"/>
      <c r="BD34" s="34"/>
      <c r="BE34" s="124"/>
      <c r="BF34" s="124"/>
      <c r="BG34" s="124"/>
      <c r="BH34" s="124"/>
      <c r="BI34" s="124"/>
      <c r="BJ34" s="124"/>
      <c r="BK34" s="124"/>
      <c r="BL34" s="124"/>
      <c r="BM34" s="124"/>
      <c r="BN34" s="124"/>
      <c r="BO34" s="124"/>
      <c r="BP34" s="124"/>
      <c r="BQ34" s="124"/>
      <c r="BR34" s="124"/>
      <c r="BS34" s="124"/>
      <c r="BT34" s="124"/>
    </row>
    <row r="35" spans="1:72" s="123" customFormat="1" ht="12.65" customHeight="1">
      <c r="A35" s="36"/>
      <c r="B35" s="56"/>
      <c r="C35" s="58"/>
      <c r="D35" s="58"/>
      <c r="E35" s="58"/>
      <c r="F35" s="58"/>
      <c r="G35" s="58"/>
      <c r="H35" s="58"/>
      <c r="I35" s="58"/>
      <c r="J35" s="58"/>
      <c r="K35" s="58"/>
      <c r="L35" s="58"/>
      <c r="M35" s="58"/>
      <c r="N35" s="58"/>
      <c r="O35" s="163"/>
      <c r="P35" s="163"/>
      <c r="Q35" s="163"/>
      <c r="R35" s="163"/>
      <c r="S35" s="163"/>
      <c r="T35" s="163"/>
      <c r="U35" s="163"/>
      <c r="V35" s="163"/>
      <c r="W35" s="163"/>
      <c r="X35" s="163"/>
      <c r="Y35" s="163"/>
      <c r="Z35" s="163"/>
      <c r="AA35" s="163"/>
      <c r="AB35" s="163"/>
      <c r="AC35" s="163"/>
      <c r="AD35" s="163"/>
      <c r="AE35" s="164"/>
      <c r="AF35" s="164"/>
      <c r="AG35" s="58"/>
      <c r="AH35" s="58"/>
      <c r="AI35" s="58"/>
      <c r="AJ35" s="58"/>
      <c r="AK35" s="58"/>
      <c r="AL35" s="58"/>
      <c r="AM35" s="58"/>
      <c r="AN35" s="58"/>
      <c r="AO35" s="58"/>
      <c r="AP35" s="58"/>
      <c r="AQ35" s="58"/>
      <c r="AR35" s="58"/>
      <c r="AS35" s="58"/>
      <c r="AT35" s="58"/>
      <c r="AU35" s="58"/>
      <c r="AV35" s="58"/>
      <c r="AW35" s="58"/>
      <c r="AX35" s="58"/>
      <c r="AY35" s="58"/>
      <c r="AZ35" s="60"/>
      <c r="BA35" s="60"/>
      <c r="BB35" s="32"/>
      <c r="BC35" s="33"/>
      <c r="BD35" s="35"/>
      <c r="BE35" s="124"/>
      <c r="BF35" s="124"/>
      <c r="BG35" s="126"/>
      <c r="BH35" s="124"/>
      <c r="BI35" s="124"/>
      <c r="BJ35" s="124"/>
      <c r="BK35" s="124"/>
      <c r="BL35" s="124"/>
      <c r="BM35" s="124"/>
      <c r="BN35" s="124"/>
      <c r="BO35" s="124"/>
      <c r="BP35" s="124"/>
      <c r="BQ35" s="124"/>
      <c r="BR35" s="124"/>
      <c r="BS35" s="124"/>
      <c r="BT35" s="124"/>
    </row>
    <row r="36" spans="1:72" s="123" customFormat="1" ht="13.5">
      <c r="A36" s="36"/>
      <c r="B36" s="66"/>
      <c r="C36" s="59"/>
      <c r="D36" s="59"/>
      <c r="E36" s="59"/>
      <c r="F36" s="59"/>
      <c r="G36" s="59"/>
      <c r="H36" s="59"/>
      <c r="I36" s="59"/>
      <c r="J36" s="59"/>
      <c r="K36" s="59"/>
      <c r="L36" s="59"/>
      <c r="M36" s="59"/>
      <c r="N36" s="59"/>
      <c r="O36" s="59"/>
      <c r="P36" s="59"/>
      <c r="Q36" s="59"/>
      <c r="R36" s="59"/>
      <c r="S36" s="65"/>
      <c r="T36" s="65"/>
      <c r="U36" s="65"/>
      <c r="V36" s="65"/>
      <c r="W36" s="59"/>
      <c r="X36" s="59"/>
      <c r="Y36" s="65"/>
      <c r="Z36" s="165"/>
      <c r="AA36" s="59"/>
      <c r="AB36" s="59"/>
      <c r="AC36" s="59"/>
      <c r="AD36" s="65"/>
      <c r="AE36" s="65"/>
      <c r="AF36" s="65"/>
      <c r="AG36" s="65"/>
      <c r="AH36" s="65"/>
      <c r="AI36" s="65"/>
      <c r="AJ36" s="65"/>
      <c r="AK36" s="65"/>
      <c r="AL36" s="65"/>
      <c r="AM36" s="65"/>
      <c r="AN36" s="65"/>
      <c r="AO36" s="65"/>
      <c r="AP36" s="65"/>
      <c r="AQ36" s="65"/>
      <c r="AR36" s="65"/>
      <c r="AS36" s="65"/>
      <c r="AT36" s="65"/>
      <c r="AU36" s="65"/>
      <c r="AV36" s="65"/>
      <c r="AW36" s="65"/>
      <c r="AX36" s="65"/>
      <c r="AY36" s="55"/>
      <c r="AZ36" s="60"/>
      <c r="BA36" s="60"/>
      <c r="BB36" s="49"/>
      <c r="BC36" s="50"/>
      <c r="BD36" s="51"/>
      <c r="BE36" s="124"/>
      <c r="BF36" s="124"/>
      <c r="BG36" s="126"/>
      <c r="BH36" s="124"/>
      <c r="BI36" s="124"/>
      <c r="BJ36" s="124"/>
      <c r="BK36" s="124"/>
      <c r="BL36" s="124"/>
      <c r="BM36" s="124"/>
      <c r="BN36" s="124"/>
      <c r="BO36" s="124"/>
      <c r="BP36" s="124"/>
      <c r="BQ36" s="124"/>
      <c r="BR36" s="124"/>
      <c r="BS36" s="124"/>
      <c r="BT36" s="124"/>
    </row>
    <row r="37" spans="1:72" ht="15">
      <c r="A37" s="36"/>
      <c r="B37" s="131"/>
      <c r="C37" s="132"/>
      <c r="D37" s="132"/>
      <c r="E37" s="132"/>
      <c r="F37" s="132"/>
      <c r="G37" s="132"/>
      <c r="H37" s="132"/>
      <c r="I37" s="132"/>
      <c r="J37" s="132"/>
      <c r="K37" s="132"/>
      <c r="L37" s="132"/>
      <c r="M37" s="132"/>
      <c r="N37" s="132"/>
      <c r="O37" s="132"/>
      <c r="P37" s="132"/>
      <c r="Q37" s="132"/>
      <c r="R37" s="132"/>
      <c r="S37" s="133"/>
      <c r="T37" s="133"/>
      <c r="U37" s="133"/>
      <c r="V37" s="133"/>
      <c r="W37" s="132"/>
      <c r="X37" s="132"/>
      <c r="Y37" s="133"/>
      <c r="Z37" s="133"/>
      <c r="AA37" s="132"/>
      <c r="AB37" s="132"/>
      <c r="AC37" s="132"/>
      <c r="AD37" s="133"/>
      <c r="AE37" s="133"/>
      <c r="AF37" s="133"/>
      <c r="AG37" s="133"/>
      <c r="AH37" s="133"/>
      <c r="AI37" s="133"/>
      <c r="AJ37" s="133"/>
      <c r="AK37" s="133"/>
      <c r="AL37" s="133"/>
      <c r="AM37" s="133"/>
      <c r="AN37" s="133"/>
      <c r="AO37" s="133"/>
      <c r="AP37" s="133"/>
      <c r="AQ37" s="133"/>
      <c r="AR37" s="133"/>
      <c r="AS37" s="133"/>
      <c r="AT37" s="133"/>
      <c r="AU37" s="133"/>
      <c r="AV37" s="133"/>
      <c r="AW37" s="133"/>
      <c r="AX37" s="133"/>
      <c r="AY37" s="131"/>
      <c r="AZ37" s="131"/>
      <c r="BA37" s="60"/>
      <c r="BB37" s="134"/>
      <c r="BC37" s="135"/>
      <c r="BD37" s="51"/>
      <c r="BE37" s="124"/>
      <c r="BF37" s="124"/>
      <c r="BG37" s="126"/>
      <c r="BH37" s="124"/>
      <c r="BI37" s="124"/>
      <c r="BJ37" s="124"/>
      <c r="BK37" s="124"/>
      <c r="BL37" s="124"/>
      <c r="BM37" s="124"/>
      <c r="BN37" s="124"/>
      <c r="BO37" s="124"/>
      <c r="BP37" s="124"/>
      <c r="BQ37" s="124"/>
      <c r="BR37" s="124"/>
      <c r="BS37" s="124"/>
      <c r="BT37" s="124"/>
    </row>
    <row r="38" spans="1:72" ht="15">
      <c r="A38" s="35"/>
      <c r="B38" s="35"/>
      <c r="C38" s="35"/>
      <c r="D38" s="35"/>
      <c r="E38" s="35"/>
      <c r="F38" s="35"/>
      <c r="G38" s="35"/>
      <c r="H38" s="35"/>
      <c r="I38" s="35"/>
      <c r="J38" s="35"/>
      <c r="K38" s="35"/>
      <c r="L38" s="35"/>
      <c r="M38" s="35"/>
      <c r="N38" s="35"/>
      <c r="O38" s="35"/>
      <c r="P38" s="35"/>
      <c r="Q38" s="35"/>
      <c r="R38" s="35"/>
      <c r="S38" s="54"/>
      <c r="T38" s="54"/>
      <c r="U38" s="54"/>
      <c r="V38" s="54"/>
      <c r="W38" s="35"/>
      <c r="X38" s="35"/>
      <c r="Y38" s="54"/>
      <c r="Z38" s="54"/>
      <c r="AA38" s="35"/>
      <c r="AB38" s="35"/>
      <c r="AC38" s="35"/>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60"/>
      <c r="BB38" s="136"/>
      <c r="BC38" s="50"/>
      <c r="BD38" s="51"/>
      <c r="BE38" s="124"/>
      <c r="BF38" s="124"/>
      <c r="BG38" s="126"/>
      <c r="BH38" s="124"/>
      <c r="BI38" s="124"/>
      <c r="BJ38" s="124"/>
      <c r="BK38" s="124"/>
      <c r="BL38" s="124"/>
      <c r="BM38" s="124"/>
      <c r="BN38" s="124"/>
      <c r="BO38" s="124"/>
      <c r="BP38" s="124"/>
      <c r="BQ38" s="124"/>
      <c r="BR38" s="124"/>
      <c r="BS38" s="124"/>
      <c r="BT38" s="124"/>
    </row>
    <row r="39" spans="1:72" ht="15">
      <c r="A39" s="35"/>
      <c r="B39" s="35"/>
      <c r="C39" s="35"/>
      <c r="D39" s="35"/>
      <c r="E39" s="35"/>
      <c r="F39" s="35"/>
      <c r="G39" s="35"/>
      <c r="H39" s="35"/>
      <c r="I39" s="35"/>
      <c r="J39" s="35"/>
      <c r="K39" s="35"/>
      <c r="L39" s="35"/>
      <c r="M39" s="35"/>
      <c r="N39" s="35"/>
      <c r="O39" s="35"/>
      <c r="P39" s="35"/>
      <c r="Q39" s="35"/>
      <c r="R39" s="35"/>
      <c r="S39" s="54"/>
      <c r="T39" s="54"/>
      <c r="U39" s="54"/>
      <c r="V39" s="54"/>
      <c r="W39" s="35"/>
      <c r="X39" s="35"/>
      <c r="Y39" s="54"/>
      <c r="Z39" s="54"/>
      <c r="AA39" s="35"/>
      <c r="AB39" s="35"/>
      <c r="AC39" s="35"/>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60"/>
      <c r="BB39" s="136"/>
      <c r="BC39" s="50"/>
      <c r="BD39" s="51"/>
      <c r="BE39" s="124"/>
    </row>
    <row r="40" spans="1:72" ht="15" customHeight="1">
      <c r="A40" s="35"/>
      <c r="B40" s="259" t="s">
        <v>51</v>
      </c>
      <c r="C40" s="259"/>
      <c r="D40" s="259"/>
      <c r="E40" s="259"/>
      <c r="F40" s="259" t="s">
        <v>52</v>
      </c>
      <c r="G40" s="259"/>
      <c r="H40" s="259"/>
      <c r="I40" s="259"/>
      <c r="J40" s="259" t="s">
        <v>53</v>
      </c>
      <c r="K40" s="259"/>
      <c r="L40" s="259"/>
      <c r="M40" s="259"/>
      <c r="N40" s="259" t="s">
        <v>54</v>
      </c>
      <c r="O40" s="259"/>
      <c r="P40" s="259"/>
      <c r="Q40" s="259"/>
      <c r="R40" s="259" t="s">
        <v>55</v>
      </c>
      <c r="S40" s="259"/>
      <c r="T40" s="259"/>
      <c r="U40" s="259"/>
      <c r="V40" s="259" t="s">
        <v>56</v>
      </c>
      <c r="W40" s="259"/>
      <c r="X40" s="259"/>
      <c r="Y40" s="259"/>
      <c r="Z40" s="259" t="s">
        <v>57</v>
      </c>
      <c r="AA40" s="259"/>
      <c r="AB40" s="259"/>
      <c r="AC40" s="259"/>
      <c r="AD40" s="259" t="s">
        <v>58</v>
      </c>
      <c r="AE40" s="259"/>
      <c r="AF40" s="259"/>
      <c r="AG40" s="259"/>
      <c r="AH40" s="252" t="s">
        <v>59</v>
      </c>
      <c r="AI40" s="253"/>
      <c r="AJ40" s="253"/>
      <c r="AK40" s="254"/>
      <c r="AL40" s="252" t="s">
        <v>60</v>
      </c>
      <c r="AM40" s="253"/>
      <c r="AN40" s="253"/>
      <c r="AO40" s="254"/>
      <c r="AP40" s="252" t="s">
        <v>61</v>
      </c>
      <c r="AQ40" s="253"/>
      <c r="AR40" s="253"/>
      <c r="AS40" s="254"/>
      <c r="AT40" s="252" t="s">
        <v>228</v>
      </c>
      <c r="AU40" s="253"/>
      <c r="AV40" s="253"/>
      <c r="AW40" s="254"/>
      <c r="AX40" s="54"/>
      <c r="AY40" s="54"/>
      <c r="AZ40" s="54"/>
      <c r="BA40" s="60"/>
      <c r="BB40" s="136"/>
      <c r="BC40" s="50"/>
      <c r="BD40" s="51"/>
      <c r="BE40" s="124"/>
      <c r="BF40" s="124"/>
      <c r="BH40" s="124"/>
    </row>
    <row r="41" spans="1:72" ht="15">
      <c r="A41" s="35"/>
      <c r="B41" s="259"/>
      <c r="C41" s="259"/>
      <c r="D41" s="259"/>
      <c r="E41" s="259"/>
      <c r="F41" s="259"/>
      <c r="G41" s="259"/>
      <c r="H41" s="259"/>
      <c r="I41" s="259"/>
      <c r="J41" s="259"/>
      <c r="K41" s="259"/>
      <c r="L41" s="259"/>
      <c r="M41" s="259"/>
      <c r="N41" s="259"/>
      <c r="O41" s="259"/>
      <c r="P41" s="259"/>
      <c r="Q41" s="259"/>
      <c r="R41" s="259"/>
      <c r="S41" s="259"/>
      <c r="T41" s="259"/>
      <c r="U41" s="259"/>
      <c r="V41" s="259"/>
      <c r="W41" s="259"/>
      <c r="X41" s="259"/>
      <c r="Y41" s="259"/>
      <c r="Z41" s="259"/>
      <c r="AA41" s="259"/>
      <c r="AB41" s="259"/>
      <c r="AC41" s="259"/>
      <c r="AD41" s="259"/>
      <c r="AE41" s="259"/>
      <c r="AF41" s="259"/>
      <c r="AG41" s="259"/>
      <c r="AH41" s="255"/>
      <c r="AI41" s="256"/>
      <c r="AJ41" s="256"/>
      <c r="AK41" s="257"/>
      <c r="AL41" s="255"/>
      <c r="AM41" s="256"/>
      <c r="AN41" s="256"/>
      <c r="AO41" s="257"/>
      <c r="AP41" s="255"/>
      <c r="AQ41" s="256"/>
      <c r="AR41" s="256"/>
      <c r="AS41" s="257"/>
      <c r="AT41" s="255"/>
      <c r="AU41" s="256"/>
      <c r="AV41" s="256"/>
      <c r="AW41" s="257"/>
      <c r="AX41" s="54"/>
      <c r="AY41" s="54"/>
      <c r="AZ41" s="54"/>
      <c r="BA41" s="60"/>
      <c r="BB41" s="136"/>
      <c r="BC41" s="50"/>
      <c r="BD41" s="51"/>
      <c r="BE41" s="124"/>
      <c r="BF41" s="124"/>
      <c r="BG41" s="124"/>
      <c r="BH41" s="124"/>
      <c r="BI41" s="124"/>
      <c r="BJ41" s="124"/>
      <c r="BK41" s="124"/>
      <c r="BL41" s="124"/>
      <c r="BM41" s="124"/>
      <c r="BN41" s="124"/>
      <c r="BO41" s="124"/>
      <c r="BP41" s="124"/>
      <c r="BQ41" s="124"/>
      <c r="BR41" s="124"/>
      <c r="BS41" s="124"/>
      <c r="BT41" s="124"/>
    </row>
    <row r="42" spans="1:72" ht="15">
      <c r="A42" s="35"/>
      <c r="B42" s="250" t="s">
        <v>62</v>
      </c>
      <c r="C42" s="250"/>
      <c r="D42" s="250"/>
      <c r="E42" s="250"/>
      <c r="F42" s="250" t="s">
        <v>63</v>
      </c>
      <c r="G42" s="250"/>
      <c r="H42" s="250"/>
      <c r="I42" s="250"/>
      <c r="J42" s="250" t="s">
        <v>64</v>
      </c>
      <c r="K42" s="250"/>
      <c r="L42" s="250"/>
      <c r="M42" s="250"/>
      <c r="N42" s="250" t="s">
        <v>65</v>
      </c>
      <c r="O42" s="250"/>
      <c r="P42" s="250"/>
      <c r="Q42" s="250"/>
      <c r="R42" s="258" t="s">
        <v>66</v>
      </c>
      <c r="S42" s="250"/>
      <c r="T42" s="250"/>
      <c r="U42" s="250"/>
      <c r="V42" s="250" t="s">
        <v>67</v>
      </c>
      <c r="W42" s="250"/>
      <c r="X42" s="250"/>
      <c r="Y42" s="250"/>
      <c r="Z42" s="250" t="s">
        <v>68</v>
      </c>
      <c r="AA42" s="250"/>
      <c r="AB42" s="250"/>
      <c r="AC42" s="250"/>
      <c r="AD42" s="250" t="s">
        <v>67</v>
      </c>
      <c r="AE42" s="250"/>
      <c r="AF42" s="250"/>
      <c r="AG42" s="250"/>
      <c r="AH42" s="250" t="s">
        <v>68</v>
      </c>
      <c r="AI42" s="250"/>
      <c r="AJ42" s="250"/>
      <c r="AK42" s="250"/>
      <c r="AL42" s="250" t="s">
        <v>68</v>
      </c>
      <c r="AM42" s="250"/>
      <c r="AN42" s="250"/>
      <c r="AO42" s="250"/>
      <c r="AP42" s="250" t="s">
        <v>67</v>
      </c>
      <c r="AQ42" s="250"/>
      <c r="AR42" s="250"/>
      <c r="AS42" s="250"/>
      <c r="AT42" s="250" t="s">
        <v>68</v>
      </c>
      <c r="AU42" s="250"/>
      <c r="AV42" s="250"/>
      <c r="AW42" s="250"/>
      <c r="AX42" s="54"/>
      <c r="AY42" s="54"/>
      <c r="AZ42" s="54"/>
      <c r="BA42" s="60"/>
      <c r="BB42" s="136"/>
      <c r="BC42" s="50"/>
      <c r="BD42" s="51"/>
      <c r="BE42" s="124"/>
      <c r="BF42" s="124"/>
      <c r="BG42" s="124"/>
      <c r="BH42" s="124"/>
      <c r="BI42" s="124"/>
      <c r="BJ42" s="124"/>
      <c r="BK42" s="124"/>
      <c r="BL42" s="124"/>
      <c r="BM42" s="124"/>
      <c r="BN42" s="124"/>
      <c r="BO42" s="124"/>
      <c r="BP42" s="124"/>
      <c r="BQ42" s="124"/>
      <c r="BR42" s="124"/>
      <c r="BS42" s="124"/>
      <c r="BT42" s="124"/>
    </row>
    <row r="43" spans="1:72" ht="15">
      <c r="A43" s="35"/>
      <c r="B43" s="250"/>
      <c r="C43" s="250"/>
      <c r="D43" s="250"/>
      <c r="E43" s="250"/>
      <c r="F43" s="250"/>
      <c r="G43" s="250"/>
      <c r="H43" s="250"/>
      <c r="I43" s="250"/>
      <c r="J43" s="250"/>
      <c r="K43" s="250"/>
      <c r="L43" s="250"/>
      <c r="M43" s="250"/>
      <c r="N43" s="250"/>
      <c r="O43" s="250"/>
      <c r="P43" s="250"/>
      <c r="Q43" s="250"/>
      <c r="R43" s="250"/>
      <c r="S43" s="250"/>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54"/>
      <c r="AY43" s="54"/>
      <c r="AZ43" s="54"/>
      <c r="BA43" s="60"/>
      <c r="BB43" s="136"/>
      <c r="BC43" s="50"/>
      <c r="BD43" s="51"/>
      <c r="BE43" s="124"/>
      <c r="BF43" s="124"/>
      <c r="BG43" s="124"/>
      <c r="BH43" s="124"/>
      <c r="BI43" s="124"/>
      <c r="BJ43" s="124"/>
      <c r="BK43" s="124"/>
      <c r="BL43" s="124"/>
      <c r="BM43" s="124"/>
      <c r="BN43" s="124"/>
      <c r="BO43" s="124"/>
      <c r="BP43" s="124"/>
      <c r="BQ43" s="124"/>
      <c r="BR43" s="124"/>
      <c r="BS43" s="124"/>
      <c r="BT43" s="124"/>
    </row>
    <row r="44" spans="1:72" ht="15">
      <c r="A44" s="35"/>
      <c r="B44" s="250" t="s">
        <v>69</v>
      </c>
      <c r="C44" s="250"/>
      <c r="D44" s="250"/>
      <c r="E44" s="250"/>
      <c r="F44" s="250" t="s">
        <v>70</v>
      </c>
      <c r="G44" s="250"/>
      <c r="H44" s="250"/>
      <c r="I44" s="250"/>
      <c r="J44" s="250" t="s">
        <v>71</v>
      </c>
      <c r="K44" s="250"/>
      <c r="L44" s="250"/>
      <c r="M44" s="250"/>
      <c r="N44" s="250" t="s">
        <v>72</v>
      </c>
      <c r="O44" s="250"/>
      <c r="P44" s="250"/>
      <c r="Q44" s="250"/>
      <c r="R44" s="251" t="s">
        <v>73</v>
      </c>
      <c r="S44" s="250"/>
      <c r="T44" s="250"/>
      <c r="U44" s="250"/>
      <c r="V44" s="250" t="s">
        <v>67</v>
      </c>
      <c r="W44" s="250"/>
      <c r="X44" s="250"/>
      <c r="Y44" s="250"/>
      <c r="Z44" s="250" t="s">
        <v>68</v>
      </c>
      <c r="AA44" s="250"/>
      <c r="AB44" s="250"/>
      <c r="AC44" s="250"/>
      <c r="AD44" s="250" t="s">
        <v>67</v>
      </c>
      <c r="AE44" s="250"/>
      <c r="AF44" s="250"/>
      <c r="AG44" s="250"/>
      <c r="AH44" s="250" t="s">
        <v>68</v>
      </c>
      <c r="AI44" s="250"/>
      <c r="AJ44" s="250"/>
      <c r="AK44" s="250"/>
      <c r="AL44" s="250" t="s">
        <v>68</v>
      </c>
      <c r="AM44" s="250"/>
      <c r="AN44" s="250"/>
      <c r="AO44" s="250"/>
      <c r="AP44" s="250" t="s">
        <v>67</v>
      </c>
      <c r="AQ44" s="250"/>
      <c r="AR44" s="250"/>
      <c r="AS44" s="250"/>
      <c r="AT44" s="250" t="s">
        <v>68</v>
      </c>
      <c r="AU44" s="250"/>
      <c r="AV44" s="250"/>
      <c r="AW44" s="250"/>
      <c r="AX44" s="54"/>
      <c r="AY44" s="54"/>
      <c r="AZ44" s="54"/>
      <c r="BA44" s="60"/>
      <c r="BB44" s="136"/>
      <c r="BC44" s="50"/>
      <c r="BD44" s="51"/>
      <c r="BE44" s="124"/>
      <c r="BF44" s="124"/>
      <c r="BG44" s="126"/>
      <c r="BH44" s="124"/>
      <c r="BI44" s="124"/>
      <c r="BJ44" s="124"/>
      <c r="BK44" s="124"/>
      <c r="BL44" s="124"/>
      <c r="BM44" s="124"/>
      <c r="BN44" s="124"/>
      <c r="BO44" s="124"/>
      <c r="BP44" s="124"/>
      <c r="BQ44" s="124"/>
      <c r="BR44" s="124"/>
      <c r="BS44" s="124"/>
      <c r="BT44" s="124"/>
    </row>
    <row r="45" spans="1:72" ht="15">
      <c r="A45" s="35"/>
      <c r="B45" s="250"/>
      <c r="C45" s="250"/>
      <c r="D45" s="250"/>
      <c r="E45" s="250"/>
      <c r="F45" s="250"/>
      <c r="G45" s="250"/>
      <c r="H45" s="250"/>
      <c r="I45" s="250"/>
      <c r="J45" s="250"/>
      <c r="K45" s="250"/>
      <c r="L45" s="250"/>
      <c r="M45" s="250"/>
      <c r="N45" s="250"/>
      <c r="O45" s="250"/>
      <c r="P45" s="250"/>
      <c r="Q45" s="250"/>
      <c r="R45" s="250"/>
      <c r="S45" s="250"/>
      <c r="T45" s="250"/>
      <c r="U45" s="250"/>
      <c r="V45" s="250"/>
      <c r="W45" s="250"/>
      <c r="X45" s="250"/>
      <c r="Y45" s="250"/>
      <c r="Z45" s="250"/>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54"/>
      <c r="AY45" s="54"/>
      <c r="AZ45" s="54"/>
      <c r="BA45" s="60"/>
      <c r="BB45" s="136"/>
      <c r="BC45" s="50"/>
      <c r="BD45" s="51"/>
      <c r="BE45" s="124"/>
      <c r="BF45" s="124"/>
      <c r="BG45" s="126"/>
      <c r="BH45" s="124"/>
      <c r="BI45" s="124"/>
      <c r="BJ45" s="124"/>
      <c r="BK45" s="124"/>
      <c r="BL45" s="124"/>
      <c r="BM45" s="124"/>
      <c r="BN45" s="124"/>
      <c r="BO45" s="124"/>
      <c r="BP45" s="124"/>
      <c r="BQ45" s="124"/>
      <c r="BR45" s="124"/>
      <c r="BS45" s="124"/>
      <c r="BT45" s="124"/>
    </row>
    <row r="46" spans="1:72" ht="15">
      <c r="A46" s="35"/>
      <c r="B46" s="250" t="s">
        <v>74</v>
      </c>
      <c r="C46" s="250"/>
      <c r="D46" s="250"/>
      <c r="E46" s="250"/>
      <c r="F46" s="250" t="s">
        <v>75</v>
      </c>
      <c r="G46" s="250"/>
      <c r="H46" s="250"/>
      <c r="I46" s="250"/>
      <c r="J46" s="250" t="s">
        <v>76</v>
      </c>
      <c r="K46" s="250"/>
      <c r="L46" s="250"/>
      <c r="M46" s="250"/>
      <c r="N46" s="250" t="s">
        <v>77</v>
      </c>
      <c r="O46" s="250"/>
      <c r="P46" s="250"/>
      <c r="Q46" s="250"/>
      <c r="R46" s="251" t="s">
        <v>68</v>
      </c>
      <c r="S46" s="250"/>
      <c r="T46" s="250"/>
      <c r="U46" s="250"/>
      <c r="V46" s="250" t="s">
        <v>67</v>
      </c>
      <c r="W46" s="250"/>
      <c r="X46" s="250"/>
      <c r="Y46" s="250"/>
      <c r="Z46" s="250" t="s">
        <v>68</v>
      </c>
      <c r="AA46" s="250"/>
      <c r="AB46" s="250"/>
      <c r="AC46" s="250"/>
      <c r="AD46" s="250" t="s">
        <v>67</v>
      </c>
      <c r="AE46" s="250"/>
      <c r="AF46" s="250"/>
      <c r="AG46" s="250"/>
      <c r="AH46" s="250" t="s">
        <v>68</v>
      </c>
      <c r="AI46" s="250"/>
      <c r="AJ46" s="250"/>
      <c r="AK46" s="250"/>
      <c r="AL46" s="250" t="s">
        <v>68</v>
      </c>
      <c r="AM46" s="250"/>
      <c r="AN46" s="250"/>
      <c r="AO46" s="250"/>
      <c r="AP46" s="250" t="s">
        <v>67</v>
      </c>
      <c r="AQ46" s="250"/>
      <c r="AR46" s="250"/>
      <c r="AS46" s="250"/>
      <c r="AT46" s="250" t="s">
        <v>68</v>
      </c>
      <c r="AU46" s="250"/>
      <c r="AV46" s="250"/>
      <c r="AW46" s="250"/>
      <c r="AX46" s="54"/>
      <c r="AY46" s="54"/>
      <c r="AZ46" s="54"/>
      <c r="BA46" s="60"/>
      <c r="BB46" s="136"/>
      <c r="BC46" s="50"/>
      <c r="BD46" s="51"/>
      <c r="BE46" s="124"/>
      <c r="BF46" s="124"/>
      <c r="BG46" s="126"/>
      <c r="BH46" s="124"/>
      <c r="BI46" s="124"/>
      <c r="BJ46" s="124"/>
      <c r="BK46" s="124"/>
      <c r="BL46" s="124"/>
      <c r="BM46" s="124"/>
      <c r="BN46" s="124"/>
      <c r="BO46" s="124"/>
      <c r="BP46" s="124"/>
      <c r="BQ46" s="124"/>
      <c r="BR46" s="124"/>
      <c r="BS46" s="124"/>
      <c r="BT46" s="124"/>
    </row>
    <row r="47" spans="1:72" ht="15">
      <c r="A47" s="35"/>
      <c r="B47" s="250"/>
      <c r="C47" s="250"/>
      <c r="D47" s="250"/>
      <c r="E47" s="250"/>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0"/>
      <c r="AE47" s="250"/>
      <c r="AF47" s="250"/>
      <c r="AG47" s="250"/>
      <c r="AH47" s="250"/>
      <c r="AI47" s="250"/>
      <c r="AJ47" s="250"/>
      <c r="AK47" s="250"/>
      <c r="AL47" s="250"/>
      <c r="AM47" s="250"/>
      <c r="AN47" s="250"/>
      <c r="AO47" s="250"/>
      <c r="AP47" s="250"/>
      <c r="AQ47" s="250"/>
      <c r="AR47" s="250"/>
      <c r="AS47" s="250"/>
      <c r="AT47" s="250"/>
      <c r="AU47" s="250"/>
      <c r="AV47" s="250"/>
      <c r="AW47" s="250"/>
      <c r="AX47" s="54"/>
      <c r="AY47" s="54"/>
      <c r="AZ47" s="54"/>
      <c r="BA47" s="60"/>
      <c r="BB47" s="136"/>
      <c r="BC47" s="50"/>
      <c r="BD47" s="51"/>
      <c r="BE47" s="124"/>
      <c r="BH47" s="124"/>
      <c r="BI47" s="124"/>
      <c r="BJ47" s="124"/>
      <c r="BK47" s="124"/>
      <c r="BL47" s="124"/>
      <c r="BM47" s="124"/>
      <c r="BN47" s="124"/>
      <c r="BO47" s="124"/>
      <c r="BP47" s="124"/>
      <c r="BQ47" s="124"/>
      <c r="BR47" s="124"/>
      <c r="BS47" s="124"/>
      <c r="BT47" s="124"/>
    </row>
    <row r="48" spans="1:72" ht="15">
      <c r="A48" s="35"/>
      <c r="B48" s="250" t="s">
        <v>78</v>
      </c>
      <c r="C48" s="250"/>
      <c r="D48" s="250"/>
      <c r="E48" s="250"/>
      <c r="F48" s="250" t="s">
        <v>79</v>
      </c>
      <c r="G48" s="250"/>
      <c r="H48" s="250"/>
      <c r="I48" s="250"/>
      <c r="J48" s="250" t="s">
        <v>80</v>
      </c>
      <c r="K48" s="250"/>
      <c r="L48" s="250"/>
      <c r="M48" s="250"/>
      <c r="N48" s="250" t="s">
        <v>81</v>
      </c>
      <c r="O48" s="250"/>
      <c r="P48" s="250"/>
      <c r="Q48" s="250"/>
      <c r="R48" s="251" t="s">
        <v>68</v>
      </c>
      <c r="S48" s="250"/>
      <c r="T48" s="250"/>
      <c r="U48" s="250"/>
      <c r="V48" s="250" t="s">
        <v>67</v>
      </c>
      <c r="W48" s="250"/>
      <c r="X48" s="250"/>
      <c r="Y48" s="250"/>
      <c r="Z48" s="250" t="s">
        <v>68</v>
      </c>
      <c r="AA48" s="250"/>
      <c r="AB48" s="250"/>
      <c r="AC48" s="250"/>
      <c r="AD48" s="250" t="s">
        <v>67</v>
      </c>
      <c r="AE48" s="250"/>
      <c r="AF48" s="250"/>
      <c r="AG48" s="250"/>
      <c r="AH48" s="250" t="s">
        <v>68</v>
      </c>
      <c r="AI48" s="250"/>
      <c r="AJ48" s="250"/>
      <c r="AK48" s="250"/>
      <c r="AL48" s="250" t="s">
        <v>68</v>
      </c>
      <c r="AM48" s="250"/>
      <c r="AN48" s="250"/>
      <c r="AO48" s="250"/>
      <c r="AP48" s="250" t="s">
        <v>67</v>
      </c>
      <c r="AQ48" s="250"/>
      <c r="AR48" s="250"/>
      <c r="AS48" s="250"/>
      <c r="AT48" s="250" t="s">
        <v>68</v>
      </c>
      <c r="AU48" s="250"/>
      <c r="AV48" s="250"/>
      <c r="AW48" s="250"/>
      <c r="AX48" s="54"/>
      <c r="AY48" s="54"/>
      <c r="AZ48" s="54"/>
      <c r="BA48" s="60"/>
      <c r="BB48" s="136"/>
      <c r="BC48" s="50"/>
      <c r="BD48" s="51"/>
      <c r="BE48" s="124"/>
      <c r="BF48" s="124"/>
      <c r="BG48" s="124"/>
      <c r="BH48" s="124"/>
      <c r="BI48" s="124"/>
      <c r="BJ48" s="124"/>
      <c r="BK48" s="124"/>
      <c r="BL48" s="124"/>
      <c r="BM48" s="124"/>
      <c r="BN48" s="124"/>
      <c r="BO48" s="124"/>
      <c r="BP48" s="124"/>
      <c r="BQ48" s="124"/>
      <c r="BR48" s="124"/>
      <c r="BS48" s="124"/>
      <c r="BT48" s="124"/>
    </row>
    <row r="49" spans="1:74" ht="15">
      <c r="A49" s="35"/>
      <c r="B49" s="250"/>
      <c r="C49" s="250"/>
      <c r="D49" s="250"/>
      <c r="E49" s="250"/>
      <c r="F49" s="250"/>
      <c r="G49" s="250"/>
      <c r="H49" s="250"/>
      <c r="I49" s="250"/>
      <c r="J49" s="250"/>
      <c r="K49" s="250"/>
      <c r="L49" s="250"/>
      <c r="M49" s="250"/>
      <c r="N49" s="250"/>
      <c r="O49" s="250"/>
      <c r="P49" s="250"/>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54"/>
      <c r="AY49" s="54"/>
      <c r="AZ49" s="54"/>
      <c r="BA49" s="60"/>
      <c r="BB49" s="136"/>
      <c r="BC49" s="50"/>
      <c r="BD49" s="51"/>
      <c r="BE49" s="124"/>
      <c r="BF49" s="124"/>
      <c r="BG49" s="124"/>
      <c r="BH49" s="124"/>
      <c r="BI49" s="124"/>
      <c r="BJ49" s="124"/>
      <c r="BK49" s="124"/>
      <c r="BL49" s="124"/>
      <c r="BM49" s="124"/>
      <c r="BN49" s="124"/>
      <c r="BO49" s="124"/>
      <c r="BP49" s="124"/>
      <c r="BQ49" s="124"/>
      <c r="BR49" s="124"/>
      <c r="BS49" s="124"/>
      <c r="BT49" s="124"/>
    </row>
    <row r="50" spans="1:74" ht="15">
      <c r="A50" s="35"/>
      <c r="B50" s="122"/>
      <c r="C50" s="122"/>
      <c r="D50" s="122"/>
      <c r="E50" s="122"/>
      <c r="F50" s="127"/>
      <c r="G50" s="127"/>
      <c r="H50" s="127"/>
      <c r="I50" s="127"/>
      <c r="J50" s="127"/>
      <c r="K50" s="127"/>
      <c r="L50" s="127"/>
      <c r="M50" s="127"/>
      <c r="N50" s="127"/>
      <c r="O50" s="127"/>
      <c r="P50" s="127"/>
      <c r="Q50" s="127"/>
      <c r="R50" s="127"/>
      <c r="S50" s="127"/>
      <c r="T50" s="127"/>
      <c r="U50" s="127"/>
      <c r="V50" s="127"/>
      <c r="W50" s="127"/>
      <c r="X50" s="127"/>
      <c r="Y50" s="127"/>
      <c r="Z50" s="127"/>
      <c r="AA50" s="127"/>
      <c r="AB50" s="127"/>
      <c r="AC50" s="127"/>
      <c r="AD50" s="127"/>
      <c r="AE50" s="127"/>
      <c r="AF50" s="127"/>
      <c r="AG50" s="127"/>
      <c r="AH50" s="127"/>
      <c r="AI50" s="127"/>
      <c r="AJ50" s="127"/>
      <c r="AK50" s="127"/>
      <c r="AL50" s="127"/>
      <c r="AM50" s="127"/>
      <c r="AN50" s="127"/>
      <c r="AO50" s="127"/>
      <c r="AP50" s="127"/>
      <c r="AQ50" s="127"/>
      <c r="AR50" s="127"/>
      <c r="AS50" s="127"/>
      <c r="AT50" s="127"/>
      <c r="AU50" s="127"/>
      <c r="AV50" s="127"/>
      <c r="AW50" s="127"/>
      <c r="AX50" s="54"/>
      <c r="AY50" s="54"/>
      <c r="AZ50" s="54"/>
      <c r="BA50" s="60"/>
      <c r="BB50" s="136"/>
      <c r="BC50" s="50"/>
      <c r="BD50" s="51"/>
      <c r="BE50" s="124"/>
      <c r="BF50" s="124"/>
      <c r="BG50" s="124"/>
      <c r="BH50" s="124"/>
      <c r="BI50" s="124"/>
      <c r="BJ50" s="124"/>
      <c r="BK50" s="124"/>
      <c r="BL50" s="124"/>
      <c r="BM50" s="124"/>
      <c r="BN50" s="124"/>
      <c r="BO50" s="124"/>
      <c r="BP50" s="124"/>
      <c r="BQ50" s="124"/>
      <c r="BR50" s="124"/>
      <c r="BS50" s="124"/>
      <c r="BT50" s="124"/>
    </row>
    <row r="51" spans="1:74" ht="15">
      <c r="A51" s="35"/>
      <c r="B51" s="122" t="s">
        <v>82</v>
      </c>
      <c r="C51" s="122"/>
      <c r="D51" s="122"/>
      <c r="E51" s="122"/>
      <c r="F51" s="127"/>
      <c r="G51" s="127"/>
      <c r="H51" s="127"/>
      <c r="I51" s="127"/>
      <c r="J51" s="127"/>
      <c r="K51" s="127"/>
      <c r="L51" s="127"/>
      <c r="M51" s="57"/>
      <c r="N51" s="127"/>
      <c r="O51" s="127"/>
      <c r="P51" s="127"/>
      <c r="Q51" s="127"/>
      <c r="R51" s="127"/>
      <c r="S51" s="127"/>
      <c r="T51" s="127"/>
      <c r="U51" s="127"/>
      <c r="V51" s="127"/>
      <c r="W51" s="127"/>
      <c r="X51" s="127"/>
      <c r="Y51" s="127"/>
      <c r="Z51" s="127"/>
      <c r="AA51" s="127"/>
      <c r="AB51" s="127"/>
      <c r="AC51" s="127"/>
      <c r="AD51" s="127"/>
      <c r="AE51" s="127"/>
      <c r="AF51" s="127"/>
      <c r="AG51" s="127"/>
      <c r="AH51" s="127"/>
      <c r="AI51" s="127"/>
      <c r="AJ51" s="127"/>
      <c r="AK51" s="127"/>
      <c r="AL51" s="127"/>
      <c r="AM51" s="127"/>
      <c r="AN51" s="127"/>
      <c r="AO51" s="127"/>
      <c r="AP51" s="127"/>
      <c r="AQ51" s="127"/>
      <c r="AR51" s="127"/>
      <c r="AS51" s="127"/>
      <c r="AT51" s="127"/>
      <c r="AU51" s="127"/>
      <c r="AV51" s="127"/>
      <c r="AW51" s="127"/>
      <c r="AX51" s="54"/>
      <c r="AY51" s="54"/>
      <c r="AZ51" s="54"/>
      <c r="BA51" s="60"/>
      <c r="BB51" s="136"/>
      <c r="BC51" s="50"/>
      <c r="BD51" s="51"/>
      <c r="BE51" s="124"/>
      <c r="BF51" s="124"/>
      <c r="BG51" s="124"/>
      <c r="BH51" s="124"/>
      <c r="BI51" s="124"/>
      <c r="BJ51" s="124"/>
      <c r="BK51" s="124"/>
      <c r="BL51" s="124"/>
      <c r="BM51" s="124"/>
      <c r="BN51" s="124"/>
      <c r="BO51" s="124"/>
      <c r="BP51" s="124"/>
      <c r="BQ51" s="124"/>
      <c r="BR51" s="124"/>
      <c r="BS51" s="124"/>
      <c r="BT51" s="124"/>
    </row>
    <row r="52" spans="1:74" ht="15">
      <c r="A52" s="35"/>
      <c r="B52" s="122" t="s">
        <v>83</v>
      </c>
      <c r="C52" s="122"/>
      <c r="D52" s="122"/>
      <c r="E52" s="122"/>
      <c r="F52" s="127"/>
      <c r="G52" s="127"/>
      <c r="H52" s="127"/>
      <c r="I52" s="127"/>
      <c r="J52" s="127"/>
      <c r="K52" s="127"/>
      <c r="L52" s="127"/>
      <c r="M52" s="127"/>
      <c r="N52" s="12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127"/>
      <c r="AR52" s="127"/>
      <c r="AS52" s="127"/>
      <c r="AT52" s="127"/>
      <c r="AU52" s="127"/>
      <c r="AV52" s="127"/>
      <c r="AW52" s="127"/>
      <c r="AX52" s="54"/>
      <c r="AY52" s="54"/>
      <c r="AZ52" s="54"/>
      <c r="BA52" s="60"/>
      <c r="BB52" s="136"/>
      <c r="BC52" s="50"/>
      <c r="BD52" s="51"/>
      <c r="BF52" s="124"/>
      <c r="BG52" s="124"/>
      <c r="BH52" s="124"/>
      <c r="BI52" s="124"/>
      <c r="BJ52" s="124"/>
      <c r="BK52" s="124"/>
      <c r="BL52" s="124"/>
      <c r="BM52" s="124"/>
      <c r="BN52" s="124"/>
      <c r="BO52" s="124"/>
      <c r="BP52" s="124"/>
      <c r="BQ52" s="124"/>
      <c r="BR52" s="124"/>
      <c r="BS52" s="124"/>
      <c r="BT52" s="124"/>
    </row>
    <row r="53" spans="1:74" ht="15">
      <c r="A53" s="35"/>
      <c r="B53" s="122" t="s">
        <v>84</v>
      </c>
      <c r="C53" s="122"/>
      <c r="D53" s="122"/>
      <c r="E53" s="122"/>
      <c r="F53" s="127"/>
      <c r="G53" s="127"/>
      <c r="H53" s="127"/>
      <c r="I53" s="127"/>
      <c r="J53" s="127"/>
      <c r="K53" s="127"/>
      <c r="L53" s="127"/>
      <c r="M53" s="127"/>
      <c r="N53" s="12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127"/>
      <c r="AR53" s="127"/>
      <c r="AS53" s="127"/>
      <c r="AT53" s="127"/>
      <c r="AU53" s="127"/>
      <c r="AV53" s="127"/>
      <c r="AW53" s="127"/>
      <c r="AX53" s="54"/>
      <c r="AY53" s="54"/>
      <c r="AZ53" s="54"/>
      <c r="BA53" s="60"/>
      <c r="BB53" s="136"/>
      <c r="BC53" s="50"/>
      <c r="BD53" s="51"/>
      <c r="BE53" s="124"/>
      <c r="BF53" s="124"/>
      <c r="BH53" s="124"/>
      <c r="BI53" s="124"/>
      <c r="BJ53" s="124"/>
      <c r="BK53" s="124"/>
      <c r="BS53" s="124"/>
      <c r="BT53" s="124"/>
    </row>
    <row r="54" spans="1:74" s="123" customFormat="1" ht="15">
      <c r="A54" s="36"/>
      <c r="B54" s="131"/>
      <c r="C54" s="132"/>
      <c r="D54" s="132"/>
      <c r="E54" s="132"/>
      <c r="F54" s="132"/>
      <c r="G54" s="132"/>
      <c r="H54" s="132"/>
      <c r="I54" s="132"/>
      <c r="J54" s="132"/>
      <c r="K54" s="132"/>
      <c r="L54" s="132"/>
      <c r="M54" s="132"/>
      <c r="N54" s="132"/>
      <c r="O54" s="132"/>
      <c r="P54" s="132"/>
      <c r="Q54" s="132"/>
      <c r="R54" s="132"/>
      <c r="S54" s="133"/>
      <c r="T54" s="133"/>
      <c r="U54" s="133"/>
      <c r="V54" s="133"/>
      <c r="W54" s="132"/>
      <c r="X54" s="132"/>
      <c r="Y54" s="133"/>
      <c r="Z54" s="133"/>
      <c r="AA54" s="132"/>
      <c r="AB54" s="132"/>
      <c r="AC54" s="132"/>
      <c r="AD54" s="133"/>
      <c r="AE54" s="133"/>
      <c r="AF54" s="133"/>
      <c r="AG54" s="133"/>
      <c r="AH54" s="133"/>
      <c r="AI54" s="133"/>
      <c r="AJ54" s="133"/>
      <c r="AK54" s="133"/>
      <c r="AL54" s="133"/>
      <c r="AM54" s="133"/>
      <c r="AN54" s="133"/>
      <c r="AO54" s="133"/>
      <c r="AP54" s="133"/>
      <c r="AQ54" s="133"/>
      <c r="AR54" s="133"/>
      <c r="AS54" s="133"/>
      <c r="AT54" s="133"/>
      <c r="AU54" s="133"/>
      <c r="AV54" s="133"/>
      <c r="AW54" s="133"/>
      <c r="AX54" s="133"/>
      <c r="AY54" s="131"/>
      <c r="AZ54" s="131"/>
      <c r="BA54" s="60"/>
      <c r="BB54" s="134"/>
      <c r="BC54" s="135"/>
      <c r="BD54" s="51"/>
      <c r="BE54" s="124"/>
      <c r="BF54" s="124"/>
      <c r="BG54" s="124"/>
      <c r="BH54" s="124"/>
      <c r="BI54" s="124"/>
      <c r="BJ54" s="124"/>
      <c r="BK54" s="124"/>
      <c r="BS54" s="124"/>
      <c r="BT54" s="124"/>
    </row>
    <row r="55" spans="1:74" s="123" customFormat="1" ht="15" customHeight="1">
      <c r="A55" s="35"/>
      <c r="B55" s="55"/>
      <c r="C55" s="57"/>
      <c r="D55" s="57"/>
      <c r="E55" s="57"/>
      <c r="F55" s="57"/>
      <c r="G55" s="57"/>
      <c r="H55" s="57"/>
      <c r="I55" s="57"/>
      <c r="J55" s="57"/>
      <c r="K55" s="57"/>
      <c r="L55" s="57"/>
      <c r="M55" s="57"/>
      <c r="N55" s="57"/>
      <c r="O55" s="57"/>
      <c r="P55" s="57"/>
      <c r="Q55" s="57"/>
      <c r="R55" s="57"/>
      <c r="S55" s="137"/>
      <c r="T55" s="137"/>
      <c r="U55" s="137"/>
      <c r="V55" s="137"/>
      <c r="W55" s="57"/>
      <c r="X55" s="57"/>
      <c r="Y55" s="137"/>
      <c r="Z55" s="137"/>
      <c r="AA55" s="57"/>
      <c r="AB55" s="57"/>
      <c r="AC55" s="57"/>
      <c r="AD55" s="137"/>
      <c r="AE55" s="137"/>
      <c r="AF55" s="137"/>
      <c r="AG55" s="137"/>
      <c r="AH55" s="137"/>
      <c r="AI55" s="137"/>
      <c r="AJ55" s="137"/>
      <c r="AK55" s="137"/>
      <c r="AL55" s="137"/>
      <c r="AM55" s="137"/>
      <c r="AN55" s="137"/>
      <c r="AO55" s="137"/>
      <c r="AP55" s="137"/>
      <c r="AQ55" s="137"/>
      <c r="AR55" s="137"/>
      <c r="AS55" s="137"/>
      <c r="AT55" s="137"/>
      <c r="AU55" s="137"/>
      <c r="AV55" s="137"/>
      <c r="AW55" s="137"/>
      <c r="AX55" s="137"/>
      <c r="AY55" s="55"/>
      <c r="AZ55" s="54"/>
      <c r="BA55" s="60"/>
      <c r="BB55" s="136"/>
      <c r="BC55" s="50"/>
      <c r="BD55" s="51"/>
      <c r="BE55" s="124"/>
      <c r="BF55" s="124"/>
      <c r="BG55" s="124"/>
      <c r="BH55" s="124"/>
      <c r="BI55" s="124"/>
      <c r="BJ55" s="124"/>
      <c r="BS55" s="124"/>
      <c r="BT55" s="124"/>
      <c r="BV55" s="124"/>
    </row>
    <row r="56" spans="1:74" s="123" customFormat="1" ht="15">
      <c r="A56" s="52"/>
      <c r="B56" s="128"/>
      <c r="C56" s="129"/>
      <c r="D56" s="129"/>
      <c r="E56" s="129"/>
      <c r="F56" s="129"/>
      <c r="G56" s="129"/>
      <c r="H56" s="129"/>
      <c r="I56" s="129"/>
      <c r="J56" s="129"/>
      <c r="K56" s="129"/>
      <c r="L56" s="129"/>
      <c r="M56" s="129"/>
      <c r="N56" s="129"/>
      <c r="O56" s="129"/>
      <c r="P56" s="129"/>
      <c r="Q56" s="129"/>
      <c r="R56" s="129"/>
      <c r="S56" s="130"/>
      <c r="T56" s="130"/>
      <c r="U56" s="130"/>
      <c r="V56" s="130"/>
      <c r="W56" s="129"/>
      <c r="X56" s="129"/>
      <c r="Y56" s="130"/>
      <c r="Z56" s="130"/>
      <c r="AA56" s="129"/>
      <c r="AB56" s="129"/>
      <c r="AC56" s="129"/>
      <c r="AD56" s="130"/>
      <c r="AE56" s="130"/>
      <c r="AF56" s="130"/>
      <c r="AG56" s="130"/>
      <c r="AH56" s="130"/>
      <c r="AI56" s="130"/>
      <c r="AJ56" s="130"/>
      <c r="AK56" s="130"/>
      <c r="AL56" s="130"/>
      <c r="AM56" s="130"/>
      <c r="AN56" s="130"/>
      <c r="AO56" s="130"/>
      <c r="AP56" s="130"/>
      <c r="AQ56" s="130"/>
      <c r="AR56" s="130"/>
      <c r="AS56" s="130"/>
      <c r="AT56" s="130"/>
      <c r="AU56" s="130"/>
      <c r="AV56" s="130"/>
      <c r="AW56" s="130"/>
      <c r="AX56" s="130"/>
      <c r="AY56" s="128"/>
      <c r="AZ56" s="128"/>
      <c r="BA56" s="70"/>
      <c r="BB56" s="166"/>
      <c r="BC56" s="53"/>
      <c r="BD56" s="51"/>
    </row>
    <row r="57" spans="1:74" s="123" customFormat="1" ht="15">
      <c r="A57" s="35"/>
      <c r="B57" s="35"/>
      <c r="C57" s="35"/>
      <c r="D57" s="35"/>
      <c r="E57" s="35"/>
      <c r="F57" s="35"/>
      <c r="G57" s="35"/>
      <c r="H57" s="35"/>
      <c r="I57" s="35"/>
      <c r="J57" s="35"/>
      <c r="K57" s="35"/>
      <c r="L57" s="35"/>
      <c r="M57" s="35"/>
      <c r="N57" s="35"/>
      <c r="O57" s="35"/>
      <c r="P57" s="35"/>
      <c r="Q57" s="35"/>
      <c r="R57" s="35"/>
      <c r="S57" s="54"/>
      <c r="T57" s="54"/>
      <c r="U57" s="54"/>
      <c r="V57" s="54"/>
      <c r="W57" s="35"/>
      <c r="X57" s="35"/>
      <c r="Y57" s="54"/>
      <c r="Z57" s="54"/>
      <c r="AA57" s="35"/>
      <c r="AB57" s="35"/>
      <c r="AC57" s="35"/>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1"/>
    </row>
    <row r="58" spans="1:74" s="123" customFormat="1" ht="15">
      <c r="A58" s="35"/>
      <c r="B58" s="35"/>
      <c r="C58" s="35"/>
      <c r="D58" s="35"/>
      <c r="E58" s="35"/>
      <c r="F58" s="35"/>
      <c r="G58" s="35"/>
      <c r="H58" s="35"/>
      <c r="I58" s="35"/>
      <c r="J58" s="35"/>
      <c r="K58" s="35"/>
      <c r="L58" s="35"/>
      <c r="M58" s="35"/>
      <c r="N58" s="35"/>
      <c r="O58" s="35"/>
      <c r="P58" s="35"/>
      <c r="Q58" s="35"/>
      <c r="R58" s="35"/>
      <c r="S58" s="54"/>
      <c r="T58" s="54"/>
      <c r="U58" s="54"/>
      <c r="V58" s="54"/>
      <c r="W58" s="35"/>
      <c r="X58" s="35"/>
      <c r="Y58" s="54"/>
      <c r="Z58" s="54"/>
      <c r="AA58" s="35"/>
      <c r="AB58" s="35"/>
      <c r="AC58" s="35"/>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1"/>
    </row>
    <row r="59" spans="1:74" s="123" customFormat="1" ht="15">
      <c r="A59" s="35"/>
      <c r="B59" s="35"/>
      <c r="C59" s="35"/>
      <c r="D59" s="35"/>
      <c r="E59" s="35"/>
      <c r="F59" s="35"/>
      <c r="G59" s="35"/>
      <c r="H59" s="35"/>
      <c r="I59" s="35"/>
      <c r="J59" s="35"/>
      <c r="K59" s="35"/>
      <c r="L59" s="35"/>
      <c r="M59" s="35"/>
      <c r="N59" s="35"/>
      <c r="O59" s="35"/>
      <c r="P59" s="35"/>
      <c r="Q59" s="35"/>
      <c r="R59" s="35"/>
      <c r="S59" s="54"/>
      <c r="T59" s="54"/>
      <c r="U59" s="54"/>
      <c r="V59" s="54"/>
      <c r="W59" s="35"/>
      <c r="X59" s="35"/>
      <c r="Y59" s="54"/>
      <c r="Z59" s="54"/>
      <c r="AA59" s="35"/>
      <c r="AB59" s="35"/>
      <c r="AC59" s="35"/>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1"/>
    </row>
    <row r="60" spans="1:74" s="123" customFormat="1" ht="15">
      <c r="A60" s="35"/>
      <c r="B60" s="35"/>
      <c r="C60" s="35"/>
      <c r="D60" s="35"/>
      <c r="E60" s="35"/>
      <c r="F60" s="35"/>
      <c r="G60" s="35"/>
      <c r="H60" s="35"/>
      <c r="I60" s="35"/>
      <c r="J60" s="35"/>
      <c r="K60" s="35"/>
      <c r="L60" s="35"/>
      <c r="M60" s="35"/>
      <c r="N60" s="35"/>
      <c r="O60" s="35"/>
      <c r="P60" s="35"/>
      <c r="Q60" s="35"/>
      <c r="R60" s="35"/>
      <c r="S60" s="54"/>
      <c r="T60" s="54"/>
      <c r="U60" s="54"/>
      <c r="V60" s="54"/>
      <c r="W60" s="35"/>
      <c r="X60" s="35"/>
      <c r="Y60" s="54"/>
      <c r="Z60" s="54"/>
      <c r="AA60" s="35"/>
      <c r="AB60" s="35"/>
      <c r="AC60" s="35"/>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1"/>
    </row>
    <row r="61" spans="1:74" s="123" customFormat="1" ht="15">
      <c r="A61" s="35"/>
      <c r="B61" s="35"/>
      <c r="C61" s="35"/>
      <c r="D61" s="35"/>
      <c r="E61" s="35"/>
      <c r="F61" s="35"/>
      <c r="G61" s="35"/>
      <c r="H61" s="35"/>
      <c r="I61" s="35"/>
      <c r="J61" s="35"/>
      <c r="K61" s="35"/>
      <c r="L61" s="35"/>
      <c r="M61" s="35"/>
      <c r="N61" s="35"/>
      <c r="O61" s="35"/>
      <c r="P61" s="35"/>
      <c r="Q61" s="35"/>
      <c r="R61" s="35"/>
      <c r="S61" s="54"/>
      <c r="T61" s="54"/>
      <c r="U61" s="54"/>
      <c r="V61" s="54"/>
      <c r="W61" s="35"/>
      <c r="X61" s="35"/>
      <c r="Y61" s="54"/>
      <c r="Z61" s="54"/>
      <c r="AA61" s="35"/>
      <c r="AB61" s="35"/>
      <c r="AC61" s="35"/>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1"/>
    </row>
    <row r="62" spans="1:74" s="123" customFormat="1" ht="15">
      <c r="A62" s="35"/>
      <c r="B62" s="35"/>
      <c r="C62" s="35"/>
      <c r="D62" s="35"/>
      <c r="E62" s="35"/>
      <c r="F62" s="35"/>
      <c r="G62" s="35"/>
      <c r="H62" s="35"/>
      <c r="I62" s="35"/>
      <c r="J62" s="35"/>
      <c r="K62" s="35"/>
      <c r="L62" s="35"/>
      <c r="M62" s="35"/>
      <c r="N62" s="35"/>
      <c r="O62" s="35"/>
      <c r="P62" s="35"/>
      <c r="Q62" s="35"/>
      <c r="R62" s="35"/>
      <c r="S62" s="54"/>
      <c r="T62" s="54"/>
      <c r="U62" s="54"/>
      <c r="V62" s="54"/>
      <c r="W62" s="35"/>
      <c r="X62" s="35"/>
      <c r="Y62" s="54"/>
      <c r="Z62" s="54"/>
      <c r="AA62" s="35"/>
      <c r="AB62" s="35"/>
      <c r="AC62" s="35"/>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1"/>
    </row>
    <row r="63" spans="1:74" s="123" customFormat="1" ht="15">
      <c r="A63" s="35"/>
      <c r="B63" s="35"/>
      <c r="C63" s="35"/>
      <c r="D63" s="35"/>
      <c r="E63" s="35"/>
      <c r="F63" s="35"/>
      <c r="G63" s="35"/>
      <c r="H63" s="35"/>
      <c r="I63" s="35"/>
      <c r="J63" s="35"/>
      <c r="K63" s="35"/>
      <c r="L63" s="35"/>
      <c r="M63" s="35"/>
      <c r="N63" s="35"/>
      <c r="O63" s="35"/>
      <c r="P63" s="35"/>
      <c r="Q63" s="35"/>
      <c r="R63" s="35"/>
      <c r="S63" s="54"/>
      <c r="T63" s="54"/>
      <c r="U63" s="54"/>
      <c r="V63" s="54"/>
      <c r="W63" s="35"/>
      <c r="X63" s="35"/>
      <c r="Y63" s="54"/>
      <c r="Z63" s="54"/>
      <c r="AA63" s="35"/>
      <c r="AB63" s="35"/>
      <c r="AC63" s="35"/>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1"/>
    </row>
    <row r="64" spans="1:74" s="123" customFormat="1" ht="15">
      <c r="A64" s="35"/>
      <c r="B64" s="35"/>
      <c r="C64" s="35"/>
      <c r="D64" s="35"/>
      <c r="E64" s="35"/>
      <c r="F64" s="35"/>
      <c r="G64" s="35"/>
      <c r="H64" s="35"/>
      <c r="I64" s="35"/>
      <c r="J64" s="35"/>
      <c r="K64" s="35"/>
      <c r="L64" s="35"/>
      <c r="M64" s="35"/>
      <c r="N64" s="35"/>
      <c r="O64" s="35"/>
      <c r="P64" s="35"/>
      <c r="Q64" s="35"/>
      <c r="R64" s="35"/>
      <c r="S64" s="54"/>
      <c r="T64" s="54"/>
      <c r="U64" s="54"/>
      <c r="V64" s="54"/>
      <c r="W64" s="35"/>
      <c r="X64" s="35"/>
      <c r="Y64" s="54"/>
      <c r="Z64" s="54"/>
      <c r="AA64" s="35"/>
      <c r="AB64" s="35"/>
      <c r="AC64" s="35"/>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1"/>
    </row>
    <row r="65" spans="1:72" s="123" customFormat="1" ht="15">
      <c r="A65" s="35"/>
      <c r="B65" s="35"/>
      <c r="C65" s="35"/>
      <c r="D65" s="35"/>
      <c r="E65" s="35"/>
      <c r="F65" s="35"/>
      <c r="G65" s="35"/>
      <c r="H65" s="35"/>
      <c r="I65" s="35"/>
      <c r="J65" s="35"/>
      <c r="K65" s="35"/>
      <c r="L65" s="35"/>
      <c r="M65" s="35"/>
      <c r="N65" s="35"/>
      <c r="O65" s="35"/>
      <c r="P65" s="35"/>
      <c r="Q65" s="35"/>
      <c r="R65" s="35"/>
      <c r="S65" s="54"/>
      <c r="T65" s="54"/>
      <c r="U65" s="54"/>
      <c r="V65" s="54"/>
      <c r="W65" s="35"/>
      <c r="X65" s="35"/>
      <c r="Y65" s="54"/>
      <c r="Z65" s="54"/>
      <c r="AA65" s="35"/>
      <c r="AB65" s="35"/>
      <c r="AC65" s="35"/>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1"/>
    </row>
    <row r="66" spans="1:72" s="123" customFormat="1" ht="15">
      <c r="A66" s="35"/>
      <c r="B66" s="35"/>
      <c r="C66" s="35"/>
      <c r="D66" s="35"/>
      <c r="E66" s="35"/>
      <c r="F66" s="35"/>
      <c r="G66" s="35"/>
      <c r="H66" s="35"/>
      <c r="I66" s="35"/>
      <c r="J66" s="35"/>
      <c r="K66" s="35"/>
      <c r="L66" s="35"/>
      <c r="M66" s="35"/>
      <c r="N66" s="35"/>
      <c r="O66" s="35"/>
      <c r="P66" s="35"/>
      <c r="Q66" s="35"/>
      <c r="R66" s="35"/>
      <c r="S66" s="54"/>
      <c r="T66" s="54"/>
      <c r="U66" s="54"/>
      <c r="V66" s="54"/>
      <c r="W66" s="35"/>
      <c r="X66" s="35"/>
      <c r="Y66" s="54"/>
      <c r="Z66" s="54"/>
      <c r="AA66" s="35"/>
      <c r="AB66" s="35"/>
      <c r="AC66" s="35"/>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1"/>
    </row>
    <row r="67" spans="1:72" s="123" customFormat="1" ht="15">
      <c r="A67" s="35"/>
      <c r="B67" s="35"/>
      <c r="C67" s="35"/>
      <c r="D67" s="35"/>
      <c r="E67" s="35"/>
      <c r="F67" s="35"/>
      <c r="G67" s="35"/>
      <c r="H67" s="35"/>
      <c r="I67" s="35"/>
      <c r="J67" s="35"/>
      <c r="K67" s="35"/>
      <c r="L67" s="35"/>
      <c r="M67" s="35"/>
      <c r="N67" s="35"/>
      <c r="O67" s="35"/>
      <c r="P67" s="35"/>
      <c r="Q67" s="35"/>
      <c r="R67" s="35"/>
      <c r="S67" s="54"/>
      <c r="T67" s="54"/>
      <c r="U67" s="54"/>
      <c r="V67" s="54"/>
      <c r="W67" s="35"/>
      <c r="X67" s="35"/>
      <c r="Y67" s="54"/>
      <c r="Z67" s="54"/>
      <c r="AA67" s="35"/>
      <c r="AB67" s="35"/>
      <c r="AC67" s="35"/>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1"/>
    </row>
    <row r="68" spans="1:72" s="123" customFormat="1" ht="15">
      <c r="A68" s="35"/>
      <c r="B68" s="35"/>
      <c r="C68" s="35"/>
      <c r="D68" s="35"/>
      <c r="E68" s="35"/>
      <c r="F68" s="35"/>
      <c r="G68" s="35"/>
      <c r="H68" s="35"/>
      <c r="I68" s="35"/>
      <c r="J68" s="35"/>
      <c r="K68" s="35"/>
      <c r="L68" s="35"/>
      <c r="M68" s="35"/>
      <c r="N68" s="35"/>
      <c r="O68" s="35"/>
      <c r="P68" s="35"/>
      <c r="Q68" s="35"/>
      <c r="R68" s="35"/>
      <c r="S68" s="54"/>
      <c r="T68" s="54"/>
      <c r="U68" s="54"/>
      <c r="V68" s="54"/>
      <c r="W68" s="35"/>
      <c r="X68" s="35"/>
      <c r="Y68" s="54"/>
      <c r="Z68" s="54"/>
      <c r="AA68" s="35"/>
      <c r="AB68" s="35"/>
      <c r="AC68" s="35"/>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1"/>
    </row>
    <row r="69" spans="1:72" s="123" customFormat="1" ht="15">
      <c r="A69" s="35"/>
      <c r="B69" s="35"/>
      <c r="C69" s="35"/>
      <c r="D69" s="35"/>
      <c r="E69" s="35"/>
      <c r="F69" s="35"/>
      <c r="G69" s="35"/>
      <c r="H69" s="35"/>
      <c r="I69" s="35"/>
      <c r="J69" s="35"/>
      <c r="K69" s="35"/>
      <c r="L69" s="35"/>
      <c r="M69" s="35"/>
      <c r="N69" s="35"/>
      <c r="O69" s="35"/>
      <c r="P69" s="35"/>
      <c r="Q69" s="35"/>
      <c r="R69" s="35"/>
      <c r="S69" s="54"/>
      <c r="T69" s="54"/>
      <c r="U69" s="54"/>
      <c r="V69" s="54"/>
      <c r="W69" s="35"/>
      <c r="X69" s="35"/>
      <c r="Y69" s="54"/>
      <c r="Z69" s="54"/>
      <c r="AA69" s="35"/>
      <c r="AB69" s="35"/>
      <c r="AC69" s="35"/>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1"/>
      <c r="BE69" s="124"/>
      <c r="BF69" s="124"/>
      <c r="BG69" s="124"/>
      <c r="BH69" s="124"/>
      <c r="BI69" s="124"/>
      <c r="BJ69" s="124"/>
      <c r="BK69" s="124"/>
      <c r="BL69" s="124"/>
      <c r="BM69" s="124"/>
      <c r="BN69" s="124"/>
      <c r="BO69" s="124"/>
      <c r="BP69" s="124"/>
      <c r="BQ69" s="124"/>
      <c r="BR69" s="124"/>
      <c r="BS69" s="124"/>
      <c r="BT69" s="124"/>
    </row>
    <row r="70" spans="1:72" s="123" customFormat="1" ht="15">
      <c r="A70" s="35"/>
      <c r="B70" s="35"/>
      <c r="C70" s="35"/>
      <c r="D70" s="35"/>
      <c r="E70" s="35"/>
      <c r="F70" s="35"/>
      <c r="G70" s="35"/>
      <c r="H70" s="35"/>
      <c r="I70" s="35"/>
      <c r="J70" s="35"/>
      <c r="K70" s="35"/>
      <c r="L70" s="35"/>
      <c r="M70" s="35"/>
      <c r="N70" s="35"/>
      <c r="O70" s="35"/>
      <c r="P70" s="35"/>
      <c r="Q70" s="35"/>
      <c r="R70" s="35"/>
      <c r="S70" s="54"/>
      <c r="T70" s="54"/>
      <c r="U70" s="54"/>
      <c r="V70" s="54"/>
      <c r="W70" s="35"/>
      <c r="X70" s="35"/>
      <c r="Y70" s="54"/>
      <c r="Z70" s="54"/>
      <c r="AA70" s="35"/>
      <c r="AB70" s="35"/>
      <c r="AC70" s="35"/>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1"/>
      <c r="BE70" s="124"/>
      <c r="BF70" s="124"/>
      <c r="BG70" s="124"/>
      <c r="BH70" s="124"/>
      <c r="BI70" s="124"/>
      <c r="BJ70" s="124"/>
      <c r="BK70" s="124"/>
      <c r="BL70" s="124"/>
      <c r="BM70" s="124"/>
      <c r="BN70" s="124"/>
      <c r="BO70" s="124"/>
      <c r="BP70" s="124"/>
      <c r="BQ70" s="124"/>
      <c r="BR70" s="124"/>
      <c r="BS70" s="124"/>
      <c r="BT70" s="124"/>
    </row>
    <row r="71" spans="1:72" s="123" customFormat="1" ht="15">
      <c r="A71" s="35"/>
      <c r="B71" s="35"/>
      <c r="C71" s="35"/>
      <c r="D71" s="35"/>
      <c r="E71" s="35"/>
      <c r="F71" s="35"/>
      <c r="G71" s="35"/>
      <c r="H71" s="35"/>
      <c r="I71" s="35"/>
      <c r="J71" s="35"/>
      <c r="K71" s="35"/>
      <c r="L71" s="35"/>
      <c r="M71" s="35"/>
      <c r="N71" s="35"/>
      <c r="O71" s="35"/>
      <c r="P71" s="35"/>
      <c r="Q71" s="35"/>
      <c r="R71" s="35"/>
      <c r="S71" s="54"/>
      <c r="T71" s="54"/>
      <c r="U71" s="54"/>
      <c r="V71" s="54"/>
      <c r="W71" s="35"/>
      <c r="X71" s="35"/>
      <c r="Y71" s="54"/>
      <c r="Z71" s="54"/>
      <c r="AA71" s="35"/>
      <c r="AB71" s="35"/>
      <c r="AC71" s="35"/>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1"/>
      <c r="BE71" s="124"/>
      <c r="BF71" s="124"/>
      <c r="BG71" s="124"/>
      <c r="BH71" s="124"/>
      <c r="BI71" s="124"/>
      <c r="BJ71" s="124"/>
      <c r="BK71" s="124"/>
      <c r="BL71" s="124"/>
      <c r="BM71" s="124"/>
      <c r="BN71" s="124"/>
      <c r="BO71" s="124"/>
      <c r="BP71" s="124"/>
      <c r="BQ71" s="124"/>
      <c r="BR71" s="124"/>
      <c r="BS71" s="124"/>
      <c r="BT71" s="124"/>
    </row>
    <row r="72" spans="1:72" s="123" customFormat="1" ht="15">
      <c r="A72" s="35"/>
      <c r="B72" s="35"/>
      <c r="C72" s="35"/>
      <c r="D72" s="35"/>
      <c r="E72" s="35"/>
      <c r="F72" s="35"/>
      <c r="G72" s="35"/>
      <c r="H72" s="35"/>
      <c r="I72" s="35"/>
      <c r="J72" s="35"/>
      <c r="K72" s="35"/>
      <c r="L72" s="35"/>
      <c r="M72" s="35"/>
      <c r="N72" s="35"/>
      <c r="O72" s="35"/>
      <c r="P72" s="35"/>
      <c r="Q72" s="35"/>
      <c r="R72" s="35"/>
      <c r="S72" s="54"/>
      <c r="T72" s="54"/>
      <c r="U72" s="54"/>
      <c r="V72" s="54"/>
      <c r="W72" s="35"/>
      <c r="X72" s="35"/>
      <c r="Y72" s="54"/>
      <c r="Z72" s="54"/>
      <c r="AA72" s="35"/>
      <c r="AB72" s="35"/>
      <c r="AC72" s="35"/>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1"/>
    </row>
    <row r="73" spans="1:72" s="123" customFormat="1" ht="15">
      <c r="A73" s="35"/>
      <c r="B73" s="35"/>
      <c r="C73" s="35"/>
      <c r="D73" s="35"/>
      <c r="E73" s="35"/>
      <c r="F73" s="35"/>
      <c r="G73" s="35"/>
      <c r="H73" s="35"/>
      <c r="I73" s="35"/>
      <c r="J73" s="35"/>
      <c r="K73" s="35"/>
      <c r="L73" s="35"/>
      <c r="M73" s="35"/>
      <c r="N73" s="35"/>
      <c r="O73" s="35"/>
      <c r="P73" s="35"/>
      <c r="Q73" s="35"/>
      <c r="R73" s="35"/>
      <c r="S73" s="54"/>
      <c r="T73" s="54"/>
      <c r="U73" s="54"/>
      <c r="V73" s="54"/>
      <c r="W73" s="35"/>
      <c r="X73" s="35"/>
      <c r="Y73" s="54"/>
      <c r="Z73" s="54"/>
      <c r="AA73" s="35"/>
      <c r="AB73" s="35"/>
      <c r="AC73" s="35"/>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1"/>
    </row>
    <row r="74" spans="1:72" s="123" customFormat="1" ht="15">
      <c r="A74" s="35"/>
      <c r="B74" s="35"/>
      <c r="C74" s="35"/>
      <c r="D74" s="35"/>
      <c r="E74" s="35"/>
      <c r="F74" s="35"/>
      <c r="G74" s="35"/>
      <c r="H74" s="35"/>
      <c r="I74" s="35"/>
      <c r="J74" s="35"/>
      <c r="K74" s="35"/>
      <c r="L74" s="35"/>
      <c r="M74" s="35"/>
      <c r="N74" s="35"/>
      <c r="O74" s="35"/>
      <c r="P74" s="35"/>
      <c r="Q74" s="35"/>
      <c r="R74" s="35"/>
      <c r="S74" s="54"/>
      <c r="T74" s="54"/>
      <c r="U74" s="54"/>
      <c r="V74" s="54"/>
      <c r="W74" s="35"/>
      <c r="X74" s="35"/>
      <c r="Y74" s="54"/>
      <c r="Z74" s="54"/>
      <c r="AA74" s="35"/>
      <c r="AB74" s="35"/>
      <c r="AC74" s="35"/>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1"/>
    </row>
    <row r="75" spans="1:72" s="123" customFormat="1" ht="15">
      <c r="A75" s="35"/>
      <c r="B75" s="35"/>
      <c r="C75" s="35"/>
      <c r="D75" s="35"/>
      <c r="E75" s="35"/>
      <c r="F75" s="35"/>
      <c r="G75" s="35"/>
      <c r="H75" s="35"/>
      <c r="I75" s="35"/>
      <c r="J75" s="35"/>
      <c r="K75" s="35"/>
      <c r="L75" s="35"/>
      <c r="M75" s="35"/>
      <c r="N75" s="35"/>
      <c r="O75" s="35"/>
      <c r="P75" s="35"/>
      <c r="Q75" s="35"/>
      <c r="R75" s="35"/>
      <c r="S75" s="54"/>
      <c r="T75" s="54"/>
      <c r="U75" s="54"/>
      <c r="V75" s="54"/>
      <c r="W75" s="35"/>
      <c r="X75" s="35"/>
      <c r="Y75" s="54"/>
      <c r="Z75" s="54"/>
      <c r="AA75" s="35"/>
      <c r="AB75" s="35"/>
      <c r="AC75" s="35"/>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1"/>
      <c r="BE75" s="124"/>
      <c r="BF75" s="124"/>
      <c r="BG75" s="124"/>
      <c r="BH75" s="124"/>
      <c r="BI75" s="124"/>
      <c r="BJ75" s="124"/>
      <c r="BK75" s="124"/>
      <c r="BL75" s="124"/>
      <c r="BM75" s="124"/>
      <c r="BN75" s="124"/>
      <c r="BO75" s="124"/>
      <c r="BP75" s="124"/>
      <c r="BQ75" s="124"/>
      <c r="BR75" s="124"/>
      <c r="BS75" s="124"/>
      <c r="BT75" s="124"/>
    </row>
    <row r="76" spans="1:72" s="123" customFormat="1" ht="15">
      <c r="A76" s="35"/>
      <c r="B76" s="35"/>
      <c r="C76" s="35"/>
      <c r="D76" s="35"/>
      <c r="E76" s="35"/>
      <c r="F76" s="35"/>
      <c r="G76" s="35"/>
      <c r="H76" s="35"/>
      <c r="I76" s="35"/>
      <c r="J76" s="35"/>
      <c r="K76" s="35"/>
      <c r="L76" s="35"/>
      <c r="M76" s="35"/>
      <c r="N76" s="35"/>
      <c r="O76" s="35"/>
      <c r="P76" s="35"/>
      <c r="Q76" s="35"/>
      <c r="R76" s="35"/>
      <c r="S76" s="54"/>
      <c r="T76" s="54"/>
      <c r="U76" s="54"/>
      <c r="V76" s="54"/>
      <c r="W76" s="35"/>
      <c r="X76" s="35"/>
      <c r="Y76" s="54"/>
      <c r="Z76" s="54"/>
      <c r="AA76" s="35"/>
      <c r="AB76" s="35"/>
      <c r="AC76" s="35"/>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1"/>
      <c r="BE76" s="124"/>
      <c r="BF76" s="124"/>
      <c r="BG76" s="124"/>
      <c r="BH76" s="124"/>
      <c r="BI76" s="124"/>
      <c r="BJ76" s="124"/>
      <c r="BK76" s="124"/>
      <c r="BL76" s="124"/>
      <c r="BM76" s="124"/>
      <c r="BN76" s="124"/>
      <c r="BO76" s="124"/>
      <c r="BP76" s="124"/>
      <c r="BQ76" s="124"/>
      <c r="BR76" s="124"/>
      <c r="BS76" s="124"/>
      <c r="BT76" s="124"/>
    </row>
    <row r="77" spans="1:72" s="123" customFormat="1" ht="15">
      <c r="A77" s="35"/>
      <c r="B77" s="35"/>
      <c r="C77" s="35"/>
      <c r="D77" s="35"/>
      <c r="E77" s="35"/>
      <c r="F77" s="35"/>
      <c r="G77" s="35"/>
      <c r="H77" s="35"/>
      <c r="I77" s="35"/>
      <c r="J77" s="35"/>
      <c r="K77" s="35"/>
      <c r="L77" s="35"/>
      <c r="M77" s="35"/>
      <c r="N77" s="35"/>
      <c r="O77" s="35"/>
      <c r="P77" s="35"/>
      <c r="Q77" s="35"/>
      <c r="R77" s="35"/>
      <c r="S77" s="54"/>
      <c r="T77" s="54"/>
      <c r="U77" s="54"/>
      <c r="V77" s="54"/>
      <c r="W77" s="35"/>
      <c r="X77" s="35"/>
      <c r="Y77" s="54"/>
      <c r="Z77" s="54"/>
      <c r="AA77" s="35"/>
      <c r="AB77" s="35"/>
      <c r="AC77" s="35"/>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1"/>
      <c r="BE77" s="124"/>
      <c r="BF77" s="124"/>
      <c r="BG77" s="124"/>
      <c r="BH77" s="124"/>
      <c r="BI77" s="124"/>
      <c r="BJ77" s="124"/>
      <c r="BK77" s="124"/>
      <c r="BL77" s="124"/>
      <c r="BM77" s="124"/>
      <c r="BN77" s="124"/>
      <c r="BO77" s="124"/>
      <c r="BP77" s="124"/>
      <c r="BQ77" s="124"/>
      <c r="BR77" s="124"/>
      <c r="BS77" s="124"/>
      <c r="BT77" s="124"/>
    </row>
    <row r="78" spans="1:72" s="123" customFormat="1" ht="15">
      <c r="A78" s="35"/>
      <c r="B78" s="35"/>
      <c r="C78" s="35"/>
      <c r="D78" s="35"/>
      <c r="E78" s="35"/>
      <c r="F78" s="35"/>
      <c r="G78" s="35"/>
      <c r="H78" s="35"/>
      <c r="I78" s="35"/>
      <c r="J78" s="35"/>
      <c r="K78" s="35"/>
      <c r="L78" s="35"/>
      <c r="M78" s="35"/>
      <c r="N78" s="35"/>
      <c r="O78" s="35"/>
      <c r="P78" s="35"/>
      <c r="Q78" s="35"/>
      <c r="R78" s="35"/>
      <c r="S78" s="54"/>
      <c r="T78" s="54"/>
      <c r="U78" s="54"/>
      <c r="V78" s="54"/>
      <c r="W78" s="35"/>
      <c r="X78" s="35"/>
      <c r="Y78" s="54"/>
      <c r="Z78" s="54"/>
      <c r="AA78" s="35"/>
      <c r="AB78" s="35"/>
      <c r="AC78" s="35"/>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1"/>
      <c r="BE78" s="124"/>
      <c r="BF78" s="124"/>
      <c r="BG78" s="124"/>
      <c r="BH78" s="124"/>
      <c r="BI78" s="124"/>
      <c r="BJ78" s="124"/>
      <c r="BK78" s="124"/>
      <c r="BL78" s="124"/>
      <c r="BM78" s="124"/>
      <c r="BN78" s="124"/>
      <c r="BO78" s="124"/>
      <c r="BP78" s="124"/>
      <c r="BQ78" s="124"/>
      <c r="BR78" s="124"/>
      <c r="BS78" s="124"/>
      <c r="BT78" s="124"/>
    </row>
    <row r="79" spans="1:72" s="123" customFormat="1" ht="15">
      <c r="A79" s="35"/>
      <c r="B79" s="35"/>
      <c r="C79" s="35"/>
      <c r="D79" s="35"/>
      <c r="E79" s="35"/>
      <c r="F79" s="35"/>
      <c r="G79" s="35"/>
      <c r="H79" s="35"/>
      <c r="I79" s="35"/>
      <c r="J79" s="35"/>
      <c r="K79" s="35"/>
      <c r="L79" s="35"/>
      <c r="M79" s="35"/>
      <c r="N79" s="35"/>
      <c r="O79" s="35"/>
      <c r="P79" s="35"/>
      <c r="Q79" s="35"/>
      <c r="R79" s="35"/>
      <c r="S79" s="54"/>
      <c r="T79" s="54"/>
      <c r="U79" s="54"/>
      <c r="V79" s="54"/>
      <c r="W79" s="35"/>
      <c r="X79" s="35"/>
      <c r="Y79" s="54"/>
      <c r="Z79" s="54"/>
      <c r="AA79" s="35"/>
      <c r="AB79" s="35"/>
      <c r="AC79" s="35"/>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1"/>
      <c r="BE79" s="124"/>
      <c r="BF79" s="124"/>
      <c r="BG79" s="124"/>
      <c r="BH79" s="124"/>
      <c r="BI79" s="124"/>
      <c r="BJ79" s="124"/>
      <c r="BK79" s="124"/>
      <c r="BL79" s="124"/>
      <c r="BM79" s="124"/>
      <c r="BN79" s="124"/>
      <c r="BO79" s="124"/>
      <c r="BP79" s="124"/>
      <c r="BQ79" s="124"/>
      <c r="BR79" s="124"/>
      <c r="BS79" s="124"/>
      <c r="BT79" s="124"/>
    </row>
    <row r="80" spans="1:72" s="123" customFormat="1" ht="15">
      <c r="A80" s="35"/>
      <c r="B80" s="35"/>
      <c r="C80" s="35"/>
      <c r="D80" s="35"/>
      <c r="E80" s="35"/>
      <c r="F80" s="35"/>
      <c r="G80" s="35"/>
      <c r="H80" s="35"/>
      <c r="I80" s="35"/>
      <c r="J80" s="35"/>
      <c r="K80" s="35"/>
      <c r="L80" s="35"/>
      <c r="M80" s="35"/>
      <c r="N80" s="35"/>
      <c r="O80" s="35"/>
      <c r="P80" s="35"/>
      <c r="Q80" s="35"/>
      <c r="R80" s="35"/>
      <c r="S80" s="54"/>
      <c r="T80" s="54"/>
      <c r="U80" s="54"/>
      <c r="V80" s="54"/>
      <c r="W80" s="35"/>
      <c r="X80" s="35"/>
      <c r="Y80" s="54"/>
      <c r="Z80" s="54"/>
      <c r="AA80" s="35"/>
      <c r="AB80" s="35"/>
      <c r="AC80" s="35"/>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1"/>
      <c r="BE80" s="124"/>
      <c r="BF80" s="124"/>
      <c r="BG80" s="124"/>
      <c r="BH80" s="124"/>
      <c r="BI80" s="124"/>
      <c r="BJ80" s="124"/>
      <c r="BK80" s="124"/>
      <c r="BL80" s="124"/>
      <c r="BM80" s="124"/>
      <c r="BN80" s="124"/>
      <c r="BO80" s="124"/>
      <c r="BP80" s="124"/>
      <c r="BQ80" s="124"/>
      <c r="BR80" s="124"/>
      <c r="BS80" s="124"/>
      <c r="BT80" s="124"/>
    </row>
    <row r="81" spans="1:72" s="123" customFormat="1" ht="15">
      <c r="A81" s="35"/>
      <c r="B81" s="35"/>
      <c r="C81" s="35"/>
      <c r="D81" s="35"/>
      <c r="E81" s="35"/>
      <c r="F81" s="35"/>
      <c r="G81" s="35"/>
      <c r="H81" s="35"/>
      <c r="I81" s="35"/>
      <c r="J81" s="35"/>
      <c r="K81" s="35"/>
      <c r="L81" s="35"/>
      <c r="M81" s="35"/>
      <c r="N81" s="35"/>
      <c r="O81" s="35"/>
      <c r="P81" s="35"/>
      <c r="Q81" s="35"/>
      <c r="R81" s="35"/>
      <c r="S81" s="54"/>
      <c r="T81" s="54"/>
      <c r="U81" s="54"/>
      <c r="V81" s="54"/>
      <c r="W81" s="35"/>
      <c r="X81" s="35"/>
      <c r="Y81" s="54"/>
      <c r="Z81" s="54"/>
      <c r="AA81" s="35"/>
      <c r="AB81" s="35"/>
      <c r="AC81" s="35"/>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1"/>
      <c r="BE81" s="124"/>
      <c r="BF81" s="124"/>
      <c r="BG81" s="124"/>
      <c r="BH81" s="124"/>
      <c r="BI81" s="124"/>
      <c r="BJ81" s="124"/>
      <c r="BK81" s="124"/>
      <c r="BL81" s="124"/>
      <c r="BM81" s="124"/>
      <c r="BN81" s="124"/>
      <c r="BO81" s="124"/>
      <c r="BP81" s="124"/>
      <c r="BQ81" s="124"/>
      <c r="BR81" s="124"/>
      <c r="BS81" s="124"/>
      <c r="BT81" s="124"/>
    </row>
    <row r="82" spans="1:72" s="123" customFormat="1" ht="15">
      <c r="A82" s="35"/>
      <c r="B82" s="35"/>
      <c r="C82" s="35"/>
      <c r="D82" s="35"/>
      <c r="E82" s="35"/>
      <c r="F82" s="35"/>
      <c r="G82" s="35"/>
      <c r="H82" s="35"/>
      <c r="I82" s="35"/>
      <c r="J82" s="35"/>
      <c r="K82" s="35"/>
      <c r="L82" s="35"/>
      <c r="M82" s="35"/>
      <c r="N82" s="35"/>
      <c r="O82" s="35"/>
      <c r="P82" s="35"/>
      <c r="Q82" s="35"/>
      <c r="R82" s="35"/>
      <c r="S82" s="54"/>
      <c r="T82" s="54"/>
      <c r="U82" s="54"/>
      <c r="V82" s="54"/>
      <c r="W82" s="35"/>
      <c r="X82" s="35"/>
      <c r="Y82" s="54"/>
      <c r="Z82" s="54"/>
      <c r="AA82" s="35"/>
      <c r="AB82" s="35"/>
      <c r="AC82" s="35"/>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1"/>
      <c r="BE82" s="124"/>
      <c r="BF82" s="124"/>
      <c r="BG82" s="124"/>
      <c r="BH82" s="124"/>
      <c r="BI82" s="124"/>
      <c r="BJ82" s="124"/>
      <c r="BK82" s="124"/>
      <c r="BL82" s="124"/>
      <c r="BM82" s="124"/>
      <c r="BN82" s="124"/>
      <c r="BO82" s="124"/>
      <c r="BP82" s="124"/>
      <c r="BQ82" s="124"/>
      <c r="BR82" s="124"/>
      <c r="BS82" s="124"/>
      <c r="BT82" s="124"/>
    </row>
    <row r="83" spans="1:72" s="123" customFormat="1" ht="15">
      <c r="A83" s="35"/>
      <c r="B83" s="35"/>
      <c r="C83" s="35"/>
      <c r="D83" s="35"/>
      <c r="E83" s="35"/>
      <c r="F83" s="35"/>
      <c r="G83" s="35"/>
      <c r="H83" s="35"/>
      <c r="I83" s="35"/>
      <c r="J83" s="35"/>
      <c r="K83" s="35"/>
      <c r="L83" s="35"/>
      <c r="M83" s="35"/>
      <c r="N83" s="35"/>
      <c r="O83" s="35"/>
      <c r="P83" s="35"/>
      <c r="Q83" s="35"/>
      <c r="R83" s="35"/>
      <c r="S83" s="54"/>
      <c r="T83" s="54"/>
      <c r="U83" s="54"/>
      <c r="V83" s="54"/>
      <c r="W83" s="35"/>
      <c r="X83" s="35"/>
      <c r="Y83" s="54"/>
      <c r="Z83" s="54"/>
      <c r="AA83" s="35"/>
      <c r="AB83" s="35"/>
      <c r="AC83" s="35"/>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1"/>
      <c r="BE83" s="124"/>
      <c r="BF83" s="124"/>
      <c r="BG83" s="124"/>
      <c r="BH83" s="124"/>
      <c r="BI83" s="124"/>
      <c r="BJ83" s="124"/>
      <c r="BK83" s="124"/>
      <c r="BL83" s="124"/>
      <c r="BM83" s="124"/>
      <c r="BN83" s="124"/>
      <c r="BO83" s="124"/>
      <c r="BP83" s="124"/>
      <c r="BQ83" s="124"/>
      <c r="BR83" s="124"/>
      <c r="BS83" s="124"/>
      <c r="BT83" s="124"/>
    </row>
    <row r="84" spans="1:72" s="123" customFormat="1" ht="15">
      <c r="A84" s="35"/>
      <c r="B84" s="35"/>
      <c r="C84" s="35"/>
      <c r="D84" s="35"/>
      <c r="E84" s="35"/>
      <c r="F84" s="35"/>
      <c r="G84" s="35"/>
      <c r="H84" s="35"/>
      <c r="I84" s="35"/>
      <c r="J84" s="35"/>
      <c r="K84" s="35"/>
      <c r="L84" s="35"/>
      <c r="M84" s="35"/>
      <c r="N84" s="35"/>
      <c r="O84" s="35"/>
      <c r="P84" s="35"/>
      <c r="Q84" s="35"/>
      <c r="R84" s="35"/>
      <c r="S84" s="54"/>
      <c r="T84" s="54"/>
      <c r="U84" s="54"/>
      <c r="V84" s="54"/>
      <c r="W84" s="35"/>
      <c r="X84" s="35"/>
      <c r="Y84" s="54"/>
      <c r="Z84" s="54"/>
      <c r="AA84" s="35"/>
      <c r="AB84" s="35"/>
      <c r="AC84" s="35"/>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1"/>
      <c r="BE84" s="124"/>
      <c r="BF84" s="124"/>
      <c r="BG84" s="124"/>
      <c r="BH84" s="124"/>
      <c r="BI84" s="124"/>
      <c r="BJ84" s="124"/>
      <c r="BK84" s="124"/>
      <c r="BL84" s="124"/>
      <c r="BM84" s="124"/>
      <c r="BN84" s="124"/>
      <c r="BO84" s="124"/>
      <c r="BP84" s="124"/>
      <c r="BQ84" s="124"/>
      <c r="BR84" s="124"/>
      <c r="BS84" s="124"/>
      <c r="BT84" s="124"/>
    </row>
    <row r="85" spans="1:72" s="123" customFormat="1" ht="15">
      <c r="A85" s="35"/>
      <c r="B85" s="35"/>
      <c r="C85" s="35"/>
      <c r="D85" s="35"/>
      <c r="E85" s="35"/>
      <c r="F85" s="35"/>
      <c r="G85" s="35"/>
      <c r="H85" s="35"/>
      <c r="I85" s="35"/>
      <c r="J85" s="35"/>
      <c r="K85" s="35"/>
      <c r="L85" s="35"/>
      <c r="M85" s="35"/>
      <c r="N85" s="35"/>
      <c r="O85" s="35"/>
      <c r="P85" s="35"/>
      <c r="Q85" s="35"/>
      <c r="R85" s="35"/>
      <c r="S85" s="54"/>
      <c r="T85" s="54"/>
      <c r="U85" s="54"/>
      <c r="V85" s="54"/>
      <c r="W85" s="35"/>
      <c r="X85" s="35"/>
      <c r="Y85" s="54"/>
      <c r="Z85" s="54"/>
      <c r="AA85" s="35"/>
      <c r="AB85" s="35"/>
      <c r="AC85" s="35"/>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1"/>
      <c r="BE85" s="124"/>
      <c r="BF85" s="124"/>
      <c r="BG85" s="124"/>
      <c r="BH85" s="124"/>
      <c r="BI85" s="124"/>
      <c r="BJ85" s="124"/>
      <c r="BK85" s="124"/>
      <c r="BL85" s="124"/>
      <c r="BM85" s="124"/>
      <c r="BN85" s="124"/>
      <c r="BO85" s="124"/>
      <c r="BP85" s="124"/>
      <c r="BQ85" s="124"/>
      <c r="BR85" s="124"/>
      <c r="BS85" s="124"/>
      <c r="BT85" s="124"/>
    </row>
    <row r="86" spans="1:72" s="123" customFormat="1" ht="15">
      <c r="A86" s="35"/>
      <c r="B86" s="35"/>
      <c r="C86" s="35"/>
      <c r="D86" s="35"/>
      <c r="E86" s="35"/>
      <c r="F86" s="35"/>
      <c r="G86" s="35"/>
      <c r="H86" s="35"/>
      <c r="I86" s="35"/>
      <c r="J86" s="35"/>
      <c r="K86" s="35"/>
      <c r="L86" s="35"/>
      <c r="M86" s="35"/>
      <c r="N86" s="35"/>
      <c r="O86" s="35"/>
      <c r="P86" s="35"/>
      <c r="Q86" s="35"/>
      <c r="R86" s="35"/>
      <c r="S86" s="54"/>
      <c r="T86" s="54"/>
      <c r="U86" s="54"/>
      <c r="V86" s="54"/>
      <c r="W86" s="35"/>
      <c r="X86" s="35"/>
      <c r="Y86" s="54"/>
      <c r="Z86" s="54"/>
      <c r="AA86" s="35"/>
      <c r="AB86" s="35"/>
      <c r="AC86" s="35"/>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1"/>
      <c r="BE86" s="124"/>
      <c r="BF86" s="124"/>
      <c r="BG86" s="124"/>
      <c r="BH86" s="124"/>
      <c r="BI86" s="124"/>
      <c r="BJ86" s="124"/>
      <c r="BK86" s="124"/>
      <c r="BL86" s="124"/>
      <c r="BM86" s="124"/>
      <c r="BN86" s="124"/>
      <c r="BO86" s="124"/>
      <c r="BP86" s="124"/>
      <c r="BQ86" s="124"/>
      <c r="BR86" s="124"/>
      <c r="BS86" s="124"/>
      <c r="BT86" s="124"/>
    </row>
    <row r="87" spans="1:72" s="123" customFormat="1" ht="15">
      <c r="A87" s="35"/>
      <c r="B87" s="35"/>
      <c r="C87" s="35"/>
      <c r="D87" s="35"/>
      <c r="E87" s="35"/>
      <c r="F87" s="35"/>
      <c r="G87" s="35"/>
      <c r="H87" s="35"/>
      <c r="I87" s="35"/>
      <c r="J87" s="35"/>
      <c r="K87" s="35"/>
      <c r="L87" s="35"/>
      <c r="M87" s="35"/>
      <c r="N87" s="35"/>
      <c r="O87" s="35"/>
      <c r="P87" s="35"/>
      <c r="Q87" s="35"/>
      <c r="R87" s="35"/>
      <c r="S87" s="54"/>
      <c r="T87" s="54"/>
      <c r="U87" s="54"/>
      <c r="V87" s="54"/>
      <c r="W87" s="35"/>
      <c r="X87" s="35"/>
      <c r="Y87" s="54"/>
      <c r="Z87" s="54"/>
      <c r="AA87" s="35"/>
      <c r="AB87" s="35"/>
      <c r="AC87" s="35"/>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1"/>
      <c r="BE87" s="124"/>
      <c r="BF87" s="124"/>
      <c r="BG87" s="124"/>
      <c r="BH87" s="124"/>
      <c r="BI87" s="124"/>
      <c r="BJ87" s="124"/>
      <c r="BK87" s="124"/>
      <c r="BL87" s="124"/>
      <c r="BM87" s="124"/>
      <c r="BN87" s="124"/>
      <c r="BO87" s="124"/>
      <c r="BP87" s="124"/>
      <c r="BQ87" s="124"/>
      <c r="BR87" s="124"/>
      <c r="BS87" s="124"/>
      <c r="BT87" s="124"/>
    </row>
    <row r="88" spans="1:72" s="123" customFormat="1" ht="15">
      <c r="A88" s="35"/>
      <c r="B88" s="35"/>
      <c r="C88" s="35"/>
      <c r="D88" s="35"/>
      <c r="E88" s="35"/>
      <c r="F88" s="35"/>
      <c r="G88" s="35"/>
      <c r="H88" s="35"/>
      <c r="I88" s="35"/>
      <c r="J88" s="35"/>
      <c r="K88" s="35"/>
      <c r="L88" s="35"/>
      <c r="M88" s="35"/>
      <c r="N88" s="35"/>
      <c r="O88" s="35"/>
      <c r="P88" s="35"/>
      <c r="Q88" s="35"/>
      <c r="R88" s="35"/>
      <c r="S88" s="54"/>
      <c r="T88" s="54"/>
      <c r="U88" s="54"/>
      <c r="V88" s="54"/>
      <c r="W88" s="35"/>
      <c r="X88" s="35"/>
      <c r="Y88" s="54"/>
      <c r="Z88" s="54"/>
      <c r="AA88" s="35"/>
      <c r="AB88" s="35"/>
      <c r="AC88" s="35"/>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1"/>
      <c r="BE88" s="124"/>
      <c r="BF88" s="124"/>
      <c r="BG88" s="124"/>
      <c r="BH88" s="124"/>
      <c r="BI88" s="124"/>
      <c r="BJ88" s="124"/>
      <c r="BK88" s="124"/>
      <c r="BL88" s="124"/>
      <c r="BM88" s="124"/>
      <c r="BN88" s="124"/>
      <c r="BO88" s="124"/>
      <c r="BP88" s="124"/>
      <c r="BQ88" s="124"/>
      <c r="BR88" s="124"/>
      <c r="BS88" s="124"/>
      <c r="BT88" s="124"/>
    </row>
    <row r="89" spans="1:72" s="123" customFormat="1" ht="15">
      <c r="A89" s="35"/>
      <c r="B89" s="35"/>
      <c r="C89" s="35"/>
      <c r="D89" s="35"/>
      <c r="E89" s="35"/>
      <c r="F89" s="35"/>
      <c r="G89" s="35"/>
      <c r="H89" s="35"/>
      <c r="I89" s="35"/>
      <c r="J89" s="35"/>
      <c r="K89" s="35"/>
      <c r="L89" s="35"/>
      <c r="M89" s="35"/>
      <c r="N89" s="35"/>
      <c r="O89" s="35"/>
      <c r="P89" s="35"/>
      <c r="Q89" s="35"/>
      <c r="R89" s="35"/>
      <c r="S89" s="54"/>
      <c r="T89" s="54"/>
      <c r="U89" s="54"/>
      <c r="V89" s="54"/>
      <c r="W89" s="35"/>
      <c r="X89" s="35"/>
      <c r="Y89" s="54"/>
      <c r="Z89" s="54"/>
      <c r="AA89" s="35"/>
      <c r="AB89" s="35"/>
      <c r="AC89" s="35"/>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1"/>
      <c r="BE89" s="124"/>
      <c r="BF89" s="124"/>
      <c r="BG89" s="124"/>
      <c r="BH89" s="124"/>
      <c r="BI89" s="124"/>
      <c r="BJ89" s="124"/>
      <c r="BK89" s="124"/>
      <c r="BL89" s="124"/>
      <c r="BM89" s="124"/>
      <c r="BN89" s="124"/>
      <c r="BO89" s="124"/>
      <c r="BP89" s="124"/>
      <c r="BQ89" s="124"/>
      <c r="BR89" s="124"/>
      <c r="BS89" s="124"/>
      <c r="BT89" s="124"/>
    </row>
    <row r="90" spans="1:72" s="123" customFormat="1" ht="15">
      <c r="A90" s="35"/>
      <c r="B90" s="35"/>
      <c r="C90" s="35"/>
      <c r="D90" s="35"/>
      <c r="E90" s="35"/>
      <c r="F90" s="35"/>
      <c r="G90" s="35"/>
      <c r="H90" s="35"/>
      <c r="I90" s="35"/>
      <c r="J90" s="35"/>
      <c r="K90" s="35"/>
      <c r="L90" s="35"/>
      <c r="M90" s="35"/>
      <c r="N90" s="35"/>
      <c r="O90" s="35"/>
      <c r="P90" s="35"/>
      <c r="Q90" s="35"/>
      <c r="R90" s="35"/>
      <c r="S90" s="54"/>
      <c r="T90" s="54"/>
      <c r="U90" s="54"/>
      <c r="V90" s="54"/>
      <c r="W90" s="35"/>
      <c r="X90" s="35"/>
      <c r="Y90" s="54"/>
      <c r="Z90" s="54"/>
      <c r="AA90" s="35"/>
      <c r="AB90" s="35"/>
      <c r="AC90" s="35"/>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1"/>
      <c r="BE90" s="124"/>
      <c r="BF90" s="124"/>
      <c r="BG90" s="124"/>
      <c r="BH90" s="124"/>
      <c r="BI90" s="124"/>
      <c r="BJ90" s="124"/>
      <c r="BK90" s="124"/>
      <c r="BL90" s="124"/>
      <c r="BM90" s="124"/>
      <c r="BN90" s="124"/>
      <c r="BO90" s="124"/>
      <c r="BP90" s="124"/>
      <c r="BQ90" s="124"/>
      <c r="BR90" s="124"/>
      <c r="BS90" s="124"/>
      <c r="BT90" s="124"/>
    </row>
    <row r="91" spans="1:72" s="123" customFormat="1" ht="15">
      <c r="A91" s="35"/>
      <c r="B91" s="35"/>
      <c r="C91" s="35"/>
      <c r="D91" s="35"/>
      <c r="E91" s="35"/>
      <c r="F91" s="35"/>
      <c r="G91" s="35"/>
      <c r="H91" s="35"/>
      <c r="I91" s="35"/>
      <c r="J91" s="35"/>
      <c r="K91" s="35"/>
      <c r="L91" s="35"/>
      <c r="M91" s="35"/>
      <c r="N91" s="35"/>
      <c r="O91" s="35"/>
      <c r="P91" s="35"/>
      <c r="Q91" s="35"/>
      <c r="R91" s="35"/>
      <c r="S91" s="54"/>
      <c r="T91" s="54"/>
      <c r="U91" s="54"/>
      <c r="V91" s="54"/>
      <c r="W91" s="35"/>
      <c r="X91" s="35"/>
      <c r="Y91" s="54"/>
      <c r="Z91" s="54"/>
      <c r="AA91" s="35"/>
      <c r="AB91" s="35"/>
      <c r="AC91" s="35"/>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1"/>
      <c r="BE91" s="124"/>
      <c r="BF91" s="124"/>
      <c r="BG91" s="124"/>
      <c r="BH91" s="124"/>
      <c r="BI91" s="124"/>
      <c r="BJ91" s="124"/>
      <c r="BK91" s="124"/>
      <c r="BL91" s="124"/>
      <c r="BM91" s="124"/>
      <c r="BN91" s="124"/>
      <c r="BO91" s="124"/>
      <c r="BP91" s="124"/>
      <c r="BQ91" s="124"/>
      <c r="BR91" s="124"/>
      <c r="BS91" s="124"/>
      <c r="BT91" s="124"/>
    </row>
    <row r="92" spans="1:72" s="123" customFormat="1" ht="15">
      <c r="A92" s="35"/>
      <c r="B92" s="35"/>
      <c r="C92" s="35"/>
      <c r="D92" s="35"/>
      <c r="E92" s="35"/>
      <c r="F92" s="35"/>
      <c r="G92" s="35"/>
      <c r="H92" s="35"/>
      <c r="I92" s="35"/>
      <c r="J92" s="35"/>
      <c r="K92" s="35"/>
      <c r="L92" s="35"/>
      <c r="M92" s="35"/>
      <c r="N92" s="35"/>
      <c r="O92" s="35"/>
      <c r="P92" s="35"/>
      <c r="Q92" s="35"/>
      <c r="R92" s="35"/>
      <c r="S92" s="54"/>
      <c r="T92" s="54"/>
      <c r="U92" s="54"/>
      <c r="V92" s="54"/>
      <c r="W92" s="35"/>
      <c r="X92" s="35"/>
      <c r="Y92" s="54"/>
      <c r="Z92" s="54"/>
      <c r="AA92" s="35"/>
      <c r="AB92" s="35"/>
      <c r="AC92" s="35"/>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1"/>
      <c r="BE92" s="124"/>
      <c r="BF92" s="124"/>
      <c r="BG92" s="124"/>
      <c r="BH92" s="124"/>
      <c r="BI92" s="124"/>
      <c r="BJ92" s="124"/>
      <c r="BK92" s="124"/>
      <c r="BL92" s="124"/>
      <c r="BM92" s="124"/>
      <c r="BN92" s="124"/>
      <c r="BO92" s="124"/>
      <c r="BP92" s="124"/>
      <c r="BQ92" s="124"/>
      <c r="BR92" s="124"/>
      <c r="BS92" s="124"/>
      <c r="BT92" s="124"/>
    </row>
    <row r="93" spans="1:72" s="123" customFormat="1" ht="15">
      <c r="A93" s="35"/>
      <c r="B93" s="35"/>
      <c r="C93" s="35"/>
      <c r="D93" s="35"/>
      <c r="E93" s="35"/>
      <c r="F93" s="35"/>
      <c r="G93" s="35"/>
      <c r="H93" s="35"/>
      <c r="I93" s="35"/>
      <c r="J93" s="35"/>
      <c r="K93" s="35"/>
      <c r="L93" s="35"/>
      <c r="M93" s="35"/>
      <c r="N93" s="35"/>
      <c r="O93" s="35"/>
      <c r="P93" s="35"/>
      <c r="Q93" s="35"/>
      <c r="R93" s="35"/>
      <c r="S93" s="54"/>
      <c r="T93" s="54"/>
      <c r="U93" s="54"/>
      <c r="V93" s="54"/>
      <c r="W93" s="35"/>
      <c r="X93" s="35"/>
      <c r="Y93" s="54"/>
      <c r="Z93" s="54"/>
      <c r="AA93" s="35"/>
      <c r="AB93" s="35"/>
      <c r="AC93" s="35"/>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1"/>
      <c r="BE93" s="124"/>
      <c r="BF93" s="124"/>
      <c r="BG93" s="124"/>
      <c r="BH93" s="124"/>
      <c r="BI93" s="124"/>
      <c r="BJ93" s="124"/>
      <c r="BK93" s="124"/>
      <c r="BL93" s="124"/>
      <c r="BM93" s="124"/>
      <c r="BN93" s="124"/>
      <c r="BO93" s="124"/>
      <c r="BP93" s="124"/>
      <c r="BQ93" s="124"/>
      <c r="BR93" s="124"/>
      <c r="BS93" s="124"/>
      <c r="BT93" s="124"/>
    </row>
    <row r="94" spans="1:72" s="123" customFormat="1" ht="15">
      <c r="A94" s="35"/>
      <c r="B94" s="35"/>
      <c r="C94" s="35"/>
      <c r="D94" s="35"/>
      <c r="E94" s="35"/>
      <c r="F94" s="35"/>
      <c r="G94" s="35"/>
      <c r="H94" s="35"/>
      <c r="I94" s="35"/>
      <c r="J94" s="35"/>
      <c r="K94" s="35"/>
      <c r="L94" s="35"/>
      <c r="M94" s="35"/>
      <c r="N94" s="35"/>
      <c r="O94" s="35"/>
      <c r="P94" s="35"/>
      <c r="Q94" s="35"/>
      <c r="R94" s="35"/>
      <c r="S94" s="54"/>
      <c r="T94" s="54"/>
      <c r="U94" s="54"/>
      <c r="V94" s="54"/>
      <c r="W94" s="35"/>
      <c r="X94" s="35"/>
      <c r="Y94" s="54"/>
      <c r="Z94" s="54"/>
      <c r="AA94" s="35"/>
      <c r="AB94" s="35"/>
      <c r="AC94" s="35"/>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1"/>
      <c r="BE94" s="124"/>
      <c r="BF94" s="124"/>
      <c r="BG94" s="124"/>
      <c r="BH94" s="124"/>
      <c r="BI94" s="124"/>
      <c r="BJ94" s="124"/>
      <c r="BK94" s="124"/>
      <c r="BL94" s="124"/>
      <c r="BM94" s="124"/>
      <c r="BN94" s="124"/>
      <c r="BO94" s="124"/>
      <c r="BP94" s="124"/>
      <c r="BQ94" s="124"/>
      <c r="BR94" s="124"/>
      <c r="BS94" s="124"/>
      <c r="BT94" s="124"/>
    </row>
    <row r="95" spans="1:72" s="123" customFormat="1" ht="15">
      <c r="A95" s="35"/>
      <c r="B95" s="35"/>
      <c r="C95" s="35"/>
      <c r="D95" s="35"/>
      <c r="E95" s="35"/>
      <c r="F95" s="35"/>
      <c r="G95" s="35"/>
      <c r="H95" s="35"/>
      <c r="I95" s="35"/>
      <c r="J95" s="35"/>
      <c r="K95" s="35"/>
      <c r="L95" s="35"/>
      <c r="M95" s="35"/>
      <c r="N95" s="35"/>
      <c r="O95" s="35"/>
      <c r="P95" s="35"/>
      <c r="Q95" s="35"/>
      <c r="R95" s="35"/>
      <c r="S95" s="54"/>
      <c r="T95" s="54"/>
      <c r="U95" s="54"/>
      <c r="V95" s="54"/>
      <c r="W95" s="35"/>
      <c r="X95" s="35"/>
      <c r="Y95" s="54"/>
      <c r="Z95" s="54"/>
      <c r="AA95" s="35"/>
      <c r="AB95" s="35"/>
      <c r="AC95" s="35"/>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1"/>
      <c r="BE95" s="124"/>
      <c r="BF95" s="124"/>
      <c r="BG95" s="124"/>
      <c r="BH95" s="124"/>
      <c r="BI95" s="124"/>
      <c r="BJ95" s="124"/>
      <c r="BK95" s="124"/>
      <c r="BL95" s="124"/>
      <c r="BM95" s="124"/>
      <c r="BN95" s="124"/>
      <c r="BO95" s="124"/>
      <c r="BP95" s="124"/>
      <c r="BQ95" s="124"/>
      <c r="BR95" s="124"/>
      <c r="BS95" s="124"/>
      <c r="BT95" s="124"/>
    </row>
    <row r="96" spans="1:72" s="123" customFormat="1" ht="15">
      <c r="A96" s="35"/>
      <c r="B96" s="35"/>
      <c r="C96" s="35"/>
      <c r="D96" s="35"/>
      <c r="E96" s="35"/>
      <c r="F96" s="35"/>
      <c r="G96" s="35"/>
      <c r="H96" s="35"/>
      <c r="I96" s="35"/>
      <c r="J96" s="35"/>
      <c r="K96" s="35"/>
      <c r="L96" s="35"/>
      <c r="M96" s="35"/>
      <c r="N96" s="35"/>
      <c r="O96" s="35"/>
      <c r="P96" s="35"/>
      <c r="Q96" s="35"/>
      <c r="R96" s="35"/>
      <c r="S96" s="54"/>
      <c r="T96" s="54"/>
      <c r="U96" s="54"/>
      <c r="V96" s="54"/>
      <c r="W96" s="35"/>
      <c r="X96" s="35"/>
      <c r="Y96" s="54"/>
      <c r="Z96" s="54"/>
      <c r="AA96" s="35"/>
      <c r="AB96" s="35"/>
      <c r="AC96" s="35"/>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1"/>
      <c r="BE96" s="124"/>
      <c r="BF96" s="124"/>
      <c r="BG96" s="124"/>
      <c r="BH96" s="124"/>
      <c r="BI96" s="124"/>
      <c r="BJ96" s="124"/>
      <c r="BK96" s="124"/>
      <c r="BL96" s="124"/>
      <c r="BM96" s="124"/>
      <c r="BN96" s="124"/>
      <c r="BO96" s="124"/>
      <c r="BP96" s="124"/>
      <c r="BQ96" s="124"/>
      <c r="BR96" s="124"/>
      <c r="BS96" s="124"/>
      <c r="BT96" s="124"/>
    </row>
    <row r="97" spans="1:72" s="123" customFormat="1" ht="15">
      <c r="A97" s="35"/>
      <c r="B97" s="35"/>
      <c r="C97" s="35"/>
      <c r="D97" s="35"/>
      <c r="E97" s="35"/>
      <c r="F97" s="35"/>
      <c r="G97" s="35"/>
      <c r="H97" s="35"/>
      <c r="I97" s="35"/>
      <c r="J97" s="35"/>
      <c r="K97" s="35"/>
      <c r="L97" s="35"/>
      <c r="M97" s="35"/>
      <c r="N97" s="35"/>
      <c r="O97" s="35"/>
      <c r="P97" s="35"/>
      <c r="Q97" s="35"/>
      <c r="R97" s="35"/>
      <c r="S97" s="54"/>
      <c r="T97" s="54"/>
      <c r="U97" s="54"/>
      <c r="V97" s="54"/>
      <c r="W97" s="35"/>
      <c r="X97" s="35"/>
      <c r="Y97" s="54"/>
      <c r="Z97" s="54"/>
      <c r="AA97" s="35"/>
      <c r="AB97" s="35"/>
      <c r="AC97" s="35"/>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1"/>
      <c r="BE97" s="124"/>
      <c r="BF97" s="124"/>
      <c r="BG97" s="124"/>
      <c r="BH97" s="124"/>
      <c r="BI97" s="124"/>
      <c r="BJ97" s="124"/>
      <c r="BK97" s="124"/>
      <c r="BL97" s="124"/>
      <c r="BM97" s="124"/>
      <c r="BN97" s="124"/>
      <c r="BO97" s="124"/>
      <c r="BP97" s="124"/>
      <c r="BQ97" s="124"/>
      <c r="BR97" s="124"/>
      <c r="BS97" s="124"/>
      <c r="BT97" s="124"/>
    </row>
    <row r="98" spans="1:72" s="123" customFormat="1" ht="15">
      <c r="A98" s="35"/>
      <c r="B98" s="35"/>
      <c r="C98" s="35"/>
      <c r="D98" s="35"/>
      <c r="E98" s="35"/>
      <c r="F98" s="35"/>
      <c r="G98" s="35"/>
      <c r="H98" s="35"/>
      <c r="I98" s="35"/>
      <c r="J98" s="35"/>
      <c r="K98" s="35"/>
      <c r="L98" s="35"/>
      <c r="M98" s="35"/>
      <c r="N98" s="35"/>
      <c r="O98" s="35"/>
      <c r="P98" s="35"/>
      <c r="Q98" s="35"/>
      <c r="R98" s="35"/>
      <c r="S98" s="54"/>
      <c r="T98" s="54"/>
      <c r="U98" s="54"/>
      <c r="V98" s="54"/>
      <c r="W98" s="35"/>
      <c r="X98" s="35"/>
      <c r="Y98" s="54"/>
      <c r="Z98" s="54"/>
      <c r="AA98" s="35"/>
      <c r="AB98" s="35"/>
      <c r="AC98" s="35"/>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1"/>
      <c r="BE98" s="124"/>
      <c r="BF98" s="124"/>
      <c r="BG98" s="124"/>
      <c r="BH98" s="124"/>
      <c r="BI98" s="124"/>
      <c r="BJ98" s="124"/>
      <c r="BK98" s="124"/>
      <c r="BL98" s="124"/>
      <c r="BM98" s="124"/>
      <c r="BN98" s="124"/>
      <c r="BO98" s="124"/>
      <c r="BP98" s="124"/>
      <c r="BQ98" s="124"/>
      <c r="BR98" s="124"/>
      <c r="BS98" s="124"/>
      <c r="BT98" s="124"/>
    </row>
    <row r="99" spans="1:72" s="123" customFormat="1" ht="15">
      <c r="A99" s="35"/>
      <c r="B99" s="35"/>
      <c r="C99" s="35"/>
      <c r="D99" s="35"/>
      <c r="E99" s="35"/>
      <c r="F99" s="35"/>
      <c r="G99" s="35"/>
      <c r="H99" s="35"/>
      <c r="I99" s="35"/>
      <c r="J99" s="35"/>
      <c r="K99" s="35"/>
      <c r="L99" s="35"/>
      <c r="M99" s="35"/>
      <c r="N99" s="35"/>
      <c r="O99" s="35"/>
      <c r="P99" s="35"/>
      <c r="Q99" s="35"/>
      <c r="R99" s="35"/>
      <c r="S99" s="54"/>
      <c r="T99" s="54"/>
      <c r="U99" s="54"/>
      <c r="V99" s="54"/>
      <c r="W99" s="35"/>
      <c r="X99" s="35"/>
      <c r="Y99" s="54"/>
      <c r="Z99" s="54"/>
      <c r="AA99" s="35"/>
      <c r="AB99" s="35"/>
      <c r="AC99" s="35"/>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1"/>
      <c r="BE99" s="124"/>
      <c r="BF99" s="124"/>
      <c r="BG99" s="124"/>
      <c r="BH99" s="124"/>
      <c r="BI99" s="124"/>
      <c r="BJ99" s="124"/>
      <c r="BK99" s="124"/>
      <c r="BL99" s="124"/>
      <c r="BM99" s="124"/>
      <c r="BN99" s="124"/>
      <c r="BO99" s="124"/>
      <c r="BP99" s="124"/>
      <c r="BQ99" s="124"/>
      <c r="BR99" s="124"/>
      <c r="BS99" s="124"/>
      <c r="BT99" s="124"/>
    </row>
    <row r="100" spans="1:72" s="123" customFormat="1" ht="15">
      <c r="A100" s="35"/>
      <c r="B100" s="35"/>
      <c r="C100" s="35"/>
      <c r="D100" s="35"/>
      <c r="E100" s="35"/>
      <c r="F100" s="35"/>
      <c r="G100" s="35"/>
      <c r="H100" s="35"/>
      <c r="I100" s="35"/>
      <c r="J100" s="35"/>
      <c r="K100" s="35"/>
      <c r="L100" s="35"/>
      <c r="M100" s="35"/>
      <c r="N100" s="35"/>
      <c r="O100" s="35"/>
      <c r="P100" s="35"/>
      <c r="Q100" s="35"/>
      <c r="R100" s="35"/>
      <c r="S100" s="54"/>
      <c r="T100" s="54"/>
      <c r="U100" s="54"/>
      <c r="V100" s="54"/>
      <c r="W100" s="35"/>
      <c r="X100" s="35"/>
      <c r="Y100" s="54"/>
      <c r="Z100" s="54"/>
      <c r="AA100" s="35"/>
      <c r="AB100" s="35"/>
      <c r="AC100" s="35"/>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1"/>
      <c r="BE100" s="124"/>
      <c r="BF100" s="124"/>
      <c r="BG100" s="124"/>
      <c r="BH100" s="124"/>
      <c r="BI100" s="124"/>
      <c r="BJ100" s="124"/>
      <c r="BK100" s="124"/>
      <c r="BL100" s="124"/>
      <c r="BM100" s="124"/>
      <c r="BN100" s="124"/>
      <c r="BO100" s="124"/>
      <c r="BP100" s="124"/>
      <c r="BQ100" s="124"/>
      <c r="BR100" s="124"/>
      <c r="BS100" s="124"/>
      <c r="BT100" s="124"/>
    </row>
    <row r="101" spans="1:72" s="123" customFormat="1" ht="15">
      <c r="A101" s="35"/>
      <c r="B101" s="35"/>
      <c r="C101" s="35"/>
      <c r="D101" s="35"/>
      <c r="E101" s="35"/>
      <c r="F101" s="35"/>
      <c r="G101" s="35"/>
      <c r="H101" s="35"/>
      <c r="I101" s="35"/>
      <c r="J101" s="35"/>
      <c r="K101" s="35"/>
      <c r="L101" s="35"/>
      <c r="M101" s="35"/>
      <c r="N101" s="35"/>
      <c r="O101" s="35"/>
      <c r="P101" s="35"/>
      <c r="Q101" s="35"/>
      <c r="R101" s="35"/>
      <c r="S101" s="54"/>
      <c r="T101" s="54"/>
      <c r="U101" s="54"/>
      <c r="V101" s="54"/>
      <c r="W101" s="35"/>
      <c r="X101" s="35"/>
      <c r="Y101" s="54"/>
      <c r="Z101" s="54"/>
      <c r="AA101" s="35"/>
      <c r="AB101" s="35"/>
      <c r="AC101" s="35"/>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1"/>
      <c r="BE101" s="124"/>
      <c r="BF101" s="124"/>
      <c r="BG101" s="124"/>
      <c r="BH101" s="124"/>
      <c r="BI101" s="124"/>
      <c r="BJ101" s="124"/>
      <c r="BK101" s="124"/>
      <c r="BL101" s="124"/>
      <c r="BM101" s="124"/>
      <c r="BN101" s="124"/>
      <c r="BO101" s="124"/>
      <c r="BP101" s="124"/>
      <c r="BQ101" s="124"/>
      <c r="BR101" s="124"/>
      <c r="BS101" s="124"/>
      <c r="BT101" s="124"/>
    </row>
    <row r="102" spans="1:72" s="123" customFormat="1" ht="15">
      <c r="A102" s="35"/>
      <c r="B102" s="35"/>
      <c r="C102" s="35"/>
      <c r="D102" s="35"/>
      <c r="E102" s="35"/>
      <c r="F102" s="35"/>
      <c r="G102" s="35"/>
      <c r="H102" s="35"/>
      <c r="I102" s="35"/>
      <c r="J102" s="35"/>
      <c r="K102" s="35"/>
      <c r="L102" s="35"/>
      <c r="M102" s="35"/>
      <c r="N102" s="35"/>
      <c r="O102" s="35"/>
      <c r="P102" s="35"/>
      <c r="Q102" s="35"/>
      <c r="R102" s="35"/>
      <c r="S102" s="54"/>
      <c r="T102" s="54"/>
      <c r="U102" s="54"/>
      <c r="V102" s="54"/>
      <c r="W102" s="35"/>
      <c r="X102" s="35"/>
      <c r="Y102" s="54"/>
      <c r="Z102" s="54"/>
      <c r="AA102" s="35"/>
      <c r="AB102" s="35"/>
      <c r="AC102" s="35"/>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1"/>
      <c r="BE102" s="124"/>
      <c r="BF102" s="124"/>
      <c r="BG102" s="124"/>
      <c r="BH102" s="124"/>
      <c r="BI102" s="124"/>
      <c r="BJ102" s="124"/>
      <c r="BK102" s="124"/>
      <c r="BL102" s="124"/>
      <c r="BM102" s="124"/>
      <c r="BN102" s="124"/>
      <c r="BO102" s="124"/>
      <c r="BP102" s="124"/>
      <c r="BQ102" s="124"/>
      <c r="BR102" s="124"/>
      <c r="BS102" s="124"/>
      <c r="BT102" s="124"/>
    </row>
    <row r="103" spans="1:72" s="123" customFormat="1" ht="15">
      <c r="A103" s="35"/>
      <c r="B103" s="35"/>
      <c r="C103" s="35"/>
      <c r="D103" s="35"/>
      <c r="E103" s="35"/>
      <c r="F103" s="35"/>
      <c r="G103" s="35"/>
      <c r="H103" s="35"/>
      <c r="I103" s="35"/>
      <c r="J103" s="35"/>
      <c r="K103" s="35"/>
      <c r="L103" s="35"/>
      <c r="M103" s="35"/>
      <c r="N103" s="35"/>
      <c r="O103" s="35"/>
      <c r="P103" s="35"/>
      <c r="Q103" s="35"/>
      <c r="R103" s="35"/>
      <c r="S103" s="54"/>
      <c r="T103" s="54"/>
      <c r="U103" s="54"/>
      <c r="V103" s="54"/>
      <c r="W103" s="35"/>
      <c r="X103" s="35"/>
      <c r="Y103" s="54"/>
      <c r="Z103" s="54"/>
      <c r="AA103" s="35"/>
      <c r="AB103" s="35"/>
      <c r="AC103" s="35"/>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1"/>
      <c r="BE103" s="124"/>
      <c r="BF103" s="124"/>
      <c r="BG103" s="124"/>
      <c r="BH103" s="124"/>
      <c r="BI103" s="124"/>
      <c r="BJ103" s="124"/>
      <c r="BK103" s="124"/>
      <c r="BL103" s="124"/>
      <c r="BM103" s="124"/>
      <c r="BN103" s="124"/>
      <c r="BO103" s="124"/>
      <c r="BP103" s="124"/>
      <c r="BQ103" s="124"/>
      <c r="BR103" s="124"/>
      <c r="BS103" s="124"/>
      <c r="BT103" s="124"/>
    </row>
    <row r="104" spans="1:72" s="123" customFormat="1" ht="15">
      <c r="A104" s="35"/>
      <c r="B104" s="35"/>
      <c r="C104" s="35"/>
      <c r="D104" s="35"/>
      <c r="E104" s="35"/>
      <c r="F104" s="35"/>
      <c r="G104" s="35"/>
      <c r="H104" s="35"/>
      <c r="I104" s="35"/>
      <c r="J104" s="35"/>
      <c r="K104" s="35"/>
      <c r="L104" s="35"/>
      <c r="M104" s="35"/>
      <c r="N104" s="35"/>
      <c r="O104" s="35"/>
      <c r="P104" s="35"/>
      <c r="Q104" s="35"/>
      <c r="R104" s="35"/>
      <c r="S104" s="54"/>
      <c r="T104" s="54"/>
      <c r="U104" s="54"/>
      <c r="V104" s="54"/>
      <c r="W104" s="35"/>
      <c r="X104" s="35"/>
      <c r="Y104" s="54"/>
      <c r="Z104" s="54"/>
      <c r="AA104" s="35"/>
      <c r="AB104" s="35"/>
      <c r="AC104" s="35"/>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1"/>
      <c r="BE104" s="124"/>
      <c r="BF104" s="124"/>
      <c r="BG104" s="124"/>
      <c r="BH104" s="124"/>
      <c r="BI104" s="124"/>
      <c r="BJ104" s="124"/>
      <c r="BK104" s="124"/>
      <c r="BL104" s="124"/>
      <c r="BM104" s="124"/>
      <c r="BN104" s="124"/>
      <c r="BO104" s="124"/>
      <c r="BP104" s="124"/>
      <c r="BQ104" s="124"/>
      <c r="BR104" s="124"/>
      <c r="BS104" s="124"/>
      <c r="BT104" s="124"/>
    </row>
    <row r="105" spans="1:72" s="123" customFormat="1" ht="15">
      <c r="A105" s="35"/>
      <c r="B105" s="35"/>
      <c r="C105" s="35"/>
      <c r="D105" s="35"/>
      <c r="E105" s="35"/>
      <c r="F105" s="35"/>
      <c r="G105" s="35"/>
      <c r="H105" s="35"/>
      <c r="I105" s="35"/>
      <c r="J105" s="35"/>
      <c r="K105" s="35"/>
      <c r="L105" s="35"/>
      <c r="M105" s="35"/>
      <c r="N105" s="35"/>
      <c r="O105" s="35"/>
      <c r="P105" s="35"/>
      <c r="Q105" s="35"/>
      <c r="R105" s="35"/>
      <c r="S105" s="54"/>
      <c r="T105" s="54"/>
      <c r="U105" s="54"/>
      <c r="V105" s="54"/>
      <c r="W105" s="35"/>
      <c r="X105" s="35"/>
      <c r="Y105" s="54"/>
      <c r="Z105" s="54"/>
      <c r="AA105" s="35"/>
      <c r="AB105" s="35"/>
      <c r="AC105" s="35"/>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1"/>
      <c r="BE105" s="124"/>
      <c r="BF105" s="124"/>
      <c r="BG105" s="124"/>
      <c r="BH105" s="124"/>
      <c r="BI105" s="124"/>
      <c r="BJ105" s="124"/>
      <c r="BK105" s="124"/>
      <c r="BL105" s="124"/>
      <c r="BM105" s="124"/>
      <c r="BN105" s="124"/>
      <c r="BO105" s="124"/>
      <c r="BP105" s="124"/>
      <c r="BQ105" s="124"/>
      <c r="BR105" s="124"/>
      <c r="BS105" s="124"/>
      <c r="BT105" s="124"/>
    </row>
    <row r="106" spans="1:72" s="123" customFormat="1" ht="15">
      <c r="A106" s="35"/>
      <c r="B106" s="35"/>
      <c r="C106" s="35"/>
      <c r="D106" s="35"/>
      <c r="E106" s="35"/>
      <c r="F106" s="35"/>
      <c r="G106" s="35"/>
      <c r="H106" s="35"/>
      <c r="I106" s="35"/>
      <c r="J106" s="35"/>
      <c r="K106" s="35"/>
      <c r="L106" s="35"/>
      <c r="M106" s="35"/>
      <c r="N106" s="35"/>
      <c r="O106" s="35"/>
      <c r="P106" s="35"/>
      <c r="Q106" s="35"/>
      <c r="R106" s="35"/>
      <c r="S106" s="54"/>
      <c r="T106" s="54"/>
      <c r="U106" s="54"/>
      <c r="V106" s="54"/>
      <c r="W106" s="35"/>
      <c r="X106" s="35"/>
      <c r="Y106" s="54"/>
      <c r="Z106" s="54"/>
      <c r="AA106" s="35"/>
      <c r="AB106" s="35"/>
      <c r="AC106" s="35"/>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1"/>
      <c r="BE106" s="124"/>
      <c r="BF106" s="124"/>
      <c r="BG106" s="124"/>
      <c r="BH106" s="124"/>
      <c r="BI106" s="124"/>
      <c r="BJ106" s="124"/>
      <c r="BK106" s="124"/>
      <c r="BL106" s="124"/>
      <c r="BM106" s="124"/>
      <c r="BN106" s="124"/>
      <c r="BO106" s="124"/>
      <c r="BP106" s="124"/>
      <c r="BQ106" s="124"/>
      <c r="BR106" s="124"/>
      <c r="BS106" s="124"/>
      <c r="BT106" s="124"/>
    </row>
    <row r="107" spans="1:72" s="123" customFormat="1" ht="15">
      <c r="A107" s="35"/>
      <c r="B107" s="35"/>
      <c r="C107" s="35"/>
      <c r="D107" s="35"/>
      <c r="E107" s="35"/>
      <c r="F107" s="35"/>
      <c r="G107" s="35"/>
      <c r="H107" s="35"/>
      <c r="I107" s="35"/>
      <c r="J107" s="35"/>
      <c r="K107" s="35"/>
      <c r="L107" s="35"/>
      <c r="M107" s="35"/>
      <c r="N107" s="35"/>
      <c r="O107" s="35"/>
      <c r="P107" s="35"/>
      <c r="Q107" s="35"/>
      <c r="R107" s="35"/>
      <c r="S107" s="54"/>
      <c r="T107" s="54"/>
      <c r="U107" s="54"/>
      <c r="V107" s="54"/>
      <c r="W107" s="35"/>
      <c r="X107" s="35"/>
      <c r="Y107" s="54"/>
      <c r="Z107" s="54"/>
      <c r="AA107" s="35"/>
      <c r="AB107" s="35"/>
      <c r="AC107" s="35"/>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1"/>
      <c r="BE107" s="124"/>
      <c r="BF107" s="124"/>
      <c r="BG107" s="124"/>
      <c r="BH107" s="124"/>
      <c r="BI107" s="124"/>
      <c r="BJ107" s="124"/>
      <c r="BK107" s="124"/>
      <c r="BL107" s="124"/>
      <c r="BM107" s="124"/>
      <c r="BN107" s="124"/>
      <c r="BO107" s="124"/>
      <c r="BP107" s="124"/>
      <c r="BQ107" s="124"/>
      <c r="BR107" s="124"/>
      <c r="BS107" s="124"/>
      <c r="BT107" s="124"/>
    </row>
    <row r="108" spans="1:72" s="123" customFormat="1" ht="15">
      <c r="A108" s="35"/>
      <c r="B108" s="35"/>
      <c r="C108" s="35"/>
      <c r="D108" s="35"/>
      <c r="E108" s="35"/>
      <c r="F108" s="35"/>
      <c r="G108" s="35"/>
      <c r="H108" s="35"/>
      <c r="I108" s="35"/>
      <c r="J108" s="35"/>
      <c r="K108" s="35"/>
      <c r="L108" s="35"/>
      <c r="M108" s="35"/>
      <c r="N108" s="35"/>
      <c r="O108" s="35"/>
      <c r="P108" s="35"/>
      <c r="Q108" s="35"/>
      <c r="R108" s="35"/>
      <c r="S108" s="54"/>
      <c r="T108" s="54"/>
      <c r="U108" s="54"/>
      <c r="V108" s="54"/>
      <c r="W108" s="35"/>
      <c r="X108" s="35"/>
      <c r="Y108" s="54"/>
      <c r="Z108" s="54"/>
      <c r="AA108" s="35"/>
      <c r="AB108" s="35"/>
      <c r="AC108" s="35"/>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1"/>
      <c r="BE108" s="124"/>
      <c r="BF108" s="124"/>
      <c r="BG108" s="124"/>
      <c r="BH108" s="124"/>
      <c r="BI108" s="124"/>
      <c r="BJ108" s="124"/>
      <c r="BK108" s="124"/>
      <c r="BL108" s="124"/>
      <c r="BM108" s="124"/>
      <c r="BN108" s="124"/>
      <c r="BO108" s="124"/>
      <c r="BP108" s="124"/>
      <c r="BQ108" s="124"/>
      <c r="BR108" s="124"/>
      <c r="BS108" s="124"/>
      <c r="BT108" s="124"/>
    </row>
    <row r="109" spans="1:72" s="123" customFormat="1" ht="15">
      <c r="A109" s="35"/>
      <c r="B109" s="35"/>
      <c r="C109" s="35"/>
      <c r="D109" s="35"/>
      <c r="E109" s="35"/>
      <c r="F109" s="35"/>
      <c r="G109" s="35"/>
      <c r="H109" s="35"/>
      <c r="I109" s="35"/>
      <c r="J109" s="35"/>
      <c r="K109" s="35"/>
      <c r="L109" s="35"/>
      <c r="M109" s="35"/>
      <c r="N109" s="35"/>
      <c r="O109" s="35"/>
      <c r="P109" s="35"/>
      <c r="Q109" s="35"/>
      <c r="R109" s="35"/>
      <c r="S109" s="54"/>
      <c r="T109" s="54"/>
      <c r="U109" s="54"/>
      <c r="V109" s="54"/>
      <c r="W109" s="35"/>
      <c r="X109" s="35"/>
      <c r="Y109" s="54"/>
      <c r="Z109" s="54"/>
      <c r="AA109" s="35"/>
      <c r="AB109" s="35"/>
      <c r="AC109" s="35"/>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1"/>
      <c r="BE109" s="124"/>
      <c r="BF109" s="124"/>
      <c r="BG109" s="124"/>
      <c r="BH109" s="124"/>
      <c r="BI109" s="124"/>
      <c r="BJ109" s="124"/>
      <c r="BK109" s="124"/>
      <c r="BL109" s="124"/>
      <c r="BM109" s="124"/>
      <c r="BN109" s="124"/>
      <c r="BO109" s="124"/>
      <c r="BP109" s="124"/>
      <c r="BQ109" s="124"/>
      <c r="BR109" s="124"/>
      <c r="BS109" s="124"/>
      <c r="BT109" s="124"/>
    </row>
    <row r="110" spans="1:72" s="123" customFormat="1" ht="15">
      <c r="A110" s="35"/>
      <c r="B110" s="35"/>
      <c r="C110" s="35"/>
      <c r="D110" s="35"/>
      <c r="E110" s="35"/>
      <c r="F110" s="35"/>
      <c r="G110" s="35"/>
      <c r="H110" s="35"/>
      <c r="I110" s="35"/>
      <c r="J110" s="35"/>
      <c r="K110" s="35"/>
      <c r="L110" s="35"/>
      <c r="M110" s="35"/>
      <c r="N110" s="35"/>
      <c r="O110" s="35"/>
      <c r="P110" s="35"/>
      <c r="Q110" s="35"/>
      <c r="R110" s="35"/>
      <c r="S110" s="54"/>
      <c r="T110" s="54"/>
      <c r="U110" s="54"/>
      <c r="V110" s="54"/>
      <c r="W110" s="35"/>
      <c r="X110" s="35"/>
      <c r="Y110" s="54"/>
      <c r="Z110" s="54"/>
      <c r="AA110" s="35"/>
      <c r="AB110" s="35"/>
      <c r="AC110" s="35"/>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1"/>
      <c r="BE110" s="124"/>
      <c r="BF110" s="124"/>
      <c r="BG110" s="124"/>
      <c r="BH110" s="124"/>
      <c r="BI110" s="124"/>
      <c r="BJ110" s="124"/>
      <c r="BK110" s="124"/>
      <c r="BL110" s="124"/>
      <c r="BM110" s="124"/>
      <c r="BN110" s="124"/>
      <c r="BO110" s="124"/>
      <c r="BP110" s="124"/>
      <c r="BQ110" s="124"/>
      <c r="BR110" s="124"/>
      <c r="BS110" s="124"/>
      <c r="BT110" s="124"/>
    </row>
    <row r="111" spans="1:72" s="123" customFormat="1" ht="15">
      <c r="A111" s="35"/>
      <c r="B111" s="35"/>
      <c r="C111" s="35"/>
      <c r="D111" s="35"/>
      <c r="E111" s="35"/>
      <c r="F111" s="35"/>
      <c r="G111" s="35"/>
      <c r="H111" s="35"/>
      <c r="I111" s="35"/>
      <c r="J111" s="35"/>
      <c r="K111" s="35"/>
      <c r="L111" s="35"/>
      <c r="M111" s="35"/>
      <c r="N111" s="35"/>
      <c r="O111" s="35"/>
      <c r="P111" s="35"/>
      <c r="Q111" s="35"/>
      <c r="R111" s="35"/>
      <c r="S111" s="54"/>
      <c r="T111" s="54"/>
      <c r="U111" s="54"/>
      <c r="V111" s="54"/>
      <c r="W111" s="35"/>
      <c r="X111" s="35"/>
      <c r="Y111" s="54"/>
      <c r="Z111" s="54"/>
      <c r="AA111" s="35"/>
      <c r="AB111" s="35"/>
      <c r="AC111" s="35"/>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1"/>
      <c r="BE111" s="124"/>
      <c r="BF111" s="124"/>
      <c r="BG111" s="124"/>
      <c r="BH111" s="124"/>
      <c r="BI111" s="124"/>
      <c r="BJ111" s="124"/>
      <c r="BK111" s="124"/>
      <c r="BL111" s="124"/>
      <c r="BM111" s="124"/>
      <c r="BN111" s="124"/>
      <c r="BO111" s="124"/>
      <c r="BP111" s="124"/>
      <c r="BQ111" s="124"/>
      <c r="BR111" s="124"/>
      <c r="BS111" s="124"/>
      <c r="BT111" s="124"/>
    </row>
    <row r="112" spans="1:72" s="123" customFormat="1" ht="15">
      <c r="A112" s="35"/>
      <c r="B112" s="35"/>
      <c r="C112" s="35"/>
      <c r="D112" s="35"/>
      <c r="E112" s="35"/>
      <c r="F112" s="35"/>
      <c r="G112" s="35"/>
      <c r="H112" s="35"/>
      <c r="I112" s="35"/>
      <c r="J112" s="35"/>
      <c r="K112" s="35"/>
      <c r="L112" s="35"/>
      <c r="M112" s="35"/>
      <c r="N112" s="35"/>
      <c r="O112" s="35"/>
      <c r="P112" s="35"/>
      <c r="Q112" s="35"/>
      <c r="R112" s="35"/>
      <c r="S112" s="54"/>
      <c r="T112" s="54"/>
      <c r="U112" s="54"/>
      <c r="V112" s="54"/>
      <c r="W112" s="35"/>
      <c r="X112" s="35"/>
      <c r="Y112" s="54"/>
      <c r="Z112" s="54"/>
      <c r="AA112" s="35"/>
      <c r="AB112" s="35"/>
      <c r="AC112" s="35"/>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1"/>
      <c r="BE112" s="124"/>
      <c r="BF112" s="124"/>
      <c r="BG112" s="124"/>
      <c r="BH112" s="124"/>
      <c r="BI112" s="124"/>
      <c r="BJ112" s="124"/>
      <c r="BK112" s="124"/>
      <c r="BL112" s="124"/>
      <c r="BM112" s="124"/>
      <c r="BN112" s="124"/>
      <c r="BO112" s="124"/>
      <c r="BP112" s="124"/>
      <c r="BQ112" s="124"/>
      <c r="BR112" s="124"/>
      <c r="BS112" s="124"/>
      <c r="BT112" s="124"/>
    </row>
    <row r="113" spans="1:72" s="123" customFormat="1" ht="15">
      <c r="A113" s="35"/>
      <c r="B113" s="35"/>
      <c r="C113" s="35"/>
      <c r="D113" s="35"/>
      <c r="E113" s="35"/>
      <c r="F113" s="35"/>
      <c r="G113" s="35"/>
      <c r="H113" s="35"/>
      <c r="I113" s="35"/>
      <c r="J113" s="35"/>
      <c r="K113" s="35"/>
      <c r="L113" s="35"/>
      <c r="M113" s="35"/>
      <c r="N113" s="35"/>
      <c r="O113" s="35"/>
      <c r="P113" s="35"/>
      <c r="Q113" s="35"/>
      <c r="R113" s="35"/>
      <c r="S113" s="54"/>
      <c r="T113" s="54"/>
      <c r="U113" s="54"/>
      <c r="V113" s="54"/>
      <c r="W113" s="35"/>
      <c r="X113" s="35"/>
      <c r="Y113" s="54"/>
      <c r="Z113" s="54"/>
      <c r="AA113" s="35"/>
      <c r="AB113" s="35"/>
      <c r="AC113" s="35"/>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1"/>
      <c r="BE113" s="124"/>
      <c r="BF113" s="124"/>
      <c r="BG113" s="124"/>
      <c r="BH113" s="124"/>
      <c r="BI113" s="124"/>
      <c r="BJ113" s="124"/>
      <c r="BK113" s="124"/>
      <c r="BL113" s="124"/>
      <c r="BM113" s="124"/>
      <c r="BN113" s="124"/>
      <c r="BO113" s="124"/>
      <c r="BP113" s="124"/>
      <c r="BQ113" s="124"/>
      <c r="BR113" s="124"/>
      <c r="BS113" s="124"/>
      <c r="BT113" s="124"/>
    </row>
    <row r="114" spans="1:72" s="123" customFormat="1" ht="15">
      <c r="A114" s="35"/>
      <c r="B114" s="35"/>
      <c r="C114" s="35"/>
      <c r="D114" s="35"/>
      <c r="E114" s="35"/>
      <c r="F114" s="35"/>
      <c r="G114" s="35"/>
      <c r="H114" s="35"/>
      <c r="I114" s="35"/>
      <c r="J114" s="35"/>
      <c r="K114" s="35"/>
      <c r="L114" s="35"/>
      <c r="M114" s="35"/>
      <c r="N114" s="35"/>
      <c r="O114" s="35"/>
      <c r="P114" s="35"/>
      <c r="Q114" s="35"/>
      <c r="R114" s="35"/>
      <c r="S114" s="54"/>
      <c r="T114" s="54"/>
      <c r="U114" s="54"/>
      <c r="V114" s="54"/>
      <c r="W114" s="35"/>
      <c r="X114" s="35"/>
      <c r="Y114" s="54"/>
      <c r="Z114" s="54"/>
      <c r="AA114" s="35"/>
      <c r="AB114" s="35"/>
      <c r="AC114" s="35"/>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1"/>
      <c r="BE114" s="124"/>
      <c r="BF114" s="124"/>
      <c r="BG114" s="124"/>
      <c r="BH114" s="124"/>
      <c r="BI114" s="124"/>
      <c r="BJ114" s="124"/>
      <c r="BK114" s="124"/>
      <c r="BL114" s="124"/>
      <c r="BM114" s="124"/>
      <c r="BN114" s="124"/>
      <c r="BO114" s="124"/>
      <c r="BP114" s="124"/>
      <c r="BQ114" s="124"/>
      <c r="BR114" s="124"/>
      <c r="BS114" s="124"/>
      <c r="BT114" s="124"/>
    </row>
    <row r="115" spans="1:72" s="123" customFormat="1" ht="15">
      <c r="A115" s="35"/>
      <c r="B115" s="35"/>
      <c r="C115" s="35"/>
      <c r="D115" s="35"/>
      <c r="E115" s="35"/>
      <c r="F115" s="35"/>
      <c r="G115" s="35"/>
      <c r="H115" s="35"/>
      <c r="I115" s="35"/>
      <c r="J115" s="35"/>
      <c r="K115" s="35"/>
      <c r="L115" s="35"/>
      <c r="M115" s="35"/>
      <c r="N115" s="35"/>
      <c r="O115" s="35"/>
      <c r="P115" s="35"/>
      <c r="Q115" s="35"/>
      <c r="R115" s="35"/>
      <c r="S115" s="54"/>
      <c r="T115" s="54"/>
      <c r="U115" s="54"/>
      <c r="V115" s="54"/>
      <c r="W115" s="35"/>
      <c r="X115" s="35"/>
      <c r="Y115" s="54"/>
      <c r="Z115" s="54"/>
      <c r="AA115" s="35"/>
      <c r="AB115" s="35"/>
      <c r="AC115" s="35"/>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1"/>
      <c r="BE115" s="124"/>
      <c r="BF115" s="124"/>
      <c r="BG115" s="124"/>
      <c r="BH115" s="124"/>
      <c r="BI115" s="124"/>
      <c r="BJ115" s="124"/>
      <c r="BK115" s="124"/>
      <c r="BL115" s="124"/>
      <c r="BM115" s="124"/>
      <c r="BN115" s="124"/>
      <c r="BO115" s="124"/>
      <c r="BP115" s="124"/>
      <c r="BQ115" s="124"/>
      <c r="BR115" s="124"/>
      <c r="BS115" s="124"/>
      <c r="BT115" s="124"/>
    </row>
    <row r="116" spans="1:72" s="123" customFormat="1" ht="15">
      <c r="A116" s="35"/>
      <c r="B116" s="35"/>
      <c r="C116" s="35"/>
      <c r="D116" s="35"/>
      <c r="E116" s="35"/>
      <c r="F116" s="35"/>
      <c r="G116" s="35"/>
      <c r="H116" s="35"/>
      <c r="I116" s="35"/>
      <c r="J116" s="35"/>
      <c r="K116" s="35"/>
      <c r="L116" s="35"/>
      <c r="M116" s="35"/>
      <c r="N116" s="35"/>
      <c r="O116" s="35"/>
      <c r="P116" s="35"/>
      <c r="Q116" s="35"/>
      <c r="R116" s="35"/>
      <c r="S116" s="54"/>
      <c r="T116" s="54"/>
      <c r="U116" s="54"/>
      <c r="V116" s="54"/>
      <c r="W116" s="35"/>
      <c r="X116" s="35"/>
      <c r="Y116" s="54"/>
      <c r="Z116" s="54"/>
      <c r="AA116" s="35"/>
      <c r="AB116" s="35"/>
      <c r="AC116" s="35"/>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1"/>
      <c r="BE116" s="124"/>
      <c r="BF116" s="124"/>
      <c r="BG116" s="124"/>
      <c r="BH116" s="124"/>
      <c r="BI116" s="124"/>
      <c r="BJ116" s="124"/>
      <c r="BK116" s="124"/>
      <c r="BL116" s="124"/>
      <c r="BM116" s="124"/>
      <c r="BN116" s="124"/>
      <c r="BO116" s="124"/>
      <c r="BP116" s="124"/>
      <c r="BQ116" s="124"/>
      <c r="BR116" s="124"/>
      <c r="BS116" s="124"/>
      <c r="BT116" s="124"/>
    </row>
    <row r="117" spans="1:72" s="123" customFormat="1" ht="15">
      <c r="A117" s="35"/>
      <c r="B117" s="35"/>
      <c r="C117" s="35"/>
      <c r="D117" s="35"/>
      <c r="E117" s="35"/>
      <c r="F117" s="35"/>
      <c r="G117" s="35"/>
      <c r="H117" s="35"/>
      <c r="I117" s="35"/>
      <c r="J117" s="35"/>
      <c r="K117" s="35"/>
      <c r="L117" s="35"/>
      <c r="M117" s="35"/>
      <c r="N117" s="35"/>
      <c r="O117" s="35"/>
      <c r="P117" s="35"/>
      <c r="Q117" s="35"/>
      <c r="R117" s="35"/>
      <c r="S117" s="54"/>
      <c r="T117" s="54"/>
      <c r="U117" s="54"/>
      <c r="V117" s="54"/>
      <c r="W117" s="35"/>
      <c r="X117" s="35"/>
      <c r="Y117" s="54"/>
      <c r="Z117" s="54"/>
      <c r="AA117" s="35"/>
      <c r="AB117" s="35"/>
      <c r="AC117" s="35"/>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1"/>
      <c r="BE117" s="124"/>
      <c r="BF117" s="124"/>
      <c r="BG117" s="124"/>
      <c r="BH117" s="124"/>
      <c r="BI117" s="124"/>
      <c r="BJ117" s="124"/>
      <c r="BK117" s="124"/>
      <c r="BL117" s="124"/>
      <c r="BM117" s="124"/>
      <c r="BN117" s="124"/>
      <c r="BO117" s="124"/>
      <c r="BP117" s="124"/>
      <c r="BQ117" s="124"/>
      <c r="BR117" s="124"/>
      <c r="BS117" s="124"/>
      <c r="BT117" s="124"/>
    </row>
    <row r="118" spans="1:72" s="123" customFormat="1" ht="15">
      <c r="A118" s="35"/>
      <c r="B118" s="35"/>
      <c r="C118" s="35"/>
      <c r="D118" s="35"/>
      <c r="E118" s="35"/>
      <c r="F118" s="35"/>
      <c r="G118" s="35"/>
      <c r="H118" s="35"/>
      <c r="I118" s="35"/>
      <c r="J118" s="35"/>
      <c r="K118" s="35"/>
      <c r="L118" s="35"/>
      <c r="M118" s="35"/>
      <c r="N118" s="35"/>
      <c r="O118" s="35"/>
      <c r="P118" s="35"/>
      <c r="Q118" s="35"/>
      <c r="R118" s="35"/>
      <c r="S118" s="54"/>
      <c r="T118" s="54"/>
      <c r="U118" s="54"/>
      <c r="V118" s="54"/>
      <c r="W118" s="35"/>
      <c r="X118" s="35"/>
      <c r="Y118" s="54"/>
      <c r="Z118" s="54"/>
      <c r="AA118" s="35"/>
      <c r="AB118" s="35"/>
      <c r="AC118" s="35"/>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1"/>
      <c r="BE118" s="124"/>
      <c r="BF118" s="124"/>
      <c r="BG118" s="124"/>
      <c r="BH118" s="124"/>
      <c r="BI118" s="124"/>
      <c r="BJ118" s="124"/>
      <c r="BK118" s="124"/>
      <c r="BL118" s="124"/>
      <c r="BM118" s="124"/>
      <c r="BN118" s="124"/>
      <c r="BO118" s="124"/>
      <c r="BP118" s="124"/>
      <c r="BQ118" s="124"/>
      <c r="BR118" s="124"/>
      <c r="BS118" s="124"/>
      <c r="BT118" s="124"/>
    </row>
    <row r="119" spans="1:72" s="123" customFormat="1" ht="15">
      <c r="A119" s="35"/>
      <c r="B119" s="35"/>
      <c r="C119" s="35"/>
      <c r="D119" s="35"/>
      <c r="E119" s="35"/>
      <c r="F119" s="35"/>
      <c r="G119" s="35"/>
      <c r="H119" s="35"/>
      <c r="I119" s="35"/>
      <c r="J119" s="35"/>
      <c r="K119" s="35"/>
      <c r="L119" s="35"/>
      <c r="M119" s="35"/>
      <c r="N119" s="35"/>
      <c r="O119" s="35"/>
      <c r="P119" s="35"/>
      <c r="Q119" s="35"/>
      <c r="R119" s="35"/>
      <c r="S119" s="54"/>
      <c r="T119" s="54"/>
      <c r="U119" s="54"/>
      <c r="V119" s="54"/>
      <c r="W119" s="35"/>
      <c r="X119" s="35"/>
      <c r="Y119" s="54"/>
      <c r="Z119" s="54"/>
      <c r="AA119" s="35"/>
      <c r="AB119" s="35"/>
      <c r="AC119" s="35"/>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1"/>
      <c r="BE119" s="124"/>
      <c r="BF119" s="124"/>
      <c r="BG119" s="124"/>
      <c r="BH119" s="124"/>
      <c r="BI119" s="124"/>
      <c r="BJ119" s="124"/>
      <c r="BK119" s="124"/>
      <c r="BL119" s="124"/>
      <c r="BM119" s="124"/>
      <c r="BN119" s="124"/>
      <c r="BO119" s="124"/>
      <c r="BP119" s="124"/>
      <c r="BQ119" s="124"/>
      <c r="BR119" s="124"/>
      <c r="BS119" s="124"/>
      <c r="BT119" s="124"/>
    </row>
    <row r="120" spans="1:72" s="123" customFormat="1" ht="15">
      <c r="A120" s="35"/>
      <c r="B120" s="35"/>
      <c r="C120" s="35"/>
      <c r="D120" s="35"/>
      <c r="E120" s="35"/>
      <c r="F120" s="35"/>
      <c r="G120" s="35"/>
      <c r="H120" s="35"/>
      <c r="I120" s="35"/>
      <c r="J120" s="35"/>
      <c r="K120" s="35"/>
      <c r="L120" s="35"/>
      <c r="M120" s="35"/>
      <c r="N120" s="35"/>
      <c r="O120" s="35"/>
      <c r="P120" s="35"/>
      <c r="Q120" s="35"/>
      <c r="R120" s="35"/>
      <c r="S120" s="54"/>
      <c r="T120" s="54"/>
      <c r="U120" s="54"/>
      <c r="V120" s="54"/>
      <c r="W120" s="35"/>
      <c r="X120" s="35"/>
      <c r="Y120" s="54"/>
      <c r="Z120" s="54"/>
      <c r="AA120" s="35"/>
      <c r="AB120" s="35"/>
      <c r="AC120" s="35"/>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1"/>
      <c r="BE120" s="124"/>
      <c r="BF120" s="124"/>
      <c r="BG120" s="124"/>
      <c r="BH120" s="124"/>
      <c r="BI120" s="124"/>
      <c r="BJ120" s="124"/>
      <c r="BK120" s="124"/>
      <c r="BL120" s="124"/>
      <c r="BM120" s="124"/>
      <c r="BN120" s="124"/>
      <c r="BO120" s="124"/>
      <c r="BP120" s="124"/>
      <c r="BQ120" s="124"/>
      <c r="BR120" s="124"/>
      <c r="BS120" s="124"/>
      <c r="BT120" s="124"/>
    </row>
    <row r="121" spans="1:72" s="123" customFormat="1" ht="15">
      <c r="A121" s="35"/>
      <c r="B121" s="35"/>
      <c r="C121" s="35"/>
      <c r="D121" s="35"/>
      <c r="E121" s="35"/>
      <c r="F121" s="35"/>
      <c r="G121" s="35"/>
      <c r="H121" s="35"/>
      <c r="I121" s="35"/>
      <c r="J121" s="35"/>
      <c r="K121" s="35"/>
      <c r="L121" s="35"/>
      <c r="M121" s="35"/>
      <c r="N121" s="35"/>
      <c r="O121" s="35"/>
      <c r="P121" s="35"/>
      <c r="Q121" s="35"/>
      <c r="R121" s="35"/>
      <c r="S121" s="54"/>
      <c r="T121" s="54"/>
      <c r="U121" s="54"/>
      <c r="V121" s="54"/>
      <c r="W121" s="35"/>
      <c r="X121" s="35"/>
      <c r="Y121" s="54"/>
      <c r="Z121" s="54"/>
      <c r="AA121" s="35"/>
      <c r="AB121" s="35"/>
      <c r="AC121" s="35"/>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1"/>
      <c r="BE121" s="124"/>
      <c r="BF121" s="124"/>
      <c r="BG121" s="124"/>
      <c r="BH121" s="124"/>
      <c r="BI121" s="124"/>
      <c r="BJ121" s="124"/>
      <c r="BK121" s="124"/>
      <c r="BL121" s="124"/>
      <c r="BM121" s="124"/>
      <c r="BN121" s="124"/>
      <c r="BO121" s="124"/>
      <c r="BP121" s="124"/>
      <c r="BQ121" s="124"/>
      <c r="BR121" s="124"/>
      <c r="BS121" s="124"/>
      <c r="BT121" s="124"/>
    </row>
    <row r="122" spans="1:72" s="123" customFormat="1" ht="15">
      <c r="A122" s="35"/>
      <c r="B122" s="35"/>
      <c r="C122" s="35"/>
      <c r="D122" s="35"/>
      <c r="E122" s="35"/>
      <c r="F122" s="35"/>
      <c r="G122" s="35"/>
      <c r="H122" s="35"/>
      <c r="I122" s="35"/>
      <c r="J122" s="35"/>
      <c r="K122" s="35"/>
      <c r="L122" s="35"/>
      <c r="M122" s="35"/>
      <c r="N122" s="35"/>
      <c r="O122" s="35"/>
      <c r="P122" s="35"/>
      <c r="Q122" s="35"/>
      <c r="R122" s="35"/>
      <c r="S122" s="54"/>
      <c r="T122" s="54"/>
      <c r="U122" s="54"/>
      <c r="V122" s="54"/>
      <c r="W122" s="35"/>
      <c r="X122" s="35"/>
      <c r="Y122" s="54"/>
      <c r="Z122" s="54"/>
      <c r="AA122" s="35"/>
      <c r="AB122" s="35"/>
      <c r="AC122" s="35"/>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1"/>
      <c r="BE122" s="124"/>
      <c r="BF122" s="124"/>
      <c r="BG122" s="124"/>
      <c r="BH122" s="124"/>
      <c r="BI122" s="124"/>
      <c r="BJ122" s="124"/>
      <c r="BK122" s="124"/>
      <c r="BL122" s="124"/>
      <c r="BM122" s="124"/>
      <c r="BN122" s="124"/>
      <c r="BO122" s="124"/>
      <c r="BP122" s="124"/>
      <c r="BQ122" s="124"/>
      <c r="BR122" s="124"/>
      <c r="BS122" s="124"/>
      <c r="BT122" s="124"/>
    </row>
    <row r="123" spans="1:72" s="123" customFormat="1" ht="15">
      <c r="A123" s="35"/>
      <c r="B123" s="35"/>
      <c r="C123" s="35"/>
      <c r="D123" s="35"/>
      <c r="E123" s="35"/>
      <c r="F123" s="35"/>
      <c r="G123" s="35"/>
      <c r="H123" s="35"/>
      <c r="I123" s="35"/>
      <c r="J123" s="35"/>
      <c r="K123" s="35"/>
      <c r="L123" s="35"/>
      <c r="M123" s="35"/>
      <c r="N123" s="35"/>
      <c r="O123" s="35"/>
      <c r="P123" s="35"/>
      <c r="Q123" s="35"/>
      <c r="R123" s="35"/>
      <c r="S123" s="54"/>
      <c r="T123" s="54"/>
      <c r="U123" s="54"/>
      <c r="V123" s="54"/>
      <c r="W123" s="35"/>
      <c r="X123" s="35"/>
      <c r="Y123" s="54"/>
      <c r="Z123" s="54"/>
      <c r="AA123" s="35"/>
      <c r="AB123" s="35"/>
      <c r="AC123" s="35"/>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1"/>
      <c r="BE123" s="124"/>
      <c r="BF123" s="124"/>
      <c r="BG123" s="124"/>
      <c r="BH123" s="124"/>
      <c r="BI123" s="124"/>
      <c r="BJ123" s="124"/>
      <c r="BK123" s="124"/>
      <c r="BL123" s="124"/>
      <c r="BM123" s="124"/>
      <c r="BN123" s="124"/>
      <c r="BO123" s="124"/>
      <c r="BP123" s="124"/>
      <c r="BQ123" s="124"/>
      <c r="BR123" s="124"/>
      <c r="BS123" s="124"/>
      <c r="BT123" s="124"/>
    </row>
    <row r="124" spans="1:72" s="123" customFormat="1" ht="15">
      <c r="A124" s="35"/>
      <c r="B124" s="35"/>
      <c r="C124" s="35"/>
      <c r="D124" s="35"/>
      <c r="E124" s="35"/>
      <c r="F124" s="35"/>
      <c r="G124" s="35"/>
      <c r="H124" s="35"/>
      <c r="I124" s="35"/>
      <c r="J124" s="35"/>
      <c r="K124" s="35"/>
      <c r="L124" s="35"/>
      <c r="M124" s="35"/>
      <c r="N124" s="35"/>
      <c r="O124" s="35"/>
      <c r="P124" s="35"/>
      <c r="Q124" s="35"/>
      <c r="R124" s="35"/>
      <c r="S124" s="54"/>
      <c r="T124" s="54"/>
      <c r="U124" s="54"/>
      <c r="V124" s="54"/>
      <c r="W124" s="35"/>
      <c r="X124" s="35"/>
      <c r="Y124" s="54"/>
      <c r="Z124" s="54"/>
      <c r="AA124" s="35"/>
      <c r="AB124" s="35"/>
      <c r="AC124" s="35"/>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1"/>
      <c r="BE124" s="124"/>
      <c r="BF124" s="124"/>
      <c r="BG124" s="124"/>
      <c r="BH124" s="124"/>
      <c r="BI124" s="124"/>
      <c r="BJ124" s="124"/>
      <c r="BK124" s="124"/>
      <c r="BL124" s="124"/>
      <c r="BM124" s="124"/>
      <c r="BN124" s="124"/>
      <c r="BO124" s="124"/>
      <c r="BP124" s="124"/>
      <c r="BQ124" s="124"/>
      <c r="BR124" s="124"/>
      <c r="BS124" s="124"/>
      <c r="BT124" s="124"/>
    </row>
    <row r="125" spans="1:72" s="123" customFormat="1" ht="15">
      <c r="A125" s="35"/>
      <c r="B125" s="35"/>
      <c r="C125" s="35"/>
      <c r="D125" s="35"/>
      <c r="E125" s="35"/>
      <c r="F125" s="35"/>
      <c r="G125" s="35"/>
      <c r="H125" s="35"/>
      <c r="I125" s="35"/>
      <c r="J125" s="35"/>
      <c r="K125" s="35"/>
      <c r="L125" s="35"/>
      <c r="M125" s="35"/>
      <c r="N125" s="35"/>
      <c r="O125" s="35"/>
      <c r="P125" s="35"/>
      <c r="Q125" s="35"/>
      <c r="R125" s="35"/>
      <c r="S125" s="54"/>
      <c r="T125" s="54"/>
      <c r="U125" s="54"/>
      <c r="V125" s="54"/>
      <c r="W125" s="35"/>
      <c r="X125" s="35"/>
      <c r="Y125" s="54"/>
      <c r="Z125" s="54"/>
      <c r="AA125" s="35"/>
      <c r="AB125" s="35"/>
      <c r="AC125" s="35"/>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1"/>
      <c r="BE125" s="124"/>
      <c r="BF125" s="124"/>
      <c r="BG125" s="124"/>
      <c r="BH125" s="124"/>
      <c r="BI125" s="124"/>
      <c r="BJ125" s="124"/>
      <c r="BK125" s="124"/>
      <c r="BL125" s="124"/>
      <c r="BM125" s="124"/>
      <c r="BN125" s="124"/>
      <c r="BO125" s="124"/>
      <c r="BP125" s="124"/>
      <c r="BQ125" s="124"/>
      <c r="BR125" s="124"/>
      <c r="BS125" s="124"/>
      <c r="BT125" s="124"/>
    </row>
    <row r="126" spans="1:72" s="123" customFormat="1" ht="15">
      <c r="A126" s="35"/>
      <c r="B126" s="35"/>
      <c r="C126" s="35"/>
      <c r="D126" s="35"/>
      <c r="E126" s="35"/>
      <c r="F126" s="35"/>
      <c r="G126" s="35"/>
      <c r="H126" s="35"/>
      <c r="I126" s="35"/>
      <c r="J126" s="35"/>
      <c r="K126" s="35"/>
      <c r="L126" s="35"/>
      <c r="M126" s="35"/>
      <c r="N126" s="35"/>
      <c r="O126" s="35"/>
      <c r="P126" s="35"/>
      <c r="Q126" s="35"/>
      <c r="R126" s="35"/>
      <c r="S126" s="54"/>
      <c r="T126" s="54"/>
      <c r="U126" s="54"/>
      <c r="V126" s="54"/>
      <c r="W126" s="35"/>
      <c r="X126" s="35"/>
      <c r="Y126" s="54"/>
      <c r="Z126" s="54"/>
      <c r="AA126" s="35"/>
      <c r="AB126" s="35"/>
      <c r="AC126" s="35"/>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1"/>
      <c r="BE126" s="124"/>
      <c r="BF126" s="124"/>
      <c r="BG126" s="124"/>
      <c r="BH126" s="124"/>
      <c r="BI126" s="124"/>
      <c r="BJ126" s="124"/>
      <c r="BK126" s="124"/>
      <c r="BL126" s="124"/>
      <c r="BM126" s="124"/>
      <c r="BN126" s="124"/>
      <c r="BO126" s="124"/>
      <c r="BP126" s="124"/>
      <c r="BQ126" s="124"/>
      <c r="BR126" s="124"/>
      <c r="BS126" s="124"/>
      <c r="BT126" s="124"/>
    </row>
    <row r="127" spans="1:72" s="123" customFormat="1" ht="15">
      <c r="A127" s="35"/>
      <c r="B127" s="35"/>
      <c r="C127" s="35"/>
      <c r="D127" s="35"/>
      <c r="E127" s="35"/>
      <c r="F127" s="35"/>
      <c r="G127" s="35"/>
      <c r="H127" s="35"/>
      <c r="I127" s="35"/>
      <c r="J127" s="35"/>
      <c r="K127" s="35"/>
      <c r="L127" s="35"/>
      <c r="M127" s="35"/>
      <c r="N127" s="35"/>
      <c r="O127" s="35"/>
      <c r="P127" s="35"/>
      <c r="Q127" s="35"/>
      <c r="R127" s="35"/>
      <c r="S127" s="54"/>
      <c r="T127" s="54"/>
      <c r="U127" s="54"/>
      <c r="V127" s="54"/>
      <c r="W127" s="35"/>
      <c r="X127" s="35"/>
      <c r="Y127" s="54"/>
      <c r="Z127" s="54"/>
      <c r="AA127" s="35"/>
      <c r="AB127" s="35"/>
      <c r="AC127" s="35"/>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1"/>
      <c r="BE127" s="124"/>
      <c r="BF127" s="124"/>
      <c r="BG127" s="124"/>
      <c r="BH127" s="124"/>
      <c r="BI127" s="124"/>
      <c r="BJ127" s="124"/>
      <c r="BK127" s="124"/>
      <c r="BL127" s="124"/>
      <c r="BM127" s="124"/>
      <c r="BN127" s="124"/>
      <c r="BO127" s="124"/>
      <c r="BP127" s="124"/>
      <c r="BQ127" s="124"/>
      <c r="BR127" s="124"/>
      <c r="BS127" s="124"/>
      <c r="BT127" s="124"/>
    </row>
    <row r="128" spans="1:72" s="123" customFormat="1" ht="15">
      <c r="A128" s="35"/>
      <c r="B128" s="35"/>
      <c r="C128" s="35"/>
      <c r="D128" s="35"/>
      <c r="E128" s="35"/>
      <c r="F128" s="35"/>
      <c r="G128" s="35"/>
      <c r="H128" s="35"/>
      <c r="I128" s="35"/>
      <c r="J128" s="35"/>
      <c r="K128" s="35"/>
      <c r="L128" s="35"/>
      <c r="M128" s="35"/>
      <c r="N128" s="35"/>
      <c r="O128" s="35"/>
      <c r="P128" s="35"/>
      <c r="Q128" s="35"/>
      <c r="R128" s="35"/>
      <c r="S128" s="54"/>
      <c r="T128" s="54"/>
      <c r="U128" s="54"/>
      <c r="V128" s="54"/>
      <c r="W128" s="35"/>
      <c r="X128" s="35"/>
      <c r="Y128" s="54"/>
      <c r="Z128" s="54"/>
      <c r="AA128" s="35"/>
      <c r="AB128" s="35"/>
      <c r="AC128" s="35"/>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1"/>
      <c r="BE128" s="124"/>
      <c r="BF128" s="124"/>
      <c r="BG128" s="124"/>
      <c r="BH128" s="124"/>
      <c r="BI128" s="124"/>
      <c r="BJ128" s="124"/>
      <c r="BK128" s="124"/>
      <c r="BL128" s="124"/>
      <c r="BM128" s="124"/>
      <c r="BN128" s="124"/>
      <c r="BO128" s="124"/>
      <c r="BP128" s="124"/>
      <c r="BQ128" s="124"/>
      <c r="BR128" s="124"/>
      <c r="BS128" s="124"/>
      <c r="BT128" s="124"/>
    </row>
    <row r="129" spans="1:72" s="123" customFormat="1" ht="15">
      <c r="A129" s="35"/>
      <c r="B129" s="35"/>
      <c r="C129" s="35"/>
      <c r="D129" s="35"/>
      <c r="E129" s="35"/>
      <c r="F129" s="35"/>
      <c r="G129" s="35"/>
      <c r="H129" s="35"/>
      <c r="I129" s="35"/>
      <c r="J129" s="35"/>
      <c r="K129" s="35"/>
      <c r="L129" s="35"/>
      <c r="M129" s="35"/>
      <c r="N129" s="35"/>
      <c r="O129" s="35"/>
      <c r="P129" s="35"/>
      <c r="Q129" s="35"/>
      <c r="R129" s="35"/>
      <c r="S129" s="54"/>
      <c r="T129" s="54"/>
      <c r="U129" s="54"/>
      <c r="V129" s="54"/>
      <c r="W129" s="35"/>
      <c r="X129" s="35"/>
      <c r="Y129" s="54"/>
      <c r="Z129" s="54"/>
      <c r="AA129" s="35"/>
      <c r="AB129" s="35"/>
      <c r="AC129" s="35"/>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1"/>
      <c r="BE129" s="124"/>
      <c r="BF129" s="124"/>
      <c r="BG129" s="124"/>
      <c r="BH129" s="124"/>
      <c r="BI129" s="124"/>
      <c r="BJ129" s="124"/>
      <c r="BK129" s="124"/>
      <c r="BL129" s="124"/>
      <c r="BM129" s="124"/>
      <c r="BN129" s="124"/>
      <c r="BO129" s="124"/>
      <c r="BP129" s="124"/>
      <c r="BQ129" s="124"/>
      <c r="BR129" s="124"/>
      <c r="BS129" s="124"/>
      <c r="BT129" s="124"/>
    </row>
    <row r="130" spans="1:72" s="123" customFormat="1" ht="15">
      <c r="A130" s="35"/>
      <c r="B130" s="35"/>
      <c r="C130" s="35"/>
      <c r="D130" s="35"/>
      <c r="E130" s="35"/>
      <c r="F130" s="35"/>
      <c r="G130" s="35"/>
      <c r="H130" s="35"/>
      <c r="I130" s="35"/>
      <c r="J130" s="35"/>
      <c r="K130" s="35"/>
      <c r="L130" s="35"/>
      <c r="M130" s="35"/>
      <c r="N130" s="35"/>
      <c r="O130" s="35"/>
      <c r="P130" s="35"/>
      <c r="Q130" s="35"/>
      <c r="R130" s="35"/>
      <c r="S130" s="54"/>
      <c r="T130" s="54"/>
      <c r="U130" s="54"/>
      <c r="V130" s="54"/>
      <c r="W130" s="35"/>
      <c r="X130" s="35"/>
      <c r="Y130" s="54"/>
      <c r="Z130" s="54"/>
      <c r="AA130" s="35"/>
      <c r="AB130" s="35"/>
      <c r="AC130" s="35"/>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1"/>
      <c r="BE130" s="124"/>
      <c r="BF130" s="124"/>
      <c r="BG130" s="124"/>
      <c r="BH130" s="124"/>
      <c r="BI130" s="124"/>
      <c r="BJ130" s="124"/>
      <c r="BK130" s="124"/>
      <c r="BL130" s="124"/>
      <c r="BM130" s="124"/>
      <c r="BN130" s="124"/>
      <c r="BO130" s="124"/>
      <c r="BP130" s="124"/>
      <c r="BQ130" s="124"/>
      <c r="BR130" s="124"/>
      <c r="BS130" s="124"/>
      <c r="BT130" s="124"/>
    </row>
    <row r="131" spans="1:72" s="123" customFormat="1" ht="15">
      <c r="A131" s="35"/>
      <c r="B131" s="35"/>
      <c r="C131" s="35"/>
      <c r="D131" s="35"/>
      <c r="E131" s="35"/>
      <c r="F131" s="35"/>
      <c r="G131" s="35"/>
      <c r="H131" s="35"/>
      <c r="I131" s="35"/>
      <c r="J131" s="35"/>
      <c r="K131" s="35"/>
      <c r="L131" s="35"/>
      <c r="M131" s="35"/>
      <c r="N131" s="35"/>
      <c r="O131" s="35"/>
      <c r="P131" s="35"/>
      <c r="Q131" s="35"/>
      <c r="R131" s="35"/>
      <c r="S131" s="54"/>
      <c r="T131" s="54"/>
      <c r="U131" s="54"/>
      <c r="V131" s="54"/>
      <c r="W131" s="35"/>
      <c r="X131" s="35"/>
      <c r="Y131" s="54"/>
      <c r="Z131" s="54"/>
      <c r="AA131" s="35"/>
      <c r="AB131" s="35"/>
      <c r="AC131" s="35"/>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1"/>
      <c r="BE131" s="124"/>
      <c r="BF131" s="124"/>
      <c r="BG131" s="124"/>
      <c r="BH131" s="124"/>
      <c r="BI131" s="124"/>
      <c r="BJ131" s="124"/>
      <c r="BK131" s="124"/>
      <c r="BL131" s="124"/>
      <c r="BM131" s="124"/>
      <c r="BN131" s="124"/>
      <c r="BO131" s="124"/>
      <c r="BP131" s="124"/>
      <c r="BQ131" s="124"/>
      <c r="BR131" s="124"/>
      <c r="BS131" s="124"/>
      <c r="BT131" s="124"/>
    </row>
    <row r="132" spans="1:72" s="123" customFormat="1" ht="15">
      <c r="A132" s="35"/>
      <c r="B132" s="35"/>
      <c r="C132" s="35"/>
      <c r="D132" s="35"/>
      <c r="E132" s="35"/>
      <c r="F132" s="35"/>
      <c r="G132" s="35"/>
      <c r="H132" s="35"/>
      <c r="I132" s="35"/>
      <c r="J132" s="35"/>
      <c r="K132" s="35"/>
      <c r="L132" s="35"/>
      <c r="M132" s="35"/>
      <c r="N132" s="35"/>
      <c r="O132" s="35"/>
      <c r="P132" s="35"/>
      <c r="Q132" s="35"/>
      <c r="R132" s="35"/>
      <c r="S132" s="54"/>
      <c r="T132" s="54"/>
      <c r="U132" s="54"/>
      <c r="V132" s="54"/>
      <c r="W132" s="35"/>
      <c r="X132" s="35"/>
      <c r="Y132" s="54"/>
      <c r="Z132" s="54"/>
      <c r="AA132" s="35"/>
      <c r="AB132" s="35"/>
      <c r="AC132" s="35"/>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1"/>
      <c r="BE132" s="124"/>
      <c r="BF132" s="124"/>
      <c r="BG132" s="124"/>
      <c r="BH132" s="124"/>
      <c r="BI132" s="124"/>
      <c r="BJ132" s="124"/>
      <c r="BK132" s="124"/>
      <c r="BL132" s="124"/>
      <c r="BM132" s="124"/>
      <c r="BN132" s="124"/>
      <c r="BO132" s="124"/>
      <c r="BP132" s="124"/>
      <c r="BQ132" s="124"/>
      <c r="BR132" s="124"/>
      <c r="BS132" s="124"/>
      <c r="BT132" s="124"/>
    </row>
    <row r="133" spans="1:72" s="123" customFormat="1" ht="15">
      <c r="A133" s="35"/>
      <c r="B133" s="35"/>
      <c r="C133" s="35"/>
      <c r="D133" s="35"/>
      <c r="E133" s="35"/>
      <c r="F133" s="35"/>
      <c r="G133" s="35"/>
      <c r="H133" s="35"/>
      <c r="I133" s="35"/>
      <c r="J133" s="35"/>
      <c r="K133" s="35"/>
      <c r="L133" s="35"/>
      <c r="M133" s="35"/>
      <c r="N133" s="35"/>
      <c r="O133" s="35"/>
      <c r="P133" s="35"/>
      <c r="Q133" s="35"/>
      <c r="R133" s="35"/>
      <c r="S133" s="54"/>
      <c r="T133" s="54"/>
      <c r="U133" s="54"/>
      <c r="V133" s="54"/>
      <c r="W133" s="35"/>
      <c r="X133" s="35"/>
      <c r="Y133" s="54"/>
      <c r="Z133" s="54"/>
      <c r="AA133" s="35"/>
      <c r="AB133" s="35"/>
      <c r="AC133" s="35"/>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1"/>
      <c r="BE133" s="124"/>
      <c r="BF133" s="124"/>
      <c r="BG133" s="124"/>
      <c r="BH133" s="124"/>
      <c r="BI133" s="124"/>
      <c r="BJ133" s="124"/>
      <c r="BK133" s="124"/>
      <c r="BL133" s="124"/>
      <c r="BM133" s="124"/>
      <c r="BN133" s="124"/>
      <c r="BO133" s="124"/>
      <c r="BP133" s="124"/>
      <c r="BQ133" s="124"/>
      <c r="BR133" s="124"/>
      <c r="BS133" s="124"/>
      <c r="BT133" s="124"/>
    </row>
    <row r="134" spans="1:72" s="123" customFormat="1" ht="15">
      <c r="A134" s="35"/>
      <c r="B134" s="35"/>
      <c r="C134" s="35"/>
      <c r="D134" s="35"/>
      <c r="E134" s="35"/>
      <c r="F134" s="35"/>
      <c r="G134" s="35"/>
      <c r="H134" s="35"/>
      <c r="I134" s="35"/>
      <c r="J134" s="35"/>
      <c r="K134" s="35"/>
      <c r="L134" s="35"/>
      <c r="M134" s="35"/>
      <c r="N134" s="35"/>
      <c r="O134" s="35"/>
      <c r="P134" s="35"/>
      <c r="Q134" s="35"/>
      <c r="R134" s="35"/>
      <c r="S134" s="54"/>
      <c r="T134" s="54"/>
      <c r="U134" s="54"/>
      <c r="V134" s="54"/>
      <c r="W134" s="35"/>
      <c r="X134" s="35"/>
      <c r="Y134" s="54"/>
      <c r="Z134" s="54"/>
      <c r="AA134" s="35"/>
      <c r="AB134" s="35"/>
      <c r="AC134" s="35"/>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1"/>
      <c r="BE134" s="124"/>
      <c r="BF134" s="124"/>
      <c r="BG134" s="124"/>
      <c r="BH134" s="124"/>
      <c r="BI134" s="124"/>
      <c r="BJ134" s="124"/>
      <c r="BK134" s="124"/>
      <c r="BL134" s="124"/>
      <c r="BM134" s="124"/>
      <c r="BN134" s="124"/>
      <c r="BO134" s="124"/>
      <c r="BP134" s="124"/>
      <c r="BQ134" s="124"/>
      <c r="BR134" s="124"/>
      <c r="BS134" s="124"/>
      <c r="BT134" s="124"/>
    </row>
    <row r="135" spans="1:72" s="123" customFormat="1" ht="15">
      <c r="A135" s="35"/>
      <c r="B135" s="35"/>
      <c r="C135" s="35"/>
      <c r="D135" s="35"/>
      <c r="E135" s="35"/>
      <c r="F135" s="35"/>
      <c r="G135" s="35"/>
      <c r="H135" s="35"/>
      <c r="I135" s="35"/>
      <c r="J135" s="35"/>
      <c r="K135" s="35"/>
      <c r="L135" s="35"/>
      <c r="M135" s="35"/>
      <c r="N135" s="35"/>
      <c r="O135" s="35"/>
      <c r="P135" s="35"/>
      <c r="Q135" s="35"/>
      <c r="R135" s="35"/>
      <c r="S135" s="54"/>
      <c r="T135" s="54"/>
      <c r="U135" s="54"/>
      <c r="V135" s="54"/>
      <c r="W135" s="35"/>
      <c r="X135" s="35"/>
      <c r="Y135" s="54"/>
      <c r="Z135" s="54"/>
      <c r="AA135" s="35"/>
      <c r="AB135" s="35"/>
      <c r="AC135" s="35"/>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1"/>
      <c r="BE135" s="124"/>
      <c r="BF135" s="124"/>
      <c r="BG135" s="124"/>
      <c r="BH135" s="124"/>
      <c r="BI135" s="124"/>
      <c r="BJ135" s="124"/>
      <c r="BK135" s="124"/>
      <c r="BL135" s="124"/>
      <c r="BM135" s="124"/>
      <c r="BN135" s="124"/>
      <c r="BO135" s="124"/>
      <c r="BP135" s="124"/>
      <c r="BQ135" s="124"/>
      <c r="BR135" s="124"/>
      <c r="BS135" s="124"/>
      <c r="BT135" s="124"/>
    </row>
    <row r="136" spans="1:72" s="123" customFormat="1" ht="15">
      <c r="A136" s="35"/>
      <c r="B136" s="35"/>
      <c r="C136" s="35"/>
      <c r="D136" s="35"/>
      <c r="E136" s="35"/>
      <c r="F136" s="35"/>
      <c r="G136" s="35"/>
      <c r="H136" s="35"/>
      <c r="I136" s="35"/>
      <c r="J136" s="35"/>
      <c r="K136" s="35"/>
      <c r="L136" s="35"/>
      <c r="M136" s="35"/>
      <c r="N136" s="35"/>
      <c r="O136" s="35"/>
      <c r="P136" s="35"/>
      <c r="Q136" s="35"/>
      <c r="R136" s="35"/>
      <c r="S136" s="54"/>
      <c r="T136" s="54"/>
      <c r="U136" s="54"/>
      <c r="V136" s="54"/>
      <c r="W136" s="35"/>
      <c r="X136" s="35"/>
      <c r="Y136" s="54"/>
      <c r="Z136" s="54"/>
      <c r="AA136" s="35"/>
      <c r="AB136" s="35"/>
      <c r="AC136" s="35"/>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1"/>
      <c r="BE136" s="124"/>
      <c r="BF136" s="124"/>
      <c r="BG136" s="124"/>
      <c r="BH136" s="124"/>
      <c r="BI136" s="124"/>
      <c r="BJ136" s="124"/>
      <c r="BK136" s="124"/>
      <c r="BL136" s="124"/>
      <c r="BM136" s="124"/>
      <c r="BN136" s="124"/>
      <c r="BO136" s="124"/>
      <c r="BP136" s="124"/>
      <c r="BQ136" s="124"/>
      <c r="BR136" s="124"/>
      <c r="BS136" s="124"/>
      <c r="BT136" s="124"/>
    </row>
    <row r="137" spans="1:72" s="123" customFormat="1" ht="15">
      <c r="A137" s="35"/>
      <c r="B137" s="35"/>
      <c r="C137" s="35"/>
      <c r="D137" s="35"/>
      <c r="E137" s="35"/>
      <c r="F137" s="35"/>
      <c r="G137" s="35"/>
      <c r="H137" s="35"/>
      <c r="I137" s="35"/>
      <c r="J137" s="35"/>
      <c r="K137" s="35"/>
      <c r="L137" s="35"/>
      <c r="M137" s="35"/>
      <c r="N137" s="35"/>
      <c r="O137" s="35"/>
      <c r="P137" s="35"/>
      <c r="Q137" s="35"/>
      <c r="R137" s="35"/>
      <c r="S137" s="54"/>
      <c r="T137" s="54"/>
      <c r="U137" s="54"/>
      <c r="V137" s="54"/>
      <c r="W137" s="35"/>
      <c r="X137" s="35"/>
      <c r="Y137" s="54"/>
      <c r="Z137" s="54"/>
      <c r="AA137" s="35"/>
      <c r="AB137" s="35"/>
      <c r="AC137" s="35"/>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1"/>
      <c r="BE137" s="124"/>
      <c r="BF137" s="124"/>
      <c r="BG137" s="124"/>
      <c r="BH137" s="124"/>
      <c r="BI137" s="124"/>
      <c r="BJ137" s="124"/>
      <c r="BK137" s="124"/>
      <c r="BL137" s="124"/>
      <c r="BM137" s="124"/>
      <c r="BN137" s="124"/>
      <c r="BO137" s="124"/>
      <c r="BP137" s="124"/>
      <c r="BQ137" s="124"/>
      <c r="BR137" s="124"/>
      <c r="BS137" s="124"/>
      <c r="BT137" s="124"/>
    </row>
    <row r="138" spans="1:72" s="123" customFormat="1" ht="15">
      <c r="A138" s="35"/>
      <c r="B138" s="35"/>
      <c r="C138" s="35"/>
      <c r="D138" s="35"/>
      <c r="E138" s="35"/>
      <c r="F138" s="35"/>
      <c r="G138" s="35"/>
      <c r="H138" s="35"/>
      <c r="I138" s="35"/>
      <c r="J138" s="35"/>
      <c r="K138" s="35"/>
      <c r="L138" s="35"/>
      <c r="M138" s="35"/>
      <c r="N138" s="35"/>
      <c r="O138" s="35"/>
      <c r="P138" s="35"/>
      <c r="Q138" s="35"/>
      <c r="R138" s="35"/>
      <c r="S138" s="54"/>
      <c r="T138" s="54"/>
      <c r="U138" s="54"/>
      <c r="V138" s="54"/>
      <c r="W138" s="35"/>
      <c r="X138" s="35"/>
      <c r="Y138" s="54"/>
      <c r="Z138" s="54"/>
      <c r="AA138" s="35"/>
      <c r="AB138" s="35"/>
      <c r="AC138" s="35"/>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1"/>
      <c r="BE138" s="124"/>
      <c r="BF138" s="124"/>
      <c r="BG138" s="124"/>
      <c r="BH138" s="124"/>
      <c r="BI138" s="124"/>
      <c r="BJ138" s="124"/>
      <c r="BK138" s="124"/>
      <c r="BL138" s="124"/>
      <c r="BM138" s="124"/>
      <c r="BN138" s="124"/>
      <c r="BO138" s="124"/>
      <c r="BP138" s="124"/>
      <c r="BQ138" s="124"/>
      <c r="BR138" s="124"/>
      <c r="BS138" s="124"/>
      <c r="BT138" s="124"/>
    </row>
    <row r="139" spans="1:72" s="123" customFormat="1" ht="15">
      <c r="A139" s="35"/>
      <c r="B139" s="35"/>
      <c r="C139" s="35"/>
      <c r="D139" s="35"/>
      <c r="E139" s="35"/>
      <c r="F139" s="35"/>
      <c r="G139" s="35"/>
      <c r="H139" s="35"/>
      <c r="I139" s="35"/>
      <c r="J139" s="35"/>
      <c r="K139" s="35"/>
      <c r="L139" s="35"/>
      <c r="M139" s="35"/>
      <c r="N139" s="35"/>
      <c r="O139" s="35"/>
      <c r="P139" s="35"/>
      <c r="Q139" s="35"/>
      <c r="R139" s="35"/>
      <c r="S139" s="54"/>
      <c r="T139" s="54"/>
      <c r="U139" s="54"/>
      <c r="V139" s="54"/>
      <c r="W139" s="35"/>
      <c r="X139" s="35"/>
      <c r="Y139" s="54"/>
      <c r="Z139" s="54"/>
      <c r="AA139" s="35"/>
      <c r="AB139" s="35"/>
      <c r="AC139" s="35"/>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1"/>
      <c r="BE139" s="124"/>
      <c r="BF139" s="124"/>
      <c r="BG139" s="124"/>
      <c r="BH139" s="124"/>
      <c r="BI139" s="124"/>
      <c r="BJ139" s="124"/>
      <c r="BK139" s="124"/>
      <c r="BL139" s="124"/>
      <c r="BM139" s="124"/>
      <c r="BN139" s="124"/>
      <c r="BO139" s="124"/>
      <c r="BP139" s="124"/>
      <c r="BQ139" s="124"/>
      <c r="BR139" s="124"/>
      <c r="BS139" s="124"/>
      <c r="BT139" s="124"/>
    </row>
    <row r="140" spans="1:72" s="123" customFormat="1" ht="15">
      <c r="A140" s="35"/>
      <c r="B140" s="35"/>
      <c r="C140" s="35"/>
      <c r="D140" s="35"/>
      <c r="E140" s="35"/>
      <c r="F140" s="35"/>
      <c r="G140" s="35"/>
      <c r="H140" s="35"/>
      <c r="I140" s="35"/>
      <c r="J140" s="35"/>
      <c r="K140" s="35"/>
      <c r="L140" s="35"/>
      <c r="M140" s="35"/>
      <c r="N140" s="35"/>
      <c r="O140" s="35"/>
      <c r="P140" s="35"/>
      <c r="Q140" s="35"/>
      <c r="R140" s="35"/>
      <c r="S140" s="54"/>
      <c r="T140" s="54"/>
      <c r="U140" s="54"/>
      <c r="V140" s="54"/>
      <c r="W140" s="35"/>
      <c r="X140" s="35"/>
      <c r="Y140" s="54"/>
      <c r="Z140" s="54"/>
      <c r="AA140" s="35"/>
      <c r="AB140" s="35"/>
      <c r="AC140" s="35"/>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1"/>
      <c r="BE140" s="124"/>
      <c r="BF140" s="124"/>
      <c r="BG140" s="124"/>
      <c r="BH140" s="124"/>
      <c r="BI140" s="124"/>
      <c r="BJ140" s="124"/>
      <c r="BK140" s="124"/>
      <c r="BL140" s="124"/>
      <c r="BM140" s="124"/>
      <c r="BN140" s="124"/>
      <c r="BO140" s="124"/>
      <c r="BP140" s="124"/>
      <c r="BQ140" s="124"/>
      <c r="BR140" s="124"/>
      <c r="BS140" s="124"/>
      <c r="BT140" s="124"/>
    </row>
    <row r="141" spans="1:72" s="123" customFormat="1" ht="15">
      <c r="A141" s="35"/>
      <c r="B141" s="35"/>
      <c r="C141" s="35"/>
      <c r="D141" s="35"/>
      <c r="E141" s="35"/>
      <c r="F141" s="35"/>
      <c r="G141" s="35"/>
      <c r="H141" s="35"/>
      <c r="I141" s="35"/>
      <c r="J141" s="35"/>
      <c r="K141" s="35"/>
      <c r="L141" s="35"/>
      <c r="M141" s="35"/>
      <c r="N141" s="35"/>
      <c r="O141" s="35"/>
      <c r="P141" s="35"/>
      <c r="Q141" s="35"/>
      <c r="R141" s="35"/>
      <c r="S141" s="54"/>
      <c r="T141" s="54"/>
      <c r="U141" s="54"/>
      <c r="V141" s="54"/>
      <c r="W141" s="35"/>
      <c r="X141" s="35"/>
      <c r="Y141" s="54"/>
      <c r="Z141" s="54"/>
      <c r="AA141" s="35"/>
      <c r="AB141" s="35"/>
      <c r="AC141" s="35"/>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1"/>
      <c r="BE141" s="124"/>
      <c r="BF141" s="124"/>
      <c r="BG141" s="124"/>
      <c r="BH141" s="124"/>
      <c r="BI141" s="124"/>
      <c r="BJ141" s="124"/>
      <c r="BK141" s="124"/>
      <c r="BL141" s="124"/>
      <c r="BM141" s="124"/>
      <c r="BN141" s="124"/>
      <c r="BO141" s="124"/>
      <c r="BP141" s="124"/>
      <c r="BQ141" s="124"/>
      <c r="BR141" s="124"/>
      <c r="BS141" s="124"/>
      <c r="BT141" s="124"/>
    </row>
    <row r="142" spans="1:72" s="123" customFormat="1" ht="15">
      <c r="A142" s="35"/>
      <c r="B142" s="35"/>
      <c r="C142" s="35"/>
      <c r="D142" s="35"/>
      <c r="E142" s="35"/>
      <c r="F142" s="35"/>
      <c r="G142" s="35"/>
      <c r="H142" s="35"/>
      <c r="I142" s="35"/>
      <c r="J142" s="35"/>
      <c r="K142" s="35"/>
      <c r="L142" s="35"/>
      <c r="M142" s="35"/>
      <c r="N142" s="35"/>
      <c r="O142" s="35"/>
      <c r="P142" s="35"/>
      <c r="Q142" s="35"/>
      <c r="R142" s="35"/>
      <c r="S142" s="54"/>
      <c r="T142" s="54"/>
      <c r="U142" s="54"/>
      <c r="V142" s="54"/>
      <c r="W142" s="35"/>
      <c r="X142" s="35"/>
      <c r="Y142" s="54"/>
      <c r="Z142" s="54"/>
      <c r="AA142" s="35"/>
      <c r="AB142" s="35"/>
      <c r="AC142" s="35"/>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1"/>
      <c r="BE142" s="124"/>
      <c r="BF142" s="124"/>
      <c r="BG142" s="124"/>
      <c r="BH142" s="124"/>
      <c r="BI142" s="124"/>
      <c r="BJ142" s="124"/>
      <c r="BK142" s="124"/>
      <c r="BL142" s="124"/>
      <c r="BM142" s="124"/>
      <c r="BN142" s="124"/>
      <c r="BO142" s="124"/>
      <c r="BP142" s="124"/>
      <c r="BQ142" s="124"/>
      <c r="BR142" s="124"/>
      <c r="BS142" s="124"/>
      <c r="BT142" s="124"/>
    </row>
    <row r="143" spans="1:72" s="123" customFormat="1" ht="15">
      <c r="A143" s="35"/>
      <c r="B143" s="35"/>
      <c r="C143" s="35"/>
      <c r="D143" s="35"/>
      <c r="E143" s="35"/>
      <c r="F143" s="35"/>
      <c r="G143" s="35"/>
      <c r="H143" s="35"/>
      <c r="I143" s="35"/>
      <c r="J143" s="35"/>
      <c r="K143" s="35"/>
      <c r="L143" s="35"/>
      <c r="M143" s="35"/>
      <c r="N143" s="35"/>
      <c r="O143" s="35"/>
      <c r="P143" s="35"/>
      <c r="Q143" s="35"/>
      <c r="R143" s="35"/>
      <c r="S143" s="54"/>
      <c r="T143" s="54"/>
      <c r="U143" s="54"/>
      <c r="V143" s="54"/>
      <c r="W143" s="35"/>
      <c r="X143" s="35"/>
      <c r="Y143" s="54"/>
      <c r="Z143" s="54"/>
      <c r="AA143" s="35"/>
      <c r="AB143" s="35"/>
      <c r="AC143" s="35"/>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1"/>
      <c r="BE143" s="124"/>
      <c r="BF143" s="124"/>
      <c r="BG143" s="124"/>
      <c r="BH143" s="124"/>
      <c r="BI143" s="124"/>
      <c r="BJ143" s="124"/>
      <c r="BK143" s="124"/>
      <c r="BL143" s="124"/>
      <c r="BM143" s="124"/>
      <c r="BN143" s="124"/>
      <c r="BO143" s="124"/>
      <c r="BP143" s="124"/>
      <c r="BQ143" s="124"/>
      <c r="BR143" s="124"/>
      <c r="BS143" s="124"/>
      <c r="BT143" s="124"/>
    </row>
    <row r="144" spans="1:72" s="123" customFormat="1" ht="15">
      <c r="A144" s="35"/>
      <c r="B144" s="35"/>
      <c r="C144" s="35"/>
      <c r="D144" s="35"/>
      <c r="E144" s="35"/>
      <c r="F144" s="35"/>
      <c r="G144" s="35"/>
      <c r="H144" s="35"/>
      <c r="I144" s="35"/>
      <c r="J144" s="35"/>
      <c r="K144" s="35"/>
      <c r="L144" s="35"/>
      <c r="M144" s="35"/>
      <c r="N144" s="35"/>
      <c r="O144" s="35"/>
      <c r="P144" s="35"/>
      <c r="Q144" s="35"/>
      <c r="R144" s="35"/>
      <c r="S144" s="54"/>
      <c r="T144" s="54"/>
      <c r="U144" s="54"/>
      <c r="V144" s="54"/>
      <c r="W144" s="35"/>
      <c r="X144" s="35"/>
      <c r="Y144" s="54"/>
      <c r="Z144" s="54"/>
      <c r="AA144" s="35"/>
      <c r="AB144" s="35"/>
      <c r="AC144" s="35"/>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1"/>
      <c r="BE144" s="124"/>
      <c r="BF144" s="124"/>
      <c r="BG144" s="124"/>
      <c r="BH144" s="124"/>
      <c r="BI144" s="124"/>
      <c r="BJ144" s="124"/>
      <c r="BK144" s="124"/>
      <c r="BL144" s="124"/>
      <c r="BM144" s="124"/>
      <c r="BN144" s="124"/>
      <c r="BO144" s="124"/>
      <c r="BP144" s="124"/>
      <c r="BQ144" s="124"/>
      <c r="BR144" s="124"/>
      <c r="BS144" s="124"/>
      <c r="BT144" s="124"/>
    </row>
    <row r="145" spans="1:72" s="123" customFormat="1" ht="15">
      <c r="A145" s="35"/>
      <c r="B145" s="35"/>
      <c r="C145" s="35"/>
      <c r="D145" s="35"/>
      <c r="E145" s="35"/>
      <c r="F145" s="35"/>
      <c r="G145" s="35"/>
      <c r="H145" s="35"/>
      <c r="I145" s="35"/>
      <c r="J145" s="35"/>
      <c r="K145" s="35"/>
      <c r="L145" s="35"/>
      <c r="M145" s="35"/>
      <c r="N145" s="35"/>
      <c r="O145" s="35"/>
      <c r="P145" s="35"/>
      <c r="Q145" s="35"/>
      <c r="R145" s="35"/>
      <c r="S145" s="54"/>
      <c r="T145" s="54"/>
      <c r="U145" s="54"/>
      <c r="V145" s="54"/>
      <c r="W145" s="35"/>
      <c r="X145" s="35"/>
      <c r="Y145" s="54"/>
      <c r="Z145" s="54"/>
      <c r="AA145" s="35"/>
      <c r="AB145" s="35"/>
      <c r="AC145" s="35"/>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1"/>
      <c r="BE145" s="124"/>
      <c r="BF145" s="124"/>
      <c r="BG145" s="124"/>
      <c r="BH145" s="124"/>
      <c r="BI145" s="124"/>
      <c r="BJ145" s="124"/>
      <c r="BK145" s="124"/>
      <c r="BL145" s="124"/>
      <c r="BM145" s="124"/>
      <c r="BN145" s="124"/>
      <c r="BO145" s="124"/>
      <c r="BP145" s="124"/>
      <c r="BQ145" s="124"/>
      <c r="BR145" s="124"/>
      <c r="BS145" s="124"/>
      <c r="BT145" s="124"/>
    </row>
    <row r="146" spans="1:72" s="123" customFormat="1" ht="15">
      <c r="A146" s="35"/>
      <c r="B146" s="35"/>
      <c r="C146" s="35"/>
      <c r="D146" s="35"/>
      <c r="E146" s="35"/>
      <c r="F146" s="35"/>
      <c r="G146" s="35"/>
      <c r="H146" s="35"/>
      <c r="I146" s="35"/>
      <c r="J146" s="35"/>
      <c r="K146" s="35"/>
      <c r="L146" s="35"/>
      <c r="M146" s="35"/>
      <c r="N146" s="35"/>
      <c r="O146" s="35"/>
      <c r="P146" s="35"/>
      <c r="Q146" s="35"/>
      <c r="R146" s="35"/>
      <c r="S146" s="54"/>
      <c r="T146" s="54"/>
      <c r="U146" s="54"/>
      <c r="V146" s="54"/>
      <c r="W146" s="35"/>
      <c r="X146" s="35"/>
      <c r="Y146" s="54"/>
      <c r="Z146" s="54"/>
      <c r="AA146" s="35"/>
      <c r="AB146" s="35"/>
      <c r="AC146" s="35"/>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1"/>
      <c r="BE146" s="124"/>
      <c r="BF146" s="124"/>
      <c r="BG146" s="124"/>
      <c r="BH146" s="124"/>
      <c r="BI146" s="124"/>
      <c r="BJ146" s="124"/>
      <c r="BK146" s="124"/>
      <c r="BL146" s="124"/>
      <c r="BM146" s="124"/>
      <c r="BN146" s="124"/>
      <c r="BO146" s="124"/>
      <c r="BP146" s="124"/>
      <c r="BQ146" s="124"/>
      <c r="BR146" s="124"/>
      <c r="BS146" s="124"/>
      <c r="BT146" s="124"/>
    </row>
    <row r="147" spans="1:72" s="123" customFormat="1" ht="15">
      <c r="A147" s="35"/>
      <c r="B147" s="35"/>
      <c r="C147" s="35"/>
      <c r="D147" s="35"/>
      <c r="E147" s="35"/>
      <c r="F147" s="35"/>
      <c r="G147" s="35"/>
      <c r="H147" s="35"/>
      <c r="I147" s="35"/>
      <c r="J147" s="35"/>
      <c r="K147" s="35"/>
      <c r="L147" s="35"/>
      <c r="M147" s="35"/>
      <c r="N147" s="35"/>
      <c r="O147" s="35"/>
      <c r="P147" s="35"/>
      <c r="Q147" s="35"/>
      <c r="R147" s="35"/>
      <c r="S147" s="54"/>
      <c r="T147" s="54"/>
      <c r="U147" s="54"/>
      <c r="V147" s="54"/>
      <c r="W147" s="35"/>
      <c r="X147" s="35"/>
      <c r="Y147" s="54"/>
      <c r="Z147" s="54"/>
      <c r="AA147" s="35"/>
      <c r="AB147" s="35"/>
      <c r="AC147" s="35"/>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1"/>
      <c r="BE147" s="124"/>
      <c r="BF147" s="124"/>
      <c r="BG147" s="124"/>
      <c r="BH147" s="124"/>
      <c r="BI147" s="124"/>
      <c r="BJ147" s="124"/>
      <c r="BK147" s="124"/>
      <c r="BL147" s="124"/>
      <c r="BM147" s="124"/>
      <c r="BN147" s="124"/>
      <c r="BO147" s="124"/>
      <c r="BP147" s="124"/>
      <c r="BQ147" s="124"/>
      <c r="BR147" s="124"/>
      <c r="BS147" s="124"/>
      <c r="BT147" s="124"/>
    </row>
    <row r="148" spans="1:72" s="123" customFormat="1" ht="15">
      <c r="A148" s="35"/>
      <c r="B148" s="35"/>
      <c r="C148" s="35"/>
      <c r="D148" s="35"/>
      <c r="E148" s="35"/>
      <c r="F148" s="35"/>
      <c r="G148" s="35"/>
      <c r="H148" s="35"/>
      <c r="I148" s="35"/>
      <c r="J148" s="35"/>
      <c r="K148" s="35"/>
      <c r="L148" s="35"/>
      <c r="M148" s="35"/>
      <c r="N148" s="35"/>
      <c r="O148" s="35"/>
      <c r="P148" s="35"/>
      <c r="Q148" s="35"/>
      <c r="R148" s="35"/>
      <c r="S148" s="54"/>
      <c r="T148" s="54"/>
      <c r="U148" s="54"/>
      <c r="V148" s="54"/>
      <c r="W148" s="35"/>
      <c r="X148" s="35"/>
      <c r="Y148" s="54"/>
      <c r="Z148" s="54"/>
      <c r="AA148" s="35"/>
      <c r="AB148" s="35"/>
      <c r="AC148" s="35"/>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1"/>
      <c r="BE148" s="124"/>
      <c r="BF148" s="124"/>
      <c r="BG148" s="124"/>
      <c r="BH148" s="124"/>
      <c r="BI148" s="124"/>
      <c r="BJ148" s="124"/>
      <c r="BK148" s="124"/>
      <c r="BL148" s="124"/>
      <c r="BM148" s="124"/>
      <c r="BN148" s="124"/>
      <c r="BO148" s="124"/>
      <c r="BP148" s="124"/>
      <c r="BQ148" s="124"/>
      <c r="BR148" s="124"/>
      <c r="BS148" s="124"/>
      <c r="BT148" s="124"/>
    </row>
    <row r="149" spans="1:72" s="123" customFormat="1" ht="15">
      <c r="A149" s="35"/>
      <c r="B149" s="35"/>
      <c r="C149" s="35"/>
      <c r="D149" s="35"/>
      <c r="E149" s="35"/>
      <c r="F149" s="35"/>
      <c r="G149" s="35"/>
      <c r="H149" s="35"/>
      <c r="I149" s="35"/>
      <c r="J149" s="35"/>
      <c r="K149" s="35"/>
      <c r="L149" s="35"/>
      <c r="M149" s="35"/>
      <c r="N149" s="35"/>
      <c r="O149" s="35"/>
      <c r="P149" s="35"/>
      <c r="Q149" s="35"/>
      <c r="R149" s="35"/>
      <c r="S149" s="54"/>
      <c r="T149" s="54"/>
      <c r="U149" s="54"/>
      <c r="V149" s="54"/>
      <c r="W149" s="35"/>
      <c r="X149" s="35"/>
      <c r="Y149" s="54"/>
      <c r="Z149" s="54"/>
      <c r="AA149" s="35"/>
      <c r="AB149" s="35"/>
      <c r="AC149" s="35"/>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1"/>
      <c r="BE149" s="124"/>
      <c r="BF149" s="124"/>
      <c r="BG149" s="124"/>
      <c r="BH149" s="124"/>
      <c r="BI149" s="124"/>
      <c r="BJ149" s="124"/>
      <c r="BK149" s="124"/>
      <c r="BL149" s="124"/>
      <c r="BM149" s="124"/>
      <c r="BN149" s="124"/>
      <c r="BO149" s="124"/>
      <c r="BP149" s="124"/>
      <c r="BQ149" s="124"/>
      <c r="BR149" s="124"/>
      <c r="BS149" s="124"/>
      <c r="BT149" s="124"/>
    </row>
    <row r="150" spans="1:72" s="123" customFormat="1" ht="15">
      <c r="A150" s="35"/>
      <c r="B150" s="35"/>
      <c r="C150" s="35"/>
      <c r="D150" s="35"/>
      <c r="E150" s="35"/>
      <c r="F150" s="35"/>
      <c r="G150" s="35"/>
      <c r="H150" s="35"/>
      <c r="I150" s="35"/>
      <c r="J150" s="35"/>
      <c r="K150" s="35"/>
      <c r="L150" s="35"/>
      <c r="M150" s="35"/>
      <c r="N150" s="35"/>
      <c r="O150" s="35"/>
      <c r="P150" s="35"/>
      <c r="Q150" s="35"/>
      <c r="R150" s="35"/>
      <c r="S150" s="54"/>
      <c r="T150" s="54"/>
      <c r="U150" s="54"/>
      <c r="V150" s="54"/>
      <c r="W150" s="35"/>
      <c r="X150" s="35"/>
      <c r="Y150" s="54"/>
      <c r="Z150" s="54"/>
      <c r="AA150" s="35"/>
      <c r="AB150" s="35"/>
      <c r="AC150" s="35"/>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1"/>
      <c r="BE150" s="124"/>
      <c r="BF150" s="124"/>
      <c r="BG150" s="124"/>
      <c r="BH150" s="124"/>
      <c r="BI150" s="124"/>
      <c r="BJ150" s="124"/>
      <c r="BK150" s="124"/>
      <c r="BL150" s="124"/>
      <c r="BM150" s="124"/>
      <c r="BN150" s="124"/>
      <c r="BO150" s="124"/>
      <c r="BP150" s="124"/>
      <c r="BQ150" s="124"/>
      <c r="BR150" s="124"/>
      <c r="BS150" s="124"/>
      <c r="BT150" s="124"/>
    </row>
    <row r="151" spans="1:72" s="123" customFormat="1" ht="15">
      <c r="A151" s="35"/>
      <c r="B151" s="35"/>
      <c r="C151" s="35"/>
      <c r="D151" s="35"/>
      <c r="E151" s="35"/>
      <c r="F151" s="35"/>
      <c r="G151" s="35"/>
      <c r="H151" s="35"/>
      <c r="I151" s="35"/>
      <c r="J151" s="35"/>
      <c r="K151" s="35"/>
      <c r="L151" s="35"/>
      <c r="M151" s="35"/>
      <c r="N151" s="35"/>
      <c r="O151" s="35"/>
      <c r="P151" s="35"/>
      <c r="Q151" s="35"/>
      <c r="R151" s="35"/>
      <c r="S151" s="54"/>
      <c r="T151" s="54"/>
      <c r="U151" s="54"/>
      <c r="V151" s="54"/>
      <c r="W151" s="35"/>
      <c r="X151" s="35"/>
      <c r="Y151" s="54"/>
      <c r="Z151" s="54"/>
      <c r="AA151" s="35"/>
      <c r="AB151" s="35"/>
      <c r="AC151" s="35"/>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1"/>
      <c r="BE151" s="124"/>
      <c r="BF151" s="124"/>
      <c r="BG151" s="124"/>
      <c r="BH151" s="124"/>
      <c r="BI151" s="124"/>
      <c r="BJ151" s="124"/>
      <c r="BK151" s="124"/>
      <c r="BL151" s="124"/>
      <c r="BM151" s="124"/>
      <c r="BN151" s="124"/>
      <c r="BO151" s="124"/>
      <c r="BP151" s="124"/>
      <c r="BQ151" s="124"/>
      <c r="BR151" s="124"/>
      <c r="BS151" s="124"/>
      <c r="BT151" s="124"/>
    </row>
    <row r="152" spans="1:72" s="123" customFormat="1" ht="15">
      <c r="A152" s="35"/>
      <c r="B152" s="35"/>
      <c r="C152" s="35"/>
      <c r="D152" s="35"/>
      <c r="E152" s="35"/>
      <c r="F152" s="35"/>
      <c r="G152" s="35"/>
      <c r="H152" s="35"/>
      <c r="I152" s="35"/>
      <c r="J152" s="35"/>
      <c r="K152" s="35"/>
      <c r="L152" s="35"/>
      <c r="M152" s="35"/>
      <c r="N152" s="35"/>
      <c r="O152" s="35"/>
      <c r="P152" s="35"/>
      <c r="Q152" s="35"/>
      <c r="R152" s="35"/>
      <c r="S152" s="54"/>
      <c r="T152" s="54"/>
      <c r="U152" s="54"/>
      <c r="V152" s="54"/>
      <c r="W152" s="35"/>
      <c r="X152" s="35"/>
      <c r="Y152" s="54"/>
      <c r="Z152" s="54"/>
      <c r="AA152" s="35"/>
      <c r="AB152" s="35"/>
      <c r="AC152" s="35"/>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1"/>
      <c r="BE152" s="124"/>
      <c r="BF152" s="124"/>
      <c r="BG152" s="124"/>
      <c r="BH152" s="124"/>
      <c r="BI152" s="124"/>
      <c r="BJ152" s="124"/>
      <c r="BK152" s="124"/>
      <c r="BL152" s="124"/>
      <c r="BM152" s="124"/>
      <c r="BN152" s="124"/>
      <c r="BO152" s="124"/>
      <c r="BP152" s="124"/>
      <c r="BQ152" s="124"/>
      <c r="BR152" s="124"/>
      <c r="BS152" s="124"/>
      <c r="BT152" s="124"/>
    </row>
    <row r="153" spans="1:72" s="123" customFormat="1" ht="15">
      <c r="A153" s="35"/>
      <c r="B153" s="35"/>
      <c r="C153" s="35"/>
      <c r="D153" s="35"/>
      <c r="E153" s="35"/>
      <c r="F153" s="35"/>
      <c r="G153" s="35"/>
      <c r="H153" s="35"/>
      <c r="I153" s="35"/>
      <c r="J153" s="35"/>
      <c r="K153" s="35"/>
      <c r="L153" s="35"/>
      <c r="M153" s="35"/>
      <c r="N153" s="35"/>
      <c r="O153" s="35"/>
      <c r="P153" s="35"/>
      <c r="Q153" s="35"/>
      <c r="R153" s="35"/>
      <c r="S153" s="54"/>
      <c r="T153" s="54"/>
      <c r="U153" s="54"/>
      <c r="V153" s="54"/>
      <c r="W153" s="35"/>
      <c r="X153" s="35"/>
      <c r="Y153" s="54"/>
      <c r="Z153" s="54"/>
      <c r="AA153" s="35"/>
      <c r="AB153" s="35"/>
      <c r="AC153" s="35"/>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1"/>
      <c r="BE153" s="124"/>
      <c r="BF153" s="124"/>
      <c r="BG153" s="124"/>
      <c r="BH153" s="124"/>
      <c r="BI153" s="124"/>
      <c r="BJ153" s="124"/>
      <c r="BK153" s="124"/>
      <c r="BL153" s="124"/>
      <c r="BM153" s="124"/>
      <c r="BN153" s="124"/>
      <c r="BO153" s="124"/>
      <c r="BP153" s="124"/>
      <c r="BQ153" s="124"/>
      <c r="BR153" s="124"/>
      <c r="BS153" s="124"/>
      <c r="BT153" s="124"/>
    </row>
    <row r="154" spans="1:72" s="123" customFormat="1" ht="15">
      <c r="A154" s="35"/>
      <c r="B154" s="35"/>
      <c r="C154" s="35"/>
      <c r="D154" s="35"/>
      <c r="E154" s="35"/>
      <c r="F154" s="35"/>
      <c r="G154" s="35"/>
      <c r="H154" s="35"/>
      <c r="I154" s="35"/>
      <c r="J154" s="35"/>
      <c r="K154" s="35"/>
      <c r="L154" s="35"/>
      <c r="M154" s="35"/>
      <c r="N154" s="35"/>
      <c r="O154" s="35"/>
      <c r="P154" s="35"/>
      <c r="Q154" s="35"/>
      <c r="R154" s="35"/>
      <c r="S154" s="54"/>
      <c r="T154" s="54"/>
      <c r="U154" s="54"/>
      <c r="V154" s="54"/>
      <c r="W154" s="35"/>
      <c r="X154" s="35"/>
      <c r="Y154" s="54"/>
      <c r="Z154" s="54"/>
      <c r="AA154" s="35"/>
      <c r="AB154" s="35"/>
      <c r="AC154" s="35"/>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1"/>
      <c r="BE154" s="124"/>
      <c r="BF154" s="124"/>
      <c r="BG154" s="124"/>
      <c r="BH154" s="124"/>
      <c r="BI154" s="124"/>
      <c r="BJ154" s="124"/>
      <c r="BK154" s="124"/>
      <c r="BL154" s="124"/>
      <c r="BM154" s="124"/>
      <c r="BN154" s="124"/>
      <c r="BO154" s="124"/>
      <c r="BP154" s="124"/>
      <c r="BQ154" s="124"/>
      <c r="BR154" s="124"/>
      <c r="BS154" s="124"/>
      <c r="BT154" s="124"/>
    </row>
    <row r="155" spans="1:72" s="123" customFormat="1" ht="15">
      <c r="A155" s="35"/>
      <c r="B155" s="35"/>
      <c r="C155" s="35"/>
      <c r="D155" s="35"/>
      <c r="E155" s="35"/>
      <c r="F155" s="35"/>
      <c r="G155" s="35"/>
      <c r="H155" s="35"/>
      <c r="I155" s="35"/>
      <c r="J155" s="35"/>
      <c r="K155" s="35"/>
      <c r="L155" s="35"/>
      <c r="M155" s="35"/>
      <c r="N155" s="35"/>
      <c r="O155" s="35"/>
      <c r="P155" s="35"/>
      <c r="Q155" s="35"/>
      <c r="R155" s="35"/>
      <c r="S155" s="54"/>
      <c r="T155" s="54"/>
      <c r="U155" s="54"/>
      <c r="V155" s="54"/>
      <c r="W155" s="35"/>
      <c r="X155" s="35"/>
      <c r="Y155" s="54"/>
      <c r="Z155" s="54"/>
      <c r="AA155" s="35"/>
      <c r="AB155" s="35"/>
      <c r="AC155" s="35"/>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1"/>
      <c r="BE155" s="124"/>
      <c r="BF155" s="124"/>
      <c r="BG155" s="124"/>
      <c r="BH155" s="124"/>
      <c r="BI155" s="124"/>
      <c r="BJ155" s="124"/>
      <c r="BK155" s="124"/>
      <c r="BL155" s="124"/>
      <c r="BM155" s="124"/>
      <c r="BN155" s="124"/>
      <c r="BO155" s="124"/>
      <c r="BP155" s="124"/>
      <c r="BQ155" s="124"/>
      <c r="BR155" s="124"/>
      <c r="BS155" s="124"/>
      <c r="BT155" s="124"/>
    </row>
    <row r="156" spans="1:72" s="123" customFormat="1" ht="15">
      <c r="A156" s="35"/>
      <c r="B156" s="35"/>
      <c r="C156" s="35"/>
      <c r="D156" s="35"/>
      <c r="E156" s="35"/>
      <c r="F156" s="35"/>
      <c r="G156" s="35"/>
      <c r="H156" s="35"/>
      <c r="I156" s="35"/>
      <c r="J156" s="35"/>
      <c r="K156" s="35"/>
      <c r="L156" s="35"/>
      <c r="M156" s="35"/>
      <c r="N156" s="35"/>
      <c r="O156" s="35"/>
      <c r="P156" s="35"/>
      <c r="Q156" s="35"/>
      <c r="R156" s="35"/>
      <c r="S156" s="54"/>
      <c r="T156" s="54"/>
      <c r="U156" s="54"/>
      <c r="V156" s="54"/>
      <c r="W156" s="35"/>
      <c r="X156" s="35"/>
      <c r="Y156" s="54"/>
      <c r="Z156" s="54"/>
      <c r="AA156" s="35"/>
      <c r="AB156" s="35"/>
      <c r="AC156" s="35"/>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1"/>
      <c r="BE156" s="124"/>
      <c r="BF156" s="124"/>
      <c r="BG156" s="124"/>
      <c r="BH156" s="124"/>
      <c r="BI156" s="124"/>
      <c r="BJ156" s="124"/>
      <c r="BK156" s="124"/>
      <c r="BL156" s="124"/>
      <c r="BM156" s="124"/>
      <c r="BN156" s="124"/>
      <c r="BO156" s="124"/>
      <c r="BP156" s="124"/>
      <c r="BQ156" s="124"/>
      <c r="BR156" s="124"/>
      <c r="BS156" s="124"/>
      <c r="BT156" s="124"/>
    </row>
    <row r="157" spans="1:72" s="123" customFormat="1" ht="15">
      <c r="A157" s="35"/>
      <c r="B157" s="35"/>
      <c r="C157" s="35"/>
      <c r="D157" s="35"/>
      <c r="E157" s="35"/>
      <c r="F157" s="35"/>
      <c r="G157" s="35"/>
      <c r="H157" s="35"/>
      <c r="I157" s="35"/>
      <c r="J157" s="35"/>
      <c r="K157" s="35"/>
      <c r="L157" s="35"/>
      <c r="M157" s="35"/>
      <c r="N157" s="35"/>
      <c r="O157" s="35"/>
      <c r="P157" s="35"/>
      <c r="Q157" s="35"/>
      <c r="R157" s="35"/>
      <c r="S157" s="54"/>
      <c r="T157" s="54"/>
      <c r="U157" s="54"/>
      <c r="V157" s="54"/>
      <c r="W157" s="35"/>
      <c r="X157" s="35"/>
      <c r="Y157" s="54"/>
      <c r="Z157" s="54"/>
      <c r="AA157" s="35"/>
      <c r="AB157" s="35"/>
      <c r="AC157" s="35"/>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1"/>
      <c r="BE157" s="124"/>
      <c r="BF157" s="124"/>
      <c r="BG157" s="124"/>
      <c r="BH157" s="124"/>
      <c r="BI157" s="124"/>
      <c r="BJ157" s="124"/>
      <c r="BK157" s="124"/>
      <c r="BL157" s="124"/>
      <c r="BM157" s="124"/>
      <c r="BN157" s="124"/>
      <c r="BO157" s="124"/>
      <c r="BP157" s="124"/>
      <c r="BQ157" s="124"/>
      <c r="BR157" s="124"/>
      <c r="BS157" s="124"/>
      <c r="BT157" s="124"/>
    </row>
    <row r="158" spans="1:72" s="123" customFormat="1" ht="15">
      <c r="A158" s="35"/>
      <c r="B158" s="35"/>
      <c r="C158" s="35"/>
      <c r="D158" s="35"/>
      <c r="E158" s="35"/>
      <c r="F158" s="35"/>
      <c r="G158" s="35"/>
      <c r="H158" s="35"/>
      <c r="I158" s="35"/>
      <c r="J158" s="35"/>
      <c r="K158" s="35"/>
      <c r="L158" s="35"/>
      <c r="M158" s="35"/>
      <c r="N158" s="35"/>
      <c r="O158" s="35"/>
      <c r="P158" s="35"/>
      <c r="Q158" s="35"/>
      <c r="R158" s="35"/>
      <c r="S158" s="54"/>
      <c r="T158" s="54"/>
      <c r="U158" s="54"/>
      <c r="V158" s="54"/>
      <c r="W158" s="35"/>
      <c r="X158" s="35"/>
      <c r="Y158" s="54"/>
      <c r="Z158" s="54"/>
      <c r="AA158" s="35"/>
      <c r="AB158" s="35"/>
      <c r="AC158" s="35"/>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1"/>
      <c r="BE158" s="124"/>
      <c r="BF158" s="124"/>
      <c r="BG158" s="124"/>
      <c r="BH158" s="124"/>
      <c r="BI158" s="124"/>
      <c r="BJ158" s="124"/>
      <c r="BK158" s="124"/>
      <c r="BL158" s="124"/>
      <c r="BM158" s="124"/>
      <c r="BN158" s="124"/>
      <c r="BO158" s="124"/>
      <c r="BP158" s="124"/>
      <c r="BQ158" s="124"/>
      <c r="BR158" s="124"/>
      <c r="BS158" s="124"/>
      <c r="BT158" s="124"/>
    </row>
    <row r="159" spans="1:72" s="123" customFormat="1" ht="15">
      <c r="A159" s="35"/>
      <c r="B159" s="35"/>
      <c r="C159" s="35"/>
      <c r="D159" s="35"/>
      <c r="E159" s="35"/>
      <c r="F159" s="35"/>
      <c r="G159" s="35"/>
      <c r="H159" s="35"/>
      <c r="I159" s="35"/>
      <c r="J159" s="35"/>
      <c r="K159" s="35"/>
      <c r="L159" s="35"/>
      <c r="M159" s="35"/>
      <c r="N159" s="35"/>
      <c r="O159" s="35"/>
      <c r="P159" s="35"/>
      <c r="Q159" s="35"/>
      <c r="R159" s="35"/>
      <c r="S159" s="54"/>
      <c r="T159" s="54"/>
      <c r="U159" s="54"/>
      <c r="V159" s="54"/>
      <c r="W159" s="35"/>
      <c r="X159" s="35"/>
      <c r="Y159" s="54"/>
      <c r="Z159" s="54"/>
      <c r="AA159" s="35"/>
      <c r="AB159" s="35"/>
      <c r="AC159" s="35"/>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1"/>
      <c r="BE159" s="124"/>
      <c r="BF159" s="124"/>
      <c r="BG159" s="124"/>
      <c r="BH159" s="124"/>
      <c r="BI159" s="124"/>
      <c r="BJ159" s="124"/>
      <c r="BK159" s="124"/>
      <c r="BL159" s="124"/>
      <c r="BM159" s="124"/>
      <c r="BN159" s="124"/>
      <c r="BO159" s="124"/>
      <c r="BP159" s="124"/>
      <c r="BQ159" s="124"/>
      <c r="BR159" s="124"/>
      <c r="BS159" s="124"/>
      <c r="BT159" s="124"/>
    </row>
    <row r="160" spans="1:72" s="123" customFormat="1" ht="15">
      <c r="A160" s="35"/>
      <c r="B160" s="35"/>
      <c r="C160" s="35"/>
      <c r="D160" s="35"/>
      <c r="E160" s="35"/>
      <c r="F160" s="35"/>
      <c r="G160" s="35"/>
      <c r="H160" s="35"/>
      <c r="I160" s="35"/>
      <c r="J160" s="35"/>
      <c r="K160" s="35"/>
      <c r="L160" s="35"/>
      <c r="M160" s="35"/>
      <c r="N160" s="35"/>
      <c r="O160" s="35"/>
      <c r="P160" s="35"/>
      <c r="Q160" s="35"/>
      <c r="R160" s="35"/>
      <c r="S160" s="54"/>
      <c r="T160" s="54"/>
      <c r="U160" s="54"/>
      <c r="V160" s="54"/>
      <c r="W160" s="35"/>
      <c r="X160" s="35"/>
      <c r="Y160" s="54"/>
      <c r="Z160" s="54"/>
      <c r="AA160" s="35"/>
      <c r="AB160" s="35"/>
      <c r="AC160" s="35"/>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1"/>
      <c r="BE160" s="124"/>
      <c r="BF160" s="124"/>
      <c r="BG160" s="124"/>
      <c r="BH160" s="124"/>
      <c r="BI160" s="124"/>
      <c r="BJ160" s="124"/>
      <c r="BK160" s="124"/>
      <c r="BL160" s="124"/>
      <c r="BM160" s="124"/>
      <c r="BN160" s="124"/>
      <c r="BO160" s="124"/>
      <c r="BP160" s="124"/>
      <c r="BQ160" s="124"/>
      <c r="BR160" s="124"/>
      <c r="BS160" s="124"/>
      <c r="BT160" s="124"/>
    </row>
    <row r="161" spans="1:72" s="123" customFormat="1" ht="15">
      <c r="A161" s="35"/>
      <c r="B161" s="35"/>
      <c r="C161" s="35"/>
      <c r="D161" s="35"/>
      <c r="E161" s="35"/>
      <c r="F161" s="35"/>
      <c r="G161" s="35"/>
      <c r="H161" s="35"/>
      <c r="I161" s="35"/>
      <c r="J161" s="35"/>
      <c r="K161" s="35"/>
      <c r="L161" s="35"/>
      <c r="M161" s="35"/>
      <c r="N161" s="35"/>
      <c r="O161" s="35"/>
      <c r="P161" s="35"/>
      <c r="Q161" s="35"/>
      <c r="R161" s="35"/>
      <c r="S161" s="54"/>
      <c r="T161" s="54"/>
      <c r="U161" s="54"/>
      <c r="V161" s="54"/>
      <c r="W161" s="35"/>
      <c r="X161" s="35"/>
      <c r="Y161" s="54"/>
      <c r="Z161" s="54"/>
      <c r="AA161" s="35"/>
      <c r="AB161" s="35"/>
      <c r="AC161" s="35"/>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1"/>
      <c r="BE161" s="124"/>
      <c r="BF161" s="124"/>
      <c r="BG161" s="124"/>
      <c r="BH161" s="124"/>
      <c r="BI161" s="124"/>
      <c r="BJ161" s="124"/>
      <c r="BK161" s="124"/>
      <c r="BL161" s="124"/>
      <c r="BM161" s="124"/>
      <c r="BN161" s="124"/>
      <c r="BO161" s="124"/>
      <c r="BP161" s="124"/>
      <c r="BQ161" s="124"/>
      <c r="BR161" s="124"/>
      <c r="BS161" s="124"/>
      <c r="BT161" s="124"/>
    </row>
    <row r="162" spans="1:72" s="123" customFormat="1" ht="15">
      <c r="A162" s="35"/>
      <c r="B162" s="35"/>
      <c r="C162" s="35"/>
      <c r="D162" s="35"/>
      <c r="E162" s="35"/>
      <c r="F162" s="35"/>
      <c r="G162" s="35"/>
      <c r="H162" s="35"/>
      <c r="I162" s="35"/>
      <c r="J162" s="35"/>
      <c r="K162" s="35"/>
      <c r="L162" s="35"/>
      <c r="M162" s="35"/>
      <c r="N162" s="35"/>
      <c r="O162" s="35"/>
      <c r="P162" s="35"/>
      <c r="Q162" s="35"/>
      <c r="R162" s="35"/>
      <c r="S162" s="54"/>
      <c r="T162" s="54"/>
      <c r="U162" s="54"/>
      <c r="V162" s="54"/>
      <c r="W162" s="35"/>
      <c r="X162" s="35"/>
      <c r="Y162" s="54"/>
      <c r="Z162" s="54"/>
      <c r="AA162" s="35"/>
      <c r="AB162" s="35"/>
      <c r="AC162" s="35"/>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1"/>
      <c r="BE162" s="124"/>
      <c r="BF162" s="124"/>
      <c r="BG162" s="124"/>
      <c r="BH162" s="124"/>
      <c r="BI162" s="124"/>
      <c r="BJ162" s="124"/>
      <c r="BK162" s="124"/>
      <c r="BL162" s="124"/>
      <c r="BM162" s="124"/>
      <c r="BN162" s="124"/>
      <c r="BO162" s="124"/>
      <c r="BP162" s="124"/>
      <c r="BQ162" s="124"/>
      <c r="BR162" s="124"/>
      <c r="BS162" s="124"/>
      <c r="BT162" s="124"/>
    </row>
    <row r="163" spans="1:72" s="123" customFormat="1" ht="15">
      <c r="A163" s="35"/>
      <c r="B163" s="35"/>
      <c r="C163" s="35"/>
      <c r="D163" s="35"/>
      <c r="E163" s="35"/>
      <c r="F163" s="35"/>
      <c r="G163" s="35"/>
      <c r="H163" s="35"/>
      <c r="I163" s="35"/>
      <c r="J163" s="35"/>
      <c r="K163" s="35"/>
      <c r="L163" s="35"/>
      <c r="M163" s="35"/>
      <c r="N163" s="35"/>
      <c r="O163" s="35"/>
      <c r="P163" s="35"/>
      <c r="Q163" s="35"/>
      <c r="R163" s="35"/>
      <c r="S163" s="54"/>
      <c r="T163" s="54"/>
      <c r="U163" s="54"/>
      <c r="V163" s="54"/>
      <c r="W163" s="35"/>
      <c r="X163" s="35"/>
      <c r="Y163" s="54"/>
      <c r="Z163" s="54"/>
      <c r="AA163" s="35"/>
      <c r="AB163" s="35"/>
      <c r="AC163" s="35"/>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1"/>
      <c r="BE163" s="124"/>
      <c r="BF163" s="124"/>
      <c r="BG163" s="124"/>
      <c r="BH163" s="124"/>
      <c r="BI163" s="124"/>
      <c r="BJ163" s="124"/>
      <c r="BK163" s="124"/>
      <c r="BL163" s="124"/>
      <c r="BM163" s="124"/>
      <c r="BN163" s="124"/>
      <c r="BO163" s="124"/>
      <c r="BP163" s="124"/>
      <c r="BQ163" s="124"/>
      <c r="BR163" s="124"/>
      <c r="BS163" s="124"/>
      <c r="BT163" s="124"/>
    </row>
    <row r="164" spans="1:72" s="123" customFormat="1" ht="15">
      <c r="A164" s="35"/>
      <c r="B164" s="35"/>
      <c r="C164" s="35"/>
      <c r="D164" s="35"/>
      <c r="E164" s="35"/>
      <c r="F164" s="35"/>
      <c r="G164" s="35"/>
      <c r="H164" s="35"/>
      <c r="I164" s="35"/>
      <c r="J164" s="35"/>
      <c r="K164" s="35"/>
      <c r="L164" s="35"/>
      <c r="M164" s="35"/>
      <c r="N164" s="35"/>
      <c r="O164" s="35"/>
      <c r="P164" s="35"/>
      <c r="Q164" s="35"/>
      <c r="R164" s="35"/>
      <c r="S164" s="54"/>
      <c r="T164" s="54"/>
      <c r="U164" s="54"/>
      <c r="V164" s="54"/>
      <c r="W164" s="35"/>
      <c r="X164" s="35"/>
      <c r="Y164" s="54"/>
      <c r="Z164" s="54"/>
      <c r="AA164" s="35"/>
      <c r="AB164" s="35"/>
      <c r="AC164" s="35"/>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1"/>
      <c r="BE164" s="124"/>
      <c r="BF164" s="124"/>
      <c r="BG164" s="124"/>
      <c r="BH164" s="124"/>
      <c r="BI164" s="124"/>
      <c r="BJ164" s="124"/>
      <c r="BK164" s="124"/>
      <c r="BL164" s="124"/>
      <c r="BM164" s="124"/>
      <c r="BN164" s="124"/>
      <c r="BO164" s="124"/>
      <c r="BP164" s="124"/>
      <c r="BQ164" s="124"/>
      <c r="BR164" s="124"/>
      <c r="BS164" s="124"/>
      <c r="BT164" s="124"/>
    </row>
    <row r="165" spans="1:72" s="123" customFormat="1" ht="15">
      <c r="A165" s="35"/>
      <c r="B165" s="35"/>
      <c r="C165" s="35"/>
      <c r="D165" s="35"/>
      <c r="E165" s="35"/>
      <c r="F165" s="35"/>
      <c r="G165" s="35"/>
      <c r="H165" s="35"/>
      <c r="I165" s="35"/>
      <c r="J165" s="35"/>
      <c r="K165" s="35"/>
      <c r="L165" s="35"/>
      <c r="M165" s="35"/>
      <c r="N165" s="35"/>
      <c r="O165" s="35"/>
      <c r="P165" s="35"/>
      <c r="Q165" s="35"/>
      <c r="R165" s="35"/>
      <c r="S165" s="54"/>
      <c r="T165" s="54"/>
      <c r="U165" s="54"/>
      <c r="V165" s="54"/>
      <c r="W165" s="35"/>
      <c r="X165" s="35"/>
      <c r="Y165" s="54"/>
      <c r="Z165" s="54"/>
      <c r="AA165" s="35"/>
      <c r="AB165" s="35"/>
      <c r="AC165" s="35"/>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1"/>
      <c r="BE165" s="124"/>
      <c r="BF165" s="124"/>
      <c r="BG165" s="124"/>
      <c r="BH165" s="124"/>
      <c r="BI165" s="124"/>
      <c r="BJ165" s="124"/>
      <c r="BK165" s="124"/>
      <c r="BL165" s="124"/>
      <c r="BM165" s="124"/>
      <c r="BN165" s="124"/>
      <c r="BO165" s="124"/>
      <c r="BP165" s="124"/>
      <c r="BQ165" s="124"/>
      <c r="BR165" s="124"/>
      <c r="BS165" s="124"/>
      <c r="BT165" s="124"/>
    </row>
    <row r="166" spans="1:72" s="123" customFormat="1" ht="15">
      <c r="A166" s="35"/>
      <c r="B166" s="35"/>
      <c r="C166" s="35"/>
      <c r="D166" s="35"/>
      <c r="E166" s="35"/>
      <c r="F166" s="35"/>
      <c r="G166" s="35"/>
      <c r="H166" s="35"/>
      <c r="I166" s="35"/>
      <c r="J166" s="35"/>
      <c r="K166" s="35"/>
      <c r="L166" s="35"/>
      <c r="M166" s="35"/>
      <c r="N166" s="35"/>
      <c r="O166" s="35"/>
      <c r="P166" s="35"/>
      <c r="Q166" s="35"/>
      <c r="R166" s="35"/>
      <c r="S166" s="54"/>
      <c r="T166" s="54"/>
      <c r="U166" s="54"/>
      <c r="V166" s="54"/>
      <c r="W166" s="35"/>
      <c r="X166" s="35"/>
      <c r="Y166" s="54"/>
      <c r="Z166" s="54"/>
      <c r="AA166" s="35"/>
      <c r="AB166" s="35"/>
      <c r="AC166" s="35"/>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1"/>
      <c r="BE166" s="124"/>
      <c r="BF166" s="124"/>
      <c r="BG166" s="124"/>
      <c r="BH166" s="124"/>
      <c r="BI166" s="124"/>
      <c r="BJ166" s="124"/>
      <c r="BK166" s="124"/>
      <c r="BL166" s="124"/>
      <c r="BM166" s="124"/>
      <c r="BN166" s="124"/>
      <c r="BO166" s="124"/>
      <c r="BP166" s="124"/>
      <c r="BQ166" s="124"/>
      <c r="BR166" s="124"/>
      <c r="BS166" s="124"/>
      <c r="BT166" s="124"/>
    </row>
    <row r="167" spans="1:72" s="123" customFormat="1" ht="15">
      <c r="A167" s="35"/>
      <c r="B167" s="35"/>
      <c r="C167" s="35"/>
      <c r="D167" s="35"/>
      <c r="E167" s="35"/>
      <c r="F167" s="35"/>
      <c r="G167" s="35"/>
      <c r="H167" s="35"/>
      <c r="I167" s="35"/>
      <c r="J167" s="35"/>
      <c r="K167" s="35"/>
      <c r="L167" s="35"/>
      <c r="M167" s="35"/>
      <c r="N167" s="35"/>
      <c r="O167" s="35"/>
      <c r="P167" s="35"/>
      <c r="Q167" s="35"/>
      <c r="R167" s="35"/>
      <c r="S167" s="54"/>
      <c r="T167" s="54"/>
      <c r="U167" s="54"/>
      <c r="V167" s="54"/>
      <c r="W167" s="35"/>
      <c r="X167" s="35"/>
      <c r="Y167" s="54"/>
      <c r="Z167" s="54"/>
      <c r="AA167" s="35"/>
      <c r="AB167" s="35"/>
      <c r="AC167" s="35"/>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1"/>
      <c r="BE167" s="124"/>
      <c r="BF167" s="124"/>
      <c r="BG167" s="124"/>
      <c r="BH167" s="124"/>
      <c r="BI167" s="124"/>
      <c r="BJ167" s="124"/>
      <c r="BK167" s="124"/>
      <c r="BL167" s="124"/>
      <c r="BM167" s="124"/>
      <c r="BN167" s="124"/>
      <c r="BO167" s="124"/>
      <c r="BP167" s="124"/>
      <c r="BQ167" s="124"/>
      <c r="BR167" s="124"/>
      <c r="BS167" s="124"/>
      <c r="BT167" s="124"/>
    </row>
    <row r="168" spans="1:72" s="123" customFormat="1" ht="15">
      <c r="A168" s="35"/>
      <c r="B168" s="35"/>
      <c r="C168" s="35"/>
      <c r="D168" s="35"/>
      <c r="E168" s="35"/>
      <c r="F168" s="35"/>
      <c r="G168" s="35"/>
      <c r="H168" s="35"/>
      <c r="I168" s="35"/>
      <c r="J168" s="35"/>
      <c r="K168" s="35"/>
      <c r="L168" s="35"/>
      <c r="M168" s="35"/>
      <c r="N168" s="35"/>
      <c r="O168" s="35"/>
      <c r="P168" s="35"/>
      <c r="Q168" s="35"/>
      <c r="R168" s="35"/>
      <c r="S168" s="54"/>
      <c r="T168" s="54"/>
      <c r="U168" s="54"/>
      <c r="V168" s="54"/>
      <c r="W168" s="35"/>
      <c r="X168" s="35"/>
      <c r="Y168" s="54"/>
      <c r="Z168" s="54"/>
      <c r="AA168" s="35"/>
      <c r="AB168" s="35"/>
      <c r="AC168" s="35"/>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1"/>
      <c r="BE168" s="124"/>
      <c r="BF168" s="124"/>
      <c r="BG168" s="124"/>
      <c r="BH168" s="124"/>
      <c r="BI168" s="124"/>
      <c r="BJ168" s="124"/>
      <c r="BK168" s="124"/>
      <c r="BL168" s="124"/>
      <c r="BM168" s="124"/>
      <c r="BN168" s="124"/>
      <c r="BO168" s="124"/>
      <c r="BP168" s="124"/>
      <c r="BQ168" s="124"/>
      <c r="BR168" s="124"/>
      <c r="BS168" s="124"/>
      <c r="BT168" s="124"/>
    </row>
    <row r="169" spans="1:72" s="123" customFormat="1" ht="15">
      <c r="A169" s="35"/>
      <c r="B169" s="35"/>
      <c r="C169" s="35"/>
      <c r="D169" s="35"/>
      <c r="E169" s="35"/>
      <c r="F169" s="35"/>
      <c r="G169" s="35"/>
      <c r="H169" s="35"/>
      <c r="I169" s="35"/>
      <c r="J169" s="35"/>
      <c r="K169" s="35"/>
      <c r="L169" s="35"/>
      <c r="M169" s="35"/>
      <c r="N169" s="35"/>
      <c r="O169" s="35"/>
      <c r="P169" s="35"/>
      <c r="Q169" s="35"/>
      <c r="R169" s="35"/>
      <c r="S169" s="54"/>
      <c r="T169" s="54"/>
      <c r="U169" s="54"/>
      <c r="V169" s="54"/>
      <c r="W169" s="35"/>
      <c r="X169" s="35"/>
      <c r="Y169" s="54"/>
      <c r="Z169" s="54"/>
      <c r="AA169" s="35"/>
      <c r="AB169" s="35"/>
      <c r="AC169" s="35"/>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1"/>
      <c r="BE169" s="124"/>
      <c r="BF169" s="124"/>
      <c r="BG169" s="124"/>
      <c r="BH169" s="124"/>
      <c r="BI169" s="124"/>
      <c r="BJ169" s="124"/>
      <c r="BK169" s="124"/>
      <c r="BL169" s="124"/>
      <c r="BM169" s="124"/>
      <c r="BN169" s="124"/>
      <c r="BO169" s="124"/>
      <c r="BP169" s="124"/>
      <c r="BQ169" s="124"/>
      <c r="BR169" s="124"/>
      <c r="BS169" s="124"/>
      <c r="BT169" s="124"/>
    </row>
    <row r="170" spans="1:72" s="123" customFormat="1" ht="15">
      <c r="A170" s="35"/>
      <c r="B170" s="35"/>
      <c r="C170" s="35"/>
      <c r="D170" s="35"/>
      <c r="E170" s="35"/>
      <c r="F170" s="35"/>
      <c r="G170" s="35"/>
      <c r="H170" s="35"/>
      <c r="I170" s="35"/>
      <c r="J170" s="35"/>
      <c r="K170" s="35"/>
      <c r="L170" s="35"/>
      <c r="M170" s="35"/>
      <c r="N170" s="35"/>
      <c r="O170" s="35"/>
      <c r="P170" s="35"/>
      <c r="Q170" s="35"/>
      <c r="R170" s="35"/>
      <c r="S170" s="54"/>
      <c r="T170" s="54"/>
      <c r="U170" s="54"/>
      <c r="V170" s="54"/>
      <c r="W170" s="35"/>
      <c r="X170" s="35"/>
      <c r="Y170" s="54"/>
      <c r="Z170" s="54"/>
      <c r="AA170" s="35"/>
      <c r="AB170" s="35"/>
      <c r="AC170" s="35"/>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1"/>
      <c r="BE170" s="124"/>
      <c r="BF170" s="124"/>
      <c r="BG170" s="124"/>
      <c r="BH170" s="124"/>
      <c r="BI170" s="124"/>
      <c r="BJ170" s="124"/>
      <c r="BK170" s="124"/>
      <c r="BL170" s="124"/>
      <c r="BM170" s="124"/>
      <c r="BN170" s="124"/>
      <c r="BO170" s="124"/>
      <c r="BP170" s="124"/>
      <c r="BQ170" s="124"/>
      <c r="BR170" s="124"/>
      <c r="BS170" s="124"/>
      <c r="BT170" s="124"/>
    </row>
    <row r="171" spans="1:72" s="123" customFormat="1" ht="15">
      <c r="A171" s="35"/>
      <c r="B171" s="35"/>
      <c r="C171" s="35"/>
      <c r="D171" s="35"/>
      <c r="E171" s="35"/>
      <c r="F171" s="35"/>
      <c r="G171" s="35"/>
      <c r="H171" s="35"/>
      <c r="I171" s="35"/>
      <c r="J171" s="35"/>
      <c r="K171" s="35"/>
      <c r="L171" s="35"/>
      <c r="M171" s="35"/>
      <c r="N171" s="35"/>
      <c r="O171" s="35"/>
      <c r="P171" s="35"/>
      <c r="Q171" s="35"/>
      <c r="R171" s="35"/>
      <c r="S171" s="54"/>
      <c r="T171" s="54"/>
      <c r="U171" s="54"/>
      <c r="V171" s="54"/>
      <c r="W171" s="35"/>
      <c r="X171" s="35"/>
      <c r="Y171" s="54"/>
      <c r="Z171" s="54"/>
      <c r="AA171" s="35"/>
      <c r="AB171" s="35"/>
      <c r="AC171" s="35"/>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1"/>
      <c r="BE171" s="124"/>
      <c r="BF171" s="124"/>
      <c r="BG171" s="124"/>
      <c r="BH171" s="124"/>
      <c r="BI171" s="124"/>
      <c r="BJ171" s="124"/>
      <c r="BK171" s="124"/>
      <c r="BL171" s="124"/>
      <c r="BM171" s="124"/>
      <c r="BN171" s="124"/>
      <c r="BO171" s="124"/>
      <c r="BP171" s="124"/>
      <c r="BQ171" s="124"/>
      <c r="BR171" s="124"/>
      <c r="BS171" s="124"/>
      <c r="BT171" s="124"/>
    </row>
    <row r="172" spans="1:72" s="123" customFormat="1" ht="15">
      <c r="A172" s="35"/>
      <c r="B172" s="35"/>
      <c r="C172" s="35"/>
      <c r="D172" s="35"/>
      <c r="E172" s="35"/>
      <c r="F172" s="35"/>
      <c r="G172" s="35"/>
      <c r="H172" s="35"/>
      <c r="I172" s="35"/>
      <c r="J172" s="35"/>
      <c r="K172" s="35"/>
      <c r="L172" s="35"/>
      <c r="M172" s="35"/>
      <c r="N172" s="35"/>
      <c r="O172" s="35"/>
      <c r="P172" s="35"/>
      <c r="Q172" s="35"/>
      <c r="R172" s="35"/>
      <c r="S172" s="54"/>
      <c r="T172" s="54"/>
      <c r="U172" s="54"/>
      <c r="V172" s="54"/>
      <c r="W172" s="35"/>
      <c r="X172" s="35"/>
      <c r="Y172" s="54"/>
      <c r="Z172" s="54"/>
      <c r="AA172" s="35"/>
      <c r="AB172" s="35"/>
      <c r="AC172" s="35"/>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1"/>
      <c r="BE172" s="124"/>
      <c r="BF172" s="124"/>
      <c r="BG172" s="124"/>
      <c r="BH172" s="124"/>
      <c r="BI172" s="124"/>
      <c r="BJ172" s="124"/>
      <c r="BK172" s="124"/>
      <c r="BL172" s="124"/>
      <c r="BM172" s="124"/>
      <c r="BN172" s="124"/>
      <c r="BO172" s="124"/>
      <c r="BP172" s="124"/>
      <c r="BQ172" s="124"/>
      <c r="BR172" s="124"/>
      <c r="BS172" s="124"/>
      <c r="BT172" s="124"/>
    </row>
    <row r="173" spans="1:72" s="123" customFormat="1" ht="15">
      <c r="A173" s="35"/>
      <c r="B173" s="35"/>
      <c r="C173" s="35"/>
      <c r="D173" s="35"/>
      <c r="E173" s="35"/>
      <c r="F173" s="35"/>
      <c r="G173" s="35"/>
      <c r="H173" s="35"/>
      <c r="I173" s="35"/>
      <c r="J173" s="35"/>
      <c r="K173" s="35"/>
      <c r="L173" s="35"/>
      <c r="M173" s="35"/>
      <c r="N173" s="35"/>
      <c r="O173" s="35"/>
      <c r="P173" s="35"/>
      <c r="Q173" s="35"/>
      <c r="R173" s="35"/>
      <c r="S173" s="54"/>
      <c r="T173" s="54"/>
      <c r="U173" s="54"/>
      <c r="V173" s="54"/>
      <c r="W173" s="35"/>
      <c r="X173" s="35"/>
      <c r="Y173" s="54"/>
      <c r="Z173" s="54"/>
      <c r="AA173" s="35"/>
      <c r="AB173" s="35"/>
      <c r="AC173" s="35"/>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1"/>
      <c r="BE173" s="124"/>
      <c r="BF173" s="124"/>
      <c r="BG173" s="124"/>
      <c r="BH173" s="124"/>
      <c r="BI173" s="124"/>
      <c r="BJ173" s="124"/>
      <c r="BK173" s="124"/>
      <c r="BL173" s="124"/>
      <c r="BM173" s="124"/>
      <c r="BN173" s="124"/>
      <c r="BO173" s="124"/>
      <c r="BP173" s="124"/>
      <c r="BQ173" s="124"/>
      <c r="BR173" s="124"/>
      <c r="BS173" s="124"/>
      <c r="BT173" s="124"/>
    </row>
    <row r="174" spans="1:72" s="123" customFormat="1" ht="15">
      <c r="A174" s="35"/>
      <c r="B174" s="35"/>
      <c r="C174" s="35"/>
      <c r="D174" s="35"/>
      <c r="E174" s="35"/>
      <c r="F174" s="35"/>
      <c r="G174" s="35"/>
      <c r="H174" s="35"/>
      <c r="I174" s="35"/>
      <c r="J174" s="35"/>
      <c r="K174" s="35"/>
      <c r="L174" s="35"/>
      <c r="M174" s="35"/>
      <c r="N174" s="35"/>
      <c r="O174" s="35"/>
      <c r="P174" s="35"/>
      <c r="Q174" s="35"/>
      <c r="R174" s="35"/>
      <c r="S174" s="54"/>
      <c r="T174" s="54"/>
      <c r="U174" s="54"/>
      <c r="V174" s="54"/>
      <c r="W174" s="35"/>
      <c r="X174" s="35"/>
      <c r="Y174" s="54"/>
      <c r="Z174" s="54"/>
      <c r="AA174" s="35"/>
      <c r="AB174" s="35"/>
      <c r="AC174" s="35"/>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1"/>
    </row>
    <row r="175" spans="1:72" s="123" customFormat="1" ht="15">
      <c r="A175" s="35"/>
      <c r="B175" s="35"/>
      <c r="C175" s="35"/>
      <c r="D175" s="35"/>
      <c r="E175" s="35"/>
      <c r="F175" s="35"/>
      <c r="G175" s="35"/>
      <c r="H175" s="35"/>
      <c r="I175" s="35"/>
      <c r="J175" s="35"/>
      <c r="K175" s="35"/>
      <c r="L175" s="35"/>
      <c r="M175" s="35"/>
      <c r="N175" s="35"/>
      <c r="O175" s="35"/>
      <c r="P175" s="35"/>
      <c r="Q175" s="35"/>
      <c r="R175" s="35"/>
      <c r="S175" s="54"/>
      <c r="T175" s="54"/>
      <c r="U175" s="54"/>
      <c r="V175" s="54"/>
      <c r="W175" s="35"/>
      <c r="X175" s="35"/>
      <c r="Y175" s="54"/>
      <c r="Z175" s="54"/>
      <c r="AA175" s="35"/>
      <c r="AB175" s="35"/>
      <c r="AC175" s="35"/>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1"/>
    </row>
    <row r="176" spans="1:72" s="123" customFormat="1" ht="15">
      <c r="A176" s="35"/>
      <c r="B176" s="35"/>
      <c r="C176" s="35"/>
      <c r="D176" s="35"/>
      <c r="E176" s="35"/>
      <c r="F176" s="35"/>
      <c r="G176" s="35"/>
      <c r="H176" s="35"/>
      <c r="I176" s="35"/>
      <c r="J176" s="35"/>
      <c r="K176" s="35"/>
      <c r="L176" s="35"/>
      <c r="M176" s="35"/>
      <c r="N176" s="35"/>
      <c r="O176" s="35"/>
      <c r="P176" s="35"/>
      <c r="Q176" s="35"/>
      <c r="R176" s="35"/>
      <c r="S176" s="54"/>
      <c r="T176" s="54"/>
      <c r="U176" s="54"/>
      <c r="V176" s="54"/>
      <c r="W176" s="35"/>
      <c r="X176" s="35"/>
      <c r="Y176" s="54"/>
      <c r="Z176" s="54"/>
      <c r="AA176" s="35"/>
      <c r="AB176" s="35"/>
      <c r="AC176" s="35"/>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1"/>
    </row>
    <row r="177" spans="1:72" s="123" customFormat="1" ht="15">
      <c r="A177" s="35"/>
      <c r="B177" s="35"/>
      <c r="C177" s="35"/>
      <c r="D177" s="35"/>
      <c r="E177" s="35"/>
      <c r="F177" s="35"/>
      <c r="G177" s="35"/>
      <c r="H177" s="35"/>
      <c r="I177" s="35"/>
      <c r="J177" s="35"/>
      <c r="K177" s="35"/>
      <c r="L177" s="35"/>
      <c r="M177" s="35"/>
      <c r="N177" s="35"/>
      <c r="O177" s="35"/>
      <c r="P177" s="35"/>
      <c r="Q177" s="35"/>
      <c r="R177" s="35"/>
      <c r="S177" s="54"/>
      <c r="T177" s="54"/>
      <c r="U177" s="54"/>
      <c r="V177" s="54"/>
      <c r="W177" s="35"/>
      <c r="X177" s="35"/>
      <c r="Y177" s="54"/>
      <c r="Z177" s="54"/>
      <c r="AA177" s="35"/>
      <c r="AB177" s="35"/>
      <c r="AC177" s="35"/>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1"/>
    </row>
    <row r="178" spans="1:72" s="123" customFormat="1" ht="15">
      <c r="A178" s="35"/>
      <c r="B178" s="35"/>
      <c r="C178" s="35"/>
      <c r="D178" s="35"/>
      <c r="E178" s="35"/>
      <c r="F178" s="35"/>
      <c r="G178" s="35"/>
      <c r="H178" s="35"/>
      <c r="I178" s="35"/>
      <c r="J178" s="35"/>
      <c r="K178" s="35"/>
      <c r="L178" s="35"/>
      <c r="M178" s="35"/>
      <c r="N178" s="35"/>
      <c r="O178" s="35"/>
      <c r="P178" s="35"/>
      <c r="Q178" s="35"/>
      <c r="R178" s="35"/>
      <c r="S178" s="54"/>
      <c r="T178" s="54"/>
      <c r="U178" s="54"/>
      <c r="V178" s="54"/>
      <c r="W178" s="35"/>
      <c r="X178" s="35"/>
      <c r="Y178" s="54"/>
      <c r="Z178" s="54"/>
      <c r="AA178" s="35"/>
      <c r="AB178" s="35"/>
      <c r="AC178" s="35"/>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1"/>
      <c r="BE178" s="124"/>
      <c r="BF178" s="124"/>
      <c r="BG178" s="124"/>
      <c r="BH178" s="124"/>
      <c r="BI178" s="124"/>
      <c r="BJ178" s="124"/>
      <c r="BK178" s="124"/>
      <c r="BL178" s="124"/>
      <c r="BM178" s="124"/>
      <c r="BN178" s="124"/>
      <c r="BO178" s="124"/>
      <c r="BP178" s="124"/>
      <c r="BQ178" s="124"/>
      <c r="BR178" s="124"/>
      <c r="BS178" s="124"/>
      <c r="BT178" s="124"/>
    </row>
    <row r="179" spans="1:72" s="123" customFormat="1" ht="15">
      <c r="A179" s="35"/>
      <c r="B179" s="35"/>
      <c r="C179" s="35"/>
      <c r="D179" s="35"/>
      <c r="E179" s="35"/>
      <c r="F179" s="35"/>
      <c r="G179" s="35"/>
      <c r="H179" s="35"/>
      <c r="I179" s="35"/>
      <c r="J179" s="35"/>
      <c r="K179" s="35"/>
      <c r="L179" s="35"/>
      <c r="M179" s="35"/>
      <c r="N179" s="35"/>
      <c r="O179" s="35"/>
      <c r="P179" s="35"/>
      <c r="Q179" s="35"/>
      <c r="R179" s="35"/>
      <c r="S179" s="54"/>
      <c r="T179" s="54"/>
      <c r="U179" s="54"/>
      <c r="V179" s="54"/>
      <c r="W179" s="35"/>
      <c r="X179" s="35"/>
      <c r="Y179" s="54"/>
      <c r="Z179" s="54"/>
      <c r="AA179" s="35"/>
      <c r="AB179" s="35"/>
      <c r="AC179" s="35"/>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1"/>
      <c r="BE179" s="124"/>
      <c r="BF179" s="124"/>
      <c r="BG179" s="124"/>
      <c r="BH179" s="124"/>
      <c r="BI179" s="124"/>
      <c r="BJ179" s="124"/>
      <c r="BK179" s="124"/>
      <c r="BL179" s="124"/>
      <c r="BM179" s="124"/>
      <c r="BN179" s="124"/>
      <c r="BO179" s="124"/>
      <c r="BP179" s="124"/>
      <c r="BQ179" s="124"/>
      <c r="BR179" s="124"/>
      <c r="BS179" s="124"/>
      <c r="BT179" s="124"/>
    </row>
    <row r="180" spans="1:72" s="123" customFormat="1" ht="15">
      <c r="A180" s="35"/>
      <c r="B180" s="35"/>
      <c r="C180" s="35"/>
      <c r="D180" s="35"/>
      <c r="E180" s="35"/>
      <c r="F180" s="35"/>
      <c r="G180" s="35"/>
      <c r="H180" s="35"/>
      <c r="I180" s="35"/>
      <c r="J180" s="35"/>
      <c r="K180" s="35"/>
      <c r="L180" s="35"/>
      <c r="M180" s="35"/>
      <c r="N180" s="35"/>
      <c r="O180" s="35"/>
      <c r="P180" s="35"/>
      <c r="Q180" s="35"/>
      <c r="R180" s="35"/>
      <c r="S180" s="54"/>
      <c r="T180" s="54"/>
      <c r="U180" s="54"/>
      <c r="V180" s="54"/>
      <c r="W180" s="35"/>
      <c r="X180" s="35"/>
      <c r="Y180" s="54"/>
      <c r="Z180" s="54"/>
      <c r="AA180" s="35"/>
      <c r="AB180" s="35"/>
      <c r="AC180" s="35"/>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1"/>
      <c r="BE180" s="124"/>
      <c r="BF180" s="124"/>
      <c r="BG180" s="124"/>
      <c r="BH180" s="124"/>
      <c r="BI180" s="124"/>
      <c r="BJ180" s="124"/>
      <c r="BK180" s="124"/>
      <c r="BL180" s="124"/>
      <c r="BM180" s="124"/>
      <c r="BN180" s="124"/>
      <c r="BO180" s="124"/>
      <c r="BP180" s="124"/>
      <c r="BQ180" s="124"/>
      <c r="BR180" s="124"/>
      <c r="BS180" s="124"/>
      <c r="BT180" s="124"/>
    </row>
    <row r="181" spans="1:72" s="123" customFormat="1" ht="15">
      <c r="A181" s="35"/>
      <c r="B181" s="35"/>
      <c r="C181" s="35"/>
      <c r="D181" s="35"/>
      <c r="E181" s="35"/>
      <c r="F181" s="35"/>
      <c r="G181" s="35"/>
      <c r="H181" s="35"/>
      <c r="I181" s="35"/>
      <c r="J181" s="35"/>
      <c r="K181" s="35"/>
      <c r="L181" s="35"/>
      <c r="M181" s="35"/>
      <c r="N181" s="35"/>
      <c r="O181" s="35"/>
      <c r="P181" s="35"/>
      <c r="Q181" s="35"/>
      <c r="R181" s="35"/>
      <c r="S181" s="54"/>
      <c r="T181" s="54"/>
      <c r="U181" s="54"/>
      <c r="V181" s="54"/>
      <c r="W181" s="35"/>
      <c r="X181" s="35"/>
      <c r="Y181" s="54"/>
      <c r="Z181" s="54"/>
      <c r="AA181" s="35"/>
      <c r="AB181" s="35"/>
      <c r="AC181" s="35"/>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1"/>
      <c r="BE181" s="124"/>
      <c r="BF181" s="124"/>
      <c r="BG181" s="124"/>
      <c r="BH181" s="124"/>
      <c r="BI181" s="124"/>
      <c r="BJ181" s="124"/>
      <c r="BK181" s="124"/>
      <c r="BL181" s="124"/>
      <c r="BM181" s="124"/>
      <c r="BN181" s="124"/>
      <c r="BO181" s="124"/>
      <c r="BP181" s="124"/>
      <c r="BQ181" s="124"/>
      <c r="BR181" s="124"/>
      <c r="BS181" s="124"/>
      <c r="BT181" s="124"/>
    </row>
    <row r="182" spans="1:72" s="123" customFormat="1" ht="15">
      <c r="A182" s="35"/>
      <c r="B182" s="35"/>
      <c r="C182" s="35"/>
      <c r="D182" s="35"/>
      <c r="E182" s="35"/>
      <c r="F182" s="35"/>
      <c r="G182" s="35"/>
      <c r="H182" s="35"/>
      <c r="I182" s="35"/>
      <c r="J182" s="35"/>
      <c r="K182" s="35"/>
      <c r="L182" s="35"/>
      <c r="M182" s="35"/>
      <c r="N182" s="35"/>
      <c r="O182" s="35"/>
      <c r="P182" s="35"/>
      <c r="Q182" s="35"/>
      <c r="R182" s="35"/>
      <c r="S182" s="54"/>
      <c r="T182" s="54"/>
      <c r="U182" s="54"/>
      <c r="V182" s="54"/>
      <c r="W182" s="35"/>
      <c r="X182" s="35"/>
      <c r="Y182" s="54"/>
      <c r="Z182" s="54"/>
      <c r="AA182" s="35"/>
      <c r="AB182" s="35"/>
      <c r="AC182" s="35"/>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1"/>
      <c r="BE182" s="124"/>
      <c r="BF182" s="124"/>
      <c r="BG182" s="124"/>
      <c r="BH182" s="124"/>
      <c r="BI182" s="124"/>
      <c r="BJ182" s="124"/>
      <c r="BK182" s="124"/>
      <c r="BL182" s="124"/>
      <c r="BM182" s="124"/>
      <c r="BN182" s="124"/>
      <c r="BO182" s="124"/>
      <c r="BP182" s="124"/>
      <c r="BQ182" s="124"/>
      <c r="BR182" s="124"/>
      <c r="BS182" s="124"/>
      <c r="BT182" s="124"/>
    </row>
    <row r="183" spans="1:72" s="123" customFormat="1" ht="15">
      <c r="A183" s="35"/>
      <c r="B183" s="35"/>
      <c r="C183" s="35"/>
      <c r="D183" s="35"/>
      <c r="E183" s="35"/>
      <c r="F183" s="35"/>
      <c r="G183" s="35"/>
      <c r="H183" s="35"/>
      <c r="I183" s="35"/>
      <c r="J183" s="35"/>
      <c r="K183" s="35"/>
      <c r="L183" s="35"/>
      <c r="M183" s="35"/>
      <c r="N183" s="35"/>
      <c r="O183" s="35"/>
      <c r="P183" s="35"/>
      <c r="Q183" s="35"/>
      <c r="R183" s="35"/>
      <c r="S183" s="54"/>
      <c r="T183" s="54"/>
      <c r="U183" s="54"/>
      <c r="V183" s="54"/>
      <c r="W183" s="35"/>
      <c r="X183" s="35"/>
      <c r="Y183" s="54"/>
      <c r="Z183" s="54"/>
      <c r="AA183" s="35"/>
      <c r="AB183" s="35"/>
      <c r="AC183" s="35"/>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1"/>
      <c r="BE183" s="124"/>
      <c r="BF183" s="124"/>
      <c r="BG183" s="124"/>
      <c r="BH183" s="124"/>
      <c r="BI183" s="124"/>
      <c r="BJ183" s="124"/>
      <c r="BK183" s="124"/>
      <c r="BL183" s="124"/>
      <c r="BM183" s="124"/>
      <c r="BN183" s="124"/>
      <c r="BO183" s="124"/>
      <c r="BP183" s="124"/>
      <c r="BQ183" s="124"/>
      <c r="BR183" s="124"/>
      <c r="BS183" s="124"/>
      <c r="BT183" s="124"/>
    </row>
    <row r="184" spans="1:72" s="123" customFormat="1" ht="15">
      <c r="A184" s="35"/>
      <c r="B184" s="35"/>
      <c r="C184" s="35"/>
      <c r="D184" s="35"/>
      <c r="E184" s="35"/>
      <c r="F184" s="35"/>
      <c r="G184" s="35"/>
      <c r="H184" s="35"/>
      <c r="I184" s="35"/>
      <c r="J184" s="35"/>
      <c r="K184" s="35"/>
      <c r="L184" s="35"/>
      <c r="M184" s="35"/>
      <c r="N184" s="35"/>
      <c r="O184" s="35"/>
      <c r="P184" s="35"/>
      <c r="Q184" s="35"/>
      <c r="R184" s="35"/>
      <c r="S184" s="54"/>
      <c r="T184" s="54"/>
      <c r="U184" s="54"/>
      <c r="V184" s="54"/>
      <c r="W184" s="35"/>
      <c r="X184" s="35"/>
      <c r="Y184" s="54"/>
      <c r="Z184" s="54"/>
      <c r="AA184" s="35"/>
      <c r="AB184" s="35"/>
      <c r="AC184" s="35"/>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1"/>
      <c r="BE184" s="124"/>
      <c r="BF184" s="124"/>
      <c r="BG184" s="124"/>
      <c r="BH184" s="124"/>
      <c r="BI184" s="124"/>
      <c r="BJ184" s="124"/>
      <c r="BK184" s="124"/>
      <c r="BL184" s="124"/>
      <c r="BM184" s="124"/>
      <c r="BN184" s="124"/>
      <c r="BO184" s="124"/>
      <c r="BP184" s="124"/>
      <c r="BQ184" s="124"/>
      <c r="BR184" s="124"/>
      <c r="BS184" s="124"/>
      <c r="BT184" s="124"/>
    </row>
    <row r="185" spans="1:72" s="123" customFormat="1" ht="15">
      <c r="A185" s="35"/>
      <c r="B185" s="35"/>
      <c r="C185" s="35"/>
      <c r="D185" s="35"/>
      <c r="E185" s="35"/>
      <c r="F185" s="35"/>
      <c r="G185" s="35"/>
      <c r="H185" s="35"/>
      <c r="I185" s="35"/>
      <c r="J185" s="35"/>
      <c r="K185" s="35"/>
      <c r="L185" s="35"/>
      <c r="M185" s="35"/>
      <c r="N185" s="35"/>
      <c r="O185" s="35"/>
      <c r="P185" s="35"/>
      <c r="Q185" s="35"/>
      <c r="R185" s="35"/>
      <c r="S185" s="54"/>
      <c r="T185" s="54"/>
      <c r="U185" s="54"/>
      <c r="V185" s="54"/>
      <c r="W185" s="35"/>
      <c r="X185" s="35"/>
      <c r="Y185" s="54"/>
      <c r="Z185" s="54"/>
      <c r="AA185" s="35"/>
      <c r="AB185" s="35"/>
      <c r="AC185" s="35"/>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1"/>
      <c r="BE185" s="124"/>
      <c r="BF185" s="124"/>
      <c r="BG185" s="124"/>
      <c r="BH185" s="124"/>
      <c r="BI185" s="124"/>
      <c r="BJ185" s="124"/>
      <c r="BK185" s="124"/>
      <c r="BL185" s="124"/>
      <c r="BM185" s="124"/>
      <c r="BN185" s="124"/>
      <c r="BO185" s="124"/>
      <c r="BP185" s="124"/>
      <c r="BQ185" s="124"/>
      <c r="BR185" s="124"/>
      <c r="BS185" s="124"/>
      <c r="BT185" s="124"/>
    </row>
    <row r="186" spans="1:72" s="123" customFormat="1" ht="15">
      <c r="A186" s="35"/>
      <c r="B186" s="35"/>
      <c r="C186" s="35"/>
      <c r="D186" s="35"/>
      <c r="E186" s="35"/>
      <c r="F186" s="35"/>
      <c r="G186" s="35"/>
      <c r="H186" s="35"/>
      <c r="I186" s="35"/>
      <c r="J186" s="35"/>
      <c r="K186" s="35"/>
      <c r="L186" s="35"/>
      <c r="M186" s="35"/>
      <c r="N186" s="35"/>
      <c r="O186" s="35"/>
      <c r="P186" s="35"/>
      <c r="Q186" s="35"/>
      <c r="R186" s="35"/>
      <c r="S186" s="54"/>
      <c r="T186" s="54"/>
      <c r="U186" s="54"/>
      <c r="V186" s="54"/>
      <c r="W186" s="35"/>
      <c r="X186" s="35"/>
      <c r="Y186" s="54"/>
      <c r="Z186" s="54"/>
      <c r="AA186" s="35"/>
      <c r="AB186" s="35"/>
      <c r="AC186" s="35"/>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1"/>
      <c r="BE186" s="124"/>
      <c r="BF186" s="124"/>
      <c r="BG186" s="124"/>
      <c r="BH186" s="124"/>
      <c r="BI186" s="124"/>
      <c r="BJ186" s="124"/>
      <c r="BK186" s="124"/>
      <c r="BL186" s="124"/>
      <c r="BM186" s="124"/>
      <c r="BN186" s="124"/>
      <c r="BO186" s="124"/>
      <c r="BP186" s="124"/>
      <c r="BQ186" s="124"/>
      <c r="BR186" s="124"/>
      <c r="BS186" s="124"/>
      <c r="BT186" s="124"/>
    </row>
  </sheetData>
  <mergeCells count="99">
    <mergeCell ref="I25:AS26"/>
    <mergeCell ref="AN29:AS30"/>
    <mergeCell ref="A5:BA5"/>
    <mergeCell ref="BB5:BC5"/>
    <mergeCell ref="J24:M24"/>
    <mergeCell ref="H29:L30"/>
    <mergeCell ref="M29:Q30"/>
    <mergeCell ref="R29:V30"/>
    <mergeCell ref="W29:Z30"/>
    <mergeCell ref="AA29:AD30"/>
    <mergeCell ref="AE29:AH30"/>
    <mergeCell ref="AI29:AM30"/>
    <mergeCell ref="H9:AS9"/>
    <mergeCell ref="AV2:AY2"/>
    <mergeCell ref="AZ2:BC3"/>
    <mergeCell ref="A3:H3"/>
    <mergeCell ref="I3:L3"/>
    <mergeCell ref="M3:W3"/>
    <mergeCell ref="X3:Z3"/>
    <mergeCell ref="AA3:AR3"/>
    <mergeCell ref="AS3:AU3"/>
    <mergeCell ref="AV3:AY3"/>
    <mergeCell ref="AN1:AR1"/>
    <mergeCell ref="AS1:AU1"/>
    <mergeCell ref="AV1:AY1"/>
    <mergeCell ref="AZ1:BC1"/>
    <mergeCell ref="A2:H2"/>
    <mergeCell ref="I2:L2"/>
    <mergeCell ref="M2:W2"/>
    <mergeCell ref="AK2:AM2"/>
    <mergeCell ref="AN2:AR2"/>
    <mergeCell ref="AS2:AU2"/>
    <mergeCell ref="A1:H1"/>
    <mergeCell ref="I1:L1"/>
    <mergeCell ref="M1:W1"/>
    <mergeCell ref="X1:Z2"/>
    <mergeCell ref="AA1:AJ2"/>
    <mergeCell ref="AK1:AM1"/>
    <mergeCell ref="AD40:AG41"/>
    <mergeCell ref="AH40:AK41"/>
    <mergeCell ref="AL40:AO41"/>
    <mergeCell ref="B40:E41"/>
    <mergeCell ref="F40:I41"/>
    <mergeCell ref="J40:M41"/>
    <mergeCell ref="N40:Q41"/>
    <mergeCell ref="R40:U41"/>
    <mergeCell ref="AP40:AS41"/>
    <mergeCell ref="AT40:AW41"/>
    <mergeCell ref="B42:E43"/>
    <mergeCell ref="F42:I43"/>
    <mergeCell ref="J42:M43"/>
    <mergeCell ref="N42:Q43"/>
    <mergeCell ref="R42:U43"/>
    <mergeCell ref="V42:Y43"/>
    <mergeCell ref="Z42:AC43"/>
    <mergeCell ref="AD42:AG43"/>
    <mergeCell ref="AH42:AK43"/>
    <mergeCell ref="AL42:AO43"/>
    <mergeCell ref="AP42:AS43"/>
    <mergeCell ref="AT42:AW43"/>
    <mergeCell ref="V40:Y41"/>
    <mergeCell ref="Z40:AC41"/>
    <mergeCell ref="B44:E45"/>
    <mergeCell ref="F44:I45"/>
    <mergeCell ref="J44:M45"/>
    <mergeCell ref="N44:Q45"/>
    <mergeCell ref="R44:U45"/>
    <mergeCell ref="AT46:AW47"/>
    <mergeCell ref="V44:Y45"/>
    <mergeCell ref="Z44:AC45"/>
    <mergeCell ref="AD44:AG45"/>
    <mergeCell ref="AH44:AK45"/>
    <mergeCell ref="AL44:AO45"/>
    <mergeCell ref="B46:E47"/>
    <mergeCell ref="F46:I47"/>
    <mergeCell ref="J46:M47"/>
    <mergeCell ref="N46:Q47"/>
    <mergeCell ref="R46:U47"/>
    <mergeCell ref="B48:E49"/>
    <mergeCell ref="F48:I49"/>
    <mergeCell ref="J48:M49"/>
    <mergeCell ref="N48:Q49"/>
    <mergeCell ref="R48:U49"/>
    <mergeCell ref="BE8:BM8"/>
    <mergeCell ref="AP48:AS49"/>
    <mergeCell ref="AT48:AW49"/>
    <mergeCell ref="V48:Y49"/>
    <mergeCell ref="Z48:AC49"/>
    <mergeCell ref="AD48:AG49"/>
    <mergeCell ref="AH48:AK49"/>
    <mergeCell ref="AL48:AO49"/>
    <mergeCell ref="AP44:AS45"/>
    <mergeCell ref="AT44:AW45"/>
    <mergeCell ref="V46:Y47"/>
    <mergeCell ref="Z46:AC47"/>
    <mergeCell ref="AD46:AG47"/>
    <mergeCell ref="AH46:AK47"/>
    <mergeCell ref="AL46:AO47"/>
    <mergeCell ref="AP46:AS47"/>
  </mergeCells>
  <phoneticPr fontId="53"/>
  <pageMargins left="0.39370078740157483" right="0.39370078740157483" top="0.39370078740157483" bottom="0.19685039370078741" header="0.19685039370078741" footer="0.19685039370078741"/>
  <pageSetup paperSize="9" scale="68" fitToHeight="6" orientation="portrait" r:id="rId1"/>
  <headerFooter>
    <oddFooter>&amp;L&amp;"-,太字"&amp;12©2016 Amazing-Activity Corporation All Rights Reserved&amp;C- &amp;P &amp; -&amp;R&amp;F_&amp;A</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281ED-0271-46B4-A226-13FB54362481}">
  <sheetPr>
    <pageSetUpPr fitToPage="1"/>
  </sheetPr>
  <dimension ref="A1:BZ54"/>
  <sheetViews>
    <sheetView showGridLines="0" view="pageBreakPreview" zoomScale="85" zoomScaleNormal="70" zoomScaleSheetLayoutView="85" workbookViewId="0">
      <selection sqref="A1:I1"/>
    </sheetView>
  </sheetViews>
  <sheetFormatPr defaultColWidth="2.453125" defaultRowHeight="15"/>
  <cols>
    <col min="1" max="10" width="2.453125" style="140" customWidth="1"/>
    <col min="11" max="16" width="3.26953125" style="140" customWidth="1"/>
    <col min="17" max="52" width="2.453125" style="140"/>
    <col min="53" max="53" width="2.453125" style="140" customWidth="1"/>
    <col min="54" max="239" width="2.453125" style="140"/>
    <col min="240" max="240" width="4" style="140" customWidth="1"/>
    <col min="241" max="272" width="2.453125" style="140"/>
    <col min="273" max="273" width="2.453125" style="140" customWidth="1"/>
    <col min="274" max="495" width="2.453125" style="140"/>
    <col min="496" max="496" width="4" style="140" customWidth="1"/>
    <col min="497" max="528" width="2.453125" style="140"/>
    <col min="529" max="529" width="2.453125" style="140" customWidth="1"/>
    <col min="530" max="751" width="2.453125" style="140"/>
    <col min="752" max="752" width="4" style="140" customWidth="1"/>
    <col min="753" max="784" width="2.453125" style="140"/>
    <col min="785" max="785" width="2.453125" style="140" customWidth="1"/>
    <col min="786" max="1007" width="2.453125" style="140"/>
    <col min="1008" max="1008" width="4" style="140" customWidth="1"/>
    <col min="1009" max="1040" width="2.453125" style="140"/>
    <col min="1041" max="1041" width="2.453125" style="140" customWidth="1"/>
    <col min="1042" max="1263" width="2.453125" style="140"/>
    <col min="1264" max="1264" width="4" style="140" customWidth="1"/>
    <col min="1265" max="1296" width="2.453125" style="140"/>
    <col min="1297" max="1297" width="2.453125" style="140" customWidth="1"/>
    <col min="1298" max="1519" width="2.453125" style="140"/>
    <col min="1520" max="1520" width="4" style="140" customWidth="1"/>
    <col min="1521" max="1552" width="2.453125" style="140"/>
    <col min="1553" max="1553" width="2.453125" style="140" customWidth="1"/>
    <col min="1554" max="1775" width="2.453125" style="140"/>
    <col min="1776" max="1776" width="4" style="140" customWidth="1"/>
    <col min="1777" max="1808" width="2.453125" style="140"/>
    <col min="1809" max="1809" width="2.453125" style="140" customWidth="1"/>
    <col min="1810" max="2031" width="2.453125" style="140"/>
    <col min="2032" max="2032" width="4" style="140" customWidth="1"/>
    <col min="2033" max="2064" width="2.453125" style="140"/>
    <col min="2065" max="2065" width="2.453125" style="140" customWidth="1"/>
    <col min="2066" max="2287" width="2.453125" style="140"/>
    <col min="2288" max="2288" width="4" style="140" customWidth="1"/>
    <col min="2289" max="2320" width="2.453125" style="140"/>
    <col min="2321" max="2321" width="2.453125" style="140" customWidth="1"/>
    <col min="2322" max="2543" width="2.453125" style="140"/>
    <col min="2544" max="2544" width="4" style="140" customWidth="1"/>
    <col min="2545" max="2576" width="2.453125" style="140"/>
    <col min="2577" max="2577" width="2.453125" style="140" customWidth="1"/>
    <col min="2578" max="2799" width="2.453125" style="140"/>
    <col min="2800" max="2800" width="4" style="140" customWidth="1"/>
    <col min="2801" max="2832" width="2.453125" style="140"/>
    <col min="2833" max="2833" width="2.453125" style="140" customWidth="1"/>
    <col min="2834" max="3055" width="2.453125" style="140"/>
    <col min="3056" max="3056" width="4" style="140" customWidth="1"/>
    <col min="3057" max="3088" width="2.453125" style="140"/>
    <col min="3089" max="3089" width="2.453125" style="140" customWidth="1"/>
    <col min="3090" max="3311" width="2.453125" style="140"/>
    <col min="3312" max="3312" width="4" style="140" customWidth="1"/>
    <col min="3313" max="3344" width="2.453125" style="140"/>
    <col min="3345" max="3345" width="2.453125" style="140" customWidth="1"/>
    <col min="3346" max="3567" width="2.453125" style="140"/>
    <col min="3568" max="3568" width="4" style="140" customWidth="1"/>
    <col min="3569" max="3600" width="2.453125" style="140"/>
    <col min="3601" max="3601" width="2.453125" style="140" customWidth="1"/>
    <col min="3602" max="3823" width="2.453125" style="140"/>
    <col min="3824" max="3824" width="4" style="140" customWidth="1"/>
    <col min="3825" max="3856" width="2.453125" style="140"/>
    <col min="3857" max="3857" width="2.453125" style="140" customWidth="1"/>
    <col min="3858" max="4079" width="2.453125" style="140"/>
    <col min="4080" max="4080" width="4" style="140" customWidth="1"/>
    <col min="4081" max="4112" width="2.453125" style="140"/>
    <col min="4113" max="4113" width="2.453125" style="140" customWidth="1"/>
    <col min="4114" max="4335" width="2.453125" style="140"/>
    <col min="4336" max="4336" width="4" style="140" customWidth="1"/>
    <col min="4337" max="4368" width="2.453125" style="140"/>
    <col min="4369" max="4369" width="2.453125" style="140" customWidth="1"/>
    <col min="4370" max="4591" width="2.453125" style="140"/>
    <col min="4592" max="4592" width="4" style="140" customWidth="1"/>
    <col min="4593" max="4624" width="2.453125" style="140"/>
    <col min="4625" max="4625" width="2.453125" style="140" customWidth="1"/>
    <col min="4626" max="4847" width="2.453125" style="140"/>
    <col min="4848" max="4848" width="4" style="140" customWidth="1"/>
    <col min="4849" max="4880" width="2.453125" style="140"/>
    <col min="4881" max="4881" width="2.453125" style="140" customWidth="1"/>
    <col min="4882" max="5103" width="2.453125" style="140"/>
    <col min="5104" max="5104" width="4" style="140" customWidth="1"/>
    <col min="5105" max="5136" width="2.453125" style="140"/>
    <col min="5137" max="5137" width="2.453125" style="140" customWidth="1"/>
    <col min="5138" max="5359" width="2.453125" style="140"/>
    <col min="5360" max="5360" width="4" style="140" customWidth="1"/>
    <col min="5361" max="5392" width="2.453125" style="140"/>
    <col min="5393" max="5393" width="2.453125" style="140" customWidth="1"/>
    <col min="5394" max="5615" width="2.453125" style="140"/>
    <col min="5616" max="5616" width="4" style="140" customWidth="1"/>
    <col min="5617" max="5648" width="2.453125" style="140"/>
    <col min="5649" max="5649" width="2.453125" style="140" customWidth="1"/>
    <col min="5650" max="5871" width="2.453125" style="140"/>
    <col min="5872" max="5872" width="4" style="140" customWidth="1"/>
    <col min="5873" max="5904" width="2.453125" style="140"/>
    <col min="5905" max="5905" width="2.453125" style="140" customWidth="1"/>
    <col min="5906" max="6127" width="2.453125" style="140"/>
    <col min="6128" max="6128" width="4" style="140" customWidth="1"/>
    <col min="6129" max="6160" width="2.453125" style="140"/>
    <col min="6161" max="6161" width="2.453125" style="140" customWidth="1"/>
    <col min="6162" max="6383" width="2.453125" style="140"/>
    <col min="6384" max="6384" width="4" style="140" customWidth="1"/>
    <col min="6385" max="6416" width="2.453125" style="140"/>
    <col min="6417" max="6417" width="2.453125" style="140" customWidth="1"/>
    <col min="6418" max="6639" width="2.453125" style="140"/>
    <col min="6640" max="6640" width="4" style="140" customWidth="1"/>
    <col min="6641" max="6672" width="2.453125" style="140"/>
    <col min="6673" max="6673" width="2.453125" style="140" customWidth="1"/>
    <col min="6674" max="6895" width="2.453125" style="140"/>
    <col min="6896" max="6896" width="4" style="140" customWidth="1"/>
    <col min="6897" max="6928" width="2.453125" style="140"/>
    <col min="6929" max="6929" width="2.453125" style="140" customWidth="1"/>
    <col min="6930" max="7151" width="2.453125" style="140"/>
    <col min="7152" max="7152" width="4" style="140" customWidth="1"/>
    <col min="7153" max="7184" width="2.453125" style="140"/>
    <col min="7185" max="7185" width="2.453125" style="140" customWidth="1"/>
    <col min="7186" max="7407" width="2.453125" style="140"/>
    <col min="7408" max="7408" width="4" style="140" customWidth="1"/>
    <col min="7409" max="7440" width="2.453125" style="140"/>
    <col min="7441" max="7441" width="2.453125" style="140" customWidth="1"/>
    <col min="7442" max="7663" width="2.453125" style="140"/>
    <col min="7664" max="7664" width="4" style="140" customWidth="1"/>
    <col min="7665" max="7696" width="2.453125" style="140"/>
    <col min="7697" max="7697" width="2.453125" style="140" customWidth="1"/>
    <col min="7698" max="7919" width="2.453125" style="140"/>
    <col min="7920" max="7920" width="4" style="140" customWidth="1"/>
    <col min="7921" max="7952" width="2.453125" style="140"/>
    <col min="7953" max="7953" width="2.453125" style="140" customWidth="1"/>
    <col min="7954" max="8175" width="2.453125" style="140"/>
    <col min="8176" max="8176" width="4" style="140" customWidth="1"/>
    <col min="8177" max="8208" width="2.453125" style="140"/>
    <col min="8209" max="8209" width="2.453125" style="140" customWidth="1"/>
    <col min="8210" max="8431" width="2.453125" style="140"/>
    <col min="8432" max="8432" width="4" style="140" customWidth="1"/>
    <col min="8433" max="8464" width="2.453125" style="140"/>
    <col min="8465" max="8465" width="2.453125" style="140" customWidth="1"/>
    <col min="8466" max="8687" width="2.453125" style="140"/>
    <col min="8688" max="8688" width="4" style="140" customWidth="1"/>
    <col min="8689" max="8720" width="2.453125" style="140"/>
    <col min="8721" max="8721" width="2.453125" style="140" customWidth="1"/>
    <col min="8722" max="8943" width="2.453125" style="140"/>
    <col min="8944" max="8944" width="4" style="140" customWidth="1"/>
    <col min="8945" max="8976" width="2.453125" style="140"/>
    <col min="8977" max="8977" width="2.453125" style="140" customWidth="1"/>
    <col min="8978" max="9199" width="2.453125" style="140"/>
    <col min="9200" max="9200" width="4" style="140" customWidth="1"/>
    <col min="9201" max="9232" width="2.453125" style="140"/>
    <col min="9233" max="9233" width="2.453125" style="140" customWidth="1"/>
    <col min="9234" max="9455" width="2.453125" style="140"/>
    <col min="9456" max="9456" width="4" style="140" customWidth="1"/>
    <col min="9457" max="9488" width="2.453125" style="140"/>
    <col min="9489" max="9489" width="2.453125" style="140" customWidth="1"/>
    <col min="9490" max="9711" width="2.453125" style="140"/>
    <col min="9712" max="9712" width="4" style="140" customWidth="1"/>
    <col min="9713" max="9744" width="2.453125" style="140"/>
    <col min="9745" max="9745" width="2.453125" style="140" customWidth="1"/>
    <col min="9746" max="9967" width="2.453125" style="140"/>
    <col min="9968" max="9968" width="4" style="140" customWidth="1"/>
    <col min="9969" max="10000" width="2.453125" style="140"/>
    <col min="10001" max="10001" width="2.453125" style="140" customWidth="1"/>
    <col min="10002" max="10223" width="2.453125" style="140"/>
    <col min="10224" max="10224" width="4" style="140" customWidth="1"/>
    <col min="10225" max="10256" width="2.453125" style="140"/>
    <col min="10257" max="10257" width="2.453125" style="140" customWidth="1"/>
    <col min="10258" max="10479" width="2.453125" style="140"/>
    <col min="10480" max="10480" width="4" style="140" customWidth="1"/>
    <col min="10481" max="10512" width="2.453125" style="140"/>
    <col min="10513" max="10513" width="2.453125" style="140" customWidth="1"/>
    <col min="10514" max="10735" width="2.453125" style="140"/>
    <col min="10736" max="10736" width="4" style="140" customWidth="1"/>
    <col min="10737" max="10768" width="2.453125" style="140"/>
    <col min="10769" max="10769" width="2.453125" style="140" customWidth="1"/>
    <col min="10770" max="10991" width="2.453125" style="140"/>
    <col min="10992" max="10992" width="4" style="140" customWidth="1"/>
    <col min="10993" max="11024" width="2.453125" style="140"/>
    <col min="11025" max="11025" width="2.453125" style="140" customWidth="1"/>
    <col min="11026" max="11247" width="2.453125" style="140"/>
    <col min="11248" max="11248" width="4" style="140" customWidth="1"/>
    <col min="11249" max="11280" width="2.453125" style="140"/>
    <col min="11281" max="11281" width="2.453125" style="140" customWidth="1"/>
    <col min="11282" max="11503" width="2.453125" style="140"/>
    <col min="11504" max="11504" width="4" style="140" customWidth="1"/>
    <col min="11505" max="11536" width="2.453125" style="140"/>
    <col min="11537" max="11537" width="2.453125" style="140" customWidth="1"/>
    <col min="11538" max="11759" width="2.453125" style="140"/>
    <col min="11760" max="11760" width="4" style="140" customWidth="1"/>
    <col min="11761" max="11792" width="2.453125" style="140"/>
    <col min="11793" max="11793" width="2.453125" style="140" customWidth="1"/>
    <col min="11794" max="12015" width="2.453125" style="140"/>
    <col min="12016" max="12016" width="4" style="140" customWidth="1"/>
    <col min="12017" max="12048" width="2.453125" style="140"/>
    <col min="12049" max="12049" width="2.453125" style="140" customWidth="1"/>
    <col min="12050" max="12271" width="2.453125" style="140"/>
    <col min="12272" max="12272" width="4" style="140" customWidth="1"/>
    <col min="12273" max="12304" width="2.453125" style="140"/>
    <col min="12305" max="12305" width="2.453125" style="140" customWidth="1"/>
    <col min="12306" max="12527" width="2.453125" style="140"/>
    <col min="12528" max="12528" width="4" style="140" customWidth="1"/>
    <col min="12529" max="12560" width="2.453125" style="140"/>
    <col min="12561" max="12561" width="2.453125" style="140" customWidth="1"/>
    <col min="12562" max="12783" width="2.453125" style="140"/>
    <col min="12784" max="12784" width="4" style="140" customWidth="1"/>
    <col min="12785" max="12816" width="2.453125" style="140"/>
    <col min="12817" max="12817" width="2.453125" style="140" customWidth="1"/>
    <col min="12818" max="13039" width="2.453125" style="140"/>
    <col min="13040" max="13040" width="4" style="140" customWidth="1"/>
    <col min="13041" max="13072" width="2.453125" style="140"/>
    <col min="13073" max="13073" width="2.453125" style="140" customWidth="1"/>
    <col min="13074" max="13295" width="2.453125" style="140"/>
    <col min="13296" max="13296" width="4" style="140" customWidth="1"/>
    <col min="13297" max="13328" width="2.453125" style="140"/>
    <col min="13329" max="13329" width="2.453125" style="140" customWidth="1"/>
    <col min="13330" max="13551" width="2.453125" style="140"/>
    <col min="13552" max="13552" width="4" style="140" customWidth="1"/>
    <col min="13553" max="13584" width="2.453125" style="140"/>
    <col min="13585" max="13585" width="2.453125" style="140" customWidth="1"/>
    <col min="13586" max="13807" width="2.453125" style="140"/>
    <col min="13808" max="13808" width="4" style="140" customWidth="1"/>
    <col min="13809" max="13840" width="2.453125" style="140"/>
    <col min="13841" max="13841" width="2.453125" style="140" customWidth="1"/>
    <col min="13842" max="14063" width="2.453125" style="140"/>
    <col min="14064" max="14064" width="4" style="140" customWidth="1"/>
    <col min="14065" max="14096" width="2.453125" style="140"/>
    <col min="14097" max="14097" width="2.453125" style="140" customWidth="1"/>
    <col min="14098" max="14319" width="2.453125" style="140"/>
    <col min="14320" max="14320" width="4" style="140" customWidth="1"/>
    <col min="14321" max="14352" width="2.453125" style="140"/>
    <col min="14353" max="14353" width="2.453125" style="140" customWidth="1"/>
    <col min="14354" max="14575" width="2.453125" style="140"/>
    <col min="14576" max="14576" width="4" style="140" customWidth="1"/>
    <col min="14577" max="14608" width="2.453125" style="140"/>
    <col min="14609" max="14609" width="2.453125" style="140" customWidth="1"/>
    <col min="14610" max="14831" width="2.453125" style="140"/>
    <col min="14832" max="14832" width="4" style="140" customWidth="1"/>
    <col min="14833" max="14864" width="2.453125" style="140"/>
    <col min="14865" max="14865" width="2.453125" style="140" customWidth="1"/>
    <col min="14866" max="15087" width="2.453125" style="140"/>
    <col min="15088" max="15088" width="4" style="140" customWidth="1"/>
    <col min="15089" max="15120" width="2.453125" style="140"/>
    <col min="15121" max="15121" width="2.453125" style="140" customWidth="1"/>
    <col min="15122" max="15343" width="2.453125" style="140"/>
    <col min="15344" max="15344" width="4" style="140" customWidth="1"/>
    <col min="15345" max="15376" width="2.453125" style="140"/>
    <col min="15377" max="15377" width="2.453125" style="140" customWidth="1"/>
    <col min="15378" max="15599" width="2.453125" style="140"/>
    <col min="15600" max="15600" width="4" style="140" customWidth="1"/>
    <col min="15601" max="15632" width="2.453125" style="140"/>
    <col min="15633" max="15633" width="2.453125" style="140" customWidth="1"/>
    <col min="15634" max="15855" width="2.453125" style="140"/>
    <col min="15856" max="15856" width="4" style="140" customWidth="1"/>
    <col min="15857" max="15888" width="2.453125" style="140"/>
    <col min="15889" max="15889" width="2.453125" style="140" customWidth="1"/>
    <col min="15890" max="16111" width="2.453125" style="140"/>
    <col min="16112" max="16112" width="4" style="140" customWidth="1"/>
    <col min="16113" max="16144" width="2.453125" style="140"/>
    <col min="16145" max="16145" width="2.453125" style="140" customWidth="1"/>
    <col min="16146" max="16384" width="2.453125" style="140"/>
  </cols>
  <sheetData>
    <row r="1" spans="1:78" ht="12.75" customHeight="1">
      <c r="A1" s="249" t="s">
        <v>85</v>
      </c>
      <c r="B1" s="249"/>
      <c r="C1" s="249"/>
      <c r="D1" s="249"/>
      <c r="E1" s="249"/>
      <c r="F1" s="249"/>
      <c r="G1" s="249"/>
      <c r="H1" s="249"/>
      <c r="I1" s="249"/>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8"/>
      <c r="BK1" s="138"/>
      <c r="BL1" s="138"/>
      <c r="BM1" s="138"/>
      <c r="BN1" s="138"/>
      <c r="BO1" s="138"/>
      <c r="BP1" s="138"/>
      <c r="BQ1" s="138"/>
      <c r="BR1" s="138"/>
      <c r="BS1" s="138"/>
      <c r="BT1" s="138"/>
      <c r="BU1" s="138"/>
      <c r="BV1" s="138"/>
      <c r="BW1" s="138"/>
      <c r="BX1" s="138"/>
      <c r="BY1" s="139"/>
      <c r="BZ1" s="139"/>
    </row>
    <row r="2" spans="1:78" ht="12.75" customHeight="1">
      <c r="A2" s="313" t="s">
        <v>86</v>
      </c>
      <c r="B2" s="313"/>
      <c r="C2" s="313"/>
      <c r="D2" s="313"/>
      <c r="E2" s="313"/>
      <c r="F2" s="313"/>
      <c r="G2" s="313"/>
      <c r="H2" s="313"/>
      <c r="I2" s="313"/>
      <c r="J2" s="313"/>
      <c r="K2" s="313"/>
      <c r="L2" s="313"/>
      <c r="M2" s="313"/>
      <c r="N2" s="313"/>
      <c r="O2" s="313"/>
      <c r="P2" s="313"/>
      <c r="Q2" s="314"/>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14"/>
      <c r="BX2" s="314"/>
      <c r="BY2" s="314"/>
      <c r="BZ2" s="314"/>
    </row>
    <row r="3" spans="1:78" ht="27.75" customHeight="1">
      <c r="A3" s="315" t="s">
        <v>87</v>
      </c>
      <c r="B3" s="316"/>
      <c r="C3" s="316" t="s">
        <v>88</v>
      </c>
      <c r="D3" s="316"/>
      <c r="E3" s="316"/>
      <c r="F3" s="316"/>
      <c r="G3" s="316"/>
      <c r="H3" s="316"/>
      <c r="I3" s="316"/>
      <c r="J3" s="316"/>
      <c r="K3" s="316"/>
      <c r="L3" s="316"/>
      <c r="M3" s="316"/>
      <c r="N3" s="316"/>
      <c r="O3" s="316"/>
      <c r="P3" s="316"/>
      <c r="Q3" s="318" t="s">
        <v>89</v>
      </c>
      <c r="R3" s="319"/>
      <c r="S3" s="319"/>
      <c r="T3" s="319"/>
      <c r="U3" s="319"/>
      <c r="V3" s="319"/>
      <c r="W3" s="319"/>
      <c r="X3" s="319"/>
      <c r="Y3" s="319"/>
      <c r="Z3" s="319"/>
      <c r="AA3" s="320"/>
      <c r="AB3" s="318" t="s">
        <v>185</v>
      </c>
      <c r="AC3" s="324"/>
      <c r="AD3" s="324"/>
      <c r="AE3" s="324"/>
      <c r="AF3" s="324"/>
      <c r="AG3" s="324"/>
      <c r="AH3" s="324"/>
      <c r="AI3" s="318" t="s">
        <v>244</v>
      </c>
      <c r="AJ3" s="324"/>
      <c r="AK3" s="324"/>
      <c r="AL3" s="324"/>
      <c r="AM3" s="324"/>
      <c r="AN3" s="324"/>
      <c r="AO3" s="324"/>
      <c r="AP3" s="324"/>
      <c r="AQ3" s="324"/>
      <c r="AR3" s="315" t="s">
        <v>90</v>
      </c>
      <c r="AS3" s="315"/>
      <c r="AT3" s="315"/>
      <c r="AU3" s="315"/>
      <c r="AV3" s="315"/>
      <c r="AW3" s="315"/>
      <c r="AX3" s="315"/>
      <c r="AY3" s="315"/>
      <c r="AZ3" s="315"/>
      <c r="BA3" s="315"/>
      <c r="BB3" s="315"/>
      <c r="BC3" s="315"/>
      <c r="BD3" s="315"/>
      <c r="BE3" s="315"/>
      <c r="BF3" s="315"/>
      <c r="BG3" s="315"/>
      <c r="BH3" s="315"/>
      <c r="BI3" s="315"/>
      <c r="BJ3" s="315"/>
      <c r="BK3" s="315"/>
      <c r="BL3" s="315"/>
      <c r="BM3" s="315"/>
      <c r="BN3" s="315"/>
      <c r="BO3" s="315"/>
      <c r="BP3" s="315"/>
      <c r="BQ3" s="315"/>
      <c r="BR3" s="315"/>
      <c r="BS3" s="315"/>
      <c r="BT3" s="315"/>
      <c r="BU3" s="315"/>
      <c r="BV3" s="315"/>
      <c r="BW3" s="315"/>
      <c r="BX3" s="315"/>
      <c r="BY3" s="315"/>
      <c r="BZ3" s="315"/>
    </row>
    <row r="4" spans="1:78" ht="27.75" customHeight="1">
      <c r="A4" s="316"/>
      <c r="B4" s="316"/>
      <c r="C4" s="317" t="s">
        <v>91</v>
      </c>
      <c r="D4" s="317"/>
      <c r="E4" s="317"/>
      <c r="F4" s="317"/>
      <c r="G4" s="317"/>
      <c r="H4" s="317"/>
      <c r="I4" s="317"/>
      <c r="J4" s="317" t="s">
        <v>92</v>
      </c>
      <c r="K4" s="317"/>
      <c r="L4" s="317"/>
      <c r="M4" s="317"/>
      <c r="N4" s="317"/>
      <c r="O4" s="317"/>
      <c r="P4" s="317"/>
      <c r="Q4" s="321"/>
      <c r="R4" s="322"/>
      <c r="S4" s="322"/>
      <c r="T4" s="322"/>
      <c r="U4" s="322"/>
      <c r="V4" s="322"/>
      <c r="W4" s="322"/>
      <c r="X4" s="322"/>
      <c r="Y4" s="322"/>
      <c r="Z4" s="322"/>
      <c r="AA4" s="323"/>
      <c r="AB4" s="325"/>
      <c r="AC4" s="326"/>
      <c r="AD4" s="326"/>
      <c r="AE4" s="326"/>
      <c r="AF4" s="326"/>
      <c r="AG4" s="326"/>
      <c r="AH4" s="326"/>
      <c r="AI4" s="325"/>
      <c r="AJ4" s="326"/>
      <c r="AK4" s="326"/>
      <c r="AL4" s="326"/>
      <c r="AM4" s="326"/>
      <c r="AN4" s="326"/>
      <c r="AO4" s="326"/>
      <c r="AP4" s="326"/>
      <c r="AQ4" s="326"/>
      <c r="AR4" s="315"/>
      <c r="AS4" s="315"/>
      <c r="AT4" s="315"/>
      <c r="AU4" s="315"/>
      <c r="AV4" s="315"/>
      <c r="AW4" s="315"/>
      <c r="AX4" s="315"/>
      <c r="AY4" s="315"/>
      <c r="AZ4" s="315"/>
      <c r="BA4" s="315"/>
      <c r="BB4" s="315"/>
      <c r="BC4" s="315"/>
      <c r="BD4" s="315"/>
      <c r="BE4" s="315"/>
      <c r="BF4" s="315"/>
      <c r="BG4" s="315"/>
      <c r="BH4" s="315"/>
      <c r="BI4" s="315"/>
      <c r="BJ4" s="315"/>
      <c r="BK4" s="315"/>
      <c r="BL4" s="315"/>
      <c r="BM4" s="315"/>
      <c r="BN4" s="315"/>
      <c r="BO4" s="315"/>
      <c r="BP4" s="315"/>
      <c r="BQ4" s="315"/>
      <c r="BR4" s="315"/>
      <c r="BS4" s="315"/>
      <c r="BT4" s="315"/>
      <c r="BU4" s="315"/>
      <c r="BV4" s="315"/>
      <c r="BW4" s="315"/>
      <c r="BX4" s="315"/>
      <c r="BY4" s="315"/>
      <c r="BZ4" s="315"/>
    </row>
    <row r="5" spans="1:78">
      <c r="A5" s="288" t="s">
        <v>93</v>
      </c>
      <c r="B5" s="289"/>
      <c r="C5" s="295" t="s">
        <v>94</v>
      </c>
      <c r="D5" s="296"/>
      <c r="E5" s="296"/>
      <c r="F5" s="296"/>
      <c r="G5" s="296"/>
      <c r="H5" s="296"/>
      <c r="I5" s="297"/>
      <c r="J5" s="303"/>
      <c r="K5" s="304"/>
      <c r="L5" s="304"/>
      <c r="M5" s="304"/>
      <c r="N5" s="304"/>
      <c r="O5" s="304"/>
      <c r="P5" s="305"/>
      <c r="Q5" s="301"/>
      <c r="R5" s="299"/>
      <c r="S5" s="299"/>
      <c r="T5" s="299"/>
      <c r="U5" s="299"/>
      <c r="V5" s="299"/>
      <c r="W5" s="299"/>
      <c r="X5" s="299"/>
      <c r="Y5" s="299"/>
      <c r="Z5" s="299"/>
      <c r="AA5" s="302"/>
      <c r="AB5" s="301"/>
      <c r="AC5" s="299"/>
      <c r="AD5" s="299"/>
      <c r="AE5" s="299"/>
      <c r="AF5" s="299"/>
      <c r="AG5" s="299"/>
      <c r="AH5" s="299"/>
      <c r="AI5" s="301"/>
      <c r="AJ5" s="299"/>
      <c r="AK5" s="299"/>
      <c r="AL5" s="299"/>
      <c r="AM5" s="299"/>
      <c r="AN5" s="299"/>
      <c r="AO5" s="299"/>
      <c r="AP5" s="299"/>
      <c r="AQ5" s="299"/>
      <c r="AR5" s="298"/>
      <c r="AS5" s="299"/>
      <c r="AT5" s="299"/>
      <c r="AU5" s="299"/>
      <c r="AV5" s="299"/>
      <c r="AW5" s="299"/>
      <c r="AX5" s="299"/>
      <c r="AY5" s="299"/>
      <c r="AZ5" s="299"/>
      <c r="BA5" s="299"/>
      <c r="BB5" s="299"/>
      <c r="BC5" s="299"/>
      <c r="BD5" s="299"/>
      <c r="BE5" s="299"/>
      <c r="BF5" s="299"/>
      <c r="BG5" s="299"/>
      <c r="BH5" s="299"/>
      <c r="BI5" s="299"/>
      <c r="BJ5" s="299"/>
      <c r="BK5" s="299"/>
      <c r="BL5" s="299"/>
      <c r="BM5" s="299"/>
      <c r="BN5" s="299"/>
      <c r="BO5" s="299"/>
      <c r="BP5" s="299"/>
      <c r="BQ5" s="299"/>
      <c r="BR5" s="299"/>
      <c r="BS5" s="299"/>
      <c r="BT5" s="299"/>
      <c r="BU5" s="299"/>
      <c r="BV5" s="299"/>
      <c r="BW5" s="299"/>
      <c r="BX5" s="299"/>
      <c r="BY5" s="299"/>
      <c r="BZ5" s="300"/>
    </row>
    <row r="6" spans="1:78">
      <c r="A6" s="288" t="s">
        <v>95</v>
      </c>
      <c r="B6" s="289"/>
      <c r="C6" s="295"/>
      <c r="D6" s="296"/>
      <c r="E6" s="296"/>
      <c r="F6" s="296"/>
      <c r="G6" s="296"/>
      <c r="H6" s="296"/>
      <c r="I6" s="297"/>
      <c r="J6" s="303" t="s">
        <v>96</v>
      </c>
      <c r="K6" s="304"/>
      <c r="L6" s="304"/>
      <c r="M6" s="304"/>
      <c r="N6" s="304"/>
      <c r="O6" s="304"/>
      <c r="P6" s="305"/>
      <c r="Q6" s="301"/>
      <c r="R6" s="299"/>
      <c r="S6" s="299"/>
      <c r="T6" s="299"/>
      <c r="U6" s="299"/>
      <c r="V6" s="299"/>
      <c r="W6" s="299"/>
      <c r="X6" s="299"/>
      <c r="Y6" s="299"/>
      <c r="Z6" s="299"/>
      <c r="AA6" s="302"/>
      <c r="AB6" s="301"/>
      <c r="AC6" s="299"/>
      <c r="AD6" s="299"/>
      <c r="AE6" s="299"/>
      <c r="AF6" s="299"/>
      <c r="AG6" s="299"/>
      <c r="AH6" s="299"/>
      <c r="AI6" s="301"/>
      <c r="AJ6" s="299"/>
      <c r="AK6" s="299"/>
      <c r="AL6" s="299"/>
      <c r="AM6" s="299"/>
      <c r="AN6" s="299"/>
      <c r="AO6" s="299"/>
      <c r="AP6" s="299"/>
      <c r="AQ6" s="299"/>
      <c r="AR6" s="298"/>
      <c r="AS6" s="299"/>
      <c r="AT6" s="299"/>
      <c r="AU6" s="299"/>
      <c r="AV6" s="299"/>
      <c r="AW6" s="299"/>
      <c r="AX6" s="299"/>
      <c r="AY6" s="299"/>
      <c r="AZ6" s="299"/>
      <c r="BA6" s="299"/>
      <c r="BB6" s="299"/>
      <c r="BC6" s="299"/>
      <c r="BD6" s="299"/>
      <c r="BE6" s="299"/>
      <c r="BF6" s="299"/>
      <c r="BG6" s="299"/>
      <c r="BH6" s="299"/>
      <c r="BI6" s="299"/>
      <c r="BJ6" s="299"/>
      <c r="BK6" s="299"/>
      <c r="BL6" s="299"/>
      <c r="BM6" s="299"/>
      <c r="BN6" s="299"/>
      <c r="BO6" s="299"/>
      <c r="BP6" s="299"/>
      <c r="BQ6" s="299"/>
      <c r="BR6" s="299"/>
      <c r="BS6" s="299"/>
      <c r="BT6" s="299"/>
      <c r="BU6" s="299"/>
      <c r="BV6" s="299"/>
      <c r="BW6" s="299"/>
      <c r="BX6" s="299"/>
      <c r="BY6" s="299"/>
      <c r="BZ6" s="300"/>
    </row>
    <row r="7" spans="1:78" ht="29" customHeight="1">
      <c r="A7" s="288" t="s">
        <v>263</v>
      </c>
      <c r="B7" s="289"/>
      <c r="C7" s="295"/>
      <c r="D7" s="296"/>
      <c r="E7" s="296"/>
      <c r="F7" s="296"/>
      <c r="G7" s="296"/>
      <c r="H7" s="296"/>
      <c r="I7" s="297"/>
      <c r="J7" s="303" t="s">
        <v>264</v>
      </c>
      <c r="K7" s="304"/>
      <c r="L7" s="304"/>
      <c r="M7" s="304"/>
      <c r="N7" s="304"/>
      <c r="O7" s="304"/>
      <c r="P7" s="305"/>
      <c r="Q7" s="301"/>
      <c r="R7" s="299"/>
      <c r="S7" s="299"/>
      <c r="T7" s="299"/>
      <c r="U7" s="299"/>
      <c r="V7" s="299"/>
      <c r="W7" s="299"/>
      <c r="X7" s="299"/>
      <c r="Y7" s="299"/>
      <c r="Z7" s="299"/>
      <c r="AA7" s="302"/>
      <c r="AB7" s="301"/>
      <c r="AC7" s="299"/>
      <c r="AD7" s="299"/>
      <c r="AE7" s="299"/>
      <c r="AF7" s="299"/>
      <c r="AG7" s="299"/>
      <c r="AH7" s="299"/>
      <c r="AI7" s="301"/>
      <c r="AJ7" s="299"/>
      <c r="AK7" s="299"/>
      <c r="AL7" s="299"/>
      <c r="AM7" s="299"/>
      <c r="AN7" s="299"/>
      <c r="AO7" s="299"/>
      <c r="AP7" s="299"/>
      <c r="AQ7" s="299"/>
      <c r="AR7" s="298" t="s">
        <v>265</v>
      </c>
      <c r="AS7" s="299"/>
      <c r="AT7" s="299"/>
      <c r="AU7" s="299"/>
      <c r="AV7" s="299"/>
      <c r="AW7" s="299"/>
      <c r="AX7" s="299"/>
      <c r="AY7" s="299"/>
      <c r="AZ7" s="299"/>
      <c r="BA7" s="299"/>
      <c r="BB7" s="299"/>
      <c r="BC7" s="299"/>
      <c r="BD7" s="299"/>
      <c r="BE7" s="299"/>
      <c r="BF7" s="299"/>
      <c r="BG7" s="299"/>
      <c r="BH7" s="299"/>
      <c r="BI7" s="299"/>
      <c r="BJ7" s="299"/>
      <c r="BK7" s="299"/>
      <c r="BL7" s="299"/>
      <c r="BM7" s="299"/>
      <c r="BN7" s="299"/>
      <c r="BO7" s="299"/>
      <c r="BP7" s="299"/>
      <c r="BQ7" s="299"/>
      <c r="BR7" s="299"/>
      <c r="BS7" s="299"/>
      <c r="BT7" s="299"/>
      <c r="BU7" s="299"/>
      <c r="BV7" s="299"/>
      <c r="BW7" s="299"/>
      <c r="BX7" s="299"/>
      <c r="BY7" s="299"/>
      <c r="BZ7" s="300"/>
    </row>
    <row r="8" spans="1:78" ht="15.75" customHeight="1">
      <c r="A8" s="309">
        <v>2</v>
      </c>
      <c r="B8" s="310"/>
      <c r="C8" s="290" t="s">
        <v>180</v>
      </c>
      <c r="D8" s="291"/>
      <c r="E8" s="291"/>
      <c r="F8" s="291"/>
      <c r="G8" s="291"/>
      <c r="H8" s="291"/>
      <c r="I8" s="292"/>
      <c r="J8" s="149"/>
      <c r="K8" s="311"/>
      <c r="L8" s="311"/>
      <c r="M8" s="311"/>
      <c r="N8" s="311"/>
      <c r="O8" s="311"/>
      <c r="P8" s="312"/>
      <c r="Q8" s="301"/>
      <c r="R8" s="299"/>
      <c r="S8" s="299"/>
      <c r="T8" s="299"/>
      <c r="U8" s="299"/>
      <c r="V8" s="299"/>
      <c r="W8" s="299"/>
      <c r="X8" s="299"/>
      <c r="Y8" s="299"/>
      <c r="Z8" s="299"/>
      <c r="AA8" s="302"/>
      <c r="AB8" s="301"/>
      <c r="AC8" s="299"/>
      <c r="AD8" s="299"/>
      <c r="AE8" s="299"/>
      <c r="AF8" s="299"/>
      <c r="AG8" s="299"/>
      <c r="AH8" s="299"/>
      <c r="AI8" s="301"/>
      <c r="AJ8" s="299"/>
      <c r="AK8" s="299"/>
      <c r="AL8" s="299"/>
      <c r="AM8" s="299"/>
      <c r="AN8" s="299"/>
      <c r="AO8" s="299"/>
      <c r="AP8" s="299"/>
      <c r="AQ8" s="299"/>
      <c r="AR8" s="298"/>
      <c r="AS8" s="299"/>
      <c r="AT8" s="299"/>
      <c r="AU8" s="299"/>
      <c r="AV8" s="299"/>
      <c r="AW8" s="299"/>
      <c r="AX8" s="299"/>
      <c r="AY8" s="299"/>
      <c r="AZ8" s="299"/>
      <c r="BA8" s="299"/>
      <c r="BB8" s="299"/>
      <c r="BC8" s="299"/>
      <c r="BD8" s="299"/>
      <c r="BE8" s="299"/>
      <c r="BF8" s="299"/>
      <c r="BG8" s="299"/>
      <c r="BH8" s="299"/>
      <c r="BI8" s="299"/>
      <c r="BJ8" s="299"/>
      <c r="BK8" s="299"/>
      <c r="BL8" s="299"/>
      <c r="BM8" s="299"/>
      <c r="BN8" s="299"/>
      <c r="BO8" s="299"/>
      <c r="BP8" s="299"/>
      <c r="BQ8" s="299"/>
      <c r="BR8" s="299"/>
      <c r="BS8" s="299"/>
      <c r="BT8" s="299"/>
      <c r="BU8" s="299"/>
      <c r="BV8" s="299"/>
      <c r="BW8" s="299"/>
      <c r="BX8" s="299"/>
      <c r="BY8" s="299"/>
      <c r="BZ8" s="300"/>
    </row>
    <row r="9" spans="1:78" ht="15.75" customHeight="1">
      <c r="A9" s="288" t="s">
        <v>181</v>
      </c>
      <c r="B9" s="289"/>
      <c r="C9" s="141"/>
      <c r="D9" s="142"/>
      <c r="E9" s="142"/>
      <c r="F9" s="142"/>
      <c r="G9" s="142"/>
      <c r="H9" s="142"/>
      <c r="I9" s="143"/>
      <c r="J9" s="290" t="s">
        <v>183</v>
      </c>
      <c r="K9" s="291"/>
      <c r="L9" s="291"/>
      <c r="M9" s="291"/>
      <c r="N9" s="291"/>
      <c r="O9" s="291"/>
      <c r="P9" s="292"/>
      <c r="Q9" s="293"/>
      <c r="R9" s="294"/>
      <c r="S9" s="294"/>
      <c r="T9" s="294"/>
      <c r="U9" s="294"/>
      <c r="V9" s="294"/>
      <c r="W9" s="294"/>
      <c r="X9" s="294"/>
      <c r="Y9" s="294"/>
      <c r="Z9" s="294"/>
      <c r="AA9" s="146"/>
      <c r="AB9" s="293"/>
      <c r="AC9" s="294"/>
      <c r="AD9" s="294"/>
      <c r="AE9" s="294"/>
      <c r="AF9" s="294"/>
      <c r="AG9" s="294"/>
      <c r="AH9" s="294"/>
      <c r="AI9" s="293" t="s">
        <v>262</v>
      </c>
      <c r="AJ9" s="294"/>
      <c r="AK9" s="294"/>
      <c r="AL9" s="294"/>
      <c r="AM9" s="294"/>
      <c r="AN9" s="294"/>
      <c r="AO9" s="294"/>
      <c r="AP9" s="294"/>
      <c r="AQ9" s="294"/>
      <c r="AR9" s="298" t="s">
        <v>256</v>
      </c>
      <c r="AS9" s="299"/>
      <c r="AT9" s="299"/>
      <c r="AU9" s="299"/>
      <c r="AV9" s="299"/>
      <c r="AW9" s="299"/>
      <c r="AX9" s="299"/>
      <c r="AY9" s="299"/>
      <c r="AZ9" s="299"/>
      <c r="BA9" s="299"/>
      <c r="BB9" s="299"/>
      <c r="BC9" s="299"/>
      <c r="BD9" s="299"/>
      <c r="BE9" s="299"/>
      <c r="BF9" s="299"/>
      <c r="BG9" s="299"/>
      <c r="BH9" s="299"/>
      <c r="BI9" s="299"/>
      <c r="BJ9" s="299"/>
      <c r="BK9" s="299"/>
      <c r="BL9" s="299"/>
      <c r="BM9" s="299"/>
      <c r="BN9" s="299"/>
      <c r="BO9" s="299"/>
      <c r="BP9" s="299"/>
      <c r="BQ9" s="299"/>
      <c r="BR9" s="299"/>
      <c r="BS9" s="299"/>
      <c r="BT9" s="299"/>
      <c r="BU9" s="299"/>
      <c r="BV9" s="299"/>
      <c r="BW9" s="299"/>
      <c r="BX9" s="299"/>
      <c r="BY9" s="299"/>
      <c r="BZ9" s="300"/>
    </row>
    <row r="10" spans="1:78" ht="15.75" customHeight="1">
      <c r="A10" s="288" t="s">
        <v>182</v>
      </c>
      <c r="B10" s="289"/>
      <c r="C10" s="141"/>
      <c r="D10" s="142"/>
      <c r="E10" s="142"/>
      <c r="F10" s="142"/>
      <c r="G10" s="142"/>
      <c r="H10" s="142"/>
      <c r="I10" s="143"/>
      <c r="J10" s="290" t="s">
        <v>184</v>
      </c>
      <c r="K10" s="291"/>
      <c r="L10" s="291"/>
      <c r="M10" s="291"/>
      <c r="N10" s="291"/>
      <c r="O10" s="291"/>
      <c r="P10" s="292"/>
      <c r="Q10" s="293"/>
      <c r="R10" s="294"/>
      <c r="S10" s="294"/>
      <c r="T10" s="294"/>
      <c r="U10" s="294"/>
      <c r="V10" s="294"/>
      <c r="W10" s="294"/>
      <c r="X10" s="294"/>
      <c r="Y10" s="294"/>
      <c r="Z10" s="294"/>
      <c r="AA10" s="146"/>
      <c r="AB10" s="293"/>
      <c r="AC10" s="294"/>
      <c r="AD10" s="294"/>
      <c r="AE10" s="294"/>
      <c r="AF10" s="294"/>
      <c r="AG10" s="294"/>
      <c r="AH10" s="294"/>
      <c r="AI10" s="293"/>
      <c r="AJ10" s="294"/>
      <c r="AK10" s="294"/>
      <c r="AL10" s="294"/>
      <c r="AM10" s="294"/>
      <c r="AN10" s="294"/>
      <c r="AO10" s="294"/>
      <c r="AP10" s="294"/>
      <c r="AQ10" s="294"/>
      <c r="AR10" s="298"/>
      <c r="AS10" s="299"/>
      <c r="AT10" s="299"/>
      <c r="AU10" s="299"/>
      <c r="AV10" s="299"/>
      <c r="AW10" s="299"/>
      <c r="AX10" s="299"/>
      <c r="AY10" s="299"/>
      <c r="AZ10" s="299"/>
      <c r="BA10" s="299"/>
      <c r="BB10" s="299"/>
      <c r="BC10" s="299"/>
      <c r="BD10" s="299"/>
      <c r="BE10" s="299"/>
      <c r="BF10" s="299"/>
      <c r="BG10" s="299"/>
      <c r="BH10" s="299"/>
      <c r="BI10" s="299"/>
      <c r="BJ10" s="299"/>
      <c r="BK10" s="299"/>
      <c r="BL10" s="299"/>
      <c r="BM10" s="299"/>
      <c r="BN10" s="299"/>
      <c r="BO10" s="299"/>
      <c r="BP10" s="299"/>
      <c r="BQ10" s="299"/>
      <c r="BR10" s="299"/>
      <c r="BS10" s="299"/>
      <c r="BT10" s="299"/>
      <c r="BU10" s="299"/>
      <c r="BV10" s="299"/>
      <c r="BW10" s="299"/>
      <c r="BX10" s="299"/>
      <c r="BY10" s="299"/>
      <c r="BZ10" s="300"/>
    </row>
    <row r="11" spans="1:78" ht="15.75" customHeight="1">
      <c r="A11" s="309">
        <v>3</v>
      </c>
      <c r="B11" s="310"/>
      <c r="C11" s="290" t="s">
        <v>98</v>
      </c>
      <c r="D11" s="291"/>
      <c r="E11" s="291"/>
      <c r="F11" s="291"/>
      <c r="G11" s="291"/>
      <c r="H11" s="291"/>
      <c r="I11" s="292"/>
      <c r="J11" s="149"/>
      <c r="K11" s="311"/>
      <c r="L11" s="311"/>
      <c r="M11" s="311"/>
      <c r="N11" s="311"/>
      <c r="O11" s="311"/>
      <c r="P11" s="312"/>
      <c r="Q11" s="301"/>
      <c r="R11" s="299"/>
      <c r="S11" s="299"/>
      <c r="T11" s="299"/>
      <c r="U11" s="299"/>
      <c r="V11" s="299"/>
      <c r="W11" s="299"/>
      <c r="X11" s="299"/>
      <c r="Y11" s="299"/>
      <c r="Z11" s="299"/>
      <c r="AA11" s="302"/>
      <c r="AB11" s="301"/>
      <c r="AC11" s="299"/>
      <c r="AD11" s="299"/>
      <c r="AE11" s="299"/>
      <c r="AF11" s="299"/>
      <c r="AG11" s="299"/>
      <c r="AH11" s="299"/>
      <c r="AI11" s="301"/>
      <c r="AJ11" s="299"/>
      <c r="AK11" s="299"/>
      <c r="AL11" s="299"/>
      <c r="AM11" s="299"/>
      <c r="AN11" s="299"/>
      <c r="AO11" s="299"/>
      <c r="AP11" s="299"/>
      <c r="AQ11" s="299"/>
      <c r="AR11" s="298" t="s">
        <v>233</v>
      </c>
      <c r="AS11" s="299"/>
      <c r="AT11" s="299"/>
      <c r="AU11" s="299"/>
      <c r="AV11" s="299"/>
      <c r="AW11" s="299"/>
      <c r="AX11" s="299"/>
      <c r="AY11" s="299"/>
      <c r="AZ11" s="299"/>
      <c r="BA11" s="299"/>
      <c r="BB11" s="299"/>
      <c r="BC11" s="299"/>
      <c r="BD11" s="299"/>
      <c r="BE11" s="299"/>
      <c r="BF11" s="299"/>
      <c r="BG11" s="299"/>
      <c r="BH11" s="299"/>
      <c r="BI11" s="299"/>
      <c r="BJ11" s="299"/>
      <c r="BK11" s="299"/>
      <c r="BL11" s="299"/>
      <c r="BM11" s="299"/>
      <c r="BN11" s="299"/>
      <c r="BO11" s="299"/>
      <c r="BP11" s="299"/>
      <c r="BQ11" s="299"/>
      <c r="BR11" s="299"/>
      <c r="BS11" s="299"/>
      <c r="BT11" s="299"/>
      <c r="BU11" s="299"/>
      <c r="BV11" s="299"/>
      <c r="BW11" s="299"/>
      <c r="BX11" s="299"/>
      <c r="BY11" s="299"/>
      <c r="BZ11" s="300"/>
    </row>
    <row r="12" spans="1:78" ht="15.75" customHeight="1">
      <c r="A12" s="288" t="s">
        <v>99</v>
      </c>
      <c r="B12" s="289"/>
      <c r="C12" s="141"/>
      <c r="D12" s="142"/>
      <c r="E12" s="142"/>
      <c r="F12" s="142"/>
      <c r="G12" s="142"/>
      <c r="H12" s="142"/>
      <c r="I12" s="143"/>
      <c r="J12" s="290" t="s">
        <v>100</v>
      </c>
      <c r="K12" s="291"/>
      <c r="L12" s="291"/>
      <c r="M12" s="291"/>
      <c r="N12" s="291"/>
      <c r="O12" s="291"/>
      <c r="P12" s="292"/>
      <c r="Q12" s="293"/>
      <c r="R12" s="294"/>
      <c r="S12" s="294"/>
      <c r="T12" s="294"/>
      <c r="U12" s="294"/>
      <c r="V12" s="294"/>
      <c r="W12" s="294"/>
      <c r="X12" s="294"/>
      <c r="Y12" s="294"/>
      <c r="Z12" s="294"/>
      <c r="AA12" s="146"/>
      <c r="AB12" s="293"/>
      <c r="AC12" s="294"/>
      <c r="AD12" s="294"/>
      <c r="AE12" s="294"/>
      <c r="AF12" s="294"/>
      <c r="AG12" s="294"/>
      <c r="AH12" s="294"/>
      <c r="AI12" s="293"/>
      <c r="AJ12" s="294"/>
      <c r="AK12" s="294"/>
      <c r="AL12" s="294"/>
      <c r="AM12" s="294"/>
      <c r="AN12" s="294"/>
      <c r="AO12" s="294"/>
      <c r="AP12" s="294"/>
      <c r="AQ12" s="294"/>
      <c r="AR12" s="298" t="s">
        <v>101</v>
      </c>
      <c r="AS12" s="299"/>
      <c r="AT12" s="299"/>
      <c r="AU12" s="299"/>
      <c r="AV12" s="299"/>
      <c r="AW12" s="299"/>
      <c r="AX12" s="299"/>
      <c r="AY12" s="299"/>
      <c r="AZ12" s="299"/>
      <c r="BA12" s="299"/>
      <c r="BB12" s="299"/>
      <c r="BC12" s="299"/>
      <c r="BD12" s="299"/>
      <c r="BE12" s="299"/>
      <c r="BF12" s="299"/>
      <c r="BG12" s="299"/>
      <c r="BH12" s="299"/>
      <c r="BI12" s="299"/>
      <c r="BJ12" s="299"/>
      <c r="BK12" s="299"/>
      <c r="BL12" s="299"/>
      <c r="BM12" s="299"/>
      <c r="BN12" s="299"/>
      <c r="BO12" s="299"/>
      <c r="BP12" s="299"/>
      <c r="BQ12" s="299"/>
      <c r="BR12" s="299"/>
      <c r="BS12" s="299"/>
      <c r="BT12" s="299"/>
      <c r="BU12" s="299"/>
      <c r="BV12" s="299"/>
      <c r="BW12" s="299"/>
      <c r="BX12" s="299"/>
      <c r="BY12" s="299"/>
      <c r="BZ12" s="300"/>
    </row>
    <row r="13" spans="1:78" ht="15.75" customHeight="1">
      <c r="A13" s="288" t="s">
        <v>102</v>
      </c>
      <c r="B13" s="289"/>
      <c r="C13" s="141"/>
      <c r="D13" s="142"/>
      <c r="E13" s="142"/>
      <c r="F13" s="142"/>
      <c r="G13" s="142"/>
      <c r="H13" s="142"/>
      <c r="I13" s="143"/>
      <c r="J13" s="290" t="s">
        <v>103</v>
      </c>
      <c r="K13" s="291"/>
      <c r="L13" s="291"/>
      <c r="M13" s="291"/>
      <c r="N13" s="291"/>
      <c r="O13" s="291"/>
      <c r="P13" s="292"/>
      <c r="Q13" s="293"/>
      <c r="R13" s="294"/>
      <c r="S13" s="294"/>
      <c r="T13" s="294"/>
      <c r="U13" s="294"/>
      <c r="V13" s="294"/>
      <c r="W13" s="294"/>
      <c r="X13" s="294"/>
      <c r="Y13" s="294"/>
      <c r="Z13" s="294"/>
      <c r="AA13" s="146"/>
      <c r="AB13" s="293"/>
      <c r="AC13" s="294"/>
      <c r="AD13" s="294"/>
      <c r="AE13" s="294"/>
      <c r="AF13" s="294"/>
      <c r="AG13" s="294"/>
      <c r="AH13" s="294"/>
      <c r="AI13" s="293"/>
      <c r="AJ13" s="294"/>
      <c r="AK13" s="294"/>
      <c r="AL13" s="294"/>
      <c r="AM13" s="294"/>
      <c r="AN13" s="294"/>
      <c r="AO13" s="294"/>
      <c r="AP13" s="294"/>
      <c r="AQ13" s="294"/>
      <c r="AR13" s="298" t="s">
        <v>104</v>
      </c>
      <c r="AS13" s="299"/>
      <c r="AT13" s="299"/>
      <c r="AU13" s="299"/>
      <c r="AV13" s="299"/>
      <c r="AW13" s="299"/>
      <c r="AX13" s="299"/>
      <c r="AY13" s="299"/>
      <c r="AZ13" s="299"/>
      <c r="BA13" s="299"/>
      <c r="BB13" s="299"/>
      <c r="BC13" s="299"/>
      <c r="BD13" s="299"/>
      <c r="BE13" s="299"/>
      <c r="BF13" s="299"/>
      <c r="BG13" s="299"/>
      <c r="BH13" s="299"/>
      <c r="BI13" s="299"/>
      <c r="BJ13" s="299"/>
      <c r="BK13" s="299"/>
      <c r="BL13" s="299"/>
      <c r="BM13" s="299"/>
      <c r="BN13" s="299"/>
      <c r="BO13" s="299"/>
      <c r="BP13" s="299"/>
      <c r="BQ13" s="299"/>
      <c r="BR13" s="299"/>
      <c r="BS13" s="299"/>
      <c r="BT13" s="299"/>
      <c r="BU13" s="299"/>
      <c r="BV13" s="299"/>
      <c r="BW13" s="299"/>
      <c r="BX13" s="299"/>
      <c r="BY13" s="299"/>
      <c r="BZ13" s="300"/>
    </row>
    <row r="14" spans="1:78" ht="50" customHeight="1">
      <c r="A14" s="288" t="s">
        <v>105</v>
      </c>
      <c r="B14" s="289"/>
      <c r="C14" s="141"/>
      <c r="D14" s="142"/>
      <c r="E14" s="142"/>
      <c r="F14" s="142"/>
      <c r="G14" s="142"/>
      <c r="H14" s="142"/>
      <c r="I14" s="143"/>
      <c r="J14" s="290" t="s">
        <v>106</v>
      </c>
      <c r="K14" s="291"/>
      <c r="L14" s="291"/>
      <c r="M14" s="291"/>
      <c r="N14" s="291"/>
      <c r="O14" s="291"/>
      <c r="P14" s="292"/>
      <c r="Q14" s="144"/>
      <c r="R14" s="145"/>
      <c r="S14" s="145"/>
      <c r="T14" s="145"/>
      <c r="U14" s="145"/>
      <c r="V14" s="145"/>
      <c r="W14" s="145"/>
      <c r="X14" s="145"/>
      <c r="Y14" s="145"/>
      <c r="Z14" s="145"/>
      <c r="AA14" s="146"/>
      <c r="AB14" s="301"/>
      <c r="AC14" s="299"/>
      <c r="AD14" s="299"/>
      <c r="AE14" s="299"/>
      <c r="AF14" s="299"/>
      <c r="AG14" s="299"/>
      <c r="AH14" s="299"/>
      <c r="AI14" s="301" t="s">
        <v>236</v>
      </c>
      <c r="AJ14" s="299"/>
      <c r="AK14" s="299"/>
      <c r="AL14" s="299"/>
      <c r="AM14" s="299"/>
      <c r="AN14" s="299"/>
      <c r="AO14" s="299"/>
      <c r="AP14" s="299"/>
      <c r="AQ14" s="299"/>
      <c r="AR14" s="306" t="s">
        <v>234</v>
      </c>
      <c r="AS14" s="307"/>
      <c r="AT14" s="307"/>
      <c r="AU14" s="307"/>
      <c r="AV14" s="307"/>
      <c r="AW14" s="307"/>
      <c r="AX14" s="307"/>
      <c r="AY14" s="307"/>
      <c r="AZ14" s="307"/>
      <c r="BA14" s="307"/>
      <c r="BB14" s="307"/>
      <c r="BC14" s="307"/>
      <c r="BD14" s="307"/>
      <c r="BE14" s="307"/>
      <c r="BF14" s="307"/>
      <c r="BG14" s="307"/>
      <c r="BH14" s="307"/>
      <c r="BI14" s="307"/>
      <c r="BJ14" s="307"/>
      <c r="BK14" s="307"/>
      <c r="BL14" s="307"/>
      <c r="BM14" s="307"/>
      <c r="BN14" s="307"/>
      <c r="BO14" s="307"/>
      <c r="BP14" s="307"/>
      <c r="BQ14" s="307"/>
      <c r="BR14" s="307"/>
      <c r="BS14" s="307"/>
      <c r="BT14" s="307"/>
      <c r="BU14" s="307"/>
      <c r="BV14" s="307"/>
      <c r="BW14" s="307"/>
      <c r="BX14" s="307"/>
      <c r="BY14" s="307"/>
      <c r="BZ14" s="308"/>
    </row>
    <row r="15" spans="1:78" ht="25" customHeight="1">
      <c r="A15" s="288" t="s">
        <v>107</v>
      </c>
      <c r="B15" s="289"/>
      <c r="C15" s="141"/>
      <c r="D15" s="142"/>
      <c r="E15" s="142"/>
      <c r="F15" s="142"/>
      <c r="G15" s="142"/>
      <c r="H15" s="142"/>
      <c r="I15" s="143"/>
      <c r="J15" s="290" t="s">
        <v>191</v>
      </c>
      <c r="K15" s="291"/>
      <c r="L15" s="291"/>
      <c r="M15" s="291"/>
      <c r="N15" s="291"/>
      <c r="O15" s="291"/>
      <c r="P15" s="292"/>
      <c r="Q15" s="144"/>
      <c r="R15" s="145"/>
      <c r="S15" s="145"/>
      <c r="T15" s="145"/>
      <c r="U15" s="145"/>
      <c r="V15" s="145"/>
      <c r="W15" s="145"/>
      <c r="X15" s="145"/>
      <c r="Y15" s="145"/>
      <c r="Z15" s="145"/>
      <c r="AA15" s="146"/>
      <c r="AB15" s="301"/>
      <c r="AC15" s="299"/>
      <c r="AD15" s="299"/>
      <c r="AE15" s="299"/>
      <c r="AF15" s="299"/>
      <c r="AG15" s="299"/>
      <c r="AH15" s="299"/>
      <c r="AI15" s="301" t="s">
        <v>245</v>
      </c>
      <c r="AJ15" s="299"/>
      <c r="AK15" s="299"/>
      <c r="AL15" s="299"/>
      <c r="AM15" s="299"/>
      <c r="AN15" s="299"/>
      <c r="AO15" s="299"/>
      <c r="AP15" s="299"/>
      <c r="AQ15" s="299"/>
      <c r="AR15" s="147"/>
      <c r="AS15" s="145"/>
      <c r="AT15" s="145"/>
      <c r="AU15" s="145"/>
      <c r="AV15" s="145"/>
      <c r="AW15" s="145"/>
      <c r="AX15" s="145"/>
      <c r="AY15" s="145"/>
      <c r="AZ15" s="145"/>
      <c r="BA15" s="145"/>
      <c r="BB15" s="145"/>
      <c r="BC15" s="145"/>
      <c r="BD15" s="145"/>
      <c r="BE15" s="145"/>
      <c r="BF15" s="145"/>
      <c r="BG15" s="145"/>
      <c r="BH15" s="145"/>
      <c r="BI15" s="145"/>
      <c r="BJ15" s="145"/>
      <c r="BK15" s="145"/>
      <c r="BL15" s="145"/>
      <c r="BM15" s="145"/>
      <c r="BN15" s="145"/>
      <c r="BO15" s="145"/>
      <c r="BP15" s="145"/>
      <c r="BQ15" s="145"/>
      <c r="BR15" s="145"/>
      <c r="BS15" s="145"/>
      <c r="BT15" s="145"/>
      <c r="BU15" s="145"/>
      <c r="BV15" s="145"/>
      <c r="BW15" s="145"/>
      <c r="BX15" s="145"/>
      <c r="BY15" s="145"/>
      <c r="BZ15" s="148"/>
    </row>
    <row r="16" spans="1:78" ht="26.5" customHeight="1">
      <c r="A16" s="288" t="s">
        <v>109</v>
      </c>
      <c r="B16" s="289"/>
      <c r="C16" s="141"/>
      <c r="D16" s="142"/>
      <c r="E16" s="142"/>
      <c r="F16" s="142"/>
      <c r="G16" s="142"/>
      <c r="H16" s="142"/>
      <c r="I16" s="143"/>
      <c r="J16" s="290" t="s">
        <v>192</v>
      </c>
      <c r="K16" s="291"/>
      <c r="L16" s="291"/>
      <c r="M16" s="291"/>
      <c r="N16" s="291"/>
      <c r="O16" s="291"/>
      <c r="P16" s="292"/>
      <c r="Q16" s="144"/>
      <c r="R16" s="145"/>
      <c r="S16" s="145"/>
      <c r="T16" s="145"/>
      <c r="U16" s="145"/>
      <c r="V16" s="145"/>
      <c r="W16" s="145"/>
      <c r="X16" s="145"/>
      <c r="Y16" s="145"/>
      <c r="Z16" s="145"/>
      <c r="AA16" s="146"/>
      <c r="AB16" s="144"/>
      <c r="AC16" s="145"/>
      <c r="AD16" s="145"/>
      <c r="AE16" s="145"/>
      <c r="AF16" s="145"/>
      <c r="AG16" s="145"/>
      <c r="AH16" s="145"/>
      <c r="AI16" s="301" t="s">
        <v>246</v>
      </c>
      <c r="AJ16" s="299"/>
      <c r="AK16" s="299"/>
      <c r="AL16" s="299"/>
      <c r="AM16" s="299"/>
      <c r="AN16" s="299"/>
      <c r="AO16" s="299"/>
      <c r="AP16" s="299"/>
      <c r="AQ16" s="299"/>
      <c r="AR16" s="147"/>
      <c r="AS16" s="145"/>
      <c r="AT16" s="145"/>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c r="BX16" s="145"/>
      <c r="BY16" s="145"/>
      <c r="BZ16" s="148"/>
    </row>
    <row r="17" spans="1:78" ht="27" customHeight="1">
      <c r="A17" s="288" t="s">
        <v>110</v>
      </c>
      <c r="B17" s="289"/>
      <c r="C17" s="141"/>
      <c r="D17" s="142"/>
      <c r="E17" s="142"/>
      <c r="F17" s="142"/>
      <c r="G17" s="142"/>
      <c r="H17" s="142"/>
      <c r="I17" s="143"/>
      <c r="J17" s="290" t="s">
        <v>193</v>
      </c>
      <c r="K17" s="291"/>
      <c r="L17" s="291"/>
      <c r="M17" s="291"/>
      <c r="N17" s="291"/>
      <c r="O17" s="291"/>
      <c r="P17" s="292"/>
      <c r="Q17" s="144"/>
      <c r="R17" s="145"/>
      <c r="S17" s="145"/>
      <c r="T17" s="145"/>
      <c r="U17" s="145"/>
      <c r="V17" s="145"/>
      <c r="W17" s="145"/>
      <c r="X17" s="145"/>
      <c r="Y17" s="145"/>
      <c r="Z17" s="145"/>
      <c r="AA17" s="146"/>
      <c r="AB17" s="144"/>
      <c r="AC17" s="145"/>
      <c r="AD17" s="145"/>
      <c r="AE17" s="145"/>
      <c r="AF17" s="145"/>
      <c r="AG17" s="145"/>
      <c r="AH17" s="145"/>
      <c r="AI17" s="301" t="s">
        <v>247</v>
      </c>
      <c r="AJ17" s="299"/>
      <c r="AK17" s="299"/>
      <c r="AL17" s="299"/>
      <c r="AM17" s="299"/>
      <c r="AN17" s="299"/>
      <c r="AO17" s="299"/>
      <c r="AP17" s="299"/>
      <c r="AQ17" s="299"/>
      <c r="AR17" s="147"/>
      <c r="AS17" s="145"/>
      <c r="AT17" s="145"/>
      <c r="AU17" s="145"/>
      <c r="AV17" s="145"/>
      <c r="AW17" s="145"/>
      <c r="AX17" s="145"/>
      <c r="AY17" s="145"/>
      <c r="AZ17" s="145"/>
      <c r="BA17" s="145"/>
      <c r="BB17" s="145"/>
      <c r="BC17" s="145"/>
      <c r="BD17" s="145"/>
      <c r="BE17" s="145"/>
      <c r="BF17" s="145"/>
      <c r="BG17" s="145"/>
      <c r="BH17" s="145"/>
      <c r="BI17" s="145"/>
      <c r="BJ17" s="145"/>
      <c r="BK17" s="145"/>
      <c r="BL17" s="145"/>
      <c r="BM17" s="145"/>
      <c r="BN17" s="145"/>
      <c r="BO17" s="145"/>
      <c r="BP17" s="145"/>
      <c r="BQ17" s="145"/>
      <c r="BR17" s="145"/>
      <c r="BS17" s="145"/>
      <c r="BT17" s="145"/>
      <c r="BU17" s="145"/>
      <c r="BV17" s="145"/>
      <c r="BW17" s="145"/>
      <c r="BX17" s="145"/>
      <c r="BY17" s="145"/>
      <c r="BZ17" s="148"/>
    </row>
    <row r="18" spans="1:78" ht="26.5" customHeight="1">
      <c r="A18" s="288" t="s">
        <v>111</v>
      </c>
      <c r="B18" s="289"/>
      <c r="C18" s="141"/>
      <c r="D18" s="142"/>
      <c r="E18" s="142"/>
      <c r="F18" s="142"/>
      <c r="G18" s="142"/>
      <c r="H18" s="142"/>
      <c r="I18" s="143"/>
      <c r="J18" s="290" t="s">
        <v>194</v>
      </c>
      <c r="K18" s="291"/>
      <c r="L18" s="291"/>
      <c r="M18" s="291"/>
      <c r="N18" s="291"/>
      <c r="O18" s="291"/>
      <c r="P18" s="292"/>
      <c r="Q18" s="144"/>
      <c r="R18" s="145"/>
      <c r="S18" s="145"/>
      <c r="T18" s="145"/>
      <c r="U18" s="145"/>
      <c r="V18" s="145"/>
      <c r="W18" s="145"/>
      <c r="X18" s="145"/>
      <c r="Y18" s="145"/>
      <c r="Z18" s="145"/>
      <c r="AA18" s="146"/>
      <c r="AB18" s="327" t="s">
        <v>41</v>
      </c>
      <c r="AC18" s="328"/>
      <c r="AD18" s="328"/>
      <c r="AE18" s="328"/>
      <c r="AF18" s="328"/>
      <c r="AG18" s="328"/>
      <c r="AH18" s="329"/>
      <c r="AI18" s="301" t="s">
        <v>248</v>
      </c>
      <c r="AJ18" s="299"/>
      <c r="AK18" s="299"/>
      <c r="AL18" s="299"/>
      <c r="AM18" s="299"/>
      <c r="AN18" s="299"/>
      <c r="AO18" s="299"/>
      <c r="AP18" s="299"/>
      <c r="AQ18" s="299"/>
      <c r="AR18" s="147"/>
      <c r="AS18" s="145"/>
      <c r="AT18" s="145"/>
      <c r="AU18" s="145"/>
      <c r="AV18" s="145"/>
      <c r="AW18" s="145"/>
      <c r="AX18" s="145"/>
      <c r="AY18" s="145"/>
      <c r="AZ18" s="145"/>
      <c r="BA18" s="145"/>
      <c r="BB18" s="145"/>
      <c r="BC18" s="145"/>
      <c r="BD18" s="145"/>
      <c r="BE18" s="145"/>
      <c r="BF18" s="145"/>
      <c r="BG18" s="145"/>
      <c r="BH18" s="145"/>
      <c r="BI18" s="145"/>
      <c r="BJ18" s="145"/>
      <c r="BK18" s="145"/>
      <c r="BL18" s="145"/>
      <c r="BM18" s="145"/>
      <c r="BN18" s="145"/>
      <c r="BO18" s="145"/>
      <c r="BP18" s="145"/>
      <c r="BQ18" s="145"/>
      <c r="BR18" s="145"/>
      <c r="BS18" s="145"/>
      <c r="BT18" s="145"/>
      <c r="BU18" s="145"/>
      <c r="BV18" s="145"/>
      <c r="BW18" s="145"/>
      <c r="BX18" s="145"/>
      <c r="BY18" s="145"/>
      <c r="BZ18" s="148"/>
    </row>
    <row r="19" spans="1:78" ht="30.65" customHeight="1">
      <c r="A19" s="288" t="s">
        <v>112</v>
      </c>
      <c r="B19" s="289"/>
      <c r="C19" s="141"/>
      <c r="D19" s="142"/>
      <c r="E19" s="142"/>
      <c r="F19" s="142"/>
      <c r="G19" s="142"/>
      <c r="H19" s="142"/>
      <c r="I19" s="143"/>
      <c r="J19" s="290" t="s">
        <v>195</v>
      </c>
      <c r="K19" s="291"/>
      <c r="L19" s="291"/>
      <c r="M19" s="291"/>
      <c r="N19" s="291"/>
      <c r="O19" s="291"/>
      <c r="P19" s="292"/>
      <c r="Q19" s="144"/>
      <c r="R19" s="145"/>
      <c r="S19" s="145"/>
      <c r="T19" s="145"/>
      <c r="U19" s="145"/>
      <c r="V19" s="145"/>
      <c r="W19" s="145"/>
      <c r="X19" s="145"/>
      <c r="Y19" s="145"/>
      <c r="Z19" s="145"/>
      <c r="AA19" s="146"/>
      <c r="AB19" s="327" t="s">
        <v>41</v>
      </c>
      <c r="AC19" s="328"/>
      <c r="AD19" s="328"/>
      <c r="AE19" s="328"/>
      <c r="AF19" s="328"/>
      <c r="AG19" s="328"/>
      <c r="AH19" s="329"/>
      <c r="AI19" s="301"/>
      <c r="AJ19" s="299"/>
      <c r="AK19" s="299"/>
      <c r="AL19" s="299"/>
      <c r="AM19" s="299"/>
      <c r="AN19" s="299"/>
      <c r="AO19" s="299"/>
      <c r="AP19" s="299"/>
      <c r="AQ19" s="299"/>
      <c r="AR19" s="298" t="s">
        <v>113</v>
      </c>
      <c r="AS19" s="299"/>
      <c r="AT19" s="299"/>
      <c r="AU19" s="299"/>
      <c r="AV19" s="299"/>
      <c r="AW19" s="299"/>
      <c r="AX19" s="299"/>
      <c r="AY19" s="299"/>
      <c r="AZ19" s="299"/>
      <c r="BA19" s="299"/>
      <c r="BB19" s="299"/>
      <c r="BC19" s="299"/>
      <c r="BD19" s="299"/>
      <c r="BE19" s="299"/>
      <c r="BF19" s="299"/>
      <c r="BG19" s="299"/>
      <c r="BH19" s="299"/>
      <c r="BI19" s="299"/>
      <c r="BJ19" s="299"/>
      <c r="BK19" s="299"/>
      <c r="BL19" s="299"/>
      <c r="BM19" s="299"/>
      <c r="BN19" s="299"/>
      <c r="BO19" s="299"/>
      <c r="BP19" s="299"/>
      <c r="BQ19" s="299"/>
      <c r="BR19" s="299"/>
      <c r="BS19" s="299"/>
      <c r="BT19" s="299"/>
      <c r="BU19" s="299"/>
      <c r="BV19" s="299"/>
      <c r="BW19" s="299"/>
      <c r="BX19" s="299"/>
      <c r="BY19" s="299"/>
      <c r="BZ19" s="300"/>
    </row>
    <row r="20" spans="1:78" ht="117" customHeight="1">
      <c r="A20" s="288" t="s">
        <v>114</v>
      </c>
      <c r="B20" s="289"/>
      <c r="C20" s="141"/>
      <c r="D20" s="142"/>
      <c r="E20" s="142"/>
      <c r="F20" s="142"/>
      <c r="G20" s="142"/>
      <c r="H20" s="142"/>
      <c r="I20" s="143"/>
      <c r="J20" s="290" t="s">
        <v>196</v>
      </c>
      <c r="K20" s="291"/>
      <c r="L20" s="291"/>
      <c r="M20" s="291"/>
      <c r="N20" s="291"/>
      <c r="O20" s="291"/>
      <c r="P20" s="292"/>
      <c r="Q20" s="144"/>
      <c r="R20" s="145"/>
      <c r="S20" s="145"/>
      <c r="T20" s="145"/>
      <c r="U20" s="145"/>
      <c r="V20" s="145"/>
      <c r="W20" s="145"/>
      <c r="X20" s="145"/>
      <c r="Y20" s="145"/>
      <c r="Z20" s="145"/>
      <c r="AA20" s="146"/>
      <c r="AB20" s="144"/>
      <c r="AC20" s="145"/>
      <c r="AD20" s="145"/>
      <c r="AE20" s="145"/>
      <c r="AF20" s="145"/>
      <c r="AG20" s="145"/>
      <c r="AH20" s="145"/>
      <c r="AI20" s="301" t="s">
        <v>249</v>
      </c>
      <c r="AJ20" s="299"/>
      <c r="AK20" s="299"/>
      <c r="AL20" s="299"/>
      <c r="AM20" s="299"/>
      <c r="AN20" s="299"/>
      <c r="AO20" s="299"/>
      <c r="AP20" s="299"/>
      <c r="AQ20" s="299"/>
      <c r="AR20" s="298" t="s">
        <v>115</v>
      </c>
      <c r="AS20" s="299"/>
      <c r="AT20" s="299"/>
      <c r="AU20" s="299"/>
      <c r="AV20" s="299"/>
      <c r="AW20" s="299"/>
      <c r="AX20" s="299"/>
      <c r="AY20" s="299"/>
      <c r="AZ20" s="299"/>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c r="BW20" s="299"/>
      <c r="BX20" s="299"/>
      <c r="BY20" s="299"/>
      <c r="BZ20" s="300"/>
    </row>
    <row r="21" spans="1:78" ht="148.5" customHeight="1">
      <c r="A21" s="288" t="s">
        <v>116</v>
      </c>
      <c r="B21" s="289"/>
      <c r="C21" s="295"/>
      <c r="D21" s="296"/>
      <c r="E21" s="296"/>
      <c r="F21" s="296"/>
      <c r="G21" s="296"/>
      <c r="H21" s="296"/>
      <c r="I21" s="297"/>
      <c r="J21" s="290" t="s">
        <v>197</v>
      </c>
      <c r="K21" s="291"/>
      <c r="L21" s="291"/>
      <c r="M21" s="291"/>
      <c r="N21" s="291"/>
      <c r="O21" s="291"/>
      <c r="P21" s="292"/>
      <c r="Q21" s="301"/>
      <c r="R21" s="299"/>
      <c r="S21" s="299"/>
      <c r="T21" s="299"/>
      <c r="U21" s="299"/>
      <c r="V21" s="299"/>
      <c r="W21" s="299"/>
      <c r="X21" s="299"/>
      <c r="Y21" s="299"/>
      <c r="Z21" s="299"/>
      <c r="AA21" s="302"/>
      <c r="AB21" s="301"/>
      <c r="AC21" s="299"/>
      <c r="AD21" s="299"/>
      <c r="AE21" s="299"/>
      <c r="AF21" s="299"/>
      <c r="AG21" s="299"/>
      <c r="AH21" s="299"/>
      <c r="AI21" s="301" t="s">
        <v>252</v>
      </c>
      <c r="AJ21" s="299"/>
      <c r="AK21" s="299"/>
      <c r="AL21" s="299"/>
      <c r="AM21" s="299"/>
      <c r="AN21" s="299"/>
      <c r="AO21" s="299"/>
      <c r="AP21" s="299"/>
      <c r="AQ21" s="299"/>
      <c r="AR21" s="298" t="s">
        <v>206</v>
      </c>
      <c r="AS21" s="299"/>
      <c r="AT21" s="299"/>
      <c r="AU21" s="299"/>
      <c r="AV21" s="299"/>
      <c r="AW21" s="299"/>
      <c r="AX21" s="299"/>
      <c r="AY21" s="299"/>
      <c r="AZ21" s="299"/>
      <c r="BA21" s="299"/>
      <c r="BB21" s="299"/>
      <c r="BC21" s="299"/>
      <c r="BD21" s="299"/>
      <c r="BE21" s="299"/>
      <c r="BF21" s="299"/>
      <c r="BG21" s="299"/>
      <c r="BH21" s="299"/>
      <c r="BI21" s="299"/>
      <c r="BJ21" s="299"/>
      <c r="BK21" s="299"/>
      <c r="BL21" s="299"/>
      <c r="BM21" s="299"/>
      <c r="BN21" s="299"/>
      <c r="BO21" s="299"/>
      <c r="BP21" s="299"/>
      <c r="BQ21" s="299"/>
      <c r="BR21" s="299"/>
      <c r="BS21" s="299"/>
      <c r="BT21" s="299"/>
      <c r="BU21" s="299"/>
      <c r="BV21" s="299"/>
      <c r="BW21" s="299"/>
      <c r="BX21" s="299"/>
      <c r="BY21" s="299"/>
      <c r="BZ21" s="300"/>
    </row>
    <row r="22" spans="1:78" ht="40.75" customHeight="1">
      <c r="A22" s="288" t="s">
        <v>117</v>
      </c>
      <c r="B22" s="289"/>
      <c r="C22" s="303"/>
      <c r="D22" s="304"/>
      <c r="E22" s="304"/>
      <c r="F22" s="304"/>
      <c r="G22" s="304"/>
      <c r="H22" s="304"/>
      <c r="I22" s="305"/>
      <c r="J22" s="290" t="s">
        <v>198</v>
      </c>
      <c r="K22" s="291"/>
      <c r="L22" s="291"/>
      <c r="M22" s="291"/>
      <c r="N22" s="291"/>
      <c r="O22" s="291"/>
      <c r="P22" s="292"/>
      <c r="Q22" s="301"/>
      <c r="R22" s="299"/>
      <c r="S22" s="299"/>
      <c r="T22" s="299"/>
      <c r="U22" s="299"/>
      <c r="V22" s="299"/>
      <c r="W22" s="299"/>
      <c r="X22" s="299"/>
      <c r="Y22" s="299"/>
      <c r="Z22" s="299"/>
      <c r="AA22" s="302"/>
      <c r="AB22" s="301"/>
      <c r="AC22" s="299"/>
      <c r="AD22" s="299"/>
      <c r="AE22" s="299"/>
      <c r="AF22" s="299"/>
      <c r="AG22" s="299"/>
      <c r="AH22" s="299"/>
      <c r="AI22" s="301"/>
      <c r="AJ22" s="299"/>
      <c r="AK22" s="299"/>
      <c r="AL22" s="299"/>
      <c r="AM22" s="299"/>
      <c r="AN22" s="299"/>
      <c r="AO22" s="299"/>
      <c r="AP22" s="299"/>
      <c r="AQ22" s="299"/>
      <c r="AR22" s="306" t="s">
        <v>118</v>
      </c>
      <c r="AS22" s="307"/>
      <c r="AT22" s="307"/>
      <c r="AU22" s="307"/>
      <c r="AV22" s="307"/>
      <c r="AW22" s="307"/>
      <c r="AX22" s="307"/>
      <c r="AY22" s="307"/>
      <c r="AZ22" s="307"/>
      <c r="BA22" s="307"/>
      <c r="BB22" s="307"/>
      <c r="BC22" s="307"/>
      <c r="BD22" s="307"/>
      <c r="BE22" s="307"/>
      <c r="BF22" s="307"/>
      <c r="BG22" s="307"/>
      <c r="BH22" s="307"/>
      <c r="BI22" s="307"/>
      <c r="BJ22" s="307"/>
      <c r="BK22" s="307"/>
      <c r="BL22" s="307"/>
      <c r="BM22" s="307"/>
      <c r="BN22" s="307"/>
      <c r="BO22" s="307"/>
      <c r="BP22" s="307"/>
      <c r="BQ22" s="307"/>
      <c r="BR22" s="307"/>
      <c r="BS22" s="307"/>
      <c r="BT22" s="307"/>
      <c r="BU22" s="307"/>
      <c r="BV22" s="307"/>
      <c r="BW22" s="307"/>
      <c r="BX22" s="307"/>
      <c r="BY22" s="307"/>
      <c r="BZ22" s="308"/>
    </row>
    <row r="23" spans="1:78">
      <c r="A23" s="288" t="s">
        <v>119</v>
      </c>
      <c r="B23" s="289"/>
      <c r="C23" s="290"/>
      <c r="D23" s="291"/>
      <c r="E23" s="291"/>
      <c r="F23" s="291"/>
      <c r="G23" s="291"/>
      <c r="H23" s="291"/>
      <c r="I23" s="292"/>
      <c r="J23" s="290" t="s">
        <v>120</v>
      </c>
      <c r="K23" s="291"/>
      <c r="L23" s="291"/>
      <c r="M23" s="291"/>
      <c r="N23" s="291"/>
      <c r="O23" s="291"/>
      <c r="P23" s="292"/>
      <c r="Q23" s="301"/>
      <c r="R23" s="299"/>
      <c r="S23" s="299"/>
      <c r="T23" s="299"/>
      <c r="U23" s="299"/>
      <c r="V23" s="299"/>
      <c r="W23" s="299"/>
      <c r="X23" s="299"/>
      <c r="Y23" s="299"/>
      <c r="Z23" s="299"/>
      <c r="AA23" s="302"/>
      <c r="AB23" s="301"/>
      <c r="AC23" s="299"/>
      <c r="AD23" s="299"/>
      <c r="AE23" s="299"/>
      <c r="AF23" s="299"/>
      <c r="AG23" s="299"/>
      <c r="AH23" s="299"/>
      <c r="AI23" s="301"/>
      <c r="AJ23" s="299"/>
      <c r="AK23" s="299"/>
      <c r="AL23" s="299"/>
      <c r="AM23" s="299"/>
      <c r="AN23" s="299"/>
      <c r="AO23" s="299"/>
      <c r="AP23" s="299"/>
      <c r="AQ23" s="299"/>
      <c r="AR23" s="298" t="s">
        <v>199</v>
      </c>
      <c r="AS23" s="299"/>
      <c r="AT23" s="299"/>
      <c r="AU23" s="299"/>
      <c r="AV23" s="299"/>
      <c r="AW23" s="299"/>
      <c r="AX23" s="299"/>
      <c r="AY23" s="299"/>
      <c r="AZ23" s="299"/>
      <c r="BA23" s="299"/>
      <c r="BB23" s="299"/>
      <c r="BC23" s="299"/>
      <c r="BD23" s="299"/>
      <c r="BE23" s="299"/>
      <c r="BF23" s="299"/>
      <c r="BG23" s="299"/>
      <c r="BH23" s="299"/>
      <c r="BI23" s="299"/>
      <c r="BJ23" s="299"/>
      <c r="BK23" s="299"/>
      <c r="BL23" s="299"/>
      <c r="BM23" s="299"/>
      <c r="BN23" s="299"/>
      <c r="BO23" s="299"/>
      <c r="BP23" s="299"/>
      <c r="BQ23" s="299"/>
      <c r="BR23" s="299"/>
      <c r="BS23" s="299"/>
      <c r="BT23" s="299"/>
      <c r="BU23" s="299"/>
      <c r="BV23" s="299"/>
      <c r="BW23" s="299"/>
      <c r="BX23" s="299"/>
      <c r="BY23" s="299"/>
      <c r="BZ23" s="300"/>
    </row>
    <row r="24" spans="1:78" ht="15.75" customHeight="1">
      <c r="A24" s="309">
        <v>4</v>
      </c>
      <c r="B24" s="310"/>
      <c r="C24" s="290" t="s">
        <v>121</v>
      </c>
      <c r="D24" s="291"/>
      <c r="E24" s="291"/>
      <c r="F24" s="291"/>
      <c r="G24" s="291"/>
      <c r="H24" s="291"/>
      <c r="I24" s="292"/>
      <c r="J24" s="149"/>
      <c r="K24" s="311"/>
      <c r="L24" s="311"/>
      <c r="M24" s="311"/>
      <c r="N24" s="311"/>
      <c r="O24" s="311"/>
      <c r="P24" s="312"/>
      <c r="Q24" s="301"/>
      <c r="R24" s="299"/>
      <c r="S24" s="299"/>
      <c r="T24" s="299"/>
      <c r="U24" s="299"/>
      <c r="V24" s="299"/>
      <c r="W24" s="299"/>
      <c r="X24" s="299"/>
      <c r="Y24" s="299"/>
      <c r="Z24" s="299"/>
      <c r="AA24" s="302"/>
      <c r="AB24" s="301"/>
      <c r="AC24" s="299"/>
      <c r="AD24" s="299"/>
      <c r="AE24" s="299"/>
      <c r="AF24" s="299"/>
      <c r="AG24" s="299"/>
      <c r="AH24" s="299"/>
      <c r="AI24" s="301"/>
      <c r="AJ24" s="299"/>
      <c r="AK24" s="299"/>
      <c r="AL24" s="299"/>
      <c r="AM24" s="299"/>
      <c r="AN24" s="299"/>
      <c r="AO24" s="299"/>
      <c r="AP24" s="299"/>
      <c r="AQ24" s="299"/>
      <c r="AR24" s="298"/>
      <c r="AS24" s="299"/>
      <c r="AT24" s="299"/>
      <c r="AU24" s="299"/>
      <c r="AV24" s="299"/>
      <c r="AW24" s="299"/>
      <c r="AX24" s="299"/>
      <c r="AY24" s="299"/>
      <c r="AZ24" s="299"/>
      <c r="BA24" s="299"/>
      <c r="BB24" s="299"/>
      <c r="BC24" s="299"/>
      <c r="BD24" s="299"/>
      <c r="BE24" s="299"/>
      <c r="BF24" s="299"/>
      <c r="BG24" s="299"/>
      <c r="BH24" s="299"/>
      <c r="BI24" s="299"/>
      <c r="BJ24" s="299"/>
      <c r="BK24" s="299"/>
      <c r="BL24" s="299"/>
      <c r="BM24" s="299"/>
      <c r="BN24" s="299"/>
      <c r="BO24" s="299"/>
      <c r="BP24" s="299"/>
      <c r="BQ24" s="299"/>
      <c r="BR24" s="299"/>
      <c r="BS24" s="299"/>
      <c r="BT24" s="299"/>
      <c r="BU24" s="299"/>
      <c r="BV24" s="299"/>
      <c r="BW24" s="299"/>
      <c r="BX24" s="299"/>
      <c r="BY24" s="299"/>
      <c r="BZ24" s="300"/>
    </row>
    <row r="25" spans="1:78" ht="36" customHeight="1">
      <c r="A25" s="288" t="s">
        <v>186</v>
      </c>
      <c r="B25" s="289"/>
      <c r="C25" s="141"/>
      <c r="D25" s="142"/>
      <c r="E25" s="142"/>
      <c r="F25" s="142"/>
      <c r="G25" s="142"/>
      <c r="H25" s="142"/>
      <c r="I25" s="143"/>
      <c r="J25" s="290" t="s">
        <v>51</v>
      </c>
      <c r="K25" s="291"/>
      <c r="L25" s="291"/>
      <c r="M25" s="291"/>
      <c r="N25" s="291"/>
      <c r="O25" s="291"/>
      <c r="P25" s="292"/>
      <c r="Q25" s="293"/>
      <c r="R25" s="294"/>
      <c r="S25" s="294"/>
      <c r="T25" s="294"/>
      <c r="U25" s="294"/>
      <c r="V25" s="294"/>
      <c r="W25" s="294"/>
      <c r="X25" s="294"/>
      <c r="Y25" s="294"/>
      <c r="Z25" s="294"/>
      <c r="AA25" s="146"/>
      <c r="AB25" s="293"/>
      <c r="AC25" s="294"/>
      <c r="AD25" s="294"/>
      <c r="AE25" s="294"/>
      <c r="AF25" s="294"/>
      <c r="AG25" s="294"/>
      <c r="AH25" s="294"/>
      <c r="AI25" s="293" t="s">
        <v>250</v>
      </c>
      <c r="AJ25" s="294"/>
      <c r="AK25" s="294"/>
      <c r="AL25" s="294"/>
      <c r="AM25" s="294"/>
      <c r="AN25" s="294"/>
      <c r="AO25" s="294"/>
      <c r="AP25" s="294"/>
      <c r="AQ25" s="294"/>
      <c r="AR25" s="298" t="s">
        <v>200</v>
      </c>
      <c r="AS25" s="299"/>
      <c r="AT25" s="299"/>
      <c r="AU25" s="299"/>
      <c r="AV25" s="299"/>
      <c r="AW25" s="299"/>
      <c r="AX25" s="299"/>
      <c r="AY25" s="299"/>
      <c r="AZ25" s="299"/>
      <c r="BA25" s="299"/>
      <c r="BB25" s="299"/>
      <c r="BC25" s="299"/>
      <c r="BD25" s="299"/>
      <c r="BE25" s="299"/>
      <c r="BF25" s="299"/>
      <c r="BG25" s="299"/>
      <c r="BH25" s="299"/>
      <c r="BI25" s="299"/>
      <c r="BJ25" s="299"/>
      <c r="BK25" s="299"/>
      <c r="BL25" s="299"/>
      <c r="BM25" s="299"/>
      <c r="BN25" s="299"/>
      <c r="BO25" s="299"/>
      <c r="BP25" s="299"/>
      <c r="BQ25" s="299"/>
      <c r="BR25" s="299"/>
      <c r="BS25" s="299"/>
      <c r="BT25" s="299"/>
      <c r="BU25" s="299"/>
      <c r="BV25" s="299"/>
      <c r="BW25" s="299"/>
      <c r="BX25" s="299"/>
      <c r="BY25" s="299"/>
      <c r="BZ25" s="300"/>
    </row>
    <row r="26" spans="1:78" ht="36" customHeight="1">
      <c r="A26" s="288" t="s">
        <v>122</v>
      </c>
      <c r="B26" s="289"/>
      <c r="C26" s="141"/>
      <c r="D26" s="142"/>
      <c r="E26" s="142"/>
      <c r="F26" s="142"/>
      <c r="G26" s="142"/>
      <c r="H26" s="142"/>
      <c r="I26" s="143"/>
      <c r="J26" s="290" t="s">
        <v>123</v>
      </c>
      <c r="K26" s="291"/>
      <c r="L26" s="291"/>
      <c r="M26" s="291"/>
      <c r="N26" s="291"/>
      <c r="O26" s="291"/>
      <c r="P26" s="292"/>
      <c r="Q26" s="293"/>
      <c r="R26" s="294"/>
      <c r="S26" s="294"/>
      <c r="T26" s="294"/>
      <c r="U26" s="294"/>
      <c r="V26" s="294"/>
      <c r="W26" s="294"/>
      <c r="X26" s="294"/>
      <c r="Y26" s="294"/>
      <c r="Z26" s="294"/>
      <c r="AA26" s="146"/>
      <c r="AB26" s="293"/>
      <c r="AC26" s="294"/>
      <c r="AD26" s="294"/>
      <c r="AE26" s="294"/>
      <c r="AF26" s="294"/>
      <c r="AG26" s="294"/>
      <c r="AH26" s="294"/>
      <c r="AI26" s="293" t="s">
        <v>251</v>
      </c>
      <c r="AJ26" s="294"/>
      <c r="AK26" s="294"/>
      <c r="AL26" s="294"/>
      <c r="AM26" s="294"/>
      <c r="AN26" s="294"/>
      <c r="AO26" s="294"/>
      <c r="AP26" s="294"/>
      <c r="AQ26" s="294"/>
      <c r="AR26" s="298" t="s">
        <v>201</v>
      </c>
      <c r="AS26" s="299"/>
      <c r="AT26" s="299"/>
      <c r="AU26" s="299"/>
      <c r="AV26" s="299"/>
      <c r="AW26" s="299"/>
      <c r="AX26" s="299"/>
      <c r="AY26" s="299"/>
      <c r="AZ26" s="299"/>
      <c r="BA26" s="299"/>
      <c r="BB26" s="299"/>
      <c r="BC26" s="299"/>
      <c r="BD26" s="299"/>
      <c r="BE26" s="299"/>
      <c r="BF26" s="299"/>
      <c r="BG26" s="299"/>
      <c r="BH26" s="299"/>
      <c r="BI26" s="299"/>
      <c r="BJ26" s="299"/>
      <c r="BK26" s="299"/>
      <c r="BL26" s="299"/>
      <c r="BM26" s="299"/>
      <c r="BN26" s="299"/>
      <c r="BO26" s="299"/>
      <c r="BP26" s="299"/>
      <c r="BQ26" s="299"/>
      <c r="BR26" s="299"/>
      <c r="BS26" s="299"/>
      <c r="BT26" s="299"/>
      <c r="BU26" s="299"/>
      <c r="BV26" s="299"/>
      <c r="BW26" s="299"/>
      <c r="BX26" s="299"/>
      <c r="BY26" s="299"/>
      <c r="BZ26" s="300"/>
    </row>
    <row r="27" spans="1:78" ht="36" customHeight="1">
      <c r="A27" s="288" t="s">
        <v>187</v>
      </c>
      <c r="B27" s="289"/>
      <c r="C27" s="141"/>
      <c r="D27" s="142"/>
      <c r="E27" s="142"/>
      <c r="F27" s="142"/>
      <c r="G27" s="142"/>
      <c r="H27" s="142"/>
      <c r="I27" s="143"/>
      <c r="J27" s="290" t="s">
        <v>53</v>
      </c>
      <c r="K27" s="291"/>
      <c r="L27" s="291"/>
      <c r="M27" s="291"/>
      <c r="N27" s="291"/>
      <c r="O27" s="291"/>
      <c r="P27" s="292"/>
      <c r="Q27" s="293"/>
      <c r="R27" s="294"/>
      <c r="S27" s="294"/>
      <c r="T27" s="294"/>
      <c r="U27" s="294"/>
      <c r="V27" s="294"/>
      <c r="W27" s="294"/>
      <c r="X27" s="294"/>
      <c r="Y27" s="294"/>
      <c r="Z27" s="294"/>
      <c r="AA27" s="146"/>
      <c r="AB27" s="293"/>
      <c r="AC27" s="294"/>
      <c r="AD27" s="294"/>
      <c r="AE27" s="294"/>
      <c r="AF27" s="294"/>
      <c r="AG27" s="294"/>
      <c r="AH27" s="294"/>
      <c r="AI27" s="293" t="s">
        <v>253</v>
      </c>
      <c r="AJ27" s="294"/>
      <c r="AK27" s="294"/>
      <c r="AL27" s="294"/>
      <c r="AM27" s="294"/>
      <c r="AN27" s="294"/>
      <c r="AO27" s="294"/>
      <c r="AP27" s="294"/>
      <c r="AQ27" s="294"/>
      <c r="AR27" s="298" t="s">
        <v>202</v>
      </c>
      <c r="AS27" s="299"/>
      <c r="AT27" s="299"/>
      <c r="AU27" s="299"/>
      <c r="AV27" s="299"/>
      <c r="AW27" s="299"/>
      <c r="AX27" s="299"/>
      <c r="AY27" s="299"/>
      <c r="AZ27" s="299"/>
      <c r="BA27" s="299"/>
      <c r="BB27" s="299"/>
      <c r="BC27" s="299"/>
      <c r="BD27" s="299"/>
      <c r="BE27" s="299"/>
      <c r="BF27" s="299"/>
      <c r="BG27" s="299"/>
      <c r="BH27" s="299"/>
      <c r="BI27" s="299"/>
      <c r="BJ27" s="299"/>
      <c r="BK27" s="299"/>
      <c r="BL27" s="299"/>
      <c r="BM27" s="299"/>
      <c r="BN27" s="299"/>
      <c r="BO27" s="299"/>
      <c r="BP27" s="299"/>
      <c r="BQ27" s="299"/>
      <c r="BR27" s="299"/>
      <c r="BS27" s="299"/>
      <c r="BT27" s="299"/>
      <c r="BU27" s="299"/>
      <c r="BV27" s="299"/>
      <c r="BW27" s="299"/>
      <c r="BX27" s="299"/>
      <c r="BY27" s="299"/>
      <c r="BZ27" s="300"/>
    </row>
    <row r="28" spans="1:78" ht="36" customHeight="1">
      <c r="A28" s="288" t="s">
        <v>188</v>
      </c>
      <c r="B28" s="289"/>
      <c r="C28" s="141"/>
      <c r="D28" s="142"/>
      <c r="E28" s="142"/>
      <c r="F28" s="142"/>
      <c r="G28" s="142"/>
      <c r="H28" s="142"/>
      <c r="I28" s="143"/>
      <c r="J28" s="290" t="s">
        <v>190</v>
      </c>
      <c r="K28" s="291"/>
      <c r="L28" s="291"/>
      <c r="M28" s="291"/>
      <c r="N28" s="291"/>
      <c r="O28" s="291"/>
      <c r="P28" s="292"/>
      <c r="Q28" s="293"/>
      <c r="R28" s="294"/>
      <c r="S28" s="294"/>
      <c r="T28" s="294"/>
      <c r="U28" s="294"/>
      <c r="V28" s="294"/>
      <c r="W28" s="294"/>
      <c r="X28" s="294"/>
      <c r="Y28" s="294"/>
      <c r="Z28" s="294"/>
      <c r="AA28" s="146"/>
      <c r="AB28" s="293"/>
      <c r="AC28" s="294"/>
      <c r="AD28" s="294"/>
      <c r="AE28" s="294"/>
      <c r="AF28" s="294"/>
      <c r="AG28" s="294"/>
      <c r="AH28" s="294"/>
      <c r="AI28" s="293" t="s">
        <v>254</v>
      </c>
      <c r="AJ28" s="294"/>
      <c r="AK28" s="294"/>
      <c r="AL28" s="294"/>
      <c r="AM28" s="294"/>
      <c r="AN28" s="294"/>
      <c r="AO28" s="294"/>
      <c r="AP28" s="294"/>
      <c r="AQ28" s="294"/>
      <c r="AR28" s="298" t="s">
        <v>203</v>
      </c>
      <c r="AS28" s="299"/>
      <c r="AT28" s="299"/>
      <c r="AU28" s="299"/>
      <c r="AV28" s="299"/>
      <c r="AW28" s="299"/>
      <c r="AX28" s="299"/>
      <c r="AY28" s="299"/>
      <c r="AZ28" s="299"/>
      <c r="BA28" s="299"/>
      <c r="BB28" s="299"/>
      <c r="BC28" s="299"/>
      <c r="BD28" s="299"/>
      <c r="BE28" s="299"/>
      <c r="BF28" s="299"/>
      <c r="BG28" s="299"/>
      <c r="BH28" s="299"/>
      <c r="BI28" s="299"/>
      <c r="BJ28" s="299"/>
      <c r="BK28" s="299"/>
      <c r="BL28" s="299"/>
      <c r="BM28" s="299"/>
      <c r="BN28" s="299"/>
      <c r="BO28" s="299"/>
      <c r="BP28" s="299"/>
      <c r="BQ28" s="299"/>
      <c r="BR28" s="299"/>
      <c r="BS28" s="299"/>
      <c r="BT28" s="299"/>
      <c r="BU28" s="299"/>
      <c r="BV28" s="299"/>
      <c r="BW28" s="299"/>
      <c r="BX28" s="299"/>
      <c r="BY28" s="299"/>
      <c r="BZ28" s="300"/>
    </row>
    <row r="29" spans="1:78" ht="36" customHeight="1">
      <c r="A29" s="288" t="s">
        <v>189</v>
      </c>
      <c r="B29" s="289"/>
      <c r="C29" s="141"/>
      <c r="D29" s="142"/>
      <c r="E29" s="142"/>
      <c r="F29" s="142"/>
      <c r="G29" s="142"/>
      <c r="H29" s="142"/>
      <c r="I29" s="143"/>
      <c r="J29" s="290" t="s">
        <v>55</v>
      </c>
      <c r="K29" s="291"/>
      <c r="L29" s="291"/>
      <c r="M29" s="291"/>
      <c r="N29" s="291"/>
      <c r="O29" s="291"/>
      <c r="P29" s="292"/>
      <c r="Q29" s="293"/>
      <c r="R29" s="294"/>
      <c r="S29" s="294"/>
      <c r="T29" s="294"/>
      <c r="U29" s="294"/>
      <c r="V29" s="294"/>
      <c r="W29" s="294"/>
      <c r="X29" s="294"/>
      <c r="Y29" s="294"/>
      <c r="Z29" s="294"/>
      <c r="AA29" s="146"/>
      <c r="AB29" s="293"/>
      <c r="AC29" s="294"/>
      <c r="AD29" s="294"/>
      <c r="AE29" s="294"/>
      <c r="AF29" s="294"/>
      <c r="AG29" s="294"/>
      <c r="AH29" s="294"/>
      <c r="AI29" s="293" t="s">
        <v>255</v>
      </c>
      <c r="AJ29" s="294"/>
      <c r="AK29" s="294"/>
      <c r="AL29" s="294"/>
      <c r="AM29" s="294"/>
      <c r="AN29" s="294"/>
      <c r="AO29" s="294"/>
      <c r="AP29" s="294"/>
      <c r="AQ29" s="294"/>
      <c r="AR29" s="298" t="s">
        <v>204</v>
      </c>
      <c r="AS29" s="299"/>
      <c r="AT29" s="299"/>
      <c r="AU29" s="299"/>
      <c r="AV29" s="299"/>
      <c r="AW29" s="299"/>
      <c r="AX29" s="299"/>
      <c r="AY29" s="299"/>
      <c r="AZ29" s="299"/>
      <c r="BA29" s="299"/>
      <c r="BB29" s="299"/>
      <c r="BC29" s="299"/>
      <c r="BD29" s="299"/>
      <c r="BE29" s="299"/>
      <c r="BF29" s="299"/>
      <c r="BG29" s="299"/>
      <c r="BH29" s="299"/>
      <c r="BI29" s="299"/>
      <c r="BJ29" s="299"/>
      <c r="BK29" s="299"/>
      <c r="BL29" s="299"/>
      <c r="BM29" s="299"/>
      <c r="BN29" s="299"/>
      <c r="BO29" s="299"/>
      <c r="BP29" s="299"/>
      <c r="BQ29" s="299"/>
      <c r="BR29" s="299"/>
      <c r="BS29" s="299"/>
      <c r="BT29" s="299"/>
      <c r="BU29" s="299"/>
      <c r="BV29" s="299"/>
      <c r="BW29" s="299"/>
      <c r="BX29" s="299"/>
      <c r="BY29" s="299"/>
      <c r="BZ29" s="300"/>
    </row>
    <row r="30" spans="1:78" ht="74.5" customHeight="1">
      <c r="A30" s="288" t="s">
        <v>124</v>
      </c>
      <c r="B30" s="289"/>
      <c r="C30" s="141"/>
      <c r="D30" s="142"/>
      <c r="E30" s="142"/>
      <c r="F30" s="142"/>
      <c r="G30" s="142"/>
      <c r="H30" s="142"/>
      <c r="I30" s="143"/>
      <c r="J30" s="290" t="s">
        <v>125</v>
      </c>
      <c r="K30" s="291"/>
      <c r="L30" s="291"/>
      <c r="M30" s="291"/>
      <c r="N30" s="291"/>
      <c r="O30" s="291"/>
      <c r="P30" s="292"/>
      <c r="Q30" s="293"/>
      <c r="R30" s="294"/>
      <c r="S30" s="294"/>
      <c r="T30" s="294"/>
      <c r="U30" s="294"/>
      <c r="V30" s="294"/>
      <c r="W30" s="294"/>
      <c r="X30" s="294"/>
      <c r="Y30" s="294"/>
      <c r="Z30" s="294"/>
      <c r="AA30" s="146"/>
      <c r="AB30" s="293"/>
      <c r="AC30" s="294"/>
      <c r="AD30" s="294"/>
      <c r="AE30" s="294"/>
      <c r="AF30" s="294"/>
      <c r="AG30" s="294"/>
      <c r="AH30" s="294"/>
      <c r="AI30" s="293"/>
      <c r="AJ30" s="294"/>
      <c r="AK30" s="294"/>
      <c r="AL30" s="294"/>
      <c r="AM30" s="294"/>
      <c r="AN30" s="294"/>
      <c r="AO30" s="294"/>
      <c r="AP30" s="294"/>
      <c r="AQ30" s="294"/>
      <c r="AR30" s="298" t="s">
        <v>205</v>
      </c>
      <c r="AS30" s="299"/>
      <c r="AT30" s="299"/>
      <c r="AU30" s="299"/>
      <c r="AV30" s="299"/>
      <c r="AW30" s="299"/>
      <c r="AX30" s="299"/>
      <c r="AY30" s="299"/>
      <c r="AZ30" s="299"/>
      <c r="BA30" s="299"/>
      <c r="BB30" s="299"/>
      <c r="BC30" s="299"/>
      <c r="BD30" s="299"/>
      <c r="BE30" s="299"/>
      <c r="BF30" s="299"/>
      <c r="BG30" s="299"/>
      <c r="BH30" s="299"/>
      <c r="BI30" s="299"/>
      <c r="BJ30" s="299"/>
      <c r="BK30" s="299"/>
      <c r="BL30" s="299"/>
      <c r="BM30" s="299"/>
      <c r="BN30" s="299"/>
      <c r="BO30" s="299"/>
      <c r="BP30" s="299"/>
      <c r="BQ30" s="299"/>
      <c r="BR30" s="299"/>
      <c r="BS30" s="299"/>
      <c r="BT30" s="299"/>
      <c r="BU30" s="299"/>
      <c r="BV30" s="299"/>
      <c r="BW30" s="299"/>
      <c r="BX30" s="299"/>
      <c r="BY30" s="299"/>
      <c r="BZ30" s="300"/>
    </row>
    <row r="31" spans="1:78">
      <c r="A31" s="138"/>
      <c r="B31" s="138"/>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c r="AA31" s="138"/>
      <c r="AB31" s="138"/>
      <c r="AC31" s="138"/>
      <c r="AD31" s="138"/>
      <c r="AE31" s="138"/>
      <c r="AF31" s="138"/>
      <c r="AG31" s="138"/>
      <c r="AH31" s="138"/>
      <c r="AI31" s="138"/>
      <c r="AJ31" s="138"/>
      <c r="AK31" s="138"/>
      <c r="AL31" s="138"/>
      <c r="AM31" s="138"/>
      <c r="AN31" s="138"/>
      <c r="AO31" s="138"/>
      <c r="AP31" s="138"/>
      <c r="AQ31" s="138"/>
      <c r="AR31" s="138"/>
      <c r="AS31" s="138"/>
      <c r="AT31" s="138"/>
      <c r="AU31" s="138"/>
      <c r="AV31" s="138"/>
      <c r="AW31" s="138"/>
      <c r="AX31" s="138"/>
      <c r="AY31" s="138"/>
      <c r="AZ31" s="138"/>
      <c r="BA31" s="138"/>
      <c r="BB31" s="138"/>
      <c r="BC31" s="138"/>
      <c r="BD31" s="138"/>
      <c r="BE31" s="138"/>
      <c r="BF31" s="138"/>
      <c r="BG31" s="138"/>
      <c r="BH31" s="138"/>
      <c r="BI31" s="138"/>
      <c r="BJ31" s="138"/>
      <c r="BK31" s="138"/>
      <c r="BL31" s="138"/>
      <c r="BM31" s="138"/>
      <c r="BN31" s="138"/>
      <c r="BO31" s="138"/>
      <c r="BP31" s="138"/>
      <c r="BQ31" s="138"/>
      <c r="BR31" s="138"/>
      <c r="BS31" s="138"/>
      <c r="BT31" s="138"/>
      <c r="BU31" s="138"/>
      <c r="BV31" s="138"/>
      <c r="BW31" s="138"/>
      <c r="BX31" s="138"/>
      <c r="BY31" s="138"/>
      <c r="BZ31" s="138"/>
    </row>
    <row r="33" spans="3:50">
      <c r="C33" s="150" t="s">
        <v>126</v>
      </c>
      <c r="D33" s="151"/>
      <c r="E33" s="152"/>
      <c r="F33" s="153"/>
      <c r="G33" s="153"/>
      <c r="H33" s="153"/>
      <c r="I33" s="153"/>
      <c r="J33" s="153"/>
      <c r="K33" s="153"/>
      <c r="L33" s="154"/>
      <c r="P33" s="155" t="s">
        <v>127</v>
      </c>
    </row>
    <row r="34" spans="3:50">
      <c r="C34" s="156" t="s">
        <v>128</v>
      </c>
      <c r="D34" s="152"/>
      <c r="E34" s="152"/>
      <c r="F34" s="153"/>
      <c r="G34" s="153"/>
      <c r="H34" s="153"/>
      <c r="I34" s="152"/>
      <c r="J34" s="153"/>
      <c r="K34" s="153"/>
      <c r="L34" s="154"/>
      <c r="P34" s="157" t="s">
        <v>129</v>
      </c>
    </row>
    <row r="35" spans="3:50">
      <c r="C35" s="156" t="s">
        <v>130</v>
      </c>
      <c r="D35" s="152"/>
      <c r="E35" s="152"/>
      <c r="F35" s="153"/>
      <c r="G35" s="153"/>
      <c r="H35" s="153"/>
      <c r="I35" s="152"/>
      <c r="J35" s="153"/>
      <c r="K35" s="153"/>
      <c r="L35" s="154"/>
      <c r="P35" s="157" t="s">
        <v>131</v>
      </c>
    </row>
    <row r="36" spans="3:50">
      <c r="C36" s="156" t="s">
        <v>132</v>
      </c>
      <c r="D36" s="152"/>
      <c r="E36" s="152"/>
      <c r="F36" s="153"/>
      <c r="G36" s="153"/>
      <c r="H36" s="153"/>
      <c r="I36" s="152"/>
      <c r="J36" s="153"/>
      <c r="K36" s="153"/>
      <c r="L36" s="154"/>
    </row>
    <row r="37" spans="3:50">
      <c r="C37" s="156" t="s">
        <v>133</v>
      </c>
      <c r="D37" s="152"/>
      <c r="E37" s="152"/>
      <c r="F37" s="153"/>
      <c r="G37" s="153"/>
      <c r="H37" s="153"/>
      <c r="I37" s="152"/>
      <c r="J37" s="153"/>
      <c r="K37" s="153"/>
      <c r="L37" s="154"/>
      <c r="Q37" s="158"/>
      <c r="R37" s="158"/>
      <c r="S37" s="158"/>
      <c r="T37" s="158"/>
      <c r="U37" s="158"/>
      <c r="V37" s="159"/>
      <c r="W37" s="159"/>
      <c r="X37" s="159"/>
      <c r="Y37" s="159"/>
      <c r="Z37" s="158"/>
      <c r="AA37" s="158"/>
      <c r="AB37" s="158"/>
      <c r="AC37" s="158"/>
      <c r="AD37" s="158"/>
      <c r="AE37" s="158"/>
      <c r="AF37" s="158"/>
      <c r="AG37" s="159"/>
      <c r="AH37" s="159"/>
      <c r="AI37" s="158"/>
      <c r="AJ37" s="158"/>
      <c r="AK37" s="158"/>
      <c r="AL37" s="158"/>
      <c r="AM37" s="159"/>
      <c r="AN37" s="158"/>
      <c r="AO37" s="158"/>
      <c r="AP37" s="159"/>
      <c r="AQ37" s="159"/>
      <c r="AR37" s="158"/>
      <c r="AS37" s="158"/>
      <c r="AT37" s="158"/>
      <c r="AU37" s="158"/>
      <c r="AV37" s="158"/>
      <c r="AW37" s="158"/>
      <c r="AX37" s="158"/>
    </row>
    <row r="38" spans="3:50">
      <c r="C38" s="156" t="s">
        <v>134</v>
      </c>
      <c r="D38" s="152"/>
      <c r="E38" s="152"/>
      <c r="F38" s="153"/>
      <c r="G38" s="153"/>
      <c r="H38" s="153"/>
      <c r="I38" s="152"/>
      <c r="J38" s="153"/>
      <c r="K38" s="153"/>
      <c r="L38" s="154"/>
      <c r="Q38" s="160"/>
      <c r="R38" s="160"/>
      <c r="S38" s="160"/>
      <c r="T38" s="160"/>
      <c r="U38" s="160"/>
      <c r="V38" s="161"/>
      <c r="W38" s="161"/>
      <c r="X38" s="161"/>
      <c r="Y38" s="161"/>
      <c r="Z38" s="162"/>
      <c r="AA38" s="162"/>
      <c r="AB38" s="160"/>
      <c r="AC38" s="160"/>
      <c r="AD38" s="160"/>
      <c r="AE38" s="160"/>
      <c r="AF38" s="160"/>
      <c r="AG38" s="161"/>
      <c r="AH38" s="161"/>
      <c r="AI38" s="160"/>
      <c r="AJ38" s="160"/>
      <c r="AK38" s="160"/>
      <c r="AL38" s="160"/>
      <c r="AM38" s="161"/>
      <c r="AN38" s="160"/>
      <c r="AO38" s="160"/>
      <c r="AP38" s="161"/>
      <c r="AQ38" s="161"/>
      <c r="AR38" s="162"/>
      <c r="AS38" s="162"/>
      <c r="AT38" s="162"/>
      <c r="AU38" s="162"/>
      <c r="AV38" s="162"/>
      <c r="AW38" s="162"/>
      <c r="AX38" s="162"/>
    </row>
    <row r="39" spans="3:50">
      <c r="C39" s="156" t="s">
        <v>135</v>
      </c>
      <c r="D39" s="152"/>
      <c r="E39" s="152"/>
      <c r="F39" s="153"/>
      <c r="G39" s="153"/>
      <c r="H39" s="153"/>
      <c r="I39" s="152"/>
      <c r="J39" s="153"/>
      <c r="K39" s="153"/>
      <c r="L39" s="154"/>
      <c r="Q39" s="160"/>
      <c r="R39" s="160"/>
      <c r="S39" s="160"/>
      <c r="T39" s="160"/>
      <c r="U39" s="160"/>
      <c r="V39" s="161"/>
      <c r="W39" s="161"/>
      <c r="X39" s="161"/>
      <c r="Y39" s="161"/>
      <c r="Z39" s="162"/>
      <c r="AA39" s="162"/>
      <c r="AB39" s="160"/>
      <c r="AC39" s="160"/>
      <c r="AD39" s="160"/>
      <c r="AE39" s="160"/>
      <c r="AF39" s="160"/>
      <c r="AG39" s="161"/>
      <c r="AH39" s="161"/>
      <c r="AI39" s="160"/>
      <c r="AJ39" s="160"/>
      <c r="AK39" s="160"/>
      <c r="AL39" s="160"/>
      <c r="AM39" s="161"/>
      <c r="AN39" s="160"/>
      <c r="AO39" s="160"/>
      <c r="AP39" s="161"/>
      <c r="AQ39" s="161"/>
      <c r="AR39" s="162"/>
      <c r="AS39" s="162"/>
      <c r="AT39" s="162"/>
      <c r="AU39" s="162"/>
      <c r="AV39" s="162"/>
      <c r="AW39" s="162"/>
      <c r="AX39" s="162"/>
    </row>
    <row r="40" spans="3:50">
      <c r="C40" s="156" t="s">
        <v>136</v>
      </c>
      <c r="D40" s="152"/>
      <c r="E40" s="152"/>
      <c r="F40" s="153"/>
      <c r="G40" s="153"/>
      <c r="H40" s="153"/>
      <c r="I40" s="152"/>
      <c r="J40" s="153"/>
      <c r="K40" s="153"/>
      <c r="L40" s="154"/>
      <c r="Q40" s="160"/>
      <c r="R40" s="160"/>
      <c r="S40" s="160"/>
      <c r="T40" s="160"/>
      <c r="U40" s="160"/>
      <c r="V40" s="161"/>
      <c r="W40" s="161"/>
      <c r="X40" s="161"/>
      <c r="Y40" s="161"/>
      <c r="Z40" s="162"/>
      <c r="AA40" s="162"/>
      <c r="AB40" s="160"/>
      <c r="AC40" s="160"/>
      <c r="AD40" s="160"/>
      <c r="AE40" s="160"/>
      <c r="AF40" s="160"/>
      <c r="AG40" s="161"/>
      <c r="AH40" s="161"/>
      <c r="AI40" s="160"/>
      <c r="AJ40" s="160"/>
      <c r="AK40" s="160"/>
      <c r="AL40" s="160"/>
      <c r="AM40" s="161"/>
      <c r="AN40" s="160"/>
      <c r="AO40" s="160"/>
      <c r="AP40" s="161"/>
      <c r="AQ40" s="161"/>
      <c r="AR40" s="162"/>
      <c r="AS40" s="162"/>
      <c r="AT40" s="162"/>
      <c r="AU40" s="162"/>
      <c r="AV40" s="162"/>
      <c r="AW40" s="162"/>
      <c r="AX40" s="162"/>
    </row>
    <row r="41" spans="3:50">
      <c r="C41" s="156" t="s">
        <v>137</v>
      </c>
      <c r="D41" s="152"/>
      <c r="E41" s="152"/>
      <c r="F41" s="153"/>
      <c r="G41" s="153"/>
      <c r="H41" s="153"/>
      <c r="I41" s="152"/>
      <c r="J41" s="153"/>
      <c r="K41" s="153"/>
      <c r="L41" s="154"/>
      <c r="Q41" s="160"/>
      <c r="R41" s="160"/>
      <c r="S41" s="160"/>
      <c r="T41" s="160"/>
      <c r="U41" s="160"/>
      <c r="V41" s="161"/>
      <c r="W41" s="161"/>
      <c r="X41" s="161"/>
      <c r="Y41" s="161"/>
      <c r="Z41" s="162"/>
      <c r="AA41" s="162"/>
      <c r="AB41" s="160"/>
      <c r="AC41" s="160"/>
      <c r="AD41" s="160"/>
      <c r="AE41" s="160"/>
      <c r="AF41" s="160"/>
      <c r="AG41" s="161"/>
      <c r="AH41" s="161"/>
      <c r="AI41" s="160"/>
      <c r="AJ41" s="160"/>
      <c r="AK41" s="160"/>
      <c r="AL41" s="160"/>
      <c r="AM41" s="161"/>
      <c r="AN41" s="160"/>
      <c r="AO41" s="160"/>
      <c r="AP41" s="161"/>
      <c r="AQ41" s="161"/>
      <c r="AR41" s="162"/>
      <c r="AS41" s="162"/>
      <c r="AT41" s="162"/>
      <c r="AU41" s="162"/>
      <c r="AV41" s="162"/>
      <c r="AW41" s="162"/>
      <c r="AX41" s="162"/>
    </row>
    <row r="42" spans="3:50">
      <c r="C42" s="156" t="s">
        <v>138</v>
      </c>
      <c r="D42" s="152"/>
      <c r="E42" s="152"/>
      <c r="F42" s="153"/>
      <c r="G42" s="153"/>
      <c r="H42" s="153"/>
      <c r="I42" s="152"/>
      <c r="J42" s="153"/>
      <c r="K42" s="153"/>
      <c r="L42" s="154"/>
    </row>
    <row r="43" spans="3:50">
      <c r="C43" s="156" t="s">
        <v>139</v>
      </c>
      <c r="D43" s="152"/>
      <c r="E43" s="152"/>
      <c r="F43" s="153"/>
      <c r="G43" s="153"/>
      <c r="H43" s="153"/>
      <c r="I43" s="152"/>
      <c r="J43" s="153"/>
      <c r="K43" s="153"/>
      <c r="L43" s="154"/>
    </row>
    <row r="44" spans="3:50">
      <c r="C44" s="156" t="s">
        <v>140</v>
      </c>
      <c r="D44" s="152"/>
      <c r="E44" s="152"/>
      <c r="F44" s="153"/>
      <c r="G44" s="153"/>
      <c r="H44" s="153"/>
      <c r="I44" s="152"/>
      <c r="J44" s="153"/>
      <c r="K44" s="153"/>
      <c r="L44" s="154"/>
    </row>
    <row r="45" spans="3:50">
      <c r="C45" s="156" t="s">
        <v>141</v>
      </c>
      <c r="D45" s="152"/>
      <c r="E45" s="152"/>
      <c r="F45" s="153"/>
      <c r="G45" s="153"/>
      <c r="H45" s="153"/>
      <c r="I45" s="152"/>
      <c r="J45" s="153"/>
      <c r="K45" s="153"/>
      <c r="L45" s="154"/>
    </row>
    <row r="46" spans="3:50">
      <c r="C46" s="156" t="s">
        <v>142</v>
      </c>
      <c r="D46" s="152"/>
      <c r="E46" s="152"/>
      <c r="F46" s="153"/>
      <c r="G46" s="153"/>
      <c r="H46" s="153"/>
      <c r="I46" s="152"/>
      <c r="J46" s="153"/>
      <c r="K46" s="153"/>
      <c r="L46" s="154"/>
    </row>
    <row r="47" spans="3:50">
      <c r="C47" s="156" t="s">
        <v>143</v>
      </c>
      <c r="D47" s="152"/>
      <c r="E47" s="152"/>
      <c r="F47" s="153"/>
      <c r="G47" s="153"/>
      <c r="H47" s="153"/>
      <c r="I47" s="152"/>
      <c r="J47" s="153"/>
      <c r="K47" s="153"/>
      <c r="L47" s="154"/>
    </row>
    <row r="48" spans="3:50">
      <c r="C48" s="156" t="s">
        <v>144</v>
      </c>
      <c r="D48" s="152"/>
      <c r="E48" s="152"/>
      <c r="F48" s="153"/>
      <c r="G48" s="153"/>
      <c r="H48" s="153"/>
      <c r="I48" s="152"/>
      <c r="J48" s="153"/>
      <c r="K48" s="153"/>
      <c r="L48" s="154"/>
    </row>
    <row r="49" spans="3:12">
      <c r="C49" s="156" t="s">
        <v>145</v>
      </c>
      <c r="D49" s="152"/>
      <c r="E49" s="152"/>
      <c r="F49" s="153"/>
      <c r="G49" s="153"/>
      <c r="H49" s="153"/>
      <c r="I49" s="152"/>
      <c r="J49" s="153"/>
      <c r="K49" s="153"/>
      <c r="L49" s="154"/>
    </row>
    <row r="50" spans="3:12">
      <c r="C50" s="156" t="s">
        <v>146</v>
      </c>
      <c r="D50" s="152"/>
      <c r="E50" s="152"/>
      <c r="F50" s="153"/>
      <c r="G50" s="153"/>
      <c r="H50" s="153"/>
      <c r="I50" s="152"/>
      <c r="J50" s="153"/>
      <c r="K50" s="153"/>
      <c r="L50" s="154"/>
    </row>
    <row r="51" spans="3:12">
      <c r="C51" s="156" t="s">
        <v>147</v>
      </c>
      <c r="D51" s="152"/>
      <c r="E51" s="152"/>
      <c r="F51" s="153"/>
      <c r="G51" s="153"/>
      <c r="H51" s="153"/>
      <c r="I51" s="152"/>
      <c r="J51" s="153"/>
      <c r="K51" s="153"/>
      <c r="L51" s="154"/>
    </row>
    <row r="52" spans="3:12">
      <c r="C52" s="156" t="s">
        <v>148</v>
      </c>
      <c r="D52" s="152"/>
      <c r="E52" s="152"/>
      <c r="F52" s="153"/>
      <c r="G52" s="153"/>
      <c r="H52" s="153"/>
      <c r="I52" s="152"/>
      <c r="J52" s="153"/>
      <c r="K52" s="153"/>
      <c r="L52" s="154"/>
    </row>
    <row r="53" spans="3:12">
      <c r="C53" s="156" t="s">
        <v>149</v>
      </c>
      <c r="D53" s="152"/>
      <c r="E53" s="152"/>
      <c r="F53" s="153"/>
      <c r="G53" s="153"/>
      <c r="H53" s="153"/>
      <c r="I53" s="152"/>
      <c r="J53" s="153"/>
      <c r="K53" s="153"/>
      <c r="L53" s="154"/>
    </row>
    <row r="54" spans="3:12">
      <c r="C54" s="156" t="s">
        <v>97</v>
      </c>
      <c r="D54" s="152"/>
      <c r="E54" s="152"/>
      <c r="F54" s="153"/>
      <c r="G54" s="153"/>
      <c r="H54" s="153"/>
      <c r="I54" s="152"/>
      <c r="J54" s="153"/>
      <c r="K54" s="153"/>
      <c r="L54" s="154"/>
    </row>
  </sheetData>
  <mergeCells count="162">
    <mergeCell ref="A7:B7"/>
    <mergeCell ref="C7:I7"/>
    <mergeCell ref="J7:P7"/>
    <mergeCell ref="Q7:AA7"/>
    <mergeCell ref="AB7:AH7"/>
    <mergeCell ref="AI7:AQ7"/>
    <mergeCell ref="AR7:BZ7"/>
    <mergeCell ref="AI27:AQ27"/>
    <mergeCell ref="AI28:AQ28"/>
    <mergeCell ref="AI29:AQ29"/>
    <mergeCell ref="AI30:AQ30"/>
    <mergeCell ref="AB18:AH18"/>
    <mergeCell ref="AB19:AH19"/>
    <mergeCell ref="AR6:BZ6"/>
    <mergeCell ref="AB6:AH6"/>
    <mergeCell ref="AR11:BZ11"/>
    <mergeCell ref="AI11:AQ11"/>
    <mergeCell ref="A6:B6"/>
    <mergeCell ref="AR29:BZ29"/>
    <mergeCell ref="Q30:Z30"/>
    <mergeCell ref="AR30:BZ30"/>
    <mergeCell ref="AB11:AH11"/>
    <mergeCell ref="AB12:AH12"/>
    <mergeCell ref="AB13:AH13"/>
    <mergeCell ref="AB21:AH21"/>
    <mergeCell ref="AB22:AH22"/>
    <mergeCell ref="AB14:AH14"/>
    <mergeCell ref="AB15:AH15"/>
    <mergeCell ref="AR12:BZ12"/>
    <mergeCell ref="Q21:AA21"/>
    <mergeCell ref="AR21:BZ21"/>
    <mergeCell ref="Q26:Z26"/>
    <mergeCell ref="AR26:BZ26"/>
    <mergeCell ref="AR25:BZ25"/>
    <mergeCell ref="AR27:BZ27"/>
    <mergeCell ref="AR28:BZ28"/>
    <mergeCell ref="AI25:AQ25"/>
    <mergeCell ref="AI26:AQ26"/>
    <mergeCell ref="C6:I6"/>
    <mergeCell ref="J6:P6"/>
    <mergeCell ref="Q11:AA11"/>
    <mergeCell ref="A1:I1"/>
    <mergeCell ref="A2:P2"/>
    <mergeCell ref="Q2:BZ2"/>
    <mergeCell ref="A3:B4"/>
    <mergeCell ref="C3:P3"/>
    <mergeCell ref="C4:I4"/>
    <mergeCell ref="J4:P4"/>
    <mergeCell ref="Q3:AA4"/>
    <mergeCell ref="Q5:AA5"/>
    <mergeCell ref="AR5:BZ5"/>
    <mergeCell ref="AR3:BZ4"/>
    <mergeCell ref="A5:B5"/>
    <mergeCell ref="C5:I5"/>
    <mergeCell ref="J5:P5"/>
    <mergeCell ref="AB5:AH5"/>
    <mergeCell ref="AB3:AH4"/>
    <mergeCell ref="AI3:AQ4"/>
    <mergeCell ref="AI5:AQ5"/>
    <mergeCell ref="A11:B11"/>
    <mergeCell ref="C11:I11"/>
    <mergeCell ref="K11:P11"/>
    <mergeCell ref="A8:B8"/>
    <mergeCell ref="C8:I8"/>
    <mergeCell ref="K8:P8"/>
    <mergeCell ref="Q8:AA8"/>
    <mergeCell ref="Q6:AA6"/>
    <mergeCell ref="AR8:BZ8"/>
    <mergeCell ref="A9:B9"/>
    <mergeCell ref="J9:P9"/>
    <mergeCell ref="Q9:Z9"/>
    <mergeCell ref="AR9:BZ9"/>
    <mergeCell ref="A10:B10"/>
    <mergeCell ref="J10:P10"/>
    <mergeCell ref="Q10:Z10"/>
    <mergeCell ref="AR10:BZ10"/>
    <mergeCell ref="AB8:AH8"/>
    <mergeCell ref="AB9:AH9"/>
    <mergeCell ref="AB10:AH10"/>
    <mergeCell ref="AI6:AQ6"/>
    <mergeCell ref="AI8:AQ8"/>
    <mergeCell ref="AI9:AQ9"/>
    <mergeCell ref="AI10:AQ10"/>
    <mergeCell ref="A13:B13"/>
    <mergeCell ref="J13:P13"/>
    <mergeCell ref="Q13:Z13"/>
    <mergeCell ref="AR13:BZ13"/>
    <mergeCell ref="A12:B12"/>
    <mergeCell ref="J12:P12"/>
    <mergeCell ref="Q12:Z12"/>
    <mergeCell ref="A15:B15"/>
    <mergeCell ref="J15:P15"/>
    <mergeCell ref="A14:B14"/>
    <mergeCell ref="J14:P14"/>
    <mergeCell ref="AR14:BZ14"/>
    <mergeCell ref="AI13:AQ13"/>
    <mergeCell ref="AI14:AQ14"/>
    <mergeCell ref="AI15:AQ15"/>
    <mergeCell ref="AI12:AQ12"/>
    <mergeCell ref="A18:B18"/>
    <mergeCell ref="J18:P18"/>
    <mergeCell ref="A17:B17"/>
    <mergeCell ref="J17:P17"/>
    <mergeCell ref="A16:B16"/>
    <mergeCell ref="J16:P16"/>
    <mergeCell ref="A20:B20"/>
    <mergeCell ref="J20:P20"/>
    <mergeCell ref="AR20:BZ20"/>
    <mergeCell ref="A19:B19"/>
    <mergeCell ref="J19:P19"/>
    <mergeCell ref="AR19:BZ19"/>
    <mergeCell ref="AI16:AQ16"/>
    <mergeCell ref="AI17:AQ17"/>
    <mergeCell ref="AI18:AQ18"/>
    <mergeCell ref="AI19:AQ19"/>
    <mergeCell ref="AI20:AQ20"/>
    <mergeCell ref="A21:B21"/>
    <mergeCell ref="C21:I21"/>
    <mergeCell ref="J21:P21"/>
    <mergeCell ref="AR24:BZ24"/>
    <mergeCell ref="Q22:AA22"/>
    <mergeCell ref="A22:B22"/>
    <mergeCell ref="C22:I22"/>
    <mergeCell ref="J22:P22"/>
    <mergeCell ref="AR22:BZ22"/>
    <mergeCell ref="Q23:AA23"/>
    <mergeCell ref="AR23:BZ23"/>
    <mergeCell ref="A23:B23"/>
    <mergeCell ref="C23:I23"/>
    <mergeCell ref="J23:P23"/>
    <mergeCell ref="Q24:AA24"/>
    <mergeCell ref="A24:B24"/>
    <mergeCell ref="C24:I24"/>
    <mergeCell ref="K24:P24"/>
    <mergeCell ref="AB23:AH23"/>
    <mergeCell ref="AB24:AH24"/>
    <mergeCell ref="AI21:AQ21"/>
    <mergeCell ref="AI22:AQ22"/>
    <mergeCell ref="AI23:AQ23"/>
    <mergeCell ref="AI24:AQ24"/>
    <mergeCell ref="A30:B30"/>
    <mergeCell ref="J30:P30"/>
    <mergeCell ref="A26:B26"/>
    <mergeCell ref="J26:P26"/>
    <mergeCell ref="AB26:AH26"/>
    <mergeCell ref="AB30:AH30"/>
    <mergeCell ref="A25:B25"/>
    <mergeCell ref="J25:P25"/>
    <mergeCell ref="Q25:Z25"/>
    <mergeCell ref="AB25:AH25"/>
    <mergeCell ref="A27:B27"/>
    <mergeCell ref="A28:B28"/>
    <mergeCell ref="J28:P28"/>
    <mergeCell ref="Q28:Z28"/>
    <mergeCell ref="AB28:AH28"/>
    <mergeCell ref="A29:B29"/>
    <mergeCell ref="J29:P29"/>
    <mergeCell ref="Q29:Z29"/>
    <mergeCell ref="AB29:AH29"/>
    <mergeCell ref="J27:P27"/>
    <mergeCell ref="Q27:Z27"/>
    <mergeCell ref="AB27:AH27"/>
  </mergeCells>
  <phoneticPr fontId="53"/>
  <conditionalFormatting sqref="Q5:Q30">
    <cfRule type="expression" dxfId="3" priority="18" stopIfTrue="1">
      <formula>FIND("○",#REF!)</formula>
    </cfRule>
  </conditionalFormatting>
  <conditionalFormatting sqref="AB5:AB30">
    <cfRule type="expression" dxfId="2" priority="2" stopIfTrue="1">
      <formula>FIND("○",#REF!)</formula>
    </cfRule>
  </conditionalFormatting>
  <conditionalFormatting sqref="AI5:AI30">
    <cfRule type="expression" dxfId="1" priority="1" stopIfTrue="1">
      <formula>FIND("○",#REF!)</formula>
    </cfRule>
  </conditionalFormatting>
  <conditionalFormatting sqref="AR5:AR30">
    <cfRule type="expression" dxfId="0" priority="3" stopIfTrue="1">
      <formula>FIND("○",#REF!)</formula>
    </cfRule>
  </conditionalFormatting>
  <dataValidations count="5">
    <dataValidation type="list" allowBlank="1" showInputMessage="1" showErrorMessage="1" sqref="U65568:X65568 IM65568:IP65568 SI65568:SL65568 ACE65568:ACH65568 AMA65568:AMD65568 AVW65568:AVZ65568 BFS65568:BFV65568 BPO65568:BPR65568 BZK65568:BZN65568 CJG65568:CJJ65568 CTC65568:CTF65568 DCY65568:DDB65568 DMU65568:DMX65568 DWQ65568:DWT65568 EGM65568:EGP65568 EQI65568:EQL65568 FAE65568:FAH65568 FKA65568:FKD65568 FTW65568:FTZ65568 GDS65568:GDV65568 GNO65568:GNR65568 GXK65568:GXN65568 HHG65568:HHJ65568 HRC65568:HRF65568 IAY65568:IBB65568 IKU65568:IKX65568 IUQ65568:IUT65568 JEM65568:JEP65568 JOI65568:JOL65568 JYE65568:JYH65568 KIA65568:KID65568 KRW65568:KRZ65568 LBS65568:LBV65568 LLO65568:LLR65568 LVK65568:LVN65568 MFG65568:MFJ65568 MPC65568:MPF65568 MYY65568:MZB65568 NIU65568:NIX65568 NSQ65568:NST65568 OCM65568:OCP65568 OMI65568:OML65568 OWE65568:OWH65568 PGA65568:PGD65568 PPW65568:PPZ65568 PZS65568:PZV65568 QJO65568:QJR65568 QTK65568:QTN65568 RDG65568:RDJ65568 RNC65568:RNF65568 RWY65568:RXB65568 SGU65568:SGX65568 SQQ65568:SQT65568 TAM65568:TAP65568 TKI65568:TKL65568 TUE65568:TUH65568 UEA65568:UED65568 UNW65568:UNZ65568 UXS65568:UXV65568 VHO65568:VHR65568 VRK65568:VRN65568 WBG65568:WBJ65568 WLC65568:WLF65568 WUY65568:WVB65568 U131104:X131104 IM131104:IP131104 SI131104:SL131104 ACE131104:ACH131104 AMA131104:AMD131104 AVW131104:AVZ131104 BFS131104:BFV131104 BPO131104:BPR131104 BZK131104:BZN131104 CJG131104:CJJ131104 CTC131104:CTF131104 DCY131104:DDB131104 DMU131104:DMX131104 DWQ131104:DWT131104 EGM131104:EGP131104 EQI131104:EQL131104 FAE131104:FAH131104 FKA131104:FKD131104 FTW131104:FTZ131104 GDS131104:GDV131104 GNO131104:GNR131104 GXK131104:GXN131104 HHG131104:HHJ131104 HRC131104:HRF131104 IAY131104:IBB131104 IKU131104:IKX131104 IUQ131104:IUT131104 JEM131104:JEP131104 JOI131104:JOL131104 JYE131104:JYH131104 KIA131104:KID131104 KRW131104:KRZ131104 LBS131104:LBV131104 LLO131104:LLR131104 LVK131104:LVN131104 MFG131104:MFJ131104 MPC131104:MPF131104 MYY131104:MZB131104 NIU131104:NIX131104 NSQ131104:NST131104 OCM131104:OCP131104 OMI131104:OML131104 OWE131104:OWH131104 PGA131104:PGD131104 PPW131104:PPZ131104 PZS131104:PZV131104 QJO131104:QJR131104 QTK131104:QTN131104 RDG131104:RDJ131104 RNC131104:RNF131104 RWY131104:RXB131104 SGU131104:SGX131104 SQQ131104:SQT131104 TAM131104:TAP131104 TKI131104:TKL131104 TUE131104:TUH131104 UEA131104:UED131104 UNW131104:UNZ131104 UXS131104:UXV131104 VHO131104:VHR131104 VRK131104:VRN131104 WBG131104:WBJ131104 WLC131104:WLF131104 WUY131104:WVB131104 U196640:X196640 IM196640:IP196640 SI196640:SL196640 ACE196640:ACH196640 AMA196640:AMD196640 AVW196640:AVZ196640 BFS196640:BFV196640 BPO196640:BPR196640 BZK196640:BZN196640 CJG196640:CJJ196640 CTC196640:CTF196640 DCY196640:DDB196640 DMU196640:DMX196640 DWQ196640:DWT196640 EGM196640:EGP196640 EQI196640:EQL196640 FAE196640:FAH196640 FKA196640:FKD196640 FTW196640:FTZ196640 GDS196640:GDV196640 GNO196640:GNR196640 GXK196640:GXN196640 HHG196640:HHJ196640 HRC196640:HRF196640 IAY196640:IBB196640 IKU196640:IKX196640 IUQ196640:IUT196640 JEM196640:JEP196640 JOI196640:JOL196640 JYE196640:JYH196640 KIA196640:KID196640 KRW196640:KRZ196640 LBS196640:LBV196640 LLO196640:LLR196640 LVK196640:LVN196640 MFG196640:MFJ196640 MPC196640:MPF196640 MYY196640:MZB196640 NIU196640:NIX196640 NSQ196640:NST196640 OCM196640:OCP196640 OMI196640:OML196640 OWE196640:OWH196640 PGA196640:PGD196640 PPW196640:PPZ196640 PZS196640:PZV196640 QJO196640:QJR196640 QTK196640:QTN196640 RDG196640:RDJ196640 RNC196640:RNF196640 RWY196640:RXB196640 SGU196640:SGX196640 SQQ196640:SQT196640 TAM196640:TAP196640 TKI196640:TKL196640 TUE196640:TUH196640 UEA196640:UED196640 UNW196640:UNZ196640 UXS196640:UXV196640 VHO196640:VHR196640 VRK196640:VRN196640 WBG196640:WBJ196640 WLC196640:WLF196640 WUY196640:WVB196640 U262176:X262176 IM262176:IP262176 SI262176:SL262176 ACE262176:ACH262176 AMA262176:AMD262176 AVW262176:AVZ262176 BFS262176:BFV262176 BPO262176:BPR262176 BZK262176:BZN262176 CJG262176:CJJ262176 CTC262176:CTF262176 DCY262176:DDB262176 DMU262176:DMX262176 DWQ262176:DWT262176 EGM262176:EGP262176 EQI262176:EQL262176 FAE262176:FAH262176 FKA262176:FKD262176 FTW262176:FTZ262176 GDS262176:GDV262176 GNO262176:GNR262176 GXK262176:GXN262176 HHG262176:HHJ262176 HRC262176:HRF262176 IAY262176:IBB262176 IKU262176:IKX262176 IUQ262176:IUT262176 JEM262176:JEP262176 JOI262176:JOL262176 JYE262176:JYH262176 KIA262176:KID262176 KRW262176:KRZ262176 LBS262176:LBV262176 LLO262176:LLR262176 LVK262176:LVN262176 MFG262176:MFJ262176 MPC262176:MPF262176 MYY262176:MZB262176 NIU262176:NIX262176 NSQ262176:NST262176 OCM262176:OCP262176 OMI262176:OML262176 OWE262176:OWH262176 PGA262176:PGD262176 PPW262176:PPZ262176 PZS262176:PZV262176 QJO262176:QJR262176 QTK262176:QTN262176 RDG262176:RDJ262176 RNC262176:RNF262176 RWY262176:RXB262176 SGU262176:SGX262176 SQQ262176:SQT262176 TAM262176:TAP262176 TKI262176:TKL262176 TUE262176:TUH262176 UEA262176:UED262176 UNW262176:UNZ262176 UXS262176:UXV262176 VHO262176:VHR262176 VRK262176:VRN262176 WBG262176:WBJ262176 WLC262176:WLF262176 WUY262176:WVB262176 U327712:X327712 IM327712:IP327712 SI327712:SL327712 ACE327712:ACH327712 AMA327712:AMD327712 AVW327712:AVZ327712 BFS327712:BFV327712 BPO327712:BPR327712 BZK327712:BZN327712 CJG327712:CJJ327712 CTC327712:CTF327712 DCY327712:DDB327712 DMU327712:DMX327712 DWQ327712:DWT327712 EGM327712:EGP327712 EQI327712:EQL327712 FAE327712:FAH327712 FKA327712:FKD327712 FTW327712:FTZ327712 GDS327712:GDV327712 GNO327712:GNR327712 GXK327712:GXN327712 HHG327712:HHJ327712 HRC327712:HRF327712 IAY327712:IBB327712 IKU327712:IKX327712 IUQ327712:IUT327712 JEM327712:JEP327712 JOI327712:JOL327712 JYE327712:JYH327712 KIA327712:KID327712 KRW327712:KRZ327712 LBS327712:LBV327712 LLO327712:LLR327712 LVK327712:LVN327712 MFG327712:MFJ327712 MPC327712:MPF327712 MYY327712:MZB327712 NIU327712:NIX327712 NSQ327712:NST327712 OCM327712:OCP327712 OMI327712:OML327712 OWE327712:OWH327712 PGA327712:PGD327712 PPW327712:PPZ327712 PZS327712:PZV327712 QJO327712:QJR327712 QTK327712:QTN327712 RDG327712:RDJ327712 RNC327712:RNF327712 RWY327712:RXB327712 SGU327712:SGX327712 SQQ327712:SQT327712 TAM327712:TAP327712 TKI327712:TKL327712 TUE327712:TUH327712 UEA327712:UED327712 UNW327712:UNZ327712 UXS327712:UXV327712 VHO327712:VHR327712 VRK327712:VRN327712 WBG327712:WBJ327712 WLC327712:WLF327712 WUY327712:WVB327712 U393248:X393248 IM393248:IP393248 SI393248:SL393248 ACE393248:ACH393248 AMA393248:AMD393248 AVW393248:AVZ393248 BFS393248:BFV393248 BPO393248:BPR393248 BZK393248:BZN393248 CJG393248:CJJ393248 CTC393248:CTF393248 DCY393248:DDB393248 DMU393248:DMX393248 DWQ393248:DWT393248 EGM393248:EGP393248 EQI393248:EQL393248 FAE393248:FAH393248 FKA393248:FKD393248 FTW393248:FTZ393248 GDS393248:GDV393248 GNO393248:GNR393248 GXK393248:GXN393248 HHG393248:HHJ393248 HRC393248:HRF393248 IAY393248:IBB393248 IKU393248:IKX393248 IUQ393248:IUT393248 JEM393248:JEP393248 JOI393248:JOL393248 JYE393248:JYH393248 KIA393248:KID393248 KRW393248:KRZ393248 LBS393248:LBV393248 LLO393248:LLR393248 LVK393248:LVN393248 MFG393248:MFJ393248 MPC393248:MPF393248 MYY393248:MZB393248 NIU393248:NIX393248 NSQ393248:NST393248 OCM393248:OCP393248 OMI393248:OML393248 OWE393248:OWH393248 PGA393248:PGD393248 PPW393248:PPZ393248 PZS393248:PZV393248 QJO393248:QJR393248 QTK393248:QTN393248 RDG393248:RDJ393248 RNC393248:RNF393248 RWY393248:RXB393248 SGU393248:SGX393248 SQQ393248:SQT393248 TAM393248:TAP393248 TKI393248:TKL393248 TUE393248:TUH393248 UEA393248:UED393248 UNW393248:UNZ393248 UXS393248:UXV393248 VHO393248:VHR393248 VRK393248:VRN393248 WBG393248:WBJ393248 WLC393248:WLF393248 WUY393248:WVB393248 U458784:X458784 IM458784:IP458784 SI458784:SL458784 ACE458784:ACH458784 AMA458784:AMD458784 AVW458784:AVZ458784 BFS458784:BFV458784 BPO458784:BPR458784 BZK458784:BZN458784 CJG458784:CJJ458784 CTC458784:CTF458784 DCY458784:DDB458784 DMU458784:DMX458784 DWQ458784:DWT458784 EGM458784:EGP458784 EQI458784:EQL458784 FAE458784:FAH458784 FKA458784:FKD458784 FTW458784:FTZ458784 GDS458784:GDV458784 GNO458784:GNR458784 GXK458784:GXN458784 HHG458784:HHJ458784 HRC458784:HRF458784 IAY458784:IBB458784 IKU458784:IKX458784 IUQ458784:IUT458784 JEM458784:JEP458784 JOI458784:JOL458784 JYE458784:JYH458784 KIA458784:KID458784 KRW458784:KRZ458784 LBS458784:LBV458784 LLO458784:LLR458784 LVK458784:LVN458784 MFG458784:MFJ458784 MPC458784:MPF458784 MYY458784:MZB458784 NIU458784:NIX458784 NSQ458784:NST458784 OCM458784:OCP458784 OMI458784:OML458784 OWE458784:OWH458784 PGA458784:PGD458784 PPW458784:PPZ458784 PZS458784:PZV458784 QJO458784:QJR458784 QTK458784:QTN458784 RDG458784:RDJ458784 RNC458784:RNF458784 RWY458784:RXB458784 SGU458784:SGX458784 SQQ458784:SQT458784 TAM458784:TAP458784 TKI458784:TKL458784 TUE458784:TUH458784 UEA458784:UED458784 UNW458784:UNZ458784 UXS458784:UXV458784 VHO458784:VHR458784 VRK458784:VRN458784 WBG458784:WBJ458784 WLC458784:WLF458784 WUY458784:WVB458784 U524320:X524320 IM524320:IP524320 SI524320:SL524320 ACE524320:ACH524320 AMA524320:AMD524320 AVW524320:AVZ524320 BFS524320:BFV524320 BPO524320:BPR524320 BZK524320:BZN524320 CJG524320:CJJ524320 CTC524320:CTF524320 DCY524320:DDB524320 DMU524320:DMX524320 DWQ524320:DWT524320 EGM524320:EGP524320 EQI524320:EQL524320 FAE524320:FAH524320 FKA524320:FKD524320 FTW524320:FTZ524320 GDS524320:GDV524320 GNO524320:GNR524320 GXK524320:GXN524320 HHG524320:HHJ524320 HRC524320:HRF524320 IAY524320:IBB524320 IKU524320:IKX524320 IUQ524320:IUT524320 JEM524320:JEP524320 JOI524320:JOL524320 JYE524320:JYH524320 KIA524320:KID524320 KRW524320:KRZ524320 LBS524320:LBV524320 LLO524320:LLR524320 LVK524320:LVN524320 MFG524320:MFJ524320 MPC524320:MPF524320 MYY524320:MZB524320 NIU524320:NIX524320 NSQ524320:NST524320 OCM524320:OCP524320 OMI524320:OML524320 OWE524320:OWH524320 PGA524320:PGD524320 PPW524320:PPZ524320 PZS524320:PZV524320 QJO524320:QJR524320 QTK524320:QTN524320 RDG524320:RDJ524320 RNC524320:RNF524320 RWY524320:RXB524320 SGU524320:SGX524320 SQQ524320:SQT524320 TAM524320:TAP524320 TKI524320:TKL524320 TUE524320:TUH524320 UEA524320:UED524320 UNW524320:UNZ524320 UXS524320:UXV524320 VHO524320:VHR524320 VRK524320:VRN524320 WBG524320:WBJ524320 WLC524320:WLF524320 WUY524320:WVB524320 U589856:X589856 IM589856:IP589856 SI589856:SL589856 ACE589856:ACH589856 AMA589856:AMD589856 AVW589856:AVZ589856 BFS589856:BFV589856 BPO589856:BPR589856 BZK589856:BZN589856 CJG589856:CJJ589856 CTC589856:CTF589856 DCY589856:DDB589856 DMU589856:DMX589856 DWQ589856:DWT589856 EGM589856:EGP589856 EQI589856:EQL589856 FAE589856:FAH589856 FKA589856:FKD589856 FTW589856:FTZ589856 GDS589856:GDV589856 GNO589856:GNR589856 GXK589856:GXN589856 HHG589856:HHJ589856 HRC589856:HRF589856 IAY589856:IBB589856 IKU589856:IKX589856 IUQ589856:IUT589856 JEM589856:JEP589856 JOI589856:JOL589856 JYE589856:JYH589856 KIA589856:KID589856 KRW589856:KRZ589856 LBS589856:LBV589856 LLO589856:LLR589856 LVK589856:LVN589856 MFG589856:MFJ589856 MPC589856:MPF589856 MYY589856:MZB589856 NIU589856:NIX589856 NSQ589856:NST589856 OCM589856:OCP589856 OMI589856:OML589856 OWE589856:OWH589856 PGA589856:PGD589856 PPW589856:PPZ589856 PZS589856:PZV589856 QJO589856:QJR589856 QTK589856:QTN589856 RDG589856:RDJ589856 RNC589856:RNF589856 RWY589856:RXB589856 SGU589856:SGX589856 SQQ589856:SQT589856 TAM589856:TAP589856 TKI589856:TKL589856 TUE589856:TUH589856 UEA589856:UED589856 UNW589856:UNZ589856 UXS589856:UXV589856 VHO589856:VHR589856 VRK589856:VRN589856 WBG589856:WBJ589856 WLC589856:WLF589856 WUY589856:WVB589856 U655392:X655392 IM655392:IP655392 SI655392:SL655392 ACE655392:ACH655392 AMA655392:AMD655392 AVW655392:AVZ655392 BFS655392:BFV655392 BPO655392:BPR655392 BZK655392:BZN655392 CJG655392:CJJ655392 CTC655392:CTF655392 DCY655392:DDB655392 DMU655392:DMX655392 DWQ655392:DWT655392 EGM655392:EGP655392 EQI655392:EQL655392 FAE655392:FAH655392 FKA655392:FKD655392 FTW655392:FTZ655392 GDS655392:GDV655392 GNO655392:GNR655392 GXK655392:GXN655392 HHG655392:HHJ655392 HRC655392:HRF655392 IAY655392:IBB655392 IKU655392:IKX655392 IUQ655392:IUT655392 JEM655392:JEP655392 JOI655392:JOL655392 JYE655392:JYH655392 KIA655392:KID655392 KRW655392:KRZ655392 LBS655392:LBV655392 LLO655392:LLR655392 LVK655392:LVN655392 MFG655392:MFJ655392 MPC655392:MPF655392 MYY655392:MZB655392 NIU655392:NIX655392 NSQ655392:NST655392 OCM655392:OCP655392 OMI655392:OML655392 OWE655392:OWH655392 PGA655392:PGD655392 PPW655392:PPZ655392 PZS655392:PZV655392 QJO655392:QJR655392 QTK655392:QTN655392 RDG655392:RDJ655392 RNC655392:RNF655392 RWY655392:RXB655392 SGU655392:SGX655392 SQQ655392:SQT655392 TAM655392:TAP655392 TKI655392:TKL655392 TUE655392:TUH655392 UEA655392:UED655392 UNW655392:UNZ655392 UXS655392:UXV655392 VHO655392:VHR655392 VRK655392:VRN655392 WBG655392:WBJ655392 WLC655392:WLF655392 WUY655392:WVB655392 U720928:X720928 IM720928:IP720928 SI720928:SL720928 ACE720928:ACH720928 AMA720928:AMD720928 AVW720928:AVZ720928 BFS720928:BFV720928 BPO720928:BPR720928 BZK720928:BZN720928 CJG720928:CJJ720928 CTC720928:CTF720928 DCY720928:DDB720928 DMU720928:DMX720928 DWQ720928:DWT720928 EGM720928:EGP720928 EQI720928:EQL720928 FAE720928:FAH720928 FKA720928:FKD720928 FTW720928:FTZ720928 GDS720928:GDV720928 GNO720928:GNR720928 GXK720928:GXN720928 HHG720928:HHJ720928 HRC720928:HRF720928 IAY720928:IBB720928 IKU720928:IKX720928 IUQ720928:IUT720928 JEM720928:JEP720928 JOI720928:JOL720928 JYE720928:JYH720928 KIA720928:KID720928 KRW720928:KRZ720928 LBS720928:LBV720928 LLO720928:LLR720928 LVK720928:LVN720928 MFG720928:MFJ720928 MPC720928:MPF720928 MYY720928:MZB720928 NIU720928:NIX720928 NSQ720928:NST720928 OCM720928:OCP720928 OMI720928:OML720928 OWE720928:OWH720928 PGA720928:PGD720928 PPW720928:PPZ720928 PZS720928:PZV720928 QJO720928:QJR720928 QTK720928:QTN720928 RDG720928:RDJ720928 RNC720928:RNF720928 RWY720928:RXB720928 SGU720928:SGX720928 SQQ720928:SQT720928 TAM720928:TAP720928 TKI720928:TKL720928 TUE720928:TUH720928 UEA720928:UED720928 UNW720928:UNZ720928 UXS720928:UXV720928 VHO720928:VHR720928 VRK720928:VRN720928 WBG720928:WBJ720928 WLC720928:WLF720928 WUY720928:WVB720928 U786464:X786464 IM786464:IP786464 SI786464:SL786464 ACE786464:ACH786464 AMA786464:AMD786464 AVW786464:AVZ786464 BFS786464:BFV786464 BPO786464:BPR786464 BZK786464:BZN786464 CJG786464:CJJ786464 CTC786464:CTF786464 DCY786464:DDB786464 DMU786464:DMX786464 DWQ786464:DWT786464 EGM786464:EGP786464 EQI786464:EQL786464 FAE786464:FAH786464 FKA786464:FKD786464 FTW786464:FTZ786464 GDS786464:GDV786464 GNO786464:GNR786464 GXK786464:GXN786464 HHG786464:HHJ786464 HRC786464:HRF786464 IAY786464:IBB786464 IKU786464:IKX786464 IUQ786464:IUT786464 JEM786464:JEP786464 JOI786464:JOL786464 JYE786464:JYH786464 KIA786464:KID786464 KRW786464:KRZ786464 LBS786464:LBV786464 LLO786464:LLR786464 LVK786464:LVN786464 MFG786464:MFJ786464 MPC786464:MPF786464 MYY786464:MZB786464 NIU786464:NIX786464 NSQ786464:NST786464 OCM786464:OCP786464 OMI786464:OML786464 OWE786464:OWH786464 PGA786464:PGD786464 PPW786464:PPZ786464 PZS786464:PZV786464 QJO786464:QJR786464 QTK786464:QTN786464 RDG786464:RDJ786464 RNC786464:RNF786464 RWY786464:RXB786464 SGU786464:SGX786464 SQQ786464:SQT786464 TAM786464:TAP786464 TKI786464:TKL786464 TUE786464:TUH786464 UEA786464:UED786464 UNW786464:UNZ786464 UXS786464:UXV786464 VHO786464:VHR786464 VRK786464:VRN786464 WBG786464:WBJ786464 WLC786464:WLF786464 WUY786464:WVB786464 U852000:X852000 IM852000:IP852000 SI852000:SL852000 ACE852000:ACH852000 AMA852000:AMD852000 AVW852000:AVZ852000 BFS852000:BFV852000 BPO852000:BPR852000 BZK852000:BZN852000 CJG852000:CJJ852000 CTC852000:CTF852000 DCY852000:DDB852000 DMU852000:DMX852000 DWQ852000:DWT852000 EGM852000:EGP852000 EQI852000:EQL852000 FAE852000:FAH852000 FKA852000:FKD852000 FTW852000:FTZ852000 GDS852000:GDV852000 GNO852000:GNR852000 GXK852000:GXN852000 HHG852000:HHJ852000 HRC852000:HRF852000 IAY852000:IBB852000 IKU852000:IKX852000 IUQ852000:IUT852000 JEM852000:JEP852000 JOI852000:JOL852000 JYE852000:JYH852000 KIA852000:KID852000 KRW852000:KRZ852000 LBS852000:LBV852000 LLO852000:LLR852000 LVK852000:LVN852000 MFG852000:MFJ852000 MPC852000:MPF852000 MYY852000:MZB852000 NIU852000:NIX852000 NSQ852000:NST852000 OCM852000:OCP852000 OMI852000:OML852000 OWE852000:OWH852000 PGA852000:PGD852000 PPW852000:PPZ852000 PZS852000:PZV852000 QJO852000:QJR852000 QTK852000:QTN852000 RDG852000:RDJ852000 RNC852000:RNF852000 RWY852000:RXB852000 SGU852000:SGX852000 SQQ852000:SQT852000 TAM852000:TAP852000 TKI852000:TKL852000 TUE852000:TUH852000 UEA852000:UED852000 UNW852000:UNZ852000 UXS852000:UXV852000 VHO852000:VHR852000 VRK852000:VRN852000 WBG852000:WBJ852000 WLC852000:WLF852000 WUY852000:WVB852000 U917536:X917536 IM917536:IP917536 SI917536:SL917536 ACE917536:ACH917536 AMA917536:AMD917536 AVW917536:AVZ917536 BFS917536:BFV917536 BPO917536:BPR917536 BZK917536:BZN917536 CJG917536:CJJ917536 CTC917536:CTF917536 DCY917536:DDB917536 DMU917536:DMX917536 DWQ917536:DWT917536 EGM917536:EGP917536 EQI917536:EQL917536 FAE917536:FAH917536 FKA917536:FKD917536 FTW917536:FTZ917536 GDS917536:GDV917536 GNO917536:GNR917536 GXK917536:GXN917536 HHG917536:HHJ917536 HRC917536:HRF917536 IAY917536:IBB917536 IKU917536:IKX917536 IUQ917536:IUT917536 JEM917536:JEP917536 JOI917536:JOL917536 JYE917536:JYH917536 KIA917536:KID917536 KRW917536:KRZ917536 LBS917536:LBV917536 LLO917536:LLR917536 LVK917536:LVN917536 MFG917536:MFJ917536 MPC917536:MPF917536 MYY917536:MZB917536 NIU917536:NIX917536 NSQ917536:NST917536 OCM917536:OCP917536 OMI917536:OML917536 OWE917536:OWH917536 PGA917536:PGD917536 PPW917536:PPZ917536 PZS917536:PZV917536 QJO917536:QJR917536 QTK917536:QTN917536 RDG917536:RDJ917536 RNC917536:RNF917536 RWY917536:RXB917536 SGU917536:SGX917536 SQQ917536:SQT917536 TAM917536:TAP917536 TKI917536:TKL917536 TUE917536:TUH917536 UEA917536:UED917536 UNW917536:UNZ917536 UXS917536:UXV917536 VHO917536:VHR917536 VRK917536:VRN917536 WBG917536:WBJ917536 WLC917536:WLF917536 WUY917536:WVB917536 U983072:X983072 IM983072:IP983072 SI983072:SL983072 ACE983072:ACH983072 AMA983072:AMD983072 AVW983072:AVZ983072 BFS983072:BFV983072 BPO983072:BPR983072 BZK983072:BZN983072 CJG983072:CJJ983072 CTC983072:CTF983072 DCY983072:DDB983072 DMU983072:DMX983072 DWQ983072:DWT983072 EGM983072:EGP983072 EQI983072:EQL983072 FAE983072:FAH983072 FKA983072:FKD983072 FTW983072:FTZ983072 GDS983072:GDV983072 GNO983072:GNR983072 GXK983072:GXN983072 HHG983072:HHJ983072 HRC983072:HRF983072 IAY983072:IBB983072 IKU983072:IKX983072 IUQ983072:IUT983072 JEM983072:JEP983072 JOI983072:JOL983072 JYE983072:JYH983072 KIA983072:KID983072 KRW983072:KRZ983072 LBS983072:LBV983072 LLO983072:LLR983072 LVK983072:LVN983072 MFG983072:MFJ983072 MPC983072:MPF983072 MYY983072:MZB983072 NIU983072:NIX983072 NSQ983072:NST983072 OCM983072:OCP983072 OMI983072:OML983072 OWE983072:OWH983072 PGA983072:PGD983072 PPW983072:PPZ983072 PZS983072:PZV983072 QJO983072:QJR983072 QTK983072:QTN983072 RDG983072:RDJ983072 RNC983072:RNF983072 RWY983072:RXB983072 SGU983072:SGX983072 SQQ983072:SQT983072 TAM983072:TAP983072 TKI983072:TKL983072 TUE983072:TUH983072 UEA983072:UED983072 UNW983072:UNZ983072 UXS983072:UXV983072 VHO983072:VHR983072 VRK983072:VRN983072 WBG983072:WBJ983072 WLC983072:WLF983072 WUY983072:WVB983072 IH983071:IK983071 SD983071:SG983071 ABZ983071:ACC983071 ALV983071:ALY983071 AVR983071:AVU983071 BFN983071:BFQ983071 BPJ983071:BPM983071 BZF983071:BZI983071 CJB983071:CJE983071 CSX983071:CTA983071 DCT983071:DCW983071 DMP983071:DMS983071 DWL983071:DWO983071 EGH983071:EGK983071 EQD983071:EQG983071 EZZ983071:FAC983071 FJV983071:FJY983071 FTR983071:FTU983071 GDN983071:GDQ983071 GNJ983071:GNM983071 GXF983071:GXI983071 HHB983071:HHE983071 HQX983071:HRA983071 IAT983071:IAW983071 IKP983071:IKS983071 IUL983071:IUO983071 JEH983071:JEK983071 JOD983071:JOG983071 JXZ983071:JYC983071 KHV983071:KHY983071 KRR983071:KRU983071 LBN983071:LBQ983071 LLJ983071:LLM983071 LVF983071:LVI983071 MFB983071:MFE983071 MOX983071:MPA983071 MYT983071:MYW983071 NIP983071:NIS983071 NSL983071:NSO983071 OCH983071:OCK983071 OMD983071:OMG983071 OVZ983071:OWC983071 PFV983071:PFY983071 PPR983071:PPU983071 PZN983071:PZQ983071 QJJ983071:QJM983071 QTF983071:QTI983071 RDB983071:RDE983071 RMX983071:RNA983071 RWT983071:RWW983071 SGP983071:SGS983071 SQL983071:SQO983071 TAH983071:TAK983071 TKD983071:TKG983071 TTZ983071:TUC983071 UDV983071:UDY983071 UNR983071:UNU983071 UXN983071:UXQ983071 VHJ983071:VHM983071 VRF983071:VRI983071 WBB983071:WBE983071 WKX983071:WLA983071 WUT983071:WUW983071 IH65567:IK65567 SD65567:SG65567 ABZ65567:ACC65567 ALV65567:ALY65567 AVR65567:AVU65567 BFN65567:BFQ65567 BPJ65567:BPM65567 BZF65567:BZI65567 CJB65567:CJE65567 CSX65567:CTA65567 DCT65567:DCW65567 DMP65567:DMS65567 DWL65567:DWO65567 EGH65567:EGK65567 EQD65567:EQG65567 EZZ65567:FAC65567 FJV65567:FJY65567 FTR65567:FTU65567 GDN65567:GDQ65567 GNJ65567:GNM65567 GXF65567:GXI65567 HHB65567:HHE65567 HQX65567:HRA65567 IAT65567:IAW65567 IKP65567:IKS65567 IUL65567:IUO65567 JEH65567:JEK65567 JOD65567:JOG65567 JXZ65567:JYC65567 KHV65567:KHY65567 KRR65567:KRU65567 LBN65567:LBQ65567 LLJ65567:LLM65567 LVF65567:LVI65567 MFB65567:MFE65567 MOX65567:MPA65567 MYT65567:MYW65567 NIP65567:NIS65567 NSL65567:NSO65567 OCH65567:OCK65567 OMD65567:OMG65567 OVZ65567:OWC65567 PFV65567:PFY65567 PPR65567:PPU65567 PZN65567:PZQ65567 QJJ65567:QJM65567 QTF65567:QTI65567 RDB65567:RDE65567 RMX65567:RNA65567 RWT65567:RWW65567 SGP65567:SGS65567 SQL65567:SQO65567 TAH65567:TAK65567 TKD65567:TKG65567 TTZ65567:TUC65567 UDV65567:UDY65567 UNR65567:UNU65567 UXN65567:UXQ65567 VHJ65567:VHM65567 VRF65567:VRI65567 WBB65567:WBE65567 WKX65567:WLA65567 WUT65567:WUW65567 IH131103:IK131103 SD131103:SG131103 ABZ131103:ACC131103 ALV131103:ALY131103 AVR131103:AVU131103 BFN131103:BFQ131103 BPJ131103:BPM131103 BZF131103:BZI131103 CJB131103:CJE131103 CSX131103:CTA131103 DCT131103:DCW131103 DMP131103:DMS131103 DWL131103:DWO131103 EGH131103:EGK131103 EQD131103:EQG131103 EZZ131103:FAC131103 FJV131103:FJY131103 FTR131103:FTU131103 GDN131103:GDQ131103 GNJ131103:GNM131103 GXF131103:GXI131103 HHB131103:HHE131103 HQX131103:HRA131103 IAT131103:IAW131103 IKP131103:IKS131103 IUL131103:IUO131103 JEH131103:JEK131103 JOD131103:JOG131103 JXZ131103:JYC131103 KHV131103:KHY131103 KRR131103:KRU131103 LBN131103:LBQ131103 LLJ131103:LLM131103 LVF131103:LVI131103 MFB131103:MFE131103 MOX131103:MPA131103 MYT131103:MYW131103 NIP131103:NIS131103 NSL131103:NSO131103 OCH131103:OCK131103 OMD131103:OMG131103 OVZ131103:OWC131103 PFV131103:PFY131103 PPR131103:PPU131103 PZN131103:PZQ131103 QJJ131103:QJM131103 QTF131103:QTI131103 RDB131103:RDE131103 RMX131103:RNA131103 RWT131103:RWW131103 SGP131103:SGS131103 SQL131103:SQO131103 TAH131103:TAK131103 TKD131103:TKG131103 TTZ131103:TUC131103 UDV131103:UDY131103 UNR131103:UNU131103 UXN131103:UXQ131103 VHJ131103:VHM131103 VRF131103:VRI131103 WBB131103:WBE131103 WKX131103:WLA131103 WUT131103:WUW131103 IH196639:IK196639 SD196639:SG196639 ABZ196639:ACC196639 ALV196639:ALY196639 AVR196639:AVU196639 BFN196639:BFQ196639 BPJ196639:BPM196639 BZF196639:BZI196639 CJB196639:CJE196639 CSX196639:CTA196639 DCT196639:DCW196639 DMP196639:DMS196639 DWL196639:DWO196639 EGH196639:EGK196639 EQD196639:EQG196639 EZZ196639:FAC196639 FJV196639:FJY196639 FTR196639:FTU196639 GDN196639:GDQ196639 GNJ196639:GNM196639 GXF196639:GXI196639 HHB196639:HHE196639 HQX196639:HRA196639 IAT196639:IAW196639 IKP196639:IKS196639 IUL196639:IUO196639 JEH196639:JEK196639 JOD196639:JOG196639 JXZ196639:JYC196639 KHV196639:KHY196639 KRR196639:KRU196639 LBN196639:LBQ196639 LLJ196639:LLM196639 LVF196639:LVI196639 MFB196639:MFE196639 MOX196639:MPA196639 MYT196639:MYW196639 NIP196639:NIS196639 NSL196639:NSO196639 OCH196639:OCK196639 OMD196639:OMG196639 OVZ196639:OWC196639 PFV196639:PFY196639 PPR196639:PPU196639 PZN196639:PZQ196639 QJJ196639:QJM196639 QTF196639:QTI196639 RDB196639:RDE196639 RMX196639:RNA196639 RWT196639:RWW196639 SGP196639:SGS196639 SQL196639:SQO196639 TAH196639:TAK196639 TKD196639:TKG196639 TTZ196639:TUC196639 UDV196639:UDY196639 UNR196639:UNU196639 UXN196639:UXQ196639 VHJ196639:VHM196639 VRF196639:VRI196639 WBB196639:WBE196639 WKX196639:WLA196639 WUT196639:WUW196639 IH262175:IK262175 SD262175:SG262175 ABZ262175:ACC262175 ALV262175:ALY262175 AVR262175:AVU262175 BFN262175:BFQ262175 BPJ262175:BPM262175 BZF262175:BZI262175 CJB262175:CJE262175 CSX262175:CTA262175 DCT262175:DCW262175 DMP262175:DMS262175 DWL262175:DWO262175 EGH262175:EGK262175 EQD262175:EQG262175 EZZ262175:FAC262175 FJV262175:FJY262175 FTR262175:FTU262175 GDN262175:GDQ262175 GNJ262175:GNM262175 GXF262175:GXI262175 HHB262175:HHE262175 HQX262175:HRA262175 IAT262175:IAW262175 IKP262175:IKS262175 IUL262175:IUO262175 JEH262175:JEK262175 JOD262175:JOG262175 JXZ262175:JYC262175 KHV262175:KHY262175 KRR262175:KRU262175 LBN262175:LBQ262175 LLJ262175:LLM262175 LVF262175:LVI262175 MFB262175:MFE262175 MOX262175:MPA262175 MYT262175:MYW262175 NIP262175:NIS262175 NSL262175:NSO262175 OCH262175:OCK262175 OMD262175:OMG262175 OVZ262175:OWC262175 PFV262175:PFY262175 PPR262175:PPU262175 PZN262175:PZQ262175 QJJ262175:QJM262175 QTF262175:QTI262175 RDB262175:RDE262175 RMX262175:RNA262175 RWT262175:RWW262175 SGP262175:SGS262175 SQL262175:SQO262175 TAH262175:TAK262175 TKD262175:TKG262175 TTZ262175:TUC262175 UDV262175:UDY262175 UNR262175:UNU262175 UXN262175:UXQ262175 VHJ262175:VHM262175 VRF262175:VRI262175 WBB262175:WBE262175 WKX262175:WLA262175 WUT262175:WUW262175 IH327711:IK327711 SD327711:SG327711 ABZ327711:ACC327711 ALV327711:ALY327711 AVR327711:AVU327711 BFN327711:BFQ327711 BPJ327711:BPM327711 BZF327711:BZI327711 CJB327711:CJE327711 CSX327711:CTA327711 DCT327711:DCW327711 DMP327711:DMS327711 DWL327711:DWO327711 EGH327711:EGK327711 EQD327711:EQG327711 EZZ327711:FAC327711 FJV327711:FJY327711 FTR327711:FTU327711 GDN327711:GDQ327711 GNJ327711:GNM327711 GXF327711:GXI327711 HHB327711:HHE327711 HQX327711:HRA327711 IAT327711:IAW327711 IKP327711:IKS327711 IUL327711:IUO327711 JEH327711:JEK327711 JOD327711:JOG327711 JXZ327711:JYC327711 KHV327711:KHY327711 KRR327711:KRU327711 LBN327711:LBQ327711 LLJ327711:LLM327711 LVF327711:LVI327711 MFB327711:MFE327711 MOX327711:MPA327711 MYT327711:MYW327711 NIP327711:NIS327711 NSL327711:NSO327711 OCH327711:OCK327711 OMD327711:OMG327711 OVZ327711:OWC327711 PFV327711:PFY327711 PPR327711:PPU327711 PZN327711:PZQ327711 QJJ327711:QJM327711 QTF327711:QTI327711 RDB327711:RDE327711 RMX327711:RNA327711 RWT327711:RWW327711 SGP327711:SGS327711 SQL327711:SQO327711 TAH327711:TAK327711 TKD327711:TKG327711 TTZ327711:TUC327711 UDV327711:UDY327711 UNR327711:UNU327711 UXN327711:UXQ327711 VHJ327711:VHM327711 VRF327711:VRI327711 WBB327711:WBE327711 WKX327711:WLA327711 WUT327711:WUW327711 IH393247:IK393247 SD393247:SG393247 ABZ393247:ACC393247 ALV393247:ALY393247 AVR393247:AVU393247 BFN393247:BFQ393247 BPJ393247:BPM393247 BZF393247:BZI393247 CJB393247:CJE393247 CSX393247:CTA393247 DCT393247:DCW393247 DMP393247:DMS393247 DWL393247:DWO393247 EGH393247:EGK393247 EQD393247:EQG393247 EZZ393247:FAC393247 FJV393247:FJY393247 FTR393247:FTU393247 GDN393247:GDQ393247 GNJ393247:GNM393247 GXF393247:GXI393247 HHB393247:HHE393247 HQX393247:HRA393247 IAT393247:IAW393247 IKP393247:IKS393247 IUL393247:IUO393247 JEH393247:JEK393247 JOD393247:JOG393247 JXZ393247:JYC393247 KHV393247:KHY393247 KRR393247:KRU393247 LBN393247:LBQ393247 LLJ393247:LLM393247 LVF393247:LVI393247 MFB393247:MFE393247 MOX393247:MPA393247 MYT393247:MYW393247 NIP393247:NIS393247 NSL393247:NSO393247 OCH393247:OCK393247 OMD393247:OMG393247 OVZ393247:OWC393247 PFV393247:PFY393247 PPR393247:PPU393247 PZN393247:PZQ393247 QJJ393247:QJM393247 QTF393247:QTI393247 RDB393247:RDE393247 RMX393247:RNA393247 RWT393247:RWW393247 SGP393247:SGS393247 SQL393247:SQO393247 TAH393247:TAK393247 TKD393247:TKG393247 TTZ393247:TUC393247 UDV393247:UDY393247 UNR393247:UNU393247 UXN393247:UXQ393247 VHJ393247:VHM393247 VRF393247:VRI393247 WBB393247:WBE393247 WKX393247:WLA393247 WUT393247:WUW393247 IH458783:IK458783 SD458783:SG458783 ABZ458783:ACC458783 ALV458783:ALY458783 AVR458783:AVU458783 BFN458783:BFQ458783 BPJ458783:BPM458783 BZF458783:BZI458783 CJB458783:CJE458783 CSX458783:CTA458783 DCT458783:DCW458783 DMP458783:DMS458783 DWL458783:DWO458783 EGH458783:EGK458783 EQD458783:EQG458783 EZZ458783:FAC458783 FJV458783:FJY458783 FTR458783:FTU458783 GDN458783:GDQ458783 GNJ458783:GNM458783 GXF458783:GXI458783 HHB458783:HHE458783 HQX458783:HRA458783 IAT458783:IAW458783 IKP458783:IKS458783 IUL458783:IUO458783 JEH458783:JEK458783 JOD458783:JOG458783 JXZ458783:JYC458783 KHV458783:KHY458783 KRR458783:KRU458783 LBN458783:LBQ458783 LLJ458783:LLM458783 LVF458783:LVI458783 MFB458783:MFE458783 MOX458783:MPA458783 MYT458783:MYW458783 NIP458783:NIS458783 NSL458783:NSO458783 OCH458783:OCK458783 OMD458783:OMG458783 OVZ458783:OWC458783 PFV458783:PFY458783 PPR458783:PPU458783 PZN458783:PZQ458783 QJJ458783:QJM458783 QTF458783:QTI458783 RDB458783:RDE458783 RMX458783:RNA458783 RWT458783:RWW458783 SGP458783:SGS458783 SQL458783:SQO458783 TAH458783:TAK458783 TKD458783:TKG458783 TTZ458783:TUC458783 UDV458783:UDY458783 UNR458783:UNU458783 UXN458783:UXQ458783 VHJ458783:VHM458783 VRF458783:VRI458783 WBB458783:WBE458783 WKX458783:WLA458783 WUT458783:WUW458783 IH524319:IK524319 SD524319:SG524319 ABZ524319:ACC524319 ALV524319:ALY524319 AVR524319:AVU524319 BFN524319:BFQ524319 BPJ524319:BPM524319 BZF524319:BZI524319 CJB524319:CJE524319 CSX524319:CTA524319 DCT524319:DCW524319 DMP524319:DMS524319 DWL524319:DWO524319 EGH524319:EGK524319 EQD524319:EQG524319 EZZ524319:FAC524319 FJV524319:FJY524319 FTR524319:FTU524319 GDN524319:GDQ524319 GNJ524319:GNM524319 GXF524319:GXI524319 HHB524319:HHE524319 HQX524319:HRA524319 IAT524319:IAW524319 IKP524319:IKS524319 IUL524319:IUO524319 JEH524319:JEK524319 JOD524319:JOG524319 JXZ524319:JYC524319 KHV524319:KHY524319 KRR524319:KRU524319 LBN524319:LBQ524319 LLJ524319:LLM524319 LVF524319:LVI524319 MFB524319:MFE524319 MOX524319:MPA524319 MYT524319:MYW524319 NIP524319:NIS524319 NSL524319:NSO524319 OCH524319:OCK524319 OMD524319:OMG524319 OVZ524319:OWC524319 PFV524319:PFY524319 PPR524319:PPU524319 PZN524319:PZQ524319 QJJ524319:QJM524319 QTF524319:QTI524319 RDB524319:RDE524319 RMX524319:RNA524319 RWT524319:RWW524319 SGP524319:SGS524319 SQL524319:SQO524319 TAH524319:TAK524319 TKD524319:TKG524319 TTZ524319:TUC524319 UDV524319:UDY524319 UNR524319:UNU524319 UXN524319:UXQ524319 VHJ524319:VHM524319 VRF524319:VRI524319 WBB524319:WBE524319 WKX524319:WLA524319 WUT524319:WUW524319 IH589855:IK589855 SD589855:SG589855 ABZ589855:ACC589855 ALV589855:ALY589855 AVR589855:AVU589855 BFN589855:BFQ589855 BPJ589855:BPM589855 BZF589855:BZI589855 CJB589855:CJE589855 CSX589855:CTA589855 DCT589855:DCW589855 DMP589855:DMS589855 DWL589855:DWO589855 EGH589855:EGK589855 EQD589855:EQG589855 EZZ589855:FAC589855 FJV589855:FJY589855 FTR589855:FTU589855 GDN589855:GDQ589855 GNJ589855:GNM589855 GXF589855:GXI589855 HHB589855:HHE589855 HQX589855:HRA589855 IAT589855:IAW589855 IKP589855:IKS589855 IUL589855:IUO589855 JEH589855:JEK589855 JOD589855:JOG589855 JXZ589855:JYC589855 KHV589855:KHY589855 KRR589855:KRU589855 LBN589855:LBQ589855 LLJ589855:LLM589855 LVF589855:LVI589855 MFB589855:MFE589855 MOX589855:MPA589855 MYT589855:MYW589855 NIP589855:NIS589855 NSL589855:NSO589855 OCH589855:OCK589855 OMD589855:OMG589855 OVZ589855:OWC589855 PFV589855:PFY589855 PPR589855:PPU589855 PZN589855:PZQ589855 QJJ589855:QJM589855 QTF589855:QTI589855 RDB589855:RDE589855 RMX589855:RNA589855 RWT589855:RWW589855 SGP589855:SGS589855 SQL589855:SQO589855 TAH589855:TAK589855 TKD589855:TKG589855 TTZ589855:TUC589855 UDV589855:UDY589855 UNR589855:UNU589855 UXN589855:UXQ589855 VHJ589855:VHM589855 VRF589855:VRI589855 WBB589855:WBE589855 WKX589855:WLA589855 WUT589855:WUW589855 IH655391:IK655391 SD655391:SG655391 ABZ655391:ACC655391 ALV655391:ALY655391 AVR655391:AVU655391 BFN655391:BFQ655391 BPJ655391:BPM655391 BZF655391:BZI655391 CJB655391:CJE655391 CSX655391:CTA655391 DCT655391:DCW655391 DMP655391:DMS655391 DWL655391:DWO655391 EGH655391:EGK655391 EQD655391:EQG655391 EZZ655391:FAC655391 FJV655391:FJY655391 FTR655391:FTU655391 GDN655391:GDQ655391 GNJ655391:GNM655391 GXF655391:GXI655391 HHB655391:HHE655391 HQX655391:HRA655391 IAT655391:IAW655391 IKP655391:IKS655391 IUL655391:IUO655391 JEH655391:JEK655391 JOD655391:JOG655391 JXZ655391:JYC655391 KHV655391:KHY655391 KRR655391:KRU655391 LBN655391:LBQ655391 LLJ655391:LLM655391 LVF655391:LVI655391 MFB655391:MFE655391 MOX655391:MPA655391 MYT655391:MYW655391 NIP655391:NIS655391 NSL655391:NSO655391 OCH655391:OCK655391 OMD655391:OMG655391 OVZ655391:OWC655391 PFV655391:PFY655391 PPR655391:PPU655391 PZN655391:PZQ655391 QJJ655391:QJM655391 QTF655391:QTI655391 RDB655391:RDE655391 RMX655391:RNA655391 RWT655391:RWW655391 SGP655391:SGS655391 SQL655391:SQO655391 TAH655391:TAK655391 TKD655391:TKG655391 TTZ655391:TUC655391 UDV655391:UDY655391 UNR655391:UNU655391 UXN655391:UXQ655391 VHJ655391:VHM655391 VRF655391:VRI655391 WBB655391:WBE655391 WKX655391:WLA655391 WUT655391:WUW655391 IH720927:IK720927 SD720927:SG720927 ABZ720927:ACC720927 ALV720927:ALY720927 AVR720927:AVU720927 BFN720927:BFQ720927 BPJ720927:BPM720927 BZF720927:BZI720927 CJB720927:CJE720927 CSX720927:CTA720927 DCT720927:DCW720927 DMP720927:DMS720927 DWL720927:DWO720927 EGH720927:EGK720927 EQD720927:EQG720927 EZZ720927:FAC720927 FJV720927:FJY720927 FTR720927:FTU720927 GDN720927:GDQ720927 GNJ720927:GNM720927 GXF720927:GXI720927 HHB720927:HHE720927 HQX720927:HRA720927 IAT720927:IAW720927 IKP720927:IKS720927 IUL720927:IUO720927 JEH720927:JEK720927 JOD720927:JOG720927 JXZ720927:JYC720927 KHV720927:KHY720927 KRR720927:KRU720927 LBN720927:LBQ720927 LLJ720927:LLM720927 LVF720927:LVI720927 MFB720927:MFE720927 MOX720927:MPA720927 MYT720927:MYW720927 NIP720927:NIS720927 NSL720927:NSO720927 OCH720927:OCK720927 OMD720927:OMG720927 OVZ720927:OWC720927 PFV720927:PFY720927 PPR720927:PPU720927 PZN720927:PZQ720927 QJJ720927:QJM720927 QTF720927:QTI720927 RDB720927:RDE720927 RMX720927:RNA720927 RWT720927:RWW720927 SGP720927:SGS720927 SQL720927:SQO720927 TAH720927:TAK720927 TKD720927:TKG720927 TTZ720927:TUC720927 UDV720927:UDY720927 UNR720927:UNU720927 UXN720927:UXQ720927 VHJ720927:VHM720927 VRF720927:VRI720927 WBB720927:WBE720927 WKX720927:WLA720927 WUT720927:WUW720927 IH786463:IK786463 SD786463:SG786463 ABZ786463:ACC786463 ALV786463:ALY786463 AVR786463:AVU786463 BFN786463:BFQ786463 BPJ786463:BPM786463 BZF786463:BZI786463 CJB786463:CJE786463 CSX786463:CTA786463 DCT786463:DCW786463 DMP786463:DMS786463 DWL786463:DWO786463 EGH786463:EGK786463 EQD786463:EQG786463 EZZ786463:FAC786463 FJV786463:FJY786463 FTR786463:FTU786463 GDN786463:GDQ786463 GNJ786463:GNM786463 GXF786463:GXI786463 HHB786463:HHE786463 HQX786463:HRA786463 IAT786463:IAW786463 IKP786463:IKS786463 IUL786463:IUO786463 JEH786463:JEK786463 JOD786463:JOG786463 JXZ786463:JYC786463 KHV786463:KHY786463 KRR786463:KRU786463 LBN786463:LBQ786463 LLJ786463:LLM786463 LVF786463:LVI786463 MFB786463:MFE786463 MOX786463:MPA786463 MYT786463:MYW786463 NIP786463:NIS786463 NSL786463:NSO786463 OCH786463:OCK786463 OMD786463:OMG786463 OVZ786463:OWC786463 PFV786463:PFY786463 PPR786463:PPU786463 PZN786463:PZQ786463 QJJ786463:QJM786463 QTF786463:QTI786463 RDB786463:RDE786463 RMX786463:RNA786463 RWT786463:RWW786463 SGP786463:SGS786463 SQL786463:SQO786463 TAH786463:TAK786463 TKD786463:TKG786463 TTZ786463:TUC786463 UDV786463:UDY786463 UNR786463:UNU786463 UXN786463:UXQ786463 VHJ786463:VHM786463 VRF786463:VRI786463 WBB786463:WBE786463 WKX786463:WLA786463 WUT786463:WUW786463 IH851999:IK851999 SD851999:SG851999 ABZ851999:ACC851999 ALV851999:ALY851999 AVR851999:AVU851999 BFN851999:BFQ851999 BPJ851999:BPM851999 BZF851999:BZI851999 CJB851999:CJE851999 CSX851999:CTA851999 DCT851999:DCW851999 DMP851999:DMS851999 DWL851999:DWO851999 EGH851999:EGK851999 EQD851999:EQG851999 EZZ851999:FAC851999 FJV851999:FJY851999 FTR851999:FTU851999 GDN851999:GDQ851999 GNJ851999:GNM851999 GXF851999:GXI851999 HHB851999:HHE851999 HQX851999:HRA851999 IAT851999:IAW851999 IKP851999:IKS851999 IUL851999:IUO851999 JEH851999:JEK851999 JOD851999:JOG851999 JXZ851999:JYC851999 KHV851999:KHY851999 KRR851999:KRU851999 LBN851999:LBQ851999 LLJ851999:LLM851999 LVF851999:LVI851999 MFB851999:MFE851999 MOX851999:MPA851999 MYT851999:MYW851999 NIP851999:NIS851999 NSL851999:NSO851999 OCH851999:OCK851999 OMD851999:OMG851999 OVZ851999:OWC851999 PFV851999:PFY851999 PPR851999:PPU851999 PZN851999:PZQ851999 QJJ851999:QJM851999 QTF851999:QTI851999 RDB851999:RDE851999 RMX851999:RNA851999 RWT851999:RWW851999 SGP851999:SGS851999 SQL851999:SQO851999 TAH851999:TAK851999 TKD851999:TKG851999 TTZ851999:TUC851999 UDV851999:UDY851999 UNR851999:UNU851999 UXN851999:UXQ851999 VHJ851999:VHM851999 VRF851999:VRI851999 WBB851999:WBE851999 WKX851999:WLA851999 WUT851999:WUW851999 IH917535:IK917535 SD917535:SG917535 ABZ917535:ACC917535 ALV917535:ALY917535 AVR917535:AVU917535 BFN917535:BFQ917535 BPJ917535:BPM917535 BZF917535:BZI917535 CJB917535:CJE917535 CSX917535:CTA917535 DCT917535:DCW917535 DMP917535:DMS917535 DWL917535:DWO917535 EGH917535:EGK917535 EQD917535:EQG917535 EZZ917535:FAC917535 FJV917535:FJY917535 FTR917535:FTU917535 GDN917535:GDQ917535 GNJ917535:GNM917535 GXF917535:GXI917535 HHB917535:HHE917535 HQX917535:HRA917535 IAT917535:IAW917535 IKP917535:IKS917535 IUL917535:IUO917535 JEH917535:JEK917535 JOD917535:JOG917535 JXZ917535:JYC917535 KHV917535:KHY917535 KRR917535:KRU917535 LBN917535:LBQ917535 LLJ917535:LLM917535 LVF917535:LVI917535 MFB917535:MFE917535 MOX917535:MPA917535 MYT917535:MYW917535 NIP917535:NIS917535 NSL917535:NSO917535 OCH917535:OCK917535 OMD917535:OMG917535 OVZ917535:OWC917535 PFV917535:PFY917535 PPR917535:PPU917535 PZN917535:PZQ917535 QJJ917535:QJM917535 QTF917535:QTI917535 RDB917535:RDE917535 RMX917535:RNA917535 RWT917535:RWW917535 SGP917535:SGS917535 SQL917535:SQO917535 TAH917535:TAK917535 TKD917535:TKG917535 TTZ917535:TUC917535 UDV917535:UDY917535 UNR917535:UNU917535 UXN917535:UXQ917535 VHJ917535:VHM917535 VRF917535:VRI917535 WBB917535:WBE917535 WKX917535:WLA917535 WUT917535:WUW917535 Q917535:S917535 Q851999:S851999 Q786463:S786463 Q720927:S720927 Q655391:S655391 Q589855:S589855 Q524319:S524319 Q458783:S458783 Q393247:S393247 Q327711:S327711 Q262175:S262175 Q196639:S196639 Q131103:S131103 Q65567:S65567 Q983071:S983071 AF131104:AH131104 AF196640:AH196640 AF262176:AH262176 AF327712:AH327712 AF393248:AH393248 AF458784:AH458784 AF524320:AH524320 AF589856:AH589856 AF655392:AH655392 AF720928:AH720928 AF786464:AH786464 AF852000:AH852000 AF917536:AH917536 AF983072:AH983072 AB983071:AD983071 AB917535:AD917535 AB851999:AD851999 AB786463:AD786463 AB720927:AD720927 AB655391:AD655391 AB589855:AD589855 AB524319:AD524319 AB458783:AD458783 AB393247:AD393247 AB327711:AD327711 AB262175:AD262175 AB196639:AD196639 AB131103:AD131103 AB65567:AD65567 AF65568:AH65568 AO131104:AQ131104 AO196640:AQ196640 AO262176:AQ262176 AO327712:AQ327712 AO393248:AQ393248 AO458784:AQ458784 AO524320:AQ524320 AO589856:AQ589856 AO655392:AQ655392 AO720928:AQ720928 AO786464:AQ786464 AO852000:AQ852000 AO917536:AQ917536 AO983072:AQ983072 AI917535:AK917535 AI851999:AK851999 AI786463:AK786463 AI720927:AK720927 AI655391:AK655391 AI589855:AK589855 AI524319:AK524319 AI458783:AK458783 AI393247:AK393247 AI327711:AK327711 AI262175:AK262175 AI196639:AK196639 AI131103:AK131103 AI65567:AK65567 AO65568:AQ65568 AI983071:AK983071 AL131104:AM131104 AL196640:AM196640 AL262176:AM262176 AL327712:AM327712 AL393248:AM393248 AL458784:AM458784 AL524320:AM524320 AL589856:AM589856 AL655392:AM655392 AL720928:AM720928 AL786464:AM786464 AL852000:AM852000 AL917536:AM917536 AL983072:AM983072 AL65568:AM65568" xr:uid="{996E16F4-7283-4A3B-82B5-250897E5BBD4}">
      <formula1>"○, ○（オンライン処理設計書なし）"</formula1>
    </dataValidation>
    <dataValidation type="list" allowBlank="1" showInputMessage="1" showErrorMessage="1" sqref="V38:Y41 IN38:IQ41 SJ38:SM41 ACF38:ACI41 AMB38:AME41 AVX38:AWA41 BFT38:BFW41 BPP38:BPS41 BZL38:BZO41 CJH38:CJK41 CTD38:CTG41 DCZ38:DDC41 DMV38:DMY41 DWR38:DWU41 EGN38:EGQ41 EQJ38:EQM41 FAF38:FAI41 FKB38:FKE41 FTX38:FUA41 GDT38:GDW41 GNP38:GNS41 GXL38:GXO41 HHH38:HHK41 HRD38:HRG41 IAZ38:IBC41 IKV38:IKY41 IUR38:IUU41 JEN38:JEQ41 JOJ38:JOM41 JYF38:JYI41 KIB38:KIE41 KRX38:KSA41 LBT38:LBW41 LLP38:LLS41 LVL38:LVO41 MFH38:MFK41 MPD38:MPG41 MYZ38:MZC41 NIV38:NIY41 NSR38:NSU41 OCN38:OCQ41 OMJ38:OMM41 OWF38:OWI41 PGB38:PGE41 PPX38:PQA41 PZT38:PZW41 QJP38:QJS41 QTL38:QTO41 RDH38:RDK41 RND38:RNG41 RWZ38:RXC41 SGV38:SGY41 SQR38:SQU41 TAN38:TAQ41 TKJ38:TKM41 TUF38:TUI41 UEB38:UEE41 UNX38:UOA41 UXT38:UXW41 VHP38:VHS41 VRL38:VRO41 WBH38:WBK41 WLD38:WLG41 WUZ38:WVC41 V65574:Y65577 IN65574:IQ65577 SJ65574:SM65577 ACF65574:ACI65577 AMB65574:AME65577 AVX65574:AWA65577 BFT65574:BFW65577 BPP65574:BPS65577 BZL65574:BZO65577 CJH65574:CJK65577 CTD65574:CTG65577 DCZ65574:DDC65577 DMV65574:DMY65577 DWR65574:DWU65577 EGN65574:EGQ65577 EQJ65574:EQM65577 FAF65574:FAI65577 FKB65574:FKE65577 FTX65574:FUA65577 GDT65574:GDW65577 GNP65574:GNS65577 GXL65574:GXO65577 HHH65574:HHK65577 HRD65574:HRG65577 IAZ65574:IBC65577 IKV65574:IKY65577 IUR65574:IUU65577 JEN65574:JEQ65577 JOJ65574:JOM65577 JYF65574:JYI65577 KIB65574:KIE65577 KRX65574:KSA65577 LBT65574:LBW65577 LLP65574:LLS65577 LVL65574:LVO65577 MFH65574:MFK65577 MPD65574:MPG65577 MYZ65574:MZC65577 NIV65574:NIY65577 NSR65574:NSU65577 OCN65574:OCQ65577 OMJ65574:OMM65577 OWF65574:OWI65577 PGB65574:PGE65577 PPX65574:PQA65577 PZT65574:PZW65577 QJP65574:QJS65577 QTL65574:QTO65577 RDH65574:RDK65577 RND65574:RNG65577 RWZ65574:RXC65577 SGV65574:SGY65577 SQR65574:SQU65577 TAN65574:TAQ65577 TKJ65574:TKM65577 TUF65574:TUI65577 UEB65574:UEE65577 UNX65574:UOA65577 UXT65574:UXW65577 VHP65574:VHS65577 VRL65574:VRO65577 WBH65574:WBK65577 WLD65574:WLG65577 WUZ65574:WVC65577 V131110:Y131113 IN131110:IQ131113 SJ131110:SM131113 ACF131110:ACI131113 AMB131110:AME131113 AVX131110:AWA131113 BFT131110:BFW131113 BPP131110:BPS131113 BZL131110:BZO131113 CJH131110:CJK131113 CTD131110:CTG131113 DCZ131110:DDC131113 DMV131110:DMY131113 DWR131110:DWU131113 EGN131110:EGQ131113 EQJ131110:EQM131113 FAF131110:FAI131113 FKB131110:FKE131113 FTX131110:FUA131113 GDT131110:GDW131113 GNP131110:GNS131113 GXL131110:GXO131113 HHH131110:HHK131113 HRD131110:HRG131113 IAZ131110:IBC131113 IKV131110:IKY131113 IUR131110:IUU131113 JEN131110:JEQ131113 JOJ131110:JOM131113 JYF131110:JYI131113 KIB131110:KIE131113 KRX131110:KSA131113 LBT131110:LBW131113 LLP131110:LLS131113 LVL131110:LVO131113 MFH131110:MFK131113 MPD131110:MPG131113 MYZ131110:MZC131113 NIV131110:NIY131113 NSR131110:NSU131113 OCN131110:OCQ131113 OMJ131110:OMM131113 OWF131110:OWI131113 PGB131110:PGE131113 PPX131110:PQA131113 PZT131110:PZW131113 QJP131110:QJS131113 QTL131110:QTO131113 RDH131110:RDK131113 RND131110:RNG131113 RWZ131110:RXC131113 SGV131110:SGY131113 SQR131110:SQU131113 TAN131110:TAQ131113 TKJ131110:TKM131113 TUF131110:TUI131113 UEB131110:UEE131113 UNX131110:UOA131113 UXT131110:UXW131113 VHP131110:VHS131113 VRL131110:VRO131113 WBH131110:WBK131113 WLD131110:WLG131113 WUZ131110:WVC131113 V196646:Y196649 IN196646:IQ196649 SJ196646:SM196649 ACF196646:ACI196649 AMB196646:AME196649 AVX196646:AWA196649 BFT196646:BFW196649 BPP196646:BPS196649 BZL196646:BZO196649 CJH196646:CJK196649 CTD196646:CTG196649 DCZ196646:DDC196649 DMV196646:DMY196649 DWR196646:DWU196649 EGN196646:EGQ196649 EQJ196646:EQM196649 FAF196646:FAI196649 FKB196646:FKE196649 FTX196646:FUA196649 GDT196646:GDW196649 GNP196646:GNS196649 GXL196646:GXO196649 HHH196646:HHK196649 HRD196646:HRG196649 IAZ196646:IBC196649 IKV196646:IKY196649 IUR196646:IUU196649 JEN196646:JEQ196649 JOJ196646:JOM196649 JYF196646:JYI196649 KIB196646:KIE196649 KRX196646:KSA196649 LBT196646:LBW196649 LLP196646:LLS196649 LVL196646:LVO196649 MFH196646:MFK196649 MPD196646:MPG196649 MYZ196646:MZC196649 NIV196646:NIY196649 NSR196646:NSU196649 OCN196646:OCQ196649 OMJ196646:OMM196649 OWF196646:OWI196649 PGB196646:PGE196649 PPX196646:PQA196649 PZT196646:PZW196649 QJP196646:QJS196649 QTL196646:QTO196649 RDH196646:RDK196649 RND196646:RNG196649 RWZ196646:RXC196649 SGV196646:SGY196649 SQR196646:SQU196649 TAN196646:TAQ196649 TKJ196646:TKM196649 TUF196646:TUI196649 UEB196646:UEE196649 UNX196646:UOA196649 UXT196646:UXW196649 VHP196646:VHS196649 VRL196646:VRO196649 WBH196646:WBK196649 WLD196646:WLG196649 WUZ196646:WVC196649 V262182:Y262185 IN262182:IQ262185 SJ262182:SM262185 ACF262182:ACI262185 AMB262182:AME262185 AVX262182:AWA262185 BFT262182:BFW262185 BPP262182:BPS262185 BZL262182:BZO262185 CJH262182:CJK262185 CTD262182:CTG262185 DCZ262182:DDC262185 DMV262182:DMY262185 DWR262182:DWU262185 EGN262182:EGQ262185 EQJ262182:EQM262185 FAF262182:FAI262185 FKB262182:FKE262185 FTX262182:FUA262185 GDT262182:GDW262185 GNP262182:GNS262185 GXL262182:GXO262185 HHH262182:HHK262185 HRD262182:HRG262185 IAZ262182:IBC262185 IKV262182:IKY262185 IUR262182:IUU262185 JEN262182:JEQ262185 JOJ262182:JOM262185 JYF262182:JYI262185 KIB262182:KIE262185 KRX262182:KSA262185 LBT262182:LBW262185 LLP262182:LLS262185 LVL262182:LVO262185 MFH262182:MFK262185 MPD262182:MPG262185 MYZ262182:MZC262185 NIV262182:NIY262185 NSR262182:NSU262185 OCN262182:OCQ262185 OMJ262182:OMM262185 OWF262182:OWI262185 PGB262182:PGE262185 PPX262182:PQA262185 PZT262182:PZW262185 QJP262182:QJS262185 QTL262182:QTO262185 RDH262182:RDK262185 RND262182:RNG262185 RWZ262182:RXC262185 SGV262182:SGY262185 SQR262182:SQU262185 TAN262182:TAQ262185 TKJ262182:TKM262185 TUF262182:TUI262185 UEB262182:UEE262185 UNX262182:UOA262185 UXT262182:UXW262185 VHP262182:VHS262185 VRL262182:VRO262185 WBH262182:WBK262185 WLD262182:WLG262185 WUZ262182:WVC262185 V327718:Y327721 IN327718:IQ327721 SJ327718:SM327721 ACF327718:ACI327721 AMB327718:AME327721 AVX327718:AWA327721 BFT327718:BFW327721 BPP327718:BPS327721 BZL327718:BZO327721 CJH327718:CJK327721 CTD327718:CTG327721 DCZ327718:DDC327721 DMV327718:DMY327721 DWR327718:DWU327721 EGN327718:EGQ327721 EQJ327718:EQM327721 FAF327718:FAI327721 FKB327718:FKE327721 FTX327718:FUA327721 GDT327718:GDW327721 GNP327718:GNS327721 GXL327718:GXO327721 HHH327718:HHK327721 HRD327718:HRG327721 IAZ327718:IBC327721 IKV327718:IKY327721 IUR327718:IUU327721 JEN327718:JEQ327721 JOJ327718:JOM327721 JYF327718:JYI327721 KIB327718:KIE327721 KRX327718:KSA327721 LBT327718:LBW327721 LLP327718:LLS327721 LVL327718:LVO327721 MFH327718:MFK327721 MPD327718:MPG327721 MYZ327718:MZC327721 NIV327718:NIY327721 NSR327718:NSU327721 OCN327718:OCQ327721 OMJ327718:OMM327721 OWF327718:OWI327721 PGB327718:PGE327721 PPX327718:PQA327721 PZT327718:PZW327721 QJP327718:QJS327721 QTL327718:QTO327721 RDH327718:RDK327721 RND327718:RNG327721 RWZ327718:RXC327721 SGV327718:SGY327721 SQR327718:SQU327721 TAN327718:TAQ327721 TKJ327718:TKM327721 TUF327718:TUI327721 UEB327718:UEE327721 UNX327718:UOA327721 UXT327718:UXW327721 VHP327718:VHS327721 VRL327718:VRO327721 WBH327718:WBK327721 WLD327718:WLG327721 WUZ327718:WVC327721 V393254:Y393257 IN393254:IQ393257 SJ393254:SM393257 ACF393254:ACI393257 AMB393254:AME393257 AVX393254:AWA393257 BFT393254:BFW393257 BPP393254:BPS393257 BZL393254:BZO393257 CJH393254:CJK393257 CTD393254:CTG393257 DCZ393254:DDC393257 DMV393254:DMY393257 DWR393254:DWU393257 EGN393254:EGQ393257 EQJ393254:EQM393257 FAF393254:FAI393257 FKB393254:FKE393257 FTX393254:FUA393257 GDT393254:GDW393257 GNP393254:GNS393257 GXL393254:GXO393257 HHH393254:HHK393257 HRD393254:HRG393257 IAZ393254:IBC393257 IKV393254:IKY393257 IUR393254:IUU393257 JEN393254:JEQ393257 JOJ393254:JOM393257 JYF393254:JYI393257 KIB393254:KIE393257 KRX393254:KSA393257 LBT393254:LBW393257 LLP393254:LLS393257 LVL393254:LVO393257 MFH393254:MFK393257 MPD393254:MPG393257 MYZ393254:MZC393257 NIV393254:NIY393257 NSR393254:NSU393257 OCN393254:OCQ393257 OMJ393254:OMM393257 OWF393254:OWI393257 PGB393254:PGE393257 PPX393254:PQA393257 PZT393254:PZW393257 QJP393254:QJS393257 QTL393254:QTO393257 RDH393254:RDK393257 RND393254:RNG393257 RWZ393254:RXC393257 SGV393254:SGY393257 SQR393254:SQU393257 TAN393254:TAQ393257 TKJ393254:TKM393257 TUF393254:TUI393257 UEB393254:UEE393257 UNX393254:UOA393257 UXT393254:UXW393257 VHP393254:VHS393257 VRL393254:VRO393257 WBH393254:WBK393257 WLD393254:WLG393257 WUZ393254:WVC393257 V458790:Y458793 IN458790:IQ458793 SJ458790:SM458793 ACF458790:ACI458793 AMB458790:AME458793 AVX458790:AWA458793 BFT458790:BFW458793 BPP458790:BPS458793 BZL458790:BZO458793 CJH458790:CJK458793 CTD458790:CTG458793 DCZ458790:DDC458793 DMV458790:DMY458793 DWR458790:DWU458793 EGN458790:EGQ458793 EQJ458790:EQM458793 FAF458790:FAI458793 FKB458790:FKE458793 FTX458790:FUA458793 GDT458790:GDW458793 GNP458790:GNS458793 GXL458790:GXO458793 HHH458790:HHK458793 HRD458790:HRG458793 IAZ458790:IBC458793 IKV458790:IKY458793 IUR458790:IUU458793 JEN458790:JEQ458793 JOJ458790:JOM458793 JYF458790:JYI458793 KIB458790:KIE458793 KRX458790:KSA458793 LBT458790:LBW458793 LLP458790:LLS458793 LVL458790:LVO458793 MFH458790:MFK458793 MPD458790:MPG458793 MYZ458790:MZC458793 NIV458790:NIY458793 NSR458790:NSU458793 OCN458790:OCQ458793 OMJ458790:OMM458793 OWF458790:OWI458793 PGB458790:PGE458793 PPX458790:PQA458793 PZT458790:PZW458793 QJP458790:QJS458793 QTL458790:QTO458793 RDH458790:RDK458793 RND458790:RNG458793 RWZ458790:RXC458793 SGV458790:SGY458793 SQR458790:SQU458793 TAN458790:TAQ458793 TKJ458790:TKM458793 TUF458790:TUI458793 UEB458790:UEE458793 UNX458790:UOA458793 UXT458790:UXW458793 VHP458790:VHS458793 VRL458790:VRO458793 WBH458790:WBK458793 WLD458790:WLG458793 WUZ458790:WVC458793 V524326:Y524329 IN524326:IQ524329 SJ524326:SM524329 ACF524326:ACI524329 AMB524326:AME524329 AVX524326:AWA524329 BFT524326:BFW524329 BPP524326:BPS524329 BZL524326:BZO524329 CJH524326:CJK524329 CTD524326:CTG524329 DCZ524326:DDC524329 DMV524326:DMY524329 DWR524326:DWU524329 EGN524326:EGQ524329 EQJ524326:EQM524329 FAF524326:FAI524329 FKB524326:FKE524329 FTX524326:FUA524329 GDT524326:GDW524329 GNP524326:GNS524329 GXL524326:GXO524329 HHH524326:HHK524329 HRD524326:HRG524329 IAZ524326:IBC524329 IKV524326:IKY524329 IUR524326:IUU524329 JEN524326:JEQ524329 JOJ524326:JOM524329 JYF524326:JYI524329 KIB524326:KIE524329 KRX524326:KSA524329 LBT524326:LBW524329 LLP524326:LLS524329 LVL524326:LVO524329 MFH524326:MFK524329 MPD524326:MPG524329 MYZ524326:MZC524329 NIV524326:NIY524329 NSR524326:NSU524329 OCN524326:OCQ524329 OMJ524326:OMM524329 OWF524326:OWI524329 PGB524326:PGE524329 PPX524326:PQA524329 PZT524326:PZW524329 QJP524326:QJS524329 QTL524326:QTO524329 RDH524326:RDK524329 RND524326:RNG524329 RWZ524326:RXC524329 SGV524326:SGY524329 SQR524326:SQU524329 TAN524326:TAQ524329 TKJ524326:TKM524329 TUF524326:TUI524329 UEB524326:UEE524329 UNX524326:UOA524329 UXT524326:UXW524329 VHP524326:VHS524329 VRL524326:VRO524329 WBH524326:WBK524329 WLD524326:WLG524329 WUZ524326:WVC524329 V589862:Y589865 IN589862:IQ589865 SJ589862:SM589865 ACF589862:ACI589865 AMB589862:AME589865 AVX589862:AWA589865 BFT589862:BFW589865 BPP589862:BPS589865 BZL589862:BZO589865 CJH589862:CJK589865 CTD589862:CTG589865 DCZ589862:DDC589865 DMV589862:DMY589865 DWR589862:DWU589865 EGN589862:EGQ589865 EQJ589862:EQM589865 FAF589862:FAI589865 FKB589862:FKE589865 FTX589862:FUA589865 GDT589862:GDW589865 GNP589862:GNS589865 GXL589862:GXO589865 HHH589862:HHK589865 HRD589862:HRG589865 IAZ589862:IBC589865 IKV589862:IKY589865 IUR589862:IUU589865 JEN589862:JEQ589865 JOJ589862:JOM589865 JYF589862:JYI589865 KIB589862:KIE589865 KRX589862:KSA589865 LBT589862:LBW589865 LLP589862:LLS589865 LVL589862:LVO589865 MFH589862:MFK589865 MPD589862:MPG589865 MYZ589862:MZC589865 NIV589862:NIY589865 NSR589862:NSU589865 OCN589862:OCQ589865 OMJ589862:OMM589865 OWF589862:OWI589865 PGB589862:PGE589865 PPX589862:PQA589865 PZT589862:PZW589865 QJP589862:QJS589865 QTL589862:QTO589865 RDH589862:RDK589865 RND589862:RNG589865 RWZ589862:RXC589865 SGV589862:SGY589865 SQR589862:SQU589865 TAN589862:TAQ589865 TKJ589862:TKM589865 TUF589862:TUI589865 UEB589862:UEE589865 UNX589862:UOA589865 UXT589862:UXW589865 VHP589862:VHS589865 VRL589862:VRO589865 WBH589862:WBK589865 WLD589862:WLG589865 WUZ589862:WVC589865 V655398:Y655401 IN655398:IQ655401 SJ655398:SM655401 ACF655398:ACI655401 AMB655398:AME655401 AVX655398:AWA655401 BFT655398:BFW655401 BPP655398:BPS655401 BZL655398:BZO655401 CJH655398:CJK655401 CTD655398:CTG655401 DCZ655398:DDC655401 DMV655398:DMY655401 DWR655398:DWU655401 EGN655398:EGQ655401 EQJ655398:EQM655401 FAF655398:FAI655401 FKB655398:FKE655401 FTX655398:FUA655401 GDT655398:GDW655401 GNP655398:GNS655401 GXL655398:GXO655401 HHH655398:HHK655401 HRD655398:HRG655401 IAZ655398:IBC655401 IKV655398:IKY655401 IUR655398:IUU655401 JEN655398:JEQ655401 JOJ655398:JOM655401 JYF655398:JYI655401 KIB655398:KIE655401 KRX655398:KSA655401 LBT655398:LBW655401 LLP655398:LLS655401 LVL655398:LVO655401 MFH655398:MFK655401 MPD655398:MPG655401 MYZ655398:MZC655401 NIV655398:NIY655401 NSR655398:NSU655401 OCN655398:OCQ655401 OMJ655398:OMM655401 OWF655398:OWI655401 PGB655398:PGE655401 PPX655398:PQA655401 PZT655398:PZW655401 QJP655398:QJS655401 QTL655398:QTO655401 RDH655398:RDK655401 RND655398:RNG655401 RWZ655398:RXC655401 SGV655398:SGY655401 SQR655398:SQU655401 TAN655398:TAQ655401 TKJ655398:TKM655401 TUF655398:TUI655401 UEB655398:UEE655401 UNX655398:UOA655401 UXT655398:UXW655401 VHP655398:VHS655401 VRL655398:VRO655401 WBH655398:WBK655401 WLD655398:WLG655401 WUZ655398:WVC655401 V720934:Y720937 IN720934:IQ720937 SJ720934:SM720937 ACF720934:ACI720937 AMB720934:AME720937 AVX720934:AWA720937 BFT720934:BFW720937 BPP720934:BPS720937 BZL720934:BZO720937 CJH720934:CJK720937 CTD720934:CTG720937 DCZ720934:DDC720937 DMV720934:DMY720937 DWR720934:DWU720937 EGN720934:EGQ720937 EQJ720934:EQM720937 FAF720934:FAI720937 FKB720934:FKE720937 FTX720934:FUA720937 GDT720934:GDW720937 GNP720934:GNS720937 GXL720934:GXO720937 HHH720934:HHK720937 HRD720934:HRG720937 IAZ720934:IBC720937 IKV720934:IKY720937 IUR720934:IUU720937 JEN720934:JEQ720937 JOJ720934:JOM720937 JYF720934:JYI720937 KIB720934:KIE720937 KRX720934:KSA720937 LBT720934:LBW720937 LLP720934:LLS720937 LVL720934:LVO720937 MFH720934:MFK720937 MPD720934:MPG720937 MYZ720934:MZC720937 NIV720934:NIY720937 NSR720934:NSU720937 OCN720934:OCQ720937 OMJ720934:OMM720937 OWF720934:OWI720937 PGB720934:PGE720937 PPX720934:PQA720937 PZT720934:PZW720937 QJP720934:QJS720937 QTL720934:QTO720937 RDH720934:RDK720937 RND720934:RNG720937 RWZ720934:RXC720937 SGV720934:SGY720937 SQR720934:SQU720937 TAN720934:TAQ720937 TKJ720934:TKM720937 TUF720934:TUI720937 UEB720934:UEE720937 UNX720934:UOA720937 UXT720934:UXW720937 VHP720934:VHS720937 VRL720934:VRO720937 WBH720934:WBK720937 WLD720934:WLG720937 WUZ720934:WVC720937 V786470:Y786473 IN786470:IQ786473 SJ786470:SM786473 ACF786470:ACI786473 AMB786470:AME786473 AVX786470:AWA786473 BFT786470:BFW786473 BPP786470:BPS786473 BZL786470:BZO786473 CJH786470:CJK786473 CTD786470:CTG786473 DCZ786470:DDC786473 DMV786470:DMY786473 DWR786470:DWU786473 EGN786470:EGQ786473 EQJ786470:EQM786473 FAF786470:FAI786473 FKB786470:FKE786473 FTX786470:FUA786473 GDT786470:GDW786473 GNP786470:GNS786473 GXL786470:GXO786473 HHH786470:HHK786473 HRD786470:HRG786473 IAZ786470:IBC786473 IKV786470:IKY786473 IUR786470:IUU786473 JEN786470:JEQ786473 JOJ786470:JOM786473 JYF786470:JYI786473 KIB786470:KIE786473 KRX786470:KSA786473 LBT786470:LBW786473 LLP786470:LLS786473 LVL786470:LVO786473 MFH786470:MFK786473 MPD786470:MPG786473 MYZ786470:MZC786473 NIV786470:NIY786473 NSR786470:NSU786473 OCN786470:OCQ786473 OMJ786470:OMM786473 OWF786470:OWI786473 PGB786470:PGE786473 PPX786470:PQA786473 PZT786470:PZW786473 QJP786470:QJS786473 QTL786470:QTO786473 RDH786470:RDK786473 RND786470:RNG786473 RWZ786470:RXC786473 SGV786470:SGY786473 SQR786470:SQU786473 TAN786470:TAQ786473 TKJ786470:TKM786473 TUF786470:TUI786473 UEB786470:UEE786473 UNX786470:UOA786473 UXT786470:UXW786473 VHP786470:VHS786473 VRL786470:VRO786473 WBH786470:WBK786473 WLD786470:WLG786473 WUZ786470:WVC786473 V852006:Y852009 IN852006:IQ852009 SJ852006:SM852009 ACF852006:ACI852009 AMB852006:AME852009 AVX852006:AWA852009 BFT852006:BFW852009 BPP852006:BPS852009 BZL852006:BZO852009 CJH852006:CJK852009 CTD852006:CTG852009 DCZ852006:DDC852009 DMV852006:DMY852009 DWR852006:DWU852009 EGN852006:EGQ852009 EQJ852006:EQM852009 FAF852006:FAI852009 FKB852006:FKE852009 FTX852006:FUA852009 GDT852006:GDW852009 GNP852006:GNS852009 GXL852006:GXO852009 HHH852006:HHK852009 HRD852006:HRG852009 IAZ852006:IBC852009 IKV852006:IKY852009 IUR852006:IUU852009 JEN852006:JEQ852009 JOJ852006:JOM852009 JYF852006:JYI852009 KIB852006:KIE852009 KRX852006:KSA852009 LBT852006:LBW852009 LLP852006:LLS852009 LVL852006:LVO852009 MFH852006:MFK852009 MPD852006:MPG852009 MYZ852006:MZC852009 NIV852006:NIY852009 NSR852006:NSU852009 OCN852006:OCQ852009 OMJ852006:OMM852009 OWF852006:OWI852009 PGB852006:PGE852009 PPX852006:PQA852009 PZT852006:PZW852009 QJP852006:QJS852009 QTL852006:QTO852009 RDH852006:RDK852009 RND852006:RNG852009 RWZ852006:RXC852009 SGV852006:SGY852009 SQR852006:SQU852009 TAN852006:TAQ852009 TKJ852006:TKM852009 TUF852006:TUI852009 UEB852006:UEE852009 UNX852006:UOA852009 UXT852006:UXW852009 VHP852006:VHS852009 VRL852006:VRO852009 WBH852006:WBK852009 WLD852006:WLG852009 WUZ852006:WVC852009 V917542:Y917545 IN917542:IQ917545 SJ917542:SM917545 ACF917542:ACI917545 AMB917542:AME917545 AVX917542:AWA917545 BFT917542:BFW917545 BPP917542:BPS917545 BZL917542:BZO917545 CJH917542:CJK917545 CTD917542:CTG917545 DCZ917542:DDC917545 DMV917542:DMY917545 DWR917542:DWU917545 EGN917542:EGQ917545 EQJ917542:EQM917545 FAF917542:FAI917545 FKB917542:FKE917545 FTX917542:FUA917545 GDT917542:GDW917545 GNP917542:GNS917545 GXL917542:GXO917545 HHH917542:HHK917545 HRD917542:HRG917545 IAZ917542:IBC917545 IKV917542:IKY917545 IUR917542:IUU917545 JEN917542:JEQ917545 JOJ917542:JOM917545 JYF917542:JYI917545 KIB917542:KIE917545 KRX917542:KSA917545 LBT917542:LBW917545 LLP917542:LLS917545 LVL917542:LVO917545 MFH917542:MFK917545 MPD917542:MPG917545 MYZ917542:MZC917545 NIV917542:NIY917545 NSR917542:NSU917545 OCN917542:OCQ917545 OMJ917542:OMM917545 OWF917542:OWI917545 PGB917542:PGE917545 PPX917542:PQA917545 PZT917542:PZW917545 QJP917542:QJS917545 QTL917542:QTO917545 RDH917542:RDK917545 RND917542:RNG917545 RWZ917542:RXC917545 SGV917542:SGY917545 SQR917542:SQU917545 TAN917542:TAQ917545 TKJ917542:TKM917545 TUF917542:TUI917545 UEB917542:UEE917545 UNX917542:UOA917545 UXT917542:UXW917545 VHP917542:VHS917545 VRL917542:VRO917545 WBH917542:WBK917545 WLD917542:WLG917545 WUZ917542:WVC917545 V983078:Y983081 IN983078:IQ983081 SJ983078:SM983081 ACF983078:ACI983081 AMB983078:AME983081 AVX983078:AWA983081 BFT983078:BFW983081 BPP983078:BPS983081 BZL983078:BZO983081 CJH983078:CJK983081 CTD983078:CTG983081 DCZ983078:DDC983081 DMV983078:DMY983081 DWR983078:DWU983081 EGN983078:EGQ983081 EQJ983078:EQM983081 FAF983078:FAI983081 FKB983078:FKE983081 FTX983078:FUA983081 GDT983078:GDW983081 GNP983078:GNS983081 GXL983078:GXO983081 HHH983078:HHK983081 HRD983078:HRG983081 IAZ983078:IBC983081 IKV983078:IKY983081 IUR983078:IUU983081 JEN983078:JEQ983081 JOJ983078:JOM983081 JYF983078:JYI983081 KIB983078:KIE983081 KRX983078:KSA983081 LBT983078:LBW983081 LLP983078:LLS983081 LVL983078:LVO983081 MFH983078:MFK983081 MPD983078:MPG983081 MYZ983078:MZC983081 NIV983078:NIY983081 NSR983078:NSU983081 OCN983078:OCQ983081 OMJ983078:OMM983081 OWF983078:OWI983081 PGB983078:PGE983081 PPX983078:PQA983081 PZT983078:PZW983081 QJP983078:QJS983081 QTL983078:QTO983081 RDH983078:RDK983081 RND983078:RNG983081 RWZ983078:RXC983081 SGV983078:SGY983081 SQR983078:SQU983081 TAN983078:TAQ983081 TKJ983078:TKM983081 TUF983078:TUI983081 UEB983078:UEE983081 UNX983078:UOA983081 UXT983078:UXW983081 VHP983078:VHS983081 VRL983078:VRO983081 WBH983078:WBK983081 WLD983078:WLG983081 WUZ983078:WVC983081 Q65568:T65568 II65568:IL65568 SE65568:SH65568 ACA65568:ACD65568 ALW65568:ALZ65568 AVS65568:AVV65568 BFO65568:BFR65568 BPK65568:BPN65568 BZG65568:BZJ65568 CJC65568:CJF65568 CSY65568:CTB65568 DCU65568:DCX65568 DMQ65568:DMT65568 DWM65568:DWP65568 EGI65568:EGL65568 EQE65568:EQH65568 FAA65568:FAD65568 FJW65568:FJZ65568 FTS65568:FTV65568 GDO65568:GDR65568 GNK65568:GNN65568 GXG65568:GXJ65568 HHC65568:HHF65568 HQY65568:HRB65568 IAU65568:IAX65568 IKQ65568:IKT65568 IUM65568:IUP65568 JEI65568:JEL65568 JOE65568:JOH65568 JYA65568:JYD65568 KHW65568:KHZ65568 KRS65568:KRV65568 LBO65568:LBR65568 LLK65568:LLN65568 LVG65568:LVJ65568 MFC65568:MFF65568 MOY65568:MPB65568 MYU65568:MYX65568 NIQ65568:NIT65568 NSM65568:NSP65568 OCI65568:OCL65568 OME65568:OMH65568 OWA65568:OWD65568 PFW65568:PFZ65568 PPS65568:PPV65568 PZO65568:PZR65568 QJK65568:QJN65568 QTG65568:QTJ65568 RDC65568:RDF65568 RMY65568:RNB65568 RWU65568:RWX65568 SGQ65568:SGT65568 SQM65568:SQP65568 TAI65568:TAL65568 TKE65568:TKH65568 TUA65568:TUD65568 UDW65568:UDZ65568 UNS65568:UNV65568 UXO65568:UXR65568 VHK65568:VHN65568 VRG65568:VRJ65568 WBC65568:WBF65568 WKY65568:WLB65568 WUU65568:WUX65568 Q131104:T131104 II131104:IL131104 SE131104:SH131104 ACA131104:ACD131104 ALW131104:ALZ131104 AVS131104:AVV131104 BFO131104:BFR131104 BPK131104:BPN131104 BZG131104:BZJ131104 CJC131104:CJF131104 CSY131104:CTB131104 DCU131104:DCX131104 DMQ131104:DMT131104 DWM131104:DWP131104 EGI131104:EGL131104 EQE131104:EQH131104 FAA131104:FAD131104 FJW131104:FJZ131104 FTS131104:FTV131104 GDO131104:GDR131104 GNK131104:GNN131104 GXG131104:GXJ131104 HHC131104:HHF131104 HQY131104:HRB131104 IAU131104:IAX131104 IKQ131104:IKT131104 IUM131104:IUP131104 JEI131104:JEL131104 JOE131104:JOH131104 JYA131104:JYD131104 KHW131104:KHZ131104 KRS131104:KRV131104 LBO131104:LBR131104 LLK131104:LLN131104 LVG131104:LVJ131104 MFC131104:MFF131104 MOY131104:MPB131104 MYU131104:MYX131104 NIQ131104:NIT131104 NSM131104:NSP131104 OCI131104:OCL131104 OME131104:OMH131104 OWA131104:OWD131104 PFW131104:PFZ131104 PPS131104:PPV131104 PZO131104:PZR131104 QJK131104:QJN131104 QTG131104:QTJ131104 RDC131104:RDF131104 RMY131104:RNB131104 RWU131104:RWX131104 SGQ131104:SGT131104 SQM131104:SQP131104 TAI131104:TAL131104 TKE131104:TKH131104 TUA131104:TUD131104 UDW131104:UDZ131104 UNS131104:UNV131104 UXO131104:UXR131104 VHK131104:VHN131104 VRG131104:VRJ131104 WBC131104:WBF131104 WKY131104:WLB131104 WUU131104:WUX131104 Q196640:T196640 II196640:IL196640 SE196640:SH196640 ACA196640:ACD196640 ALW196640:ALZ196640 AVS196640:AVV196640 BFO196640:BFR196640 BPK196640:BPN196640 BZG196640:BZJ196640 CJC196640:CJF196640 CSY196640:CTB196640 DCU196640:DCX196640 DMQ196640:DMT196640 DWM196640:DWP196640 EGI196640:EGL196640 EQE196640:EQH196640 FAA196640:FAD196640 FJW196640:FJZ196640 FTS196640:FTV196640 GDO196640:GDR196640 GNK196640:GNN196640 GXG196640:GXJ196640 HHC196640:HHF196640 HQY196640:HRB196640 IAU196640:IAX196640 IKQ196640:IKT196640 IUM196640:IUP196640 JEI196640:JEL196640 JOE196640:JOH196640 JYA196640:JYD196640 KHW196640:KHZ196640 KRS196640:KRV196640 LBO196640:LBR196640 LLK196640:LLN196640 LVG196640:LVJ196640 MFC196640:MFF196640 MOY196640:MPB196640 MYU196640:MYX196640 NIQ196640:NIT196640 NSM196640:NSP196640 OCI196640:OCL196640 OME196640:OMH196640 OWA196640:OWD196640 PFW196640:PFZ196640 PPS196640:PPV196640 PZO196640:PZR196640 QJK196640:QJN196640 QTG196640:QTJ196640 RDC196640:RDF196640 RMY196640:RNB196640 RWU196640:RWX196640 SGQ196640:SGT196640 SQM196640:SQP196640 TAI196640:TAL196640 TKE196640:TKH196640 TUA196640:TUD196640 UDW196640:UDZ196640 UNS196640:UNV196640 UXO196640:UXR196640 VHK196640:VHN196640 VRG196640:VRJ196640 WBC196640:WBF196640 WKY196640:WLB196640 WUU196640:WUX196640 Q262176:T262176 II262176:IL262176 SE262176:SH262176 ACA262176:ACD262176 ALW262176:ALZ262176 AVS262176:AVV262176 BFO262176:BFR262176 BPK262176:BPN262176 BZG262176:BZJ262176 CJC262176:CJF262176 CSY262176:CTB262176 DCU262176:DCX262176 DMQ262176:DMT262176 DWM262176:DWP262176 EGI262176:EGL262176 EQE262176:EQH262176 FAA262176:FAD262176 FJW262176:FJZ262176 FTS262176:FTV262176 GDO262176:GDR262176 GNK262176:GNN262176 GXG262176:GXJ262176 HHC262176:HHF262176 HQY262176:HRB262176 IAU262176:IAX262176 IKQ262176:IKT262176 IUM262176:IUP262176 JEI262176:JEL262176 JOE262176:JOH262176 JYA262176:JYD262176 KHW262176:KHZ262176 KRS262176:KRV262176 LBO262176:LBR262176 LLK262176:LLN262176 LVG262176:LVJ262176 MFC262176:MFF262176 MOY262176:MPB262176 MYU262176:MYX262176 NIQ262176:NIT262176 NSM262176:NSP262176 OCI262176:OCL262176 OME262176:OMH262176 OWA262176:OWD262176 PFW262176:PFZ262176 PPS262176:PPV262176 PZO262176:PZR262176 QJK262176:QJN262176 QTG262176:QTJ262176 RDC262176:RDF262176 RMY262176:RNB262176 RWU262176:RWX262176 SGQ262176:SGT262176 SQM262176:SQP262176 TAI262176:TAL262176 TKE262176:TKH262176 TUA262176:TUD262176 UDW262176:UDZ262176 UNS262176:UNV262176 UXO262176:UXR262176 VHK262176:VHN262176 VRG262176:VRJ262176 WBC262176:WBF262176 WKY262176:WLB262176 WUU262176:WUX262176 Q327712:T327712 II327712:IL327712 SE327712:SH327712 ACA327712:ACD327712 ALW327712:ALZ327712 AVS327712:AVV327712 BFO327712:BFR327712 BPK327712:BPN327712 BZG327712:BZJ327712 CJC327712:CJF327712 CSY327712:CTB327712 DCU327712:DCX327712 DMQ327712:DMT327712 DWM327712:DWP327712 EGI327712:EGL327712 EQE327712:EQH327712 FAA327712:FAD327712 FJW327712:FJZ327712 FTS327712:FTV327712 GDO327712:GDR327712 GNK327712:GNN327712 GXG327712:GXJ327712 HHC327712:HHF327712 HQY327712:HRB327712 IAU327712:IAX327712 IKQ327712:IKT327712 IUM327712:IUP327712 JEI327712:JEL327712 JOE327712:JOH327712 JYA327712:JYD327712 KHW327712:KHZ327712 KRS327712:KRV327712 LBO327712:LBR327712 LLK327712:LLN327712 LVG327712:LVJ327712 MFC327712:MFF327712 MOY327712:MPB327712 MYU327712:MYX327712 NIQ327712:NIT327712 NSM327712:NSP327712 OCI327712:OCL327712 OME327712:OMH327712 OWA327712:OWD327712 PFW327712:PFZ327712 PPS327712:PPV327712 PZO327712:PZR327712 QJK327712:QJN327712 QTG327712:QTJ327712 RDC327712:RDF327712 RMY327712:RNB327712 RWU327712:RWX327712 SGQ327712:SGT327712 SQM327712:SQP327712 TAI327712:TAL327712 TKE327712:TKH327712 TUA327712:TUD327712 UDW327712:UDZ327712 UNS327712:UNV327712 UXO327712:UXR327712 VHK327712:VHN327712 VRG327712:VRJ327712 WBC327712:WBF327712 WKY327712:WLB327712 WUU327712:WUX327712 Q393248:T393248 II393248:IL393248 SE393248:SH393248 ACA393248:ACD393248 ALW393248:ALZ393248 AVS393248:AVV393248 BFO393248:BFR393248 BPK393248:BPN393248 BZG393248:BZJ393248 CJC393248:CJF393248 CSY393248:CTB393248 DCU393248:DCX393248 DMQ393248:DMT393248 DWM393248:DWP393248 EGI393248:EGL393248 EQE393248:EQH393248 FAA393248:FAD393248 FJW393248:FJZ393248 FTS393248:FTV393248 GDO393248:GDR393248 GNK393248:GNN393248 GXG393248:GXJ393248 HHC393248:HHF393248 HQY393248:HRB393248 IAU393248:IAX393248 IKQ393248:IKT393248 IUM393248:IUP393248 JEI393248:JEL393248 JOE393248:JOH393248 JYA393248:JYD393248 KHW393248:KHZ393248 KRS393248:KRV393248 LBO393248:LBR393248 LLK393248:LLN393248 LVG393248:LVJ393248 MFC393248:MFF393248 MOY393248:MPB393248 MYU393248:MYX393248 NIQ393248:NIT393248 NSM393248:NSP393248 OCI393248:OCL393248 OME393248:OMH393248 OWA393248:OWD393248 PFW393248:PFZ393248 PPS393248:PPV393248 PZO393248:PZR393248 QJK393248:QJN393248 QTG393248:QTJ393248 RDC393248:RDF393248 RMY393248:RNB393248 RWU393248:RWX393248 SGQ393248:SGT393248 SQM393248:SQP393248 TAI393248:TAL393248 TKE393248:TKH393248 TUA393248:TUD393248 UDW393248:UDZ393248 UNS393248:UNV393248 UXO393248:UXR393248 VHK393248:VHN393248 VRG393248:VRJ393248 WBC393248:WBF393248 WKY393248:WLB393248 WUU393248:WUX393248 Q458784:T458784 II458784:IL458784 SE458784:SH458784 ACA458784:ACD458784 ALW458784:ALZ458784 AVS458784:AVV458784 BFO458784:BFR458784 BPK458784:BPN458784 BZG458784:BZJ458784 CJC458784:CJF458784 CSY458784:CTB458784 DCU458784:DCX458784 DMQ458784:DMT458784 DWM458784:DWP458784 EGI458784:EGL458784 EQE458784:EQH458784 FAA458784:FAD458784 FJW458784:FJZ458784 FTS458784:FTV458784 GDO458784:GDR458784 GNK458784:GNN458784 GXG458784:GXJ458784 HHC458784:HHF458784 HQY458784:HRB458784 IAU458784:IAX458784 IKQ458784:IKT458784 IUM458784:IUP458784 JEI458784:JEL458784 JOE458784:JOH458784 JYA458784:JYD458784 KHW458784:KHZ458784 KRS458784:KRV458784 LBO458784:LBR458784 LLK458784:LLN458784 LVG458784:LVJ458784 MFC458784:MFF458784 MOY458784:MPB458784 MYU458784:MYX458784 NIQ458784:NIT458784 NSM458784:NSP458784 OCI458784:OCL458784 OME458784:OMH458784 OWA458784:OWD458784 PFW458784:PFZ458784 PPS458784:PPV458784 PZO458784:PZR458784 QJK458784:QJN458784 QTG458784:QTJ458784 RDC458784:RDF458784 RMY458784:RNB458784 RWU458784:RWX458784 SGQ458784:SGT458784 SQM458784:SQP458784 TAI458784:TAL458784 TKE458784:TKH458784 TUA458784:TUD458784 UDW458784:UDZ458784 UNS458784:UNV458784 UXO458784:UXR458784 VHK458784:VHN458784 VRG458784:VRJ458784 WBC458784:WBF458784 WKY458784:WLB458784 WUU458784:WUX458784 Q524320:T524320 II524320:IL524320 SE524320:SH524320 ACA524320:ACD524320 ALW524320:ALZ524320 AVS524320:AVV524320 BFO524320:BFR524320 BPK524320:BPN524320 BZG524320:BZJ524320 CJC524320:CJF524320 CSY524320:CTB524320 DCU524320:DCX524320 DMQ524320:DMT524320 DWM524320:DWP524320 EGI524320:EGL524320 EQE524320:EQH524320 FAA524320:FAD524320 FJW524320:FJZ524320 FTS524320:FTV524320 GDO524320:GDR524320 GNK524320:GNN524320 GXG524320:GXJ524320 HHC524320:HHF524320 HQY524320:HRB524320 IAU524320:IAX524320 IKQ524320:IKT524320 IUM524320:IUP524320 JEI524320:JEL524320 JOE524320:JOH524320 JYA524320:JYD524320 KHW524320:KHZ524320 KRS524320:KRV524320 LBO524320:LBR524320 LLK524320:LLN524320 LVG524320:LVJ524320 MFC524320:MFF524320 MOY524320:MPB524320 MYU524320:MYX524320 NIQ524320:NIT524320 NSM524320:NSP524320 OCI524320:OCL524320 OME524320:OMH524320 OWA524320:OWD524320 PFW524320:PFZ524320 PPS524320:PPV524320 PZO524320:PZR524320 QJK524320:QJN524320 QTG524320:QTJ524320 RDC524320:RDF524320 RMY524320:RNB524320 RWU524320:RWX524320 SGQ524320:SGT524320 SQM524320:SQP524320 TAI524320:TAL524320 TKE524320:TKH524320 TUA524320:TUD524320 UDW524320:UDZ524320 UNS524320:UNV524320 UXO524320:UXR524320 VHK524320:VHN524320 VRG524320:VRJ524320 WBC524320:WBF524320 WKY524320:WLB524320 WUU524320:WUX524320 Q589856:T589856 II589856:IL589856 SE589856:SH589856 ACA589856:ACD589856 ALW589856:ALZ589856 AVS589856:AVV589856 BFO589856:BFR589856 BPK589856:BPN589856 BZG589856:BZJ589856 CJC589856:CJF589856 CSY589856:CTB589856 DCU589856:DCX589856 DMQ589856:DMT589856 DWM589856:DWP589856 EGI589856:EGL589856 EQE589856:EQH589856 FAA589856:FAD589856 FJW589856:FJZ589856 FTS589856:FTV589856 GDO589856:GDR589856 GNK589856:GNN589856 GXG589856:GXJ589856 HHC589856:HHF589856 HQY589856:HRB589856 IAU589856:IAX589856 IKQ589856:IKT589856 IUM589856:IUP589856 JEI589856:JEL589856 JOE589856:JOH589856 JYA589856:JYD589856 KHW589856:KHZ589856 KRS589856:KRV589856 LBO589856:LBR589856 LLK589856:LLN589856 LVG589856:LVJ589856 MFC589856:MFF589856 MOY589856:MPB589856 MYU589856:MYX589856 NIQ589856:NIT589856 NSM589856:NSP589856 OCI589856:OCL589856 OME589856:OMH589856 OWA589856:OWD589856 PFW589856:PFZ589856 PPS589856:PPV589856 PZO589856:PZR589856 QJK589856:QJN589856 QTG589856:QTJ589856 RDC589856:RDF589856 RMY589856:RNB589856 RWU589856:RWX589856 SGQ589856:SGT589856 SQM589856:SQP589856 TAI589856:TAL589856 TKE589856:TKH589856 TUA589856:TUD589856 UDW589856:UDZ589856 UNS589856:UNV589856 UXO589856:UXR589856 VHK589856:VHN589856 VRG589856:VRJ589856 WBC589856:WBF589856 WKY589856:WLB589856 WUU589856:WUX589856 Q655392:T655392 II655392:IL655392 SE655392:SH655392 ACA655392:ACD655392 ALW655392:ALZ655392 AVS655392:AVV655392 BFO655392:BFR655392 BPK655392:BPN655392 BZG655392:BZJ655392 CJC655392:CJF655392 CSY655392:CTB655392 DCU655392:DCX655392 DMQ655392:DMT655392 DWM655392:DWP655392 EGI655392:EGL655392 EQE655392:EQH655392 FAA655392:FAD655392 FJW655392:FJZ655392 FTS655392:FTV655392 GDO655392:GDR655392 GNK655392:GNN655392 GXG655392:GXJ655392 HHC655392:HHF655392 HQY655392:HRB655392 IAU655392:IAX655392 IKQ655392:IKT655392 IUM655392:IUP655392 JEI655392:JEL655392 JOE655392:JOH655392 JYA655392:JYD655392 KHW655392:KHZ655392 KRS655392:KRV655392 LBO655392:LBR655392 LLK655392:LLN655392 LVG655392:LVJ655392 MFC655392:MFF655392 MOY655392:MPB655392 MYU655392:MYX655392 NIQ655392:NIT655392 NSM655392:NSP655392 OCI655392:OCL655392 OME655392:OMH655392 OWA655392:OWD655392 PFW655392:PFZ655392 PPS655392:PPV655392 PZO655392:PZR655392 QJK655392:QJN655392 QTG655392:QTJ655392 RDC655392:RDF655392 RMY655392:RNB655392 RWU655392:RWX655392 SGQ655392:SGT655392 SQM655392:SQP655392 TAI655392:TAL655392 TKE655392:TKH655392 TUA655392:TUD655392 UDW655392:UDZ655392 UNS655392:UNV655392 UXO655392:UXR655392 VHK655392:VHN655392 VRG655392:VRJ655392 WBC655392:WBF655392 WKY655392:WLB655392 WUU655392:WUX655392 Q720928:T720928 II720928:IL720928 SE720928:SH720928 ACA720928:ACD720928 ALW720928:ALZ720928 AVS720928:AVV720928 BFO720928:BFR720928 BPK720928:BPN720928 BZG720928:BZJ720928 CJC720928:CJF720928 CSY720928:CTB720928 DCU720928:DCX720928 DMQ720928:DMT720928 DWM720928:DWP720928 EGI720928:EGL720928 EQE720928:EQH720928 FAA720928:FAD720928 FJW720928:FJZ720928 FTS720928:FTV720928 GDO720928:GDR720928 GNK720928:GNN720928 GXG720928:GXJ720928 HHC720928:HHF720928 HQY720928:HRB720928 IAU720928:IAX720928 IKQ720928:IKT720928 IUM720928:IUP720928 JEI720928:JEL720928 JOE720928:JOH720928 JYA720928:JYD720928 KHW720928:KHZ720928 KRS720928:KRV720928 LBO720928:LBR720928 LLK720928:LLN720928 LVG720928:LVJ720928 MFC720928:MFF720928 MOY720928:MPB720928 MYU720928:MYX720928 NIQ720928:NIT720928 NSM720928:NSP720928 OCI720928:OCL720928 OME720928:OMH720928 OWA720928:OWD720928 PFW720928:PFZ720928 PPS720928:PPV720928 PZO720928:PZR720928 QJK720928:QJN720928 QTG720928:QTJ720928 RDC720928:RDF720928 RMY720928:RNB720928 RWU720928:RWX720928 SGQ720928:SGT720928 SQM720928:SQP720928 TAI720928:TAL720928 TKE720928:TKH720928 TUA720928:TUD720928 UDW720928:UDZ720928 UNS720928:UNV720928 UXO720928:UXR720928 VHK720928:VHN720928 VRG720928:VRJ720928 WBC720928:WBF720928 WKY720928:WLB720928 WUU720928:WUX720928 Q786464:T786464 II786464:IL786464 SE786464:SH786464 ACA786464:ACD786464 ALW786464:ALZ786464 AVS786464:AVV786464 BFO786464:BFR786464 BPK786464:BPN786464 BZG786464:BZJ786464 CJC786464:CJF786464 CSY786464:CTB786464 DCU786464:DCX786464 DMQ786464:DMT786464 DWM786464:DWP786464 EGI786464:EGL786464 EQE786464:EQH786464 FAA786464:FAD786464 FJW786464:FJZ786464 FTS786464:FTV786464 GDO786464:GDR786464 GNK786464:GNN786464 GXG786464:GXJ786464 HHC786464:HHF786464 HQY786464:HRB786464 IAU786464:IAX786464 IKQ786464:IKT786464 IUM786464:IUP786464 JEI786464:JEL786464 JOE786464:JOH786464 JYA786464:JYD786464 KHW786464:KHZ786464 KRS786464:KRV786464 LBO786464:LBR786464 LLK786464:LLN786464 LVG786464:LVJ786464 MFC786464:MFF786464 MOY786464:MPB786464 MYU786464:MYX786464 NIQ786464:NIT786464 NSM786464:NSP786464 OCI786464:OCL786464 OME786464:OMH786464 OWA786464:OWD786464 PFW786464:PFZ786464 PPS786464:PPV786464 PZO786464:PZR786464 QJK786464:QJN786464 QTG786464:QTJ786464 RDC786464:RDF786464 RMY786464:RNB786464 RWU786464:RWX786464 SGQ786464:SGT786464 SQM786464:SQP786464 TAI786464:TAL786464 TKE786464:TKH786464 TUA786464:TUD786464 UDW786464:UDZ786464 UNS786464:UNV786464 UXO786464:UXR786464 VHK786464:VHN786464 VRG786464:VRJ786464 WBC786464:WBF786464 WKY786464:WLB786464 WUU786464:WUX786464 Q852000:T852000 II852000:IL852000 SE852000:SH852000 ACA852000:ACD852000 ALW852000:ALZ852000 AVS852000:AVV852000 BFO852000:BFR852000 BPK852000:BPN852000 BZG852000:BZJ852000 CJC852000:CJF852000 CSY852000:CTB852000 DCU852000:DCX852000 DMQ852000:DMT852000 DWM852000:DWP852000 EGI852000:EGL852000 EQE852000:EQH852000 FAA852000:FAD852000 FJW852000:FJZ852000 FTS852000:FTV852000 GDO852000:GDR852000 GNK852000:GNN852000 GXG852000:GXJ852000 HHC852000:HHF852000 HQY852000:HRB852000 IAU852000:IAX852000 IKQ852000:IKT852000 IUM852000:IUP852000 JEI852000:JEL852000 JOE852000:JOH852000 JYA852000:JYD852000 KHW852000:KHZ852000 KRS852000:KRV852000 LBO852000:LBR852000 LLK852000:LLN852000 LVG852000:LVJ852000 MFC852000:MFF852000 MOY852000:MPB852000 MYU852000:MYX852000 NIQ852000:NIT852000 NSM852000:NSP852000 OCI852000:OCL852000 OME852000:OMH852000 OWA852000:OWD852000 PFW852000:PFZ852000 PPS852000:PPV852000 PZO852000:PZR852000 QJK852000:QJN852000 QTG852000:QTJ852000 RDC852000:RDF852000 RMY852000:RNB852000 RWU852000:RWX852000 SGQ852000:SGT852000 SQM852000:SQP852000 TAI852000:TAL852000 TKE852000:TKH852000 TUA852000:TUD852000 UDW852000:UDZ852000 UNS852000:UNV852000 UXO852000:UXR852000 VHK852000:VHN852000 VRG852000:VRJ852000 WBC852000:WBF852000 WKY852000:WLB852000 WUU852000:WUX852000 Q917536:T917536 II917536:IL917536 SE917536:SH917536 ACA917536:ACD917536 ALW917536:ALZ917536 AVS917536:AVV917536 BFO917536:BFR917536 BPK917536:BPN917536 BZG917536:BZJ917536 CJC917536:CJF917536 CSY917536:CTB917536 DCU917536:DCX917536 DMQ917536:DMT917536 DWM917536:DWP917536 EGI917536:EGL917536 EQE917536:EQH917536 FAA917536:FAD917536 FJW917536:FJZ917536 FTS917536:FTV917536 GDO917536:GDR917536 GNK917536:GNN917536 GXG917536:GXJ917536 HHC917536:HHF917536 HQY917536:HRB917536 IAU917536:IAX917536 IKQ917536:IKT917536 IUM917536:IUP917536 JEI917536:JEL917536 JOE917536:JOH917536 JYA917536:JYD917536 KHW917536:KHZ917536 KRS917536:KRV917536 LBO917536:LBR917536 LLK917536:LLN917536 LVG917536:LVJ917536 MFC917536:MFF917536 MOY917536:MPB917536 MYU917536:MYX917536 NIQ917536:NIT917536 NSM917536:NSP917536 OCI917536:OCL917536 OME917536:OMH917536 OWA917536:OWD917536 PFW917536:PFZ917536 PPS917536:PPV917536 PZO917536:PZR917536 QJK917536:QJN917536 QTG917536:QTJ917536 RDC917536:RDF917536 RMY917536:RNB917536 RWU917536:RWX917536 SGQ917536:SGT917536 SQM917536:SQP917536 TAI917536:TAL917536 TKE917536:TKH917536 TUA917536:TUD917536 UDW917536:UDZ917536 UNS917536:UNV917536 UXO917536:UXR917536 VHK917536:VHN917536 VRG917536:VRJ917536 WBC917536:WBF917536 WKY917536:WLB917536 WUU917536:WUX917536 Q983072:T983072 II983072:IL983072 SE983072:SH983072 ACA983072:ACD983072 ALW983072:ALZ983072 AVS983072:AVV983072 BFO983072:BFR983072 BPK983072:BPN983072 BZG983072:BZJ983072 CJC983072:CJF983072 CSY983072:CTB983072 DCU983072:DCX983072 DMQ983072:DMT983072 DWM983072:DWP983072 EGI983072:EGL983072 EQE983072:EQH983072 FAA983072:FAD983072 FJW983072:FJZ983072 FTS983072:FTV983072 GDO983072:GDR983072 GNK983072:GNN983072 GXG983072:GXJ983072 HHC983072:HHF983072 HQY983072:HRB983072 IAU983072:IAX983072 IKQ983072:IKT983072 IUM983072:IUP983072 JEI983072:JEL983072 JOE983072:JOH983072 JYA983072:JYD983072 KHW983072:KHZ983072 KRS983072:KRV983072 LBO983072:LBR983072 LLK983072:LLN983072 LVG983072:LVJ983072 MFC983072:MFF983072 MOY983072:MPB983072 MYU983072:MYX983072 NIQ983072:NIT983072 NSM983072:NSP983072 OCI983072:OCL983072 OME983072:OMH983072 OWA983072:OWD983072 PFW983072:PFZ983072 PPS983072:PPV983072 PZO983072:PZR983072 QJK983072:QJN983072 QTG983072:QTJ983072 RDC983072:RDF983072 RMY983072:RNB983072 RWU983072:RWX983072 SGQ983072:SGT983072 SQM983072:SQP983072 TAI983072:TAL983072 TKE983072:TKH983072 TUA983072:TUD983072 UDW983072:UDZ983072 UNS983072:UNV983072 UXO983072:UXR983072 VHK983072:VHN983072 VRG983072:VRJ983072 WBC983072:WBF983072 WKY983072:WLB983072 WUU983072:WUX983072 ID983071:IG983071 RZ983071:SC983071 ABV983071:ABY983071 ALR983071:ALU983071 AVN983071:AVQ983071 BFJ983071:BFM983071 BPF983071:BPI983071 BZB983071:BZE983071 CIX983071:CJA983071 CST983071:CSW983071 DCP983071:DCS983071 DML983071:DMO983071 DWH983071:DWK983071 EGD983071:EGG983071 EPZ983071:EQC983071 EZV983071:EZY983071 FJR983071:FJU983071 FTN983071:FTQ983071 GDJ983071:GDM983071 GNF983071:GNI983071 GXB983071:GXE983071 HGX983071:HHA983071 HQT983071:HQW983071 IAP983071:IAS983071 IKL983071:IKO983071 IUH983071:IUK983071 JED983071:JEG983071 JNZ983071:JOC983071 JXV983071:JXY983071 KHR983071:KHU983071 KRN983071:KRQ983071 LBJ983071:LBM983071 LLF983071:LLI983071 LVB983071:LVE983071 MEX983071:MFA983071 MOT983071:MOW983071 MYP983071:MYS983071 NIL983071:NIO983071 NSH983071:NSK983071 OCD983071:OCG983071 OLZ983071:OMC983071 OVV983071:OVY983071 PFR983071:PFU983071 PPN983071:PPQ983071 PZJ983071:PZM983071 QJF983071:QJI983071 QTB983071:QTE983071 RCX983071:RDA983071 RMT983071:RMW983071 RWP983071:RWS983071 SGL983071:SGO983071 SQH983071:SQK983071 TAD983071:TAG983071 TJZ983071:TKC983071 TTV983071:TTY983071 UDR983071:UDU983071 UNN983071:UNQ983071 UXJ983071:UXM983071 VHF983071:VHI983071 VRB983071:VRE983071 WAX983071:WBA983071 WKT983071:WKW983071 WUP983071:WUS983071 ID65567:IG65567 RZ65567:SC65567 ABV65567:ABY65567 ALR65567:ALU65567 AVN65567:AVQ65567 BFJ65567:BFM65567 BPF65567:BPI65567 BZB65567:BZE65567 CIX65567:CJA65567 CST65567:CSW65567 DCP65567:DCS65567 DML65567:DMO65567 DWH65567:DWK65567 EGD65567:EGG65567 EPZ65567:EQC65567 EZV65567:EZY65567 FJR65567:FJU65567 FTN65567:FTQ65567 GDJ65567:GDM65567 GNF65567:GNI65567 GXB65567:GXE65567 HGX65567:HHA65567 HQT65567:HQW65567 IAP65567:IAS65567 IKL65567:IKO65567 IUH65567:IUK65567 JED65567:JEG65567 JNZ65567:JOC65567 JXV65567:JXY65567 KHR65567:KHU65567 KRN65567:KRQ65567 LBJ65567:LBM65567 LLF65567:LLI65567 LVB65567:LVE65567 MEX65567:MFA65567 MOT65567:MOW65567 MYP65567:MYS65567 NIL65567:NIO65567 NSH65567:NSK65567 OCD65567:OCG65567 OLZ65567:OMC65567 OVV65567:OVY65567 PFR65567:PFU65567 PPN65567:PPQ65567 PZJ65567:PZM65567 QJF65567:QJI65567 QTB65567:QTE65567 RCX65567:RDA65567 RMT65567:RMW65567 RWP65567:RWS65567 SGL65567:SGO65567 SQH65567:SQK65567 TAD65567:TAG65567 TJZ65567:TKC65567 TTV65567:TTY65567 UDR65567:UDU65567 UNN65567:UNQ65567 UXJ65567:UXM65567 VHF65567:VHI65567 VRB65567:VRE65567 WAX65567:WBA65567 WKT65567:WKW65567 WUP65567:WUS65567 ID131103:IG131103 RZ131103:SC131103 ABV131103:ABY131103 ALR131103:ALU131103 AVN131103:AVQ131103 BFJ131103:BFM131103 BPF131103:BPI131103 BZB131103:BZE131103 CIX131103:CJA131103 CST131103:CSW131103 DCP131103:DCS131103 DML131103:DMO131103 DWH131103:DWK131103 EGD131103:EGG131103 EPZ131103:EQC131103 EZV131103:EZY131103 FJR131103:FJU131103 FTN131103:FTQ131103 GDJ131103:GDM131103 GNF131103:GNI131103 GXB131103:GXE131103 HGX131103:HHA131103 HQT131103:HQW131103 IAP131103:IAS131103 IKL131103:IKO131103 IUH131103:IUK131103 JED131103:JEG131103 JNZ131103:JOC131103 JXV131103:JXY131103 KHR131103:KHU131103 KRN131103:KRQ131103 LBJ131103:LBM131103 LLF131103:LLI131103 LVB131103:LVE131103 MEX131103:MFA131103 MOT131103:MOW131103 MYP131103:MYS131103 NIL131103:NIO131103 NSH131103:NSK131103 OCD131103:OCG131103 OLZ131103:OMC131103 OVV131103:OVY131103 PFR131103:PFU131103 PPN131103:PPQ131103 PZJ131103:PZM131103 QJF131103:QJI131103 QTB131103:QTE131103 RCX131103:RDA131103 RMT131103:RMW131103 RWP131103:RWS131103 SGL131103:SGO131103 SQH131103:SQK131103 TAD131103:TAG131103 TJZ131103:TKC131103 TTV131103:TTY131103 UDR131103:UDU131103 UNN131103:UNQ131103 UXJ131103:UXM131103 VHF131103:VHI131103 VRB131103:VRE131103 WAX131103:WBA131103 WKT131103:WKW131103 WUP131103:WUS131103 ID196639:IG196639 RZ196639:SC196639 ABV196639:ABY196639 ALR196639:ALU196639 AVN196639:AVQ196639 BFJ196639:BFM196639 BPF196639:BPI196639 BZB196639:BZE196639 CIX196639:CJA196639 CST196639:CSW196639 DCP196639:DCS196639 DML196639:DMO196639 DWH196639:DWK196639 EGD196639:EGG196639 EPZ196639:EQC196639 EZV196639:EZY196639 FJR196639:FJU196639 FTN196639:FTQ196639 GDJ196639:GDM196639 GNF196639:GNI196639 GXB196639:GXE196639 HGX196639:HHA196639 HQT196639:HQW196639 IAP196639:IAS196639 IKL196639:IKO196639 IUH196639:IUK196639 JED196639:JEG196639 JNZ196639:JOC196639 JXV196639:JXY196639 KHR196639:KHU196639 KRN196639:KRQ196639 LBJ196639:LBM196639 LLF196639:LLI196639 LVB196639:LVE196639 MEX196639:MFA196639 MOT196639:MOW196639 MYP196639:MYS196639 NIL196639:NIO196639 NSH196639:NSK196639 OCD196639:OCG196639 OLZ196639:OMC196639 OVV196639:OVY196639 PFR196639:PFU196639 PPN196639:PPQ196639 PZJ196639:PZM196639 QJF196639:QJI196639 QTB196639:QTE196639 RCX196639:RDA196639 RMT196639:RMW196639 RWP196639:RWS196639 SGL196639:SGO196639 SQH196639:SQK196639 TAD196639:TAG196639 TJZ196639:TKC196639 TTV196639:TTY196639 UDR196639:UDU196639 UNN196639:UNQ196639 UXJ196639:UXM196639 VHF196639:VHI196639 VRB196639:VRE196639 WAX196639:WBA196639 WKT196639:WKW196639 WUP196639:WUS196639 ID262175:IG262175 RZ262175:SC262175 ABV262175:ABY262175 ALR262175:ALU262175 AVN262175:AVQ262175 BFJ262175:BFM262175 BPF262175:BPI262175 BZB262175:BZE262175 CIX262175:CJA262175 CST262175:CSW262175 DCP262175:DCS262175 DML262175:DMO262175 DWH262175:DWK262175 EGD262175:EGG262175 EPZ262175:EQC262175 EZV262175:EZY262175 FJR262175:FJU262175 FTN262175:FTQ262175 GDJ262175:GDM262175 GNF262175:GNI262175 GXB262175:GXE262175 HGX262175:HHA262175 HQT262175:HQW262175 IAP262175:IAS262175 IKL262175:IKO262175 IUH262175:IUK262175 JED262175:JEG262175 JNZ262175:JOC262175 JXV262175:JXY262175 KHR262175:KHU262175 KRN262175:KRQ262175 LBJ262175:LBM262175 LLF262175:LLI262175 LVB262175:LVE262175 MEX262175:MFA262175 MOT262175:MOW262175 MYP262175:MYS262175 NIL262175:NIO262175 NSH262175:NSK262175 OCD262175:OCG262175 OLZ262175:OMC262175 OVV262175:OVY262175 PFR262175:PFU262175 PPN262175:PPQ262175 PZJ262175:PZM262175 QJF262175:QJI262175 QTB262175:QTE262175 RCX262175:RDA262175 RMT262175:RMW262175 RWP262175:RWS262175 SGL262175:SGO262175 SQH262175:SQK262175 TAD262175:TAG262175 TJZ262175:TKC262175 TTV262175:TTY262175 UDR262175:UDU262175 UNN262175:UNQ262175 UXJ262175:UXM262175 VHF262175:VHI262175 VRB262175:VRE262175 WAX262175:WBA262175 WKT262175:WKW262175 WUP262175:WUS262175 ID327711:IG327711 RZ327711:SC327711 ABV327711:ABY327711 ALR327711:ALU327711 AVN327711:AVQ327711 BFJ327711:BFM327711 BPF327711:BPI327711 BZB327711:BZE327711 CIX327711:CJA327711 CST327711:CSW327711 DCP327711:DCS327711 DML327711:DMO327711 DWH327711:DWK327711 EGD327711:EGG327711 EPZ327711:EQC327711 EZV327711:EZY327711 FJR327711:FJU327711 FTN327711:FTQ327711 GDJ327711:GDM327711 GNF327711:GNI327711 GXB327711:GXE327711 HGX327711:HHA327711 HQT327711:HQW327711 IAP327711:IAS327711 IKL327711:IKO327711 IUH327711:IUK327711 JED327711:JEG327711 JNZ327711:JOC327711 JXV327711:JXY327711 KHR327711:KHU327711 KRN327711:KRQ327711 LBJ327711:LBM327711 LLF327711:LLI327711 LVB327711:LVE327711 MEX327711:MFA327711 MOT327711:MOW327711 MYP327711:MYS327711 NIL327711:NIO327711 NSH327711:NSK327711 OCD327711:OCG327711 OLZ327711:OMC327711 OVV327711:OVY327711 PFR327711:PFU327711 PPN327711:PPQ327711 PZJ327711:PZM327711 QJF327711:QJI327711 QTB327711:QTE327711 RCX327711:RDA327711 RMT327711:RMW327711 RWP327711:RWS327711 SGL327711:SGO327711 SQH327711:SQK327711 TAD327711:TAG327711 TJZ327711:TKC327711 TTV327711:TTY327711 UDR327711:UDU327711 UNN327711:UNQ327711 UXJ327711:UXM327711 VHF327711:VHI327711 VRB327711:VRE327711 WAX327711:WBA327711 WKT327711:WKW327711 WUP327711:WUS327711 ID393247:IG393247 RZ393247:SC393247 ABV393247:ABY393247 ALR393247:ALU393247 AVN393247:AVQ393247 BFJ393247:BFM393247 BPF393247:BPI393247 BZB393247:BZE393247 CIX393247:CJA393247 CST393247:CSW393247 DCP393247:DCS393247 DML393247:DMO393247 DWH393247:DWK393247 EGD393247:EGG393247 EPZ393247:EQC393247 EZV393247:EZY393247 FJR393247:FJU393247 FTN393247:FTQ393247 GDJ393247:GDM393247 GNF393247:GNI393247 GXB393247:GXE393247 HGX393247:HHA393247 HQT393247:HQW393247 IAP393247:IAS393247 IKL393247:IKO393247 IUH393247:IUK393247 JED393247:JEG393247 JNZ393247:JOC393247 JXV393247:JXY393247 KHR393247:KHU393247 KRN393247:KRQ393247 LBJ393247:LBM393247 LLF393247:LLI393247 LVB393247:LVE393247 MEX393247:MFA393247 MOT393247:MOW393247 MYP393247:MYS393247 NIL393247:NIO393247 NSH393247:NSK393247 OCD393247:OCG393247 OLZ393247:OMC393247 OVV393247:OVY393247 PFR393247:PFU393247 PPN393247:PPQ393247 PZJ393247:PZM393247 QJF393247:QJI393247 QTB393247:QTE393247 RCX393247:RDA393247 RMT393247:RMW393247 RWP393247:RWS393247 SGL393247:SGO393247 SQH393247:SQK393247 TAD393247:TAG393247 TJZ393247:TKC393247 TTV393247:TTY393247 UDR393247:UDU393247 UNN393247:UNQ393247 UXJ393247:UXM393247 VHF393247:VHI393247 VRB393247:VRE393247 WAX393247:WBA393247 WKT393247:WKW393247 WUP393247:WUS393247 ID458783:IG458783 RZ458783:SC458783 ABV458783:ABY458783 ALR458783:ALU458783 AVN458783:AVQ458783 BFJ458783:BFM458783 BPF458783:BPI458783 BZB458783:BZE458783 CIX458783:CJA458783 CST458783:CSW458783 DCP458783:DCS458783 DML458783:DMO458783 DWH458783:DWK458783 EGD458783:EGG458783 EPZ458783:EQC458783 EZV458783:EZY458783 FJR458783:FJU458783 FTN458783:FTQ458783 GDJ458783:GDM458783 GNF458783:GNI458783 GXB458783:GXE458783 HGX458783:HHA458783 HQT458783:HQW458783 IAP458783:IAS458783 IKL458783:IKO458783 IUH458783:IUK458783 JED458783:JEG458783 JNZ458783:JOC458783 JXV458783:JXY458783 KHR458783:KHU458783 KRN458783:KRQ458783 LBJ458783:LBM458783 LLF458783:LLI458783 LVB458783:LVE458783 MEX458783:MFA458783 MOT458783:MOW458783 MYP458783:MYS458783 NIL458783:NIO458783 NSH458783:NSK458783 OCD458783:OCG458783 OLZ458783:OMC458783 OVV458783:OVY458783 PFR458783:PFU458783 PPN458783:PPQ458783 PZJ458783:PZM458783 QJF458783:QJI458783 QTB458783:QTE458783 RCX458783:RDA458783 RMT458783:RMW458783 RWP458783:RWS458783 SGL458783:SGO458783 SQH458783:SQK458783 TAD458783:TAG458783 TJZ458783:TKC458783 TTV458783:TTY458783 UDR458783:UDU458783 UNN458783:UNQ458783 UXJ458783:UXM458783 VHF458783:VHI458783 VRB458783:VRE458783 WAX458783:WBA458783 WKT458783:WKW458783 WUP458783:WUS458783 ID524319:IG524319 RZ524319:SC524319 ABV524319:ABY524319 ALR524319:ALU524319 AVN524319:AVQ524319 BFJ524319:BFM524319 BPF524319:BPI524319 BZB524319:BZE524319 CIX524319:CJA524319 CST524319:CSW524319 DCP524319:DCS524319 DML524319:DMO524319 DWH524319:DWK524319 EGD524319:EGG524319 EPZ524319:EQC524319 EZV524319:EZY524319 FJR524319:FJU524319 FTN524319:FTQ524319 GDJ524319:GDM524319 GNF524319:GNI524319 GXB524319:GXE524319 HGX524319:HHA524319 HQT524319:HQW524319 IAP524319:IAS524319 IKL524319:IKO524319 IUH524319:IUK524319 JED524319:JEG524319 JNZ524319:JOC524319 JXV524319:JXY524319 KHR524319:KHU524319 KRN524319:KRQ524319 LBJ524319:LBM524319 LLF524319:LLI524319 LVB524319:LVE524319 MEX524319:MFA524319 MOT524319:MOW524319 MYP524319:MYS524319 NIL524319:NIO524319 NSH524319:NSK524319 OCD524319:OCG524319 OLZ524319:OMC524319 OVV524319:OVY524319 PFR524319:PFU524319 PPN524319:PPQ524319 PZJ524319:PZM524319 QJF524319:QJI524319 QTB524319:QTE524319 RCX524319:RDA524319 RMT524319:RMW524319 RWP524319:RWS524319 SGL524319:SGO524319 SQH524319:SQK524319 TAD524319:TAG524319 TJZ524319:TKC524319 TTV524319:TTY524319 UDR524319:UDU524319 UNN524319:UNQ524319 UXJ524319:UXM524319 VHF524319:VHI524319 VRB524319:VRE524319 WAX524319:WBA524319 WKT524319:WKW524319 WUP524319:WUS524319 ID589855:IG589855 RZ589855:SC589855 ABV589855:ABY589855 ALR589855:ALU589855 AVN589855:AVQ589855 BFJ589855:BFM589855 BPF589855:BPI589855 BZB589855:BZE589855 CIX589855:CJA589855 CST589855:CSW589855 DCP589855:DCS589855 DML589855:DMO589855 DWH589855:DWK589855 EGD589855:EGG589855 EPZ589855:EQC589855 EZV589855:EZY589855 FJR589855:FJU589855 FTN589855:FTQ589855 GDJ589855:GDM589855 GNF589855:GNI589855 GXB589855:GXE589855 HGX589855:HHA589855 HQT589855:HQW589855 IAP589855:IAS589855 IKL589855:IKO589855 IUH589855:IUK589855 JED589855:JEG589855 JNZ589855:JOC589855 JXV589855:JXY589855 KHR589855:KHU589855 KRN589855:KRQ589855 LBJ589855:LBM589855 LLF589855:LLI589855 LVB589855:LVE589855 MEX589855:MFA589855 MOT589855:MOW589855 MYP589855:MYS589855 NIL589855:NIO589855 NSH589855:NSK589855 OCD589855:OCG589855 OLZ589855:OMC589855 OVV589855:OVY589855 PFR589855:PFU589855 PPN589855:PPQ589855 PZJ589855:PZM589855 QJF589855:QJI589855 QTB589855:QTE589855 RCX589855:RDA589855 RMT589855:RMW589855 RWP589855:RWS589855 SGL589855:SGO589855 SQH589855:SQK589855 TAD589855:TAG589855 TJZ589855:TKC589855 TTV589855:TTY589855 UDR589855:UDU589855 UNN589855:UNQ589855 UXJ589855:UXM589855 VHF589855:VHI589855 VRB589855:VRE589855 WAX589855:WBA589855 WKT589855:WKW589855 WUP589855:WUS589855 ID655391:IG655391 RZ655391:SC655391 ABV655391:ABY655391 ALR655391:ALU655391 AVN655391:AVQ655391 BFJ655391:BFM655391 BPF655391:BPI655391 BZB655391:BZE655391 CIX655391:CJA655391 CST655391:CSW655391 DCP655391:DCS655391 DML655391:DMO655391 DWH655391:DWK655391 EGD655391:EGG655391 EPZ655391:EQC655391 EZV655391:EZY655391 FJR655391:FJU655391 FTN655391:FTQ655391 GDJ655391:GDM655391 GNF655391:GNI655391 GXB655391:GXE655391 HGX655391:HHA655391 HQT655391:HQW655391 IAP655391:IAS655391 IKL655391:IKO655391 IUH655391:IUK655391 JED655391:JEG655391 JNZ655391:JOC655391 JXV655391:JXY655391 KHR655391:KHU655391 KRN655391:KRQ655391 LBJ655391:LBM655391 LLF655391:LLI655391 LVB655391:LVE655391 MEX655391:MFA655391 MOT655391:MOW655391 MYP655391:MYS655391 NIL655391:NIO655391 NSH655391:NSK655391 OCD655391:OCG655391 OLZ655391:OMC655391 OVV655391:OVY655391 PFR655391:PFU655391 PPN655391:PPQ655391 PZJ655391:PZM655391 QJF655391:QJI655391 QTB655391:QTE655391 RCX655391:RDA655391 RMT655391:RMW655391 RWP655391:RWS655391 SGL655391:SGO655391 SQH655391:SQK655391 TAD655391:TAG655391 TJZ655391:TKC655391 TTV655391:TTY655391 UDR655391:UDU655391 UNN655391:UNQ655391 UXJ655391:UXM655391 VHF655391:VHI655391 VRB655391:VRE655391 WAX655391:WBA655391 WKT655391:WKW655391 WUP655391:WUS655391 ID720927:IG720927 RZ720927:SC720927 ABV720927:ABY720927 ALR720927:ALU720927 AVN720927:AVQ720927 BFJ720927:BFM720927 BPF720927:BPI720927 BZB720927:BZE720927 CIX720927:CJA720927 CST720927:CSW720927 DCP720927:DCS720927 DML720927:DMO720927 DWH720927:DWK720927 EGD720927:EGG720927 EPZ720927:EQC720927 EZV720927:EZY720927 FJR720927:FJU720927 FTN720927:FTQ720927 GDJ720927:GDM720927 GNF720927:GNI720927 GXB720927:GXE720927 HGX720927:HHA720927 HQT720927:HQW720927 IAP720927:IAS720927 IKL720927:IKO720927 IUH720927:IUK720927 JED720927:JEG720927 JNZ720927:JOC720927 JXV720927:JXY720927 KHR720927:KHU720927 KRN720927:KRQ720927 LBJ720927:LBM720927 LLF720927:LLI720927 LVB720927:LVE720927 MEX720927:MFA720927 MOT720927:MOW720927 MYP720927:MYS720927 NIL720927:NIO720927 NSH720927:NSK720927 OCD720927:OCG720927 OLZ720927:OMC720927 OVV720927:OVY720927 PFR720927:PFU720927 PPN720927:PPQ720927 PZJ720927:PZM720927 QJF720927:QJI720927 QTB720927:QTE720927 RCX720927:RDA720927 RMT720927:RMW720927 RWP720927:RWS720927 SGL720927:SGO720927 SQH720927:SQK720927 TAD720927:TAG720927 TJZ720927:TKC720927 TTV720927:TTY720927 UDR720927:UDU720927 UNN720927:UNQ720927 UXJ720927:UXM720927 VHF720927:VHI720927 VRB720927:VRE720927 WAX720927:WBA720927 WKT720927:WKW720927 WUP720927:WUS720927 ID786463:IG786463 RZ786463:SC786463 ABV786463:ABY786463 ALR786463:ALU786463 AVN786463:AVQ786463 BFJ786463:BFM786463 BPF786463:BPI786463 BZB786463:BZE786463 CIX786463:CJA786463 CST786463:CSW786463 DCP786463:DCS786463 DML786463:DMO786463 DWH786463:DWK786463 EGD786463:EGG786463 EPZ786463:EQC786463 EZV786463:EZY786463 FJR786463:FJU786463 FTN786463:FTQ786463 GDJ786463:GDM786463 GNF786463:GNI786463 GXB786463:GXE786463 HGX786463:HHA786463 HQT786463:HQW786463 IAP786463:IAS786463 IKL786463:IKO786463 IUH786463:IUK786463 JED786463:JEG786463 JNZ786463:JOC786463 JXV786463:JXY786463 KHR786463:KHU786463 KRN786463:KRQ786463 LBJ786463:LBM786463 LLF786463:LLI786463 LVB786463:LVE786463 MEX786463:MFA786463 MOT786463:MOW786463 MYP786463:MYS786463 NIL786463:NIO786463 NSH786463:NSK786463 OCD786463:OCG786463 OLZ786463:OMC786463 OVV786463:OVY786463 PFR786463:PFU786463 PPN786463:PPQ786463 PZJ786463:PZM786463 QJF786463:QJI786463 QTB786463:QTE786463 RCX786463:RDA786463 RMT786463:RMW786463 RWP786463:RWS786463 SGL786463:SGO786463 SQH786463:SQK786463 TAD786463:TAG786463 TJZ786463:TKC786463 TTV786463:TTY786463 UDR786463:UDU786463 UNN786463:UNQ786463 UXJ786463:UXM786463 VHF786463:VHI786463 VRB786463:VRE786463 WAX786463:WBA786463 WKT786463:WKW786463 WUP786463:WUS786463 ID851999:IG851999 RZ851999:SC851999 ABV851999:ABY851999 ALR851999:ALU851999 AVN851999:AVQ851999 BFJ851999:BFM851999 BPF851999:BPI851999 BZB851999:BZE851999 CIX851999:CJA851999 CST851999:CSW851999 DCP851999:DCS851999 DML851999:DMO851999 DWH851999:DWK851999 EGD851999:EGG851999 EPZ851999:EQC851999 EZV851999:EZY851999 FJR851999:FJU851999 FTN851999:FTQ851999 GDJ851999:GDM851999 GNF851999:GNI851999 GXB851999:GXE851999 HGX851999:HHA851999 HQT851999:HQW851999 IAP851999:IAS851999 IKL851999:IKO851999 IUH851999:IUK851999 JED851999:JEG851999 JNZ851999:JOC851999 JXV851999:JXY851999 KHR851999:KHU851999 KRN851999:KRQ851999 LBJ851999:LBM851999 LLF851999:LLI851999 LVB851999:LVE851999 MEX851999:MFA851999 MOT851999:MOW851999 MYP851999:MYS851999 NIL851999:NIO851999 NSH851999:NSK851999 OCD851999:OCG851999 OLZ851999:OMC851999 OVV851999:OVY851999 PFR851999:PFU851999 PPN851999:PPQ851999 PZJ851999:PZM851999 QJF851999:QJI851999 QTB851999:QTE851999 RCX851999:RDA851999 RMT851999:RMW851999 RWP851999:RWS851999 SGL851999:SGO851999 SQH851999:SQK851999 TAD851999:TAG851999 TJZ851999:TKC851999 TTV851999:TTY851999 UDR851999:UDU851999 UNN851999:UNQ851999 UXJ851999:UXM851999 VHF851999:VHI851999 VRB851999:VRE851999 WAX851999:WBA851999 WKT851999:WKW851999 WUP851999:WUS851999 ID917535:IG917535 RZ917535:SC917535 ABV917535:ABY917535 ALR917535:ALU917535 AVN917535:AVQ917535 BFJ917535:BFM917535 BPF917535:BPI917535 BZB917535:BZE917535 CIX917535:CJA917535 CST917535:CSW917535 DCP917535:DCS917535 DML917535:DMO917535 DWH917535:DWK917535 EGD917535:EGG917535 EPZ917535:EQC917535 EZV917535:EZY917535 FJR917535:FJU917535 FTN917535:FTQ917535 GDJ917535:GDM917535 GNF917535:GNI917535 GXB917535:GXE917535 HGX917535:HHA917535 HQT917535:HQW917535 IAP917535:IAS917535 IKL917535:IKO917535 IUH917535:IUK917535 JED917535:JEG917535 JNZ917535:JOC917535 JXV917535:JXY917535 KHR917535:KHU917535 KRN917535:KRQ917535 LBJ917535:LBM917535 LLF917535:LLI917535 LVB917535:LVE917535 MEX917535:MFA917535 MOT917535:MOW917535 MYP917535:MYS917535 NIL917535:NIO917535 NSH917535:NSK917535 OCD917535:OCG917535 OLZ917535:OMC917535 OVV917535:OVY917535 PFR917535:PFU917535 PPN917535:PPQ917535 PZJ917535:PZM917535 QJF917535:QJI917535 QTB917535:QTE917535 RCX917535:RDA917535 RMT917535:RMW917535 RWP917535:RWS917535 SGL917535:SGO917535 SQH917535:SQK917535 TAD917535:TAG917535 TJZ917535:TKC917535 TTV917535:TTY917535 UDR917535:UDU917535 UNN917535:UNQ917535 UXJ917535:UXM917535 VHF917535:VHI917535 VRB917535:VRE917535 WAX917535:WBA917535 WKT917535:WKW917535 WUP917535:WUS917535 AG65574:AH65577 AG131110:AH131113 AG196646:AH196649 AG262182:AH262185 AG327718:AH327721 AG393254:AH393257 AG458790:AH458793 AG524326:AH524329 AG589862:AH589865 AG655398:AH655401 AG720934:AH720937 AG786470:AH786473 AG852006:AH852009 AG917542:AH917545 AG983078:AH983081 AB983072:AE983072 AB65568:AE65568 AB131104:AE131104 AB196640:AE196640 AB262176:AE262176 AB327712:AE327712 AB393248:AE393248 AB458784:AE458784 AB524320:AE524320 AB589856:AE589856 AB655392:AE655392 AB720928:AE720928 AB786464:AE786464 AB852000:AE852000 AB917536:AE917536 AG38:AH41 AP65574:AQ65577 AP131110:AQ131113 AP196646:AQ196649 AP262182:AQ262185 AP327718:AQ327721 AP393254:AQ393257 AP458790:AQ458793 AP524326:AQ524329 AP589862:AQ589865 AP655398:AQ655401 AP720934:AQ720937 AP786470:AQ786473 AP852006:AQ852009 AP917542:AQ917545 AP983078:AQ983081 AN65568 AN131104 AN196640 AN262176 AN327712 AN393248 AN458784 AN524320 AN589856 AN655392 AN720928 AN786464 AN852000 AN917536 AP38:AQ41 AI917536:AK917536 AI852000:AK852000 AI786464:AK786464 AI720928:AK720928 AI655392:AK655392 AI589856:AK589856 AI524320:AK524320 AI458784:AK458784 AI393248:AK393248 AI327712:AK327712 AI262176:AK262176 AI196640:AK196640 AI131104:AK131104 AI65568:AK65568 AI983072:AK983072 AN983072 AM65574:AM65577 AM131110:AM131113 AM196646:AM196649 AM262182:AM262185 AM327718:AM327721 AM393254:AM393257 AM458790:AM458793 AM524326:AM524329 AM589862:AM589865 AM655398:AM655401 AM720934:AM720937 AM786470:AM786473 AM852006:AM852009 AM917542:AM917545 AM983078:AM983081 AM38:AM41" xr:uid="{19876C68-309A-4E27-9488-5B0BD1A5E560}">
      <formula1>"○"</formula1>
    </dataValidation>
    <dataValidation type="list" allowBlank="1" showInputMessage="1" showErrorMessage="1" sqref="WTV983024:WUF983061 WJZ983024:WKJ983061 WAD983024:WAN983061 VQH983024:VQR983061 VGL983024:VGV983061 UWP983024:UWZ983061 UMT983024:UND983061 UCX983024:UDH983061 TTB983024:TTL983061 TJF983024:TJP983061 SZJ983024:SZT983061 SPN983024:SPX983061 SFR983024:SGB983061 RVV983024:RWF983061 RLZ983024:RMJ983061 RCD983024:RCN983061 QSH983024:QSR983061 QIL983024:QIV983061 PYP983024:PYZ983061 POT983024:PPD983061 PEX983024:PFH983061 OVB983024:OVL983061 OLF983024:OLP983061 OBJ983024:OBT983061 NRN983024:NRX983061 NHR983024:NIB983061 MXV983024:MYF983061 MNZ983024:MOJ983061 MED983024:MEN983061 LUH983024:LUR983061 LKL983024:LKV983061 LAP983024:LAZ983061 KQT983024:KRD983061 KGX983024:KHH983061 JXB983024:JXL983061 JNF983024:JNP983061 JDJ983024:JDT983061 ITN983024:ITX983061 IJR983024:IKB983061 HZV983024:IAF983061 HPZ983024:HQJ983061 HGD983024:HGN983061 GWH983024:GWR983061 GML983024:GMV983061 GCP983024:GCZ983061 FST983024:FTD983061 FIX983024:FJH983061 EZB983024:EZL983061 EPF983024:EPP983061 EFJ983024:EFT983061 DVN983024:DVX983061 DLR983024:DMB983061 DBV983024:DCF983061 CRZ983024:CSJ983061 CID983024:CIN983061 BYH983024:BYR983061 BOL983024:BOV983061 BEP983024:BEZ983061 AUT983024:AVD983061 AKX983024:ALH983061 ABB983024:ABL983061 RF983024:RP983061 HJ983024:HT983061 WTV917488:WUF917525 WJZ917488:WKJ917525 WAD917488:WAN917525 VQH917488:VQR917525 VGL917488:VGV917525 UWP917488:UWZ917525 UMT917488:UND917525 UCX917488:UDH917525 TTB917488:TTL917525 TJF917488:TJP917525 SZJ917488:SZT917525 SPN917488:SPX917525 SFR917488:SGB917525 RVV917488:RWF917525 RLZ917488:RMJ917525 RCD917488:RCN917525 QSH917488:QSR917525 QIL917488:QIV917525 PYP917488:PYZ917525 POT917488:PPD917525 PEX917488:PFH917525 OVB917488:OVL917525 OLF917488:OLP917525 OBJ917488:OBT917525 NRN917488:NRX917525 NHR917488:NIB917525 MXV917488:MYF917525 MNZ917488:MOJ917525 MED917488:MEN917525 LUH917488:LUR917525 LKL917488:LKV917525 LAP917488:LAZ917525 KQT917488:KRD917525 KGX917488:KHH917525 JXB917488:JXL917525 JNF917488:JNP917525 JDJ917488:JDT917525 ITN917488:ITX917525 IJR917488:IKB917525 HZV917488:IAF917525 HPZ917488:HQJ917525 HGD917488:HGN917525 GWH917488:GWR917525 GML917488:GMV917525 GCP917488:GCZ917525 FST917488:FTD917525 FIX917488:FJH917525 EZB917488:EZL917525 EPF917488:EPP917525 EFJ917488:EFT917525 DVN917488:DVX917525 DLR917488:DMB917525 DBV917488:DCF917525 CRZ917488:CSJ917525 CID917488:CIN917525 BYH917488:BYR917525 BOL917488:BOV917525 BEP917488:BEZ917525 AUT917488:AVD917525 AKX917488:ALH917525 ABB917488:ABL917525 RF917488:RP917525 HJ917488:HT917525 WTV851952:WUF851989 WJZ851952:WKJ851989 WAD851952:WAN851989 VQH851952:VQR851989 VGL851952:VGV851989 UWP851952:UWZ851989 UMT851952:UND851989 UCX851952:UDH851989 TTB851952:TTL851989 TJF851952:TJP851989 SZJ851952:SZT851989 SPN851952:SPX851989 SFR851952:SGB851989 RVV851952:RWF851989 RLZ851952:RMJ851989 RCD851952:RCN851989 QSH851952:QSR851989 QIL851952:QIV851989 PYP851952:PYZ851989 POT851952:PPD851989 PEX851952:PFH851989 OVB851952:OVL851989 OLF851952:OLP851989 OBJ851952:OBT851989 NRN851952:NRX851989 NHR851952:NIB851989 MXV851952:MYF851989 MNZ851952:MOJ851989 MED851952:MEN851989 LUH851952:LUR851989 LKL851952:LKV851989 LAP851952:LAZ851989 KQT851952:KRD851989 KGX851952:KHH851989 JXB851952:JXL851989 JNF851952:JNP851989 JDJ851952:JDT851989 ITN851952:ITX851989 IJR851952:IKB851989 HZV851952:IAF851989 HPZ851952:HQJ851989 HGD851952:HGN851989 GWH851952:GWR851989 GML851952:GMV851989 GCP851952:GCZ851989 FST851952:FTD851989 FIX851952:FJH851989 EZB851952:EZL851989 EPF851952:EPP851989 EFJ851952:EFT851989 DVN851952:DVX851989 DLR851952:DMB851989 DBV851952:DCF851989 CRZ851952:CSJ851989 CID851952:CIN851989 BYH851952:BYR851989 BOL851952:BOV851989 BEP851952:BEZ851989 AUT851952:AVD851989 AKX851952:ALH851989 ABB851952:ABL851989 RF851952:RP851989 HJ851952:HT851989 WTV786416:WUF786453 WJZ786416:WKJ786453 WAD786416:WAN786453 VQH786416:VQR786453 VGL786416:VGV786453 UWP786416:UWZ786453 UMT786416:UND786453 UCX786416:UDH786453 TTB786416:TTL786453 TJF786416:TJP786453 SZJ786416:SZT786453 SPN786416:SPX786453 SFR786416:SGB786453 RVV786416:RWF786453 RLZ786416:RMJ786453 RCD786416:RCN786453 QSH786416:QSR786453 QIL786416:QIV786453 PYP786416:PYZ786453 POT786416:PPD786453 PEX786416:PFH786453 OVB786416:OVL786453 OLF786416:OLP786453 OBJ786416:OBT786453 NRN786416:NRX786453 NHR786416:NIB786453 MXV786416:MYF786453 MNZ786416:MOJ786453 MED786416:MEN786453 LUH786416:LUR786453 LKL786416:LKV786453 LAP786416:LAZ786453 KQT786416:KRD786453 KGX786416:KHH786453 JXB786416:JXL786453 JNF786416:JNP786453 JDJ786416:JDT786453 ITN786416:ITX786453 IJR786416:IKB786453 HZV786416:IAF786453 HPZ786416:HQJ786453 HGD786416:HGN786453 GWH786416:GWR786453 GML786416:GMV786453 GCP786416:GCZ786453 FST786416:FTD786453 FIX786416:FJH786453 EZB786416:EZL786453 EPF786416:EPP786453 EFJ786416:EFT786453 DVN786416:DVX786453 DLR786416:DMB786453 DBV786416:DCF786453 CRZ786416:CSJ786453 CID786416:CIN786453 BYH786416:BYR786453 BOL786416:BOV786453 BEP786416:BEZ786453 AUT786416:AVD786453 AKX786416:ALH786453 ABB786416:ABL786453 RF786416:RP786453 HJ786416:HT786453 WTV720880:WUF720917 WJZ720880:WKJ720917 WAD720880:WAN720917 VQH720880:VQR720917 VGL720880:VGV720917 UWP720880:UWZ720917 UMT720880:UND720917 UCX720880:UDH720917 TTB720880:TTL720917 TJF720880:TJP720917 SZJ720880:SZT720917 SPN720880:SPX720917 SFR720880:SGB720917 RVV720880:RWF720917 RLZ720880:RMJ720917 RCD720880:RCN720917 QSH720880:QSR720917 QIL720880:QIV720917 PYP720880:PYZ720917 POT720880:PPD720917 PEX720880:PFH720917 OVB720880:OVL720917 OLF720880:OLP720917 OBJ720880:OBT720917 NRN720880:NRX720917 NHR720880:NIB720917 MXV720880:MYF720917 MNZ720880:MOJ720917 MED720880:MEN720917 LUH720880:LUR720917 LKL720880:LKV720917 LAP720880:LAZ720917 KQT720880:KRD720917 KGX720880:KHH720917 JXB720880:JXL720917 JNF720880:JNP720917 JDJ720880:JDT720917 ITN720880:ITX720917 IJR720880:IKB720917 HZV720880:IAF720917 HPZ720880:HQJ720917 HGD720880:HGN720917 GWH720880:GWR720917 GML720880:GMV720917 GCP720880:GCZ720917 FST720880:FTD720917 FIX720880:FJH720917 EZB720880:EZL720917 EPF720880:EPP720917 EFJ720880:EFT720917 DVN720880:DVX720917 DLR720880:DMB720917 DBV720880:DCF720917 CRZ720880:CSJ720917 CID720880:CIN720917 BYH720880:BYR720917 BOL720880:BOV720917 BEP720880:BEZ720917 AUT720880:AVD720917 AKX720880:ALH720917 ABB720880:ABL720917 RF720880:RP720917 HJ720880:HT720917 WTV655344:WUF655381 WJZ655344:WKJ655381 WAD655344:WAN655381 VQH655344:VQR655381 VGL655344:VGV655381 UWP655344:UWZ655381 UMT655344:UND655381 UCX655344:UDH655381 TTB655344:TTL655381 TJF655344:TJP655381 SZJ655344:SZT655381 SPN655344:SPX655381 SFR655344:SGB655381 RVV655344:RWF655381 RLZ655344:RMJ655381 RCD655344:RCN655381 QSH655344:QSR655381 QIL655344:QIV655381 PYP655344:PYZ655381 POT655344:PPD655381 PEX655344:PFH655381 OVB655344:OVL655381 OLF655344:OLP655381 OBJ655344:OBT655381 NRN655344:NRX655381 NHR655344:NIB655381 MXV655344:MYF655381 MNZ655344:MOJ655381 MED655344:MEN655381 LUH655344:LUR655381 LKL655344:LKV655381 LAP655344:LAZ655381 KQT655344:KRD655381 KGX655344:KHH655381 JXB655344:JXL655381 JNF655344:JNP655381 JDJ655344:JDT655381 ITN655344:ITX655381 IJR655344:IKB655381 HZV655344:IAF655381 HPZ655344:HQJ655381 HGD655344:HGN655381 GWH655344:GWR655381 GML655344:GMV655381 GCP655344:GCZ655381 FST655344:FTD655381 FIX655344:FJH655381 EZB655344:EZL655381 EPF655344:EPP655381 EFJ655344:EFT655381 DVN655344:DVX655381 DLR655344:DMB655381 DBV655344:DCF655381 CRZ655344:CSJ655381 CID655344:CIN655381 BYH655344:BYR655381 BOL655344:BOV655381 BEP655344:BEZ655381 AUT655344:AVD655381 AKX655344:ALH655381 ABB655344:ABL655381 RF655344:RP655381 HJ655344:HT655381 WTV589808:WUF589845 WJZ589808:WKJ589845 WAD589808:WAN589845 VQH589808:VQR589845 VGL589808:VGV589845 UWP589808:UWZ589845 UMT589808:UND589845 UCX589808:UDH589845 TTB589808:TTL589845 TJF589808:TJP589845 SZJ589808:SZT589845 SPN589808:SPX589845 SFR589808:SGB589845 RVV589808:RWF589845 RLZ589808:RMJ589845 RCD589808:RCN589845 QSH589808:QSR589845 QIL589808:QIV589845 PYP589808:PYZ589845 POT589808:PPD589845 PEX589808:PFH589845 OVB589808:OVL589845 OLF589808:OLP589845 OBJ589808:OBT589845 NRN589808:NRX589845 NHR589808:NIB589845 MXV589808:MYF589845 MNZ589808:MOJ589845 MED589808:MEN589845 LUH589808:LUR589845 LKL589808:LKV589845 LAP589808:LAZ589845 KQT589808:KRD589845 KGX589808:KHH589845 JXB589808:JXL589845 JNF589808:JNP589845 JDJ589808:JDT589845 ITN589808:ITX589845 IJR589808:IKB589845 HZV589808:IAF589845 HPZ589808:HQJ589845 HGD589808:HGN589845 GWH589808:GWR589845 GML589808:GMV589845 GCP589808:GCZ589845 FST589808:FTD589845 FIX589808:FJH589845 EZB589808:EZL589845 EPF589808:EPP589845 EFJ589808:EFT589845 DVN589808:DVX589845 DLR589808:DMB589845 DBV589808:DCF589845 CRZ589808:CSJ589845 CID589808:CIN589845 BYH589808:BYR589845 BOL589808:BOV589845 BEP589808:BEZ589845 AUT589808:AVD589845 AKX589808:ALH589845 ABB589808:ABL589845 RF589808:RP589845 HJ589808:HT589845 WTV524272:WUF524309 WJZ524272:WKJ524309 WAD524272:WAN524309 VQH524272:VQR524309 VGL524272:VGV524309 UWP524272:UWZ524309 UMT524272:UND524309 UCX524272:UDH524309 TTB524272:TTL524309 TJF524272:TJP524309 SZJ524272:SZT524309 SPN524272:SPX524309 SFR524272:SGB524309 RVV524272:RWF524309 RLZ524272:RMJ524309 RCD524272:RCN524309 QSH524272:QSR524309 QIL524272:QIV524309 PYP524272:PYZ524309 POT524272:PPD524309 PEX524272:PFH524309 OVB524272:OVL524309 OLF524272:OLP524309 OBJ524272:OBT524309 NRN524272:NRX524309 NHR524272:NIB524309 MXV524272:MYF524309 MNZ524272:MOJ524309 MED524272:MEN524309 LUH524272:LUR524309 LKL524272:LKV524309 LAP524272:LAZ524309 KQT524272:KRD524309 KGX524272:KHH524309 JXB524272:JXL524309 JNF524272:JNP524309 JDJ524272:JDT524309 ITN524272:ITX524309 IJR524272:IKB524309 HZV524272:IAF524309 HPZ524272:HQJ524309 HGD524272:HGN524309 GWH524272:GWR524309 GML524272:GMV524309 GCP524272:GCZ524309 FST524272:FTD524309 FIX524272:FJH524309 EZB524272:EZL524309 EPF524272:EPP524309 EFJ524272:EFT524309 DVN524272:DVX524309 DLR524272:DMB524309 DBV524272:DCF524309 CRZ524272:CSJ524309 CID524272:CIN524309 BYH524272:BYR524309 BOL524272:BOV524309 BEP524272:BEZ524309 AUT524272:AVD524309 AKX524272:ALH524309 ABB524272:ABL524309 RF524272:RP524309 HJ524272:HT524309 WTV458736:WUF458773 WJZ458736:WKJ458773 WAD458736:WAN458773 VQH458736:VQR458773 VGL458736:VGV458773 UWP458736:UWZ458773 UMT458736:UND458773 UCX458736:UDH458773 TTB458736:TTL458773 TJF458736:TJP458773 SZJ458736:SZT458773 SPN458736:SPX458773 SFR458736:SGB458773 RVV458736:RWF458773 RLZ458736:RMJ458773 RCD458736:RCN458773 QSH458736:QSR458773 QIL458736:QIV458773 PYP458736:PYZ458773 POT458736:PPD458773 PEX458736:PFH458773 OVB458736:OVL458773 OLF458736:OLP458773 OBJ458736:OBT458773 NRN458736:NRX458773 NHR458736:NIB458773 MXV458736:MYF458773 MNZ458736:MOJ458773 MED458736:MEN458773 LUH458736:LUR458773 LKL458736:LKV458773 LAP458736:LAZ458773 KQT458736:KRD458773 KGX458736:KHH458773 JXB458736:JXL458773 JNF458736:JNP458773 JDJ458736:JDT458773 ITN458736:ITX458773 IJR458736:IKB458773 HZV458736:IAF458773 HPZ458736:HQJ458773 HGD458736:HGN458773 GWH458736:GWR458773 GML458736:GMV458773 GCP458736:GCZ458773 FST458736:FTD458773 FIX458736:FJH458773 EZB458736:EZL458773 EPF458736:EPP458773 EFJ458736:EFT458773 DVN458736:DVX458773 DLR458736:DMB458773 DBV458736:DCF458773 CRZ458736:CSJ458773 CID458736:CIN458773 BYH458736:BYR458773 BOL458736:BOV458773 BEP458736:BEZ458773 AUT458736:AVD458773 AKX458736:ALH458773 ABB458736:ABL458773 RF458736:RP458773 HJ458736:HT458773 WTV393200:WUF393237 WJZ393200:WKJ393237 WAD393200:WAN393237 VQH393200:VQR393237 VGL393200:VGV393237 UWP393200:UWZ393237 UMT393200:UND393237 UCX393200:UDH393237 TTB393200:TTL393237 TJF393200:TJP393237 SZJ393200:SZT393237 SPN393200:SPX393237 SFR393200:SGB393237 RVV393200:RWF393237 RLZ393200:RMJ393237 RCD393200:RCN393237 QSH393200:QSR393237 QIL393200:QIV393237 PYP393200:PYZ393237 POT393200:PPD393237 PEX393200:PFH393237 OVB393200:OVL393237 OLF393200:OLP393237 OBJ393200:OBT393237 NRN393200:NRX393237 NHR393200:NIB393237 MXV393200:MYF393237 MNZ393200:MOJ393237 MED393200:MEN393237 LUH393200:LUR393237 LKL393200:LKV393237 LAP393200:LAZ393237 KQT393200:KRD393237 KGX393200:KHH393237 JXB393200:JXL393237 JNF393200:JNP393237 JDJ393200:JDT393237 ITN393200:ITX393237 IJR393200:IKB393237 HZV393200:IAF393237 HPZ393200:HQJ393237 HGD393200:HGN393237 GWH393200:GWR393237 GML393200:GMV393237 GCP393200:GCZ393237 FST393200:FTD393237 FIX393200:FJH393237 EZB393200:EZL393237 EPF393200:EPP393237 EFJ393200:EFT393237 DVN393200:DVX393237 DLR393200:DMB393237 DBV393200:DCF393237 CRZ393200:CSJ393237 CID393200:CIN393237 BYH393200:BYR393237 BOL393200:BOV393237 BEP393200:BEZ393237 AUT393200:AVD393237 AKX393200:ALH393237 ABB393200:ABL393237 RF393200:RP393237 HJ393200:HT393237 WTV327664:WUF327701 WJZ327664:WKJ327701 WAD327664:WAN327701 VQH327664:VQR327701 VGL327664:VGV327701 UWP327664:UWZ327701 UMT327664:UND327701 UCX327664:UDH327701 TTB327664:TTL327701 TJF327664:TJP327701 SZJ327664:SZT327701 SPN327664:SPX327701 SFR327664:SGB327701 RVV327664:RWF327701 RLZ327664:RMJ327701 RCD327664:RCN327701 QSH327664:QSR327701 QIL327664:QIV327701 PYP327664:PYZ327701 POT327664:PPD327701 PEX327664:PFH327701 OVB327664:OVL327701 OLF327664:OLP327701 OBJ327664:OBT327701 NRN327664:NRX327701 NHR327664:NIB327701 MXV327664:MYF327701 MNZ327664:MOJ327701 MED327664:MEN327701 LUH327664:LUR327701 LKL327664:LKV327701 LAP327664:LAZ327701 KQT327664:KRD327701 KGX327664:KHH327701 JXB327664:JXL327701 JNF327664:JNP327701 JDJ327664:JDT327701 ITN327664:ITX327701 IJR327664:IKB327701 HZV327664:IAF327701 HPZ327664:HQJ327701 HGD327664:HGN327701 GWH327664:GWR327701 GML327664:GMV327701 GCP327664:GCZ327701 FST327664:FTD327701 FIX327664:FJH327701 EZB327664:EZL327701 EPF327664:EPP327701 EFJ327664:EFT327701 DVN327664:DVX327701 DLR327664:DMB327701 DBV327664:DCF327701 CRZ327664:CSJ327701 CID327664:CIN327701 BYH327664:BYR327701 BOL327664:BOV327701 BEP327664:BEZ327701 AUT327664:AVD327701 AKX327664:ALH327701 ABB327664:ABL327701 RF327664:RP327701 HJ327664:HT327701 WTV262128:WUF262165 WJZ262128:WKJ262165 WAD262128:WAN262165 VQH262128:VQR262165 VGL262128:VGV262165 UWP262128:UWZ262165 UMT262128:UND262165 UCX262128:UDH262165 TTB262128:TTL262165 TJF262128:TJP262165 SZJ262128:SZT262165 SPN262128:SPX262165 SFR262128:SGB262165 RVV262128:RWF262165 RLZ262128:RMJ262165 RCD262128:RCN262165 QSH262128:QSR262165 QIL262128:QIV262165 PYP262128:PYZ262165 POT262128:PPD262165 PEX262128:PFH262165 OVB262128:OVL262165 OLF262128:OLP262165 OBJ262128:OBT262165 NRN262128:NRX262165 NHR262128:NIB262165 MXV262128:MYF262165 MNZ262128:MOJ262165 MED262128:MEN262165 LUH262128:LUR262165 LKL262128:LKV262165 LAP262128:LAZ262165 KQT262128:KRD262165 KGX262128:KHH262165 JXB262128:JXL262165 JNF262128:JNP262165 JDJ262128:JDT262165 ITN262128:ITX262165 IJR262128:IKB262165 HZV262128:IAF262165 HPZ262128:HQJ262165 HGD262128:HGN262165 GWH262128:GWR262165 GML262128:GMV262165 GCP262128:GCZ262165 FST262128:FTD262165 FIX262128:FJH262165 EZB262128:EZL262165 EPF262128:EPP262165 EFJ262128:EFT262165 DVN262128:DVX262165 DLR262128:DMB262165 DBV262128:DCF262165 CRZ262128:CSJ262165 CID262128:CIN262165 BYH262128:BYR262165 BOL262128:BOV262165 BEP262128:BEZ262165 AUT262128:AVD262165 AKX262128:ALH262165 ABB262128:ABL262165 RF262128:RP262165 HJ262128:HT262165 WTV196592:WUF196629 WJZ196592:WKJ196629 WAD196592:WAN196629 VQH196592:VQR196629 VGL196592:VGV196629 UWP196592:UWZ196629 UMT196592:UND196629 UCX196592:UDH196629 TTB196592:TTL196629 TJF196592:TJP196629 SZJ196592:SZT196629 SPN196592:SPX196629 SFR196592:SGB196629 RVV196592:RWF196629 RLZ196592:RMJ196629 RCD196592:RCN196629 QSH196592:QSR196629 QIL196592:QIV196629 PYP196592:PYZ196629 POT196592:PPD196629 PEX196592:PFH196629 OVB196592:OVL196629 OLF196592:OLP196629 OBJ196592:OBT196629 NRN196592:NRX196629 NHR196592:NIB196629 MXV196592:MYF196629 MNZ196592:MOJ196629 MED196592:MEN196629 LUH196592:LUR196629 LKL196592:LKV196629 LAP196592:LAZ196629 KQT196592:KRD196629 KGX196592:KHH196629 JXB196592:JXL196629 JNF196592:JNP196629 JDJ196592:JDT196629 ITN196592:ITX196629 IJR196592:IKB196629 HZV196592:IAF196629 HPZ196592:HQJ196629 HGD196592:HGN196629 GWH196592:GWR196629 GML196592:GMV196629 GCP196592:GCZ196629 FST196592:FTD196629 FIX196592:FJH196629 EZB196592:EZL196629 EPF196592:EPP196629 EFJ196592:EFT196629 DVN196592:DVX196629 DLR196592:DMB196629 DBV196592:DCF196629 CRZ196592:CSJ196629 CID196592:CIN196629 BYH196592:BYR196629 BOL196592:BOV196629 BEP196592:BEZ196629 AUT196592:AVD196629 AKX196592:ALH196629 ABB196592:ABL196629 RF196592:RP196629 HJ196592:HT196629 WTV131056:WUF131093 WJZ131056:WKJ131093 WAD131056:WAN131093 VQH131056:VQR131093 VGL131056:VGV131093 UWP131056:UWZ131093 UMT131056:UND131093 UCX131056:UDH131093 TTB131056:TTL131093 TJF131056:TJP131093 SZJ131056:SZT131093 SPN131056:SPX131093 SFR131056:SGB131093 RVV131056:RWF131093 RLZ131056:RMJ131093 RCD131056:RCN131093 QSH131056:QSR131093 QIL131056:QIV131093 PYP131056:PYZ131093 POT131056:PPD131093 PEX131056:PFH131093 OVB131056:OVL131093 OLF131056:OLP131093 OBJ131056:OBT131093 NRN131056:NRX131093 NHR131056:NIB131093 MXV131056:MYF131093 MNZ131056:MOJ131093 MED131056:MEN131093 LUH131056:LUR131093 LKL131056:LKV131093 LAP131056:LAZ131093 KQT131056:KRD131093 KGX131056:KHH131093 JXB131056:JXL131093 JNF131056:JNP131093 JDJ131056:JDT131093 ITN131056:ITX131093 IJR131056:IKB131093 HZV131056:IAF131093 HPZ131056:HQJ131093 HGD131056:HGN131093 GWH131056:GWR131093 GML131056:GMV131093 GCP131056:GCZ131093 FST131056:FTD131093 FIX131056:FJH131093 EZB131056:EZL131093 EPF131056:EPP131093 EFJ131056:EFT131093 DVN131056:DVX131093 DLR131056:DMB131093 DBV131056:DCF131093 CRZ131056:CSJ131093 CID131056:CIN131093 BYH131056:BYR131093 BOL131056:BOV131093 BEP131056:BEZ131093 AUT131056:AVD131093 AKX131056:ALH131093 ABB131056:ABL131093 RF131056:RP131093 HJ131056:HT131093 WTV65520:WUF65557 WJZ65520:WKJ65557 WAD65520:WAN65557 VQH65520:VQR65557 VGL65520:VGV65557 UWP65520:UWZ65557 UMT65520:UND65557 UCX65520:UDH65557 TTB65520:TTL65557 TJF65520:TJP65557 SZJ65520:SZT65557 SPN65520:SPX65557 SFR65520:SGB65557 RVV65520:RWF65557 RLZ65520:RMJ65557 RCD65520:RCN65557 QSH65520:QSR65557 QIL65520:QIV65557 PYP65520:PYZ65557 POT65520:PPD65557 PEX65520:PFH65557 OVB65520:OVL65557 OLF65520:OLP65557 OBJ65520:OBT65557 NRN65520:NRX65557 NHR65520:NIB65557 MXV65520:MYF65557 MNZ65520:MOJ65557 MED65520:MEN65557 LUH65520:LUR65557 LKL65520:LKV65557 LAP65520:LAZ65557 KQT65520:KRD65557 KGX65520:KHH65557 JXB65520:JXL65557 JNF65520:JNP65557 JDJ65520:JDT65557 ITN65520:ITX65557 IJR65520:IKB65557 HZV65520:IAF65557 HPZ65520:HQJ65557 HGD65520:HGN65557 GWH65520:GWR65557 GML65520:GMV65557 GCP65520:GCZ65557 FST65520:FTD65557 FIX65520:FJH65557 EZB65520:EZL65557 EPF65520:EPP65557 EFJ65520:EFT65557 DVN65520:DVX65557 DLR65520:DMB65557 DBV65520:DCF65557 CRZ65520:CSJ65557 CID65520:CIN65557 BYH65520:BYR65557 BOL65520:BOV65557 BEP65520:BEZ65557 AUT65520:AVD65557 AKX65520:ALH65557 ABB65520:ABL65557 RF65520:RP65557 HJ65520:HT65557 WTV5:WUF30 HJ5:HT30 RF5:RP30 ABB5:ABL30 AKX5:ALH30 AUT5:AVD30 BEP5:BEZ30 BOL5:BOV30 BYH5:BYR30 CID5:CIN30 CRZ5:CSJ30 DBV5:DCF30 DLR5:DMB30 DVN5:DVX30 EFJ5:EFT30 EPF5:EPP30 EZB5:EZL30 FIX5:FJH30 FST5:FTD30 GCP5:GCZ30 GML5:GMV30 GWH5:GWR30 HGD5:HGN30 HPZ5:HQJ30 HZV5:IAF30 IJR5:IKB30 ITN5:ITX30 JDJ5:JDT30 JNF5:JNP30 JXB5:JXL30 KGX5:KHH30 KQT5:KRD30 LAP5:LAZ30 LKL5:LKV30 LUH5:LUR30 MED5:MEN30 MNZ5:MOJ30 MXV5:MYF30 NHR5:NIB30 NRN5:NRX30 OBJ5:OBT30 OLF5:OLP30 OVB5:OVL30 PEX5:PFH30 POT5:PPD30 PYP5:PYZ30 QIL5:QIV30 QSH5:QSR30 RCD5:RCN30 RLZ5:RMJ30 RVV5:RWF30 SFR5:SGB30 SPN5:SPX30 SZJ5:SZT30 TJF5:TJP30 TTB5:TTL30 UCX5:UDH30 UMT5:UND30 UWP5:UWZ30 VGL5:VGV30 VQH5:VQR30 WAD5:WAN30 WJZ5:WKJ30" xr:uid="{7BD5A66D-893A-4D7A-AA21-B4CFFDD6B43F}">
      <formula1>$C$34:$C$54</formula1>
    </dataValidation>
    <dataValidation type="list" allowBlank="1" showInputMessage="1" showErrorMessage="1" sqref="WUG983024:WUJ983061 VQS983024:VQV983061 VGW983024:VGZ983061 UXA983024:UXD983061 UNE983024:UNH983061 UDI983024:UDL983061 TTM983024:TTP983061 TJQ983024:TJT983061 SZU983024:SZX983061 SPY983024:SQB983061 SGC983024:SGF983061 RWG983024:RWJ983061 RMK983024:RMN983061 RCO983024:RCR983061 QSS983024:QSV983061 QIW983024:QIZ983061 PZA983024:PZD983061 PPE983024:PPH983061 PFI983024:PFL983061 OVM983024:OVP983061 OLQ983024:OLT983061 OBU983024:OBX983061 NRY983024:NSB983061 NIC983024:NIF983061 MYG983024:MYJ983061 MOK983024:MON983061 MEO983024:MER983061 LUS983024:LUV983061 LKW983024:LKZ983061 LBA983024:LBD983061 KRE983024:KRH983061 KHI983024:KHL983061 JXM983024:JXP983061 JNQ983024:JNT983061 JDU983024:JDX983061 ITY983024:IUB983061 IKC983024:IKF983061 IAG983024:IAJ983061 HQK983024:HQN983061 HGO983024:HGR983061 GWS983024:GWV983061 GMW983024:GMZ983061 GDA983024:GDD983061 FTE983024:FTH983061 FJI983024:FJL983061 EZM983024:EZP983061 EPQ983024:EPT983061 EFU983024:EFX983061 DVY983024:DWB983061 DMC983024:DMF983061 DCG983024:DCJ983061 CSK983024:CSN983061 CIO983024:CIR983061 BYS983024:BYV983061 BOW983024:BOZ983061 BFA983024:BFD983061 AVE983024:AVH983061 ALI983024:ALL983061 ABM983024:ABP983061 RQ983024:RT983061 HU983024:HX983061 WUG917488:WUJ917525 WKK917488:WKN917525 WAO917488:WAR917525 VQS917488:VQV917525 VGW917488:VGZ917525 UXA917488:UXD917525 UNE917488:UNH917525 UDI917488:UDL917525 TTM917488:TTP917525 TJQ917488:TJT917525 SZU917488:SZX917525 SPY917488:SQB917525 SGC917488:SGF917525 RWG917488:RWJ917525 RMK917488:RMN917525 RCO917488:RCR917525 QSS917488:QSV917525 QIW917488:QIZ917525 PZA917488:PZD917525 PPE917488:PPH917525 PFI917488:PFL917525 OVM917488:OVP917525 OLQ917488:OLT917525 OBU917488:OBX917525 NRY917488:NSB917525 NIC917488:NIF917525 MYG917488:MYJ917525 MOK917488:MON917525 MEO917488:MER917525 LUS917488:LUV917525 LKW917488:LKZ917525 LBA917488:LBD917525 KRE917488:KRH917525 KHI917488:KHL917525 JXM917488:JXP917525 JNQ917488:JNT917525 JDU917488:JDX917525 ITY917488:IUB917525 IKC917488:IKF917525 IAG917488:IAJ917525 HQK917488:HQN917525 HGO917488:HGR917525 GWS917488:GWV917525 GMW917488:GMZ917525 GDA917488:GDD917525 FTE917488:FTH917525 FJI917488:FJL917525 EZM917488:EZP917525 EPQ917488:EPT917525 EFU917488:EFX917525 DVY917488:DWB917525 DMC917488:DMF917525 DCG917488:DCJ917525 CSK917488:CSN917525 CIO917488:CIR917525 BYS917488:BYV917525 BOW917488:BOZ917525 BFA917488:BFD917525 AVE917488:AVH917525 ALI917488:ALL917525 ABM917488:ABP917525 RQ917488:RT917525 HU917488:HX917525 WUG851952:WUJ851989 WKK851952:WKN851989 WAO851952:WAR851989 VQS851952:VQV851989 VGW851952:VGZ851989 UXA851952:UXD851989 UNE851952:UNH851989 UDI851952:UDL851989 TTM851952:TTP851989 TJQ851952:TJT851989 SZU851952:SZX851989 SPY851952:SQB851989 SGC851952:SGF851989 RWG851952:RWJ851989 RMK851952:RMN851989 RCO851952:RCR851989 QSS851952:QSV851989 QIW851952:QIZ851989 PZA851952:PZD851989 PPE851952:PPH851989 PFI851952:PFL851989 OVM851952:OVP851989 OLQ851952:OLT851989 OBU851952:OBX851989 NRY851952:NSB851989 NIC851952:NIF851989 MYG851952:MYJ851989 MOK851952:MON851989 MEO851952:MER851989 LUS851952:LUV851989 LKW851952:LKZ851989 LBA851952:LBD851989 KRE851952:KRH851989 KHI851952:KHL851989 JXM851952:JXP851989 JNQ851952:JNT851989 JDU851952:JDX851989 ITY851952:IUB851989 IKC851952:IKF851989 IAG851952:IAJ851989 HQK851952:HQN851989 HGO851952:HGR851989 GWS851952:GWV851989 GMW851952:GMZ851989 GDA851952:GDD851989 FTE851952:FTH851989 FJI851952:FJL851989 EZM851952:EZP851989 EPQ851952:EPT851989 EFU851952:EFX851989 DVY851952:DWB851989 DMC851952:DMF851989 DCG851952:DCJ851989 CSK851952:CSN851989 CIO851952:CIR851989 BYS851952:BYV851989 BOW851952:BOZ851989 BFA851952:BFD851989 AVE851952:AVH851989 ALI851952:ALL851989 ABM851952:ABP851989 RQ851952:RT851989 HU851952:HX851989 WUG786416:WUJ786453 WKK786416:WKN786453 WAO786416:WAR786453 VQS786416:VQV786453 VGW786416:VGZ786453 UXA786416:UXD786453 UNE786416:UNH786453 UDI786416:UDL786453 TTM786416:TTP786453 TJQ786416:TJT786453 SZU786416:SZX786453 SPY786416:SQB786453 SGC786416:SGF786453 RWG786416:RWJ786453 RMK786416:RMN786453 RCO786416:RCR786453 QSS786416:QSV786453 QIW786416:QIZ786453 PZA786416:PZD786453 PPE786416:PPH786453 PFI786416:PFL786453 OVM786416:OVP786453 OLQ786416:OLT786453 OBU786416:OBX786453 NRY786416:NSB786453 NIC786416:NIF786453 MYG786416:MYJ786453 MOK786416:MON786453 MEO786416:MER786453 LUS786416:LUV786453 LKW786416:LKZ786453 LBA786416:LBD786453 KRE786416:KRH786453 KHI786416:KHL786453 JXM786416:JXP786453 JNQ786416:JNT786453 JDU786416:JDX786453 ITY786416:IUB786453 IKC786416:IKF786453 IAG786416:IAJ786453 HQK786416:HQN786453 HGO786416:HGR786453 GWS786416:GWV786453 GMW786416:GMZ786453 GDA786416:GDD786453 FTE786416:FTH786453 FJI786416:FJL786453 EZM786416:EZP786453 EPQ786416:EPT786453 EFU786416:EFX786453 DVY786416:DWB786453 DMC786416:DMF786453 DCG786416:DCJ786453 CSK786416:CSN786453 CIO786416:CIR786453 BYS786416:BYV786453 BOW786416:BOZ786453 BFA786416:BFD786453 AVE786416:AVH786453 ALI786416:ALL786453 ABM786416:ABP786453 RQ786416:RT786453 HU786416:HX786453 WUG720880:WUJ720917 WKK720880:WKN720917 WAO720880:WAR720917 VQS720880:VQV720917 VGW720880:VGZ720917 UXA720880:UXD720917 UNE720880:UNH720917 UDI720880:UDL720917 TTM720880:TTP720917 TJQ720880:TJT720917 SZU720880:SZX720917 SPY720880:SQB720917 SGC720880:SGF720917 RWG720880:RWJ720917 RMK720880:RMN720917 RCO720880:RCR720917 QSS720880:QSV720917 QIW720880:QIZ720917 PZA720880:PZD720917 PPE720880:PPH720917 PFI720880:PFL720917 OVM720880:OVP720917 OLQ720880:OLT720917 OBU720880:OBX720917 NRY720880:NSB720917 NIC720880:NIF720917 MYG720880:MYJ720917 MOK720880:MON720917 MEO720880:MER720917 LUS720880:LUV720917 LKW720880:LKZ720917 LBA720880:LBD720917 KRE720880:KRH720917 KHI720880:KHL720917 JXM720880:JXP720917 JNQ720880:JNT720917 JDU720880:JDX720917 ITY720880:IUB720917 IKC720880:IKF720917 IAG720880:IAJ720917 HQK720880:HQN720917 HGO720880:HGR720917 GWS720880:GWV720917 GMW720880:GMZ720917 GDA720880:GDD720917 FTE720880:FTH720917 FJI720880:FJL720917 EZM720880:EZP720917 EPQ720880:EPT720917 EFU720880:EFX720917 DVY720880:DWB720917 DMC720880:DMF720917 DCG720880:DCJ720917 CSK720880:CSN720917 CIO720880:CIR720917 BYS720880:BYV720917 BOW720880:BOZ720917 BFA720880:BFD720917 AVE720880:AVH720917 ALI720880:ALL720917 ABM720880:ABP720917 RQ720880:RT720917 HU720880:HX720917 WUG655344:WUJ655381 WKK655344:WKN655381 WAO655344:WAR655381 VQS655344:VQV655381 VGW655344:VGZ655381 UXA655344:UXD655381 UNE655344:UNH655381 UDI655344:UDL655381 TTM655344:TTP655381 TJQ655344:TJT655381 SZU655344:SZX655381 SPY655344:SQB655381 SGC655344:SGF655381 RWG655344:RWJ655381 RMK655344:RMN655381 RCO655344:RCR655381 QSS655344:QSV655381 QIW655344:QIZ655381 PZA655344:PZD655381 PPE655344:PPH655381 PFI655344:PFL655381 OVM655344:OVP655381 OLQ655344:OLT655381 OBU655344:OBX655381 NRY655344:NSB655381 NIC655344:NIF655381 MYG655344:MYJ655381 MOK655344:MON655381 MEO655344:MER655381 LUS655344:LUV655381 LKW655344:LKZ655381 LBA655344:LBD655381 KRE655344:KRH655381 KHI655344:KHL655381 JXM655344:JXP655381 JNQ655344:JNT655381 JDU655344:JDX655381 ITY655344:IUB655381 IKC655344:IKF655381 IAG655344:IAJ655381 HQK655344:HQN655381 HGO655344:HGR655381 GWS655344:GWV655381 GMW655344:GMZ655381 GDA655344:GDD655381 FTE655344:FTH655381 FJI655344:FJL655381 EZM655344:EZP655381 EPQ655344:EPT655381 EFU655344:EFX655381 DVY655344:DWB655381 DMC655344:DMF655381 DCG655344:DCJ655381 CSK655344:CSN655381 CIO655344:CIR655381 BYS655344:BYV655381 BOW655344:BOZ655381 BFA655344:BFD655381 AVE655344:AVH655381 ALI655344:ALL655381 ABM655344:ABP655381 RQ655344:RT655381 HU655344:HX655381 WUG589808:WUJ589845 WKK589808:WKN589845 WAO589808:WAR589845 VQS589808:VQV589845 VGW589808:VGZ589845 UXA589808:UXD589845 UNE589808:UNH589845 UDI589808:UDL589845 TTM589808:TTP589845 TJQ589808:TJT589845 SZU589808:SZX589845 SPY589808:SQB589845 SGC589808:SGF589845 RWG589808:RWJ589845 RMK589808:RMN589845 RCO589808:RCR589845 QSS589808:QSV589845 QIW589808:QIZ589845 PZA589808:PZD589845 PPE589808:PPH589845 PFI589808:PFL589845 OVM589808:OVP589845 OLQ589808:OLT589845 OBU589808:OBX589845 NRY589808:NSB589845 NIC589808:NIF589845 MYG589808:MYJ589845 MOK589808:MON589845 MEO589808:MER589845 LUS589808:LUV589845 LKW589808:LKZ589845 LBA589808:LBD589845 KRE589808:KRH589845 KHI589808:KHL589845 JXM589808:JXP589845 JNQ589808:JNT589845 JDU589808:JDX589845 ITY589808:IUB589845 IKC589808:IKF589845 IAG589808:IAJ589845 HQK589808:HQN589845 HGO589808:HGR589845 GWS589808:GWV589845 GMW589808:GMZ589845 GDA589808:GDD589845 FTE589808:FTH589845 FJI589808:FJL589845 EZM589808:EZP589845 EPQ589808:EPT589845 EFU589808:EFX589845 DVY589808:DWB589845 DMC589808:DMF589845 DCG589808:DCJ589845 CSK589808:CSN589845 CIO589808:CIR589845 BYS589808:BYV589845 BOW589808:BOZ589845 BFA589808:BFD589845 AVE589808:AVH589845 ALI589808:ALL589845 ABM589808:ABP589845 RQ589808:RT589845 HU589808:HX589845 WUG524272:WUJ524309 WKK524272:WKN524309 WAO524272:WAR524309 VQS524272:VQV524309 VGW524272:VGZ524309 UXA524272:UXD524309 UNE524272:UNH524309 UDI524272:UDL524309 TTM524272:TTP524309 TJQ524272:TJT524309 SZU524272:SZX524309 SPY524272:SQB524309 SGC524272:SGF524309 RWG524272:RWJ524309 RMK524272:RMN524309 RCO524272:RCR524309 QSS524272:QSV524309 QIW524272:QIZ524309 PZA524272:PZD524309 PPE524272:PPH524309 PFI524272:PFL524309 OVM524272:OVP524309 OLQ524272:OLT524309 OBU524272:OBX524309 NRY524272:NSB524309 NIC524272:NIF524309 MYG524272:MYJ524309 MOK524272:MON524309 MEO524272:MER524309 LUS524272:LUV524309 LKW524272:LKZ524309 LBA524272:LBD524309 KRE524272:KRH524309 KHI524272:KHL524309 JXM524272:JXP524309 JNQ524272:JNT524309 JDU524272:JDX524309 ITY524272:IUB524309 IKC524272:IKF524309 IAG524272:IAJ524309 HQK524272:HQN524309 HGO524272:HGR524309 GWS524272:GWV524309 GMW524272:GMZ524309 GDA524272:GDD524309 FTE524272:FTH524309 FJI524272:FJL524309 EZM524272:EZP524309 EPQ524272:EPT524309 EFU524272:EFX524309 DVY524272:DWB524309 DMC524272:DMF524309 DCG524272:DCJ524309 CSK524272:CSN524309 CIO524272:CIR524309 BYS524272:BYV524309 BOW524272:BOZ524309 BFA524272:BFD524309 AVE524272:AVH524309 ALI524272:ALL524309 ABM524272:ABP524309 RQ524272:RT524309 HU524272:HX524309 WUG458736:WUJ458773 WKK458736:WKN458773 WAO458736:WAR458773 VQS458736:VQV458773 VGW458736:VGZ458773 UXA458736:UXD458773 UNE458736:UNH458773 UDI458736:UDL458773 TTM458736:TTP458773 TJQ458736:TJT458773 SZU458736:SZX458773 SPY458736:SQB458773 SGC458736:SGF458773 RWG458736:RWJ458773 RMK458736:RMN458773 RCO458736:RCR458773 QSS458736:QSV458773 QIW458736:QIZ458773 PZA458736:PZD458773 PPE458736:PPH458773 PFI458736:PFL458773 OVM458736:OVP458773 OLQ458736:OLT458773 OBU458736:OBX458773 NRY458736:NSB458773 NIC458736:NIF458773 MYG458736:MYJ458773 MOK458736:MON458773 MEO458736:MER458773 LUS458736:LUV458773 LKW458736:LKZ458773 LBA458736:LBD458773 KRE458736:KRH458773 KHI458736:KHL458773 JXM458736:JXP458773 JNQ458736:JNT458773 JDU458736:JDX458773 ITY458736:IUB458773 IKC458736:IKF458773 IAG458736:IAJ458773 HQK458736:HQN458773 HGO458736:HGR458773 GWS458736:GWV458773 GMW458736:GMZ458773 GDA458736:GDD458773 FTE458736:FTH458773 FJI458736:FJL458773 EZM458736:EZP458773 EPQ458736:EPT458773 EFU458736:EFX458773 DVY458736:DWB458773 DMC458736:DMF458773 DCG458736:DCJ458773 CSK458736:CSN458773 CIO458736:CIR458773 BYS458736:BYV458773 BOW458736:BOZ458773 BFA458736:BFD458773 AVE458736:AVH458773 ALI458736:ALL458773 ABM458736:ABP458773 RQ458736:RT458773 HU458736:HX458773 WUG393200:WUJ393237 WKK393200:WKN393237 WAO393200:WAR393237 VQS393200:VQV393237 VGW393200:VGZ393237 UXA393200:UXD393237 UNE393200:UNH393237 UDI393200:UDL393237 TTM393200:TTP393237 TJQ393200:TJT393237 SZU393200:SZX393237 SPY393200:SQB393237 SGC393200:SGF393237 RWG393200:RWJ393237 RMK393200:RMN393237 RCO393200:RCR393237 QSS393200:QSV393237 QIW393200:QIZ393237 PZA393200:PZD393237 PPE393200:PPH393237 PFI393200:PFL393237 OVM393200:OVP393237 OLQ393200:OLT393237 OBU393200:OBX393237 NRY393200:NSB393237 NIC393200:NIF393237 MYG393200:MYJ393237 MOK393200:MON393237 MEO393200:MER393237 LUS393200:LUV393237 LKW393200:LKZ393237 LBA393200:LBD393237 KRE393200:KRH393237 KHI393200:KHL393237 JXM393200:JXP393237 JNQ393200:JNT393237 JDU393200:JDX393237 ITY393200:IUB393237 IKC393200:IKF393237 IAG393200:IAJ393237 HQK393200:HQN393237 HGO393200:HGR393237 GWS393200:GWV393237 GMW393200:GMZ393237 GDA393200:GDD393237 FTE393200:FTH393237 FJI393200:FJL393237 EZM393200:EZP393237 EPQ393200:EPT393237 EFU393200:EFX393237 DVY393200:DWB393237 DMC393200:DMF393237 DCG393200:DCJ393237 CSK393200:CSN393237 CIO393200:CIR393237 BYS393200:BYV393237 BOW393200:BOZ393237 BFA393200:BFD393237 AVE393200:AVH393237 ALI393200:ALL393237 ABM393200:ABP393237 RQ393200:RT393237 HU393200:HX393237 WUG327664:WUJ327701 WKK327664:WKN327701 WAO327664:WAR327701 VQS327664:VQV327701 VGW327664:VGZ327701 UXA327664:UXD327701 UNE327664:UNH327701 UDI327664:UDL327701 TTM327664:TTP327701 TJQ327664:TJT327701 SZU327664:SZX327701 SPY327664:SQB327701 SGC327664:SGF327701 RWG327664:RWJ327701 RMK327664:RMN327701 RCO327664:RCR327701 QSS327664:QSV327701 QIW327664:QIZ327701 PZA327664:PZD327701 PPE327664:PPH327701 PFI327664:PFL327701 OVM327664:OVP327701 OLQ327664:OLT327701 OBU327664:OBX327701 NRY327664:NSB327701 NIC327664:NIF327701 MYG327664:MYJ327701 MOK327664:MON327701 MEO327664:MER327701 LUS327664:LUV327701 LKW327664:LKZ327701 LBA327664:LBD327701 KRE327664:KRH327701 KHI327664:KHL327701 JXM327664:JXP327701 JNQ327664:JNT327701 JDU327664:JDX327701 ITY327664:IUB327701 IKC327664:IKF327701 IAG327664:IAJ327701 HQK327664:HQN327701 HGO327664:HGR327701 GWS327664:GWV327701 GMW327664:GMZ327701 GDA327664:GDD327701 FTE327664:FTH327701 FJI327664:FJL327701 EZM327664:EZP327701 EPQ327664:EPT327701 EFU327664:EFX327701 DVY327664:DWB327701 DMC327664:DMF327701 DCG327664:DCJ327701 CSK327664:CSN327701 CIO327664:CIR327701 BYS327664:BYV327701 BOW327664:BOZ327701 BFA327664:BFD327701 AVE327664:AVH327701 ALI327664:ALL327701 ABM327664:ABP327701 RQ327664:RT327701 HU327664:HX327701 WUG262128:WUJ262165 WKK262128:WKN262165 WAO262128:WAR262165 VQS262128:VQV262165 VGW262128:VGZ262165 UXA262128:UXD262165 UNE262128:UNH262165 UDI262128:UDL262165 TTM262128:TTP262165 TJQ262128:TJT262165 SZU262128:SZX262165 SPY262128:SQB262165 SGC262128:SGF262165 RWG262128:RWJ262165 RMK262128:RMN262165 RCO262128:RCR262165 QSS262128:QSV262165 QIW262128:QIZ262165 PZA262128:PZD262165 PPE262128:PPH262165 PFI262128:PFL262165 OVM262128:OVP262165 OLQ262128:OLT262165 OBU262128:OBX262165 NRY262128:NSB262165 NIC262128:NIF262165 MYG262128:MYJ262165 MOK262128:MON262165 MEO262128:MER262165 LUS262128:LUV262165 LKW262128:LKZ262165 LBA262128:LBD262165 KRE262128:KRH262165 KHI262128:KHL262165 JXM262128:JXP262165 JNQ262128:JNT262165 JDU262128:JDX262165 ITY262128:IUB262165 IKC262128:IKF262165 IAG262128:IAJ262165 HQK262128:HQN262165 HGO262128:HGR262165 GWS262128:GWV262165 GMW262128:GMZ262165 GDA262128:GDD262165 FTE262128:FTH262165 FJI262128:FJL262165 EZM262128:EZP262165 EPQ262128:EPT262165 EFU262128:EFX262165 DVY262128:DWB262165 DMC262128:DMF262165 DCG262128:DCJ262165 CSK262128:CSN262165 CIO262128:CIR262165 BYS262128:BYV262165 BOW262128:BOZ262165 BFA262128:BFD262165 AVE262128:AVH262165 ALI262128:ALL262165 ABM262128:ABP262165 RQ262128:RT262165 HU262128:HX262165 WUG196592:WUJ196629 WKK196592:WKN196629 WAO196592:WAR196629 VQS196592:VQV196629 VGW196592:VGZ196629 UXA196592:UXD196629 UNE196592:UNH196629 UDI196592:UDL196629 TTM196592:TTP196629 TJQ196592:TJT196629 SZU196592:SZX196629 SPY196592:SQB196629 SGC196592:SGF196629 RWG196592:RWJ196629 RMK196592:RMN196629 RCO196592:RCR196629 QSS196592:QSV196629 QIW196592:QIZ196629 PZA196592:PZD196629 PPE196592:PPH196629 PFI196592:PFL196629 OVM196592:OVP196629 OLQ196592:OLT196629 OBU196592:OBX196629 NRY196592:NSB196629 NIC196592:NIF196629 MYG196592:MYJ196629 MOK196592:MON196629 MEO196592:MER196629 LUS196592:LUV196629 LKW196592:LKZ196629 LBA196592:LBD196629 KRE196592:KRH196629 KHI196592:KHL196629 JXM196592:JXP196629 JNQ196592:JNT196629 JDU196592:JDX196629 ITY196592:IUB196629 IKC196592:IKF196629 IAG196592:IAJ196629 HQK196592:HQN196629 HGO196592:HGR196629 GWS196592:GWV196629 GMW196592:GMZ196629 GDA196592:GDD196629 FTE196592:FTH196629 FJI196592:FJL196629 EZM196592:EZP196629 EPQ196592:EPT196629 EFU196592:EFX196629 DVY196592:DWB196629 DMC196592:DMF196629 DCG196592:DCJ196629 CSK196592:CSN196629 CIO196592:CIR196629 BYS196592:BYV196629 BOW196592:BOZ196629 BFA196592:BFD196629 AVE196592:AVH196629 ALI196592:ALL196629 ABM196592:ABP196629 RQ196592:RT196629 HU196592:HX196629 WUG131056:WUJ131093 WKK131056:WKN131093 WAO131056:WAR131093 VQS131056:VQV131093 VGW131056:VGZ131093 UXA131056:UXD131093 UNE131056:UNH131093 UDI131056:UDL131093 TTM131056:TTP131093 TJQ131056:TJT131093 SZU131056:SZX131093 SPY131056:SQB131093 SGC131056:SGF131093 RWG131056:RWJ131093 RMK131056:RMN131093 RCO131056:RCR131093 QSS131056:QSV131093 QIW131056:QIZ131093 PZA131056:PZD131093 PPE131056:PPH131093 PFI131056:PFL131093 OVM131056:OVP131093 OLQ131056:OLT131093 OBU131056:OBX131093 NRY131056:NSB131093 NIC131056:NIF131093 MYG131056:MYJ131093 MOK131056:MON131093 MEO131056:MER131093 LUS131056:LUV131093 LKW131056:LKZ131093 LBA131056:LBD131093 KRE131056:KRH131093 KHI131056:KHL131093 JXM131056:JXP131093 JNQ131056:JNT131093 JDU131056:JDX131093 ITY131056:IUB131093 IKC131056:IKF131093 IAG131056:IAJ131093 HQK131056:HQN131093 HGO131056:HGR131093 GWS131056:GWV131093 GMW131056:GMZ131093 GDA131056:GDD131093 FTE131056:FTH131093 FJI131056:FJL131093 EZM131056:EZP131093 EPQ131056:EPT131093 EFU131056:EFX131093 DVY131056:DWB131093 DMC131056:DMF131093 DCG131056:DCJ131093 CSK131056:CSN131093 CIO131056:CIR131093 BYS131056:BYV131093 BOW131056:BOZ131093 BFA131056:BFD131093 AVE131056:AVH131093 ALI131056:ALL131093 ABM131056:ABP131093 RQ131056:RT131093 HU131056:HX131093 WUG65520:WUJ65557 WKK65520:WKN65557 WAO65520:WAR65557 VQS65520:VQV65557 VGW65520:VGZ65557 UXA65520:UXD65557 UNE65520:UNH65557 UDI65520:UDL65557 TTM65520:TTP65557 TJQ65520:TJT65557 SZU65520:SZX65557 SPY65520:SQB65557 SGC65520:SGF65557 RWG65520:RWJ65557 RMK65520:RMN65557 RCO65520:RCR65557 QSS65520:QSV65557 QIW65520:QIZ65557 PZA65520:PZD65557 PPE65520:PPH65557 PFI65520:PFL65557 OVM65520:OVP65557 OLQ65520:OLT65557 OBU65520:OBX65557 NRY65520:NSB65557 NIC65520:NIF65557 MYG65520:MYJ65557 MOK65520:MON65557 MEO65520:MER65557 LUS65520:LUV65557 LKW65520:LKZ65557 LBA65520:LBD65557 KRE65520:KRH65557 KHI65520:KHL65557 JXM65520:JXP65557 JNQ65520:JNT65557 JDU65520:JDX65557 ITY65520:IUB65557 IKC65520:IKF65557 IAG65520:IAJ65557 HQK65520:HQN65557 HGO65520:HGR65557 GWS65520:GWV65557 GMW65520:GMZ65557 GDA65520:GDD65557 FTE65520:FTH65557 FJI65520:FJL65557 EZM65520:EZP65557 EPQ65520:EPT65557 EFU65520:EFX65557 DVY65520:DWB65557 DMC65520:DMF65557 DCG65520:DCJ65557 CSK65520:CSN65557 CIO65520:CIR65557 BYS65520:BYV65557 BOW65520:BOZ65557 BFA65520:BFD65557 AVE65520:AVH65557 ALI65520:ALL65557 ABM65520:ABP65557 RQ65520:RT65557 HU65520:HX65557 WKK983024:WKN983061 WAO983024:WAR983061 WKK5:WKN30 WUG5:WUJ30 HU5:HX30 RQ5:RT30 ABM5:ABP30 ALI5:ALL30 AVE5:AVH30 BFA5:BFD30 BOW5:BOZ30 BYS5:BYV30 CIO5:CIR30 CSK5:CSN30 DCG5:DCJ30 DMC5:DMF30 DVY5:DWB30 EFU5:EFX30 EPQ5:EPT30 EZM5:EZP30 FJI5:FJL30 FTE5:FTH30 GDA5:GDD30 GMW5:GMZ30 GWS5:GWV30 HGO5:HGR30 HQK5:HQN30 IAG5:IAJ30 IKC5:IKF30 ITY5:IUB30 JDU5:JDX30 JNQ5:JNT30 JXM5:JXP30 KHI5:KHL30 KRE5:KRH30 LBA5:LBD30 LKW5:LKZ30 LUS5:LUV30 MEO5:MER30 MOK5:MON30 MYG5:MYJ30 NIC5:NIF30 NRY5:NSB30 OBU5:OBX30 OLQ5:OLT30 OVM5:OVP30 PFI5:PFL30 PPE5:PPH30 PZA5:PZD30 QIW5:QIZ30 QSS5:QSV30 RCO5:RCR30 RMK5:RMN30 RWG5:RWJ30 SGC5:SGF30 SPY5:SQB30 SZU5:SZX30 TJQ5:TJT30 TTM5:TTP30 UDI5:UDL30 UNE5:UNH30 UXA5:UXD30 VGW5:VGZ30 VQS5:VQV30 WAO5:WAR30" xr:uid="{95629BFD-FFB3-4FF5-A3B6-537950BF97B6}">
      <formula1>#REF!</formula1>
    </dataValidation>
    <dataValidation type="list" allowBlank="1" showInputMessage="1" showErrorMessage="1" sqref="HX983065:IE983070 RT983065:SA983070 ABP983065:ABW983070 ALL983065:ALS983070 AVH983065:AVO983070 BFD983065:BFK983070 BOZ983065:BPG983070 BYV983065:BZC983070 CIR983065:CIY983070 CSN983065:CSU983070 DCJ983065:DCQ983070 DMF983065:DMM983070 DWB983065:DWI983070 EFX983065:EGE983070 EPT983065:EQA983070 EZP983065:EZW983070 FJL983065:FJS983070 FTH983065:FTO983070 GDD983065:GDK983070 GMZ983065:GNG983070 GWV983065:GXC983070 HGR983065:HGY983070 HQN983065:HQU983070 IAJ983065:IAQ983070 IKF983065:IKM983070 IUB983065:IUI983070 JDX983065:JEE983070 JNT983065:JOA983070 JXP983065:JXW983070 KHL983065:KHS983070 KRH983065:KRO983070 LBD983065:LBK983070 LKZ983065:LLG983070 LUV983065:LVC983070 MER983065:MEY983070 MON983065:MOU983070 MYJ983065:MYQ983070 NIF983065:NIM983070 NSB983065:NSI983070 OBX983065:OCE983070 OLT983065:OMA983070 OVP983065:OVW983070 PFL983065:PFS983070 PPH983065:PPO983070 PZD983065:PZK983070 QIZ983065:QJG983070 QSV983065:QTC983070 RCR983065:RCY983070 RMN983065:RMU983070 RWJ983065:RWQ983070 SGF983065:SGM983070 SQB983065:SQI983070 SZX983065:TAE983070 TJT983065:TKA983070 TTP983065:TTW983070 UDL983065:UDS983070 UNH983065:UNO983070 UXD983065:UXK983070 VGZ983065:VHG983070 VQV983065:VRC983070 WAR983065:WAY983070 WKN983065:WKU983070 WUJ983065:WUQ983070 HX65561:IE65566 RT65561:SA65566 ABP65561:ABW65566 ALL65561:ALS65566 AVH65561:AVO65566 BFD65561:BFK65566 BOZ65561:BPG65566 BYV65561:BZC65566 CIR65561:CIY65566 CSN65561:CSU65566 DCJ65561:DCQ65566 DMF65561:DMM65566 DWB65561:DWI65566 EFX65561:EGE65566 EPT65561:EQA65566 EZP65561:EZW65566 FJL65561:FJS65566 FTH65561:FTO65566 GDD65561:GDK65566 GMZ65561:GNG65566 GWV65561:GXC65566 HGR65561:HGY65566 HQN65561:HQU65566 IAJ65561:IAQ65566 IKF65561:IKM65566 IUB65561:IUI65566 JDX65561:JEE65566 JNT65561:JOA65566 JXP65561:JXW65566 KHL65561:KHS65566 KRH65561:KRO65566 LBD65561:LBK65566 LKZ65561:LLG65566 LUV65561:LVC65566 MER65561:MEY65566 MON65561:MOU65566 MYJ65561:MYQ65566 NIF65561:NIM65566 NSB65561:NSI65566 OBX65561:OCE65566 OLT65561:OMA65566 OVP65561:OVW65566 PFL65561:PFS65566 PPH65561:PPO65566 PZD65561:PZK65566 QIZ65561:QJG65566 QSV65561:QTC65566 RCR65561:RCY65566 RMN65561:RMU65566 RWJ65561:RWQ65566 SGF65561:SGM65566 SQB65561:SQI65566 SZX65561:TAE65566 TJT65561:TKA65566 TTP65561:TTW65566 UDL65561:UDS65566 UNH65561:UNO65566 UXD65561:UXK65566 VGZ65561:VHG65566 VQV65561:VRC65566 WAR65561:WAY65566 WKN65561:WKU65566 WUJ65561:WUQ65566 HX131097:IE131102 RT131097:SA131102 ABP131097:ABW131102 ALL131097:ALS131102 AVH131097:AVO131102 BFD131097:BFK131102 BOZ131097:BPG131102 BYV131097:BZC131102 CIR131097:CIY131102 CSN131097:CSU131102 DCJ131097:DCQ131102 DMF131097:DMM131102 DWB131097:DWI131102 EFX131097:EGE131102 EPT131097:EQA131102 EZP131097:EZW131102 FJL131097:FJS131102 FTH131097:FTO131102 GDD131097:GDK131102 GMZ131097:GNG131102 GWV131097:GXC131102 HGR131097:HGY131102 HQN131097:HQU131102 IAJ131097:IAQ131102 IKF131097:IKM131102 IUB131097:IUI131102 JDX131097:JEE131102 JNT131097:JOA131102 JXP131097:JXW131102 KHL131097:KHS131102 KRH131097:KRO131102 LBD131097:LBK131102 LKZ131097:LLG131102 LUV131097:LVC131102 MER131097:MEY131102 MON131097:MOU131102 MYJ131097:MYQ131102 NIF131097:NIM131102 NSB131097:NSI131102 OBX131097:OCE131102 OLT131097:OMA131102 OVP131097:OVW131102 PFL131097:PFS131102 PPH131097:PPO131102 PZD131097:PZK131102 QIZ131097:QJG131102 QSV131097:QTC131102 RCR131097:RCY131102 RMN131097:RMU131102 RWJ131097:RWQ131102 SGF131097:SGM131102 SQB131097:SQI131102 SZX131097:TAE131102 TJT131097:TKA131102 TTP131097:TTW131102 UDL131097:UDS131102 UNH131097:UNO131102 UXD131097:UXK131102 VGZ131097:VHG131102 VQV131097:VRC131102 WAR131097:WAY131102 WKN131097:WKU131102 WUJ131097:WUQ131102 HX196633:IE196638 RT196633:SA196638 ABP196633:ABW196638 ALL196633:ALS196638 AVH196633:AVO196638 BFD196633:BFK196638 BOZ196633:BPG196638 BYV196633:BZC196638 CIR196633:CIY196638 CSN196633:CSU196638 DCJ196633:DCQ196638 DMF196633:DMM196638 DWB196633:DWI196638 EFX196633:EGE196638 EPT196633:EQA196638 EZP196633:EZW196638 FJL196633:FJS196638 FTH196633:FTO196638 GDD196633:GDK196638 GMZ196633:GNG196638 GWV196633:GXC196638 HGR196633:HGY196638 HQN196633:HQU196638 IAJ196633:IAQ196638 IKF196633:IKM196638 IUB196633:IUI196638 JDX196633:JEE196638 JNT196633:JOA196638 JXP196633:JXW196638 KHL196633:KHS196638 KRH196633:KRO196638 LBD196633:LBK196638 LKZ196633:LLG196638 LUV196633:LVC196638 MER196633:MEY196638 MON196633:MOU196638 MYJ196633:MYQ196638 NIF196633:NIM196638 NSB196633:NSI196638 OBX196633:OCE196638 OLT196633:OMA196638 OVP196633:OVW196638 PFL196633:PFS196638 PPH196633:PPO196638 PZD196633:PZK196638 QIZ196633:QJG196638 QSV196633:QTC196638 RCR196633:RCY196638 RMN196633:RMU196638 RWJ196633:RWQ196638 SGF196633:SGM196638 SQB196633:SQI196638 SZX196633:TAE196638 TJT196633:TKA196638 TTP196633:TTW196638 UDL196633:UDS196638 UNH196633:UNO196638 UXD196633:UXK196638 VGZ196633:VHG196638 VQV196633:VRC196638 WAR196633:WAY196638 WKN196633:WKU196638 WUJ196633:WUQ196638 HX262169:IE262174 RT262169:SA262174 ABP262169:ABW262174 ALL262169:ALS262174 AVH262169:AVO262174 BFD262169:BFK262174 BOZ262169:BPG262174 BYV262169:BZC262174 CIR262169:CIY262174 CSN262169:CSU262174 DCJ262169:DCQ262174 DMF262169:DMM262174 DWB262169:DWI262174 EFX262169:EGE262174 EPT262169:EQA262174 EZP262169:EZW262174 FJL262169:FJS262174 FTH262169:FTO262174 GDD262169:GDK262174 GMZ262169:GNG262174 GWV262169:GXC262174 HGR262169:HGY262174 HQN262169:HQU262174 IAJ262169:IAQ262174 IKF262169:IKM262174 IUB262169:IUI262174 JDX262169:JEE262174 JNT262169:JOA262174 JXP262169:JXW262174 KHL262169:KHS262174 KRH262169:KRO262174 LBD262169:LBK262174 LKZ262169:LLG262174 LUV262169:LVC262174 MER262169:MEY262174 MON262169:MOU262174 MYJ262169:MYQ262174 NIF262169:NIM262174 NSB262169:NSI262174 OBX262169:OCE262174 OLT262169:OMA262174 OVP262169:OVW262174 PFL262169:PFS262174 PPH262169:PPO262174 PZD262169:PZK262174 QIZ262169:QJG262174 QSV262169:QTC262174 RCR262169:RCY262174 RMN262169:RMU262174 RWJ262169:RWQ262174 SGF262169:SGM262174 SQB262169:SQI262174 SZX262169:TAE262174 TJT262169:TKA262174 TTP262169:TTW262174 UDL262169:UDS262174 UNH262169:UNO262174 UXD262169:UXK262174 VGZ262169:VHG262174 VQV262169:VRC262174 WAR262169:WAY262174 WKN262169:WKU262174 WUJ262169:WUQ262174 HX327705:IE327710 RT327705:SA327710 ABP327705:ABW327710 ALL327705:ALS327710 AVH327705:AVO327710 BFD327705:BFK327710 BOZ327705:BPG327710 BYV327705:BZC327710 CIR327705:CIY327710 CSN327705:CSU327710 DCJ327705:DCQ327710 DMF327705:DMM327710 DWB327705:DWI327710 EFX327705:EGE327710 EPT327705:EQA327710 EZP327705:EZW327710 FJL327705:FJS327710 FTH327705:FTO327710 GDD327705:GDK327710 GMZ327705:GNG327710 GWV327705:GXC327710 HGR327705:HGY327710 HQN327705:HQU327710 IAJ327705:IAQ327710 IKF327705:IKM327710 IUB327705:IUI327710 JDX327705:JEE327710 JNT327705:JOA327710 JXP327705:JXW327710 KHL327705:KHS327710 KRH327705:KRO327710 LBD327705:LBK327710 LKZ327705:LLG327710 LUV327705:LVC327710 MER327705:MEY327710 MON327705:MOU327710 MYJ327705:MYQ327710 NIF327705:NIM327710 NSB327705:NSI327710 OBX327705:OCE327710 OLT327705:OMA327710 OVP327705:OVW327710 PFL327705:PFS327710 PPH327705:PPO327710 PZD327705:PZK327710 QIZ327705:QJG327710 QSV327705:QTC327710 RCR327705:RCY327710 RMN327705:RMU327710 RWJ327705:RWQ327710 SGF327705:SGM327710 SQB327705:SQI327710 SZX327705:TAE327710 TJT327705:TKA327710 TTP327705:TTW327710 UDL327705:UDS327710 UNH327705:UNO327710 UXD327705:UXK327710 VGZ327705:VHG327710 VQV327705:VRC327710 WAR327705:WAY327710 WKN327705:WKU327710 WUJ327705:WUQ327710 HX393241:IE393246 RT393241:SA393246 ABP393241:ABW393246 ALL393241:ALS393246 AVH393241:AVO393246 BFD393241:BFK393246 BOZ393241:BPG393246 BYV393241:BZC393246 CIR393241:CIY393246 CSN393241:CSU393246 DCJ393241:DCQ393246 DMF393241:DMM393246 DWB393241:DWI393246 EFX393241:EGE393246 EPT393241:EQA393246 EZP393241:EZW393246 FJL393241:FJS393246 FTH393241:FTO393246 GDD393241:GDK393246 GMZ393241:GNG393246 GWV393241:GXC393246 HGR393241:HGY393246 HQN393241:HQU393246 IAJ393241:IAQ393246 IKF393241:IKM393246 IUB393241:IUI393246 JDX393241:JEE393246 JNT393241:JOA393246 JXP393241:JXW393246 KHL393241:KHS393246 KRH393241:KRO393246 LBD393241:LBK393246 LKZ393241:LLG393246 LUV393241:LVC393246 MER393241:MEY393246 MON393241:MOU393246 MYJ393241:MYQ393246 NIF393241:NIM393246 NSB393241:NSI393246 OBX393241:OCE393246 OLT393241:OMA393246 OVP393241:OVW393246 PFL393241:PFS393246 PPH393241:PPO393246 PZD393241:PZK393246 QIZ393241:QJG393246 QSV393241:QTC393246 RCR393241:RCY393246 RMN393241:RMU393246 RWJ393241:RWQ393246 SGF393241:SGM393246 SQB393241:SQI393246 SZX393241:TAE393246 TJT393241:TKA393246 TTP393241:TTW393246 UDL393241:UDS393246 UNH393241:UNO393246 UXD393241:UXK393246 VGZ393241:VHG393246 VQV393241:VRC393246 WAR393241:WAY393246 WKN393241:WKU393246 WUJ393241:WUQ393246 HX458777:IE458782 RT458777:SA458782 ABP458777:ABW458782 ALL458777:ALS458782 AVH458777:AVO458782 BFD458777:BFK458782 BOZ458777:BPG458782 BYV458777:BZC458782 CIR458777:CIY458782 CSN458777:CSU458782 DCJ458777:DCQ458782 DMF458777:DMM458782 DWB458777:DWI458782 EFX458777:EGE458782 EPT458777:EQA458782 EZP458777:EZW458782 FJL458777:FJS458782 FTH458777:FTO458782 GDD458777:GDK458782 GMZ458777:GNG458782 GWV458777:GXC458782 HGR458777:HGY458782 HQN458777:HQU458782 IAJ458777:IAQ458782 IKF458777:IKM458782 IUB458777:IUI458782 JDX458777:JEE458782 JNT458777:JOA458782 JXP458777:JXW458782 KHL458777:KHS458782 KRH458777:KRO458782 LBD458777:LBK458782 LKZ458777:LLG458782 LUV458777:LVC458782 MER458777:MEY458782 MON458777:MOU458782 MYJ458777:MYQ458782 NIF458777:NIM458782 NSB458777:NSI458782 OBX458777:OCE458782 OLT458777:OMA458782 OVP458777:OVW458782 PFL458777:PFS458782 PPH458777:PPO458782 PZD458777:PZK458782 QIZ458777:QJG458782 QSV458777:QTC458782 RCR458777:RCY458782 RMN458777:RMU458782 RWJ458777:RWQ458782 SGF458777:SGM458782 SQB458777:SQI458782 SZX458777:TAE458782 TJT458777:TKA458782 TTP458777:TTW458782 UDL458777:UDS458782 UNH458777:UNO458782 UXD458777:UXK458782 VGZ458777:VHG458782 VQV458777:VRC458782 WAR458777:WAY458782 WKN458777:WKU458782 WUJ458777:WUQ458782 HX524313:IE524318 RT524313:SA524318 ABP524313:ABW524318 ALL524313:ALS524318 AVH524313:AVO524318 BFD524313:BFK524318 BOZ524313:BPG524318 BYV524313:BZC524318 CIR524313:CIY524318 CSN524313:CSU524318 DCJ524313:DCQ524318 DMF524313:DMM524318 DWB524313:DWI524318 EFX524313:EGE524318 EPT524313:EQA524318 EZP524313:EZW524318 FJL524313:FJS524318 FTH524313:FTO524318 GDD524313:GDK524318 GMZ524313:GNG524318 GWV524313:GXC524318 HGR524313:HGY524318 HQN524313:HQU524318 IAJ524313:IAQ524318 IKF524313:IKM524318 IUB524313:IUI524318 JDX524313:JEE524318 JNT524313:JOA524318 JXP524313:JXW524318 KHL524313:KHS524318 KRH524313:KRO524318 LBD524313:LBK524318 LKZ524313:LLG524318 LUV524313:LVC524318 MER524313:MEY524318 MON524313:MOU524318 MYJ524313:MYQ524318 NIF524313:NIM524318 NSB524313:NSI524318 OBX524313:OCE524318 OLT524313:OMA524318 OVP524313:OVW524318 PFL524313:PFS524318 PPH524313:PPO524318 PZD524313:PZK524318 QIZ524313:QJG524318 QSV524313:QTC524318 RCR524313:RCY524318 RMN524313:RMU524318 RWJ524313:RWQ524318 SGF524313:SGM524318 SQB524313:SQI524318 SZX524313:TAE524318 TJT524313:TKA524318 TTP524313:TTW524318 UDL524313:UDS524318 UNH524313:UNO524318 UXD524313:UXK524318 VGZ524313:VHG524318 VQV524313:VRC524318 WAR524313:WAY524318 WKN524313:WKU524318 WUJ524313:WUQ524318 HX589849:IE589854 RT589849:SA589854 ABP589849:ABW589854 ALL589849:ALS589854 AVH589849:AVO589854 BFD589849:BFK589854 BOZ589849:BPG589854 BYV589849:BZC589854 CIR589849:CIY589854 CSN589849:CSU589854 DCJ589849:DCQ589854 DMF589849:DMM589854 DWB589849:DWI589854 EFX589849:EGE589854 EPT589849:EQA589854 EZP589849:EZW589854 FJL589849:FJS589854 FTH589849:FTO589854 GDD589849:GDK589854 GMZ589849:GNG589854 GWV589849:GXC589854 HGR589849:HGY589854 HQN589849:HQU589854 IAJ589849:IAQ589854 IKF589849:IKM589854 IUB589849:IUI589854 JDX589849:JEE589854 JNT589849:JOA589854 JXP589849:JXW589854 KHL589849:KHS589854 KRH589849:KRO589854 LBD589849:LBK589854 LKZ589849:LLG589854 LUV589849:LVC589854 MER589849:MEY589854 MON589849:MOU589854 MYJ589849:MYQ589854 NIF589849:NIM589854 NSB589849:NSI589854 OBX589849:OCE589854 OLT589849:OMA589854 OVP589849:OVW589854 PFL589849:PFS589854 PPH589849:PPO589854 PZD589849:PZK589854 QIZ589849:QJG589854 QSV589849:QTC589854 RCR589849:RCY589854 RMN589849:RMU589854 RWJ589849:RWQ589854 SGF589849:SGM589854 SQB589849:SQI589854 SZX589849:TAE589854 TJT589849:TKA589854 TTP589849:TTW589854 UDL589849:UDS589854 UNH589849:UNO589854 UXD589849:UXK589854 VGZ589849:VHG589854 VQV589849:VRC589854 WAR589849:WAY589854 WKN589849:WKU589854 WUJ589849:WUQ589854 HX655385:IE655390 RT655385:SA655390 ABP655385:ABW655390 ALL655385:ALS655390 AVH655385:AVO655390 BFD655385:BFK655390 BOZ655385:BPG655390 BYV655385:BZC655390 CIR655385:CIY655390 CSN655385:CSU655390 DCJ655385:DCQ655390 DMF655385:DMM655390 DWB655385:DWI655390 EFX655385:EGE655390 EPT655385:EQA655390 EZP655385:EZW655390 FJL655385:FJS655390 FTH655385:FTO655390 GDD655385:GDK655390 GMZ655385:GNG655390 GWV655385:GXC655390 HGR655385:HGY655390 HQN655385:HQU655390 IAJ655385:IAQ655390 IKF655385:IKM655390 IUB655385:IUI655390 JDX655385:JEE655390 JNT655385:JOA655390 JXP655385:JXW655390 KHL655385:KHS655390 KRH655385:KRO655390 LBD655385:LBK655390 LKZ655385:LLG655390 LUV655385:LVC655390 MER655385:MEY655390 MON655385:MOU655390 MYJ655385:MYQ655390 NIF655385:NIM655390 NSB655385:NSI655390 OBX655385:OCE655390 OLT655385:OMA655390 OVP655385:OVW655390 PFL655385:PFS655390 PPH655385:PPO655390 PZD655385:PZK655390 QIZ655385:QJG655390 QSV655385:QTC655390 RCR655385:RCY655390 RMN655385:RMU655390 RWJ655385:RWQ655390 SGF655385:SGM655390 SQB655385:SQI655390 SZX655385:TAE655390 TJT655385:TKA655390 TTP655385:TTW655390 UDL655385:UDS655390 UNH655385:UNO655390 UXD655385:UXK655390 VGZ655385:VHG655390 VQV655385:VRC655390 WAR655385:WAY655390 WKN655385:WKU655390 WUJ655385:WUQ655390 HX720921:IE720926 RT720921:SA720926 ABP720921:ABW720926 ALL720921:ALS720926 AVH720921:AVO720926 BFD720921:BFK720926 BOZ720921:BPG720926 BYV720921:BZC720926 CIR720921:CIY720926 CSN720921:CSU720926 DCJ720921:DCQ720926 DMF720921:DMM720926 DWB720921:DWI720926 EFX720921:EGE720926 EPT720921:EQA720926 EZP720921:EZW720926 FJL720921:FJS720926 FTH720921:FTO720926 GDD720921:GDK720926 GMZ720921:GNG720926 GWV720921:GXC720926 HGR720921:HGY720926 HQN720921:HQU720926 IAJ720921:IAQ720926 IKF720921:IKM720926 IUB720921:IUI720926 JDX720921:JEE720926 JNT720921:JOA720926 JXP720921:JXW720926 KHL720921:KHS720926 KRH720921:KRO720926 LBD720921:LBK720926 LKZ720921:LLG720926 LUV720921:LVC720926 MER720921:MEY720926 MON720921:MOU720926 MYJ720921:MYQ720926 NIF720921:NIM720926 NSB720921:NSI720926 OBX720921:OCE720926 OLT720921:OMA720926 OVP720921:OVW720926 PFL720921:PFS720926 PPH720921:PPO720926 PZD720921:PZK720926 QIZ720921:QJG720926 QSV720921:QTC720926 RCR720921:RCY720926 RMN720921:RMU720926 RWJ720921:RWQ720926 SGF720921:SGM720926 SQB720921:SQI720926 SZX720921:TAE720926 TJT720921:TKA720926 TTP720921:TTW720926 UDL720921:UDS720926 UNH720921:UNO720926 UXD720921:UXK720926 VGZ720921:VHG720926 VQV720921:VRC720926 WAR720921:WAY720926 WKN720921:WKU720926 WUJ720921:WUQ720926 HX786457:IE786462 RT786457:SA786462 ABP786457:ABW786462 ALL786457:ALS786462 AVH786457:AVO786462 BFD786457:BFK786462 BOZ786457:BPG786462 BYV786457:BZC786462 CIR786457:CIY786462 CSN786457:CSU786462 DCJ786457:DCQ786462 DMF786457:DMM786462 DWB786457:DWI786462 EFX786457:EGE786462 EPT786457:EQA786462 EZP786457:EZW786462 FJL786457:FJS786462 FTH786457:FTO786462 GDD786457:GDK786462 GMZ786457:GNG786462 GWV786457:GXC786462 HGR786457:HGY786462 HQN786457:HQU786462 IAJ786457:IAQ786462 IKF786457:IKM786462 IUB786457:IUI786462 JDX786457:JEE786462 JNT786457:JOA786462 JXP786457:JXW786462 KHL786457:KHS786462 KRH786457:KRO786462 LBD786457:LBK786462 LKZ786457:LLG786462 LUV786457:LVC786462 MER786457:MEY786462 MON786457:MOU786462 MYJ786457:MYQ786462 NIF786457:NIM786462 NSB786457:NSI786462 OBX786457:OCE786462 OLT786457:OMA786462 OVP786457:OVW786462 PFL786457:PFS786462 PPH786457:PPO786462 PZD786457:PZK786462 QIZ786457:QJG786462 QSV786457:QTC786462 RCR786457:RCY786462 RMN786457:RMU786462 RWJ786457:RWQ786462 SGF786457:SGM786462 SQB786457:SQI786462 SZX786457:TAE786462 TJT786457:TKA786462 TTP786457:TTW786462 UDL786457:UDS786462 UNH786457:UNO786462 UXD786457:UXK786462 VGZ786457:VHG786462 VQV786457:VRC786462 WAR786457:WAY786462 WKN786457:WKU786462 WUJ786457:WUQ786462 HX851993:IE851998 RT851993:SA851998 ABP851993:ABW851998 ALL851993:ALS851998 AVH851993:AVO851998 BFD851993:BFK851998 BOZ851993:BPG851998 BYV851993:BZC851998 CIR851993:CIY851998 CSN851993:CSU851998 DCJ851993:DCQ851998 DMF851993:DMM851998 DWB851993:DWI851998 EFX851993:EGE851998 EPT851993:EQA851998 EZP851993:EZW851998 FJL851993:FJS851998 FTH851993:FTO851998 GDD851993:GDK851998 GMZ851993:GNG851998 GWV851993:GXC851998 HGR851993:HGY851998 HQN851993:HQU851998 IAJ851993:IAQ851998 IKF851993:IKM851998 IUB851993:IUI851998 JDX851993:JEE851998 JNT851993:JOA851998 JXP851993:JXW851998 KHL851993:KHS851998 KRH851993:KRO851998 LBD851993:LBK851998 LKZ851993:LLG851998 LUV851993:LVC851998 MER851993:MEY851998 MON851993:MOU851998 MYJ851993:MYQ851998 NIF851993:NIM851998 NSB851993:NSI851998 OBX851993:OCE851998 OLT851993:OMA851998 OVP851993:OVW851998 PFL851993:PFS851998 PPH851993:PPO851998 PZD851993:PZK851998 QIZ851993:QJG851998 QSV851993:QTC851998 RCR851993:RCY851998 RMN851993:RMU851998 RWJ851993:RWQ851998 SGF851993:SGM851998 SQB851993:SQI851998 SZX851993:TAE851998 TJT851993:TKA851998 TTP851993:TTW851998 UDL851993:UDS851998 UNH851993:UNO851998 UXD851993:UXK851998 VGZ851993:VHG851998 VQV851993:VRC851998 WAR851993:WAY851998 WKN851993:WKU851998 WUJ851993:WUQ851998 HX917529:IE917534 RT917529:SA917534 ABP917529:ABW917534 ALL917529:ALS917534 AVH917529:AVO917534 BFD917529:BFK917534 BOZ917529:BPG917534 BYV917529:BZC917534 CIR917529:CIY917534 CSN917529:CSU917534 DCJ917529:DCQ917534 DMF917529:DMM917534 DWB917529:DWI917534 EFX917529:EGE917534 EPT917529:EQA917534 EZP917529:EZW917534 FJL917529:FJS917534 FTH917529:FTO917534 GDD917529:GDK917534 GMZ917529:GNG917534 GWV917529:GXC917534 HGR917529:HGY917534 HQN917529:HQU917534 IAJ917529:IAQ917534 IKF917529:IKM917534 IUB917529:IUI917534 JDX917529:JEE917534 JNT917529:JOA917534 JXP917529:JXW917534 KHL917529:KHS917534 KRH917529:KRO917534 LBD917529:LBK917534 LKZ917529:LLG917534 LUV917529:LVC917534 MER917529:MEY917534 MON917529:MOU917534 MYJ917529:MYQ917534 NIF917529:NIM917534 NSB917529:NSI917534 OBX917529:OCE917534 OLT917529:OMA917534 OVP917529:OVW917534 PFL917529:PFS917534 PPH917529:PPO917534 PZD917529:PZK917534 QIZ917529:QJG917534 QSV917529:QTC917534 RCR917529:RCY917534 RMN917529:RMU917534 RWJ917529:RWQ917534 SGF917529:SGM917534 SQB917529:SQI917534 SZX917529:TAE917534 TJT917529:TKA917534 TTP917529:TTW917534 UDL917529:UDS917534 UNH917529:UNO917534 UXD917529:UXK917534 VGZ917529:VHG917534 VQV917529:VRC917534 WAR917529:WAY917534 WKN917529:WKU917534 WUJ917529:WUQ917534" xr:uid="{92E3B9A6-2BA9-4464-BC49-C91A4CCFB7D3}">
      <formula1>"サーバ,クライアント"</formula1>
    </dataValidation>
  </dataValidations>
  <pageMargins left="0.7" right="0.7" top="0.75" bottom="0.75" header="0.3" footer="0.3"/>
  <pageSetup paperSize="9" scale="50" fitToHeight="0" orientation="landscape" r:id="rId1"/>
  <ignoredErrors>
    <ignoredError sqref="A30:B30 A5:B6 A9:B10 A11:B24 A26:B26 A7" numberStoredAsText="1"/>
  </ignoredError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D9797-216E-41EF-B6F8-F4A4E0E98FA4}">
  <sheetPr>
    <pageSetUpPr fitToPage="1"/>
  </sheetPr>
  <dimension ref="A1:CG34"/>
  <sheetViews>
    <sheetView showGridLines="0" view="pageBreakPreview" zoomScale="80" zoomScaleNormal="70" zoomScaleSheetLayoutView="80" workbookViewId="0">
      <selection sqref="A1:M1"/>
    </sheetView>
  </sheetViews>
  <sheetFormatPr defaultColWidth="2.453125" defaultRowHeight="15"/>
  <cols>
    <col min="1" max="86" width="2.7265625" style="169" customWidth="1"/>
    <col min="87" max="16384" width="2.453125" style="169"/>
  </cols>
  <sheetData>
    <row r="1" spans="1:85" ht="13.75" customHeight="1">
      <c r="A1" s="330" t="s">
        <v>207</v>
      </c>
      <c r="B1" s="330"/>
      <c r="C1" s="330"/>
      <c r="D1" s="330"/>
      <c r="E1" s="330"/>
      <c r="F1" s="330"/>
      <c r="G1" s="330"/>
      <c r="H1" s="330"/>
      <c r="I1" s="330"/>
      <c r="J1" s="330"/>
      <c r="K1" s="330"/>
      <c r="L1" s="330"/>
      <c r="M1" s="330"/>
    </row>
    <row r="2" spans="1:85" ht="13.75" customHeight="1">
      <c r="A2" s="170"/>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1"/>
      <c r="AV2" s="171"/>
      <c r="AW2" s="171"/>
      <c r="AX2" s="171"/>
      <c r="AY2" s="171"/>
      <c r="AZ2" s="171"/>
      <c r="BA2" s="171"/>
      <c r="BB2" s="171"/>
      <c r="BC2" s="171"/>
      <c r="BD2" s="171"/>
      <c r="BE2" s="171"/>
      <c r="BF2" s="171"/>
      <c r="BG2" s="171"/>
      <c r="BH2" s="171"/>
      <c r="BI2" s="171"/>
      <c r="BJ2" s="171"/>
      <c r="BK2" s="171"/>
      <c r="BL2" s="171"/>
      <c r="BM2" s="171"/>
      <c r="BN2" s="171"/>
      <c r="BO2" s="171"/>
      <c r="BP2" s="171"/>
      <c r="BQ2" s="171"/>
      <c r="BR2" s="171"/>
      <c r="BS2" s="171"/>
      <c r="BT2" s="171"/>
      <c r="BU2" s="171"/>
      <c r="BV2" s="171"/>
      <c r="BW2" s="171"/>
      <c r="BX2" s="171"/>
      <c r="BY2" s="171"/>
      <c r="BZ2" s="171"/>
      <c r="CA2" s="171"/>
      <c r="CB2" s="171"/>
      <c r="CC2" s="171"/>
      <c r="CD2" s="171"/>
      <c r="CE2" s="171"/>
      <c r="CF2" s="171"/>
      <c r="CG2" s="172"/>
    </row>
    <row r="3" spans="1:85">
      <c r="A3" s="173"/>
      <c r="B3" s="169" t="s">
        <v>235</v>
      </c>
      <c r="CG3" s="174"/>
    </row>
    <row r="4" spans="1:85">
      <c r="A4" s="173"/>
      <c r="E4" s="175"/>
      <c r="CG4" s="174"/>
    </row>
    <row r="5" spans="1:85">
      <c r="A5" s="173"/>
      <c r="C5" s="169" t="s">
        <v>237</v>
      </c>
      <c r="CG5" s="174"/>
    </row>
    <row r="6" spans="1:85" ht="15" customHeight="1">
      <c r="A6" s="173"/>
      <c r="C6" s="335" t="s">
        <v>240</v>
      </c>
      <c r="D6" s="336"/>
      <c r="E6" s="336"/>
      <c r="F6" s="336"/>
      <c r="G6" s="336"/>
      <c r="H6" s="336"/>
      <c r="I6" s="336"/>
      <c r="J6" s="336"/>
      <c r="K6" s="337"/>
      <c r="L6" s="335" t="s">
        <v>241</v>
      </c>
      <c r="M6" s="336"/>
      <c r="N6" s="336"/>
      <c r="O6" s="336"/>
      <c r="P6" s="336"/>
      <c r="Q6" s="336"/>
      <c r="R6" s="336"/>
      <c r="S6" s="336"/>
      <c r="T6" s="336"/>
      <c r="U6" s="336"/>
      <c r="V6" s="336"/>
      <c r="W6" s="336"/>
      <c r="X6" s="336"/>
      <c r="Y6" s="336"/>
      <c r="Z6" s="336"/>
      <c r="AA6" s="336"/>
      <c r="AB6" s="336"/>
      <c r="AC6" s="337"/>
      <c r="CG6" s="174"/>
    </row>
    <row r="7" spans="1:85" ht="15" customHeight="1">
      <c r="A7" s="173"/>
      <c r="C7" s="341" t="s">
        <v>238</v>
      </c>
      <c r="D7" s="342"/>
      <c r="E7" s="342"/>
      <c r="F7" s="342"/>
      <c r="G7" s="342"/>
      <c r="H7" s="342"/>
      <c r="I7" s="342"/>
      <c r="J7" s="342"/>
      <c r="K7" s="343"/>
      <c r="L7" s="338" t="s">
        <v>239</v>
      </c>
      <c r="M7" s="339"/>
      <c r="N7" s="339"/>
      <c r="O7" s="339"/>
      <c r="P7" s="339"/>
      <c r="Q7" s="339"/>
      <c r="R7" s="339"/>
      <c r="S7" s="339"/>
      <c r="T7" s="339"/>
      <c r="U7" s="339"/>
      <c r="V7" s="339"/>
      <c r="W7" s="339"/>
      <c r="X7" s="339"/>
      <c r="Y7" s="339"/>
      <c r="Z7" s="339"/>
      <c r="AA7" s="339"/>
      <c r="AB7" s="339"/>
      <c r="AC7" s="340"/>
      <c r="CG7" s="174"/>
    </row>
    <row r="8" spans="1:85">
      <c r="A8" s="173"/>
      <c r="E8" s="175"/>
      <c r="CG8" s="174"/>
    </row>
    <row r="9" spans="1:85">
      <c r="A9" s="173"/>
      <c r="B9" s="169" t="s">
        <v>242</v>
      </c>
      <c r="CG9" s="174"/>
    </row>
    <row r="10" spans="1:85" hidden="1">
      <c r="A10" s="173"/>
      <c r="C10" s="335" t="s">
        <v>240</v>
      </c>
      <c r="D10" s="336"/>
      <c r="E10" s="336"/>
      <c r="F10" s="336"/>
      <c r="G10" s="336"/>
      <c r="H10" s="336"/>
      <c r="I10" s="336"/>
      <c r="J10" s="336"/>
      <c r="K10" s="337"/>
      <c r="L10" s="335" t="s">
        <v>241</v>
      </c>
      <c r="M10" s="336"/>
      <c r="N10" s="336"/>
      <c r="O10" s="336"/>
      <c r="P10" s="336"/>
      <c r="Q10" s="336"/>
      <c r="R10" s="336"/>
      <c r="S10" s="336"/>
      <c r="T10" s="336"/>
      <c r="U10" s="336"/>
      <c r="V10" s="336"/>
      <c r="W10" s="336"/>
      <c r="X10" s="336"/>
      <c r="Y10" s="336"/>
      <c r="Z10" s="336"/>
      <c r="AA10" s="336"/>
      <c r="AB10" s="336"/>
      <c r="AC10" s="337"/>
      <c r="CG10" s="174"/>
    </row>
    <row r="11" spans="1:85" hidden="1">
      <c r="A11" s="173"/>
      <c r="C11" s="341" t="s">
        <v>238</v>
      </c>
      <c r="D11" s="342"/>
      <c r="E11" s="342"/>
      <c r="F11" s="342"/>
      <c r="G11" s="342"/>
      <c r="H11" s="342"/>
      <c r="I11" s="342"/>
      <c r="J11" s="342"/>
      <c r="K11" s="343"/>
      <c r="L11" s="338" t="s">
        <v>239</v>
      </c>
      <c r="M11" s="339"/>
      <c r="N11" s="339"/>
      <c r="O11" s="339"/>
      <c r="P11" s="339"/>
      <c r="Q11" s="339"/>
      <c r="R11" s="339"/>
      <c r="S11" s="339"/>
      <c r="T11" s="339"/>
      <c r="U11" s="339"/>
      <c r="V11" s="339"/>
      <c r="W11" s="339"/>
      <c r="X11" s="339"/>
      <c r="Y11" s="339"/>
      <c r="Z11" s="339"/>
      <c r="AA11" s="339"/>
      <c r="AB11" s="339"/>
      <c r="AC11" s="340"/>
      <c r="CG11" s="174"/>
    </row>
    <row r="12" spans="1:85" ht="13.75" customHeight="1">
      <c r="A12" s="173"/>
      <c r="C12" s="195" t="s">
        <v>208</v>
      </c>
      <c r="CG12" s="174"/>
    </row>
    <row r="13" spans="1:85">
      <c r="A13" s="173"/>
      <c r="CG13" s="174"/>
    </row>
    <row r="14" spans="1:85" ht="15" customHeight="1">
      <c r="A14" s="173"/>
      <c r="D14" s="331" t="s">
        <v>259</v>
      </c>
      <c r="E14" s="331"/>
      <c r="F14" s="331"/>
      <c r="G14" s="331"/>
      <c r="H14" s="331"/>
      <c r="I14" s="331"/>
      <c r="J14" s="331"/>
      <c r="K14" s="331"/>
      <c r="L14" s="331"/>
      <c r="M14" s="331"/>
      <c r="N14" s="331"/>
      <c r="O14" s="331"/>
      <c r="P14" s="331"/>
      <c r="Q14" s="331"/>
      <c r="R14" s="331"/>
      <c r="S14" s="331"/>
      <c r="T14" s="331"/>
      <c r="U14" s="332" t="s">
        <v>258</v>
      </c>
      <c r="V14" s="333"/>
      <c r="W14" s="333"/>
      <c r="X14" s="333"/>
      <c r="Y14" s="333"/>
      <c r="Z14" s="333"/>
      <c r="AA14" s="333"/>
      <c r="AB14" s="333"/>
      <c r="AC14" s="333"/>
      <c r="AD14" s="333"/>
      <c r="AE14" s="333"/>
      <c r="AF14" s="333"/>
      <c r="AG14" s="333"/>
      <c r="AH14" s="333"/>
      <c r="AI14" s="333"/>
      <c r="AJ14" s="333"/>
      <c r="AK14" s="333"/>
      <c r="AL14" s="333"/>
      <c r="AM14" s="333"/>
      <c r="AN14" s="333"/>
      <c r="AO14" s="333"/>
      <c r="AP14" s="333"/>
      <c r="AQ14" s="333"/>
      <c r="AR14" s="333"/>
      <c r="AS14" s="333"/>
      <c r="AT14" s="333"/>
      <c r="AU14" s="333"/>
      <c r="AV14" s="333"/>
      <c r="AW14" s="333"/>
      <c r="AX14" s="333"/>
      <c r="AY14" s="333"/>
      <c r="AZ14" s="333"/>
      <c r="BA14" s="334"/>
      <c r="CG14" s="174"/>
    </row>
    <row r="15" spans="1:85" ht="15.75" customHeight="1">
      <c r="A15" s="173"/>
      <c r="D15" s="331" t="s">
        <v>209</v>
      </c>
      <c r="E15" s="331"/>
      <c r="F15" s="331"/>
      <c r="G15" s="331"/>
      <c r="H15" s="331"/>
      <c r="I15" s="331"/>
      <c r="J15" s="331"/>
      <c r="K15" s="331"/>
      <c r="L15" s="331"/>
      <c r="M15" s="331"/>
      <c r="N15" s="331"/>
      <c r="O15" s="331"/>
      <c r="P15" s="331"/>
      <c r="Q15" s="331"/>
      <c r="R15" s="331"/>
      <c r="S15" s="331"/>
      <c r="T15" s="331"/>
      <c r="U15" s="332" t="s">
        <v>260</v>
      </c>
      <c r="V15" s="333"/>
      <c r="W15" s="333"/>
      <c r="X15" s="333"/>
      <c r="Y15" s="333"/>
      <c r="Z15" s="333"/>
      <c r="AA15" s="333"/>
      <c r="AB15" s="333"/>
      <c r="AC15" s="333"/>
      <c r="AD15" s="333"/>
      <c r="AE15" s="333"/>
      <c r="AF15" s="333"/>
      <c r="AG15" s="333"/>
      <c r="AH15" s="333"/>
      <c r="AI15" s="333"/>
      <c r="AJ15" s="333"/>
      <c r="AK15" s="333"/>
      <c r="AL15" s="333"/>
      <c r="AM15" s="333"/>
      <c r="AN15" s="333"/>
      <c r="AO15" s="333"/>
      <c r="AP15" s="333"/>
      <c r="AQ15" s="333"/>
      <c r="AR15" s="333"/>
      <c r="AS15" s="333"/>
      <c r="AT15" s="333"/>
      <c r="AU15" s="333"/>
      <c r="AV15" s="333"/>
      <c r="AW15" s="333"/>
      <c r="AX15" s="333"/>
      <c r="AY15" s="333"/>
      <c r="AZ15" s="333"/>
      <c r="BA15" s="334"/>
      <c r="CG15" s="174"/>
    </row>
    <row r="16" spans="1:85">
      <c r="A16" s="173"/>
      <c r="D16" s="194" t="s">
        <v>243</v>
      </c>
      <c r="CG16" s="174"/>
    </row>
    <row r="17" spans="1:85">
      <c r="A17" s="173"/>
      <c r="D17" s="169" t="s">
        <v>210</v>
      </c>
      <c r="CG17" s="174"/>
    </row>
    <row r="18" spans="1:85">
      <c r="A18" s="173"/>
      <c r="CG18" s="174"/>
    </row>
    <row r="19" spans="1:85">
      <c r="A19" s="173"/>
      <c r="C19" s="195" t="s">
        <v>211</v>
      </c>
      <c r="CG19" s="174"/>
    </row>
    <row r="20" spans="1:85">
      <c r="A20" s="173"/>
      <c r="CG20" s="174"/>
    </row>
    <row r="21" spans="1:85">
      <c r="A21" s="173"/>
      <c r="D21" s="169" t="s">
        <v>212</v>
      </c>
      <c r="CG21" s="174"/>
    </row>
    <row r="22" spans="1:85">
      <c r="A22" s="173"/>
      <c r="E22" s="169" t="s">
        <v>213</v>
      </c>
      <c r="CG22" s="174"/>
    </row>
    <row r="23" spans="1:85">
      <c r="A23" s="173"/>
      <c r="F23" s="169" t="s">
        <v>108</v>
      </c>
      <c r="J23" s="169" t="s">
        <v>214</v>
      </c>
      <c r="K23" s="169" t="s">
        <v>215</v>
      </c>
      <c r="CG23" s="174"/>
    </row>
    <row r="24" spans="1:85">
      <c r="A24" s="173"/>
      <c r="E24" s="169" t="s">
        <v>216</v>
      </c>
      <c r="CG24" s="174"/>
    </row>
    <row r="25" spans="1:85">
      <c r="A25" s="173"/>
      <c r="E25" s="169" t="s">
        <v>217</v>
      </c>
      <c r="CG25" s="174"/>
    </row>
    <row r="26" spans="1:85">
      <c r="A26" s="173"/>
      <c r="F26" s="169" t="s">
        <v>218</v>
      </c>
      <c r="J26" s="169" t="s">
        <v>219</v>
      </c>
      <c r="K26" s="169" t="s">
        <v>220</v>
      </c>
      <c r="CG26" s="174"/>
    </row>
    <row r="27" spans="1:85">
      <c r="A27" s="173"/>
      <c r="E27" s="175"/>
      <c r="F27" s="169" t="s">
        <v>221</v>
      </c>
      <c r="I27" s="175"/>
      <c r="J27" s="169" t="s">
        <v>219</v>
      </c>
      <c r="K27" s="169" t="s">
        <v>222</v>
      </c>
      <c r="L27" s="175"/>
      <c r="CG27" s="174"/>
    </row>
    <row r="28" spans="1:85">
      <c r="A28" s="173"/>
      <c r="E28" s="175"/>
      <c r="F28" s="169" t="s">
        <v>223</v>
      </c>
      <c r="I28" s="175"/>
      <c r="J28" s="175"/>
      <c r="K28" s="175"/>
      <c r="L28" s="175"/>
      <c r="CG28" s="174"/>
    </row>
    <row r="29" spans="1:85">
      <c r="A29" s="173"/>
      <c r="F29" s="169" t="s">
        <v>224</v>
      </c>
      <c r="I29" s="175"/>
      <c r="J29" s="175"/>
      <c r="K29" s="175"/>
      <c r="L29" s="175"/>
      <c r="CG29" s="174"/>
    </row>
    <row r="30" spans="1:85">
      <c r="A30" s="173"/>
      <c r="F30" s="169" t="s">
        <v>225</v>
      </c>
      <c r="I30" s="175"/>
      <c r="J30" s="175"/>
      <c r="K30" s="175"/>
      <c r="L30" s="175"/>
      <c r="CG30" s="174"/>
    </row>
    <row r="31" spans="1:85">
      <c r="A31" s="173"/>
      <c r="F31" s="169" t="s">
        <v>226</v>
      </c>
      <c r="I31" s="175"/>
      <c r="J31" s="175"/>
      <c r="K31" s="175"/>
      <c r="L31" s="175"/>
      <c r="CG31" s="174"/>
    </row>
    <row r="32" spans="1:85">
      <c r="A32" s="173"/>
      <c r="F32" s="169" t="s">
        <v>227</v>
      </c>
      <c r="I32" s="175"/>
      <c r="J32" s="175"/>
      <c r="K32" s="175"/>
      <c r="L32" s="175"/>
      <c r="CG32" s="174"/>
    </row>
    <row r="33" spans="1:85">
      <c r="A33" s="173"/>
      <c r="CG33" s="174"/>
    </row>
    <row r="34" spans="1:85">
      <c r="A34" s="176"/>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8"/>
    </row>
  </sheetData>
  <mergeCells count="13">
    <mergeCell ref="A1:M1"/>
    <mergeCell ref="D14:T14"/>
    <mergeCell ref="D15:T15"/>
    <mergeCell ref="U14:BA14"/>
    <mergeCell ref="U15:BA15"/>
    <mergeCell ref="C6:K6"/>
    <mergeCell ref="L6:AC6"/>
    <mergeCell ref="L7:AC7"/>
    <mergeCell ref="C10:K10"/>
    <mergeCell ref="L10:AC10"/>
    <mergeCell ref="C11:K11"/>
    <mergeCell ref="L11:AC11"/>
    <mergeCell ref="C7:K7"/>
  </mergeCells>
  <phoneticPr fontId="53"/>
  <dataValidations disablePrompts="1" count="1">
    <dataValidation type="list" allowBlank="1" showInputMessage="1" showErrorMessage="1" sqref="WVZ982945:WWE982966 WMD982945:WMI982966 WCH982945:WCM982966 VSL982945:VSQ982966 VIP982945:VIU982966 UYT982945:UYY982966 UOX982945:UPC982966 UFB982945:UFG982966 TVF982945:TVK982966 TLJ982945:TLO982966 TBN982945:TBS982966 SRR982945:SRW982966 SHV982945:SIA982966 RXZ982945:RYE982966 ROD982945:ROI982966 REH982945:REM982966 QUL982945:QUQ982966 QKP982945:QKU982966 QAT982945:QAY982966 PQX982945:PRC982966 PHB982945:PHG982966 OXF982945:OXK982966 ONJ982945:ONO982966 ODN982945:ODS982966 NTR982945:NTW982966 NJV982945:NKA982966 MZZ982945:NAE982966 MQD982945:MQI982966 MGH982945:MGM982966 LWL982945:LWQ982966 LMP982945:LMU982966 LCT982945:LCY982966 KSX982945:KTC982966 KJB982945:KJG982966 JZF982945:JZK982966 JPJ982945:JPO982966 JFN982945:JFS982966 IVR982945:IVW982966 ILV982945:IMA982966 IBZ982945:ICE982966 HSD982945:HSI982966 HIH982945:HIM982966 GYL982945:GYQ982966 GOP982945:GOU982966 GET982945:GEY982966 FUX982945:FVC982966 FLB982945:FLG982966 FBF982945:FBK982966 ERJ982945:ERO982966 EHN982945:EHS982966 DXR982945:DXW982966 DNV982945:DOA982966 DDZ982945:DEE982966 CUD982945:CUI982966 CKH982945:CKM982966 CAL982945:CAQ982966 BQP982945:BQU982966 BGT982945:BGY982966 AWX982945:AXC982966 ANB982945:ANG982966 ADF982945:ADK982966 TJ982945:TO982966 JN982945:JS982966 J982945:O982966 WVZ917409:WWE917430 WMD917409:WMI917430 WCH917409:WCM917430 VSL917409:VSQ917430 VIP917409:VIU917430 UYT917409:UYY917430 UOX917409:UPC917430 UFB917409:UFG917430 TVF917409:TVK917430 TLJ917409:TLO917430 TBN917409:TBS917430 SRR917409:SRW917430 SHV917409:SIA917430 RXZ917409:RYE917430 ROD917409:ROI917430 REH917409:REM917430 QUL917409:QUQ917430 QKP917409:QKU917430 QAT917409:QAY917430 PQX917409:PRC917430 PHB917409:PHG917430 OXF917409:OXK917430 ONJ917409:ONO917430 ODN917409:ODS917430 NTR917409:NTW917430 NJV917409:NKA917430 MZZ917409:NAE917430 MQD917409:MQI917430 MGH917409:MGM917430 LWL917409:LWQ917430 LMP917409:LMU917430 LCT917409:LCY917430 KSX917409:KTC917430 KJB917409:KJG917430 JZF917409:JZK917430 JPJ917409:JPO917430 JFN917409:JFS917430 IVR917409:IVW917430 ILV917409:IMA917430 IBZ917409:ICE917430 HSD917409:HSI917430 HIH917409:HIM917430 GYL917409:GYQ917430 GOP917409:GOU917430 GET917409:GEY917430 FUX917409:FVC917430 FLB917409:FLG917430 FBF917409:FBK917430 ERJ917409:ERO917430 EHN917409:EHS917430 DXR917409:DXW917430 DNV917409:DOA917430 DDZ917409:DEE917430 CUD917409:CUI917430 CKH917409:CKM917430 CAL917409:CAQ917430 BQP917409:BQU917430 BGT917409:BGY917430 AWX917409:AXC917430 ANB917409:ANG917430 ADF917409:ADK917430 TJ917409:TO917430 JN917409:JS917430 J917409:O917430 WVZ851873:WWE851894 WMD851873:WMI851894 WCH851873:WCM851894 VSL851873:VSQ851894 VIP851873:VIU851894 UYT851873:UYY851894 UOX851873:UPC851894 UFB851873:UFG851894 TVF851873:TVK851894 TLJ851873:TLO851894 TBN851873:TBS851894 SRR851873:SRW851894 SHV851873:SIA851894 RXZ851873:RYE851894 ROD851873:ROI851894 REH851873:REM851894 QUL851873:QUQ851894 QKP851873:QKU851894 QAT851873:QAY851894 PQX851873:PRC851894 PHB851873:PHG851894 OXF851873:OXK851894 ONJ851873:ONO851894 ODN851873:ODS851894 NTR851873:NTW851894 NJV851873:NKA851894 MZZ851873:NAE851894 MQD851873:MQI851894 MGH851873:MGM851894 LWL851873:LWQ851894 LMP851873:LMU851894 LCT851873:LCY851894 KSX851873:KTC851894 KJB851873:KJG851894 JZF851873:JZK851894 JPJ851873:JPO851894 JFN851873:JFS851894 IVR851873:IVW851894 ILV851873:IMA851894 IBZ851873:ICE851894 HSD851873:HSI851894 HIH851873:HIM851894 GYL851873:GYQ851894 GOP851873:GOU851894 GET851873:GEY851894 FUX851873:FVC851894 FLB851873:FLG851894 FBF851873:FBK851894 ERJ851873:ERO851894 EHN851873:EHS851894 DXR851873:DXW851894 DNV851873:DOA851894 DDZ851873:DEE851894 CUD851873:CUI851894 CKH851873:CKM851894 CAL851873:CAQ851894 BQP851873:BQU851894 BGT851873:BGY851894 AWX851873:AXC851894 ANB851873:ANG851894 ADF851873:ADK851894 TJ851873:TO851894 JN851873:JS851894 J851873:O851894 WVZ786337:WWE786358 WMD786337:WMI786358 WCH786337:WCM786358 VSL786337:VSQ786358 VIP786337:VIU786358 UYT786337:UYY786358 UOX786337:UPC786358 UFB786337:UFG786358 TVF786337:TVK786358 TLJ786337:TLO786358 TBN786337:TBS786358 SRR786337:SRW786358 SHV786337:SIA786358 RXZ786337:RYE786358 ROD786337:ROI786358 REH786337:REM786358 QUL786337:QUQ786358 QKP786337:QKU786358 QAT786337:QAY786358 PQX786337:PRC786358 PHB786337:PHG786358 OXF786337:OXK786358 ONJ786337:ONO786358 ODN786337:ODS786358 NTR786337:NTW786358 NJV786337:NKA786358 MZZ786337:NAE786358 MQD786337:MQI786358 MGH786337:MGM786358 LWL786337:LWQ786358 LMP786337:LMU786358 LCT786337:LCY786358 KSX786337:KTC786358 KJB786337:KJG786358 JZF786337:JZK786358 JPJ786337:JPO786358 JFN786337:JFS786358 IVR786337:IVW786358 ILV786337:IMA786358 IBZ786337:ICE786358 HSD786337:HSI786358 HIH786337:HIM786358 GYL786337:GYQ786358 GOP786337:GOU786358 GET786337:GEY786358 FUX786337:FVC786358 FLB786337:FLG786358 FBF786337:FBK786358 ERJ786337:ERO786358 EHN786337:EHS786358 DXR786337:DXW786358 DNV786337:DOA786358 DDZ786337:DEE786358 CUD786337:CUI786358 CKH786337:CKM786358 CAL786337:CAQ786358 BQP786337:BQU786358 BGT786337:BGY786358 AWX786337:AXC786358 ANB786337:ANG786358 ADF786337:ADK786358 TJ786337:TO786358 JN786337:JS786358 J786337:O786358 WVZ720801:WWE720822 WMD720801:WMI720822 WCH720801:WCM720822 VSL720801:VSQ720822 VIP720801:VIU720822 UYT720801:UYY720822 UOX720801:UPC720822 UFB720801:UFG720822 TVF720801:TVK720822 TLJ720801:TLO720822 TBN720801:TBS720822 SRR720801:SRW720822 SHV720801:SIA720822 RXZ720801:RYE720822 ROD720801:ROI720822 REH720801:REM720822 QUL720801:QUQ720822 QKP720801:QKU720822 QAT720801:QAY720822 PQX720801:PRC720822 PHB720801:PHG720822 OXF720801:OXK720822 ONJ720801:ONO720822 ODN720801:ODS720822 NTR720801:NTW720822 NJV720801:NKA720822 MZZ720801:NAE720822 MQD720801:MQI720822 MGH720801:MGM720822 LWL720801:LWQ720822 LMP720801:LMU720822 LCT720801:LCY720822 KSX720801:KTC720822 KJB720801:KJG720822 JZF720801:JZK720822 JPJ720801:JPO720822 JFN720801:JFS720822 IVR720801:IVW720822 ILV720801:IMA720822 IBZ720801:ICE720822 HSD720801:HSI720822 HIH720801:HIM720822 GYL720801:GYQ720822 GOP720801:GOU720822 GET720801:GEY720822 FUX720801:FVC720822 FLB720801:FLG720822 FBF720801:FBK720822 ERJ720801:ERO720822 EHN720801:EHS720822 DXR720801:DXW720822 DNV720801:DOA720822 DDZ720801:DEE720822 CUD720801:CUI720822 CKH720801:CKM720822 CAL720801:CAQ720822 BQP720801:BQU720822 BGT720801:BGY720822 AWX720801:AXC720822 ANB720801:ANG720822 ADF720801:ADK720822 TJ720801:TO720822 JN720801:JS720822 J720801:O720822 WVZ655265:WWE655286 WMD655265:WMI655286 WCH655265:WCM655286 VSL655265:VSQ655286 VIP655265:VIU655286 UYT655265:UYY655286 UOX655265:UPC655286 UFB655265:UFG655286 TVF655265:TVK655286 TLJ655265:TLO655286 TBN655265:TBS655286 SRR655265:SRW655286 SHV655265:SIA655286 RXZ655265:RYE655286 ROD655265:ROI655286 REH655265:REM655286 QUL655265:QUQ655286 QKP655265:QKU655286 QAT655265:QAY655286 PQX655265:PRC655286 PHB655265:PHG655286 OXF655265:OXK655286 ONJ655265:ONO655286 ODN655265:ODS655286 NTR655265:NTW655286 NJV655265:NKA655286 MZZ655265:NAE655286 MQD655265:MQI655286 MGH655265:MGM655286 LWL655265:LWQ655286 LMP655265:LMU655286 LCT655265:LCY655286 KSX655265:KTC655286 KJB655265:KJG655286 JZF655265:JZK655286 JPJ655265:JPO655286 JFN655265:JFS655286 IVR655265:IVW655286 ILV655265:IMA655286 IBZ655265:ICE655286 HSD655265:HSI655286 HIH655265:HIM655286 GYL655265:GYQ655286 GOP655265:GOU655286 GET655265:GEY655286 FUX655265:FVC655286 FLB655265:FLG655286 FBF655265:FBK655286 ERJ655265:ERO655286 EHN655265:EHS655286 DXR655265:DXW655286 DNV655265:DOA655286 DDZ655265:DEE655286 CUD655265:CUI655286 CKH655265:CKM655286 CAL655265:CAQ655286 BQP655265:BQU655286 BGT655265:BGY655286 AWX655265:AXC655286 ANB655265:ANG655286 ADF655265:ADK655286 TJ655265:TO655286 JN655265:JS655286 J655265:O655286 WVZ589729:WWE589750 WMD589729:WMI589750 WCH589729:WCM589750 VSL589729:VSQ589750 VIP589729:VIU589750 UYT589729:UYY589750 UOX589729:UPC589750 UFB589729:UFG589750 TVF589729:TVK589750 TLJ589729:TLO589750 TBN589729:TBS589750 SRR589729:SRW589750 SHV589729:SIA589750 RXZ589729:RYE589750 ROD589729:ROI589750 REH589729:REM589750 QUL589729:QUQ589750 QKP589729:QKU589750 QAT589729:QAY589750 PQX589729:PRC589750 PHB589729:PHG589750 OXF589729:OXK589750 ONJ589729:ONO589750 ODN589729:ODS589750 NTR589729:NTW589750 NJV589729:NKA589750 MZZ589729:NAE589750 MQD589729:MQI589750 MGH589729:MGM589750 LWL589729:LWQ589750 LMP589729:LMU589750 LCT589729:LCY589750 KSX589729:KTC589750 KJB589729:KJG589750 JZF589729:JZK589750 JPJ589729:JPO589750 JFN589729:JFS589750 IVR589729:IVW589750 ILV589729:IMA589750 IBZ589729:ICE589750 HSD589729:HSI589750 HIH589729:HIM589750 GYL589729:GYQ589750 GOP589729:GOU589750 GET589729:GEY589750 FUX589729:FVC589750 FLB589729:FLG589750 FBF589729:FBK589750 ERJ589729:ERO589750 EHN589729:EHS589750 DXR589729:DXW589750 DNV589729:DOA589750 DDZ589729:DEE589750 CUD589729:CUI589750 CKH589729:CKM589750 CAL589729:CAQ589750 BQP589729:BQU589750 BGT589729:BGY589750 AWX589729:AXC589750 ANB589729:ANG589750 ADF589729:ADK589750 TJ589729:TO589750 JN589729:JS589750 J589729:O589750 WVZ524193:WWE524214 WMD524193:WMI524214 WCH524193:WCM524214 VSL524193:VSQ524214 VIP524193:VIU524214 UYT524193:UYY524214 UOX524193:UPC524214 UFB524193:UFG524214 TVF524193:TVK524214 TLJ524193:TLO524214 TBN524193:TBS524214 SRR524193:SRW524214 SHV524193:SIA524214 RXZ524193:RYE524214 ROD524193:ROI524214 REH524193:REM524214 QUL524193:QUQ524214 QKP524193:QKU524214 QAT524193:QAY524214 PQX524193:PRC524214 PHB524193:PHG524214 OXF524193:OXK524214 ONJ524193:ONO524214 ODN524193:ODS524214 NTR524193:NTW524214 NJV524193:NKA524214 MZZ524193:NAE524214 MQD524193:MQI524214 MGH524193:MGM524214 LWL524193:LWQ524214 LMP524193:LMU524214 LCT524193:LCY524214 KSX524193:KTC524214 KJB524193:KJG524214 JZF524193:JZK524214 JPJ524193:JPO524214 JFN524193:JFS524214 IVR524193:IVW524214 ILV524193:IMA524214 IBZ524193:ICE524214 HSD524193:HSI524214 HIH524193:HIM524214 GYL524193:GYQ524214 GOP524193:GOU524214 GET524193:GEY524214 FUX524193:FVC524214 FLB524193:FLG524214 FBF524193:FBK524214 ERJ524193:ERO524214 EHN524193:EHS524214 DXR524193:DXW524214 DNV524193:DOA524214 DDZ524193:DEE524214 CUD524193:CUI524214 CKH524193:CKM524214 CAL524193:CAQ524214 BQP524193:BQU524214 BGT524193:BGY524214 AWX524193:AXC524214 ANB524193:ANG524214 ADF524193:ADK524214 TJ524193:TO524214 JN524193:JS524214 J524193:O524214 WVZ458657:WWE458678 WMD458657:WMI458678 WCH458657:WCM458678 VSL458657:VSQ458678 VIP458657:VIU458678 UYT458657:UYY458678 UOX458657:UPC458678 UFB458657:UFG458678 TVF458657:TVK458678 TLJ458657:TLO458678 TBN458657:TBS458678 SRR458657:SRW458678 SHV458657:SIA458678 RXZ458657:RYE458678 ROD458657:ROI458678 REH458657:REM458678 QUL458657:QUQ458678 QKP458657:QKU458678 QAT458657:QAY458678 PQX458657:PRC458678 PHB458657:PHG458678 OXF458657:OXK458678 ONJ458657:ONO458678 ODN458657:ODS458678 NTR458657:NTW458678 NJV458657:NKA458678 MZZ458657:NAE458678 MQD458657:MQI458678 MGH458657:MGM458678 LWL458657:LWQ458678 LMP458657:LMU458678 LCT458657:LCY458678 KSX458657:KTC458678 KJB458657:KJG458678 JZF458657:JZK458678 JPJ458657:JPO458678 JFN458657:JFS458678 IVR458657:IVW458678 ILV458657:IMA458678 IBZ458657:ICE458678 HSD458657:HSI458678 HIH458657:HIM458678 GYL458657:GYQ458678 GOP458657:GOU458678 GET458657:GEY458678 FUX458657:FVC458678 FLB458657:FLG458678 FBF458657:FBK458678 ERJ458657:ERO458678 EHN458657:EHS458678 DXR458657:DXW458678 DNV458657:DOA458678 DDZ458657:DEE458678 CUD458657:CUI458678 CKH458657:CKM458678 CAL458657:CAQ458678 BQP458657:BQU458678 BGT458657:BGY458678 AWX458657:AXC458678 ANB458657:ANG458678 ADF458657:ADK458678 TJ458657:TO458678 JN458657:JS458678 J458657:O458678 WVZ393121:WWE393142 WMD393121:WMI393142 WCH393121:WCM393142 VSL393121:VSQ393142 VIP393121:VIU393142 UYT393121:UYY393142 UOX393121:UPC393142 UFB393121:UFG393142 TVF393121:TVK393142 TLJ393121:TLO393142 TBN393121:TBS393142 SRR393121:SRW393142 SHV393121:SIA393142 RXZ393121:RYE393142 ROD393121:ROI393142 REH393121:REM393142 QUL393121:QUQ393142 QKP393121:QKU393142 QAT393121:QAY393142 PQX393121:PRC393142 PHB393121:PHG393142 OXF393121:OXK393142 ONJ393121:ONO393142 ODN393121:ODS393142 NTR393121:NTW393142 NJV393121:NKA393142 MZZ393121:NAE393142 MQD393121:MQI393142 MGH393121:MGM393142 LWL393121:LWQ393142 LMP393121:LMU393142 LCT393121:LCY393142 KSX393121:KTC393142 KJB393121:KJG393142 JZF393121:JZK393142 JPJ393121:JPO393142 JFN393121:JFS393142 IVR393121:IVW393142 ILV393121:IMA393142 IBZ393121:ICE393142 HSD393121:HSI393142 HIH393121:HIM393142 GYL393121:GYQ393142 GOP393121:GOU393142 GET393121:GEY393142 FUX393121:FVC393142 FLB393121:FLG393142 FBF393121:FBK393142 ERJ393121:ERO393142 EHN393121:EHS393142 DXR393121:DXW393142 DNV393121:DOA393142 DDZ393121:DEE393142 CUD393121:CUI393142 CKH393121:CKM393142 CAL393121:CAQ393142 BQP393121:BQU393142 BGT393121:BGY393142 AWX393121:AXC393142 ANB393121:ANG393142 ADF393121:ADK393142 TJ393121:TO393142 JN393121:JS393142 J393121:O393142 WVZ327585:WWE327606 WMD327585:WMI327606 WCH327585:WCM327606 VSL327585:VSQ327606 VIP327585:VIU327606 UYT327585:UYY327606 UOX327585:UPC327606 UFB327585:UFG327606 TVF327585:TVK327606 TLJ327585:TLO327606 TBN327585:TBS327606 SRR327585:SRW327606 SHV327585:SIA327606 RXZ327585:RYE327606 ROD327585:ROI327606 REH327585:REM327606 QUL327585:QUQ327606 QKP327585:QKU327606 QAT327585:QAY327606 PQX327585:PRC327606 PHB327585:PHG327606 OXF327585:OXK327606 ONJ327585:ONO327606 ODN327585:ODS327606 NTR327585:NTW327606 NJV327585:NKA327606 MZZ327585:NAE327606 MQD327585:MQI327606 MGH327585:MGM327606 LWL327585:LWQ327606 LMP327585:LMU327606 LCT327585:LCY327606 KSX327585:KTC327606 KJB327585:KJG327606 JZF327585:JZK327606 JPJ327585:JPO327606 JFN327585:JFS327606 IVR327585:IVW327606 ILV327585:IMA327606 IBZ327585:ICE327606 HSD327585:HSI327606 HIH327585:HIM327606 GYL327585:GYQ327606 GOP327585:GOU327606 GET327585:GEY327606 FUX327585:FVC327606 FLB327585:FLG327606 FBF327585:FBK327606 ERJ327585:ERO327606 EHN327585:EHS327606 DXR327585:DXW327606 DNV327585:DOA327606 DDZ327585:DEE327606 CUD327585:CUI327606 CKH327585:CKM327606 CAL327585:CAQ327606 BQP327585:BQU327606 BGT327585:BGY327606 AWX327585:AXC327606 ANB327585:ANG327606 ADF327585:ADK327606 TJ327585:TO327606 JN327585:JS327606 J327585:O327606 WVZ262049:WWE262070 WMD262049:WMI262070 WCH262049:WCM262070 VSL262049:VSQ262070 VIP262049:VIU262070 UYT262049:UYY262070 UOX262049:UPC262070 UFB262049:UFG262070 TVF262049:TVK262070 TLJ262049:TLO262070 TBN262049:TBS262070 SRR262049:SRW262070 SHV262049:SIA262070 RXZ262049:RYE262070 ROD262049:ROI262070 REH262049:REM262070 QUL262049:QUQ262070 QKP262049:QKU262070 QAT262049:QAY262070 PQX262049:PRC262070 PHB262049:PHG262070 OXF262049:OXK262070 ONJ262049:ONO262070 ODN262049:ODS262070 NTR262049:NTW262070 NJV262049:NKA262070 MZZ262049:NAE262070 MQD262049:MQI262070 MGH262049:MGM262070 LWL262049:LWQ262070 LMP262049:LMU262070 LCT262049:LCY262070 KSX262049:KTC262070 KJB262049:KJG262070 JZF262049:JZK262070 JPJ262049:JPO262070 JFN262049:JFS262070 IVR262049:IVW262070 ILV262049:IMA262070 IBZ262049:ICE262070 HSD262049:HSI262070 HIH262049:HIM262070 GYL262049:GYQ262070 GOP262049:GOU262070 GET262049:GEY262070 FUX262049:FVC262070 FLB262049:FLG262070 FBF262049:FBK262070 ERJ262049:ERO262070 EHN262049:EHS262070 DXR262049:DXW262070 DNV262049:DOA262070 DDZ262049:DEE262070 CUD262049:CUI262070 CKH262049:CKM262070 CAL262049:CAQ262070 BQP262049:BQU262070 BGT262049:BGY262070 AWX262049:AXC262070 ANB262049:ANG262070 ADF262049:ADK262070 TJ262049:TO262070 JN262049:JS262070 J262049:O262070 WVZ196513:WWE196534 WMD196513:WMI196534 WCH196513:WCM196534 VSL196513:VSQ196534 VIP196513:VIU196534 UYT196513:UYY196534 UOX196513:UPC196534 UFB196513:UFG196534 TVF196513:TVK196534 TLJ196513:TLO196534 TBN196513:TBS196534 SRR196513:SRW196534 SHV196513:SIA196534 RXZ196513:RYE196534 ROD196513:ROI196534 REH196513:REM196534 QUL196513:QUQ196534 QKP196513:QKU196534 QAT196513:QAY196534 PQX196513:PRC196534 PHB196513:PHG196534 OXF196513:OXK196534 ONJ196513:ONO196534 ODN196513:ODS196534 NTR196513:NTW196534 NJV196513:NKA196534 MZZ196513:NAE196534 MQD196513:MQI196534 MGH196513:MGM196534 LWL196513:LWQ196534 LMP196513:LMU196534 LCT196513:LCY196534 KSX196513:KTC196534 KJB196513:KJG196534 JZF196513:JZK196534 JPJ196513:JPO196534 JFN196513:JFS196534 IVR196513:IVW196534 ILV196513:IMA196534 IBZ196513:ICE196534 HSD196513:HSI196534 HIH196513:HIM196534 GYL196513:GYQ196534 GOP196513:GOU196534 GET196513:GEY196534 FUX196513:FVC196534 FLB196513:FLG196534 FBF196513:FBK196534 ERJ196513:ERO196534 EHN196513:EHS196534 DXR196513:DXW196534 DNV196513:DOA196534 DDZ196513:DEE196534 CUD196513:CUI196534 CKH196513:CKM196534 CAL196513:CAQ196534 BQP196513:BQU196534 BGT196513:BGY196534 AWX196513:AXC196534 ANB196513:ANG196534 ADF196513:ADK196534 TJ196513:TO196534 JN196513:JS196534 J196513:O196534 WVZ130977:WWE130998 WMD130977:WMI130998 WCH130977:WCM130998 VSL130977:VSQ130998 VIP130977:VIU130998 UYT130977:UYY130998 UOX130977:UPC130998 UFB130977:UFG130998 TVF130977:TVK130998 TLJ130977:TLO130998 TBN130977:TBS130998 SRR130977:SRW130998 SHV130977:SIA130998 RXZ130977:RYE130998 ROD130977:ROI130998 REH130977:REM130998 QUL130977:QUQ130998 QKP130977:QKU130998 QAT130977:QAY130998 PQX130977:PRC130998 PHB130977:PHG130998 OXF130977:OXK130998 ONJ130977:ONO130998 ODN130977:ODS130998 NTR130977:NTW130998 NJV130977:NKA130998 MZZ130977:NAE130998 MQD130977:MQI130998 MGH130977:MGM130998 LWL130977:LWQ130998 LMP130977:LMU130998 LCT130977:LCY130998 KSX130977:KTC130998 KJB130977:KJG130998 JZF130977:JZK130998 JPJ130977:JPO130998 JFN130977:JFS130998 IVR130977:IVW130998 ILV130977:IMA130998 IBZ130977:ICE130998 HSD130977:HSI130998 HIH130977:HIM130998 GYL130977:GYQ130998 GOP130977:GOU130998 GET130977:GEY130998 FUX130977:FVC130998 FLB130977:FLG130998 FBF130977:FBK130998 ERJ130977:ERO130998 EHN130977:EHS130998 DXR130977:DXW130998 DNV130977:DOA130998 DDZ130977:DEE130998 CUD130977:CUI130998 CKH130977:CKM130998 CAL130977:CAQ130998 BQP130977:BQU130998 BGT130977:BGY130998 AWX130977:AXC130998 ANB130977:ANG130998 ADF130977:ADK130998 TJ130977:TO130998 JN130977:JS130998 J130977:O130998 WVZ65441:WWE65462 WMD65441:WMI65462 WCH65441:WCM65462 VSL65441:VSQ65462 VIP65441:VIU65462 UYT65441:UYY65462 UOX65441:UPC65462 UFB65441:UFG65462 TVF65441:TVK65462 TLJ65441:TLO65462 TBN65441:TBS65462 SRR65441:SRW65462 SHV65441:SIA65462 RXZ65441:RYE65462 ROD65441:ROI65462 REH65441:REM65462 QUL65441:QUQ65462 QKP65441:QKU65462 QAT65441:QAY65462 PQX65441:PRC65462 PHB65441:PHG65462 OXF65441:OXK65462 ONJ65441:ONO65462 ODN65441:ODS65462 NTR65441:NTW65462 NJV65441:NKA65462 MZZ65441:NAE65462 MQD65441:MQI65462 MGH65441:MGM65462 LWL65441:LWQ65462 LMP65441:LMU65462 LCT65441:LCY65462 KSX65441:KTC65462 KJB65441:KJG65462 JZF65441:JZK65462 JPJ65441:JPO65462 JFN65441:JFS65462 IVR65441:IVW65462 ILV65441:IMA65462 IBZ65441:ICE65462 HSD65441:HSI65462 HIH65441:HIM65462 GYL65441:GYQ65462 GOP65441:GOU65462 GET65441:GEY65462 FUX65441:FVC65462 FLB65441:FLG65462 FBF65441:FBK65462 ERJ65441:ERO65462 EHN65441:EHS65462 DXR65441:DXW65462 DNV65441:DOA65462 DDZ65441:DEE65462 CUD65441:CUI65462 CKH65441:CKM65462 CAL65441:CAQ65462 BQP65441:BQU65462 BGT65441:BGY65462 AWX65441:AXC65462 ANB65441:ANG65462 ADF65441:ADK65462 TJ65441:TO65462 JN65441:JS65462 J65441:O65462 WWN982945:WWU982966 WMR982945:WMY982966 WCV982945:WDC982966 VSZ982945:VTG982966 VJD982945:VJK982966 UZH982945:UZO982966 UPL982945:UPS982966 UFP982945:UFW982966 TVT982945:TWA982966 TLX982945:TME982966 TCB982945:TCI982966 SSF982945:SSM982966 SIJ982945:SIQ982966 RYN982945:RYU982966 ROR982945:ROY982966 REV982945:RFC982966 QUZ982945:QVG982966 QLD982945:QLK982966 QBH982945:QBO982966 PRL982945:PRS982966 PHP982945:PHW982966 OXT982945:OYA982966 ONX982945:OOE982966 OEB982945:OEI982966 NUF982945:NUM982966 NKJ982945:NKQ982966 NAN982945:NAU982966 MQR982945:MQY982966 MGV982945:MHC982966 LWZ982945:LXG982966 LND982945:LNK982966 LDH982945:LDO982966 KTL982945:KTS982966 KJP982945:KJW982966 JZT982945:KAA982966 JPX982945:JQE982966 JGB982945:JGI982966 IWF982945:IWM982966 IMJ982945:IMQ982966 ICN982945:ICU982966 HSR982945:HSY982966 HIV982945:HJC982966 GYZ982945:GZG982966 GPD982945:GPK982966 GFH982945:GFO982966 FVL982945:FVS982966 FLP982945:FLW982966 FBT982945:FCA982966 ERX982945:ESE982966 EIB982945:EII982966 DYF982945:DYM982966 DOJ982945:DOQ982966 DEN982945:DEU982966 CUR982945:CUY982966 CKV982945:CLC982966 CAZ982945:CBG982966 BRD982945:BRK982966 BHH982945:BHO982966 AXL982945:AXS982966 ANP982945:ANW982966 ADT982945:AEA982966 TX982945:UE982966 KB982945:KI982966 X982945:AE982966 WWN917409:WWU917430 WMR917409:WMY917430 WCV917409:WDC917430 VSZ917409:VTG917430 VJD917409:VJK917430 UZH917409:UZO917430 UPL917409:UPS917430 UFP917409:UFW917430 TVT917409:TWA917430 TLX917409:TME917430 TCB917409:TCI917430 SSF917409:SSM917430 SIJ917409:SIQ917430 RYN917409:RYU917430 ROR917409:ROY917430 REV917409:RFC917430 QUZ917409:QVG917430 QLD917409:QLK917430 QBH917409:QBO917430 PRL917409:PRS917430 PHP917409:PHW917430 OXT917409:OYA917430 ONX917409:OOE917430 OEB917409:OEI917430 NUF917409:NUM917430 NKJ917409:NKQ917430 NAN917409:NAU917430 MQR917409:MQY917430 MGV917409:MHC917430 LWZ917409:LXG917430 LND917409:LNK917430 LDH917409:LDO917430 KTL917409:KTS917430 KJP917409:KJW917430 JZT917409:KAA917430 JPX917409:JQE917430 JGB917409:JGI917430 IWF917409:IWM917430 IMJ917409:IMQ917430 ICN917409:ICU917430 HSR917409:HSY917430 HIV917409:HJC917430 GYZ917409:GZG917430 GPD917409:GPK917430 GFH917409:GFO917430 FVL917409:FVS917430 FLP917409:FLW917430 FBT917409:FCA917430 ERX917409:ESE917430 EIB917409:EII917430 DYF917409:DYM917430 DOJ917409:DOQ917430 DEN917409:DEU917430 CUR917409:CUY917430 CKV917409:CLC917430 CAZ917409:CBG917430 BRD917409:BRK917430 BHH917409:BHO917430 AXL917409:AXS917430 ANP917409:ANW917430 ADT917409:AEA917430 TX917409:UE917430 KB917409:KI917430 X917409:AE917430 WWN851873:WWU851894 WMR851873:WMY851894 WCV851873:WDC851894 VSZ851873:VTG851894 VJD851873:VJK851894 UZH851873:UZO851894 UPL851873:UPS851894 UFP851873:UFW851894 TVT851873:TWA851894 TLX851873:TME851894 TCB851873:TCI851894 SSF851873:SSM851894 SIJ851873:SIQ851894 RYN851873:RYU851894 ROR851873:ROY851894 REV851873:RFC851894 QUZ851873:QVG851894 QLD851873:QLK851894 QBH851873:QBO851894 PRL851873:PRS851894 PHP851873:PHW851894 OXT851873:OYA851894 ONX851873:OOE851894 OEB851873:OEI851894 NUF851873:NUM851894 NKJ851873:NKQ851894 NAN851873:NAU851894 MQR851873:MQY851894 MGV851873:MHC851894 LWZ851873:LXG851894 LND851873:LNK851894 LDH851873:LDO851894 KTL851873:KTS851894 KJP851873:KJW851894 JZT851873:KAA851894 JPX851873:JQE851894 JGB851873:JGI851894 IWF851873:IWM851894 IMJ851873:IMQ851894 ICN851873:ICU851894 HSR851873:HSY851894 HIV851873:HJC851894 GYZ851873:GZG851894 GPD851873:GPK851894 GFH851873:GFO851894 FVL851873:FVS851894 FLP851873:FLW851894 FBT851873:FCA851894 ERX851873:ESE851894 EIB851873:EII851894 DYF851873:DYM851894 DOJ851873:DOQ851894 DEN851873:DEU851894 CUR851873:CUY851894 CKV851873:CLC851894 CAZ851873:CBG851894 BRD851873:BRK851894 BHH851873:BHO851894 AXL851873:AXS851894 ANP851873:ANW851894 ADT851873:AEA851894 TX851873:UE851894 KB851873:KI851894 X851873:AE851894 WWN786337:WWU786358 WMR786337:WMY786358 WCV786337:WDC786358 VSZ786337:VTG786358 VJD786337:VJK786358 UZH786337:UZO786358 UPL786337:UPS786358 UFP786337:UFW786358 TVT786337:TWA786358 TLX786337:TME786358 TCB786337:TCI786358 SSF786337:SSM786358 SIJ786337:SIQ786358 RYN786337:RYU786358 ROR786337:ROY786358 REV786337:RFC786358 QUZ786337:QVG786358 QLD786337:QLK786358 QBH786337:QBO786358 PRL786337:PRS786358 PHP786337:PHW786358 OXT786337:OYA786358 ONX786337:OOE786358 OEB786337:OEI786358 NUF786337:NUM786358 NKJ786337:NKQ786358 NAN786337:NAU786358 MQR786337:MQY786358 MGV786337:MHC786358 LWZ786337:LXG786358 LND786337:LNK786358 LDH786337:LDO786358 KTL786337:KTS786358 KJP786337:KJW786358 JZT786337:KAA786358 JPX786337:JQE786358 JGB786337:JGI786358 IWF786337:IWM786358 IMJ786337:IMQ786358 ICN786337:ICU786358 HSR786337:HSY786358 HIV786337:HJC786358 GYZ786337:GZG786358 GPD786337:GPK786358 GFH786337:GFO786358 FVL786337:FVS786358 FLP786337:FLW786358 FBT786337:FCA786358 ERX786337:ESE786358 EIB786337:EII786358 DYF786337:DYM786358 DOJ786337:DOQ786358 DEN786337:DEU786358 CUR786337:CUY786358 CKV786337:CLC786358 CAZ786337:CBG786358 BRD786337:BRK786358 BHH786337:BHO786358 AXL786337:AXS786358 ANP786337:ANW786358 ADT786337:AEA786358 TX786337:UE786358 KB786337:KI786358 X786337:AE786358 WWN720801:WWU720822 WMR720801:WMY720822 WCV720801:WDC720822 VSZ720801:VTG720822 VJD720801:VJK720822 UZH720801:UZO720822 UPL720801:UPS720822 UFP720801:UFW720822 TVT720801:TWA720822 TLX720801:TME720822 TCB720801:TCI720822 SSF720801:SSM720822 SIJ720801:SIQ720822 RYN720801:RYU720822 ROR720801:ROY720822 REV720801:RFC720822 QUZ720801:QVG720822 QLD720801:QLK720822 QBH720801:QBO720822 PRL720801:PRS720822 PHP720801:PHW720822 OXT720801:OYA720822 ONX720801:OOE720822 OEB720801:OEI720822 NUF720801:NUM720822 NKJ720801:NKQ720822 NAN720801:NAU720822 MQR720801:MQY720822 MGV720801:MHC720822 LWZ720801:LXG720822 LND720801:LNK720822 LDH720801:LDO720822 KTL720801:KTS720822 KJP720801:KJW720822 JZT720801:KAA720822 JPX720801:JQE720822 JGB720801:JGI720822 IWF720801:IWM720822 IMJ720801:IMQ720822 ICN720801:ICU720822 HSR720801:HSY720822 HIV720801:HJC720822 GYZ720801:GZG720822 GPD720801:GPK720822 GFH720801:GFO720822 FVL720801:FVS720822 FLP720801:FLW720822 FBT720801:FCA720822 ERX720801:ESE720822 EIB720801:EII720822 DYF720801:DYM720822 DOJ720801:DOQ720822 DEN720801:DEU720822 CUR720801:CUY720822 CKV720801:CLC720822 CAZ720801:CBG720822 BRD720801:BRK720822 BHH720801:BHO720822 AXL720801:AXS720822 ANP720801:ANW720822 ADT720801:AEA720822 TX720801:UE720822 KB720801:KI720822 X720801:AE720822 WWN655265:WWU655286 WMR655265:WMY655286 WCV655265:WDC655286 VSZ655265:VTG655286 VJD655265:VJK655286 UZH655265:UZO655286 UPL655265:UPS655286 UFP655265:UFW655286 TVT655265:TWA655286 TLX655265:TME655286 TCB655265:TCI655286 SSF655265:SSM655286 SIJ655265:SIQ655286 RYN655265:RYU655286 ROR655265:ROY655286 REV655265:RFC655286 QUZ655265:QVG655286 QLD655265:QLK655286 QBH655265:QBO655286 PRL655265:PRS655286 PHP655265:PHW655286 OXT655265:OYA655286 ONX655265:OOE655286 OEB655265:OEI655286 NUF655265:NUM655286 NKJ655265:NKQ655286 NAN655265:NAU655286 MQR655265:MQY655286 MGV655265:MHC655286 LWZ655265:LXG655286 LND655265:LNK655286 LDH655265:LDO655286 KTL655265:KTS655286 KJP655265:KJW655286 JZT655265:KAA655286 JPX655265:JQE655286 JGB655265:JGI655286 IWF655265:IWM655286 IMJ655265:IMQ655286 ICN655265:ICU655286 HSR655265:HSY655286 HIV655265:HJC655286 GYZ655265:GZG655286 GPD655265:GPK655286 GFH655265:GFO655286 FVL655265:FVS655286 FLP655265:FLW655286 FBT655265:FCA655286 ERX655265:ESE655286 EIB655265:EII655286 DYF655265:DYM655286 DOJ655265:DOQ655286 DEN655265:DEU655286 CUR655265:CUY655286 CKV655265:CLC655286 CAZ655265:CBG655286 BRD655265:BRK655286 BHH655265:BHO655286 AXL655265:AXS655286 ANP655265:ANW655286 ADT655265:AEA655286 TX655265:UE655286 KB655265:KI655286 X655265:AE655286 WWN589729:WWU589750 WMR589729:WMY589750 WCV589729:WDC589750 VSZ589729:VTG589750 VJD589729:VJK589750 UZH589729:UZO589750 UPL589729:UPS589750 UFP589729:UFW589750 TVT589729:TWA589750 TLX589729:TME589750 TCB589729:TCI589750 SSF589729:SSM589750 SIJ589729:SIQ589750 RYN589729:RYU589750 ROR589729:ROY589750 REV589729:RFC589750 QUZ589729:QVG589750 QLD589729:QLK589750 QBH589729:QBO589750 PRL589729:PRS589750 PHP589729:PHW589750 OXT589729:OYA589750 ONX589729:OOE589750 OEB589729:OEI589750 NUF589729:NUM589750 NKJ589729:NKQ589750 NAN589729:NAU589750 MQR589729:MQY589750 MGV589729:MHC589750 LWZ589729:LXG589750 LND589729:LNK589750 LDH589729:LDO589750 KTL589729:KTS589750 KJP589729:KJW589750 JZT589729:KAA589750 JPX589729:JQE589750 JGB589729:JGI589750 IWF589729:IWM589750 IMJ589729:IMQ589750 ICN589729:ICU589750 HSR589729:HSY589750 HIV589729:HJC589750 GYZ589729:GZG589750 GPD589729:GPK589750 GFH589729:GFO589750 FVL589729:FVS589750 FLP589729:FLW589750 FBT589729:FCA589750 ERX589729:ESE589750 EIB589729:EII589750 DYF589729:DYM589750 DOJ589729:DOQ589750 DEN589729:DEU589750 CUR589729:CUY589750 CKV589729:CLC589750 CAZ589729:CBG589750 BRD589729:BRK589750 BHH589729:BHO589750 AXL589729:AXS589750 ANP589729:ANW589750 ADT589729:AEA589750 TX589729:UE589750 KB589729:KI589750 X589729:AE589750 WWN524193:WWU524214 WMR524193:WMY524214 WCV524193:WDC524214 VSZ524193:VTG524214 VJD524193:VJK524214 UZH524193:UZO524214 UPL524193:UPS524214 UFP524193:UFW524214 TVT524193:TWA524214 TLX524193:TME524214 TCB524193:TCI524214 SSF524193:SSM524214 SIJ524193:SIQ524214 RYN524193:RYU524214 ROR524193:ROY524214 REV524193:RFC524214 QUZ524193:QVG524214 QLD524193:QLK524214 QBH524193:QBO524214 PRL524193:PRS524214 PHP524193:PHW524214 OXT524193:OYA524214 ONX524193:OOE524214 OEB524193:OEI524214 NUF524193:NUM524214 NKJ524193:NKQ524214 NAN524193:NAU524214 MQR524193:MQY524214 MGV524193:MHC524214 LWZ524193:LXG524214 LND524193:LNK524214 LDH524193:LDO524214 KTL524193:KTS524214 KJP524193:KJW524214 JZT524193:KAA524214 JPX524193:JQE524214 JGB524193:JGI524214 IWF524193:IWM524214 IMJ524193:IMQ524214 ICN524193:ICU524214 HSR524193:HSY524214 HIV524193:HJC524214 GYZ524193:GZG524214 GPD524193:GPK524214 GFH524193:GFO524214 FVL524193:FVS524214 FLP524193:FLW524214 FBT524193:FCA524214 ERX524193:ESE524214 EIB524193:EII524214 DYF524193:DYM524214 DOJ524193:DOQ524214 DEN524193:DEU524214 CUR524193:CUY524214 CKV524193:CLC524214 CAZ524193:CBG524214 BRD524193:BRK524214 BHH524193:BHO524214 AXL524193:AXS524214 ANP524193:ANW524214 ADT524193:AEA524214 TX524193:UE524214 KB524193:KI524214 X524193:AE524214 WWN458657:WWU458678 WMR458657:WMY458678 WCV458657:WDC458678 VSZ458657:VTG458678 VJD458657:VJK458678 UZH458657:UZO458678 UPL458657:UPS458678 UFP458657:UFW458678 TVT458657:TWA458678 TLX458657:TME458678 TCB458657:TCI458678 SSF458657:SSM458678 SIJ458657:SIQ458678 RYN458657:RYU458678 ROR458657:ROY458678 REV458657:RFC458678 QUZ458657:QVG458678 QLD458657:QLK458678 QBH458657:QBO458678 PRL458657:PRS458678 PHP458657:PHW458678 OXT458657:OYA458678 ONX458657:OOE458678 OEB458657:OEI458678 NUF458657:NUM458678 NKJ458657:NKQ458678 NAN458657:NAU458678 MQR458657:MQY458678 MGV458657:MHC458678 LWZ458657:LXG458678 LND458657:LNK458678 LDH458657:LDO458678 KTL458657:KTS458678 KJP458657:KJW458678 JZT458657:KAA458678 JPX458657:JQE458678 JGB458657:JGI458678 IWF458657:IWM458678 IMJ458657:IMQ458678 ICN458657:ICU458678 HSR458657:HSY458678 HIV458657:HJC458678 GYZ458657:GZG458678 GPD458657:GPK458678 GFH458657:GFO458678 FVL458657:FVS458678 FLP458657:FLW458678 FBT458657:FCA458678 ERX458657:ESE458678 EIB458657:EII458678 DYF458657:DYM458678 DOJ458657:DOQ458678 DEN458657:DEU458678 CUR458657:CUY458678 CKV458657:CLC458678 CAZ458657:CBG458678 BRD458657:BRK458678 BHH458657:BHO458678 AXL458657:AXS458678 ANP458657:ANW458678 ADT458657:AEA458678 TX458657:UE458678 KB458657:KI458678 X458657:AE458678 WWN393121:WWU393142 WMR393121:WMY393142 WCV393121:WDC393142 VSZ393121:VTG393142 VJD393121:VJK393142 UZH393121:UZO393142 UPL393121:UPS393142 UFP393121:UFW393142 TVT393121:TWA393142 TLX393121:TME393142 TCB393121:TCI393142 SSF393121:SSM393142 SIJ393121:SIQ393142 RYN393121:RYU393142 ROR393121:ROY393142 REV393121:RFC393142 QUZ393121:QVG393142 QLD393121:QLK393142 QBH393121:QBO393142 PRL393121:PRS393142 PHP393121:PHW393142 OXT393121:OYA393142 ONX393121:OOE393142 OEB393121:OEI393142 NUF393121:NUM393142 NKJ393121:NKQ393142 NAN393121:NAU393142 MQR393121:MQY393142 MGV393121:MHC393142 LWZ393121:LXG393142 LND393121:LNK393142 LDH393121:LDO393142 KTL393121:KTS393142 KJP393121:KJW393142 JZT393121:KAA393142 JPX393121:JQE393142 JGB393121:JGI393142 IWF393121:IWM393142 IMJ393121:IMQ393142 ICN393121:ICU393142 HSR393121:HSY393142 HIV393121:HJC393142 GYZ393121:GZG393142 GPD393121:GPK393142 GFH393121:GFO393142 FVL393121:FVS393142 FLP393121:FLW393142 FBT393121:FCA393142 ERX393121:ESE393142 EIB393121:EII393142 DYF393121:DYM393142 DOJ393121:DOQ393142 DEN393121:DEU393142 CUR393121:CUY393142 CKV393121:CLC393142 CAZ393121:CBG393142 BRD393121:BRK393142 BHH393121:BHO393142 AXL393121:AXS393142 ANP393121:ANW393142 ADT393121:AEA393142 TX393121:UE393142 KB393121:KI393142 X393121:AE393142 WWN327585:WWU327606 WMR327585:WMY327606 WCV327585:WDC327606 VSZ327585:VTG327606 VJD327585:VJK327606 UZH327585:UZO327606 UPL327585:UPS327606 UFP327585:UFW327606 TVT327585:TWA327606 TLX327585:TME327606 TCB327585:TCI327606 SSF327585:SSM327606 SIJ327585:SIQ327606 RYN327585:RYU327606 ROR327585:ROY327606 REV327585:RFC327606 QUZ327585:QVG327606 QLD327585:QLK327606 QBH327585:QBO327606 PRL327585:PRS327606 PHP327585:PHW327606 OXT327585:OYA327606 ONX327585:OOE327606 OEB327585:OEI327606 NUF327585:NUM327606 NKJ327585:NKQ327606 NAN327585:NAU327606 MQR327585:MQY327606 MGV327585:MHC327606 LWZ327585:LXG327606 LND327585:LNK327606 LDH327585:LDO327606 KTL327585:KTS327606 KJP327585:KJW327606 JZT327585:KAA327606 JPX327585:JQE327606 JGB327585:JGI327606 IWF327585:IWM327606 IMJ327585:IMQ327606 ICN327585:ICU327606 HSR327585:HSY327606 HIV327585:HJC327606 GYZ327585:GZG327606 GPD327585:GPK327606 GFH327585:GFO327606 FVL327585:FVS327606 FLP327585:FLW327606 FBT327585:FCA327606 ERX327585:ESE327606 EIB327585:EII327606 DYF327585:DYM327606 DOJ327585:DOQ327606 DEN327585:DEU327606 CUR327585:CUY327606 CKV327585:CLC327606 CAZ327585:CBG327606 BRD327585:BRK327606 BHH327585:BHO327606 AXL327585:AXS327606 ANP327585:ANW327606 ADT327585:AEA327606 TX327585:UE327606 KB327585:KI327606 X327585:AE327606 WWN262049:WWU262070 WMR262049:WMY262070 WCV262049:WDC262070 VSZ262049:VTG262070 VJD262049:VJK262070 UZH262049:UZO262070 UPL262049:UPS262070 UFP262049:UFW262070 TVT262049:TWA262070 TLX262049:TME262070 TCB262049:TCI262070 SSF262049:SSM262070 SIJ262049:SIQ262070 RYN262049:RYU262070 ROR262049:ROY262070 REV262049:RFC262070 QUZ262049:QVG262070 QLD262049:QLK262070 QBH262049:QBO262070 PRL262049:PRS262070 PHP262049:PHW262070 OXT262049:OYA262070 ONX262049:OOE262070 OEB262049:OEI262070 NUF262049:NUM262070 NKJ262049:NKQ262070 NAN262049:NAU262070 MQR262049:MQY262070 MGV262049:MHC262070 LWZ262049:LXG262070 LND262049:LNK262070 LDH262049:LDO262070 KTL262049:KTS262070 KJP262049:KJW262070 JZT262049:KAA262070 JPX262049:JQE262070 JGB262049:JGI262070 IWF262049:IWM262070 IMJ262049:IMQ262070 ICN262049:ICU262070 HSR262049:HSY262070 HIV262049:HJC262070 GYZ262049:GZG262070 GPD262049:GPK262070 GFH262049:GFO262070 FVL262049:FVS262070 FLP262049:FLW262070 FBT262049:FCA262070 ERX262049:ESE262070 EIB262049:EII262070 DYF262049:DYM262070 DOJ262049:DOQ262070 DEN262049:DEU262070 CUR262049:CUY262070 CKV262049:CLC262070 CAZ262049:CBG262070 BRD262049:BRK262070 BHH262049:BHO262070 AXL262049:AXS262070 ANP262049:ANW262070 ADT262049:AEA262070 TX262049:UE262070 KB262049:KI262070 X262049:AE262070 WWN196513:WWU196534 WMR196513:WMY196534 WCV196513:WDC196534 VSZ196513:VTG196534 VJD196513:VJK196534 UZH196513:UZO196534 UPL196513:UPS196534 UFP196513:UFW196534 TVT196513:TWA196534 TLX196513:TME196534 TCB196513:TCI196534 SSF196513:SSM196534 SIJ196513:SIQ196534 RYN196513:RYU196534 ROR196513:ROY196534 REV196513:RFC196534 QUZ196513:QVG196534 QLD196513:QLK196534 QBH196513:QBO196534 PRL196513:PRS196534 PHP196513:PHW196534 OXT196513:OYA196534 ONX196513:OOE196534 OEB196513:OEI196534 NUF196513:NUM196534 NKJ196513:NKQ196534 NAN196513:NAU196534 MQR196513:MQY196534 MGV196513:MHC196534 LWZ196513:LXG196534 LND196513:LNK196534 LDH196513:LDO196534 KTL196513:KTS196534 KJP196513:KJW196534 JZT196513:KAA196534 JPX196513:JQE196534 JGB196513:JGI196534 IWF196513:IWM196534 IMJ196513:IMQ196534 ICN196513:ICU196534 HSR196513:HSY196534 HIV196513:HJC196534 GYZ196513:GZG196534 GPD196513:GPK196534 GFH196513:GFO196534 FVL196513:FVS196534 FLP196513:FLW196534 FBT196513:FCA196534 ERX196513:ESE196534 EIB196513:EII196534 DYF196513:DYM196534 DOJ196513:DOQ196534 DEN196513:DEU196534 CUR196513:CUY196534 CKV196513:CLC196534 CAZ196513:CBG196534 BRD196513:BRK196534 BHH196513:BHO196534 AXL196513:AXS196534 ANP196513:ANW196534 ADT196513:AEA196534 TX196513:UE196534 KB196513:KI196534 X196513:AE196534 WWN130977:WWU130998 WMR130977:WMY130998 WCV130977:WDC130998 VSZ130977:VTG130998 VJD130977:VJK130998 UZH130977:UZO130998 UPL130977:UPS130998 UFP130977:UFW130998 TVT130977:TWA130998 TLX130977:TME130998 TCB130977:TCI130998 SSF130977:SSM130998 SIJ130977:SIQ130998 RYN130977:RYU130998 ROR130977:ROY130998 REV130977:RFC130998 QUZ130977:QVG130998 QLD130977:QLK130998 QBH130977:QBO130998 PRL130977:PRS130998 PHP130977:PHW130998 OXT130977:OYA130998 ONX130977:OOE130998 OEB130977:OEI130998 NUF130977:NUM130998 NKJ130977:NKQ130998 NAN130977:NAU130998 MQR130977:MQY130998 MGV130977:MHC130998 LWZ130977:LXG130998 LND130977:LNK130998 LDH130977:LDO130998 KTL130977:KTS130998 KJP130977:KJW130998 JZT130977:KAA130998 JPX130977:JQE130998 JGB130977:JGI130998 IWF130977:IWM130998 IMJ130977:IMQ130998 ICN130977:ICU130998 HSR130977:HSY130998 HIV130977:HJC130998 GYZ130977:GZG130998 GPD130977:GPK130998 GFH130977:GFO130998 FVL130977:FVS130998 FLP130977:FLW130998 FBT130977:FCA130998 ERX130977:ESE130998 EIB130977:EII130998 DYF130977:DYM130998 DOJ130977:DOQ130998 DEN130977:DEU130998 CUR130977:CUY130998 CKV130977:CLC130998 CAZ130977:CBG130998 BRD130977:BRK130998 BHH130977:BHO130998 AXL130977:AXS130998 ANP130977:ANW130998 ADT130977:AEA130998 TX130977:UE130998 KB130977:KI130998 X130977:AE130998 WWN65441:WWU65462 WMR65441:WMY65462 WCV65441:WDC65462 VSZ65441:VTG65462 VJD65441:VJK65462 UZH65441:UZO65462 UPL65441:UPS65462 UFP65441:UFW65462 TVT65441:TWA65462 TLX65441:TME65462 TCB65441:TCI65462 SSF65441:SSM65462 SIJ65441:SIQ65462 RYN65441:RYU65462 ROR65441:ROY65462 REV65441:RFC65462 QUZ65441:QVG65462 QLD65441:QLK65462 QBH65441:QBO65462 PRL65441:PRS65462 PHP65441:PHW65462 OXT65441:OYA65462 ONX65441:OOE65462 OEB65441:OEI65462 NUF65441:NUM65462 NKJ65441:NKQ65462 NAN65441:NAU65462 MQR65441:MQY65462 MGV65441:MHC65462 LWZ65441:LXG65462 LND65441:LNK65462 LDH65441:LDO65462 KTL65441:KTS65462 KJP65441:KJW65462 JZT65441:KAA65462 JPX65441:JQE65462 JGB65441:JGI65462 IWF65441:IWM65462 IMJ65441:IMQ65462 ICN65441:ICU65462 HSR65441:HSY65462 HIV65441:HJC65462 GYZ65441:GZG65462 GPD65441:GPK65462 GFH65441:GFO65462 FVL65441:FVS65462 FLP65441:FLW65462 FBT65441:FCA65462 ERX65441:ESE65462 EIB65441:EII65462 DYF65441:DYM65462 DOJ65441:DOQ65462 DEN65441:DEU65462 CUR65441:CUY65462 CKV65441:CLC65462 CAZ65441:CBG65462 BRD65441:BRK65462 BHH65441:BHO65462 AXL65441:AXS65462 ANP65441:ANW65462 ADT65441:AEA65462 TX65441:UE65462 KB65441:KI65462 X65441:AE65462" xr:uid="{CCAD837C-C618-4984-8462-32A1962C4B95}">
      <formula1>#REF!</formula1>
    </dataValidation>
  </dataValidations>
  <pageMargins left="0.7" right="0.7" top="0.75" bottom="0.75" header="0.3" footer="0.3"/>
  <pageSetup paperSize="9" scale="33" fitToHeight="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表紙</vt:lpstr>
      <vt:lpstr>変更来歴</vt:lpstr>
      <vt:lpstr>化学物質データ画面(日英併記)</vt:lpstr>
      <vt:lpstr>画面項目</vt:lpstr>
      <vt:lpstr>処理詳細</vt:lpstr>
      <vt:lpstr>'化学物質データ画面(日英併記)'!Print_Area</vt:lpstr>
      <vt:lpstr>画面項目!Print_Area</vt:lpstr>
      <vt:lpstr>処理詳細!Print_Area</vt:lpstr>
      <vt:lpstr>表紙!Print_Area</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kenmotsu</dc:creator>
  <cp:lastModifiedBy>アクティビティ アメージング</cp:lastModifiedBy>
  <cp:lastPrinted>2021-03-22T08:18:14Z</cp:lastPrinted>
  <dcterms:created xsi:type="dcterms:W3CDTF">2016-02-08T08:47:20Z</dcterms:created>
  <dcterms:modified xsi:type="dcterms:W3CDTF">2026-05-21T07:16:26Z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a0e77a3f-1e47-464d-ae6f-7268240382e6</vt:lpwstr>
  </property>
</Properties>
</file>