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20_設計書\インフラ\"/>
    </mc:Choice>
  </mc:AlternateContent>
  <xr:revisionPtr revIDLastSave="0" documentId="13_ncr:1_{34E290EC-FDA2-4AF4-825F-68F26CA536B1}" xr6:coauthVersionLast="47" xr6:coauthVersionMax="47" xr10:uidLastSave="{00000000-0000-0000-0000-000000000000}"/>
  <bookViews>
    <workbookView xWindow="5685" yWindow="450" windowWidth="21780" windowHeight="12555" tabRatio="859" activeTab="2" xr2:uid="{00000000-000D-0000-FFFF-FFFF00000000}"/>
  </bookViews>
  <sheets>
    <sheet name="表紙" sheetId="2" r:id="rId1"/>
    <sheet name="変更来歴" sheetId="3" r:id="rId2"/>
    <sheet name="パラメータ" sheetId="82" r:id="rId3"/>
    <sheet name="依頼内容" sheetId="83" r:id="rId4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1" i="3" l="1"/>
  <c r="AT3" i="3"/>
  <c r="B22" i="2" l="1"/>
</calcChain>
</file>

<file path=xl/sharedStrings.xml><?xml version="1.0" encoding="utf-8"?>
<sst xmlns="http://schemas.openxmlformats.org/spreadsheetml/2006/main" count="77" uniqueCount="71">
  <si>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</si>
  <si>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</si>
  <si>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</si>
  <si>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</si>
  <si>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</si>
  <si>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</si>
  <si>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</si>
  <si>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</si>
  <si>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</si>
  <si>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</si>
  <si>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</si>
  <si>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</si>
  <si>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</si>
  <si>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</si>
  <si>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</si>
  <si>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</si>
  <si>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</si>
  <si>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</si>
  <si>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</si>
  <si>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</si>
  <si>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</si>
  <si>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</si>
  <si>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</si>
  <si>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</si>
  <si>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</si>
  <si>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</si>
  <si>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</si>
  <si>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>IMWF-53</t>
    <phoneticPr fontId="49"/>
  </si>
  <si>
    <t>古竹</t>
    <rPh sb="0" eb="2">
      <t>フルタケ</t>
    </rPh>
    <phoneticPr fontId="49"/>
  </si>
  <si>
    <t>新環境証明証システム移行</t>
    <rPh sb="0" eb="3">
      <t>シンカンキョウ</t>
    </rPh>
    <rPh sb="3" eb="6">
      <t>ショウメイショウ</t>
    </rPh>
    <rPh sb="10" eb="12">
      <t>イコウ</t>
    </rPh>
    <phoneticPr fontId="49"/>
  </si>
  <si>
    <t>変更内容</t>
    <rPh sb="0" eb="4">
      <t>ヘンコウナイヨウ</t>
    </rPh>
    <phoneticPr fontId="11"/>
  </si>
  <si>
    <t>新環境証明書システム</t>
    <rPh sb="0" eb="6">
      <t>シンカンキョウショウメイショ</t>
    </rPh>
    <phoneticPr fontId="12"/>
  </si>
  <si>
    <t>化学物質データログインシステム</t>
    <phoneticPr fontId="49"/>
  </si>
  <si>
    <t>インフラパラメータ</t>
    <phoneticPr fontId="49"/>
  </si>
  <si>
    <t>1.0</t>
    <phoneticPr fontId="49"/>
  </si>
  <si>
    <t>榎本</t>
    <rPh sb="0" eb="2">
      <t>エノモト</t>
    </rPh>
    <phoneticPr fontId="49"/>
  </si>
  <si>
    <t>ドメイン</t>
    <phoneticPr fontId="52"/>
  </si>
  <si>
    <t>prd</t>
    <phoneticPr fontId="52"/>
  </si>
  <si>
    <t>stg</t>
    <phoneticPr fontId="52"/>
  </si>
  <si>
    <t>hrs.gm-new.8c@hirose-gl.com</t>
    <phoneticPr fontId="52"/>
  </si>
  <si>
    <t>同左</t>
    <rPh sb="0" eb="2">
      <t>ドウサ</t>
    </rPh>
    <phoneticPr fontId="52"/>
  </si>
  <si>
    <t>SES送信ドメイン</t>
    <rPh sb="3" eb="5">
      <t>ソウシン</t>
    </rPh>
    <phoneticPr fontId="52"/>
  </si>
  <si>
    <t>hirose-gl.com</t>
    <phoneticPr fontId="52"/>
  </si>
  <si>
    <t>S3バケット</t>
    <phoneticPr fontId="52"/>
  </si>
  <si>
    <t>stg-4s-private</t>
    <phoneticPr fontId="52"/>
  </si>
  <si>
    <t>prd-4s-private</t>
    <phoneticPr fontId="52"/>
  </si>
  <si>
    <t>stgドメイン</t>
    <phoneticPr fontId="52"/>
  </si>
  <si>
    <t>－</t>
    <phoneticPr fontId="52"/>
  </si>
  <si>
    <t>社内IP</t>
    <rPh sb="0" eb="2">
      <t>シャナイ</t>
    </rPh>
    <phoneticPr fontId="52"/>
  </si>
  <si>
    <t>stg_chemical_substance.hirose.com</t>
    <phoneticPr fontId="52"/>
  </si>
  <si>
    <t>送信元、アラート通知先</t>
    <rPh sb="0" eb="2">
      <t>ソウシン</t>
    </rPh>
    <rPh sb="2" eb="3">
      <t>モト</t>
    </rPh>
    <rPh sb="8" eb="11">
      <t>ツウチサキ</t>
    </rPh>
    <phoneticPr fontId="52"/>
  </si>
  <si>
    <t>chemical-substance.hirose.com</t>
  </si>
  <si>
    <t>stg-chemical-substance.hirose.com</t>
    <phoneticPr fontId="52"/>
  </si>
  <si>
    <t>chemical-substance-smtp-user</t>
    <phoneticPr fontId="52"/>
  </si>
  <si>
    <t>SMTP</t>
    <phoneticPr fontId="52"/>
  </si>
  <si>
    <t>IAMユーザ名</t>
    <rPh sb="6" eb="7">
      <t>メイ</t>
    </rPh>
    <phoneticPr fontId="52"/>
  </si>
  <si>
    <t>種類</t>
    <rPh sb="0" eb="2">
      <t>シュルイ</t>
    </rPh>
    <phoneticPr fontId="52"/>
  </si>
  <si>
    <t>Webサービス</t>
    <phoneticPr fontId="52"/>
  </si>
  <si>
    <t>CertificatePollingTask(バッチ)</t>
    <phoneticPr fontId="52"/>
  </si>
  <si>
    <t>ProductMasterSyncTask(バッチ)</t>
    <phoneticPr fontId="52"/>
  </si>
  <si>
    <t>S3アクセスロールARN</t>
    <phoneticPr fontId="52"/>
  </si>
  <si>
    <t>111.98.250.151/32
210.227.234.114/32
202.221.224.50/32
202.221.224.60/32
219.99.38.8/32
103.109.16.43/32
150.195.219.194/32</t>
    <phoneticPr fontId="52"/>
  </si>
  <si>
    <t>arn:aws:iam::064032700625:role/Chem-stg-EcsWebService-TaskRole</t>
    <phoneticPr fontId="52"/>
  </si>
  <si>
    <t>arn:aws:iam::064032700625:role/Chem-stg-CertificatePollingTask-TaskRole</t>
    <phoneticPr fontId="52"/>
  </si>
  <si>
    <t>arn:aws:iam::064032700625:role/Chem-stg-ProductMasterSyncTask-TaskRole</t>
    <phoneticPr fontId="52"/>
  </si>
  <si>
    <t>以下をprd/stg-4s-privateのバケットポリシーのStatementへ追加してもらう。</t>
    <rPh sb="0" eb="2">
      <t>イカ</t>
    </rPh>
    <rPh sb="41" eb="43">
      <t>ツイカ</t>
    </rPh>
    <phoneticPr fontId="52"/>
  </si>
  <si>
    <t>NATグローバルIP</t>
    <phoneticPr fontId="52"/>
  </si>
  <si>
    <t>3.113.168.107</t>
    <phoneticPr fontId="52"/>
  </si>
  <si>
    <t>環境証明書ログインURL</t>
    <rPh sb="0" eb="2">
      <t>カンキョウ</t>
    </rPh>
    <rPh sb="2" eb="5">
      <t>ショウメイショ</t>
    </rPh>
    <phoneticPr fontId="52"/>
  </si>
  <si>
    <t>https://chemical-substance.hirose.com/login/?uid={token}</t>
    <phoneticPr fontId="52"/>
  </si>
  <si>
    <t>https://stg-chemical-substance.hirose.com/login/?uid={token}</t>
    <phoneticPr fontId="5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</si>
</sst>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\-#,##0;&quot;-&quot;"/>
    <numFmt numFmtId="177" formatCode="0.00_)"/>
    <numFmt numFmtId="178" formatCode="#,##0.00;[Red]\(#,##0.00\)"/>
  </numFmts>
  <fonts count="59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u/>
      <sz val="11"/>
      <color theme="10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</fonts>
  <fills count="1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87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3" fillId="0" borderId="0"/>
    <xf numFmtId="0" fontId="4" fillId="0" borderId="0">
      <alignment vertical="center"/>
    </xf>
    <xf numFmtId="0" fontId="54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56" fillId="0" borderId="0" applyNumberFormat="0" applyFill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2" borderId="0" xfId="48" applyFont="1" applyFill="1" applyAlignment="1">
      <alignment horizontal="center"/>
    </xf>
    <xf numFmtId="14" fontId="15" fillId="12" borderId="0" xfId="48" applyNumberFormat="1" applyFont="1" applyFill="1" applyAlignment="1">
      <alignment horizontal="center"/>
    </xf>
    <xf numFmtId="0" fontId="17" fillId="10" borderId="0" xfId="48" applyFont="1" applyFill="1" applyAlignment="1">
      <alignment vertical="center"/>
    </xf>
    <xf numFmtId="0" fontId="18" fillId="11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1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0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0" fontId="0" fillId="0" borderId="3" xfId="0" applyBorder="1">
      <alignment vertical="center"/>
    </xf>
    <xf numFmtId="0" fontId="56" fillId="0" borderId="3" xfId="186" applyBorder="1">
      <alignment vertical="center"/>
    </xf>
    <xf numFmtId="0" fontId="0" fillId="0" borderId="16" xfId="0" applyBorder="1">
      <alignment vertical="center"/>
    </xf>
    <xf numFmtId="0" fontId="57" fillId="0" borderId="17" xfId="0" applyFont="1" applyBorder="1">
      <alignment vertical="center"/>
    </xf>
    <xf numFmtId="0" fontId="0" fillId="0" borderId="0" xfId="0" applyFill="1" applyBorder="1" applyAlignment="1">
      <alignment horizontal="left" vertical="center"/>
    </xf>
    <xf numFmtId="0" fontId="0" fillId="0" borderId="18" xfId="0" applyFill="1" applyBorder="1" applyAlignment="1">
      <alignment horizontal="left" vertical="center"/>
    </xf>
    <xf numFmtId="0" fontId="0" fillId="0" borderId="18" xfId="0" applyBorder="1">
      <alignment vertical="center"/>
    </xf>
    <xf numFmtId="0" fontId="0" fillId="0" borderId="19" xfId="0" applyBorder="1" applyAlignment="1">
      <alignment horizontal="left" vertical="center" indent="1"/>
    </xf>
    <xf numFmtId="0" fontId="0" fillId="0" borderId="19" xfId="0" applyBorder="1">
      <alignment vertical="center"/>
    </xf>
    <xf numFmtId="0" fontId="0" fillId="0" borderId="5" xfId="0" applyBorder="1" applyAlignment="1">
      <alignment horizontal="left" vertical="center" indent="1"/>
    </xf>
    <xf numFmtId="0" fontId="0" fillId="0" borderId="5" xfId="0" applyBorder="1">
      <alignment vertical="center"/>
    </xf>
    <xf numFmtId="0" fontId="58" fillId="0" borderId="0" xfId="0" applyFont="1">
      <alignment vertical="center"/>
    </xf>
    <xf numFmtId="0" fontId="0" fillId="0" borderId="3" xfId="0" applyBorder="1" applyAlignment="1">
      <alignment vertical="center" wrapText="1"/>
    </xf>
    <xf numFmtId="0" fontId="0" fillId="0" borderId="3" xfId="0" applyBorder="1">
      <alignment vertical="center"/>
    </xf>
    <xf numFmtId="14" fontId="55" fillId="12" borderId="0" xfId="48" applyNumberFormat="1" applyFont="1" applyFill="1" applyAlignment="1">
      <alignment horizontal="center" vertical="center"/>
    </xf>
    <xf numFmtId="0" fontId="55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 wrapText="1"/>
    </xf>
    <xf numFmtId="0" fontId="15" fillId="0" borderId="3" xfId="48" applyFont="1" applyBorder="1" applyAlignment="1">
      <alignment horizontal="center"/>
    </xf>
    <xf numFmtId="0" fontId="15" fillId="12" borderId="0" xfId="48" applyFont="1" applyFill="1" applyAlignment="1">
      <alignment horizontal="center"/>
    </xf>
    <xf numFmtId="0" fontId="19" fillId="0" borderId="0" xfId="48" applyFont="1" applyAlignment="1">
      <alignment horizontal="center" vertical="center"/>
    </xf>
    <xf numFmtId="14" fontId="50" fillId="0" borderId="3" xfId="0" applyNumberFormat="1" applyFont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50" fillId="0" borderId="3" xfId="0" applyFont="1" applyBorder="1">
      <alignment vertical="center"/>
    </xf>
    <xf numFmtId="0" fontId="50" fillId="0" borderId="3" xfId="0" applyFont="1" applyBorder="1" applyAlignment="1">
      <alignment vertical="center" wrapText="1"/>
    </xf>
    <xf numFmtId="0" fontId="50" fillId="0" borderId="14" xfId="0" applyFont="1" applyBorder="1">
      <alignment vertical="center"/>
    </xf>
    <xf numFmtId="0" fontId="0" fillId="0" borderId="3" xfId="0" applyBorder="1">
      <alignment vertical="center"/>
    </xf>
    <xf numFmtId="14" fontId="19" fillId="0" borderId="3" xfId="49" applyNumberFormat="1" applyFont="1" applyBorder="1" applyAlignment="1">
      <alignment horizontal="center" vertical="center"/>
    </xf>
    <xf numFmtId="0" fontId="19" fillId="0" borderId="3" xfId="49" applyFont="1" applyBorder="1" applyAlignment="1">
      <alignment horizontal="center" vertical="center"/>
    </xf>
    <xf numFmtId="14" fontId="19" fillId="0" borderId="8" xfId="49" applyNumberFormat="1" applyFont="1" applyBorder="1" applyAlignment="1">
      <alignment horizontal="center" vertical="center"/>
    </xf>
    <xf numFmtId="14" fontId="19" fillId="0" borderId="2" xfId="49" applyNumberFormat="1" applyFont="1" applyBorder="1" applyAlignment="1">
      <alignment horizontal="center" vertical="center"/>
    </xf>
    <xf numFmtId="14" fontId="19" fillId="0" borderId="13" xfId="49" applyNumberFormat="1" applyFont="1" applyBorder="1" applyAlignment="1">
      <alignment horizontal="center" vertical="center"/>
    </xf>
    <xf numFmtId="14" fontId="50" fillId="0" borderId="14" xfId="0" applyNumberFormat="1" applyFont="1" applyBorder="1" applyAlignment="1">
      <alignment horizontal="center" vertical="center"/>
    </xf>
    <xf numFmtId="0" fontId="50" fillId="0" borderId="14" xfId="0" applyFont="1" applyBorder="1" applyAlignment="1">
      <alignment horizontal="center" vertical="center"/>
    </xf>
    <xf numFmtId="0" fontId="50" fillId="0" borderId="8" xfId="0" applyFont="1" applyBorder="1" applyAlignment="1">
      <alignment vertical="center" wrapText="1"/>
    </xf>
    <xf numFmtId="0" fontId="50" fillId="0" borderId="2" xfId="0" applyFont="1" applyBorder="1">
      <alignment vertical="center"/>
    </xf>
    <xf numFmtId="0" fontId="50" fillId="0" borderId="13" xfId="0" applyFont="1" applyBorder="1">
      <alignment vertical="center"/>
    </xf>
    <xf numFmtId="0" fontId="50" fillId="0" borderId="12" xfId="0" applyFont="1" applyBorder="1" applyAlignment="1">
      <alignment horizontal="center" vertical="center"/>
    </xf>
    <xf numFmtId="0" fontId="50" fillId="0" borderId="10" xfId="0" applyFont="1" applyBorder="1" applyAlignment="1">
      <alignment horizontal="center" vertical="center"/>
    </xf>
    <xf numFmtId="0" fontId="50" fillId="0" borderId="3" xfId="0" quotePrefix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11" borderId="8" xfId="48" applyFont="1" applyFill="1" applyBorder="1" applyAlignment="1">
      <alignment horizontal="left" vertical="center"/>
    </xf>
    <xf numFmtId="0" fontId="18" fillId="11" borderId="2" xfId="48" applyFont="1" applyFill="1" applyBorder="1" applyAlignment="1">
      <alignment horizontal="left" vertical="center"/>
    </xf>
    <xf numFmtId="0" fontId="18" fillId="11" borderId="13" xfId="48" applyFont="1" applyFill="1" applyBorder="1" applyAlignment="1">
      <alignment horizontal="left" vertical="center"/>
    </xf>
    <xf numFmtId="0" fontId="48" fillId="13" borderId="15" xfId="48" applyFont="1" applyFill="1" applyBorder="1" applyAlignment="1">
      <alignment vertical="center"/>
    </xf>
    <xf numFmtId="0" fontId="18" fillId="11" borderId="3" xfId="48" applyFont="1" applyFill="1" applyBorder="1" applyAlignment="1">
      <alignment vertical="center"/>
    </xf>
    <xf numFmtId="0" fontId="20" fillId="0" borderId="8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3" xfId="48" applyFont="1" applyBorder="1" applyAlignment="1">
      <alignment vertical="center"/>
    </xf>
    <xf numFmtId="0" fontId="18" fillId="11" borderId="3" xfId="48" applyFont="1" applyFill="1" applyBorder="1" applyAlignment="1">
      <alignment horizontal="left" vertical="center"/>
    </xf>
    <xf numFmtId="0" fontId="19" fillId="0" borderId="3" xfId="48" applyFont="1" applyBorder="1" applyAlignment="1">
      <alignment horizontal="left" vertical="center"/>
    </xf>
    <xf numFmtId="0" fontId="13" fillId="14" borderId="3" xfId="49" applyFill="1" applyBorder="1" applyAlignment="1">
      <alignment horizontal="left" vertical="center"/>
    </xf>
    <xf numFmtId="14" fontId="19" fillId="0" borderId="3" xfId="48" applyNumberFormat="1" applyFont="1" applyBorder="1" applyAlignment="1">
      <alignment horizontal="center" vertical="center"/>
    </xf>
    <xf numFmtId="0" fontId="50" fillId="12" borderId="12" xfId="0" applyFont="1" applyFill="1" applyBorder="1" applyAlignment="1">
      <alignment vertical="center" wrapText="1"/>
    </xf>
    <xf numFmtId="0" fontId="50" fillId="12" borderId="9" xfId="0" applyFont="1" applyFill="1" applyBorder="1" applyAlignment="1">
      <alignment vertical="center" wrapText="1"/>
    </xf>
    <xf numFmtId="0" fontId="50" fillId="12" borderId="10" xfId="0" applyFont="1" applyFill="1" applyBorder="1" applyAlignment="1">
      <alignment vertical="center" wrapText="1"/>
    </xf>
    <xf numFmtId="0" fontId="50" fillId="12" borderId="6" xfId="0" applyFont="1" applyFill="1" applyBorder="1" applyAlignment="1">
      <alignment vertical="center" wrapText="1"/>
    </xf>
    <xf numFmtId="0" fontId="50" fillId="12" borderId="7" xfId="0" applyFont="1" applyFill="1" applyBorder="1" applyAlignment="1">
      <alignment vertical="center" wrapText="1"/>
    </xf>
    <xf numFmtId="0" fontId="50" fillId="12" borderId="11" xfId="0" applyFont="1" applyFill="1" applyBorder="1" applyAlignment="1">
      <alignment vertical="center" wrapText="1"/>
    </xf>
    <xf numFmtId="0" fontId="18" fillId="13" borderId="16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0" fillId="12" borderId="3" xfId="0" applyFont="1" applyFill="1" applyBorder="1">
      <alignment vertical="center"/>
    </xf>
    <xf numFmtId="0" fontId="17" fillId="13" borderId="14" xfId="48" applyFont="1" applyFill="1" applyBorder="1" applyAlignment="1">
      <alignment vertical="center"/>
    </xf>
    <xf numFmtId="0" fontId="51" fillId="15" borderId="7" xfId="0" applyFont="1" applyFill="1" applyBorder="1" applyAlignment="1">
      <alignment horizontal="center" vertical="center"/>
    </xf>
    <xf numFmtId="0" fontId="50" fillId="12" borderId="3" xfId="0" applyFont="1" applyFill="1" applyBorder="1" applyAlignment="1">
      <alignment vertical="center" wrapText="1"/>
    </xf>
    <xf numFmtId="0" fontId="19" fillId="0" borderId="3" xfId="48" applyFont="1" applyBorder="1" applyAlignment="1">
      <alignment horizontal="center" vertical="center"/>
    </xf>
    <xf numFmtId="0" fontId="13" fillId="14" borderId="8" xfId="49" applyFill="1" applyBorder="1" applyAlignment="1">
      <alignment horizontal="center" vertical="center"/>
    </xf>
    <xf numFmtId="0" fontId="13" fillId="14" borderId="13" xfId="49" applyFill="1" applyBorder="1" applyAlignment="1">
      <alignment horizontal="center" vertical="center"/>
    </xf>
    <xf numFmtId="0" fontId="0" fillId="0" borderId="3" xfId="0" applyFill="1" applyBorder="1" applyAlignment="1">
      <alignment horizontal="left" vertical="center"/>
    </xf>
    <xf numFmtId="0" fontId="0" fillId="0" borderId="3" xfId="0" applyFill="1" applyBorder="1">
      <alignment vertical="center"/>
    </xf>
    <xf numFmtId="0" fontId="0" fillId="0" borderId="3" xfId="0" applyFill="1" applyBorder="1" applyAlignment="1">
      <alignment horizontal="left" vertical="center" indent="1"/>
    </xf>
  </cellXfs>
  <cellStyles count="187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ハイパーリンク" xfId="186" builtinId="8"/>
    <cellStyle name="_x001d__x000c_K_x0014__x000d_&gt;V_x0001_&gt;_x0014_n_x001e__x0007__x0001__x0001_" xfId="44" xr:uid="{00000000-0005-0000-0000-00002B000000}"/>
    <cellStyle name="標準" xfId="0" builtinId="0"/>
    <cellStyle name="標準 10" xfId="183" xr:uid="{EA538841-B3F7-4189-AE1D-AD4B02F64DDE}"/>
    <cellStyle name="標準 11" xfId="184" xr:uid="{9A33E0B3-3601-4446-AF7C-40986B16F916}"/>
    <cellStyle name="標準 12" xfId="185" xr:uid="{868DCC0C-A919-469A-8C51-D8FACEBCB55E}"/>
    <cellStyle name="標準 2" xfId="45" xr:uid="{00000000-0005-0000-0000-00002D000000}"/>
    <cellStyle name="標準 2 2" xfId="160" xr:uid="{00000000-0005-0000-0000-00002E000000}"/>
    <cellStyle name="標準 2 2 2 2" xfId="180" xr:uid="{00000000-0005-0000-0000-00002F000000}"/>
    <cellStyle name="標準 2 2 3 3" xfId="179" xr:uid="{00000000-0005-0000-0000-000030000000}"/>
    <cellStyle name="標準 2 2 3 3 2" xfId="182" xr:uid="{A9F8D5FD-FFE5-47DC-8F2A-256F756463B6}"/>
    <cellStyle name="標準 2 3" xfId="162" xr:uid="{00000000-0005-0000-0000-000031000000}"/>
    <cellStyle name="標準 3" xfId="46" xr:uid="{00000000-0005-0000-0000-000032000000}"/>
    <cellStyle name="標準 4" xfId="47" xr:uid="{00000000-0005-0000-0000-000033000000}"/>
    <cellStyle name="標準 5" xfId="51" xr:uid="{00000000-0005-0000-0000-000034000000}"/>
    <cellStyle name="標準 5 2" xfId="54" xr:uid="{00000000-0005-0000-0000-000035000000}"/>
    <cellStyle name="標準 5 2 2" xfId="60" xr:uid="{00000000-0005-0000-0000-000036000000}"/>
    <cellStyle name="標準 5 2 2 2" xfId="90" xr:uid="{00000000-0005-0000-0000-000037000000}"/>
    <cellStyle name="標準 5 2 2 2 2" xfId="136" xr:uid="{00000000-0005-0000-0000-000038000000}"/>
    <cellStyle name="標準 5 2 2 3" xfId="106" xr:uid="{00000000-0005-0000-0000-000039000000}"/>
    <cellStyle name="標準 5 2 2 3 2" xfId="152" xr:uid="{00000000-0005-0000-0000-00003A000000}"/>
    <cellStyle name="標準 5 2 2 4" xfId="80" xr:uid="{00000000-0005-0000-0000-00003B000000}"/>
    <cellStyle name="標準 5 2 2 4 2" xfId="176" xr:uid="{00000000-0005-0000-0000-00003C000000}"/>
    <cellStyle name="標準 5 2 2 5" xfId="126" xr:uid="{00000000-0005-0000-0000-00003D000000}"/>
    <cellStyle name="標準 5 2 3" xfId="64" xr:uid="{00000000-0005-0000-0000-00003E000000}"/>
    <cellStyle name="標準 5 2 3 2" xfId="94" xr:uid="{00000000-0005-0000-0000-00003F000000}"/>
    <cellStyle name="標準 5 2 3 2 2" xfId="140" xr:uid="{00000000-0005-0000-0000-000040000000}"/>
    <cellStyle name="標準 5 2 3 3" xfId="110" xr:uid="{00000000-0005-0000-0000-000041000000}"/>
    <cellStyle name="標準 5 2 3 3 2" xfId="156" xr:uid="{00000000-0005-0000-0000-000042000000}"/>
    <cellStyle name="標準 5 2 3 4" xfId="74" xr:uid="{00000000-0005-0000-0000-000043000000}"/>
    <cellStyle name="標準 5 2 3 4 2" xfId="170" xr:uid="{00000000-0005-0000-0000-000044000000}"/>
    <cellStyle name="標準 5 2 3 5" xfId="120" xr:uid="{00000000-0005-0000-0000-000045000000}"/>
    <cellStyle name="標準 5 2 4" xfId="84" xr:uid="{00000000-0005-0000-0000-000046000000}"/>
    <cellStyle name="標準 5 2 4 2" xfId="130" xr:uid="{00000000-0005-0000-0000-000047000000}"/>
    <cellStyle name="標準 5 2 5" xfId="100" xr:uid="{00000000-0005-0000-0000-000048000000}"/>
    <cellStyle name="標準 5 2 5 2" xfId="146" xr:uid="{00000000-0005-0000-0000-000049000000}"/>
    <cellStyle name="標準 5 2 6" xfId="70" xr:uid="{00000000-0005-0000-0000-00004A000000}"/>
    <cellStyle name="標準 5 2 6 2" xfId="166" xr:uid="{00000000-0005-0000-0000-00004B000000}"/>
    <cellStyle name="標準 5 2 7" xfId="116" xr:uid="{00000000-0005-0000-0000-00004C000000}"/>
    <cellStyle name="標準 5 3" xfId="57" xr:uid="{00000000-0005-0000-0000-00004D000000}"/>
    <cellStyle name="標準 5 3 2" xfId="87" xr:uid="{00000000-0005-0000-0000-00004E000000}"/>
    <cellStyle name="標準 5 3 2 2" xfId="133" xr:uid="{00000000-0005-0000-0000-00004F000000}"/>
    <cellStyle name="標準 5 3 3" xfId="103" xr:uid="{00000000-0005-0000-0000-000050000000}"/>
    <cellStyle name="標準 5 3 3 2" xfId="149" xr:uid="{00000000-0005-0000-0000-000051000000}"/>
    <cellStyle name="標準 5 3 4" xfId="77" xr:uid="{00000000-0005-0000-0000-000052000000}"/>
    <cellStyle name="標準 5 3 4 2" xfId="173" xr:uid="{00000000-0005-0000-0000-000053000000}"/>
    <cellStyle name="標準 5 3 5" xfId="123" xr:uid="{00000000-0005-0000-0000-000054000000}"/>
    <cellStyle name="標準 5 4" xfId="61" xr:uid="{00000000-0005-0000-0000-000055000000}"/>
    <cellStyle name="標準 5 4 2" xfId="91" xr:uid="{00000000-0005-0000-0000-000056000000}"/>
    <cellStyle name="標準 5 4 2 2" xfId="137" xr:uid="{00000000-0005-0000-0000-000057000000}"/>
    <cellStyle name="標準 5 4 3" xfId="107" xr:uid="{00000000-0005-0000-0000-000058000000}"/>
    <cellStyle name="標準 5 4 3 2" xfId="153" xr:uid="{00000000-0005-0000-0000-000059000000}"/>
    <cellStyle name="標準 5 4 4" xfId="71" xr:uid="{00000000-0005-0000-0000-00005A000000}"/>
    <cellStyle name="標準 5 4 4 2" xfId="167" xr:uid="{00000000-0005-0000-0000-00005B000000}"/>
    <cellStyle name="標準 5 4 5" xfId="117" xr:uid="{00000000-0005-0000-0000-00005C000000}"/>
    <cellStyle name="標準 5 5" xfId="81" xr:uid="{00000000-0005-0000-0000-00005D000000}"/>
    <cellStyle name="標準 5 5 2" xfId="127" xr:uid="{00000000-0005-0000-0000-00005E000000}"/>
    <cellStyle name="標準 5 6" xfId="97" xr:uid="{00000000-0005-0000-0000-00005F000000}"/>
    <cellStyle name="標準 5 6 2" xfId="143" xr:uid="{00000000-0005-0000-0000-000060000000}"/>
    <cellStyle name="標準 5 7" xfId="67" xr:uid="{00000000-0005-0000-0000-000061000000}"/>
    <cellStyle name="標準 5 7 2" xfId="163" xr:uid="{00000000-0005-0000-0000-000062000000}"/>
    <cellStyle name="標準 5 8" xfId="113" xr:uid="{00000000-0005-0000-0000-000063000000}"/>
    <cellStyle name="標準 6" xfId="52" xr:uid="{00000000-0005-0000-0000-000064000000}"/>
    <cellStyle name="標準 6 10" xfId="181" xr:uid="{00000000-0005-0000-0000-000065000000}"/>
    <cellStyle name="標準 6 2" xfId="55" xr:uid="{00000000-0005-0000-0000-000066000000}"/>
    <cellStyle name="標準 6 2 2" xfId="65" xr:uid="{00000000-0005-0000-0000-000067000000}"/>
    <cellStyle name="標準 6 2 2 2" xfId="111" xr:uid="{00000000-0005-0000-0000-000068000000}"/>
    <cellStyle name="標準 6 2 2 2 2" xfId="157" xr:uid="{00000000-0005-0000-0000-000069000000}"/>
    <cellStyle name="標準 6 2 2 3" xfId="95" xr:uid="{00000000-0005-0000-0000-00006A000000}"/>
    <cellStyle name="標準 6 2 2 3 2" xfId="177" xr:uid="{00000000-0005-0000-0000-00006B000000}"/>
    <cellStyle name="標準 6 2 2 4" xfId="141" xr:uid="{00000000-0005-0000-0000-00006C000000}"/>
    <cellStyle name="標準 6 2 3" xfId="85" xr:uid="{00000000-0005-0000-0000-00006D000000}"/>
    <cellStyle name="標準 6 2 3 2" xfId="131" xr:uid="{00000000-0005-0000-0000-00006E000000}"/>
    <cellStyle name="標準 6 2 4" xfId="101" xr:uid="{00000000-0005-0000-0000-00006F000000}"/>
    <cellStyle name="標準 6 2 4 2" xfId="147" xr:uid="{00000000-0005-0000-0000-000070000000}"/>
    <cellStyle name="標準 6 2 5" xfId="75" xr:uid="{00000000-0005-0000-0000-000071000000}"/>
    <cellStyle name="標準 6 2 5 2" xfId="171" xr:uid="{00000000-0005-0000-0000-000072000000}"/>
    <cellStyle name="標準 6 2 6" xfId="121" xr:uid="{00000000-0005-0000-0000-000073000000}"/>
    <cellStyle name="標準 6 3" xfId="58" xr:uid="{00000000-0005-0000-0000-000074000000}"/>
    <cellStyle name="標準 6 3 2" xfId="88" xr:uid="{00000000-0005-0000-0000-000075000000}"/>
    <cellStyle name="標準 6 3 2 2" xfId="134" xr:uid="{00000000-0005-0000-0000-000076000000}"/>
    <cellStyle name="標準 6 3 3" xfId="104" xr:uid="{00000000-0005-0000-0000-000077000000}"/>
    <cellStyle name="標準 6 3 3 2" xfId="150" xr:uid="{00000000-0005-0000-0000-000078000000}"/>
    <cellStyle name="標準 6 3 4" xfId="78" xr:uid="{00000000-0005-0000-0000-000079000000}"/>
    <cellStyle name="標準 6 3 4 2" xfId="174" xr:uid="{00000000-0005-0000-0000-00007A000000}"/>
    <cellStyle name="標準 6 3 5" xfId="124" xr:uid="{00000000-0005-0000-0000-00007B000000}"/>
    <cellStyle name="標準 6 4" xfId="62" xr:uid="{00000000-0005-0000-0000-00007C000000}"/>
    <cellStyle name="標準 6 4 2" xfId="92" xr:uid="{00000000-0005-0000-0000-00007D000000}"/>
    <cellStyle name="標準 6 4 2 2" xfId="138" xr:uid="{00000000-0005-0000-0000-00007E000000}"/>
    <cellStyle name="標準 6 4 3" xfId="108" xr:uid="{00000000-0005-0000-0000-00007F000000}"/>
    <cellStyle name="標準 6 4 3 2" xfId="154" xr:uid="{00000000-0005-0000-0000-000080000000}"/>
    <cellStyle name="標準 6 4 4" xfId="72" xr:uid="{00000000-0005-0000-0000-000081000000}"/>
    <cellStyle name="標準 6 4 4 2" xfId="168" xr:uid="{00000000-0005-0000-0000-000082000000}"/>
    <cellStyle name="標準 6 4 5" xfId="118" xr:uid="{00000000-0005-0000-0000-000083000000}"/>
    <cellStyle name="標準 6 5" xfId="82" xr:uid="{00000000-0005-0000-0000-000084000000}"/>
    <cellStyle name="標準 6 5 2" xfId="128" xr:uid="{00000000-0005-0000-0000-000085000000}"/>
    <cellStyle name="標準 6 6" xfId="98" xr:uid="{00000000-0005-0000-0000-000086000000}"/>
    <cellStyle name="標準 6 6 2" xfId="144" xr:uid="{00000000-0005-0000-0000-000087000000}"/>
    <cellStyle name="標準 6 7" xfId="68" xr:uid="{00000000-0005-0000-0000-000088000000}"/>
    <cellStyle name="標準 6 7 2" xfId="164" xr:uid="{00000000-0005-0000-0000-000089000000}"/>
    <cellStyle name="標準 6 8" xfId="114" xr:uid="{00000000-0005-0000-0000-00008A000000}"/>
    <cellStyle name="標準 7" xfId="53" xr:uid="{00000000-0005-0000-0000-00008B000000}"/>
    <cellStyle name="標準 7 2" xfId="56" xr:uid="{00000000-0005-0000-0000-00008C000000}"/>
    <cellStyle name="標準 7 2 2" xfId="66" xr:uid="{00000000-0005-0000-0000-00008D000000}"/>
    <cellStyle name="標準 7 2 2 2" xfId="112" xr:uid="{00000000-0005-0000-0000-00008E000000}"/>
    <cellStyle name="標準 7 2 2 2 2" xfId="158" xr:uid="{00000000-0005-0000-0000-00008F000000}"/>
    <cellStyle name="標準 7 2 2 3" xfId="96" xr:uid="{00000000-0005-0000-0000-000090000000}"/>
    <cellStyle name="標準 7 2 2 3 2" xfId="178" xr:uid="{00000000-0005-0000-0000-000091000000}"/>
    <cellStyle name="標準 7 2 2 4" xfId="142" xr:uid="{00000000-0005-0000-0000-000092000000}"/>
    <cellStyle name="標準 7 2 3" xfId="86" xr:uid="{00000000-0005-0000-0000-000093000000}"/>
    <cellStyle name="標準 7 2 3 2" xfId="132" xr:uid="{00000000-0005-0000-0000-000094000000}"/>
    <cellStyle name="標準 7 2 4" xfId="102" xr:uid="{00000000-0005-0000-0000-000095000000}"/>
    <cellStyle name="標準 7 2 4 2" xfId="148" xr:uid="{00000000-0005-0000-0000-000096000000}"/>
    <cellStyle name="標準 7 2 5" xfId="76" xr:uid="{00000000-0005-0000-0000-000097000000}"/>
    <cellStyle name="標準 7 2 5 2" xfId="172" xr:uid="{00000000-0005-0000-0000-000098000000}"/>
    <cellStyle name="標準 7 2 6" xfId="122" xr:uid="{00000000-0005-0000-0000-000099000000}"/>
    <cellStyle name="標準 7 3" xfId="59" xr:uid="{00000000-0005-0000-0000-00009A000000}"/>
    <cellStyle name="標準 7 3 2" xfId="89" xr:uid="{00000000-0005-0000-0000-00009B000000}"/>
    <cellStyle name="標準 7 3 2 2" xfId="135" xr:uid="{00000000-0005-0000-0000-00009C000000}"/>
    <cellStyle name="標準 7 3 3" xfId="105" xr:uid="{00000000-0005-0000-0000-00009D000000}"/>
    <cellStyle name="標準 7 3 3 2" xfId="151" xr:uid="{00000000-0005-0000-0000-00009E000000}"/>
    <cellStyle name="標準 7 3 4" xfId="79" xr:uid="{00000000-0005-0000-0000-00009F000000}"/>
    <cellStyle name="標準 7 3 4 2" xfId="175" xr:uid="{00000000-0005-0000-0000-0000A0000000}"/>
    <cellStyle name="標準 7 3 5" xfId="125" xr:uid="{00000000-0005-0000-0000-0000A1000000}"/>
    <cellStyle name="標準 7 4" xfId="63" xr:uid="{00000000-0005-0000-0000-0000A2000000}"/>
    <cellStyle name="標準 7 4 2" xfId="93" xr:uid="{00000000-0005-0000-0000-0000A3000000}"/>
    <cellStyle name="標準 7 4 2 2" xfId="139" xr:uid="{00000000-0005-0000-0000-0000A4000000}"/>
    <cellStyle name="標準 7 4 3" xfId="109" xr:uid="{00000000-0005-0000-0000-0000A5000000}"/>
    <cellStyle name="標準 7 4 3 2" xfId="155" xr:uid="{00000000-0005-0000-0000-0000A6000000}"/>
    <cellStyle name="標準 7 4 4" xfId="73" xr:uid="{00000000-0005-0000-0000-0000A7000000}"/>
    <cellStyle name="標準 7 4 4 2" xfId="169" xr:uid="{00000000-0005-0000-0000-0000A8000000}"/>
    <cellStyle name="標準 7 4 5" xfId="119" xr:uid="{00000000-0005-0000-0000-0000A9000000}"/>
    <cellStyle name="標準 7 5" xfId="83" xr:uid="{00000000-0005-0000-0000-0000AA000000}"/>
    <cellStyle name="標準 7 5 2" xfId="129" xr:uid="{00000000-0005-0000-0000-0000AB000000}"/>
    <cellStyle name="標準 7 6" xfId="99" xr:uid="{00000000-0005-0000-0000-0000AC000000}"/>
    <cellStyle name="標準 7 6 2" xfId="145" xr:uid="{00000000-0005-0000-0000-0000AD000000}"/>
    <cellStyle name="標準 7 7" xfId="69" xr:uid="{00000000-0005-0000-0000-0000AE000000}"/>
    <cellStyle name="標準 7 7 2" xfId="165" xr:uid="{00000000-0005-0000-0000-0000AF000000}"/>
    <cellStyle name="標準 7 8" xfId="115" xr:uid="{00000000-0005-0000-0000-0000B0000000}"/>
    <cellStyle name="標準 8" xfId="159" xr:uid="{00000000-0005-0000-0000-0000B1000000}"/>
    <cellStyle name="標準 9" xfId="161" xr:uid="{00000000-0005-0000-0000-0000B2000000}"/>
    <cellStyle name="標準_4システム概要" xfId="48" xr:uid="{00000000-0005-0000-0000-0000B3000000}"/>
    <cellStyle name="標準_要件ポイント説明書一覧_rd06_20060623" xfId="49" xr:uid="{00000000-0005-0000-0000-0000B6000000}"/>
    <cellStyle name="未定義" xfId="50" xr:uid="{00000000-0005-0000-0000-0000B7000000}"/>
  </cellStyles>
  <dxfs count="0"/>
  <tableStyles count="0" defaultTableStyle="TableStyleMedium2" defaultPivotStyle="PivotStyleLight16"/>
  <colors>
    <mruColors>
      <color rgb="FFFFFFCC"/>
      <color rgb="FF339933"/>
      <color rgb="FF99FF99"/>
      <color rgb="FFFF9900"/>
      <color rgb="FF013284"/>
      <color rgb="FF004098"/>
      <color rgb="FF333399"/>
      <color rgb="FF000099"/>
      <color rgb="FF003399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インフラパラメータ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2</xdr:row>
      <xdr:rowOff>9524</xdr:rowOff>
    </xdr:from>
    <xdr:to>
      <xdr:col>9</xdr:col>
      <xdr:colOff>57150</xdr:colOff>
      <xdr:row>63</xdr:row>
      <xdr:rowOff>19050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7BCADD2-D317-F334-1278-9AD10B8A7F6D}"/>
            </a:ext>
          </a:extLst>
        </xdr:cNvPr>
        <xdr:cNvSpPr txBox="1"/>
      </xdr:nvSpPr>
      <xdr:spPr>
        <a:xfrm>
          <a:off x="200025" y="352424"/>
          <a:ext cx="6029325" cy="1046797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stg (stg-4s-private)</a:t>
          </a:r>
        </a:p>
        <a:p>
          <a:b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{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"Sid": "AllowChemStgTaskRolesS3Access",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"Effect": "Allow",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"Principal": {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"AWS": [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"arn:aws:iam::064032700625:role/Chem-stg-EcsWebService-TaskRole",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"arn:aws:iam::064032700625:role/Chem-stg-CertificatePollingTask-TaskRole",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"arn:aws:iam::064032700625:role/Chem-stg-ProductMasterSyncTask-TaskRole"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"Action": [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"s3:GetBucket*",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"s3:List*",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"s3:Abort*",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"s3:DeleteObject*",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"s3:GetObject*",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"s3:PutObject",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"s3:PutObjectLegalHold",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"s3:PutObjectRetention",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"s3:PutObjectTagging",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"s3:PutObjectVersionTagging"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"Resource": [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"arn:aws:s3:::stg-4s-private",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"arn:aws:s3:::stg-4s-private/*"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 (prd-4s-private)</a:t>
          </a:r>
        </a:p>
        <a:p>
          <a:b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{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"Sid": "AllowChemPrdTaskRolesS3Access",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"Effect": "Allow",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"Principal": {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"AWS": [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"arn:aws:iam::064032700625:role/Chem-prd-EcsWebService-TaskRole",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"arn:aws:iam::064032700625:role/Chem-prd-Certificat</a:t>
          </a:r>
          <a:r>
            <a:rPr lang="en-US" altLang="ja-JP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</a:t>
          </a:r>
          <a:endParaRPr lang="en-US" altLang="ja-JP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"arn:aws:iam::064032700625:role/Chem-prd-ProductMasterSyncTask-TaskRole"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"Action": [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"s3:GetBucket*",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"s3:List*",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"s3:Abort*",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"s3:DeleteObject*",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"s3:GetObject*",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"s3:PutObject",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"s3:PutObjectLegalHold",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"s3:PutObjectRetention",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"s3:PutObjectTagging",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"s3:PutObjectVersionTagging"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"Resource": [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"arn:aws:s3:::prd-4s-private",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"arn:aws:s3:::prd-4s-private/*"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r>
            <a:rPr lang="en-US" altLang="ja-JP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n-US" altLang="ja-JP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tg-chemical-substance.hirose.com/login/?uid=%7btoken%7d" TargetMode="External"/><Relationship Id="rId2" Type="http://schemas.openxmlformats.org/officeDocument/2006/relationships/hyperlink" Target="https://chemical-substance.hirose.com/login/?uid=%7btoken%7d" TargetMode="External"/><Relationship Id="rId1" Type="http://schemas.openxmlformats.org/officeDocument/2006/relationships/hyperlink" Target="mailto:hrs.gm-new.8c@hirose-g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view="pageBreakPreview" zoomScaleNormal="80" zoomScaleSheetLayoutView="100" workbookViewId="0">
      <selection activeCell="B22" sqref="B22:H22"/>
    </sheetView>
  </sheetViews>
  <sheetFormatPr defaultColWidth="8" defaultRowHeight="13.5"/>
  <cols>
    <col min="1" max="1" width="8.875" style="1" customWidth="1"/>
    <col min="2" max="8" width="14.375" style="1" customWidth="1"/>
    <col min="9" max="9" width="13.625" style="1" customWidth="1"/>
    <col min="10" max="10" width="3.375" style="1" customWidth="1"/>
    <col min="11" max="11" width="23.75" style="1" customWidth="1"/>
    <col min="12" max="12" width="10" style="1" customWidth="1"/>
    <col min="13" max="13" width="23.375" style="1" customWidth="1"/>
    <col min="14" max="14" width="9.125" style="1" customWidth="1"/>
    <col min="15" max="15" width="19.875" style="1" customWidth="1"/>
    <col min="16" max="16" width="6.75" style="1" customWidth="1"/>
    <col min="17" max="17" width="7.375" style="1" customWidth="1"/>
    <col min="18" max="18" width="6.75" style="1" customWidth="1"/>
    <col min="19" max="19" width="11" style="1" customWidth="1"/>
    <col min="20" max="20" width="9.875" style="1" customWidth="1"/>
    <col min="21" max="21" width="8" style="1" customWidth="1"/>
    <col min="22" max="22" width="11.6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35" t="str">
        <f ca="1">TEXT(変更来歴!AT2,"yyyy年 mm月 dd日") &amp; " " &amp; 変更来歴!AT3</f>
        <v>1900年 01月 00日 1.0</v>
      </c>
      <c r="C22" s="36"/>
      <c r="D22" s="36"/>
      <c r="E22" s="36"/>
      <c r="F22" s="36"/>
      <c r="G22" s="36"/>
      <c r="H22" s="36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38" t="s">
        <v>26</v>
      </c>
      <c r="D28" s="38"/>
      <c r="E28" s="38"/>
      <c r="F28" s="38" t="s">
        <v>0</v>
      </c>
      <c r="G28" s="38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39"/>
      <c r="D33" s="39"/>
      <c r="E33" s="39"/>
      <c r="F33" s="39"/>
      <c r="G33" s="39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37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40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37"/>
    </row>
    <row r="43" spans="3:20" s="8" customFormat="1" ht="14.25" customHeight="1">
      <c r="K43" s="17"/>
      <c r="L43" s="12"/>
      <c r="N43" s="12"/>
      <c r="R43" s="14"/>
      <c r="S43" s="19"/>
      <c r="T43" s="37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37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37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37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37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37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40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37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40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37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40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37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40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37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40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37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40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37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40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37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40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37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40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37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40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37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40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37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40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37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40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37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40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37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40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37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40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37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40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37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40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activeCell="AA3" sqref="AA3:AP3"/>
    </sheetView>
  </sheetViews>
  <sheetFormatPr defaultRowHeight="13.5"/>
  <cols>
    <col min="1" max="64" width="2.625" customWidth="1"/>
  </cols>
  <sheetData>
    <row r="1" spans="1:53" ht="12" customHeight="1">
      <c r="A1" s="82" t="s">
        <v>4</v>
      </c>
      <c r="B1" s="82"/>
      <c r="C1" s="82"/>
      <c r="D1" s="82"/>
      <c r="E1" s="82"/>
      <c r="F1" s="82"/>
      <c r="G1" s="82"/>
      <c r="H1" s="82"/>
      <c r="I1" s="65" t="s">
        <v>5</v>
      </c>
      <c r="J1" s="65"/>
      <c r="K1" s="65"/>
      <c r="L1" s="65"/>
      <c r="M1" s="80" t="s">
        <v>6</v>
      </c>
      <c r="N1" s="80"/>
      <c r="O1" s="80"/>
      <c r="P1" s="80"/>
      <c r="Q1" s="80"/>
      <c r="R1" s="80"/>
      <c r="S1" s="80"/>
      <c r="T1" s="80"/>
      <c r="U1" s="80"/>
      <c r="V1" s="80"/>
      <c r="W1" s="80"/>
      <c r="X1" s="65" t="s">
        <v>7</v>
      </c>
      <c r="Y1" s="65"/>
      <c r="Z1" s="65"/>
      <c r="AA1" s="84" t="s">
        <v>32</v>
      </c>
      <c r="AB1" s="84"/>
      <c r="AC1" s="84"/>
      <c r="AD1" s="84"/>
      <c r="AE1" s="84"/>
      <c r="AF1" s="84"/>
      <c r="AG1" s="84"/>
      <c r="AH1" s="84"/>
      <c r="AI1" s="84"/>
      <c r="AJ1" s="84"/>
      <c r="AK1" s="69" t="s">
        <v>8</v>
      </c>
      <c r="AL1" s="69"/>
      <c r="AM1" s="69"/>
      <c r="AN1" s="70" t="s">
        <v>35</v>
      </c>
      <c r="AO1" s="70"/>
      <c r="AP1" s="70"/>
      <c r="AQ1" s="69" t="s">
        <v>9</v>
      </c>
      <c r="AR1" s="69"/>
      <c r="AS1" s="69"/>
      <c r="AT1" s="72">
        <f>AL7</f>
        <v>46195</v>
      </c>
      <c r="AU1" s="72"/>
      <c r="AV1" s="72"/>
      <c r="AW1" s="72"/>
      <c r="AX1" s="61" t="s">
        <v>10</v>
      </c>
      <c r="AY1" s="62"/>
      <c r="AZ1" s="62"/>
      <c r="BA1" s="63"/>
    </row>
    <row r="2" spans="1:53">
      <c r="A2" s="64" t="s">
        <v>31</v>
      </c>
      <c r="B2" s="64"/>
      <c r="C2" s="64"/>
      <c r="D2" s="64"/>
      <c r="E2" s="64"/>
      <c r="F2" s="64"/>
      <c r="G2" s="64"/>
      <c r="H2" s="64"/>
      <c r="I2" s="65" t="s">
        <v>11</v>
      </c>
      <c r="J2" s="65"/>
      <c r="K2" s="65"/>
      <c r="L2" s="65"/>
      <c r="M2" s="66" t="s">
        <v>29</v>
      </c>
      <c r="N2" s="67"/>
      <c r="O2" s="67"/>
      <c r="P2" s="67"/>
      <c r="Q2" s="67"/>
      <c r="R2" s="67"/>
      <c r="S2" s="67"/>
      <c r="T2" s="67"/>
      <c r="U2" s="67"/>
      <c r="V2" s="67"/>
      <c r="W2" s="68"/>
      <c r="X2" s="65"/>
      <c r="Y2" s="65"/>
      <c r="Z2" s="65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69" t="s">
        <v>12</v>
      </c>
      <c r="AL2" s="69"/>
      <c r="AM2" s="69"/>
      <c r="AN2" s="70"/>
      <c r="AO2" s="70"/>
      <c r="AP2" s="70"/>
      <c r="AQ2" s="69" t="s">
        <v>13</v>
      </c>
      <c r="AR2" s="69"/>
      <c r="AS2" s="69"/>
      <c r="AT2" s="72"/>
      <c r="AU2" s="72"/>
      <c r="AV2" s="72"/>
      <c r="AW2" s="72"/>
      <c r="AX2" s="73" t="s">
        <v>27</v>
      </c>
      <c r="AY2" s="74"/>
      <c r="AZ2" s="74"/>
      <c r="BA2" s="75"/>
    </row>
    <row r="3" spans="1:53" ht="12" customHeight="1">
      <c r="A3" s="79" t="s">
        <v>24</v>
      </c>
      <c r="B3" s="79"/>
      <c r="C3" s="79"/>
      <c r="D3" s="79"/>
      <c r="E3" s="79"/>
      <c r="F3" s="79"/>
      <c r="G3" s="79"/>
      <c r="H3" s="79"/>
      <c r="I3" s="65" t="s">
        <v>14</v>
      </c>
      <c r="J3" s="65"/>
      <c r="K3" s="65"/>
      <c r="L3" s="65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65" t="s">
        <v>25</v>
      </c>
      <c r="Y3" s="65"/>
      <c r="Z3" s="65"/>
      <c r="AA3" s="81" t="s">
        <v>33</v>
      </c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69" t="s">
        <v>15</v>
      </c>
      <c r="AR3" s="69"/>
      <c r="AS3" s="69"/>
      <c r="AT3" s="85" t="str">
        <f ca="1">INDIRECT("A" &amp; COUNTA(A7:A39) + 6)</f>
        <v>1.0</v>
      </c>
      <c r="AU3" s="85"/>
      <c r="AV3" s="85"/>
      <c r="AW3" s="85"/>
      <c r="AX3" s="76"/>
      <c r="AY3" s="77"/>
      <c r="AZ3" s="77"/>
      <c r="BA3" s="78"/>
    </row>
    <row r="4" spans="1:53" ht="5.85" customHeight="1"/>
    <row r="5" spans="1:53" ht="14.25">
      <c r="A5" s="83" t="s">
        <v>23</v>
      </c>
      <c r="B5" s="83"/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  <c r="AR5" s="83"/>
      <c r="AS5" s="83"/>
      <c r="AT5" s="83"/>
      <c r="AU5" s="83"/>
      <c r="AV5" s="83"/>
      <c r="AW5" s="83"/>
      <c r="AX5" s="83"/>
      <c r="AY5" s="83"/>
      <c r="AZ5" s="83"/>
      <c r="BA5" s="83"/>
    </row>
    <row r="6" spans="1:53">
      <c r="A6" s="86" t="s">
        <v>22</v>
      </c>
      <c r="B6" s="87"/>
      <c r="C6" s="71" t="s">
        <v>16</v>
      </c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 t="s">
        <v>30</v>
      </c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 t="s">
        <v>17</v>
      </c>
      <c r="AM6" s="71"/>
      <c r="AN6" s="71"/>
      <c r="AO6" s="71"/>
      <c r="AP6" s="71" t="s">
        <v>18</v>
      </c>
      <c r="AQ6" s="71"/>
      <c r="AR6" s="71"/>
      <c r="AS6" s="71" t="s">
        <v>19</v>
      </c>
      <c r="AT6" s="71"/>
      <c r="AU6" s="71"/>
      <c r="AV6" s="71" t="s">
        <v>20</v>
      </c>
      <c r="AW6" s="71"/>
      <c r="AX6" s="71"/>
      <c r="AY6" s="71"/>
      <c r="AZ6" s="71"/>
      <c r="BA6" s="71"/>
    </row>
    <row r="7" spans="1:53">
      <c r="A7" s="59" t="s">
        <v>34</v>
      </c>
      <c r="B7" s="42"/>
      <c r="C7" s="43" t="s">
        <v>21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7">
        <v>46195</v>
      </c>
      <c r="AM7" s="48"/>
      <c r="AN7" s="48"/>
      <c r="AO7" s="48"/>
      <c r="AP7" s="43" t="s">
        <v>28</v>
      </c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</row>
    <row r="8" spans="1:53">
      <c r="A8" s="42"/>
      <c r="B8" s="42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54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6"/>
      <c r="AL8" s="49"/>
      <c r="AM8" s="50"/>
      <c r="AN8" s="50"/>
      <c r="AO8" s="51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</row>
    <row r="9" spans="1:53">
      <c r="A9" s="57"/>
      <c r="B9" s="58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54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6"/>
      <c r="AL9" s="49"/>
      <c r="AM9" s="50"/>
      <c r="AN9" s="50"/>
      <c r="AO9" s="51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</row>
    <row r="10" spans="1:53">
      <c r="A10" s="57"/>
      <c r="B10" s="58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1"/>
      <c r="AM10" s="42"/>
      <c r="AN10" s="42"/>
      <c r="AO10" s="42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</row>
    <row r="11" spans="1:53">
      <c r="A11" s="57"/>
      <c r="B11" s="58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1"/>
      <c r="AM11" s="42"/>
      <c r="AN11" s="42"/>
      <c r="AO11" s="42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</row>
    <row r="12" spans="1:53">
      <c r="A12" s="42"/>
      <c r="B12" s="42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1"/>
      <c r="AM12" s="42"/>
      <c r="AN12" s="42"/>
      <c r="AO12" s="42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</row>
    <row r="13" spans="1:53">
      <c r="A13" s="53"/>
      <c r="B13" s="53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4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52"/>
      <c r="AM13" s="53"/>
      <c r="AN13" s="53"/>
      <c r="AO13" s="53"/>
      <c r="AP13" s="43"/>
      <c r="AQ13" s="43"/>
      <c r="AR13" s="43"/>
      <c r="AS13" s="45"/>
      <c r="AT13" s="45"/>
      <c r="AU13" s="45"/>
      <c r="AV13" s="45"/>
      <c r="AW13" s="45"/>
      <c r="AX13" s="45"/>
      <c r="AY13" s="45"/>
      <c r="AZ13" s="45"/>
      <c r="BA13" s="45"/>
    </row>
    <row r="14" spans="1:53">
      <c r="A14" s="42"/>
      <c r="B14" s="42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4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1"/>
      <c r="AM14" s="42"/>
      <c r="AN14" s="42"/>
      <c r="AO14" s="42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</row>
    <row r="15" spans="1:53">
      <c r="A15" s="42"/>
      <c r="B15" s="42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4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1"/>
      <c r="AM15" s="42"/>
      <c r="AN15" s="42"/>
      <c r="AO15" s="42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</row>
    <row r="16" spans="1:53">
      <c r="A16" s="42"/>
      <c r="B16" s="42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4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1"/>
      <c r="AM16" s="42"/>
      <c r="AN16" s="42"/>
      <c r="AO16" s="42"/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</row>
    <row r="17" spans="1:53">
      <c r="A17" s="60"/>
      <c r="B17" s="60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1"/>
      <c r="AM17" s="42"/>
      <c r="AN17" s="42"/>
      <c r="AO17" s="42"/>
      <c r="AP17" s="43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</row>
    <row r="18" spans="1:53">
      <c r="A18" s="60"/>
      <c r="B18" s="60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1"/>
      <c r="AM18" s="42"/>
      <c r="AN18" s="42"/>
      <c r="AO18" s="42"/>
      <c r="AP18" s="43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</row>
    <row r="19" spans="1:53">
      <c r="A19" s="42"/>
      <c r="B19" s="42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1"/>
      <c r="AM19" s="41"/>
      <c r="AN19" s="41"/>
      <c r="AO19" s="41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</row>
    <row r="20" spans="1:53">
      <c r="A20" s="42"/>
      <c r="B20" s="42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1"/>
      <c r="AM20" s="41"/>
      <c r="AN20" s="41"/>
      <c r="AO20" s="41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</row>
    <row r="21" spans="1:53" ht="13.5" customHeight="1">
      <c r="A21" s="42"/>
      <c r="B21" s="42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1"/>
      <c r="AM21" s="41"/>
      <c r="AN21" s="41"/>
      <c r="AO21" s="41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</row>
    <row r="22" spans="1:53">
      <c r="A22" s="42"/>
      <c r="B22" s="42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1"/>
      <c r="AM22" s="41"/>
      <c r="AN22" s="41"/>
      <c r="AO22" s="41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</row>
    <row r="23" spans="1:53">
      <c r="A23" s="42"/>
      <c r="B23" s="42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1"/>
      <c r="AM23" s="41"/>
      <c r="AN23" s="41"/>
      <c r="AO23" s="41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</row>
    <row r="24" spans="1:53">
      <c r="A24" s="42"/>
      <c r="B24" s="42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1"/>
      <c r="AM24" s="41"/>
      <c r="AN24" s="41"/>
      <c r="AO24" s="41"/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</row>
    <row r="25" spans="1:53">
      <c r="A25" s="42"/>
      <c r="B25" s="42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1"/>
      <c r="AM25" s="42"/>
      <c r="AN25" s="42"/>
      <c r="AO25" s="42"/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</row>
    <row r="26" spans="1:53">
      <c r="A26" s="42"/>
      <c r="B26" s="42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1"/>
      <c r="AM26" s="42"/>
      <c r="AN26" s="42"/>
      <c r="AO26" s="42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</row>
    <row r="27" spans="1:53">
      <c r="A27" s="42"/>
      <c r="B27" s="42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1"/>
      <c r="AM27" s="42"/>
      <c r="AN27" s="42"/>
      <c r="AO27" s="42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</row>
    <row r="28" spans="1:53">
      <c r="A28" s="42"/>
      <c r="B28" s="42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1"/>
      <c r="AM28" s="42"/>
      <c r="AN28" s="42"/>
      <c r="AO28" s="42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</row>
    <row r="29" spans="1:53">
      <c r="A29" s="42"/>
      <c r="B29" s="42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1"/>
      <c r="AM29" s="42"/>
      <c r="AN29" s="42"/>
      <c r="AO29" s="42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</row>
    <row r="30" spans="1:53">
      <c r="A30" s="42"/>
      <c r="B30" s="42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2"/>
      <c r="AM30" s="42"/>
      <c r="AN30" s="42"/>
      <c r="AO30" s="42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</row>
    <row r="31" spans="1:53">
      <c r="A31" s="42"/>
      <c r="B31" s="42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2"/>
      <c r="AM31" s="42"/>
      <c r="AN31" s="42"/>
      <c r="AO31" s="42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</row>
    <row r="32" spans="1:53">
      <c r="A32" s="42"/>
      <c r="B32" s="42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2"/>
      <c r="AM32" s="42"/>
      <c r="AN32" s="42"/>
      <c r="AO32" s="42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</row>
    <row r="33" spans="1:53">
      <c r="A33" s="42"/>
      <c r="B33" s="42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2"/>
      <c r="AM33" s="42"/>
      <c r="AN33" s="42"/>
      <c r="AO33" s="42"/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</row>
    <row r="34" spans="1:53">
      <c r="A34" s="42"/>
      <c r="B34" s="42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2"/>
      <c r="AM34" s="42"/>
      <c r="AN34" s="42"/>
      <c r="AO34" s="42"/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690AC-D5C7-474D-85FA-6AAB1896A401}">
  <dimension ref="A1:C15"/>
  <sheetViews>
    <sheetView tabSelected="1" workbookViewId="0">
      <selection activeCell="B15" sqref="B15"/>
    </sheetView>
  </sheetViews>
  <sheetFormatPr defaultRowHeight="13.5"/>
  <cols>
    <col min="1" max="1" width="29.375" customWidth="1"/>
    <col min="2" max="2" width="30.125" customWidth="1"/>
    <col min="3" max="3" width="39.875" customWidth="1"/>
  </cols>
  <sheetData>
    <row r="1" spans="1:3" ht="14.25" thickBot="1">
      <c r="A1" s="24" t="s">
        <v>56</v>
      </c>
      <c r="B1" s="24" t="s">
        <v>37</v>
      </c>
      <c r="C1" s="24" t="s">
        <v>38</v>
      </c>
    </row>
    <row r="2" spans="1:3" ht="14.25" thickTop="1">
      <c r="A2" s="23" t="s">
        <v>36</v>
      </c>
      <c r="B2" s="23" t="s">
        <v>51</v>
      </c>
      <c r="C2" s="23" t="s">
        <v>52</v>
      </c>
    </row>
    <row r="3" spans="1:3" ht="94.5">
      <c r="A3" s="21" t="s">
        <v>48</v>
      </c>
      <c r="B3" s="33" t="s">
        <v>61</v>
      </c>
      <c r="C3" s="21" t="s">
        <v>40</v>
      </c>
    </row>
    <row r="4" spans="1:3">
      <c r="A4" s="21" t="s">
        <v>46</v>
      </c>
      <c r="B4" s="21" t="s">
        <v>47</v>
      </c>
      <c r="C4" s="21" t="s">
        <v>49</v>
      </c>
    </row>
    <row r="5" spans="1:3">
      <c r="A5" s="21" t="s">
        <v>50</v>
      </c>
      <c r="B5" s="22" t="s">
        <v>39</v>
      </c>
      <c r="C5" s="21" t="s">
        <v>40</v>
      </c>
    </row>
    <row r="6" spans="1:3">
      <c r="A6" s="21" t="s">
        <v>41</v>
      </c>
      <c r="B6" s="21" t="s">
        <v>42</v>
      </c>
      <c r="C6" s="21" t="s">
        <v>40</v>
      </c>
    </row>
    <row r="7" spans="1:3">
      <c r="A7" s="21" t="s">
        <v>43</v>
      </c>
      <c r="B7" s="21" t="s">
        <v>45</v>
      </c>
      <c r="C7" s="21" t="s">
        <v>44</v>
      </c>
    </row>
    <row r="8" spans="1:3">
      <c r="A8" s="27" t="s">
        <v>54</v>
      </c>
      <c r="B8" s="27"/>
      <c r="C8" s="27"/>
    </row>
    <row r="9" spans="1:3">
      <c r="A9" s="30" t="s">
        <v>55</v>
      </c>
      <c r="B9" s="31" t="s">
        <v>53</v>
      </c>
      <c r="C9" s="31" t="s">
        <v>40</v>
      </c>
    </row>
    <row r="10" spans="1:3">
      <c r="A10" s="26" t="s">
        <v>60</v>
      </c>
      <c r="B10" s="27"/>
      <c r="C10" s="27"/>
    </row>
    <row r="11" spans="1:3">
      <c r="A11" s="28" t="s">
        <v>57</v>
      </c>
      <c r="B11" s="29"/>
      <c r="C11" s="29" t="s">
        <v>62</v>
      </c>
    </row>
    <row r="12" spans="1:3">
      <c r="A12" s="28" t="s">
        <v>58</v>
      </c>
      <c r="B12" s="29"/>
      <c r="C12" s="29" t="s">
        <v>63</v>
      </c>
    </row>
    <row r="13" spans="1:3">
      <c r="A13" s="30" t="s">
        <v>59</v>
      </c>
      <c r="B13" s="31"/>
      <c r="C13" s="31" t="s">
        <v>64</v>
      </c>
    </row>
    <row r="14" spans="1:3">
      <c r="A14" s="88" t="s">
        <v>66</v>
      </c>
      <c r="B14" s="34" t="s">
        <v>67</v>
      </c>
      <c r="C14" s="89" t="s">
        <v>40</v>
      </c>
    </row>
    <row r="15" spans="1:3">
      <c r="A15" s="90" t="s">
        <v>68</v>
      </c>
      <c r="B15" s="22" t="s">
        <v>69</v>
      </c>
      <c r="C15" s="22" t="s">
        <v>70</v>
      </c>
    </row>
  </sheetData>
  <phoneticPr fontId="52"/>
  <hyperlinks>
    <hyperlink ref="B5" r:id="rId1" xr:uid="{393A6AE7-BE99-4ADD-9D05-CEFF33ED5496}"/>
    <hyperlink ref="B15" r:id="rId2" xr:uid="{E27396FF-ACBC-4E31-9BDB-8719F504B017}"/>
    <hyperlink ref="C15" r:id="rId3" xr:uid="{99BDA459-FD76-4B92-A579-D5A3A29EC34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31C29-27E3-4F59-8ABE-A0AB131D04D3}">
  <dimension ref="A1:A2"/>
  <sheetViews>
    <sheetView topLeftCell="A16" workbookViewId="0">
      <selection activeCell="L30" sqref="L30"/>
    </sheetView>
  </sheetViews>
  <sheetFormatPr defaultRowHeight="13.5"/>
  <sheetData>
    <row r="1" spans="1:1">
      <c r="A1" s="25" t="s">
        <v>65</v>
      </c>
    </row>
    <row r="2" spans="1:1">
      <c r="A2" s="32"/>
    </row>
  </sheetData>
  <phoneticPr fontId="52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表紙</vt:lpstr>
      <vt:lpstr>変更来歴</vt:lpstr>
      <vt:lpstr>パラメータ</vt:lpstr>
      <vt:lpstr>依頼内容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榎本亮二</cp:lastModifiedBy>
  <cp:lastPrinted>2021-03-22T08:18:14Z</cp:lastPrinted>
  <dcterms:created xsi:type="dcterms:W3CDTF">2016-02-08T08:47:20Z</dcterms:created>
  <dcterms:modified xsi:type="dcterms:W3CDTF">2026-07-28T02:17:30Z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